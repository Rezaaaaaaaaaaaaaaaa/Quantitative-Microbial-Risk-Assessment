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oddr\Documents\WorkingCode\npd22201_new_plymouth_qmra\exampleCode\"/>
    </mc:Choice>
  </mc:AlternateContent>
  <xr:revisionPtr revIDLastSave="0" documentId="13_ncr:1_{27B3E76F-DA43-4D21-A013-E675B17BDDC0}" xr6:coauthVersionLast="47" xr6:coauthVersionMax="47" xr10:uidLastSave="{00000000-0000-0000-0000-000000000000}"/>
  <bookViews>
    <workbookView xWindow="-110" yWindow="-110" windowWidth="25820" windowHeight="13400" tabRatio="742" activeTab="5" xr2:uid="{00000000-000D-0000-FFFF-FFFF00000000}"/>
  </bookViews>
  <sheets>
    <sheet name="README" sheetId="1" r:id="rId1"/>
    <sheet name="Global data" sheetId="2" r:id="rId2"/>
    <sheet name="Risk Model" sheetId="6" r:id="rId3"/>
    <sheet name="Hockey-Stick for virus concs" sheetId="3" r:id="rId4"/>
    <sheet name="BAF calculation" sheetId="82" r:id="rId5"/>
    <sheet name="Conc" sheetId="5" r:id="rId6"/>
    <sheet name="Settings" sheetId="49" r:id="rId7"/>
  </sheet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-1</definedName>
    <definedName name="_AtRisk_SimSetting_MultipleCPUManualCount" hidden="1">4</definedName>
    <definedName name="_AtRisk_SimSetting_MultipleCPUMode" hidden="1">1</definedName>
    <definedName name="_AtRisk_SimSetting_MultipleCPUModeV8" hidden="1">1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FALSE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lpha">'Global data'!$C$9</definedName>
    <definedName name="BAF">'BAF calculation'!$B$56</definedName>
    <definedName name="BAF_mean">'BAF calculation'!$B$54</definedName>
    <definedName name="BAF_standard_deviation">'BAF calculation'!$B$55</definedName>
    <definedName name="beta">'Global data'!$C$10</definedName>
    <definedName name="Log10_Pathogen_Reduction">'Global data'!$C$6</definedName>
    <definedName name="LogLogistic_alpha">'BAF calculation'!$B$25</definedName>
    <definedName name="LogLogistic_beta">'BAF calculation'!$B$26</definedName>
    <definedName name="LogLogistic_gamma">'BAF calculation'!$B$27</definedName>
    <definedName name="Pal_Workbook_GUID" hidden="1">"P9ZR5BFKL1DE7LZ2K3FMDHFP"</definedName>
    <definedName name="Pathogen">'Global data'!$B$3</definedName>
    <definedName name="Pathogen_Conc_in_Effluent_max">'Global data'!$E$18</definedName>
    <definedName name="Pathogen_Conc_in_Effluent_median">'Global data'!$D$18</definedName>
    <definedName name="Pathogen_Conc_in_Effluent_min">'Global data'!$C$18</definedName>
    <definedName name="Pathogen_Conc_in_Influent_max">'Global data'!$E$17</definedName>
    <definedName name="Pathogen_Conc_in_Influent_median">'Global data'!$D$17</definedName>
    <definedName name="Pathogen_Conc_in_Influent_min">'Global data'!$C$17</definedName>
    <definedName name="Pathogen_Conc_Site_1">Conc!$C$3</definedName>
    <definedName name="Pathogen_Conc_Site_10">Conc!$L$3</definedName>
    <definedName name="Pathogen_Conc_Site_11">Conc!$M$3</definedName>
    <definedName name="Pathogen_Conc_Site_12">Conc!$N$3</definedName>
    <definedName name="Pathogen_Conc_Site_13">Conc!$O$3</definedName>
    <definedName name="Pathogen_Conc_Site_14">Conc!$P$3</definedName>
    <definedName name="Pathogen_Conc_Site_15">Conc!$Q$3</definedName>
    <definedName name="Pathogen_Conc_Site_16">Conc!$R$3</definedName>
    <definedName name="Pathogen_Conc_Site_17">Conc!$S$3</definedName>
    <definedName name="Pathogen_Conc_Site_18">Conc!$T$3</definedName>
    <definedName name="Pathogen_Conc_Site_19">Conc!$U$3</definedName>
    <definedName name="Pathogen_Conc_Site_2">Conc!$D$3</definedName>
    <definedName name="Pathogen_Conc_Site_20">Conc!$V$3</definedName>
    <definedName name="Pathogen_Conc_Site_21">Conc!$W$3</definedName>
    <definedName name="Pathogen_Conc_Site_22">Conc!$X$3</definedName>
    <definedName name="Pathogen_Conc_Site_23">Conc!$Y$3</definedName>
    <definedName name="Pathogen_Conc_Site_24">Conc!$Z$3</definedName>
    <definedName name="Pathogen_Conc_Site_25">Conc!$AA$3</definedName>
    <definedName name="Pathogen_Conc_Site_26">Conc!$AB$3</definedName>
    <definedName name="Pathogen_Conc_Site_29">Conc!$AE$3</definedName>
    <definedName name="Pathogen_Conc_Site_3">Conc!$E$3</definedName>
    <definedName name="Pathogen_Conc_Site_4">Conc!$F$3</definedName>
    <definedName name="Pathogen_Conc_Site_5">Conc!$G$3</definedName>
    <definedName name="Pathogen_Conc_Site_6">Conc!$H$3</definedName>
    <definedName name="Pathogen_Conc_Site_7">Conc!$I$3</definedName>
    <definedName name="Pathogen_Conc_Site_8">Conc!$J$3</definedName>
    <definedName name="Pathogen_Conc_Site_9">Conc!$K$3</definedName>
    <definedName name="Pathogen_Method_Harmonisation_Factor">'Global data'!$C$11</definedName>
    <definedName name="Prob_Illness_Given_Infection">'Global data'!$C$14</definedName>
    <definedName name="Prob_Illness_given_Infection_has_occurred">'Global data'!$C$13</definedName>
    <definedName name="Proportion_susceptible">'Global data'!$C$12</definedName>
    <definedName name="Random_effluent_Pathogen_conc">'Hockey-Stick for virus concs'!$K$31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1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imulationResultsStorageLocation" hidden="1">"2"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TRUE</definedName>
    <definedName name="Site_name_1">'Global data'!$C$22</definedName>
    <definedName name="Site_name_10">'Global data'!$C$31</definedName>
    <definedName name="Site_name_11">'Global data'!$C$32</definedName>
    <definedName name="Site_name_12">'Global data'!$C$33</definedName>
    <definedName name="Site_name_13">'Global data'!$C$34</definedName>
    <definedName name="Site_name_14">'Global data'!$C$35</definedName>
    <definedName name="Site_name_15">'Global data'!$C$36</definedName>
    <definedName name="Site_name_16">'Global data'!$C$37</definedName>
    <definedName name="Site_name_17">'Global data'!$C$38</definedName>
    <definedName name="Site_name_18">'Global data'!$C$39</definedName>
    <definedName name="Site_name_19">'Global data'!$C$40</definedName>
    <definedName name="Site_name_2">'Global data'!$C$23</definedName>
    <definedName name="Site_name_20">'Global data'!$C$41</definedName>
    <definedName name="Site_name_21">'Global data'!$C$42</definedName>
    <definedName name="Site_name_22">'Global data'!$C$43</definedName>
    <definedName name="Site_name_23">'Global data'!$C$44</definedName>
    <definedName name="Site_name_24">'Global data'!$C$45</definedName>
    <definedName name="Site_name_25">'Global data'!$C$46</definedName>
    <definedName name="Site_name_26">'Global data'!$C$47</definedName>
    <definedName name="Site_name_27">'Global data'!$C$48</definedName>
    <definedName name="Site_name_28">'Global data'!$C$49</definedName>
    <definedName name="Site_name_29">'Global data'!$C$50</definedName>
    <definedName name="Site_name_3">'Global data'!$C$24</definedName>
    <definedName name="Site_name_30">'Global data'!$C$51</definedName>
    <definedName name="Site_name_31">'Global data'!$C$52</definedName>
    <definedName name="Site_name_32">'Global data'!$C$53</definedName>
    <definedName name="Site_name_4">'Global data'!$C$25</definedName>
    <definedName name="Site_name_5">'Global data'!$C$26</definedName>
    <definedName name="Site_name_6">'Global data'!$C$27</definedName>
    <definedName name="Site_name_7">'Global data'!$C$28</definedName>
    <definedName name="Site_name_8">'Global data'!$C$29</definedName>
    <definedName name="Site_name_9">'Global data'!$C$30</definedName>
    <definedName name="Site_Number">'Global data'!$C$22:$C$53</definedName>
    <definedName name="Site_number_1">'Global data'!$B$22</definedName>
    <definedName name="Site_number_2">'Global data'!$B$23</definedName>
    <definedName name="Site_number_3">'Global data'!$B$24</definedName>
    <definedName name="Site_number_4">'Global data'!$B$25</definedName>
    <definedName name="Site_number_5">'Global data'!$B$26</definedName>
    <definedName name="Site_number_6">'Global data'!$B$27</definedName>
    <definedName name="Site_number_7">'Global data'!$B$28</definedName>
    <definedName name="Site_number_8">'Global data'!$B$29</definedName>
    <definedName name="V">'Global data'!$C$56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D3" i="5"/>
  <c r="E3" i="5"/>
  <c r="F3" i="5"/>
  <c r="G3" i="5"/>
  <c r="H3" i="5"/>
  <c r="I3" i="5"/>
  <c r="AS3" i="6" s="1"/>
  <c r="J3" i="5"/>
  <c r="K3" i="5"/>
  <c r="L3" i="5"/>
  <c r="M3" i="5"/>
  <c r="N3" i="5"/>
  <c r="O3" i="5"/>
  <c r="P3" i="5"/>
  <c r="Q3" i="5"/>
  <c r="CO3" i="6" s="1"/>
  <c r="R3" i="5"/>
  <c r="CU3" i="6" s="1"/>
  <c r="CR30" i="6" s="1"/>
  <c r="CS30" i="6" s="1"/>
  <c r="CT30" i="6" s="1"/>
  <c r="CU30" i="6" s="1"/>
  <c r="CV30" i="6" s="1"/>
  <c r="S3" i="5"/>
  <c r="T3" i="5"/>
  <c r="U3" i="5"/>
  <c r="V3" i="5"/>
  <c r="W3" i="5"/>
  <c r="X3" i="5"/>
  <c r="Y3" i="5"/>
  <c r="EQ3" i="6" s="1"/>
  <c r="Z3" i="5"/>
  <c r="EW3" i="6" s="1"/>
  <c r="AA3" i="5"/>
  <c r="AB3" i="5"/>
  <c r="AC3" i="5"/>
  <c r="AD3" i="5"/>
  <c r="AE3" i="5"/>
  <c r="AF3" i="5"/>
  <c r="AG3" i="5"/>
  <c r="AH3" i="5"/>
  <c r="B56" i="82"/>
  <c r="K31" i="3"/>
  <c r="C108" i="6"/>
  <c r="C107" i="6"/>
  <c r="C106" i="6"/>
  <c r="C105" i="6"/>
  <c r="C104" i="6"/>
  <c r="D104" i="6" s="1"/>
  <c r="C103" i="6"/>
  <c r="D103" i="6" s="1"/>
  <c r="C102" i="6"/>
  <c r="C101" i="6"/>
  <c r="C100" i="6"/>
  <c r="C99" i="6"/>
  <c r="C98" i="6"/>
  <c r="C97" i="6"/>
  <c r="C96" i="6"/>
  <c r="D96" i="6" s="1"/>
  <c r="C95" i="6"/>
  <c r="D95" i="6" s="1"/>
  <c r="C94" i="6"/>
  <c r="C93" i="6"/>
  <c r="C92" i="6"/>
  <c r="C91" i="6"/>
  <c r="C90" i="6"/>
  <c r="C89" i="6"/>
  <c r="C88" i="6"/>
  <c r="D88" i="6" s="1"/>
  <c r="C87" i="6"/>
  <c r="D87" i="6" s="1"/>
  <c r="C86" i="6"/>
  <c r="C85" i="6"/>
  <c r="C84" i="6"/>
  <c r="C83" i="6"/>
  <c r="C82" i="6"/>
  <c r="C81" i="6"/>
  <c r="C80" i="6"/>
  <c r="D80" i="6" s="1"/>
  <c r="C79" i="6"/>
  <c r="D79" i="6" s="1"/>
  <c r="C78" i="6"/>
  <c r="C77" i="6"/>
  <c r="C76" i="6"/>
  <c r="C75" i="6"/>
  <c r="C74" i="6"/>
  <c r="C73" i="6"/>
  <c r="C72" i="6"/>
  <c r="D72" i="6" s="1"/>
  <c r="C71" i="6"/>
  <c r="C70" i="6"/>
  <c r="C69" i="6"/>
  <c r="C68" i="6"/>
  <c r="C67" i="6"/>
  <c r="C66" i="6"/>
  <c r="C65" i="6"/>
  <c r="C64" i="6"/>
  <c r="D64" i="6" s="1"/>
  <c r="C63" i="6"/>
  <c r="D63" i="6" s="1"/>
  <c r="C62" i="6"/>
  <c r="C61" i="6"/>
  <c r="C60" i="6"/>
  <c r="C59" i="6"/>
  <c r="C58" i="6"/>
  <c r="C57" i="6"/>
  <c r="C56" i="6"/>
  <c r="D56" i="6" s="1"/>
  <c r="C55" i="6"/>
  <c r="D55" i="6" s="1"/>
  <c r="C54" i="6"/>
  <c r="C53" i="6"/>
  <c r="C52" i="6"/>
  <c r="C51" i="6"/>
  <c r="C50" i="6"/>
  <c r="C49" i="6"/>
  <c r="C48" i="6"/>
  <c r="D48" i="6" s="1"/>
  <c r="C47" i="6"/>
  <c r="D47" i="6" s="1"/>
  <c r="C46" i="6"/>
  <c r="C45" i="6"/>
  <c r="C44" i="6"/>
  <c r="C43" i="6"/>
  <c r="C42" i="6"/>
  <c r="C41" i="6"/>
  <c r="C40" i="6"/>
  <c r="D40" i="6" s="1"/>
  <c r="C39" i="6"/>
  <c r="D39" i="6" s="1"/>
  <c r="C38" i="6"/>
  <c r="C37" i="6"/>
  <c r="C36" i="6"/>
  <c r="C35" i="6"/>
  <c r="C34" i="6"/>
  <c r="C33" i="6"/>
  <c r="C32" i="6"/>
  <c r="D32" i="6" s="1"/>
  <c r="C31" i="6"/>
  <c r="D31" i="6" s="1"/>
  <c r="C30" i="6"/>
  <c r="D30" i="6" s="1"/>
  <c r="C29" i="6"/>
  <c r="C28" i="6"/>
  <c r="D28" i="6" s="1"/>
  <c r="C27" i="6"/>
  <c r="C26" i="6"/>
  <c r="D26" i="6" s="1"/>
  <c r="C25" i="6"/>
  <c r="C24" i="6"/>
  <c r="D24" i="6" s="1"/>
  <c r="C23" i="6"/>
  <c r="D23" i="6" s="1"/>
  <c r="C22" i="6"/>
  <c r="C21" i="6"/>
  <c r="C20" i="6"/>
  <c r="C19" i="6"/>
  <c r="C18" i="6"/>
  <c r="C17" i="6"/>
  <c r="D17" i="6" s="1"/>
  <c r="C16" i="6"/>
  <c r="D16" i="6" s="1"/>
  <c r="C15" i="6"/>
  <c r="D15" i="6" s="1"/>
  <c r="C14" i="6"/>
  <c r="D14" i="6" s="1"/>
  <c r="C13" i="6"/>
  <c r="C12" i="6"/>
  <c r="D12" i="6" s="1"/>
  <c r="C11" i="6"/>
  <c r="D11" i="6" s="1"/>
  <c r="C10" i="6"/>
  <c r="D10" i="6" s="1"/>
  <c r="C9" i="6"/>
  <c r="D9" i="6" s="1"/>
  <c r="GT2" i="6"/>
  <c r="GR2" i="6"/>
  <c r="GP2" i="6"/>
  <c r="GR3" i="6"/>
  <c r="GN2" i="6"/>
  <c r="GL2" i="6"/>
  <c r="GJ2" i="6"/>
  <c r="GH2" i="6"/>
  <c r="GF2" i="6"/>
  <c r="GD2" i="6"/>
  <c r="GB2" i="6"/>
  <c r="FZ2" i="6"/>
  <c r="FX2" i="6"/>
  <c r="FV2" i="6"/>
  <c r="FT2" i="6"/>
  <c r="FR2" i="6"/>
  <c r="FP2" i="6"/>
  <c r="FN2" i="6"/>
  <c r="FL2" i="6"/>
  <c r="FJ2" i="6"/>
  <c r="FF2" i="6"/>
  <c r="FH2" i="6"/>
  <c r="FD2" i="6"/>
  <c r="FB2" i="6"/>
  <c r="EZ2" i="6"/>
  <c r="EX2" i="6"/>
  <c r="EV2" i="6"/>
  <c r="ET2" i="6"/>
  <c r="ER2" i="6"/>
  <c r="EP2" i="6"/>
  <c r="EN2" i="6"/>
  <c r="EL2" i="6"/>
  <c r="EJ2" i="6"/>
  <c r="EH2" i="6"/>
  <c r="EF2" i="6"/>
  <c r="ED2" i="6"/>
  <c r="EB2" i="6"/>
  <c r="DZ2" i="6"/>
  <c r="DX2" i="6"/>
  <c r="DV2" i="6"/>
  <c r="DT2" i="6"/>
  <c r="DR2" i="6"/>
  <c r="DP2" i="6"/>
  <c r="DN2" i="6"/>
  <c r="DL2" i="6"/>
  <c r="DJ2" i="6"/>
  <c r="DH2" i="6"/>
  <c r="DF2" i="6"/>
  <c r="DD2" i="6"/>
  <c r="DB2" i="6"/>
  <c r="CZ2" i="6"/>
  <c r="CX2" i="6"/>
  <c r="CV2" i="6"/>
  <c r="CT2" i="6"/>
  <c r="CR2" i="6"/>
  <c r="GL3" i="6"/>
  <c r="GF3" i="6"/>
  <c r="FZ3" i="6"/>
  <c r="FT3" i="6"/>
  <c r="FN3" i="6"/>
  <c r="FH3" i="6"/>
  <c r="FB3" i="6"/>
  <c r="EV3" i="6"/>
  <c r="EP3" i="6"/>
  <c r="EJ3" i="6"/>
  <c r="ED3" i="6"/>
  <c r="DX3" i="6"/>
  <c r="DR3" i="6"/>
  <c r="DL3" i="6"/>
  <c r="DF3" i="6"/>
  <c r="CZ3" i="6"/>
  <c r="CT3" i="6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CP2" i="6"/>
  <c r="CN2" i="6"/>
  <c r="CN3" i="6"/>
  <c r="CL2" i="6"/>
  <c r="Q2" i="5"/>
  <c r="GM3" i="6" a="1"/>
  <c r="GM3" i="6" s="1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CJ2" i="6"/>
  <c r="CH2" i="6"/>
  <c r="CH3" i="6"/>
  <c r="CF2" i="6"/>
  <c r="CD2" i="6"/>
  <c r="CB2" i="6"/>
  <c r="CB3" i="6"/>
  <c r="BZ2" i="6"/>
  <c r="BX2" i="6"/>
  <c r="BV2" i="6"/>
  <c r="BV3" i="6"/>
  <c r="BT2" i="6"/>
  <c r="BR2" i="6"/>
  <c r="BP2" i="6"/>
  <c r="BP3" i="6"/>
  <c r="BN2" i="6"/>
  <c r="BL2" i="6"/>
  <c r="BJ2" i="6"/>
  <c r="BJ3" i="6"/>
  <c r="BH2" i="6"/>
  <c r="BF2" i="6"/>
  <c r="BD2" i="6"/>
  <c r="BD3" i="6"/>
  <c r="BB2" i="6"/>
  <c r="D11" i="2"/>
  <c r="D12" i="2"/>
  <c r="D10" i="2"/>
  <c r="D9" i="2"/>
  <c r="E24" i="2"/>
  <c r="E26" i="2"/>
  <c r="E25" i="2"/>
  <c r="E23" i="2"/>
  <c r="E22" i="2"/>
  <c r="E21" i="2"/>
  <c r="E20" i="2"/>
  <c r="D13" i="2"/>
  <c r="B6" i="2"/>
  <c r="C4" i="6"/>
  <c r="B55" i="82"/>
  <c r="B54" i="82"/>
  <c r="C54" i="82"/>
  <c r="C14" i="2"/>
  <c r="AZ2" i="6"/>
  <c r="AX2" i="6"/>
  <c r="AX3" i="6"/>
  <c r="AV2" i="6"/>
  <c r="AT2" i="6"/>
  <c r="AR2" i="6"/>
  <c r="AR3" i="6"/>
  <c r="AP2" i="6"/>
  <c r="AN2" i="6"/>
  <c r="AL2" i="6"/>
  <c r="AL3" i="6"/>
  <c r="AJ2" i="6"/>
  <c r="AH2" i="6"/>
  <c r="AF2" i="6"/>
  <c r="AF3" i="6"/>
  <c r="AD2" i="6"/>
  <c r="AB2" i="6"/>
  <c r="Z2" i="6"/>
  <c r="Z3" i="6"/>
  <c r="X2" i="6"/>
  <c r="V2" i="6"/>
  <c r="T2" i="6"/>
  <c r="T3" i="6"/>
  <c r="R2" i="6"/>
  <c r="L2" i="6"/>
  <c r="P2" i="6"/>
  <c r="N2" i="6"/>
  <c r="N3" i="6"/>
  <c r="H2" i="6"/>
  <c r="H3" i="6"/>
  <c r="J2" i="6"/>
  <c r="F2" i="6"/>
  <c r="D26" i="3"/>
  <c r="G26" i="3"/>
  <c r="B18" i="2"/>
  <c r="B17" i="2"/>
  <c r="C18" i="2"/>
  <c r="D31" i="3"/>
  <c r="E18" i="2"/>
  <c r="G31" i="3"/>
  <c r="D18" i="2"/>
  <c r="E31" i="3"/>
  <c r="K28" i="3"/>
  <c r="K29" i="3"/>
  <c r="D4" i="6"/>
  <c r="GS3" i="6" a="1"/>
  <c r="GS3" i="6" s="1"/>
  <c r="GG3" i="6" a="1"/>
  <c r="GG3" i="6" s="1"/>
  <c r="GA3" i="6"/>
  <c r="FU3" i="6" a="1"/>
  <c r="FU3" i="6" s="1"/>
  <c r="FO3" i="6" a="1"/>
  <c r="FO3" i="6" s="1"/>
  <c r="FL37" i="6" s="1"/>
  <c r="FM37" i="6" s="1"/>
  <c r="FI3" i="6"/>
  <c r="FF46" i="6" s="1"/>
  <c r="FG46" i="6" s="1"/>
  <c r="FH46" i="6" s="1"/>
  <c r="FI46" i="6" s="1"/>
  <c r="FJ46" i="6" s="1"/>
  <c r="FC3" i="6"/>
  <c r="EZ81" i="6" s="1"/>
  <c r="FA81" i="6" s="1"/>
  <c r="EE3" i="6"/>
  <c r="EK3" i="6"/>
  <c r="DY3" i="6"/>
  <c r="DS3" i="6"/>
  <c r="DM3" i="6"/>
  <c r="DG3" i="6"/>
  <c r="DD30" i="6" s="1"/>
  <c r="DE30" i="6" s="1"/>
  <c r="DF30" i="6" s="1"/>
  <c r="DG30" i="6" s="1"/>
  <c r="DH30" i="6" s="1"/>
  <c r="DA3" i="6"/>
  <c r="CX26" i="6" s="1"/>
  <c r="CY26" i="6" s="1"/>
  <c r="CI3" i="6"/>
  <c r="CF53" i="6" s="1"/>
  <c r="CG53" i="6" s="1"/>
  <c r="CC3" i="6"/>
  <c r="BW3" i="6"/>
  <c r="BE3" i="6"/>
  <c r="BK3" i="6"/>
  <c r="BQ3" i="6"/>
  <c r="BN70" i="6" s="1"/>
  <c r="BO70" i="6" s="1"/>
  <c r="AY3" i="6"/>
  <c r="AV54" i="6" s="1"/>
  <c r="AW54" i="6" s="1"/>
  <c r="AM3" i="6"/>
  <c r="AA3" i="6"/>
  <c r="AG3" i="6"/>
  <c r="U3" i="6"/>
  <c r="R81" i="6" s="1"/>
  <c r="S81" i="6" s="1"/>
  <c r="I3" i="6"/>
  <c r="O3" i="6"/>
  <c r="H31" i="3"/>
  <c r="D71" i="6"/>
  <c r="D73" i="6"/>
  <c r="D97" i="6"/>
  <c r="D49" i="6"/>
  <c r="GD49" i="6" s="1"/>
  <c r="GE49" i="6" s="1"/>
  <c r="D101" i="6"/>
  <c r="D41" i="6"/>
  <c r="D67" i="6"/>
  <c r="D84" i="6"/>
  <c r="D60" i="6"/>
  <c r="D83" i="6"/>
  <c r="EB83" i="6" s="1"/>
  <c r="EC83" i="6" s="1"/>
  <c r="D53" i="6"/>
  <c r="ET53" i="6" s="1"/>
  <c r="EU53" i="6" s="1"/>
  <c r="D61" i="6"/>
  <c r="D92" i="6"/>
  <c r="D68" i="6"/>
  <c r="D59" i="6"/>
  <c r="D81" i="6"/>
  <c r="D69" i="6"/>
  <c r="D89" i="6"/>
  <c r="D33" i="6"/>
  <c r="D93" i="6"/>
  <c r="D75" i="6"/>
  <c r="D99" i="6"/>
  <c r="D65" i="6"/>
  <c r="D51" i="6"/>
  <c r="D76" i="6"/>
  <c r="D107" i="6"/>
  <c r="D37" i="6"/>
  <c r="D35" i="6"/>
  <c r="D57" i="6"/>
  <c r="D102" i="6"/>
  <c r="D21" i="6"/>
  <c r="D105" i="6"/>
  <c r="AV105" i="6" s="1"/>
  <c r="AW105" i="6" s="1"/>
  <c r="D86" i="6"/>
  <c r="D100" i="6"/>
  <c r="D45" i="6"/>
  <c r="D29" i="6"/>
  <c r="D27" i="6"/>
  <c r="D36" i="6"/>
  <c r="D90" i="6"/>
  <c r="DV90" i="6" s="1"/>
  <c r="DW90" i="6" s="1"/>
  <c r="D108" i="6"/>
  <c r="D78" i="6"/>
  <c r="D13" i="6"/>
  <c r="D91" i="6"/>
  <c r="D77" i="6"/>
  <c r="D43" i="6"/>
  <c r="D25" i="6"/>
  <c r="D85" i="6"/>
  <c r="D98" i="6"/>
  <c r="D82" i="6"/>
  <c r="D58" i="6"/>
  <c r="D18" i="6"/>
  <c r="D62" i="6"/>
  <c r="D50" i="6"/>
  <c r="F31" i="3"/>
  <c r="I31" i="3"/>
  <c r="J31" i="3"/>
  <c r="D54" i="6"/>
  <c r="D106" i="6"/>
  <c r="D38" i="6"/>
  <c r="D52" i="6"/>
  <c r="D19" i="6"/>
  <c r="D42" i="6"/>
  <c r="D70" i="6"/>
  <c r="D74" i="6"/>
  <c r="D34" i="6"/>
  <c r="D94" i="6"/>
  <c r="CF94" i="6" s="1"/>
  <c r="CG94" i="6" s="1"/>
  <c r="CH94" i="6" s="1"/>
  <c r="CI94" i="6" s="1"/>
  <c r="CJ94" i="6" s="1"/>
  <c r="D20" i="6"/>
  <c r="D66" i="6"/>
  <c r="D22" i="6"/>
  <c r="D44" i="6"/>
  <c r="D46" i="6"/>
  <c r="GD46" i="6" s="1"/>
  <c r="GE46" i="6" s="1"/>
  <c r="DP46" i="6"/>
  <c r="DQ46" i="6" s="1"/>
  <c r="DD46" i="6"/>
  <c r="DE46" i="6" s="1"/>
  <c r="CX46" i="6"/>
  <c r="CY46" i="6" s="1"/>
  <c r="BB46" i="6"/>
  <c r="BC46" i="6" s="1"/>
  <c r="BN46" i="6"/>
  <c r="BO46" i="6" s="1"/>
  <c r="F46" i="6"/>
  <c r="G46" i="6" s="1"/>
  <c r="BZ90" i="6"/>
  <c r="CA90" i="6" s="1"/>
  <c r="AD68" i="6"/>
  <c r="AE68" i="6" s="1"/>
  <c r="FX30" i="6"/>
  <c r="FY30" i="6" s="1"/>
  <c r="DP30" i="6"/>
  <c r="DQ30" i="6" s="1"/>
  <c r="ET30" i="6"/>
  <c r="EU30" i="6" s="1"/>
  <c r="BB30" i="6"/>
  <c r="BC30" i="6" s="1"/>
  <c r="L30" i="6"/>
  <c r="M30" i="6" s="1"/>
  <c r="FX86" i="6"/>
  <c r="FY86" i="6" s="1"/>
  <c r="DP86" i="6"/>
  <c r="DQ86" i="6" s="1"/>
  <c r="CR86" i="6"/>
  <c r="CS86" i="6" s="1"/>
  <c r="X86" i="6"/>
  <c r="Y86" i="6" s="1"/>
  <c r="F92" i="6"/>
  <c r="G92" i="6" s="1"/>
  <c r="ET54" i="6"/>
  <c r="EU54" i="6" s="1"/>
  <c r="GD54" i="6"/>
  <c r="GE54" i="6" s="1"/>
  <c r="EZ54" i="6"/>
  <c r="FA54" i="6" s="1"/>
  <c r="BH54" i="6"/>
  <c r="BI54" i="6" s="1"/>
  <c r="F54" i="6"/>
  <c r="G54" i="6" s="1"/>
  <c r="L54" i="6"/>
  <c r="M54" i="6" s="1"/>
  <c r="AD105" i="6"/>
  <c r="AE105" i="6" s="1"/>
  <c r="DD105" i="6"/>
  <c r="DE105" i="6" s="1"/>
  <c r="BH105" i="6"/>
  <c r="BI105" i="6" s="1"/>
  <c r="GD105" i="6"/>
  <c r="GE105" i="6" s="1"/>
  <c r="F105" i="6"/>
  <c r="G105" i="6" s="1"/>
  <c r="L105" i="6"/>
  <c r="M105" i="6" s="1"/>
  <c r="ET91" i="6"/>
  <c r="EU91" i="6" s="1"/>
  <c r="FF91" i="6"/>
  <c r="FG91" i="6" s="1"/>
  <c r="DJ91" i="6"/>
  <c r="DK91" i="6" s="1"/>
  <c r="EZ91" i="6"/>
  <c r="FA91" i="6" s="1"/>
  <c r="CR91" i="6"/>
  <c r="CS91" i="6" s="1"/>
  <c r="BH91" i="6"/>
  <c r="BI91" i="6" s="1"/>
  <c r="L91" i="6"/>
  <c r="M91" i="6" s="1"/>
  <c r="AV91" i="6"/>
  <c r="AW91" i="6" s="1"/>
  <c r="BN91" i="6"/>
  <c r="BO91" i="6" s="1"/>
  <c r="GD53" i="6"/>
  <c r="GE53" i="6" s="1"/>
  <c r="DP53" i="6"/>
  <c r="DQ53" i="6" s="1"/>
  <c r="EZ53" i="6"/>
  <c r="FA53" i="6" s="1"/>
  <c r="EB53" i="6"/>
  <c r="EC53" i="6" s="1"/>
  <c r="DJ53" i="6"/>
  <c r="DK53" i="6" s="1"/>
  <c r="AD53" i="6"/>
  <c r="AE53" i="6" s="1"/>
  <c r="BH53" i="6"/>
  <c r="BI53" i="6" s="1"/>
  <c r="BN53" i="6"/>
  <c r="BO53" i="6" s="1"/>
  <c r="L53" i="6"/>
  <c r="M53" i="6" s="1"/>
  <c r="AV53" i="6"/>
  <c r="AW53" i="6" s="1"/>
  <c r="BZ53" i="6"/>
  <c r="CA53" i="6" s="1"/>
  <c r="EZ98" i="6"/>
  <c r="FA98" i="6" s="1"/>
  <c r="DP98" i="6"/>
  <c r="DQ98" i="6" s="1"/>
  <c r="ET98" i="6"/>
  <c r="EU98" i="6" s="1"/>
  <c r="EB98" i="6"/>
  <c r="EC98" i="6" s="1"/>
  <c r="CX98" i="6"/>
  <c r="CY98" i="6" s="1"/>
  <c r="DJ98" i="6"/>
  <c r="DK98" i="6" s="1"/>
  <c r="BH98" i="6"/>
  <c r="BI98" i="6" s="1"/>
  <c r="AJ98" i="6"/>
  <c r="AK98" i="6" s="1"/>
  <c r="CR98" i="6"/>
  <c r="CS98" i="6" s="1"/>
  <c r="R98" i="6"/>
  <c r="S98" i="6" s="1"/>
  <c r="BN98" i="6"/>
  <c r="BO98" i="6" s="1"/>
  <c r="AV98" i="6"/>
  <c r="AW98" i="6" s="1"/>
  <c r="FX13" i="6"/>
  <c r="FY13" i="6" s="1"/>
  <c r="EB13" i="6"/>
  <c r="EC13" i="6" s="1"/>
  <c r="DJ13" i="6"/>
  <c r="DK13" i="6" s="1"/>
  <c r="CR13" i="6"/>
  <c r="CS13" i="6" s="1"/>
  <c r="ET13" i="6"/>
  <c r="EU13" i="6" s="1"/>
  <c r="AD13" i="6"/>
  <c r="AE13" i="6" s="1"/>
  <c r="GD13" i="6"/>
  <c r="GE13" i="6" s="1"/>
  <c r="DP13" i="6"/>
  <c r="DQ13" i="6" s="1"/>
  <c r="EZ13" i="6"/>
  <c r="FA13" i="6" s="1"/>
  <c r="R13" i="6"/>
  <c r="S13" i="6" s="1"/>
  <c r="AJ13" i="6"/>
  <c r="AK13" i="6" s="1"/>
  <c r="X13" i="6"/>
  <c r="Y13" i="6" s="1"/>
  <c r="Z13" i="6" s="1"/>
  <c r="AA13" i="6" s="1"/>
  <c r="AB13" i="6" s="1"/>
  <c r="BT13" i="6"/>
  <c r="BU13" i="6" s="1"/>
  <c r="BV13" i="6" s="1"/>
  <c r="BW13" i="6" s="1"/>
  <c r="BX13" i="6" s="1"/>
  <c r="BB13" i="6"/>
  <c r="BC13" i="6" s="1"/>
  <c r="BZ13" i="6"/>
  <c r="CA13" i="6" s="1"/>
  <c r="L13" i="6"/>
  <c r="M13" i="6" s="1"/>
  <c r="AV13" i="6"/>
  <c r="AW13" i="6" s="1"/>
  <c r="GD55" i="6"/>
  <c r="GE55" i="6" s="1"/>
  <c r="ET55" i="6"/>
  <c r="EU55" i="6" s="1"/>
  <c r="AD55" i="6"/>
  <c r="AE55" i="6" s="1"/>
  <c r="CR55" i="6"/>
  <c r="CS55" i="6" s="1"/>
  <c r="FX55" i="6"/>
  <c r="FY55" i="6" s="1"/>
  <c r="BH55" i="6"/>
  <c r="BI55" i="6" s="1"/>
  <c r="F55" i="6"/>
  <c r="G55" i="6" s="1"/>
  <c r="BN55" i="6"/>
  <c r="BO55" i="6" s="1"/>
  <c r="FX37" i="6"/>
  <c r="FY37" i="6" s="1"/>
  <c r="GD37" i="6"/>
  <c r="GE37" i="6" s="1"/>
  <c r="EB37" i="6"/>
  <c r="EC37" i="6" s="1"/>
  <c r="DD37" i="6"/>
  <c r="DE37" i="6" s="1"/>
  <c r="AD37" i="6"/>
  <c r="AE37" i="6" s="1"/>
  <c r="CR37" i="6"/>
  <c r="CS37" i="6" s="1"/>
  <c r="BH37" i="6"/>
  <c r="BI37" i="6" s="1"/>
  <c r="BB37" i="6"/>
  <c r="BC37" i="6" s="1"/>
  <c r="BT37" i="6"/>
  <c r="BU37" i="6" s="1"/>
  <c r="BN37" i="6"/>
  <c r="BO37" i="6" s="1"/>
  <c r="F37" i="6"/>
  <c r="G37" i="6" s="1"/>
  <c r="R37" i="6"/>
  <c r="S37" i="6" s="1"/>
  <c r="AV37" i="6"/>
  <c r="AW37" i="6" s="1"/>
  <c r="EB69" i="6"/>
  <c r="EC69" i="6" s="1"/>
  <c r="CX69" i="6"/>
  <c r="CY69" i="6" s="1"/>
  <c r="DJ69" i="6"/>
  <c r="DK69" i="6" s="1"/>
  <c r="L69" i="6"/>
  <c r="M69" i="6" s="1"/>
  <c r="GD83" i="6"/>
  <c r="GE83" i="6" s="1"/>
  <c r="FF83" i="6"/>
  <c r="FG83" i="6" s="1"/>
  <c r="EZ83" i="6"/>
  <c r="FA83" i="6" s="1"/>
  <c r="FX83" i="6"/>
  <c r="FY83" i="6" s="1"/>
  <c r="ET83" i="6"/>
  <c r="EU83" i="6" s="1"/>
  <c r="DP83" i="6"/>
  <c r="DQ83" i="6" s="1"/>
  <c r="CR83" i="6"/>
  <c r="CS83" i="6" s="1"/>
  <c r="AD83" i="6"/>
  <c r="AE83" i="6" s="1"/>
  <c r="BB83" i="6"/>
  <c r="BC83" i="6" s="1"/>
  <c r="BH83" i="6"/>
  <c r="BI83" i="6" s="1"/>
  <c r="BT83" i="6"/>
  <c r="BU83" i="6" s="1"/>
  <c r="BN83" i="6"/>
  <c r="BO83" i="6" s="1"/>
  <c r="X83" i="6"/>
  <c r="Y83" i="6" s="1"/>
  <c r="L83" i="6"/>
  <c r="M83" i="6" s="1"/>
  <c r="DD83" i="6"/>
  <c r="DE83" i="6" s="1"/>
  <c r="AV83" i="6"/>
  <c r="AW83" i="6" s="1"/>
  <c r="ET74" i="6"/>
  <c r="EU74" i="6" s="1"/>
  <c r="EZ74" i="6"/>
  <c r="FA74" i="6" s="1"/>
  <c r="GD74" i="6"/>
  <c r="GE74" i="6" s="1"/>
  <c r="DJ74" i="6"/>
  <c r="DK74" i="6" s="1"/>
  <c r="EB74" i="6"/>
  <c r="EC74" i="6" s="1"/>
  <c r="CF74" i="6"/>
  <c r="CG74" i="6" s="1"/>
  <c r="DV74" i="6"/>
  <c r="DW74" i="6" s="1"/>
  <c r="DD74" i="6"/>
  <c r="DE74" i="6" s="1"/>
  <c r="DP74" i="6"/>
  <c r="DQ74" i="6" s="1"/>
  <c r="BB74" i="6"/>
  <c r="BC74" i="6" s="1"/>
  <c r="BH74" i="6"/>
  <c r="BI74" i="6" s="1"/>
  <c r="R74" i="6"/>
  <c r="S74" i="6" s="1"/>
  <c r="BT74" i="6"/>
  <c r="BU74" i="6" s="1"/>
  <c r="X74" i="6"/>
  <c r="Y74" i="6" s="1"/>
  <c r="BZ74" i="6"/>
  <c r="CA74" i="6" s="1"/>
  <c r="FX93" i="6"/>
  <c r="FY93" i="6" s="1"/>
  <c r="ET93" i="6"/>
  <c r="EU93" i="6" s="1"/>
  <c r="GD93" i="6"/>
  <c r="GE93" i="6" s="1"/>
  <c r="DJ93" i="6"/>
  <c r="DK93" i="6" s="1"/>
  <c r="DV93" i="6"/>
  <c r="DW93" i="6" s="1"/>
  <c r="CX93" i="6"/>
  <c r="CY93" i="6" s="1"/>
  <c r="CR93" i="6"/>
  <c r="CS93" i="6" s="1"/>
  <c r="R93" i="6"/>
  <c r="S93" i="6" s="1"/>
  <c r="BB93" i="6"/>
  <c r="BC93" i="6" s="1"/>
  <c r="F93" i="6"/>
  <c r="G93" i="6" s="1"/>
  <c r="BT93" i="6"/>
  <c r="BU93" i="6" s="1"/>
  <c r="BZ93" i="6"/>
  <c r="CA93" i="6" s="1"/>
  <c r="L93" i="6"/>
  <c r="M93" i="6" s="1"/>
  <c r="FX70" i="6"/>
  <c r="FY70" i="6" s="1"/>
  <c r="DD70" i="6"/>
  <c r="DE70" i="6" s="1"/>
  <c r="EZ70" i="6"/>
  <c r="FA70" i="6" s="1"/>
  <c r="GD70" i="6"/>
  <c r="GE70" i="6" s="1"/>
  <c r="DV70" i="6"/>
  <c r="DW70" i="6" s="1"/>
  <c r="CR70" i="6"/>
  <c r="CS70" i="6" s="1"/>
  <c r="CX70" i="6"/>
  <c r="CY70" i="6" s="1"/>
  <c r="BB70" i="6"/>
  <c r="BC70" i="6" s="1"/>
  <c r="AJ70" i="6"/>
  <c r="AK70" i="6" s="1"/>
  <c r="X70" i="6"/>
  <c r="Y70" i="6" s="1"/>
  <c r="L70" i="6"/>
  <c r="M70" i="6" s="1"/>
  <c r="BH70" i="6"/>
  <c r="BI70" i="6" s="1"/>
  <c r="F70" i="6"/>
  <c r="G70" i="6" s="1"/>
  <c r="FX36" i="6"/>
  <c r="FY36" i="6" s="1"/>
  <c r="EB36" i="6"/>
  <c r="EC36" i="6" s="1"/>
  <c r="CR36" i="6"/>
  <c r="CS36" i="6" s="1"/>
  <c r="DP36" i="6"/>
  <c r="DQ36" i="6" s="1"/>
  <c r="EZ36" i="6"/>
  <c r="FA36" i="6" s="1"/>
  <c r="DJ36" i="6"/>
  <c r="DK36" i="6" s="1"/>
  <c r="AD36" i="6"/>
  <c r="AE36" i="6" s="1"/>
  <c r="DD36" i="6"/>
  <c r="DE36" i="6" s="1"/>
  <c r="BH36" i="6"/>
  <c r="BI36" i="6" s="1"/>
  <c r="R36" i="6"/>
  <c r="S36" i="6" s="1"/>
  <c r="AP36" i="6"/>
  <c r="AQ36" i="6" s="1"/>
  <c r="F36" i="6"/>
  <c r="G36" i="6" s="1"/>
  <c r="L36" i="6"/>
  <c r="M36" i="6" s="1"/>
  <c r="BT36" i="6"/>
  <c r="BU36" i="6" s="1"/>
  <c r="BN36" i="6"/>
  <c r="BO36" i="6" s="1"/>
  <c r="AV36" i="6"/>
  <c r="AW36" i="6" s="1"/>
  <c r="BZ36" i="6"/>
  <c r="CA36" i="6" s="1"/>
  <c r="FF33" i="6"/>
  <c r="FG33" i="6" s="1"/>
  <c r="CF33" i="6"/>
  <c r="CG33" i="6" s="1"/>
  <c r="BN33" i="6"/>
  <c r="BO33" i="6" s="1"/>
  <c r="FX44" i="6"/>
  <c r="FY44" i="6" s="1"/>
  <c r="ET44" i="6"/>
  <c r="EU44" i="6" s="1"/>
  <c r="GJ44" i="6"/>
  <c r="GK44" i="6" s="1"/>
  <c r="DD44" i="6"/>
  <c r="DE44" i="6" s="1"/>
  <c r="EB44" i="6"/>
  <c r="EC44" i="6" s="1"/>
  <c r="DV44" i="6"/>
  <c r="DW44" i="6" s="1"/>
  <c r="CX44" i="6"/>
  <c r="CY44" i="6" s="1"/>
  <c r="DJ44" i="6"/>
  <c r="DK44" i="6" s="1"/>
  <c r="GD44" i="6"/>
  <c r="GE44" i="6" s="1"/>
  <c r="AD44" i="6"/>
  <c r="AE44" i="6" s="1"/>
  <c r="BB44" i="6"/>
  <c r="BC44" i="6" s="1"/>
  <c r="R44" i="6"/>
  <c r="S44" i="6" s="1"/>
  <c r="DP44" i="6"/>
  <c r="DQ44" i="6" s="1"/>
  <c r="BT44" i="6"/>
  <c r="BU44" i="6" s="1"/>
  <c r="F44" i="6"/>
  <c r="G44" i="6" s="1"/>
  <c r="X44" i="6"/>
  <c r="Y44" i="6" s="1"/>
  <c r="AV44" i="6"/>
  <c r="AW44" i="6" s="1"/>
  <c r="L44" i="6"/>
  <c r="M44" i="6" s="1"/>
  <c r="BZ44" i="6"/>
  <c r="CA44" i="6" s="1"/>
  <c r="FX45" i="6"/>
  <c r="FY45" i="6" s="1"/>
  <c r="ET45" i="6"/>
  <c r="EU45" i="6" s="1"/>
  <c r="GD45" i="6"/>
  <c r="GE45" i="6" s="1"/>
  <c r="EZ45" i="6"/>
  <c r="FA45" i="6" s="1"/>
  <c r="DV45" i="6"/>
  <c r="DW45" i="6" s="1"/>
  <c r="DJ45" i="6"/>
  <c r="DK45" i="6" s="1"/>
  <c r="CR45" i="6"/>
  <c r="CS45" i="6" s="1"/>
  <c r="AD45" i="6"/>
  <c r="AE45" i="6" s="1"/>
  <c r="CX45" i="6"/>
  <c r="CY45" i="6" s="1"/>
  <c r="DD45" i="6"/>
  <c r="DE45" i="6" s="1"/>
  <c r="BH45" i="6"/>
  <c r="BI45" i="6" s="1"/>
  <c r="R45" i="6"/>
  <c r="S45" i="6" s="1"/>
  <c r="X45" i="6"/>
  <c r="Y45" i="6" s="1"/>
  <c r="F45" i="6"/>
  <c r="G45" i="6" s="1"/>
  <c r="L45" i="6"/>
  <c r="M45" i="6" s="1"/>
  <c r="BZ45" i="6"/>
  <c r="CA45" i="6" s="1"/>
  <c r="AV45" i="6"/>
  <c r="AW45" i="6" s="1"/>
  <c r="FX99" i="6"/>
  <c r="FY99" i="6" s="1"/>
  <c r="EZ99" i="6"/>
  <c r="FA99" i="6" s="1"/>
  <c r="FF99" i="6"/>
  <c r="FG99" i="6" s="1"/>
  <c r="CX99" i="6"/>
  <c r="CY99" i="6" s="1"/>
  <c r="DJ99" i="6"/>
  <c r="DK99" i="6" s="1"/>
  <c r="ET99" i="6"/>
  <c r="EU99" i="6" s="1"/>
  <c r="BB99" i="6"/>
  <c r="BC99" i="6" s="1"/>
  <c r="DV99" i="6"/>
  <c r="DW99" i="6" s="1"/>
  <c r="DP99" i="6"/>
  <c r="DQ99" i="6" s="1"/>
  <c r="EB99" i="6"/>
  <c r="EC99" i="6" s="1"/>
  <c r="BH99" i="6"/>
  <c r="BI99" i="6" s="1"/>
  <c r="X99" i="6"/>
  <c r="Y99" i="6" s="1"/>
  <c r="BN99" i="6"/>
  <c r="BO99" i="6" s="1"/>
  <c r="BT99" i="6"/>
  <c r="BU99" i="6" s="1"/>
  <c r="F99" i="6"/>
  <c r="G99" i="6" s="1"/>
  <c r="L99" i="6"/>
  <c r="M99" i="6" s="1"/>
  <c r="BZ99" i="6"/>
  <c r="CA99" i="6" s="1"/>
  <c r="GD20" i="6"/>
  <c r="GE20" i="6" s="1"/>
  <c r="FX20" i="6"/>
  <c r="FY20" i="6" s="1"/>
  <c r="FF20" i="6"/>
  <c r="FG20" i="6" s="1"/>
  <c r="EB20" i="6"/>
  <c r="EC20" i="6" s="1"/>
  <c r="DV20" i="6"/>
  <c r="DW20" i="6" s="1"/>
  <c r="CR20" i="6"/>
  <c r="CS20" i="6" s="1"/>
  <c r="DJ20" i="6"/>
  <c r="DK20" i="6" s="1"/>
  <c r="DP20" i="6"/>
  <c r="DQ20" i="6" s="1"/>
  <c r="EZ20" i="6"/>
  <c r="FA20" i="6" s="1"/>
  <c r="AD20" i="6"/>
  <c r="AE20" i="6" s="1"/>
  <c r="R20" i="6"/>
  <c r="S20" i="6" s="1"/>
  <c r="BH20" i="6"/>
  <c r="BI20" i="6" s="1"/>
  <c r="BN20" i="6"/>
  <c r="BO20" i="6" s="1"/>
  <c r="X20" i="6"/>
  <c r="Y20" i="6" s="1"/>
  <c r="L20" i="6"/>
  <c r="M20" i="6" s="1"/>
  <c r="BT20" i="6"/>
  <c r="BU20" i="6" s="1"/>
  <c r="AV20" i="6"/>
  <c r="AW20" i="6" s="1"/>
  <c r="BZ20" i="6"/>
  <c r="CA20" i="6" s="1"/>
  <c r="FF19" i="6"/>
  <c r="FG19" i="6" s="1"/>
  <c r="ET19" i="6"/>
  <c r="EU19" i="6" s="1"/>
  <c r="DP19" i="6"/>
  <c r="DQ19" i="6" s="1"/>
  <c r="EB19" i="6"/>
  <c r="EC19" i="6" s="1"/>
  <c r="DD19" i="6"/>
  <c r="DE19" i="6" s="1"/>
  <c r="AD19" i="6"/>
  <c r="AE19" i="6" s="1"/>
  <c r="CX19" i="6"/>
  <c r="CY19" i="6" s="1"/>
  <c r="EZ19" i="6"/>
  <c r="FA19" i="6" s="1"/>
  <c r="DJ19" i="6"/>
  <c r="DK19" i="6" s="1"/>
  <c r="R19" i="6"/>
  <c r="S19" i="6" s="1"/>
  <c r="CR19" i="6"/>
  <c r="CS19" i="6" s="1"/>
  <c r="BH19" i="6"/>
  <c r="BI19" i="6" s="1"/>
  <c r="BB19" i="6"/>
  <c r="BC19" i="6" s="1"/>
  <c r="BN19" i="6"/>
  <c r="BO19" i="6" s="1"/>
  <c r="L19" i="6"/>
  <c r="M19" i="6" s="1"/>
  <c r="F19" i="6"/>
  <c r="G19" i="6" s="1"/>
  <c r="AV19" i="6"/>
  <c r="AW19" i="6" s="1"/>
  <c r="BZ19" i="6"/>
  <c r="CA19" i="6" s="1"/>
  <c r="DD94" i="6"/>
  <c r="DE94" i="6" s="1"/>
  <c r="ET52" i="6"/>
  <c r="EU52" i="6" s="1"/>
  <c r="DV52" i="6"/>
  <c r="DW52" i="6" s="1"/>
  <c r="EZ52" i="6"/>
  <c r="FA52" i="6" s="1"/>
  <c r="DJ52" i="6"/>
  <c r="DK52" i="6" s="1"/>
  <c r="EB52" i="6"/>
  <c r="EC52" i="6" s="1"/>
  <c r="CX52" i="6"/>
  <c r="CY52" i="6" s="1"/>
  <c r="GD52" i="6"/>
  <c r="GE52" i="6" s="1"/>
  <c r="AD52" i="6"/>
  <c r="AE52" i="6" s="1"/>
  <c r="FX52" i="6"/>
  <c r="FY52" i="6" s="1"/>
  <c r="FF52" i="6"/>
  <c r="FG52" i="6" s="1"/>
  <c r="R52" i="6"/>
  <c r="S52" i="6" s="1"/>
  <c r="BB52" i="6"/>
  <c r="BC52" i="6" s="1"/>
  <c r="BT52" i="6"/>
  <c r="BU52" i="6" s="1"/>
  <c r="X52" i="6"/>
  <c r="Y52" i="6" s="1"/>
  <c r="BN52" i="6"/>
  <c r="BO52" i="6" s="1"/>
  <c r="F52" i="6"/>
  <c r="G52" i="6" s="1"/>
  <c r="L52" i="6"/>
  <c r="M52" i="6" s="1"/>
  <c r="FX26" i="6"/>
  <c r="FY26" i="6" s="1"/>
  <c r="GD26" i="6"/>
  <c r="GE26" i="6" s="1"/>
  <c r="DP26" i="6"/>
  <c r="DQ26" i="6" s="1"/>
  <c r="ET26" i="6"/>
  <c r="EU26" i="6" s="1"/>
  <c r="EZ26" i="6"/>
  <c r="FA26" i="6" s="1"/>
  <c r="DJ26" i="6"/>
  <c r="DK26" i="6" s="1"/>
  <c r="EB26" i="6"/>
  <c r="EC26" i="6" s="1"/>
  <c r="AD26" i="6"/>
  <c r="AE26" i="6" s="1"/>
  <c r="BH26" i="6"/>
  <c r="BI26" i="6" s="1"/>
  <c r="R26" i="6"/>
  <c r="S26" i="6" s="1"/>
  <c r="CR26" i="6"/>
  <c r="CS26" i="6" s="1"/>
  <c r="BB26" i="6"/>
  <c r="BC26" i="6" s="1"/>
  <c r="BN26" i="6"/>
  <c r="BO26" i="6" s="1"/>
  <c r="BT26" i="6"/>
  <c r="BU26" i="6" s="1"/>
  <c r="X26" i="6"/>
  <c r="Y26" i="6" s="1"/>
  <c r="AV26" i="6"/>
  <c r="AW26" i="6" s="1"/>
  <c r="BZ26" i="6"/>
  <c r="CA26" i="6" s="1"/>
  <c r="FX78" i="6"/>
  <c r="FY78" i="6" s="1"/>
  <c r="GD78" i="6"/>
  <c r="GE78" i="6" s="1"/>
  <c r="DV78" i="6"/>
  <c r="DW78" i="6" s="1"/>
  <c r="DJ78" i="6"/>
  <c r="DK78" i="6" s="1"/>
  <c r="CR78" i="6"/>
  <c r="CS78" i="6" s="1"/>
  <c r="EZ78" i="6"/>
  <c r="FA78" i="6" s="1"/>
  <c r="AD78" i="6"/>
  <c r="AE78" i="6" s="1"/>
  <c r="DD78" i="6"/>
  <c r="DE78" i="6" s="1"/>
  <c r="CX78" i="6"/>
  <c r="CY78" i="6" s="1"/>
  <c r="BB78" i="6"/>
  <c r="BC78" i="6" s="1"/>
  <c r="R78" i="6"/>
  <c r="S78" i="6" s="1"/>
  <c r="BN78" i="6"/>
  <c r="BO78" i="6" s="1"/>
  <c r="F78" i="6"/>
  <c r="G78" i="6" s="1"/>
  <c r="ET78" i="6"/>
  <c r="EU78" i="6" s="1"/>
  <c r="AJ78" i="6"/>
  <c r="AK78" i="6" s="1"/>
  <c r="BT78" i="6"/>
  <c r="BU78" i="6" s="1"/>
  <c r="L78" i="6"/>
  <c r="M78" i="6" s="1"/>
  <c r="BZ78" i="6"/>
  <c r="CA78" i="6" s="1"/>
  <c r="EZ100" i="6"/>
  <c r="FA100" i="6" s="1"/>
  <c r="FF100" i="6"/>
  <c r="FG100" i="6" s="1"/>
  <c r="EB100" i="6"/>
  <c r="EC100" i="6" s="1"/>
  <c r="ET100" i="6"/>
  <c r="EU100" i="6" s="1"/>
  <c r="FX100" i="6"/>
  <c r="FY100" i="6" s="1"/>
  <c r="DV100" i="6"/>
  <c r="DW100" i="6" s="1"/>
  <c r="DD100" i="6"/>
  <c r="DE100" i="6" s="1"/>
  <c r="DP100" i="6"/>
  <c r="DQ100" i="6" s="1"/>
  <c r="CR100" i="6"/>
  <c r="CS100" i="6" s="1"/>
  <c r="AD100" i="6"/>
  <c r="AE100" i="6" s="1"/>
  <c r="CX100" i="6"/>
  <c r="CY100" i="6" s="1"/>
  <c r="R100" i="6"/>
  <c r="S100" i="6" s="1"/>
  <c r="BB100" i="6"/>
  <c r="BC100" i="6" s="1"/>
  <c r="BH100" i="6"/>
  <c r="BI100" i="6" s="1"/>
  <c r="AJ100" i="6"/>
  <c r="AK100" i="6" s="1"/>
  <c r="X100" i="6"/>
  <c r="Y100" i="6" s="1"/>
  <c r="BN100" i="6"/>
  <c r="BO100" i="6" s="1"/>
  <c r="F100" i="6"/>
  <c r="G100" i="6" s="1"/>
  <c r="BT100" i="6"/>
  <c r="BU100" i="6" s="1"/>
  <c r="L100" i="6"/>
  <c r="M100" i="6" s="1"/>
  <c r="BZ100" i="6"/>
  <c r="CA100" i="6" s="1"/>
  <c r="AV100" i="6"/>
  <c r="AW100" i="6" s="1"/>
  <c r="FF75" i="6"/>
  <c r="FG75" i="6" s="1"/>
  <c r="GD75" i="6"/>
  <c r="GE75" i="6" s="1"/>
  <c r="EB75" i="6"/>
  <c r="EC75" i="6" s="1"/>
  <c r="EZ75" i="6"/>
  <c r="FA75" i="6" s="1"/>
  <c r="CX75" i="6"/>
  <c r="CY75" i="6" s="1"/>
  <c r="AD75" i="6"/>
  <c r="AE75" i="6" s="1"/>
  <c r="BB75" i="6"/>
  <c r="BC75" i="6" s="1"/>
  <c r="DD75" i="6"/>
  <c r="DE75" i="6" s="1"/>
  <c r="BT75" i="6"/>
  <c r="BU75" i="6" s="1"/>
  <c r="CR75" i="6"/>
  <c r="CS75" i="6" s="1"/>
  <c r="BH75" i="6"/>
  <c r="BI75" i="6" s="1"/>
  <c r="R75" i="6"/>
  <c r="S75" i="6" s="1"/>
  <c r="AJ75" i="6"/>
  <c r="AK75" i="6" s="1"/>
  <c r="DV75" i="6"/>
  <c r="DW75" i="6" s="1"/>
  <c r="F75" i="6"/>
  <c r="G75" i="6" s="1"/>
  <c r="BN75" i="6"/>
  <c r="BO75" i="6" s="1"/>
  <c r="AV75" i="6"/>
  <c r="AW75" i="6" s="1"/>
  <c r="BZ75" i="6"/>
  <c r="CA75" i="6" s="1"/>
  <c r="GJ81" i="6"/>
  <c r="GK81" i="6" s="1"/>
  <c r="GD81" i="6"/>
  <c r="GE81" i="6" s="1"/>
  <c r="DV81" i="6"/>
  <c r="DW81" i="6" s="1"/>
  <c r="DD81" i="6"/>
  <c r="DE81" i="6" s="1"/>
  <c r="FF81" i="6"/>
  <c r="FG81" i="6" s="1"/>
  <c r="ET81" i="6"/>
  <c r="EU81" i="6" s="1"/>
  <c r="CR81" i="6"/>
  <c r="CS81" i="6" s="1"/>
  <c r="CX81" i="6"/>
  <c r="CY81" i="6" s="1"/>
  <c r="DJ81" i="6"/>
  <c r="DK81" i="6" s="1"/>
  <c r="CL81" i="6"/>
  <c r="CM81" i="6" s="1"/>
  <c r="FX81" i="6"/>
  <c r="FY81" i="6" s="1"/>
  <c r="EH81" i="6"/>
  <c r="EI81" i="6" s="1"/>
  <c r="DP81" i="6"/>
  <c r="DQ81" i="6" s="1"/>
  <c r="AD81" i="6"/>
  <c r="AE81" i="6" s="1"/>
  <c r="BN81" i="6"/>
  <c r="BO81" i="6" s="1"/>
  <c r="F81" i="6"/>
  <c r="G81" i="6" s="1"/>
  <c r="X81" i="6"/>
  <c r="Y81" i="6" s="1"/>
  <c r="BH81" i="6"/>
  <c r="BI81" i="6" s="1"/>
  <c r="BB81" i="6"/>
  <c r="BC81" i="6" s="1"/>
  <c r="BT81" i="6"/>
  <c r="BU81" i="6" s="1"/>
  <c r="L81" i="6"/>
  <c r="M81" i="6" s="1"/>
  <c r="AJ81" i="6"/>
  <c r="AK81" i="6" s="1"/>
  <c r="AV81" i="6"/>
  <c r="AW81" i="6" s="1"/>
  <c r="BZ81" i="6"/>
  <c r="CA81" i="6" s="1"/>
  <c r="FX60" i="6"/>
  <c r="FY60" i="6" s="1"/>
  <c r="EZ60" i="6"/>
  <c r="FA60" i="6" s="1"/>
  <c r="FF60" i="6"/>
  <c r="FG60" i="6" s="1"/>
  <c r="DV60" i="6"/>
  <c r="DW60" i="6" s="1"/>
  <c r="GD60" i="6"/>
  <c r="GE60" i="6" s="1"/>
  <c r="DP60" i="6"/>
  <c r="DQ60" i="6" s="1"/>
  <c r="BB60" i="6"/>
  <c r="BC60" i="6" s="1"/>
  <c r="DJ60" i="6"/>
  <c r="DK60" i="6" s="1"/>
  <c r="ET60" i="6"/>
  <c r="EU60" i="6" s="1"/>
  <c r="CX60" i="6"/>
  <c r="CY60" i="6" s="1"/>
  <c r="CF60" i="6"/>
  <c r="CG60" i="6" s="1"/>
  <c r="AD60" i="6"/>
  <c r="AE60" i="6" s="1"/>
  <c r="EH60" i="6"/>
  <c r="EI60" i="6" s="1"/>
  <c r="DD60" i="6"/>
  <c r="DE60" i="6" s="1"/>
  <c r="CR60" i="6"/>
  <c r="CS60" i="6" s="1"/>
  <c r="AJ60" i="6"/>
  <c r="AK60" i="6" s="1"/>
  <c r="F60" i="6"/>
  <c r="G60" i="6" s="1"/>
  <c r="AP60" i="6"/>
  <c r="AQ60" i="6" s="1"/>
  <c r="R60" i="6"/>
  <c r="S60" i="6" s="1"/>
  <c r="BT60" i="6"/>
  <c r="BU60" i="6" s="1"/>
  <c r="BN60" i="6"/>
  <c r="BO60" i="6" s="1"/>
  <c r="AV60" i="6"/>
  <c r="AW60" i="6" s="1"/>
  <c r="X60" i="6"/>
  <c r="Y60" i="6" s="1"/>
  <c r="BZ60" i="6"/>
  <c r="CA60" i="6" s="1"/>
  <c r="GJ49" i="6"/>
  <c r="GK49" i="6" s="1"/>
  <c r="FF49" i="6"/>
  <c r="FG49" i="6" s="1"/>
  <c r="EZ49" i="6"/>
  <c r="FA49" i="6" s="1"/>
  <c r="FX49" i="6"/>
  <c r="FY49" i="6" s="1"/>
  <c r="DJ49" i="6"/>
  <c r="DK49" i="6" s="1"/>
  <c r="FL49" i="6"/>
  <c r="FM49" i="6" s="1"/>
  <c r="EN49" i="6"/>
  <c r="EO49" i="6" s="1"/>
  <c r="DD49" i="6"/>
  <c r="DE49" i="6" s="1"/>
  <c r="EB49" i="6"/>
  <c r="EC49" i="6" s="1"/>
  <c r="ET49" i="6"/>
  <c r="EU49" i="6" s="1"/>
  <c r="DV49" i="6"/>
  <c r="DW49" i="6" s="1"/>
  <c r="DP49" i="6"/>
  <c r="DQ49" i="6" s="1"/>
  <c r="CR49" i="6"/>
  <c r="CS49" i="6" s="1"/>
  <c r="CX49" i="6"/>
  <c r="CY49" i="6" s="1"/>
  <c r="CF49" i="6"/>
  <c r="CG49" i="6" s="1"/>
  <c r="R49" i="6"/>
  <c r="S49" i="6" s="1"/>
  <c r="BH49" i="6"/>
  <c r="BI49" i="6" s="1"/>
  <c r="BB49" i="6"/>
  <c r="BC49" i="6" s="1"/>
  <c r="BN49" i="6"/>
  <c r="BO49" i="6" s="1"/>
  <c r="F49" i="6"/>
  <c r="G49" i="6" s="1"/>
  <c r="X49" i="6"/>
  <c r="Y49" i="6" s="1"/>
  <c r="AV49" i="6"/>
  <c r="AW49" i="6" s="1"/>
  <c r="BZ49" i="6"/>
  <c r="CA49" i="6" s="1"/>
  <c r="L49" i="6"/>
  <c r="M49" i="6" s="1"/>
  <c r="FX85" i="6"/>
  <c r="FY85" i="6" s="1"/>
  <c r="GJ85" i="6"/>
  <c r="GK85" i="6" s="1"/>
  <c r="EZ85" i="6"/>
  <c r="FA85" i="6" s="1"/>
  <c r="DD85" i="6"/>
  <c r="DE85" i="6" s="1"/>
  <c r="ET85" i="6"/>
  <c r="EU85" i="6" s="1"/>
  <c r="EB85" i="6"/>
  <c r="EC85" i="6" s="1"/>
  <c r="FF85" i="6"/>
  <c r="FG85" i="6" s="1"/>
  <c r="DP85" i="6"/>
  <c r="DQ85" i="6" s="1"/>
  <c r="AD85" i="6"/>
  <c r="AE85" i="6" s="1"/>
  <c r="EN85" i="6"/>
  <c r="EO85" i="6" s="1"/>
  <c r="CL85" i="6"/>
  <c r="CM85" i="6" s="1"/>
  <c r="CX85" i="6"/>
  <c r="CY85" i="6" s="1"/>
  <c r="L85" i="6"/>
  <c r="M85" i="6" s="1"/>
  <c r="AJ85" i="6"/>
  <c r="AK85" i="6" s="1"/>
  <c r="X85" i="6"/>
  <c r="Y85" i="6" s="1"/>
  <c r="BT85" i="6"/>
  <c r="BU85" i="6" s="1"/>
  <c r="FX76" i="6"/>
  <c r="FY76" i="6" s="1"/>
  <c r="EZ76" i="6"/>
  <c r="FA76" i="6" s="1"/>
  <c r="EH76" i="6"/>
  <c r="EI76" i="6" s="1"/>
  <c r="GJ76" i="6"/>
  <c r="GK76" i="6" s="1"/>
  <c r="FF76" i="6"/>
  <c r="FG76" i="6" s="1"/>
  <c r="DP76" i="6"/>
  <c r="DQ76" i="6" s="1"/>
  <c r="GD76" i="6"/>
  <c r="GE76" i="6" s="1"/>
  <c r="EB76" i="6"/>
  <c r="EC76" i="6" s="1"/>
  <c r="CX76" i="6"/>
  <c r="CY76" i="6" s="1"/>
  <c r="DJ76" i="6"/>
  <c r="DK76" i="6" s="1"/>
  <c r="CF76" i="6"/>
  <c r="CG76" i="6" s="1"/>
  <c r="DD76" i="6"/>
  <c r="DE76" i="6" s="1"/>
  <c r="AD76" i="6"/>
  <c r="AE76" i="6" s="1"/>
  <c r="BB76" i="6"/>
  <c r="BC76" i="6" s="1"/>
  <c r="DV76" i="6"/>
  <c r="DW76" i="6" s="1"/>
  <c r="CL76" i="6"/>
  <c r="CM76" i="6" s="1"/>
  <c r="AP76" i="6"/>
  <c r="AQ76" i="6" s="1"/>
  <c r="BH76" i="6"/>
  <c r="BI76" i="6" s="1"/>
  <c r="R76" i="6"/>
  <c r="S76" i="6" s="1"/>
  <c r="X76" i="6"/>
  <c r="Y76" i="6" s="1"/>
  <c r="CR76" i="6"/>
  <c r="CS76" i="6" s="1"/>
  <c r="ET76" i="6"/>
  <c r="EU76" i="6" s="1"/>
  <c r="F76" i="6"/>
  <c r="G76" i="6" s="1"/>
  <c r="BT76" i="6"/>
  <c r="BU76" i="6" s="1"/>
  <c r="BN76" i="6"/>
  <c r="BO76" i="6" s="1"/>
  <c r="AJ76" i="6"/>
  <c r="AK76" i="6" s="1"/>
  <c r="L76" i="6"/>
  <c r="M76" i="6" s="1"/>
  <c r="BZ76" i="6"/>
  <c r="CA76" i="6" s="1"/>
  <c r="AV76" i="6"/>
  <c r="AW76" i="6" s="1"/>
  <c r="FX11" i="6"/>
  <c r="FY11" i="6" s="1"/>
  <c r="EN11" i="6"/>
  <c r="EO11" i="6" s="1"/>
  <c r="EB11" i="6"/>
  <c r="EC11" i="6" s="1"/>
  <c r="EZ11" i="6"/>
  <c r="FA11" i="6" s="1"/>
  <c r="FB11" i="6" s="1"/>
  <c r="FC11" i="6" s="1"/>
  <c r="FD11" i="6" s="1"/>
  <c r="DD11" i="6"/>
  <c r="DE11" i="6" s="1"/>
  <c r="DF11" i="6" s="1"/>
  <c r="DG11" i="6" s="1"/>
  <c r="DH11" i="6" s="1"/>
  <c r="FF11" i="6"/>
  <c r="FG11" i="6" s="1"/>
  <c r="ET11" i="6"/>
  <c r="EU11" i="6" s="1"/>
  <c r="DV11" i="6"/>
  <c r="DW11" i="6" s="1"/>
  <c r="EH11" i="6"/>
  <c r="EI11" i="6" s="1"/>
  <c r="EJ11" i="6" s="1"/>
  <c r="EK11" i="6" s="1"/>
  <c r="EL11" i="6" s="1"/>
  <c r="GD11" i="6"/>
  <c r="GE11" i="6" s="1"/>
  <c r="DP11" i="6"/>
  <c r="DQ11" i="6" s="1"/>
  <c r="CR11" i="6"/>
  <c r="CS11" i="6" s="1"/>
  <c r="CL11" i="6"/>
  <c r="CM11" i="6" s="1"/>
  <c r="CN11" i="6" s="1"/>
  <c r="CO11" i="6" s="1"/>
  <c r="CP11" i="6" s="1"/>
  <c r="CX11" i="6"/>
  <c r="CY11" i="6" s="1"/>
  <c r="DJ11" i="6"/>
  <c r="DK11" i="6" s="1"/>
  <c r="BB11" i="6"/>
  <c r="BC11" i="6" s="1"/>
  <c r="AD11" i="6"/>
  <c r="AE11" i="6" s="1"/>
  <c r="AP11" i="6"/>
  <c r="AQ11" i="6" s="1"/>
  <c r="R11" i="6"/>
  <c r="S11" i="6" s="1"/>
  <c r="BH11" i="6"/>
  <c r="BI11" i="6" s="1"/>
  <c r="BJ11" i="6" s="1"/>
  <c r="BK11" i="6" s="1"/>
  <c r="BL11" i="6" s="1"/>
  <c r="BT11" i="6"/>
  <c r="BU11" i="6" s="1"/>
  <c r="F11" i="6"/>
  <c r="G11" i="6" s="1"/>
  <c r="AJ11" i="6"/>
  <c r="AK11" i="6" s="1"/>
  <c r="X11" i="6"/>
  <c r="Y11" i="6" s="1"/>
  <c r="BN11" i="6"/>
  <c r="BO11" i="6" s="1"/>
  <c r="L11" i="6"/>
  <c r="M11" i="6" s="1"/>
  <c r="N11" i="6" s="1"/>
  <c r="O11" i="6" s="1"/>
  <c r="P11" i="6" s="1"/>
  <c r="BZ11" i="6"/>
  <c r="CA11" i="6" s="1"/>
  <c r="AV11" i="6"/>
  <c r="AW11" i="6" s="1"/>
  <c r="ET25" i="6"/>
  <c r="EU25" i="6" s="1"/>
  <c r="FX25" i="6"/>
  <c r="FY25" i="6" s="1"/>
  <c r="DP25" i="6"/>
  <c r="DQ25" i="6" s="1"/>
  <c r="EN25" i="6"/>
  <c r="EO25" i="6" s="1"/>
  <c r="FF25" i="6"/>
  <c r="FG25" i="6" s="1"/>
  <c r="DV25" i="6"/>
  <c r="DW25" i="6" s="1"/>
  <c r="GD25" i="6"/>
  <c r="GE25" i="6" s="1"/>
  <c r="DJ25" i="6"/>
  <c r="DK25" i="6" s="1"/>
  <c r="CX25" i="6"/>
  <c r="CY25" i="6" s="1"/>
  <c r="EZ25" i="6"/>
  <c r="FA25" i="6" s="1"/>
  <c r="EB25" i="6"/>
  <c r="EC25" i="6" s="1"/>
  <c r="CR25" i="6"/>
  <c r="CS25" i="6" s="1"/>
  <c r="CL25" i="6"/>
  <c r="CM25" i="6" s="1"/>
  <c r="DD25" i="6"/>
  <c r="DE25" i="6" s="1"/>
  <c r="AD25" i="6"/>
  <c r="AE25" i="6" s="1"/>
  <c r="BB25" i="6"/>
  <c r="BC25" i="6" s="1"/>
  <c r="AP25" i="6"/>
  <c r="AQ25" i="6" s="1"/>
  <c r="AJ25" i="6"/>
  <c r="AK25" i="6" s="1"/>
  <c r="R25" i="6"/>
  <c r="S25" i="6" s="1"/>
  <c r="CF25" i="6"/>
  <c r="CG25" i="6" s="1"/>
  <c r="BH25" i="6"/>
  <c r="BI25" i="6" s="1"/>
  <c r="BT25" i="6"/>
  <c r="BU25" i="6" s="1"/>
  <c r="F25" i="6"/>
  <c r="G25" i="6" s="1"/>
  <c r="X25" i="6"/>
  <c r="Y25" i="6" s="1"/>
  <c r="BN25" i="6"/>
  <c r="BO25" i="6" s="1"/>
  <c r="AV25" i="6"/>
  <c r="AW25" i="6" s="1"/>
  <c r="L25" i="6"/>
  <c r="M25" i="6" s="1"/>
  <c r="BZ25" i="6"/>
  <c r="CA25" i="6" s="1"/>
  <c r="FL51" i="6"/>
  <c r="FM51" i="6" s="1"/>
  <c r="ET51" i="6"/>
  <c r="EU51" i="6" s="1"/>
  <c r="EB51" i="6"/>
  <c r="EC51" i="6" s="1"/>
  <c r="DP51" i="6"/>
  <c r="DQ51" i="6" s="1"/>
  <c r="GJ51" i="6"/>
  <c r="GK51" i="6" s="1"/>
  <c r="DV51" i="6"/>
  <c r="DW51" i="6" s="1"/>
  <c r="EZ51" i="6"/>
  <c r="FA51" i="6" s="1"/>
  <c r="AD51" i="6"/>
  <c r="AE51" i="6" s="1"/>
  <c r="DJ51" i="6"/>
  <c r="DK51" i="6" s="1"/>
  <c r="CF51" i="6"/>
  <c r="CG51" i="6" s="1"/>
  <c r="AJ51" i="6"/>
  <c r="AK51" i="6" s="1"/>
  <c r="CX51" i="6"/>
  <c r="CY51" i="6" s="1"/>
  <c r="R51" i="6"/>
  <c r="S51" i="6" s="1"/>
  <c r="BH51" i="6"/>
  <c r="BI51" i="6" s="1"/>
  <c r="BN51" i="6"/>
  <c r="BO51" i="6" s="1"/>
  <c r="BT51" i="6"/>
  <c r="BU51" i="6" s="1"/>
  <c r="L51" i="6"/>
  <c r="M51" i="6" s="1"/>
  <c r="AV51" i="6"/>
  <c r="AW51" i="6" s="1"/>
  <c r="BZ51" i="6"/>
  <c r="CA51" i="6" s="1"/>
  <c r="FX18" i="6"/>
  <c r="FY18" i="6" s="1"/>
  <c r="GD18" i="6"/>
  <c r="GE18" i="6" s="1"/>
  <c r="FF18" i="6"/>
  <c r="FG18" i="6" s="1"/>
  <c r="EN18" i="6"/>
  <c r="EO18" i="6" s="1"/>
  <c r="EZ18" i="6"/>
  <c r="FA18" i="6" s="1"/>
  <c r="DJ18" i="6"/>
  <c r="DK18" i="6" s="1"/>
  <c r="EH18" i="6"/>
  <c r="EI18" i="6" s="1"/>
  <c r="ET18" i="6"/>
  <c r="EU18" i="6" s="1"/>
  <c r="EB18" i="6"/>
  <c r="EC18" i="6" s="1"/>
  <c r="CR18" i="6"/>
  <c r="CS18" i="6" s="1"/>
  <c r="DP18" i="6"/>
  <c r="DQ18" i="6" s="1"/>
  <c r="DD18" i="6"/>
  <c r="DE18" i="6" s="1"/>
  <c r="CX18" i="6"/>
  <c r="CY18" i="6" s="1"/>
  <c r="CF18" i="6"/>
  <c r="CG18" i="6" s="1"/>
  <c r="AJ18" i="6"/>
  <c r="AK18" i="6" s="1"/>
  <c r="BB18" i="6"/>
  <c r="BC18" i="6" s="1"/>
  <c r="BD18" i="6" s="1"/>
  <c r="BE18" i="6" s="1"/>
  <c r="BF18" i="6" s="1"/>
  <c r="AD18" i="6"/>
  <c r="AE18" i="6" s="1"/>
  <c r="R18" i="6"/>
  <c r="S18" i="6" s="1"/>
  <c r="AP18" i="6"/>
  <c r="AQ18" i="6" s="1"/>
  <c r="DV18" i="6"/>
  <c r="DW18" i="6" s="1"/>
  <c r="BT18" i="6"/>
  <c r="BU18" i="6" s="1"/>
  <c r="BH18" i="6"/>
  <c r="BI18" i="6" s="1"/>
  <c r="BN18" i="6"/>
  <c r="BO18" i="6" s="1"/>
  <c r="X18" i="6"/>
  <c r="Y18" i="6" s="1"/>
  <c r="F18" i="6"/>
  <c r="G18" i="6" s="1"/>
  <c r="L18" i="6"/>
  <c r="M18" i="6" s="1"/>
  <c r="AV18" i="6"/>
  <c r="AW18" i="6" s="1"/>
  <c r="BZ18" i="6"/>
  <c r="CA18" i="6" s="1"/>
  <c r="FX27" i="6"/>
  <c r="FY27" i="6" s="1"/>
  <c r="GJ27" i="6"/>
  <c r="GK27" i="6" s="1"/>
  <c r="EZ27" i="6"/>
  <c r="FA27" i="6" s="1"/>
  <c r="EB27" i="6"/>
  <c r="EC27" i="6" s="1"/>
  <c r="ET27" i="6"/>
  <c r="EU27" i="6" s="1"/>
  <c r="DV27" i="6"/>
  <c r="DW27" i="6" s="1"/>
  <c r="DP27" i="6"/>
  <c r="DQ27" i="6" s="1"/>
  <c r="CR27" i="6"/>
  <c r="CS27" i="6" s="1"/>
  <c r="DJ27" i="6"/>
  <c r="DK27" i="6" s="1"/>
  <c r="FF27" i="6"/>
  <c r="FG27" i="6" s="1"/>
  <c r="DD27" i="6"/>
  <c r="DE27" i="6" s="1"/>
  <c r="GD27" i="6"/>
  <c r="GE27" i="6" s="1"/>
  <c r="AD27" i="6"/>
  <c r="AE27" i="6" s="1"/>
  <c r="EN27" i="6"/>
  <c r="EO27" i="6" s="1"/>
  <c r="CL27" i="6"/>
  <c r="CM27" i="6" s="1"/>
  <c r="CX27" i="6"/>
  <c r="CY27" i="6" s="1"/>
  <c r="BB27" i="6"/>
  <c r="BC27" i="6" s="1"/>
  <c r="BH27" i="6"/>
  <c r="BI27" i="6" s="1"/>
  <c r="R27" i="6"/>
  <c r="S27" i="6" s="1"/>
  <c r="CF27" i="6"/>
  <c r="CG27" i="6" s="1"/>
  <c r="BN27" i="6"/>
  <c r="BO27" i="6" s="1"/>
  <c r="BT27" i="6"/>
  <c r="BU27" i="6" s="1"/>
  <c r="L27" i="6"/>
  <c r="M27" i="6" s="1"/>
  <c r="AJ27" i="6"/>
  <c r="AK27" i="6" s="1"/>
  <c r="F27" i="6"/>
  <c r="G27" i="6" s="1"/>
  <c r="AV27" i="6"/>
  <c r="AW27" i="6" s="1"/>
  <c r="X27" i="6"/>
  <c r="Y27" i="6" s="1"/>
  <c r="BZ27" i="6"/>
  <c r="CA27" i="6" s="1"/>
  <c r="FX66" i="6"/>
  <c r="FY66" i="6" s="1"/>
  <c r="GD66" i="6"/>
  <c r="GE66" i="6" s="1"/>
  <c r="EZ66" i="6"/>
  <c r="FA66" i="6" s="1"/>
  <c r="FF66" i="6"/>
  <c r="FG66" i="6" s="1"/>
  <c r="EN66" i="6"/>
  <c r="EO66" i="6" s="1"/>
  <c r="EB66" i="6"/>
  <c r="EC66" i="6" s="1"/>
  <c r="ET66" i="6"/>
  <c r="EU66" i="6" s="1"/>
  <c r="GJ66" i="6"/>
  <c r="GK66" i="6" s="1"/>
  <c r="EH66" i="6"/>
  <c r="EI66" i="6" s="1"/>
  <c r="DV66" i="6"/>
  <c r="DW66" i="6" s="1"/>
  <c r="DD66" i="6"/>
  <c r="DE66" i="6" s="1"/>
  <c r="DJ66" i="6"/>
  <c r="DK66" i="6" s="1"/>
  <c r="AD66" i="6"/>
  <c r="AE66" i="6" s="1"/>
  <c r="DP66" i="6"/>
  <c r="DQ66" i="6" s="1"/>
  <c r="CR66" i="6"/>
  <c r="CS66" i="6" s="1"/>
  <c r="CX66" i="6"/>
  <c r="CY66" i="6" s="1"/>
  <c r="FL66" i="6"/>
  <c r="FM66" i="6" s="1"/>
  <c r="CF66" i="6"/>
  <c r="CG66" i="6" s="1"/>
  <c r="BH66" i="6"/>
  <c r="BI66" i="6" s="1"/>
  <c r="CL66" i="6"/>
  <c r="CM66" i="6" s="1"/>
  <c r="BB66" i="6"/>
  <c r="BC66" i="6" s="1"/>
  <c r="R66" i="6"/>
  <c r="S66" i="6" s="1"/>
  <c r="BT66" i="6"/>
  <c r="BU66" i="6" s="1"/>
  <c r="X66" i="6"/>
  <c r="Y66" i="6" s="1"/>
  <c r="L66" i="6"/>
  <c r="M66" i="6" s="1"/>
  <c r="BN66" i="6"/>
  <c r="BO66" i="6" s="1"/>
  <c r="F66" i="6"/>
  <c r="G66" i="6" s="1"/>
  <c r="AP66" i="6"/>
  <c r="AQ66" i="6" s="1"/>
  <c r="AV66" i="6"/>
  <c r="AW66" i="6" s="1"/>
  <c r="BZ66" i="6"/>
  <c r="CA66" i="6" s="1"/>
  <c r="GD82" i="6"/>
  <c r="GE82" i="6" s="1"/>
  <c r="EN82" i="6"/>
  <c r="EO82" i="6" s="1"/>
  <c r="EB82" i="6"/>
  <c r="EC82" i="6" s="1"/>
  <c r="FX82" i="6"/>
  <c r="FY82" i="6" s="1"/>
  <c r="GJ82" i="6"/>
  <c r="GK82" i="6" s="1"/>
  <c r="FL82" i="6"/>
  <c r="FM82" i="6" s="1"/>
  <c r="EH82" i="6"/>
  <c r="EI82" i="6" s="1"/>
  <c r="DD82" i="6"/>
  <c r="DE82" i="6" s="1"/>
  <c r="CL82" i="6"/>
  <c r="CM82" i="6" s="1"/>
  <c r="DJ82" i="6"/>
  <c r="DK82" i="6" s="1"/>
  <c r="CX82" i="6"/>
  <c r="CY82" i="6" s="1"/>
  <c r="ET82" i="6"/>
  <c r="EU82" i="6" s="1"/>
  <c r="DV82" i="6"/>
  <c r="DW82" i="6" s="1"/>
  <c r="FF82" i="6"/>
  <c r="FG82" i="6" s="1"/>
  <c r="DP82" i="6"/>
  <c r="DQ82" i="6" s="1"/>
  <c r="CF82" i="6"/>
  <c r="CG82" i="6" s="1"/>
  <c r="EZ82" i="6"/>
  <c r="FA82" i="6" s="1"/>
  <c r="AJ82" i="6"/>
  <c r="AK82" i="6" s="1"/>
  <c r="R82" i="6"/>
  <c r="S82" i="6" s="1"/>
  <c r="AP82" i="6"/>
  <c r="AQ82" i="6" s="1"/>
  <c r="CR82" i="6"/>
  <c r="CS82" i="6" s="1"/>
  <c r="BT82" i="6"/>
  <c r="BU82" i="6" s="1"/>
  <c r="BN82" i="6"/>
  <c r="BO82" i="6" s="1"/>
  <c r="BB82" i="6"/>
  <c r="BC82" i="6" s="1"/>
  <c r="BH82" i="6"/>
  <c r="BI82" i="6" s="1"/>
  <c r="AD82" i="6"/>
  <c r="AE82" i="6" s="1"/>
  <c r="F82" i="6"/>
  <c r="G82" i="6" s="1"/>
  <c r="L82" i="6"/>
  <c r="M82" i="6" s="1"/>
  <c r="AV82" i="6"/>
  <c r="AW82" i="6" s="1"/>
  <c r="X82" i="6"/>
  <c r="Y82" i="6" s="1"/>
  <c r="BZ82" i="6"/>
  <c r="CA82" i="6" s="1"/>
  <c r="GJ102" i="6"/>
  <c r="GK102" i="6" s="1"/>
  <c r="FL102" i="6"/>
  <c r="FM102" i="6" s="1"/>
  <c r="GD102" i="6"/>
  <c r="GE102" i="6" s="1"/>
  <c r="ET102" i="6"/>
  <c r="EU102" i="6" s="1"/>
  <c r="EH102" i="6"/>
  <c r="EI102" i="6" s="1"/>
  <c r="EB102" i="6"/>
  <c r="EC102" i="6" s="1"/>
  <c r="DJ102" i="6"/>
  <c r="DK102" i="6" s="1"/>
  <c r="FF102" i="6"/>
  <c r="FG102" i="6" s="1"/>
  <c r="EZ102" i="6"/>
  <c r="FA102" i="6" s="1"/>
  <c r="FX102" i="6"/>
  <c r="FY102" i="6" s="1"/>
  <c r="CR102" i="6"/>
  <c r="CS102" i="6" s="1"/>
  <c r="CF102" i="6"/>
  <c r="CG102" i="6" s="1"/>
  <c r="DV102" i="6"/>
  <c r="DW102" i="6" s="1"/>
  <c r="AD102" i="6"/>
  <c r="AE102" i="6" s="1"/>
  <c r="DP102" i="6"/>
  <c r="DQ102" i="6" s="1"/>
  <c r="R102" i="6"/>
  <c r="S102" i="6" s="1"/>
  <c r="BB102" i="6"/>
  <c r="BC102" i="6" s="1"/>
  <c r="CX102" i="6"/>
  <c r="CY102" i="6" s="1"/>
  <c r="DD102" i="6"/>
  <c r="DE102" i="6" s="1"/>
  <c r="BH102" i="6"/>
  <c r="BI102" i="6" s="1"/>
  <c r="AP102" i="6"/>
  <c r="AQ102" i="6" s="1"/>
  <c r="EN102" i="6"/>
  <c r="EO102" i="6" s="1"/>
  <c r="CL102" i="6"/>
  <c r="CM102" i="6" s="1"/>
  <c r="BN102" i="6"/>
  <c r="BO102" i="6" s="1"/>
  <c r="F102" i="6"/>
  <c r="G102" i="6" s="1"/>
  <c r="X102" i="6"/>
  <c r="Y102" i="6" s="1"/>
  <c r="AV102" i="6"/>
  <c r="AW102" i="6" s="1"/>
  <c r="AJ102" i="6"/>
  <c r="AK102" i="6" s="1"/>
  <c r="L102" i="6"/>
  <c r="M102" i="6" s="1"/>
  <c r="BT102" i="6"/>
  <c r="BU102" i="6" s="1"/>
  <c r="BZ102" i="6"/>
  <c r="CA102" i="6" s="1"/>
  <c r="GD32" i="6"/>
  <c r="GE32" i="6" s="1"/>
  <c r="GJ32" i="6"/>
  <c r="GK32" i="6" s="1"/>
  <c r="EN32" i="6"/>
  <c r="EO32" i="6" s="1"/>
  <c r="ET32" i="6"/>
  <c r="EU32" i="6" s="1"/>
  <c r="EV32" i="6" s="1"/>
  <c r="EW32" i="6" s="1"/>
  <c r="EX32" i="6" s="1"/>
  <c r="EB32" i="6"/>
  <c r="EC32" i="6" s="1"/>
  <c r="FX32" i="6"/>
  <c r="FY32" i="6" s="1"/>
  <c r="EZ32" i="6"/>
  <c r="FA32" i="6" s="1"/>
  <c r="EH32" i="6"/>
  <c r="EI32" i="6" s="1"/>
  <c r="DD32" i="6"/>
  <c r="DE32" i="6" s="1"/>
  <c r="FF32" i="6"/>
  <c r="FG32" i="6" s="1"/>
  <c r="FL32" i="6"/>
  <c r="FM32" i="6" s="1"/>
  <c r="AD32" i="6"/>
  <c r="AE32" i="6" s="1"/>
  <c r="DP32" i="6"/>
  <c r="DQ32" i="6" s="1"/>
  <c r="CX32" i="6"/>
  <c r="CY32" i="6" s="1"/>
  <c r="CL32" i="6"/>
  <c r="CM32" i="6" s="1"/>
  <c r="CF32" i="6"/>
  <c r="CG32" i="6" s="1"/>
  <c r="DJ32" i="6"/>
  <c r="DK32" i="6" s="1"/>
  <c r="DV32" i="6"/>
  <c r="DW32" i="6" s="1"/>
  <c r="CR32" i="6"/>
  <c r="CS32" i="6" s="1"/>
  <c r="R32" i="6"/>
  <c r="S32" i="6" s="1"/>
  <c r="BB32" i="6"/>
  <c r="BC32" i="6" s="1"/>
  <c r="AJ32" i="6"/>
  <c r="AK32" i="6" s="1"/>
  <c r="F32" i="6"/>
  <c r="G32" i="6" s="1"/>
  <c r="BH32" i="6"/>
  <c r="BI32" i="6" s="1"/>
  <c r="X32" i="6"/>
  <c r="Y32" i="6" s="1"/>
  <c r="BN32" i="6"/>
  <c r="BO32" i="6" s="1"/>
  <c r="BT32" i="6"/>
  <c r="BU32" i="6" s="1"/>
  <c r="L32" i="6"/>
  <c r="M32" i="6" s="1"/>
  <c r="AP32" i="6"/>
  <c r="AQ32" i="6" s="1"/>
  <c r="BZ32" i="6"/>
  <c r="CA32" i="6" s="1"/>
  <c r="AV32" i="6"/>
  <c r="AW32" i="6" s="1"/>
  <c r="GJ101" i="6"/>
  <c r="GK101" i="6" s="1"/>
  <c r="GD101" i="6"/>
  <c r="GE101" i="6" s="1"/>
  <c r="FL101" i="6"/>
  <c r="FM101" i="6" s="1"/>
  <c r="ET101" i="6"/>
  <c r="EU101" i="6" s="1"/>
  <c r="DV101" i="6"/>
  <c r="DW101" i="6" s="1"/>
  <c r="EZ101" i="6"/>
  <c r="FA101" i="6" s="1"/>
  <c r="CX101" i="6"/>
  <c r="CY101" i="6" s="1"/>
  <c r="FF101" i="6"/>
  <c r="FG101" i="6" s="1"/>
  <c r="FX101" i="6"/>
  <c r="FY101" i="6" s="1"/>
  <c r="EH101" i="6"/>
  <c r="EI101" i="6" s="1"/>
  <c r="EN101" i="6"/>
  <c r="EO101" i="6" s="1"/>
  <c r="DD101" i="6"/>
  <c r="DE101" i="6" s="1"/>
  <c r="CR101" i="6"/>
  <c r="CS101" i="6" s="1"/>
  <c r="CT101" i="6" s="1"/>
  <c r="CU101" i="6" s="1"/>
  <c r="CV101" i="6" s="1"/>
  <c r="DP101" i="6"/>
  <c r="DQ101" i="6" s="1"/>
  <c r="CF101" i="6"/>
  <c r="CG101" i="6" s="1"/>
  <c r="EB101" i="6"/>
  <c r="EC101" i="6" s="1"/>
  <c r="CL101" i="6"/>
  <c r="CM101" i="6" s="1"/>
  <c r="AD101" i="6"/>
  <c r="AE101" i="6" s="1"/>
  <c r="BB101" i="6"/>
  <c r="BC101" i="6" s="1"/>
  <c r="AJ101" i="6"/>
  <c r="AK101" i="6" s="1"/>
  <c r="DJ101" i="6"/>
  <c r="DK101" i="6" s="1"/>
  <c r="AP101" i="6"/>
  <c r="AQ101" i="6" s="1"/>
  <c r="R101" i="6"/>
  <c r="S101" i="6" s="1"/>
  <c r="BH101" i="6"/>
  <c r="BI101" i="6" s="1"/>
  <c r="BN101" i="6"/>
  <c r="BO101" i="6" s="1"/>
  <c r="BT101" i="6"/>
  <c r="BU101" i="6" s="1"/>
  <c r="X101" i="6"/>
  <c r="Y101" i="6" s="1"/>
  <c r="L101" i="6"/>
  <c r="M101" i="6" s="1"/>
  <c r="AV101" i="6"/>
  <c r="AW101" i="6" s="1"/>
  <c r="AX101" i="6" s="1"/>
  <c r="AY101" i="6" s="1"/>
  <c r="AZ101" i="6" s="1"/>
  <c r="F101" i="6"/>
  <c r="G101" i="6" s="1"/>
  <c r="BZ101" i="6"/>
  <c r="CA101" i="6" s="1"/>
  <c r="GD14" i="6"/>
  <c r="GE14" i="6" s="1"/>
  <c r="FL14" i="6"/>
  <c r="FM14" i="6" s="1"/>
  <c r="EN14" i="6"/>
  <c r="EO14" i="6" s="1"/>
  <c r="EP14" i="6" s="1"/>
  <c r="EQ14" i="6" s="1"/>
  <c r="ER14" i="6" s="1"/>
  <c r="DV14" i="6"/>
  <c r="DW14" i="6" s="1"/>
  <c r="GJ14" i="6"/>
  <c r="GK14" i="6" s="1"/>
  <c r="FX14" i="6"/>
  <c r="FY14" i="6" s="1"/>
  <c r="ET14" i="6"/>
  <c r="EU14" i="6" s="1"/>
  <c r="DJ14" i="6"/>
  <c r="DK14" i="6" s="1"/>
  <c r="EZ14" i="6"/>
  <c r="FA14" i="6" s="1"/>
  <c r="EH14" i="6"/>
  <c r="EI14" i="6" s="1"/>
  <c r="DP14" i="6"/>
  <c r="DQ14" i="6" s="1"/>
  <c r="EB14" i="6"/>
  <c r="EC14" i="6" s="1"/>
  <c r="ED14" i="6" s="1"/>
  <c r="EE14" i="6" s="1"/>
  <c r="EF14" i="6" s="1"/>
  <c r="DD14" i="6"/>
  <c r="DE14" i="6" s="1"/>
  <c r="CF14" i="6"/>
  <c r="CG14" i="6" s="1"/>
  <c r="CR14" i="6"/>
  <c r="CS14" i="6" s="1"/>
  <c r="FF14" i="6"/>
  <c r="FG14" i="6" s="1"/>
  <c r="CX14" i="6"/>
  <c r="CY14" i="6" s="1"/>
  <c r="AD14" i="6"/>
  <c r="AE14" i="6" s="1"/>
  <c r="BH14" i="6"/>
  <c r="BI14" i="6" s="1"/>
  <c r="CL14" i="6"/>
  <c r="CM14" i="6" s="1"/>
  <c r="AP14" i="6"/>
  <c r="AQ14" i="6" s="1"/>
  <c r="AJ14" i="6"/>
  <c r="AK14" i="6" s="1"/>
  <c r="BT14" i="6"/>
  <c r="BU14" i="6" s="1"/>
  <c r="F14" i="6"/>
  <c r="G14" i="6" s="1"/>
  <c r="R14" i="6"/>
  <c r="S14" i="6" s="1"/>
  <c r="BN14" i="6"/>
  <c r="BO14" i="6" s="1"/>
  <c r="BP14" i="6" s="1"/>
  <c r="BQ14" i="6" s="1"/>
  <c r="BR14" i="6" s="1"/>
  <c r="BB14" i="6"/>
  <c r="BC14" i="6" s="1"/>
  <c r="L14" i="6"/>
  <c r="M14" i="6" s="1"/>
  <c r="N14" i="6" s="1"/>
  <c r="O14" i="6" s="1"/>
  <c r="P14" i="6" s="1"/>
  <c r="X14" i="6"/>
  <c r="Y14" i="6" s="1"/>
  <c r="AV14" i="6"/>
  <c r="AW14" i="6" s="1"/>
  <c r="BZ14" i="6"/>
  <c r="CA14" i="6" s="1"/>
  <c r="EN34" i="6"/>
  <c r="EO34" i="6" s="1"/>
  <c r="GJ34" i="6"/>
  <c r="GK34" i="6" s="1"/>
  <c r="FL34" i="6"/>
  <c r="FM34" i="6" s="1"/>
  <c r="DV34" i="6"/>
  <c r="DW34" i="6" s="1"/>
  <c r="ET34" i="6"/>
  <c r="EU34" i="6" s="1"/>
  <c r="DP34" i="6"/>
  <c r="DQ34" i="6" s="1"/>
  <c r="EZ34" i="6"/>
  <c r="FA34" i="6" s="1"/>
  <c r="FF34" i="6"/>
  <c r="FG34" i="6" s="1"/>
  <c r="GD34" i="6"/>
  <c r="GE34" i="6" s="1"/>
  <c r="EB34" i="6"/>
  <c r="EC34" i="6" s="1"/>
  <c r="DD34" i="6"/>
  <c r="DE34" i="6" s="1"/>
  <c r="FX34" i="6"/>
  <c r="FY34" i="6" s="1"/>
  <c r="DJ34" i="6"/>
  <c r="DK34" i="6" s="1"/>
  <c r="EH34" i="6"/>
  <c r="EI34" i="6" s="1"/>
  <c r="CR34" i="6"/>
  <c r="CS34" i="6" s="1"/>
  <c r="CF34" i="6"/>
  <c r="CG34" i="6" s="1"/>
  <c r="CX34" i="6"/>
  <c r="CY34" i="6" s="1"/>
  <c r="CL34" i="6"/>
  <c r="CM34" i="6" s="1"/>
  <c r="BB34" i="6"/>
  <c r="BC34" i="6" s="1"/>
  <c r="BH34" i="6"/>
  <c r="BI34" i="6" s="1"/>
  <c r="R34" i="6"/>
  <c r="S34" i="6" s="1"/>
  <c r="F34" i="6"/>
  <c r="G34" i="6" s="1"/>
  <c r="AD34" i="6"/>
  <c r="AE34" i="6" s="1"/>
  <c r="AJ34" i="6"/>
  <c r="AK34" i="6" s="1"/>
  <c r="BN34" i="6"/>
  <c r="BO34" i="6" s="1"/>
  <c r="BT34" i="6"/>
  <c r="BU34" i="6" s="1"/>
  <c r="X34" i="6"/>
  <c r="Y34" i="6" s="1"/>
  <c r="L34" i="6"/>
  <c r="M34" i="6" s="1"/>
  <c r="AP34" i="6"/>
  <c r="AQ34" i="6" s="1"/>
  <c r="AV34" i="6"/>
  <c r="AW34" i="6" s="1"/>
  <c r="BZ34" i="6"/>
  <c r="CA34" i="6" s="1"/>
  <c r="GD38" i="6"/>
  <c r="GE38" i="6" s="1"/>
  <c r="GJ38" i="6"/>
  <c r="GK38" i="6" s="1"/>
  <c r="ET38" i="6"/>
  <c r="EU38" i="6" s="1"/>
  <c r="FL38" i="6"/>
  <c r="FM38" i="6" s="1"/>
  <c r="DJ38" i="6"/>
  <c r="DK38" i="6" s="1"/>
  <c r="FX38" i="6"/>
  <c r="FY38" i="6" s="1"/>
  <c r="EH38" i="6"/>
  <c r="EI38" i="6" s="1"/>
  <c r="EZ38" i="6"/>
  <c r="FA38" i="6" s="1"/>
  <c r="FB38" i="6" s="1"/>
  <c r="FC38" i="6" s="1"/>
  <c r="FD38" i="6" s="1"/>
  <c r="DD38" i="6"/>
  <c r="DE38" i="6" s="1"/>
  <c r="FF38" i="6"/>
  <c r="FG38" i="6" s="1"/>
  <c r="DP38" i="6"/>
  <c r="DQ38" i="6" s="1"/>
  <c r="EB38" i="6"/>
  <c r="EC38" i="6" s="1"/>
  <c r="EN38" i="6"/>
  <c r="EO38" i="6" s="1"/>
  <c r="CR38" i="6"/>
  <c r="CS38" i="6" s="1"/>
  <c r="CL38" i="6"/>
  <c r="CM38" i="6" s="1"/>
  <c r="AD38" i="6"/>
  <c r="AE38" i="6" s="1"/>
  <c r="DV38" i="6"/>
  <c r="DW38" i="6" s="1"/>
  <c r="BB38" i="6"/>
  <c r="BC38" i="6" s="1"/>
  <c r="BH38" i="6"/>
  <c r="BI38" i="6" s="1"/>
  <c r="R38" i="6"/>
  <c r="S38" i="6" s="1"/>
  <c r="CX38" i="6"/>
  <c r="CY38" i="6" s="1"/>
  <c r="CF38" i="6"/>
  <c r="CG38" i="6" s="1"/>
  <c r="AP38" i="6"/>
  <c r="AQ38" i="6" s="1"/>
  <c r="BT38" i="6"/>
  <c r="BU38" i="6" s="1"/>
  <c r="BN38" i="6"/>
  <c r="BO38" i="6" s="1"/>
  <c r="AJ38" i="6"/>
  <c r="AK38" i="6" s="1"/>
  <c r="F38" i="6"/>
  <c r="G38" i="6" s="1"/>
  <c r="L38" i="6"/>
  <c r="M38" i="6" s="1"/>
  <c r="X38" i="6"/>
  <c r="Y38" i="6" s="1"/>
  <c r="AV38" i="6"/>
  <c r="AW38" i="6" s="1"/>
  <c r="BZ38" i="6"/>
  <c r="CA38" i="6" s="1"/>
  <c r="FX50" i="6"/>
  <c r="FY50" i="6" s="1"/>
  <c r="EN50" i="6"/>
  <c r="EO50" i="6" s="1"/>
  <c r="EZ50" i="6"/>
  <c r="FA50" i="6" s="1"/>
  <c r="FL50" i="6"/>
  <c r="FM50" i="6" s="1"/>
  <c r="EB50" i="6"/>
  <c r="EC50" i="6" s="1"/>
  <c r="CX50" i="6"/>
  <c r="CY50" i="6" s="1"/>
  <c r="ET50" i="6"/>
  <c r="EU50" i="6" s="1"/>
  <c r="DD50" i="6"/>
  <c r="DE50" i="6" s="1"/>
  <c r="FF50" i="6"/>
  <c r="FG50" i="6" s="1"/>
  <c r="FH50" i="6" s="1"/>
  <c r="FI50" i="6" s="1"/>
  <c r="FJ50" i="6" s="1"/>
  <c r="CR50" i="6"/>
  <c r="CS50" i="6" s="1"/>
  <c r="GJ50" i="6"/>
  <c r="GK50" i="6" s="1"/>
  <c r="DJ50" i="6"/>
  <c r="DK50" i="6" s="1"/>
  <c r="DV50" i="6"/>
  <c r="DW50" i="6" s="1"/>
  <c r="CL50" i="6"/>
  <c r="CM50" i="6" s="1"/>
  <c r="GD50" i="6"/>
  <c r="GE50" i="6" s="1"/>
  <c r="EH50" i="6"/>
  <c r="EI50" i="6" s="1"/>
  <c r="DP50" i="6"/>
  <c r="DQ50" i="6" s="1"/>
  <c r="BB50" i="6"/>
  <c r="BC50" i="6" s="1"/>
  <c r="CF50" i="6"/>
  <c r="CG50" i="6" s="1"/>
  <c r="R50" i="6"/>
  <c r="S50" i="6" s="1"/>
  <c r="BH50" i="6"/>
  <c r="BI50" i="6" s="1"/>
  <c r="AD50" i="6"/>
  <c r="AE50" i="6" s="1"/>
  <c r="AJ50" i="6"/>
  <c r="AK50" i="6" s="1"/>
  <c r="BN50" i="6"/>
  <c r="BO50" i="6" s="1"/>
  <c r="AP50" i="6"/>
  <c r="AQ50" i="6" s="1"/>
  <c r="X50" i="6"/>
  <c r="Y50" i="6" s="1"/>
  <c r="BT50" i="6"/>
  <c r="BU50" i="6" s="1"/>
  <c r="F50" i="6"/>
  <c r="G50" i="6" s="1"/>
  <c r="AV50" i="6"/>
  <c r="AW50" i="6" s="1"/>
  <c r="BZ50" i="6"/>
  <c r="CA50" i="6" s="1"/>
  <c r="L50" i="6"/>
  <c r="M50" i="6" s="1"/>
  <c r="GJ108" i="6"/>
  <c r="GK108" i="6" s="1"/>
  <c r="FL108" i="6"/>
  <c r="FM108" i="6" s="1"/>
  <c r="EN108" i="6"/>
  <c r="EO108" i="6" s="1"/>
  <c r="EZ108" i="6"/>
  <c r="FA108" i="6" s="1"/>
  <c r="EH108" i="6"/>
  <c r="EI108" i="6" s="1"/>
  <c r="GD108" i="6"/>
  <c r="GE108" i="6" s="1"/>
  <c r="DV108" i="6"/>
  <c r="DW108" i="6" s="1"/>
  <c r="CR108" i="6"/>
  <c r="CS108" i="6" s="1"/>
  <c r="DP108" i="6"/>
  <c r="DQ108" i="6" s="1"/>
  <c r="FX108" i="6"/>
  <c r="FY108" i="6" s="1"/>
  <c r="ET108" i="6"/>
  <c r="EU108" i="6" s="1"/>
  <c r="EB108" i="6"/>
  <c r="EC108" i="6" s="1"/>
  <c r="CX108" i="6"/>
  <c r="CY108" i="6" s="1"/>
  <c r="CL108" i="6"/>
  <c r="CM108" i="6" s="1"/>
  <c r="CF108" i="6"/>
  <c r="CG108" i="6" s="1"/>
  <c r="DD108" i="6"/>
  <c r="DE108" i="6" s="1"/>
  <c r="AD108" i="6"/>
  <c r="AE108" i="6" s="1"/>
  <c r="DJ108" i="6"/>
  <c r="DK108" i="6" s="1"/>
  <c r="BB108" i="6"/>
  <c r="BC108" i="6" s="1"/>
  <c r="BH108" i="6"/>
  <c r="BI108" i="6" s="1"/>
  <c r="R108" i="6"/>
  <c r="S108" i="6" s="1"/>
  <c r="FF108" i="6"/>
  <c r="FG108" i="6" s="1"/>
  <c r="F108" i="6"/>
  <c r="G108" i="6" s="1"/>
  <c r="AP108" i="6"/>
  <c r="AQ108" i="6" s="1"/>
  <c r="AJ108" i="6"/>
  <c r="AK108" i="6" s="1"/>
  <c r="BT108" i="6"/>
  <c r="BU108" i="6" s="1"/>
  <c r="BN108" i="6"/>
  <c r="BO108" i="6" s="1"/>
  <c r="L108" i="6"/>
  <c r="M108" i="6" s="1"/>
  <c r="X108" i="6"/>
  <c r="Y108" i="6" s="1"/>
  <c r="AV108" i="6"/>
  <c r="AW108" i="6" s="1"/>
  <c r="BZ108" i="6"/>
  <c r="CA108" i="6" s="1"/>
  <c r="GJ23" i="6"/>
  <c r="GK23" i="6" s="1"/>
  <c r="FF23" i="6"/>
  <c r="FG23" i="6" s="1"/>
  <c r="EH23" i="6"/>
  <c r="EI23" i="6" s="1"/>
  <c r="FL23" i="6"/>
  <c r="FM23" i="6" s="1"/>
  <c r="ET23" i="6"/>
  <c r="EU23" i="6" s="1"/>
  <c r="EV23" i="6" s="1"/>
  <c r="EW23" i="6" s="1"/>
  <c r="EX23" i="6" s="1"/>
  <c r="DD23" i="6"/>
  <c r="DE23" i="6" s="1"/>
  <c r="GD23" i="6"/>
  <c r="GE23" i="6" s="1"/>
  <c r="DV23" i="6"/>
  <c r="DW23" i="6" s="1"/>
  <c r="EB23" i="6"/>
  <c r="EC23" i="6" s="1"/>
  <c r="DJ23" i="6"/>
  <c r="DK23" i="6" s="1"/>
  <c r="EN23" i="6"/>
  <c r="EO23" i="6" s="1"/>
  <c r="DP23" i="6"/>
  <c r="DQ23" i="6" s="1"/>
  <c r="CL23" i="6"/>
  <c r="CM23" i="6" s="1"/>
  <c r="CR23" i="6"/>
  <c r="CS23" i="6" s="1"/>
  <c r="AD23" i="6"/>
  <c r="AE23" i="6" s="1"/>
  <c r="CF23" i="6"/>
  <c r="CG23" i="6" s="1"/>
  <c r="BH23" i="6"/>
  <c r="BI23" i="6" s="1"/>
  <c r="FX23" i="6"/>
  <c r="FY23" i="6" s="1"/>
  <c r="EZ23" i="6"/>
  <c r="FA23" i="6" s="1"/>
  <c r="CX23" i="6"/>
  <c r="CY23" i="6" s="1"/>
  <c r="AP23" i="6"/>
  <c r="AQ23" i="6" s="1"/>
  <c r="BB23" i="6"/>
  <c r="BC23" i="6" s="1"/>
  <c r="AJ23" i="6"/>
  <c r="AK23" i="6" s="1"/>
  <c r="R23" i="6"/>
  <c r="S23" i="6" s="1"/>
  <c r="X23" i="6"/>
  <c r="Y23" i="6" s="1"/>
  <c r="F23" i="6"/>
  <c r="G23" i="6" s="1"/>
  <c r="BT23" i="6"/>
  <c r="BU23" i="6" s="1"/>
  <c r="L23" i="6"/>
  <c r="M23" i="6" s="1"/>
  <c r="BN23" i="6"/>
  <c r="BO23" i="6" s="1"/>
  <c r="AV23" i="6"/>
  <c r="AW23" i="6" s="1"/>
  <c r="BZ23" i="6"/>
  <c r="CA23" i="6" s="1"/>
  <c r="GJ107" i="6"/>
  <c r="GK107" i="6" s="1"/>
  <c r="ET107" i="6"/>
  <c r="EU107" i="6" s="1"/>
  <c r="GD107" i="6"/>
  <c r="GE107" i="6" s="1"/>
  <c r="FL107" i="6"/>
  <c r="FM107" i="6" s="1"/>
  <c r="EN107" i="6"/>
  <c r="EO107" i="6" s="1"/>
  <c r="FX107" i="6"/>
  <c r="FY107" i="6" s="1"/>
  <c r="EB107" i="6"/>
  <c r="EC107" i="6" s="1"/>
  <c r="DP107" i="6"/>
  <c r="DQ107" i="6" s="1"/>
  <c r="EH107" i="6"/>
  <c r="EI107" i="6" s="1"/>
  <c r="FF107" i="6"/>
  <c r="FG107" i="6" s="1"/>
  <c r="EZ107" i="6"/>
  <c r="FA107" i="6" s="1"/>
  <c r="DV107" i="6"/>
  <c r="DW107" i="6" s="1"/>
  <c r="DD107" i="6"/>
  <c r="DE107" i="6" s="1"/>
  <c r="CL107" i="6"/>
  <c r="CM107" i="6" s="1"/>
  <c r="CR107" i="6"/>
  <c r="CS107" i="6" s="1"/>
  <c r="AD107" i="6"/>
  <c r="AE107" i="6" s="1"/>
  <c r="CF107" i="6"/>
  <c r="CG107" i="6" s="1"/>
  <c r="BB107" i="6"/>
  <c r="BC107" i="6" s="1"/>
  <c r="R107" i="6"/>
  <c r="S107" i="6" s="1"/>
  <c r="DJ107" i="6"/>
  <c r="DK107" i="6" s="1"/>
  <c r="CX107" i="6"/>
  <c r="CY107" i="6" s="1"/>
  <c r="BH107" i="6"/>
  <c r="BI107" i="6" s="1"/>
  <c r="AP107" i="6"/>
  <c r="AQ107" i="6" s="1"/>
  <c r="F107" i="6"/>
  <c r="G107" i="6" s="1"/>
  <c r="BN107" i="6"/>
  <c r="BO107" i="6" s="1"/>
  <c r="AJ107" i="6"/>
  <c r="AK107" i="6" s="1"/>
  <c r="X107" i="6"/>
  <c r="Y107" i="6" s="1"/>
  <c r="BT107" i="6"/>
  <c r="BU107" i="6" s="1"/>
  <c r="L107" i="6"/>
  <c r="M107" i="6" s="1"/>
  <c r="BZ107" i="6"/>
  <c r="CA107" i="6" s="1"/>
  <c r="AV107" i="6"/>
  <c r="AW107" i="6" s="1"/>
  <c r="FX59" i="6"/>
  <c r="FY59" i="6" s="1"/>
  <c r="EN59" i="6"/>
  <c r="EO59" i="6" s="1"/>
  <c r="GD59" i="6"/>
  <c r="GE59" i="6" s="1"/>
  <c r="ET59" i="6"/>
  <c r="EU59" i="6" s="1"/>
  <c r="DV59" i="6"/>
  <c r="DW59" i="6" s="1"/>
  <c r="DP59" i="6"/>
  <c r="DQ59" i="6" s="1"/>
  <c r="FF59" i="6"/>
  <c r="FG59" i="6" s="1"/>
  <c r="EZ59" i="6"/>
  <c r="FA59" i="6" s="1"/>
  <c r="EH59" i="6"/>
  <c r="EI59" i="6" s="1"/>
  <c r="DD59" i="6"/>
  <c r="DE59" i="6" s="1"/>
  <c r="GJ59" i="6"/>
  <c r="GK59" i="6" s="1"/>
  <c r="FL59" i="6"/>
  <c r="FM59" i="6" s="1"/>
  <c r="CX59" i="6"/>
  <c r="CY59" i="6" s="1"/>
  <c r="DJ59" i="6"/>
  <c r="DK59" i="6" s="1"/>
  <c r="CL59" i="6"/>
  <c r="CM59" i="6" s="1"/>
  <c r="AD59" i="6"/>
  <c r="AE59" i="6" s="1"/>
  <c r="AF59" i="6" s="1"/>
  <c r="AG59" i="6" s="1"/>
  <c r="AH59" i="6" s="1"/>
  <c r="CF59" i="6"/>
  <c r="CG59" i="6" s="1"/>
  <c r="AP59" i="6"/>
  <c r="AQ59" i="6" s="1"/>
  <c r="CR59" i="6"/>
  <c r="CS59" i="6" s="1"/>
  <c r="AJ59" i="6"/>
  <c r="AK59" i="6" s="1"/>
  <c r="BT59" i="6"/>
  <c r="BU59" i="6" s="1"/>
  <c r="X59" i="6"/>
  <c r="Y59" i="6" s="1"/>
  <c r="BH59" i="6"/>
  <c r="BI59" i="6" s="1"/>
  <c r="F59" i="6"/>
  <c r="G59" i="6" s="1"/>
  <c r="L59" i="6"/>
  <c r="M59" i="6" s="1"/>
  <c r="AV59" i="6"/>
  <c r="AW59" i="6" s="1"/>
  <c r="R59" i="6"/>
  <c r="S59" i="6" s="1"/>
  <c r="BB59" i="6"/>
  <c r="BC59" i="6" s="1"/>
  <c r="BN59" i="6"/>
  <c r="BO59" i="6" s="1"/>
  <c r="EB59" i="6"/>
  <c r="EC59" i="6" s="1"/>
  <c r="BZ59" i="6"/>
  <c r="CA59" i="6" s="1"/>
  <c r="EN84" i="6"/>
  <c r="EO84" i="6" s="1"/>
  <c r="GJ84" i="6"/>
  <c r="GK84" i="6" s="1"/>
  <c r="FX84" i="6"/>
  <c r="FY84" i="6" s="1"/>
  <c r="FF84" i="6"/>
  <c r="FG84" i="6" s="1"/>
  <c r="FL84" i="6"/>
  <c r="FM84" i="6" s="1"/>
  <c r="EH84" i="6"/>
  <c r="EI84" i="6" s="1"/>
  <c r="GD84" i="6"/>
  <c r="GE84" i="6" s="1"/>
  <c r="CX84" i="6"/>
  <c r="CY84" i="6" s="1"/>
  <c r="EZ84" i="6"/>
  <c r="FA84" i="6" s="1"/>
  <c r="FB84" i="6" s="1"/>
  <c r="FC84" i="6" s="1"/>
  <c r="FD84" i="6" s="1"/>
  <c r="DV84" i="6"/>
  <c r="DW84" i="6" s="1"/>
  <c r="CR84" i="6"/>
  <c r="CS84" i="6" s="1"/>
  <c r="DP84" i="6"/>
  <c r="DQ84" i="6" s="1"/>
  <c r="EB84" i="6"/>
  <c r="EC84" i="6" s="1"/>
  <c r="DD84" i="6"/>
  <c r="DE84" i="6" s="1"/>
  <c r="CL84" i="6"/>
  <c r="CM84" i="6" s="1"/>
  <c r="CF84" i="6"/>
  <c r="CG84" i="6" s="1"/>
  <c r="AD84" i="6"/>
  <c r="AE84" i="6" s="1"/>
  <c r="ET84" i="6"/>
  <c r="EU84" i="6" s="1"/>
  <c r="AP84" i="6"/>
  <c r="AQ84" i="6" s="1"/>
  <c r="BH84" i="6"/>
  <c r="BI84" i="6" s="1"/>
  <c r="DJ84" i="6"/>
  <c r="DK84" i="6" s="1"/>
  <c r="R84" i="6"/>
  <c r="S84" i="6" s="1"/>
  <c r="BB84" i="6"/>
  <c r="BC84" i="6" s="1"/>
  <c r="X84" i="6"/>
  <c r="Y84" i="6" s="1"/>
  <c r="BT84" i="6"/>
  <c r="BU84" i="6" s="1"/>
  <c r="BV84" i="6" s="1"/>
  <c r="BW84" i="6" s="1"/>
  <c r="BX84" i="6" s="1"/>
  <c r="AJ84" i="6"/>
  <c r="AK84" i="6" s="1"/>
  <c r="F84" i="6"/>
  <c r="G84" i="6" s="1"/>
  <c r="L84" i="6"/>
  <c r="M84" i="6" s="1"/>
  <c r="BN84" i="6"/>
  <c r="BO84" i="6" s="1"/>
  <c r="BZ84" i="6"/>
  <c r="CA84" i="6" s="1"/>
  <c r="AV84" i="6"/>
  <c r="AW84" i="6" s="1"/>
  <c r="FX96" i="6"/>
  <c r="FY96" i="6" s="1"/>
  <c r="FZ96" i="6" s="1"/>
  <c r="GA96" i="6" s="1"/>
  <c r="GB96" i="6" s="1"/>
  <c r="GD96" i="6"/>
  <c r="GE96" i="6" s="1"/>
  <c r="GF96" i="6" s="1"/>
  <c r="GG96" i="6" s="1"/>
  <c r="GH96" i="6" s="1"/>
  <c r="FL96" i="6"/>
  <c r="FM96" i="6" s="1"/>
  <c r="EH96" i="6"/>
  <c r="EI96" i="6" s="1"/>
  <c r="DJ96" i="6"/>
  <c r="DK96" i="6" s="1"/>
  <c r="ET96" i="6"/>
  <c r="EU96" i="6" s="1"/>
  <c r="CR96" i="6"/>
  <c r="CS96" i="6" s="1"/>
  <c r="CL96" i="6"/>
  <c r="CM96" i="6" s="1"/>
  <c r="EZ96" i="6"/>
  <c r="FA96" i="6" s="1"/>
  <c r="EB96" i="6"/>
  <c r="EC96" i="6" s="1"/>
  <c r="GJ96" i="6"/>
  <c r="GK96" i="6" s="1"/>
  <c r="DV96" i="6"/>
  <c r="DW96" i="6" s="1"/>
  <c r="EN96" i="6"/>
  <c r="EO96" i="6" s="1"/>
  <c r="BB96" i="6"/>
  <c r="BC96" i="6" s="1"/>
  <c r="BD96" i="6" s="1"/>
  <c r="BE96" i="6" s="1"/>
  <c r="BF96" i="6" s="1"/>
  <c r="FF96" i="6"/>
  <c r="FG96" i="6" s="1"/>
  <c r="DD96" i="6"/>
  <c r="DE96" i="6" s="1"/>
  <c r="CX96" i="6"/>
  <c r="CY96" i="6" s="1"/>
  <c r="DP96" i="6"/>
  <c r="DQ96" i="6" s="1"/>
  <c r="AD96" i="6"/>
  <c r="AE96" i="6" s="1"/>
  <c r="CF96" i="6"/>
  <c r="CG96" i="6" s="1"/>
  <c r="AP96" i="6"/>
  <c r="AQ96" i="6" s="1"/>
  <c r="BH96" i="6"/>
  <c r="BI96" i="6" s="1"/>
  <c r="R96" i="6"/>
  <c r="S96" i="6" s="1"/>
  <c r="F96" i="6"/>
  <c r="G96" i="6" s="1"/>
  <c r="AJ96" i="6"/>
  <c r="AK96" i="6" s="1"/>
  <c r="BN96" i="6"/>
  <c r="BO96" i="6" s="1"/>
  <c r="AV96" i="6"/>
  <c r="AW96" i="6" s="1"/>
  <c r="L96" i="6"/>
  <c r="M96" i="6" s="1"/>
  <c r="BT96" i="6"/>
  <c r="BU96" i="6" s="1"/>
  <c r="X96" i="6"/>
  <c r="Y96" i="6" s="1"/>
  <c r="BZ96" i="6"/>
  <c r="CA96" i="6" s="1"/>
  <c r="FF97" i="6"/>
  <c r="FG97" i="6" s="1"/>
  <c r="EZ97" i="6"/>
  <c r="FA97" i="6" s="1"/>
  <c r="GD97" i="6"/>
  <c r="GE97" i="6" s="1"/>
  <c r="ET97" i="6"/>
  <c r="EU97" i="6" s="1"/>
  <c r="DV97" i="6"/>
  <c r="DW97" i="6" s="1"/>
  <c r="EH97" i="6"/>
  <c r="EI97" i="6" s="1"/>
  <c r="DD97" i="6"/>
  <c r="DE97" i="6" s="1"/>
  <c r="FX97" i="6"/>
  <c r="FY97" i="6" s="1"/>
  <c r="FL97" i="6"/>
  <c r="FM97" i="6" s="1"/>
  <c r="CR97" i="6"/>
  <c r="CS97" i="6" s="1"/>
  <c r="EB97" i="6"/>
  <c r="EC97" i="6" s="1"/>
  <c r="DP97" i="6"/>
  <c r="DQ97" i="6" s="1"/>
  <c r="EN97" i="6"/>
  <c r="EO97" i="6" s="1"/>
  <c r="DJ97" i="6"/>
  <c r="DK97" i="6" s="1"/>
  <c r="CX97" i="6"/>
  <c r="CY97" i="6" s="1"/>
  <c r="AD97" i="6"/>
  <c r="AE97" i="6" s="1"/>
  <c r="CL97" i="6"/>
  <c r="CM97" i="6" s="1"/>
  <c r="GJ97" i="6"/>
  <c r="GK97" i="6" s="1"/>
  <c r="R97" i="6"/>
  <c r="S97" i="6" s="1"/>
  <c r="BB97" i="6"/>
  <c r="BC97" i="6" s="1"/>
  <c r="AP97" i="6"/>
  <c r="AQ97" i="6" s="1"/>
  <c r="CF97" i="6"/>
  <c r="CG97" i="6" s="1"/>
  <c r="BH97" i="6"/>
  <c r="BI97" i="6" s="1"/>
  <c r="BN97" i="6"/>
  <c r="BO97" i="6" s="1"/>
  <c r="BT97" i="6"/>
  <c r="BU97" i="6" s="1"/>
  <c r="X97" i="6"/>
  <c r="Y97" i="6" s="1"/>
  <c r="F97" i="6"/>
  <c r="G97" i="6" s="1"/>
  <c r="H97" i="6" s="1"/>
  <c r="I97" i="6" s="1"/>
  <c r="J97" i="6" s="1"/>
  <c r="L97" i="6"/>
  <c r="M97" i="6" s="1"/>
  <c r="AJ97" i="6"/>
  <c r="AK97" i="6" s="1"/>
  <c r="BZ97" i="6"/>
  <c r="CA97" i="6" s="1"/>
  <c r="CB97" i="6" s="1"/>
  <c r="CC97" i="6" s="1"/>
  <c r="CD97" i="6" s="1"/>
  <c r="AV97" i="6"/>
  <c r="AW97" i="6" s="1"/>
  <c r="GD106" i="6"/>
  <c r="GE106" i="6" s="1"/>
  <c r="FF106" i="6"/>
  <c r="FG106" i="6" s="1"/>
  <c r="EZ106" i="6"/>
  <c r="FA106" i="6" s="1"/>
  <c r="EN106" i="6"/>
  <c r="EO106" i="6" s="1"/>
  <c r="DV106" i="6"/>
  <c r="DW106" i="6" s="1"/>
  <c r="GJ106" i="6"/>
  <c r="GK106" i="6" s="1"/>
  <c r="FX106" i="6"/>
  <c r="FY106" i="6" s="1"/>
  <c r="ET106" i="6"/>
  <c r="EU106" i="6" s="1"/>
  <c r="CR106" i="6"/>
  <c r="CS106" i="6" s="1"/>
  <c r="FL106" i="6"/>
  <c r="FM106" i="6" s="1"/>
  <c r="DP106" i="6"/>
  <c r="DQ106" i="6" s="1"/>
  <c r="EH106" i="6"/>
  <c r="EI106" i="6" s="1"/>
  <c r="EJ106" i="6" s="1"/>
  <c r="EK106" i="6" s="1"/>
  <c r="EL106" i="6" s="1"/>
  <c r="EB106" i="6"/>
  <c r="EC106" i="6" s="1"/>
  <c r="CF106" i="6"/>
  <c r="CG106" i="6" s="1"/>
  <c r="AD106" i="6"/>
  <c r="AE106" i="6" s="1"/>
  <c r="DD106" i="6"/>
  <c r="DE106" i="6" s="1"/>
  <c r="CX106" i="6"/>
  <c r="CY106" i="6" s="1"/>
  <c r="DJ106" i="6"/>
  <c r="DK106" i="6" s="1"/>
  <c r="BB106" i="6"/>
  <c r="BC106" i="6" s="1"/>
  <c r="R106" i="6"/>
  <c r="S106" i="6" s="1"/>
  <c r="AP106" i="6"/>
  <c r="AQ106" i="6" s="1"/>
  <c r="BH106" i="6"/>
  <c r="BI106" i="6" s="1"/>
  <c r="AJ106" i="6"/>
  <c r="AK106" i="6" s="1"/>
  <c r="F106" i="6"/>
  <c r="G106" i="6" s="1"/>
  <c r="BT106" i="6"/>
  <c r="BU106" i="6" s="1"/>
  <c r="X106" i="6"/>
  <c r="Y106" i="6" s="1"/>
  <c r="L106" i="6"/>
  <c r="M106" i="6" s="1"/>
  <c r="CL106" i="6"/>
  <c r="CM106" i="6" s="1"/>
  <c r="CN106" i="6" s="1"/>
  <c r="CO106" i="6" s="1"/>
  <c r="CP106" i="6" s="1"/>
  <c r="AV106" i="6"/>
  <c r="AW106" i="6" s="1"/>
  <c r="BZ106" i="6"/>
  <c r="CA106" i="6" s="1"/>
  <c r="BN106" i="6"/>
  <c r="BO106" i="6" s="1"/>
  <c r="GD24" i="6"/>
  <c r="GE24" i="6" s="1"/>
  <c r="GJ24" i="6"/>
  <c r="GK24" i="6" s="1"/>
  <c r="ET24" i="6"/>
  <c r="EU24" i="6" s="1"/>
  <c r="FX24" i="6"/>
  <c r="FY24" i="6" s="1"/>
  <c r="EN24" i="6"/>
  <c r="EO24" i="6" s="1"/>
  <c r="EP24" i="6" s="1"/>
  <c r="EQ24" i="6" s="1"/>
  <c r="ER24" i="6" s="1"/>
  <c r="DJ24" i="6"/>
  <c r="DK24" i="6" s="1"/>
  <c r="EH24" i="6"/>
  <c r="EI24" i="6" s="1"/>
  <c r="EZ24" i="6"/>
  <c r="FA24" i="6" s="1"/>
  <c r="DP24" i="6"/>
  <c r="DQ24" i="6" s="1"/>
  <c r="FF24" i="6"/>
  <c r="FG24" i="6" s="1"/>
  <c r="DD24" i="6"/>
  <c r="DE24" i="6" s="1"/>
  <c r="DV24" i="6"/>
  <c r="DW24" i="6" s="1"/>
  <c r="EB24" i="6"/>
  <c r="EC24" i="6" s="1"/>
  <c r="ED24" i="6" s="1"/>
  <c r="EE24" i="6" s="1"/>
  <c r="EF24" i="6" s="1"/>
  <c r="CX24" i="6"/>
  <c r="CY24" i="6" s="1"/>
  <c r="AD24" i="6"/>
  <c r="AE24" i="6" s="1"/>
  <c r="CL24" i="6"/>
  <c r="CM24" i="6" s="1"/>
  <c r="CF24" i="6"/>
  <c r="CG24" i="6" s="1"/>
  <c r="FL24" i="6"/>
  <c r="FM24" i="6" s="1"/>
  <c r="BB24" i="6"/>
  <c r="BC24" i="6" s="1"/>
  <c r="BH24" i="6"/>
  <c r="BI24" i="6" s="1"/>
  <c r="R24" i="6"/>
  <c r="S24" i="6" s="1"/>
  <c r="T24" i="6" s="1"/>
  <c r="U24" i="6" s="1"/>
  <c r="V24" i="6" s="1"/>
  <c r="CR24" i="6"/>
  <c r="CS24" i="6" s="1"/>
  <c r="AP24" i="6"/>
  <c r="AQ24" i="6" s="1"/>
  <c r="AJ24" i="6"/>
  <c r="AK24" i="6" s="1"/>
  <c r="BN24" i="6"/>
  <c r="BO24" i="6" s="1"/>
  <c r="F24" i="6"/>
  <c r="G24" i="6" s="1"/>
  <c r="BT24" i="6"/>
  <c r="BU24" i="6" s="1"/>
  <c r="AV24" i="6"/>
  <c r="AW24" i="6" s="1"/>
  <c r="AX24" i="6" s="1"/>
  <c r="AY24" i="6" s="1"/>
  <c r="AZ24" i="6" s="1"/>
  <c r="X24" i="6"/>
  <c r="Y24" i="6" s="1"/>
  <c r="Z24" i="6" s="1"/>
  <c r="AA24" i="6" s="1"/>
  <c r="AB24" i="6" s="1"/>
  <c r="BZ24" i="6"/>
  <c r="CA24" i="6" s="1"/>
  <c r="L24" i="6"/>
  <c r="M24" i="6" s="1"/>
  <c r="GD67" i="6"/>
  <c r="GE67" i="6" s="1"/>
  <c r="GJ67" i="6"/>
  <c r="GK67" i="6" s="1"/>
  <c r="ET67" i="6"/>
  <c r="EU67" i="6" s="1"/>
  <c r="EZ67" i="6"/>
  <c r="FA67" i="6" s="1"/>
  <c r="FF67" i="6"/>
  <c r="FG67" i="6" s="1"/>
  <c r="DV67" i="6"/>
  <c r="DW67" i="6" s="1"/>
  <c r="DX67" i="6" s="1"/>
  <c r="DY67" i="6" s="1"/>
  <c r="DZ67" i="6" s="1"/>
  <c r="DP67" i="6"/>
  <c r="DQ67" i="6" s="1"/>
  <c r="EH67" i="6"/>
  <c r="EI67" i="6" s="1"/>
  <c r="FL67" i="6"/>
  <c r="FM67" i="6" s="1"/>
  <c r="DJ67" i="6"/>
  <c r="DK67" i="6" s="1"/>
  <c r="DL67" i="6" s="1"/>
  <c r="DM67" i="6" s="1"/>
  <c r="DN67" i="6" s="1"/>
  <c r="CX67" i="6"/>
  <c r="CY67" i="6" s="1"/>
  <c r="EN67" i="6"/>
  <c r="EO67" i="6" s="1"/>
  <c r="DD67" i="6"/>
  <c r="DE67" i="6" s="1"/>
  <c r="CR67" i="6"/>
  <c r="CS67" i="6" s="1"/>
  <c r="EB67" i="6"/>
  <c r="EC67" i="6" s="1"/>
  <c r="FX67" i="6"/>
  <c r="FY67" i="6" s="1"/>
  <c r="BB67" i="6"/>
  <c r="BC67" i="6" s="1"/>
  <c r="CF67" i="6"/>
  <c r="CG67" i="6" s="1"/>
  <c r="R67" i="6"/>
  <c r="S67" i="6" s="1"/>
  <c r="AP67" i="6"/>
  <c r="AQ67" i="6" s="1"/>
  <c r="AJ67" i="6"/>
  <c r="AK67" i="6" s="1"/>
  <c r="BN67" i="6"/>
  <c r="BO67" i="6" s="1"/>
  <c r="AD67" i="6"/>
  <c r="AE67" i="6" s="1"/>
  <c r="BT67" i="6"/>
  <c r="BU67" i="6" s="1"/>
  <c r="X67" i="6"/>
  <c r="Y67" i="6" s="1"/>
  <c r="BH67" i="6"/>
  <c r="BI67" i="6" s="1"/>
  <c r="F67" i="6"/>
  <c r="G67" i="6" s="1"/>
  <c r="AV67" i="6"/>
  <c r="AW67" i="6" s="1"/>
  <c r="L67" i="6"/>
  <c r="M67" i="6" s="1"/>
  <c r="CL67" i="6"/>
  <c r="CM67" i="6" s="1"/>
  <c r="BZ67" i="6"/>
  <c r="CA67" i="6" s="1"/>
  <c r="GJ15" i="6"/>
  <c r="GK15" i="6" s="1"/>
  <c r="FL15" i="6"/>
  <c r="FM15" i="6" s="1"/>
  <c r="FN15" i="6" s="1"/>
  <c r="FO15" i="6" s="1"/>
  <c r="FP15" i="6" s="1"/>
  <c r="EZ15" i="6"/>
  <c r="FA15" i="6" s="1"/>
  <c r="FB15" i="6" s="1"/>
  <c r="FC15" i="6" s="1"/>
  <c r="FD15" i="6" s="1"/>
  <c r="EH15" i="6"/>
  <c r="EI15" i="6" s="1"/>
  <c r="FX15" i="6"/>
  <c r="FY15" i="6" s="1"/>
  <c r="FF15" i="6"/>
  <c r="FG15" i="6" s="1"/>
  <c r="ET15" i="6"/>
  <c r="EU15" i="6" s="1"/>
  <c r="CR15" i="6"/>
  <c r="CS15" i="6" s="1"/>
  <c r="EB15" i="6"/>
  <c r="EC15" i="6" s="1"/>
  <c r="DJ15" i="6"/>
  <c r="DK15" i="6" s="1"/>
  <c r="DL15" i="6" s="1"/>
  <c r="DM15" i="6" s="1"/>
  <c r="DN15" i="6" s="1"/>
  <c r="GD15" i="6"/>
  <c r="GE15" i="6" s="1"/>
  <c r="CX15" i="6"/>
  <c r="CY15" i="6" s="1"/>
  <c r="EN15" i="6"/>
  <c r="EO15" i="6" s="1"/>
  <c r="DV15" i="6"/>
  <c r="DW15" i="6" s="1"/>
  <c r="DD15" i="6"/>
  <c r="DE15" i="6" s="1"/>
  <c r="CF15" i="6"/>
  <c r="CG15" i="6" s="1"/>
  <c r="DP15" i="6"/>
  <c r="DQ15" i="6" s="1"/>
  <c r="AJ15" i="6"/>
  <c r="AK15" i="6" s="1"/>
  <c r="BH15" i="6"/>
  <c r="BI15" i="6" s="1"/>
  <c r="BJ15" i="6" s="1"/>
  <c r="BK15" i="6" s="1"/>
  <c r="BL15" i="6" s="1"/>
  <c r="R15" i="6"/>
  <c r="S15" i="6" s="1"/>
  <c r="CL15" i="6"/>
  <c r="CM15" i="6" s="1"/>
  <c r="BB15" i="6"/>
  <c r="BC15" i="6" s="1"/>
  <c r="AD15" i="6"/>
  <c r="AE15" i="6" s="1"/>
  <c r="F15" i="6"/>
  <c r="G15" i="6" s="1"/>
  <c r="AP15" i="6"/>
  <c r="AQ15" i="6" s="1"/>
  <c r="BT15" i="6"/>
  <c r="BU15" i="6" s="1"/>
  <c r="BV15" i="6" s="1"/>
  <c r="BW15" i="6" s="1"/>
  <c r="BX15" i="6" s="1"/>
  <c r="X15" i="6"/>
  <c r="Y15" i="6" s="1"/>
  <c r="Z15" i="6" s="1"/>
  <c r="AA15" i="6" s="1"/>
  <c r="AB15" i="6" s="1"/>
  <c r="BN15" i="6"/>
  <c r="BO15" i="6" s="1"/>
  <c r="BZ15" i="6"/>
  <c r="CA15" i="6" s="1"/>
  <c r="L15" i="6"/>
  <c r="M15" i="6" s="1"/>
  <c r="AV15" i="6"/>
  <c r="AW15" i="6" s="1"/>
  <c r="FX57" i="6"/>
  <c r="FY57" i="6" s="1"/>
  <c r="EN57" i="6"/>
  <c r="EO57" i="6" s="1"/>
  <c r="GD57" i="6"/>
  <c r="GE57" i="6" s="1"/>
  <c r="DV57" i="6"/>
  <c r="DW57" i="6" s="1"/>
  <c r="FL57" i="6"/>
  <c r="FM57" i="6" s="1"/>
  <c r="EZ57" i="6"/>
  <c r="FA57" i="6" s="1"/>
  <c r="DJ57" i="6"/>
  <c r="DK57" i="6" s="1"/>
  <c r="FF57" i="6"/>
  <c r="FG57" i="6" s="1"/>
  <c r="FH57" i="6" s="1"/>
  <c r="FI57" i="6" s="1"/>
  <c r="FJ57" i="6" s="1"/>
  <c r="ET57" i="6"/>
  <c r="EU57" i="6" s="1"/>
  <c r="DD57" i="6"/>
  <c r="DE57" i="6" s="1"/>
  <c r="CX57" i="6"/>
  <c r="CY57" i="6" s="1"/>
  <c r="GJ57" i="6"/>
  <c r="GK57" i="6" s="1"/>
  <c r="CF57" i="6"/>
  <c r="CG57" i="6" s="1"/>
  <c r="EH57" i="6"/>
  <c r="EI57" i="6" s="1"/>
  <c r="CL57" i="6"/>
  <c r="CM57" i="6" s="1"/>
  <c r="EB57" i="6"/>
  <c r="EC57" i="6" s="1"/>
  <c r="DP57" i="6"/>
  <c r="DQ57" i="6" s="1"/>
  <c r="AD57" i="6"/>
  <c r="AE57" i="6" s="1"/>
  <c r="CR57" i="6"/>
  <c r="CS57" i="6" s="1"/>
  <c r="AP57" i="6"/>
  <c r="AQ57" i="6" s="1"/>
  <c r="AJ57" i="6"/>
  <c r="AK57" i="6" s="1"/>
  <c r="BB57" i="6"/>
  <c r="BC57" i="6" s="1"/>
  <c r="BH57" i="6"/>
  <c r="BI57" i="6" s="1"/>
  <c r="R57" i="6"/>
  <c r="S57" i="6" s="1"/>
  <c r="T57" i="6" s="1"/>
  <c r="U57" i="6" s="1"/>
  <c r="V57" i="6" s="1"/>
  <c r="F57" i="6"/>
  <c r="G57" i="6" s="1"/>
  <c r="BT57" i="6"/>
  <c r="BU57" i="6" s="1"/>
  <c r="X57" i="6"/>
  <c r="Y57" i="6" s="1"/>
  <c r="AV57" i="6"/>
  <c r="AW57" i="6" s="1"/>
  <c r="L57" i="6"/>
  <c r="M57" i="6" s="1"/>
  <c r="BN57" i="6"/>
  <c r="BO57" i="6" s="1"/>
  <c r="BZ57" i="6"/>
  <c r="CA57" i="6" s="1"/>
  <c r="GJ73" i="6"/>
  <c r="GK73" i="6" s="1"/>
  <c r="GD73" i="6"/>
  <c r="GE73" i="6" s="1"/>
  <c r="ET73" i="6"/>
  <c r="EU73" i="6" s="1"/>
  <c r="EH73" i="6"/>
  <c r="EI73" i="6" s="1"/>
  <c r="CR73" i="6"/>
  <c r="CS73" i="6" s="1"/>
  <c r="FF73" i="6"/>
  <c r="FG73" i="6" s="1"/>
  <c r="FX73" i="6"/>
  <c r="FY73" i="6" s="1"/>
  <c r="FL73" i="6"/>
  <c r="FM73" i="6" s="1"/>
  <c r="DJ73" i="6"/>
  <c r="DK73" i="6" s="1"/>
  <c r="DL73" i="6" s="1"/>
  <c r="DM73" i="6" s="1"/>
  <c r="DN73" i="6" s="1"/>
  <c r="EZ73" i="6"/>
  <c r="FA73" i="6" s="1"/>
  <c r="DV73" i="6"/>
  <c r="DW73" i="6" s="1"/>
  <c r="DP73" i="6"/>
  <c r="DQ73" i="6" s="1"/>
  <c r="EN73" i="6"/>
  <c r="EO73" i="6" s="1"/>
  <c r="DD73" i="6"/>
  <c r="DE73" i="6" s="1"/>
  <c r="EB73" i="6"/>
  <c r="EC73" i="6" s="1"/>
  <c r="CL73" i="6"/>
  <c r="CM73" i="6" s="1"/>
  <c r="AD73" i="6"/>
  <c r="AE73" i="6" s="1"/>
  <c r="AF73" i="6" s="1"/>
  <c r="AG73" i="6" s="1"/>
  <c r="AH73" i="6" s="1"/>
  <c r="CF73" i="6"/>
  <c r="CG73" i="6" s="1"/>
  <c r="BB73" i="6"/>
  <c r="BC73" i="6" s="1"/>
  <c r="AP73" i="6"/>
  <c r="AQ73" i="6" s="1"/>
  <c r="R73" i="6"/>
  <c r="S73" i="6" s="1"/>
  <c r="CX73" i="6"/>
  <c r="CY73" i="6" s="1"/>
  <c r="BT73" i="6"/>
  <c r="BU73" i="6" s="1"/>
  <c r="X73" i="6"/>
  <c r="Y73" i="6" s="1"/>
  <c r="Z73" i="6" s="1"/>
  <c r="AA73" i="6" s="1"/>
  <c r="AB73" i="6" s="1"/>
  <c r="BN73" i="6"/>
  <c r="BO73" i="6" s="1"/>
  <c r="BP73" i="6" s="1"/>
  <c r="BQ73" i="6" s="1"/>
  <c r="BR73" i="6" s="1"/>
  <c r="BH73" i="6"/>
  <c r="BI73" i="6" s="1"/>
  <c r="L73" i="6"/>
  <c r="M73" i="6" s="1"/>
  <c r="AV73" i="6"/>
  <c r="AW73" i="6" s="1"/>
  <c r="AJ73" i="6"/>
  <c r="AK73" i="6" s="1"/>
  <c r="BZ73" i="6"/>
  <c r="CA73" i="6" s="1"/>
  <c r="F73" i="6"/>
  <c r="G73" i="6" s="1"/>
  <c r="GD31" i="6"/>
  <c r="GE31" i="6" s="1"/>
  <c r="FX31" i="6"/>
  <c r="FY31" i="6" s="1"/>
  <c r="FF31" i="6"/>
  <c r="FG31" i="6" s="1"/>
  <c r="EZ31" i="6"/>
  <c r="FA31" i="6" s="1"/>
  <c r="EB31" i="6"/>
  <c r="EC31" i="6" s="1"/>
  <c r="DP31" i="6"/>
  <c r="DQ31" i="6" s="1"/>
  <c r="DD31" i="6"/>
  <c r="DE31" i="6" s="1"/>
  <c r="DF31" i="6" s="1"/>
  <c r="DG31" i="6" s="1"/>
  <c r="DH31" i="6" s="1"/>
  <c r="DV31" i="6"/>
  <c r="DW31" i="6" s="1"/>
  <c r="DJ31" i="6"/>
  <c r="DK31" i="6" s="1"/>
  <c r="CR31" i="6"/>
  <c r="CS31" i="6" s="1"/>
  <c r="EH31" i="6"/>
  <c r="EI31" i="6" s="1"/>
  <c r="ET31" i="6"/>
  <c r="EU31" i="6" s="1"/>
  <c r="EN31" i="6"/>
  <c r="EO31" i="6" s="1"/>
  <c r="AD31" i="6"/>
  <c r="AE31" i="6" s="1"/>
  <c r="CF31" i="6"/>
  <c r="CG31" i="6" s="1"/>
  <c r="GJ31" i="6"/>
  <c r="GK31" i="6" s="1"/>
  <c r="FL31" i="6"/>
  <c r="FM31" i="6" s="1"/>
  <c r="CL31" i="6"/>
  <c r="CM31" i="6" s="1"/>
  <c r="R31" i="6"/>
  <c r="S31" i="6" s="1"/>
  <c r="BH31" i="6"/>
  <c r="BI31" i="6" s="1"/>
  <c r="AP31" i="6"/>
  <c r="AQ31" i="6" s="1"/>
  <c r="X31" i="6"/>
  <c r="Y31" i="6" s="1"/>
  <c r="BB31" i="6"/>
  <c r="BC31" i="6" s="1"/>
  <c r="CX31" i="6"/>
  <c r="CY31" i="6" s="1"/>
  <c r="CZ31" i="6" s="1"/>
  <c r="DA31" i="6" s="1"/>
  <c r="DB31" i="6" s="1"/>
  <c r="AJ31" i="6"/>
  <c r="AK31" i="6" s="1"/>
  <c r="F31" i="6"/>
  <c r="G31" i="6" s="1"/>
  <c r="BT31" i="6"/>
  <c r="BU31" i="6" s="1"/>
  <c r="BN31" i="6"/>
  <c r="BO31" i="6" s="1"/>
  <c r="AV31" i="6"/>
  <c r="AW31" i="6" s="1"/>
  <c r="L31" i="6"/>
  <c r="M31" i="6" s="1"/>
  <c r="BZ31" i="6"/>
  <c r="CA31" i="6" s="1"/>
  <c r="FX43" i="6"/>
  <c r="FY43" i="6" s="1"/>
  <c r="FF43" i="6"/>
  <c r="FG43" i="6" s="1"/>
  <c r="ET43" i="6"/>
  <c r="EU43" i="6" s="1"/>
  <c r="EV43" i="6" s="1"/>
  <c r="EW43" i="6" s="1"/>
  <c r="EX43" i="6" s="1"/>
  <c r="EZ43" i="6"/>
  <c r="FA43" i="6" s="1"/>
  <c r="GD43" i="6"/>
  <c r="GE43" i="6" s="1"/>
  <c r="DV43" i="6"/>
  <c r="DW43" i="6" s="1"/>
  <c r="DD43" i="6"/>
  <c r="DE43" i="6" s="1"/>
  <c r="CX43" i="6"/>
  <c r="CY43" i="6" s="1"/>
  <c r="EN43" i="6"/>
  <c r="EO43" i="6" s="1"/>
  <c r="EB43" i="6"/>
  <c r="EC43" i="6" s="1"/>
  <c r="GJ43" i="6"/>
  <c r="GK43" i="6" s="1"/>
  <c r="GL43" i="6" s="1"/>
  <c r="GM43" i="6" s="1"/>
  <c r="GN43" i="6" s="1"/>
  <c r="FL43" i="6"/>
  <c r="FM43" i="6" s="1"/>
  <c r="DP43" i="6"/>
  <c r="DQ43" i="6" s="1"/>
  <c r="EH43" i="6"/>
  <c r="EI43" i="6" s="1"/>
  <c r="EJ43" i="6" s="1"/>
  <c r="EK43" i="6" s="1"/>
  <c r="EL43" i="6" s="1"/>
  <c r="CR43" i="6"/>
  <c r="CS43" i="6" s="1"/>
  <c r="AD43" i="6"/>
  <c r="AE43" i="6" s="1"/>
  <c r="DJ43" i="6"/>
  <c r="DK43" i="6" s="1"/>
  <c r="BB43" i="6"/>
  <c r="BC43" i="6" s="1"/>
  <c r="AP43" i="6"/>
  <c r="AQ43" i="6" s="1"/>
  <c r="CL43" i="6"/>
  <c r="CM43" i="6" s="1"/>
  <c r="AJ43" i="6"/>
  <c r="AK43" i="6" s="1"/>
  <c r="CF43" i="6"/>
  <c r="CG43" i="6" s="1"/>
  <c r="CH43" i="6" s="1"/>
  <c r="CI43" i="6" s="1"/>
  <c r="CJ43" i="6" s="1"/>
  <c r="R43" i="6"/>
  <c r="S43" i="6" s="1"/>
  <c r="L43" i="6"/>
  <c r="M43" i="6" s="1"/>
  <c r="BT43" i="6"/>
  <c r="BU43" i="6" s="1"/>
  <c r="BN43" i="6"/>
  <c r="BO43" i="6" s="1"/>
  <c r="F43" i="6"/>
  <c r="G43" i="6" s="1"/>
  <c r="H43" i="6" s="1"/>
  <c r="I43" i="6" s="1"/>
  <c r="J43" i="6" s="1"/>
  <c r="BH43" i="6"/>
  <c r="BI43" i="6" s="1"/>
  <c r="X43" i="6"/>
  <c r="Y43" i="6" s="1"/>
  <c r="BZ43" i="6"/>
  <c r="CA43" i="6" s="1"/>
  <c r="AV43" i="6"/>
  <c r="AW43" i="6" s="1"/>
  <c r="GJ40" i="6"/>
  <c r="GK40" i="6" s="1"/>
  <c r="FF40" i="6"/>
  <c r="FG40" i="6" s="1"/>
  <c r="EB40" i="6"/>
  <c r="EC40" i="6" s="1"/>
  <c r="FX40" i="6"/>
  <c r="FY40" i="6" s="1"/>
  <c r="FZ40" i="6" s="1"/>
  <c r="GA40" i="6" s="1"/>
  <c r="GB40" i="6" s="1"/>
  <c r="ET40" i="6"/>
  <c r="EU40" i="6" s="1"/>
  <c r="DP40" i="6"/>
  <c r="DQ40" i="6" s="1"/>
  <c r="FL40" i="6"/>
  <c r="FM40" i="6" s="1"/>
  <c r="EZ40" i="6"/>
  <c r="FA40" i="6" s="1"/>
  <c r="DJ40" i="6"/>
  <c r="DK40" i="6" s="1"/>
  <c r="CR40" i="6"/>
  <c r="CS40" i="6" s="1"/>
  <c r="DD40" i="6"/>
  <c r="DE40" i="6" s="1"/>
  <c r="EN40" i="6"/>
  <c r="EO40" i="6" s="1"/>
  <c r="EP40" i="6" s="1"/>
  <c r="EQ40" i="6" s="1"/>
  <c r="ER40" i="6" s="1"/>
  <c r="DV40" i="6"/>
  <c r="DW40" i="6" s="1"/>
  <c r="CL40" i="6"/>
  <c r="CM40" i="6" s="1"/>
  <c r="AD40" i="6"/>
  <c r="AE40" i="6" s="1"/>
  <c r="GD40" i="6"/>
  <c r="GE40" i="6" s="1"/>
  <c r="CF40" i="6"/>
  <c r="CG40" i="6" s="1"/>
  <c r="CX40" i="6"/>
  <c r="CY40" i="6" s="1"/>
  <c r="AJ40" i="6"/>
  <c r="AK40" i="6" s="1"/>
  <c r="BB40" i="6"/>
  <c r="BC40" i="6" s="1"/>
  <c r="BD40" i="6" s="1"/>
  <c r="BE40" i="6" s="1"/>
  <c r="BF40" i="6" s="1"/>
  <c r="R40" i="6"/>
  <c r="S40" i="6" s="1"/>
  <c r="EH40" i="6"/>
  <c r="EI40" i="6" s="1"/>
  <c r="EJ40" i="6" s="1"/>
  <c r="EK40" i="6" s="1"/>
  <c r="EL40" i="6" s="1"/>
  <c r="BH40" i="6"/>
  <c r="BI40" i="6" s="1"/>
  <c r="AP40" i="6"/>
  <c r="AQ40" i="6" s="1"/>
  <c r="X40" i="6"/>
  <c r="Y40" i="6" s="1"/>
  <c r="BN40" i="6"/>
  <c r="BO40" i="6" s="1"/>
  <c r="BT40" i="6"/>
  <c r="BU40" i="6" s="1"/>
  <c r="F40" i="6"/>
  <c r="G40" i="6" s="1"/>
  <c r="H40" i="6" s="1"/>
  <c r="I40" i="6" s="1"/>
  <c r="J40" i="6" s="1"/>
  <c r="L40" i="6"/>
  <c r="M40" i="6" s="1"/>
  <c r="AV40" i="6"/>
  <c r="AW40" i="6" s="1"/>
  <c r="BZ40" i="6"/>
  <c r="CA40" i="6" s="1"/>
  <c r="FX65" i="6"/>
  <c r="FY65" i="6" s="1"/>
  <c r="EN65" i="6"/>
  <c r="EO65" i="6" s="1"/>
  <c r="GD65" i="6"/>
  <c r="GE65" i="6" s="1"/>
  <c r="EH65" i="6"/>
  <c r="EI65" i="6" s="1"/>
  <c r="CX65" i="6"/>
  <c r="CY65" i="6" s="1"/>
  <c r="CZ65" i="6" s="1"/>
  <c r="DA65" i="6" s="1"/>
  <c r="DB65" i="6" s="1"/>
  <c r="EZ65" i="6"/>
  <c r="FA65" i="6" s="1"/>
  <c r="FF65" i="6"/>
  <c r="FG65" i="6" s="1"/>
  <c r="DP65" i="6"/>
  <c r="DQ65" i="6" s="1"/>
  <c r="EB65" i="6"/>
  <c r="EC65" i="6" s="1"/>
  <c r="DJ65" i="6"/>
  <c r="DK65" i="6" s="1"/>
  <c r="CR65" i="6"/>
  <c r="CS65" i="6" s="1"/>
  <c r="GJ65" i="6"/>
  <c r="GK65" i="6" s="1"/>
  <c r="FL65" i="6"/>
  <c r="FM65" i="6" s="1"/>
  <c r="FN65" i="6" s="1"/>
  <c r="FO65" i="6" s="1"/>
  <c r="FP65" i="6" s="1"/>
  <c r="DV65" i="6"/>
  <c r="DW65" i="6" s="1"/>
  <c r="CF65" i="6"/>
  <c r="CG65" i="6" s="1"/>
  <c r="ET65" i="6"/>
  <c r="EU65" i="6" s="1"/>
  <c r="DD65" i="6"/>
  <c r="DE65" i="6" s="1"/>
  <c r="CL65" i="6"/>
  <c r="CM65" i="6" s="1"/>
  <c r="AD65" i="6"/>
  <c r="AE65" i="6" s="1"/>
  <c r="AP65" i="6"/>
  <c r="AQ65" i="6" s="1"/>
  <c r="AR65" i="6" s="1"/>
  <c r="AS65" i="6" s="1"/>
  <c r="AT65" i="6" s="1"/>
  <c r="BB65" i="6"/>
  <c r="BC65" i="6" s="1"/>
  <c r="BD65" i="6" s="1"/>
  <c r="BE65" i="6" s="1"/>
  <c r="BF65" i="6" s="1"/>
  <c r="R65" i="6"/>
  <c r="S65" i="6" s="1"/>
  <c r="BT65" i="6"/>
  <c r="BU65" i="6" s="1"/>
  <c r="F65" i="6"/>
  <c r="G65" i="6" s="1"/>
  <c r="BN65" i="6"/>
  <c r="BO65" i="6" s="1"/>
  <c r="L65" i="6"/>
  <c r="M65" i="6" s="1"/>
  <c r="X65" i="6"/>
  <c r="Y65" i="6" s="1"/>
  <c r="BH65" i="6"/>
  <c r="BI65" i="6" s="1"/>
  <c r="AJ65" i="6"/>
  <c r="AK65" i="6" s="1"/>
  <c r="AL65" i="6" s="1"/>
  <c r="AM65" i="6" s="1"/>
  <c r="AN65" i="6" s="1"/>
  <c r="AV65" i="6"/>
  <c r="AW65" i="6" s="1"/>
  <c r="AX65" i="6" s="1"/>
  <c r="AY65" i="6" s="1"/>
  <c r="AZ65" i="6" s="1"/>
  <c r="BZ65" i="6"/>
  <c r="CA65" i="6" s="1"/>
  <c r="GJ48" i="6"/>
  <c r="GK48" i="6" s="1"/>
  <c r="GD48" i="6"/>
  <c r="GE48" i="6" s="1"/>
  <c r="FX48" i="6"/>
  <c r="FY48" i="6" s="1"/>
  <c r="FL48" i="6"/>
  <c r="FM48" i="6" s="1"/>
  <c r="FN48" i="6" s="1"/>
  <c r="FO48" i="6" s="1"/>
  <c r="FP48" i="6" s="1"/>
  <c r="EZ48" i="6"/>
  <c r="FA48" i="6" s="1"/>
  <c r="ET48" i="6"/>
  <c r="EU48" i="6" s="1"/>
  <c r="EV48" i="6" s="1"/>
  <c r="EW48" i="6" s="1"/>
  <c r="EX48" i="6" s="1"/>
  <c r="FF48" i="6"/>
  <c r="FG48" i="6" s="1"/>
  <c r="EB48" i="6"/>
  <c r="EC48" i="6" s="1"/>
  <c r="DP48" i="6"/>
  <c r="DQ48" i="6" s="1"/>
  <c r="CR48" i="6"/>
  <c r="CS48" i="6" s="1"/>
  <c r="DV48" i="6"/>
  <c r="DW48" i="6" s="1"/>
  <c r="EN48" i="6"/>
  <c r="EO48" i="6" s="1"/>
  <c r="AD48" i="6"/>
  <c r="AE48" i="6" s="1"/>
  <c r="DD48" i="6"/>
  <c r="DE48" i="6" s="1"/>
  <c r="DF48" i="6" s="1"/>
  <c r="DG48" i="6" s="1"/>
  <c r="DH48" i="6" s="1"/>
  <c r="CL48" i="6"/>
  <c r="CM48" i="6" s="1"/>
  <c r="EH48" i="6"/>
  <c r="EI48" i="6" s="1"/>
  <c r="CF48" i="6"/>
  <c r="CG48" i="6" s="1"/>
  <c r="BB48" i="6"/>
  <c r="BC48" i="6" s="1"/>
  <c r="AP48" i="6"/>
  <c r="AQ48" i="6" s="1"/>
  <c r="CX48" i="6"/>
  <c r="CY48" i="6" s="1"/>
  <c r="CZ48" i="6" s="1"/>
  <c r="DA48" i="6" s="1"/>
  <c r="DB48" i="6" s="1"/>
  <c r="BH48" i="6"/>
  <c r="BI48" i="6" s="1"/>
  <c r="DJ48" i="6"/>
  <c r="DK48" i="6" s="1"/>
  <c r="R48" i="6"/>
  <c r="S48" i="6" s="1"/>
  <c r="AJ48" i="6"/>
  <c r="AK48" i="6" s="1"/>
  <c r="BT48" i="6"/>
  <c r="BU48" i="6" s="1"/>
  <c r="BN48" i="6"/>
  <c r="BO48" i="6" s="1"/>
  <c r="X48" i="6"/>
  <c r="Y48" i="6" s="1"/>
  <c r="F48" i="6"/>
  <c r="G48" i="6" s="1"/>
  <c r="AV48" i="6"/>
  <c r="AW48" i="6" s="1"/>
  <c r="BZ48" i="6"/>
  <c r="CA48" i="6" s="1"/>
  <c r="CB48" i="6" s="1"/>
  <c r="CC48" i="6" s="1"/>
  <c r="CD48" i="6" s="1"/>
  <c r="L48" i="6"/>
  <c r="M48" i="6" s="1"/>
  <c r="FX61" i="6"/>
  <c r="FY61" i="6" s="1"/>
  <c r="GD61" i="6"/>
  <c r="GE61" i="6" s="1"/>
  <c r="GF61" i="6" s="1"/>
  <c r="GG61" i="6" s="1"/>
  <c r="GH61" i="6" s="1"/>
  <c r="EN61" i="6"/>
  <c r="EO61" i="6" s="1"/>
  <c r="EZ61" i="6"/>
  <c r="FA61" i="6" s="1"/>
  <c r="EH61" i="6"/>
  <c r="EI61" i="6" s="1"/>
  <c r="GJ61" i="6"/>
  <c r="GK61" i="6" s="1"/>
  <c r="DJ61" i="6"/>
  <c r="DK61" i="6" s="1"/>
  <c r="DL61" i="6" s="1"/>
  <c r="DM61" i="6" s="1"/>
  <c r="DN61" i="6" s="1"/>
  <c r="CR61" i="6"/>
  <c r="CS61" i="6" s="1"/>
  <c r="ET61" i="6"/>
  <c r="EU61" i="6" s="1"/>
  <c r="DV61" i="6"/>
  <c r="DW61" i="6" s="1"/>
  <c r="FL61" i="6"/>
  <c r="FM61" i="6" s="1"/>
  <c r="EB61" i="6"/>
  <c r="EC61" i="6" s="1"/>
  <c r="CF61" i="6"/>
  <c r="CG61" i="6" s="1"/>
  <c r="AD61" i="6"/>
  <c r="AE61" i="6" s="1"/>
  <c r="BB61" i="6"/>
  <c r="BC61" i="6" s="1"/>
  <c r="BD61" i="6" s="1"/>
  <c r="BE61" i="6" s="1"/>
  <c r="BF61" i="6" s="1"/>
  <c r="DP61" i="6"/>
  <c r="DQ61" i="6" s="1"/>
  <c r="CX61" i="6"/>
  <c r="CY61" i="6" s="1"/>
  <c r="DD61" i="6"/>
  <c r="DE61" i="6" s="1"/>
  <c r="DF61" i="6" s="1"/>
  <c r="DG61" i="6" s="1"/>
  <c r="DH61" i="6" s="1"/>
  <c r="CL61" i="6"/>
  <c r="CM61" i="6" s="1"/>
  <c r="FF61" i="6"/>
  <c r="FG61" i="6" s="1"/>
  <c r="R61" i="6"/>
  <c r="S61" i="6" s="1"/>
  <c r="AP61" i="6"/>
  <c r="AQ61" i="6" s="1"/>
  <c r="BH61" i="6"/>
  <c r="BI61" i="6" s="1"/>
  <c r="BJ61" i="6" s="1"/>
  <c r="BK61" i="6" s="1"/>
  <c r="BL61" i="6" s="1"/>
  <c r="BT61" i="6"/>
  <c r="BU61" i="6" s="1"/>
  <c r="AJ61" i="6"/>
  <c r="AK61" i="6" s="1"/>
  <c r="X61" i="6"/>
  <c r="Y61" i="6" s="1"/>
  <c r="Z61" i="6" s="1"/>
  <c r="AA61" i="6" s="1"/>
  <c r="AB61" i="6" s="1"/>
  <c r="BN61" i="6"/>
  <c r="BO61" i="6" s="1"/>
  <c r="F61" i="6"/>
  <c r="G61" i="6" s="1"/>
  <c r="AV61" i="6"/>
  <c r="AW61" i="6" s="1"/>
  <c r="L61" i="6"/>
  <c r="M61" i="6" s="1"/>
  <c r="BZ61" i="6"/>
  <c r="CA61" i="6" s="1"/>
  <c r="CB61" i="6" s="1"/>
  <c r="CC61" i="6" s="1"/>
  <c r="CD61" i="6" s="1"/>
  <c r="GD17" i="6"/>
  <c r="GE17" i="6" s="1"/>
  <c r="FX17" i="6"/>
  <c r="FY17" i="6" s="1"/>
  <c r="FZ17" i="6" s="1"/>
  <c r="GA17" i="6" s="1"/>
  <c r="GB17" i="6" s="1"/>
  <c r="FF17" i="6"/>
  <c r="FG17" i="6" s="1"/>
  <c r="FH17" i="6" s="1"/>
  <c r="FI17" i="6" s="1"/>
  <c r="FJ17" i="6" s="1"/>
  <c r="EN17" i="6"/>
  <c r="EO17" i="6" s="1"/>
  <c r="DD17" i="6"/>
  <c r="DE17" i="6" s="1"/>
  <c r="CX17" i="6"/>
  <c r="CY17" i="6" s="1"/>
  <c r="CR17" i="6"/>
  <c r="CS17" i="6" s="1"/>
  <c r="DV17" i="6"/>
  <c r="DW17" i="6" s="1"/>
  <c r="DJ17" i="6"/>
  <c r="DK17" i="6" s="1"/>
  <c r="EB17" i="6"/>
  <c r="EC17" i="6" s="1"/>
  <c r="AD17" i="6"/>
  <c r="AE17" i="6" s="1"/>
  <c r="DP17" i="6"/>
  <c r="DQ17" i="6" s="1"/>
  <c r="CL17" i="6"/>
  <c r="CM17" i="6" s="1"/>
  <c r="GJ17" i="6"/>
  <c r="GK17" i="6" s="1"/>
  <c r="ET17" i="6"/>
  <c r="EU17" i="6" s="1"/>
  <c r="EH17" i="6"/>
  <c r="EI17" i="6" s="1"/>
  <c r="EJ17" i="6" s="1"/>
  <c r="EK17" i="6" s="1"/>
  <c r="EL17" i="6" s="1"/>
  <c r="EZ17" i="6"/>
  <c r="FA17" i="6" s="1"/>
  <c r="CF17" i="6"/>
  <c r="CG17" i="6" s="1"/>
  <c r="BB17" i="6"/>
  <c r="BC17" i="6" s="1"/>
  <c r="AJ17" i="6"/>
  <c r="AK17" i="6" s="1"/>
  <c r="BH17" i="6"/>
  <c r="BI17" i="6" s="1"/>
  <c r="FL17" i="6"/>
  <c r="FM17" i="6" s="1"/>
  <c r="BT17" i="6"/>
  <c r="BU17" i="6" s="1"/>
  <c r="X17" i="6"/>
  <c r="Y17" i="6" s="1"/>
  <c r="Z17" i="6" s="1"/>
  <c r="AA17" i="6" s="1"/>
  <c r="AB17" i="6" s="1"/>
  <c r="BN17" i="6"/>
  <c r="BO17" i="6" s="1"/>
  <c r="AP17" i="6"/>
  <c r="AQ17" i="6" s="1"/>
  <c r="R17" i="6"/>
  <c r="S17" i="6" s="1"/>
  <c r="L17" i="6"/>
  <c r="M17" i="6" s="1"/>
  <c r="F17" i="6"/>
  <c r="G17" i="6" s="1"/>
  <c r="AV17" i="6"/>
  <c r="AW17" i="6" s="1"/>
  <c r="BZ17" i="6"/>
  <c r="CA17" i="6" s="1"/>
  <c r="CB17" i="6" s="1"/>
  <c r="CC17" i="6" s="1"/>
  <c r="CD17" i="6" s="1"/>
  <c r="GD22" i="6"/>
  <c r="GE22" i="6" s="1"/>
  <c r="GF22" i="6" s="1"/>
  <c r="GG22" i="6" s="1"/>
  <c r="GH22" i="6" s="1"/>
  <c r="FF22" i="6"/>
  <c r="FG22" i="6" s="1"/>
  <c r="EH22" i="6"/>
  <c r="EI22" i="6" s="1"/>
  <c r="ET22" i="6"/>
  <c r="EU22" i="6" s="1"/>
  <c r="DJ22" i="6"/>
  <c r="DK22" i="6" s="1"/>
  <c r="GJ22" i="6"/>
  <c r="GK22" i="6" s="1"/>
  <c r="DV22" i="6"/>
  <c r="DW22" i="6" s="1"/>
  <c r="DD22" i="6"/>
  <c r="DE22" i="6" s="1"/>
  <c r="CX22" i="6"/>
  <c r="CY22" i="6" s="1"/>
  <c r="FX22" i="6"/>
  <c r="FY22" i="6" s="1"/>
  <c r="EN22" i="6"/>
  <c r="EO22" i="6" s="1"/>
  <c r="EB22" i="6"/>
  <c r="EC22" i="6" s="1"/>
  <c r="FL22" i="6"/>
  <c r="FM22" i="6" s="1"/>
  <c r="EZ22" i="6"/>
  <c r="FA22" i="6" s="1"/>
  <c r="CF22" i="6"/>
  <c r="CG22" i="6" s="1"/>
  <c r="BB22" i="6"/>
  <c r="BC22" i="6" s="1"/>
  <c r="BD22" i="6" s="1"/>
  <c r="BE22" i="6" s="1"/>
  <c r="BF22" i="6" s="1"/>
  <c r="CR22" i="6"/>
  <c r="CS22" i="6" s="1"/>
  <c r="CT22" i="6" s="1"/>
  <c r="CU22" i="6" s="1"/>
  <c r="CV22" i="6" s="1"/>
  <c r="CL22" i="6"/>
  <c r="CM22" i="6" s="1"/>
  <c r="DP22" i="6"/>
  <c r="DQ22" i="6" s="1"/>
  <c r="AD22" i="6"/>
  <c r="AE22" i="6" s="1"/>
  <c r="AP22" i="6"/>
  <c r="AQ22" i="6" s="1"/>
  <c r="BH22" i="6"/>
  <c r="BI22" i="6" s="1"/>
  <c r="AJ22" i="6"/>
  <c r="AK22" i="6" s="1"/>
  <c r="R22" i="6"/>
  <c r="S22" i="6" s="1"/>
  <c r="BT22" i="6"/>
  <c r="BU22" i="6" s="1"/>
  <c r="BV22" i="6" s="1"/>
  <c r="BW22" i="6" s="1"/>
  <c r="BX22" i="6" s="1"/>
  <c r="BN22" i="6"/>
  <c r="BO22" i="6" s="1"/>
  <c r="X22" i="6"/>
  <c r="Y22" i="6" s="1"/>
  <c r="F22" i="6"/>
  <c r="G22" i="6" s="1"/>
  <c r="H22" i="6" s="1"/>
  <c r="I22" i="6" s="1"/>
  <c r="J22" i="6" s="1"/>
  <c r="AV22" i="6"/>
  <c r="AW22" i="6" s="1"/>
  <c r="BZ22" i="6"/>
  <c r="CA22" i="6" s="1"/>
  <c r="L22" i="6"/>
  <c r="M22" i="6" s="1"/>
  <c r="FX42" i="6"/>
  <c r="FY42" i="6" s="1"/>
  <c r="ET42" i="6"/>
  <c r="EU42" i="6" s="1"/>
  <c r="EV42" i="6" s="1"/>
  <c r="EW42" i="6" s="1"/>
  <c r="EX42" i="6" s="1"/>
  <c r="FF42" i="6"/>
  <c r="FG42" i="6" s="1"/>
  <c r="EB42" i="6"/>
  <c r="EC42" i="6" s="1"/>
  <c r="GD42" i="6"/>
  <c r="GE42" i="6" s="1"/>
  <c r="GF42" i="6" s="1"/>
  <c r="GG42" i="6" s="1"/>
  <c r="GH42" i="6" s="1"/>
  <c r="GJ42" i="6"/>
  <c r="GK42" i="6" s="1"/>
  <c r="DJ42" i="6"/>
  <c r="DK42" i="6" s="1"/>
  <c r="EH42" i="6"/>
  <c r="EI42" i="6" s="1"/>
  <c r="CX42" i="6"/>
  <c r="CY42" i="6" s="1"/>
  <c r="AD42" i="6"/>
  <c r="AE42" i="6" s="1"/>
  <c r="EZ42" i="6"/>
  <c r="FA42" i="6" s="1"/>
  <c r="DV42" i="6"/>
  <c r="DW42" i="6" s="1"/>
  <c r="CL42" i="6"/>
  <c r="CM42" i="6" s="1"/>
  <c r="FL42" i="6"/>
  <c r="FM42" i="6" s="1"/>
  <c r="FN42" i="6" s="1"/>
  <c r="FO42" i="6" s="1"/>
  <c r="FP42" i="6" s="1"/>
  <c r="DD42" i="6"/>
  <c r="DE42" i="6" s="1"/>
  <c r="BB42" i="6"/>
  <c r="BC42" i="6" s="1"/>
  <c r="CR42" i="6"/>
  <c r="CS42" i="6" s="1"/>
  <c r="EN42" i="6"/>
  <c r="EO42" i="6" s="1"/>
  <c r="EP42" i="6" s="1"/>
  <c r="EQ42" i="6" s="1"/>
  <c r="ER42" i="6" s="1"/>
  <c r="DP42" i="6"/>
  <c r="DQ42" i="6" s="1"/>
  <c r="AJ42" i="6"/>
  <c r="AK42" i="6" s="1"/>
  <c r="BT42" i="6"/>
  <c r="BU42" i="6" s="1"/>
  <c r="BV42" i="6" s="1"/>
  <c r="BW42" i="6" s="1"/>
  <c r="BX42" i="6" s="1"/>
  <c r="R42" i="6"/>
  <c r="S42" i="6" s="1"/>
  <c r="BH42" i="6"/>
  <c r="BI42" i="6" s="1"/>
  <c r="AP42" i="6"/>
  <c r="AQ42" i="6" s="1"/>
  <c r="X42" i="6"/>
  <c r="Y42" i="6" s="1"/>
  <c r="CF42" i="6"/>
  <c r="CG42" i="6" s="1"/>
  <c r="CH42" i="6" s="1"/>
  <c r="CI42" i="6" s="1"/>
  <c r="CJ42" i="6" s="1"/>
  <c r="F42" i="6"/>
  <c r="G42" i="6" s="1"/>
  <c r="L42" i="6"/>
  <c r="M42" i="6" s="1"/>
  <c r="BN42" i="6"/>
  <c r="BO42" i="6" s="1"/>
  <c r="AV42" i="6"/>
  <c r="AW42" i="6" s="1"/>
  <c r="BZ42" i="6"/>
  <c r="CA42" i="6" s="1"/>
  <c r="FX28" i="6"/>
  <c r="FY28" i="6" s="1"/>
  <c r="FZ28" i="6" s="1"/>
  <c r="GA28" i="6" s="1"/>
  <c r="GB28" i="6" s="1"/>
  <c r="GJ28" i="6"/>
  <c r="GK28" i="6" s="1"/>
  <c r="FF28" i="6"/>
  <c r="FG28" i="6" s="1"/>
  <c r="FH28" i="6" s="1"/>
  <c r="FI28" i="6" s="1"/>
  <c r="FJ28" i="6" s="1"/>
  <c r="EN28" i="6"/>
  <c r="EO28" i="6" s="1"/>
  <c r="FL28" i="6"/>
  <c r="FM28" i="6" s="1"/>
  <c r="DD28" i="6"/>
  <c r="DE28" i="6" s="1"/>
  <c r="ET28" i="6"/>
  <c r="EU28" i="6" s="1"/>
  <c r="EB28" i="6"/>
  <c r="EC28" i="6" s="1"/>
  <c r="GD28" i="6"/>
  <c r="GE28" i="6" s="1"/>
  <c r="DP28" i="6"/>
  <c r="DQ28" i="6" s="1"/>
  <c r="EZ28" i="6"/>
  <c r="FA28" i="6" s="1"/>
  <c r="EH28" i="6"/>
  <c r="EI28" i="6" s="1"/>
  <c r="EJ28" i="6" s="1"/>
  <c r="EK28" i="6" s="1"/>
  <c r="EL28" i="6" s="1"/>
  <c r="CR28" i="6"/>
  <c r="CS28" i="6" s="1"/>
  <c r="CL28" i="6"/>
  <c r="CM28" i="6" s="1"/>
  <c r="CN28" i="6" s="1"/>
  <c r="CO28" i="6" s="1"/>
  <c r="CP28" i="6" s="1"/>
  <c r="AD28" i="6"/>
  <c r="AE28" i="6" s="1"/>
  <c r="AF28" i="6" s="1"/>
  <c r="AG28" i="6" s="1"/>
  <c r="AH28" i="6" s="1"/>
  <c r="CX28" i="6"/>
  <c r="CY28" i="6" s="1"/>
  <c r="CF28" i="6"/>
  <c r="CG28" i="6" s="1"/>
  <c r="DV28" i="6"/>
  <c r="DW28" i="6" s="1"/>
  <c r="DJ28" i="6"/>
  <c r="DK28" i="6" s="1"/>
  <c r="DL28" i="6" s="1"/>
  <c r="DM28" i="6" s="1"/>
  <c r="DN28" i="6" s="1"/>
  <c r="AJ28" i="6"/>
  <c r="AK28" i="6" s="1"/>
  <c r="BB28" i="6"/>
  <c r="BC28" i="6" s="1"/>
  <c r="BH28" i="6"/>
  <c r="BI28" i="6" s="1"/>
  <c r="BJ28" i="6" s="1"/>
  <c r="BK28" i="6" s="1"/>
  <c r="BL28" i="6" s="1"/>
  <c r="AP28" i="6"/>
  <c r="AQ28" i="6" s="1"/>
  <c r="BT28" i="6"/>
  <c r="BU28" i="6" s="1"/>
  <c r="X28" i="6"/>
  <c r="Y28" i="6" s="1"/>
  <c r="F28" i="6"/>
  <c r="G28" i="6" s="1"/>
  <c r="R28" i="6"/>
  <c r="S28" i="6" s="1"/>
  <c r="T28" i="6" s="1"/>
  <c r="U28" i="6" s="1"/>
  <c r="V28" i="6" s="1"/>
  <c r="AV28" i="6"/>
  <c r="AW28" i="6" s="1"/>
  <c r="BN28" i="6"/>
  <c r="BO28" i="6" s="1"/>
  <c r="BP28" i="6" s="1"/>
  <c r="BQ28" i="6" s="1"/>
  <c r="BR28" i="6" s="1"/>
  <c r="L28" i="6"/>
  <c r="M28" i="6" s="1"/>
  <c r="N28" i="6" s="1"/>
  <c r="O28" i="6" s="1"/>
  <c r="P28" i="6" s="1"/>
  <c r="BZ28" i="6"/>
  <c r="CA28" i="6" s="1"/>
  <c r="CB28" i="6" s="1"/>
  <c r="CC28" i="6" s="1"/>
  <c r="CD28" i="6" s="1"/>
  <c r="FX58" i="6"/>
  <c r="FY58" i="6" s="1"/>
  <c r="GD58" i="6"/>
  <c r="GE58" i="6" s="1"/>
  <c r="FL58" i="6"/>
  <c r="FM58" i="6" s="1"/>
  <c r="EN58" i="6"/>
  <c r="EO58" i="6" s="1"/>
  <c r="EP58" i="6" s="1"/>
  <c r="EQ58" i="6" s="1"/>
  <c r="ER58" i="6" s="1"/>
  <c r="DV58" i="6"/>
  <c r="DW58" i="6" s="1"/>
  <c r="DP58" i="6"/>
  <c r="DQ58" i="6" s="1"/>
  <c r="GJ58" i="6"/>
  <c r="GK58" i="6" s="1"/>
  <c r="ET58" i="6"/>
  <c r="EU58" i="6" s="1"/>
  <c r="EB58" i="6"/>
  <c r="EC58" i="6" s="1"/>
  <c r="CR58" i="6"/>
  <c r="CS58" i="6" s="1"/>
  <c r="DD58" i="6"/>
  <c r="DE58" i="6" s="1"/>
  <c r="EZ58" i="6"/>
  <c r="FA58" i="6" s="1"/>
  <c r="FB58" i="6" s="1"/>
  <c r="FC58" i="6" s="1"/>
  <c r="FD58" i="6" s="1"/>
  <c r="EH58" i="6"/>
  <c r="EI58" i="6" s="1"/>
  <c r="AD58" i="6"/>
  <c r="AE58" i="6" s="1"/>
  <c r="BB58" i="6"/>
  <c r="BC58" i="6" s="1"/>
  <c r="FF58" i="6"/>
  <c r="FG58" i="6" s="1"/>
  <c r="CL58" i="6"/>
  <c r="CM58" i="6" s="1"/>
  <c r="CF58" i="6"/>
  <c r="CG58" i="6" s="1"/>
  <c r="DJ58" i="6"/>
  <c r="DK58" i="6" s="1"/>
  <c r="CX58" i="6"/>
  <c r="CY58" i="6" s="1"/>
  <c r="CZ58" i="6" s="1"/>
  <c r="DA58" i="6" s="1"/>
  <c r="DB58" i="6" s="1"/>
  <c r="AJ58" i="6"/>
  <c r="AK58" i="6" s="1"/>
  <c r="R58" i="6"/>
  <c r="S58" i="6" s="1"/>
  <c r="AP58" i="6"/>
  <c r="AQ58" i="6" s="1"/>
  <c r="BN58" i="6"/>
  <c r="BO58" i="6" s="1"/>
  <c r="BT58" i="6"/>
  <c r="BU58" i="6" s="1"/>
  <c r="F58" i="6"/>
  <c r="G58" i="6" s="1"/>
  <c r="AV58" i="6"/>
  <c r="AW58" i="6" s="1"/>
  <c r="BH58" i="6"/>
  <c r="BI58" i="6" s="1"/>
  <c r="BJ58" i="6" s="1"/>
  <c r="BK58" i="6" s="1"/>
  <c r="BL58" i="6" s="1"/>
  <c r="L58" i="6"/>
  <c r="M58" i="6" s="1"/>
  <c r="BZ58" i="6"/>
  <c r="CA58" i="6" s="1"/>
  <c r="CB58" i="6" s="1"/>
  <c r="CC58" i="6" s="1"/>
  <c r="CD58" i="6" s="1"/>
  <c r="X58" i="6"/>
  <c r="Y58" i="6" s="1"/>
  <c r="FX77" i="6"/>
  <c r="FY77" i="6" s="1"/>
  <c r="ET77" i="6"/>
  <c r="EU77" i="6" s="1"/>
  <c r="EN77" i="6"/>
  <c r="EO77" i="6" s="1"/>
  <c r="FL77" i="6"/>
  <c r="FM77" i="6" s="1"/>
  <c r="EB77" i="6"/>
  <c r="EC77" i="6" s="1"/>
  <c r="ED77" i="6" s="1"/>
  <c r="EE77" i="6" s="1"/>
  <c r="EF77" i="6" s="1"/>
  <c r="DV77" i="6"/>
  <c r="DW77" i="6" s="1"/>
  <c r="GD77" i="6"/>
  <c r="GE77" i="6" s="1"/>
  <c r="GF77" i="6" s="1"/>
  <c r="GG77" i="6" s="1"/>
  <c r="GH77" i="6" s="1"/>
  <c r="DP77" i="6"/>
  <c r="DQ77" i="6" s="1"/>
  <c r="EZ77" i="6"/>
  <c r="FA77" i="6" s="1"/>
  <c r="FF77" i="6"/>
  <c r="FG77" i="6" s="1"/>
  <c r="CR77" i="6"/>
  <c r="CS77" i="6" s="1"/>
  <c r="CT77" i="6" s="1"/>
  <c r="CU77" i="6" s="1"/>
  <c r="CV77" i="6" s="1"/>
  <c r="AD77" i="6"/>
  <c r="AE77" i="6" s="1"/>
  <c r="AF77" i="6" s="1"/>
  <c r="AG77" i="6" s="1"/>
  <c r="AH77" i="6" s="1"/>
  <c r="BB77" i="6"/>
  <c r="BC77" i="6" s="1"/>
  <c r="BD77" i="6" s="1"/>
  <c r="BE77" i="6" s="1"/>
  <c r="BF77" i="6" s="1"/>
  <c r="GJ77" i="6"/>
  <c r="GK77" i="6" s="1"/>
  <c r="EH77" i="6"/>
  <c r="EI77" i="6" s="1"/>
  <c r="CF77" i="6"/>
  <c r="CG77" i="6" s="1"/>
  <c r="DD77" i="6"/>
  <c r="DE77" i="6" s="1"/>
  <c r="BH77" i="6"/>
  <c r="BI77" i="6" s="1"/>
  <c r="CX77" i="6"/>
  <c r="CY77" i="6" s="1"/>
  <c r="R77" i="6"/>
  <c r="S77" i="6" s="1"/>
  <c r="AJ77" i="6"/>
  <c r="AK77" i="6" s="1"/>
  <c r="AL77" i="6" s="1"/>
  <c r="AM77" i="6" s="1"/>
  <c r="AN77" i="6" s="1"/>
  <c r="DJ77" i="6"/>
  <c r="DK77" i="6" s="1"/>
  <c r="CL77" i="6"/>
  <c r="CM77" i="6" s="1"/>
  <c r="AP77" i="6"/>
  <c r="AQ77" i="6" s="1"/>
  <c r="BT77" i="6"/>
  <c r="BU77" i="6" s="1"/>
  <c r="F77" i="6"/>
  <c r="G77" i="6" s="1"/>
  <c r="H77" i="6" s="1"/>
  <c r="I77" i="6" s="1"/>
  <c r="J77" i="6" s="1"/>
  <c r="AV77" i="6"/>
  <c r="AW77" i="6" s="1"/>
  <c r="X77" i="6"/>
  <c r="Y77" i="6" s="1"/>
  <c r="BN77" i="6"/>
  <c r="BO77" i="6" s="1"/>
  <c r="BP77" i="6" s="1"/>
  <c r="BQ77" i="6" s="1"/>
  <c r="BR77" i="6" s="1"/>
  <c r="L77" i="6"/>
  <c r="M77" i="6" s="1"/>
  <c r="BZ77" i="6"/>
  <c r="CA77" i="6" s="1"/>
  <c r="FX29" i="6"/>
  <c r="FY29" i="6" s="1"/>
  <c r="GD29" i="6"/>
  <c r="GE29" i="6" s="1"/>
  <c r="ET29" i="6"/>
  <c r="EU29" i="6" s="1"/>
  <c r="EV29" i="6" s="1"/>
  <c r="EW29" i="6" s="1"/>
  <c r="EX29" i="6" s="1"/>
  <c r="EZ29" i="6"/>
  <c r="FA29" i="6" s="1"/>
  <c r="EB29" i="6"/>
  <c r="EC29" i="6" s="1"/>
  <c r="EH29" i="6"/>
  <c r="EI29" i="6" s="1"/>
  <c r="EJ29" i="6" s="1"/>
  <c r="EK29" i="6" s="1"/>
  <c r="EL29" i="6" s="1"/>
  <c r="FF29" i="6"/>
  <c r="FG29" i="6" s="1"/>
  <c r="FH29" i="6" s="1"/>
  <c r="FI29" i="6" s="1"/>
  <c r="FJ29" i="6" s="1"/>
  <c r="DP29" i="6"/>
  <c r="DQ29" i="6" s="1"/>
  <c r="CR29" i="6"/>
  <c r="CS29" i="6" s="1"/>
  <c r="CT29" i="6" s="1"/>
  <c r="CU29" i="6" s="1"/>
  <c r="CV29" i="6" s="1"/>
  <c r="DD29" i="6"/>
  <c r="DE29" i="6" s="1"/>
  <c r="DF29" i="6" s="1"/>
  <c r="DG29" i="6" s="1"/>
  <c r="DH29" i="6" s="1"/>
  <c r="DV29" i="6"/>
  <c r="DW29" i="6" s="1"/>
  <c r="CL29" i="6"/>
  <c r="CM29" i="6" s="1"/>
  <c r="AD29" i="6"/>
  <c r="AE29" i="6" s="1"/>
  <c r="CF29" i="6"/>
  <c r="CG29" i="6" s="1"/>
  <c r="CH29" i="6" s="1"/>
  <c r="CI29" i="6" s="1"/>
  <c r="CJ29" i="6" s="1"/>
  <c r="FL29" i="6"/>
  <c r="FM29" i="6" s="1"/>
  <c r="DJ29" i="6"/>
  <c r="DK29" i="6" s="1"/>
  <c r="EN29" i="6"/>
  <c r="EO29" i="6" s="1"/>
  <c r="AJ29" i="6"/>
  <c r="AK29" i="6" s="1"/>
  <c r="GJ29" i="6"/>
  <c r="GK29" i="6" s="1"/>
  <c r="AP29" i="6"/>
  <c r="AQ29" i="6" s="1"/>
  <c r="AR29" i="6" s="1"/>
  <c r="AS29" i="6" s="1"/>
  <c r="AT29" i="6" s="1"/>
  <c r="BH29" i="6"/>
  <c r="BI29" i="6" s="1"/>
  <c r="CX29" i="6"/>
  <c r="CY29" i="6" s="1"/>
  <c r="CZ29" i="6" s="1"/>
  <c r="DA29" i="6" s="1"/>
  <c r="DB29" i="6" s="1"/>
  <c r="X29" i="6"/>
  <c r="Y29" i="6" s="1"/>
  <c r="BB29" i="6"/>
  <c r="BC29" i="6" s="1"/>
  <c r="R29" i="6"/>
  <c r="S29" i="6" s="1"/>
  <c r="F29" i="6"/>
  <c r="G29" i="6" s="1"/>
  <c r="BT29" i="6"/>
  <c r="BU29" i="6" s="1"/>
  <c r="BN29" i="6"/>
  <c r="BO29" i="6" s="1"/>
  <c r="L29" i="6"/>
  <c r="M29" i="6" s="1"/>
  <c r="AV29" i="6"/>
  <c r="AW29" i="6" s="1"/>
  <c r="AX29" i="6" s="1"/>
  <c r="AY29" i="6" s="1"/>
  <c r="AZ29" i="6" s="1"/>
  <c r="BZ29" i="6"/>
  <c r="CA29" i="6" s="1"/>
  <c r="GJ21" i="6"/>
  <c r="GK21" i="6" s="1"/>
  <c r="FX21" i="6"/>
  <c r="FY21" i="6" s="1"/>
  <c r="GD21" i="6"/>
  <c r="GE21" i="6" s="1"/>
  <c r="EN21" i="6"/>
  <c r="EO21" i="6" s="1"/>
  <c r="FL21" i="6"/>
  <c r="FM21" i="6" s="1"/>
  <c r="FN21" i="6" s="1"/>
  <c r="FO21" i="6" s="1"/>
  <c r="FP21" i="6" s="1"/>
  <c r="EZ21" i="6"/>
  <c r="FA21" i="6" s="1"/>
  <c r="DD21" i="6"/>
  <c r="DE21" i="6" s="1"/>
  <c r="DF21" i="6" s="1"/>
  <c r="DG21" i="6" s="1"/>
  <c r="DH21" i="6" s="1"/>
  <c r="FF21" i="6"/>
  <c r="FG21" i="6" s="1"/>
  <c r="CR21" i="6"/>
  <c r="CS21" i="6" s="1"/>
  <c r="DV21" i="6"/>
  <c r="DW21" i="6" s="1"/>
  <c r="DX21" i="6" s="1"/>
  <c r="DY21" i="6" s="1"/>
  <c r="DZ21" i="6" s="1"/>
  <c r="DJ21" i="6"/>
  <c r="DK21" i="6" s="1"/>
  <c r="DL21" i="6" s="1"/>
  <c r="DM21" i="6" s="1"/>
  <c r="DN21" i="6" s="1"/>
  <c r="EB21" i="6"/>
  <c r="EC21" i="6" s="1"/>
  <c r="ED21" i="6" s="1"/>
  <c r="EE21" i="6" s="1"/>
  <c r="EF21" i="6" s="1"/>
  <c r="ET21" i="6"/>
  <c r="EU21" i="6" s="1"/>
  <c r="AD21" i="6"/>
  <c r="AE21" i="6" s="1"/>
  <c r="DP21" i="6"/>
  <c r="DQ21" i="6" s="1"/>
  <c r="DR21" i="6" s="1"/>
  <c r="DS21" i="6" s="1"/>
  <c r="DT21" i="6" s="1"/>
  <c r="CX21" i="6"/>
  <c r="CY21" i="6" s="1"/>
  <c r="CF21" i="6"/>
  <c r="CG21" i="6" s="1"/>
  <c r="EH21" i="6"/>
  <c r="EI21" i="6" s="1"/>
  <c r="EJ21" i="6" s="1"/>
  <c r="EK21" i="6" s="1"/>
  <c r="EL21" i="6" s="1"/>
  <c r="CL21" i="6"/>
  <c r="CM21" i="6" s="1"/>
  <c r="AP21" i="6"/>
  <c r="AQ21" i="6" s="1"/>
  <c r="AR21" i="6" s="1"/>
  <c r="AS21" i="6" s="1"/>
  <c r="AT21" i="6" s="1"/>
  <c r="AJ21" i="6"/>
  <c r="AK21" i="6" s="1"/>
  <c r="L21" i="6"/>
  <c r="M21" i="6" s="1"/>
  <c r="X21" i="6"/>
  <c r="Y21" i="6" s="1"/>
  <c r="Z21" i="6" s="1"/>
  <c r="AA21" i="6" s="1"/>
  <c r="AB21" i="6" s="1"/>
  <c r="BB21" i="6"/>
  <c r="BC21" i="6" s="1"/>
  <c r="BT21" i="6"/>
  <c r="BU21" i="6" s="1"/>
  <c r="BH21" i="6"/>
  <c r="BI21" i="6" s="1"/>
  <c r="BJ21" i="6" s="1"/>
  <c r="BK21" i="6" s="1"/>
  <c r="BL21" i="6" s="1"/>
  <c r="BN21" i="6"/>
  <c r="BO21" i="6" s="1"/>
  <c r="R21" i="6"/>
  <c r="S21" i="6" s="1"/>
  <c r="F21" i="6"/>
  <c r="G21" i="6" s="1"/>
  <c r="AV21" i="6"/>
  <c r="AW21" i="6" s="1"/>
  <c r="BZ21" i="6"/>
  <c r="CA21" i="6" s="1"/>
  <c r="CB21" i="6" s="1"/>
  <c r="CC21" i="6" s="1"/>
  <c r="CD21" i="6" s="1"/>
  <c r="GJ35" i="6"/>
  <c r="GK35" i="6" s="1"/>
  <c r="FF35" i="6"/>
  <c r="FG35" i="6" s="1"/>
  <c r="FH35" i="6" s="1"/>
  <c r="FI35" i="6" s="1"/>
  <c r="FJ35" i="6" s="1"/>
  <c r="FX35" i="6"/>
  <c r="FY35" i="6" s="1"/>
  <c r="FZ35" i="6" s="1"/>
  <c r="GA35" i="6" s="1"/>
  <c r="GB35" i="6" s="1"/>
  <c r="EN35" i="6"/>
  <c r="EO35" i="6" s="1"/>
  <c r="DP35" i="6"/>
  <c r="DQ35" i="6" s="1"/>
  <c r="GD35" i="6"/>
  <c r="GE35" i="6" s="1"/>
  <c r="DV35" i="6"/>
  <c r="DW35" i="6" s="1"/>
  <c r="CR35" i="6"/>
  <c r="CS35" i="6" s="1"/>
  <c r="CT35" i="6" s="1"/>
  <c r="CU35" i="6" s="1"/>
  <c r="CV35" i="6" s="1"/>
  <c r="DJ35" i="6"/>
  <c r="DK35" i="6" s="1"/>
  <c r="DL35" i="6" s="1"/>
  <c r="DM35" i="6" s="1"/>
  <c r="DN35" i="6" s="1"/>
  <c r="FL35" i="6"/>
  <c r="FM35" i="6" s="1"/>
  <c r="EZ35" i="6"/>
  <c r="FA35" i="6" s="1"/>
  <c r="FB35" i="6" s="1"/>
  <c r="FC35" i="6" s="1"/>
  <c r="FD35" i="6" s="1"/>
  <c r="EB35" i="6"/>
  <c r="EC35" i="6" s="1"/>
  <c r="CX35" i="6"/>
  <c r="CY35" i="6" s="1"/>
  <c r="CF35" i="6"/>
  <c r="CG35" i="6" s="1"/>
  <c r="DD35" i="6"/>
  <c r="DE35" i="6" s="1"/>
  <c r="ET35" i="6"/>
  <c r="EU35" i="6" s="1"/>
  <c r="EV35" i="6" s="1"/>
  <c r="EW35" i="6" s="1"/>
  <c r="EX35" i="6" s="1"/>
  <c r="AD35" i="6"/>
  <c r="AE35" i="6" s="1"/>
  <c r="R35" i="6"/>
  <c r="S35" i="6" s="1"/>
  <c r="EH35" i="6"/>
  <c r="EI35" i="6" s="1"/>
  <c r="AJ35" i="6"/>
  <c r="AK35" i="6" s="1"/>
  <c r="CL35" i="6"/>
  <c r="CM35" i="6" s="1"/>
  <c r="BB35" i="6"/>
  <c r="BC35" i="6" s="1"/>
  <c r="AP35" i="6"/>
  <c r="AQ35" i="6" s="1"/>
  <c r="BH35" i="6"/>
  <c r="BI35" i="6" s="1"/>
  <c r="BJ35" i="6" s="1"/>
  <c r="BK35" i="6" s="1"/>
  <c r="BL35" i="6" s="1"/>
  <c r="BT35" i="6"/>
  <c r="BU35" i="6" s="1"/>
  <c r="BN35" i="6"/>
  <c r="BO35" i="6" s="1"/>
  <c r="F35" i="6"/>
  <c r="G35" i="6" s="1"/>
  <c r="X35" i="6"/>
  <c r="Y35" i="6" s="1"/>
  <c r="L35" i="6"/>
  <c r="M35" i="6" s="1"/>
  <c r="AV35" i="6"/>
  <c r="AW35" i="6" s="1"/>
  <c r="BZ35" i="6"/>
  <c r="CA35" i="6" s="1"/>
  <c r="FX47" i="6"/>
  <c r="FY47" i="6" s="1"/>
  <c r="FZ47" i="6" s="1"/>
  <c r="GA47" i="6" s="1"/>
  <c r="GB47" i="6" s="1"/>
  <c r="FL47" i="6"/>
  <c r="FM47" i="6" s="1"/>
  <c r="GJ47" i="6"/>
  <c r="GK47" i="6" s="1"/>
  <c r="GL47" i="6" s="1"/>
  <c r="GM47" i="6" s="1"/>
  <c r="GN47" i="6" s="1"/>
  <c r="ET47" i="6"/>
  <c r="EU47" i="6" s="1"/>
  <c r="EH47" i="6"/>
  <c r="EI47" i="6" s="1"/>
  <c r="EN47" i="6"/>
  <c r="EO47" i="6" s="1"/>
  <c r="GD47" i="6"/>
  <c r="GE47" i="6" s="1"/>
  <c r="DV47" i="6"/>
  <c r="DW47" i="6" s="1"/>
  <c r="CL47" i="6"/>
  <c r="CM47" i="6" s="1"/>
  <c r="CN47" i="6" s="1"/>
  <c r="CO47" i="6" s="1"/>
  <c r="CP47" i="6" s="1"/>
  <c r="FF47" i="6"/>
  <c r="FG47" i="6" s="1"/>
  <c r="DP47" i="6"/>
  <c r="DQ47" i="6" s="1"/>
  <c r="CR47" i="6"/>
  <c r="CS47" i="6" s="1"/>
  <c r="AD47" i="6"/>
  <c r="AE47" i="6" s="1"/>
  <c r="CX47" i="6"/>
  <c r="CY47" i="6" s="1"/>
  <c r="DJ47" i="6"/>
  <c r="DK47" i="6" s="1"/>
  <c r="DL47" i="6" s="1"/>
  <c r="DM47" i="6" s="1"/>
  <c r="DN47" i="6" s="1"/>
  <c r="EB47" i="6"/>
  <c r="EC47" i="6" s="1"/>
  <c r="CF47" i="6"/>
  <c r="CG47" i="6" s="1"/>
  <c r="CH47" i="6" s="1"/>
  <c r="CI47" i="6" s="1"/>
  <c r="CJ47" i="6" s="1"/>
  <c r="DD47" i="6"/>
  <c r="DE47" i="6" s="1"/>
  <c r="R47" i="6"/>
  <c r="S47" i="6" s="1"/>
  <c r="EZ47" i="6"/>
  <c r="FA47" i="6" s="1"/>
  <c r="FB47" i="6" s="1"/>
  <c r="FC47" i="6" s="1"/>
  <c r="FD47" i="6" s="1"/>
  <c r="BB47" i="6"/>
  <c r="BC47" i="6" s="1"/>
  <c r="BH47" i="6"/>
  <c r="BI47" i="6" s="1"/>
  <c r="AP47" i="6"/>
  <c r="AQ47" i="6" s="1"/>
  <c r="BT47" i="6"/>
  <c r="BU47" i="6" s="1"/>
  <c r="X47" i="6"/>
  <c r="Y47" i="6" s="1"/>
  <c r="Z47" i="6" s="1"/>
  <c r="AA47" i="6" s="1"/>
  <c r="AB47" i="6" s="1"/>
  <c r="AJ47" i="6"/>
  <c r="AK47" i="6" s="1"/>
  <c r="F47" i="6"/>
  <c r="G47" i="6" s="1"/>
  <c r="AV47" i="6"/>
  <c r="AW47" i="6" s="1"/>
  <c r="BN47" i="6"/>
  <c r="BO47" i="6" s="1"/>
  <c r="L47" i="6"/>
  <c r="M47" i="6" s="1"/>
  <c r="BZ47" i="6"/>
  <c r="CA47" i="6" s="1"/>
  <c r="GJ89" i="6"/>
  <c r="GK89" i="6" s="1"/>
  <c r="FF89" i="6"/>
  <c r="FG89" i="6" s="1"/>
  <c r="FH89" i="6" s="1"/>
  <c r="FI89" i="6" s="1"/>
  <c r="FJ89" i="6" s="1"/>
  <c r="FL89" i="6"/>
  <c r="FM89" i="6" s="1"/>
  <c r="GD89" i="6"/>
  <c r="GE89" i="6" s="1"/>
  <c r="EH89" i="6"/>
  <c r="EI89" i="6" s="1"/>
  <c r="EJ89" i="6" s="1"/>
  <c r="EK89" i="6" s="1"/>
  <c r="EL89" i="6" s="1"/>
  <c r="DP89" i="6"/>
  <c r="DQ89" i="6" s="1"/>
  <c r="DR89" i="6" s="1"/>
  <c r="DS89" i="6" s="1"/>
  <c r="DT89" i="6" s="1"/>
  <c r="DV89" i="6"/>
  <c r="DW89" i="6" s="1"/>
  <c r="DX89" i="6" s="1"/>
  <c r="DY89" i="6" s="1"/>
  <c r="DZ89" i="6" s="1"/>
  <c r="DJ89" i="6"/>
  <c r="DK89" i="6" s="1"/>
  <c r="CX89" i="6"/>
  <c r="CY89" i="6" s="1"/>
  <c r="FX89" i="6"/>
  <c r="FY89" i="6" s="1"/>
  <c r="FZ89" i="6" s="1"/>
  <c r="GA89" i="6" s="1"/>
  <c r="GB89" i="6" s="1"/>
  <c r="ET89" i="6"/>
  <c r="EU89" i="6" s="1"/>
  <c r="CL89" i="6"/>
  <c r="CM89" i="6" s="1"/>
  <c r="EZ89" i="6"/>
  <c r="FA89" i="6" s="1"/>
  <c r="FB89" i="6" s="1"/>
  <c r="FC89" i="6" s="1"/>
  <c r="FD89" i="6" s="1"/>
  <c r="DD89" i="6"/>
  <c r="DE89" i="6" s="1"/>
  <c r="CF89" i="6"/>
  <c r="CG89" i="6" s="1"/>
  <c r="EB89" i="6"/>
  <c r="EC89" i="6" s="1"/>
  <c r="BB89" i="6"/>
  <c r="BC89" i="6" s="1"/>
  <c r="BD89" i="6" s="1"/>
  <c r="BE89" i="6" s="1"/>
  <c r="BF89" i="6" s="1"/>
  <c r="CR89" i="6"/>
  <c r="CS89" i="6" s="1"/>
  <c r="AP89" i="6"/>
  <c r="AQ89" i="6" s="1"/>
  <c r="BH89" i="6"/>
  <c r="BI89" i="6" s="1"/>
  <c r="R89" i="6"/>
  <c r="S89" i="6" s="1"/>
  <c r="T89" i="6" s="1"/>
  <c r="U89" i="6" s="1"/>
  <c r="V89" i="6" s="1"/>
  <c r="AD89" i="6"/>
  <c r="AE89" i="6" s="1"/>
  <c r="AF89" i="6" s="1"/>
  <c r="AG89" i="6" s="1"/>
  <c r="AH89" i="6" s="1"/>
  <c r="AJ89" i="6"/>
  <c r="AK89" i="6" s="1"/>
  <c r="AL89" i="6" s="1"/>
  <c r="AM89" i="6" s="1"/>
  <c r="AN89" i="6" s="1"/>
  <c r="BN89" i="6"/>
  <c r="BO89" i="6" s="1"/>
  <c r="BP89" i="6" s="1"/>
  <c r="BQ89" i="6" s="1"/>
  <c r="BR89" i="6" s="1"/>
  <c r="EN89" i="6"/>
  <c r="EO89" i="6" s="1"/>
  <c r="F89" i="6"/>
  <c r="G89" i="6" s="1"/>
  <c r="H89" i="6" s="1"/>
  <c r="I89" i="6" s="1"/>
  <c r="J89" i="6" s="1"/>
  <c r="X89" i="6"/>
  <c r="Y89" i="6" s="1"/>
  <c r="BT89" i="6"/>
  <c r="BU89" i="6" s="1"/>
  <c r="L89" i="6"/>
  <c r="M89" i="6" s="1"/>
  <c r="BZ89" i="6"/>
  <c r="CA89" i="6" s="1"/>
  <c r="CB89" i="6" s="1"/>
  <c r="CC89" i="6" s="1"/>
  <c r="CD89" i="6" s="1"/>
  <c r="AV89" i="6"/>
  <c r="AW89" i="6" s="1"/>
  <c r="GD64" i="6"/>
  <c r="GE64" i="6" s="1"/>
  <c r="FX64" i="6"/>
  <c r="FY64" i="6" s="1"/>
  <c r="ET64" i="6"/>
  <c r="EU64" i="6" s="1"/>
  <c r="EV64" i="6" s="1"/>
  <c r="EW64" i="6" s="1"/>
  <c r="EX64" i="6" s="1"/>
  <c r="EN64" i="6"/>
  <c r="EO64" i="6" s="1"/>
  <c r="GJ64" i="6"/>
  <c r="GK64" i="6" s="1"/>
  <c r="FL64" i="6"/>
  <c r="FM64" i="6" s="1"/>
  <c r="FN64" i="6" s="1"/>
  <c r="FO64" i="6" s="1"/>
  <c r="FP64" i="6" s="1"/>
  <c r="DD64" i="6"/>
  <c r="DE64" i="6" s="1"/>
  <c r="EB64" i="6"/>
  <c r="EC64" i="6" s="1"/>
  <c r="ED64" i="6" s="1"/>
  <c r="EE64" i="6" s="1"/>
  <c r="EF64" i="6" s="1"/>
  <c r="FF64" i="6"/>
  <c r="FG64" i="6" s="1"/>
  <c r="DV64" i="6"/>
  <c r="DW64" i="6" s="1"/>
  <c r="DP64" i="6"/>
  <c r="DQ64" i="6" s="1"/>
  <c r="DR64" i="6" s="1"/>
  <c r="DS64" i="6" s="1"/>
  <c r="DT64" i="6" s="1"/>
  <c r="CX64" i="6"/>
  <c r="CY64" i="6" s="1"/>
  <c r="CL64" i="6"/>
  <c r="CM64" i="6" s="1"/>
  <c r="CN64" i="6" s="1"/>
  <c r="CO64" i="6" s="1"/>
  <c r="CP64" i="6" s="1"/>
  <c r="EH64" i="6"/>
  <c r="EI64" i="6" s="1"/>
  <c r="EJ64" i="6" s="1"/>
  <c r="EK64" i="6" s="1"/>
  <c r="EL64" i="6" s="1"/>
  <c r="DJ64" i="6"/>
  <c r="DK64" i="6" s="1"/>
  <c r="DL64" i="6" s="1"/>
  <c r="DM64" i="6" s="1"/>
  <c r="DN64" i="6" s="1"/>
  <c r="AD64" i="6"/>
  <c r="AE64" i="6" s="1"/>
  <c r="BB64" i="6"/>
  <c r="BC64" i="6" s="1"/>
  <c r="AP64" i="6"/>
  <c r="AQ64" i="6" s="1"/>
  <c r="BH64" i="6"/>
  <c r="BI64" i="6" s="1"/>
  <c r="BJ64" i="6" s="1"/>
  <c r="BK64" i="6" s="1"/>
  <c r="BL64" i="6" s="1"/>
  <c r="BN64" i="6"/>
  <c r="BO64" i="6" s="1"/>
  <c r="BT64" i="6"/>
  <c r="BU64" i="6" s="1"/>
  <c r="X64" i="6"/>
  <c r="Y64" i="6" s="1"/>
  <c r="Z64" i="6" s="1"/>
  <c r="AA64" i="6" s="1"/>
  <c r="AB64" i="6" s="1"/>
  <c r="F64" i="6"/>
  <c r="G64" i="6" s="1"/>
  <c r="H64" i="6" s="1"/>
  <c r="I64" i="6" s="1"/>
  <c r="J64" i="6" s="1"/>
  <c r="CR64" i="6"/>
  <c r="CS64" i="6" s="1"/>
  <c r="AJ64" i="6"/>
  <c r="AK64" i="6" s="1"/>
  <c r="R64" i="6"/>
  <c r="S64" i="6" s="1"/>
  <c r="AV64" i="6"/>
  <c r="AW64" i="6" s="1"/>
  <c r="L64" i="6"/>
  <c r="M64" i="6" s="1"/>
  <c r="EZ64" i="6"/>
  <c r="FA64" i="6" s="1"/>
  <c r="FB64" i="6" s="1"/>
  <c r="FC64" i="6" s="1"/>
  <c r="FD64" i="6" s="1"/>
  <c r="CF64" i="6"/>
  <c r="CG64" i="6" s="1"/>
  <c r="BZ64" i="6"/>
  <c r="CA64" i="6" s="1"/>
  <c r="FX41" i="6"/>
  <c r="FY41" i="6" s="1"/>
  <c r="FZ41" i="6" s="1"/>
  <c r="GA41" i="6" s="1"/>
  <c r="GB41" i="6" s="1"/>
  <c r="GJ41" i="6"/>
  <c r="GK41" i="6" s="1"/>
  <c r="EN41" i="6"/>
  <c r="EO41" i="6" s="1"/>
  <c r="EP41" i="6" s="1"/>
  <c r="EQ41" i="6" s="1"/>
  <c r="ER41" i="6" s="1"/>
  <c r="FL41" i="6"/>
  <c r="FM41" i="6" s="1"/>
  <c r="FN41" i="6" s="1"/>
  <c r="FO41" i="6" s="1"/>
  <c r="FP41" i="6" s="1"/>
  <c r="EH41" i="6"/>
  <c r="EI41" i="6" s="1"/>
  <c r="DJ41" i="6"/>
  <c r="DK41" i="6" s="1"/>
  <c r="GD41" i="6"/>
  <c r="GE41" i="6" s="1"/>
  <c r="GF41" i="6" s="1"/>
  <c r="GG41" i="6" s="1"/>
  <c r="GH41" i="6" s="1"/>
  <c r="EZ41" i="6"/>
  <c r="FA41" i="6" s="1"/>
  <c r="DV41" i="6"/>
  <c r="DW41" i="6" s="1"/>
  <c r="DP41" i="6"/>
  <c r="DQ41" i="6" s="1"/>
  <c r="ET41" i="6"/>
  <c r="EU41" i="6" s="1"/>
  <c r="EB41" i="6"/>
  <c r="EC41" i="6" s="1"/>
  <c r="ED41" i="6" s="1"/>
  <c r="EE41" i="6" s="1"/>
  <c r="EF41" i="6" s="1"/>
  <c r="FF41" i="6"/>
  <c r="FG41" i="6" s="1"/>
  <c r="CF41" i="6"/>
  <c r="CG41" i="6" s="1"/>
  <c r="CH41" i="6" s="1"/>
  <c r="CI41" i="6" s="1"/>
  <c r="CJ41" i="6" s="1"/>
  <c r="CR41" i="6"/>
  <c r="CS41" i="6" s="1"/>
  <c r="CL41" i="6"/>
  <c r="CM41" i="6" s="1"/>
  <c r="DD41" i="6"/>
  <c r="DE41" i="6" s="1"/>
  <c r="AP41" i="6"/>
  <c r="AQ41" i="6" s="1"/>
  <c r="AJ41" i="6"/>
  <c r="AK41" i="6" s="1"/>
  <c r="BB41" i="6"/>
  <c r="BC41" i="6" s="1"/>
  <c r="BD41" i="6" s="1"/>
  <c r="BE41" i="6" s="1"/>
  <c r="BF41" i="6" s="1"/>
  <c r="CX41" i="6"/>
  <c r="CY41" i="6" s="1"/>
  <c r="AD41" i="6"/>
  <c r="AE41" i="6" s="1"/>
  <c r="AF41" i="6" s="1"/>
  <c r="AG41" i="6" s="1"/>
  <c r="AH41" i="6" s="1"/>
  <c r="R41" i="6"/>
  <c r="S41" i="6" s="1"/>
  <c r="T41" i="6" s="1"/>
  <c r="U41" i="6" s="1"/>
  <c r="V41" i="6" s="1"/>
  <c r="BH41" i="6"/>
  <c r="BI41" i="6" s="1"/>
  <c r="X41" i="6"/>
  <c r="Y41" i="6" s="1"/>
  <c r="F41" i="6"/>
  <c r="G41" i="6" s="1"/>
  <c r="BN41" i="6"/>
  <c r="BO41" i="6" s="1"/>
  <c r="L41" i="6"/>
  <c r="M41" i="6" s="1"/>
  <c r="N41" i="6" s="1"/>
  <c r="O41" i="6" s="1"/>
  <c r="P41" i="6" s="1"/>
  <c r="BT41" i="6"/>
  <c r="BU41" i="6" s="1"/>
  <c r="AV41" i="6"/>
  <c r="AW41" i="6" s="1"/>
  <c r="BZ41" i="6"/>
  <c r="CA41" i="6" s="1"/>
  <c r="GD71" i="6"/>
  <c r="GE71" i="6" s="1"/>
  <c r="EZ71" i="6"/>
  <c r="FA71" i="6" s="1"/>
  <c r="FL71" i="6"/>
  <c r="FM71" i="6" s="1"/>
  <c r="DV71" i="6"/>
  <c r="DW71" i="6" s="1"/>
  <c r="DP71" i="6"/>
  <c r="DQ71" i="6" s="1"/>
  <c r="DR71" i="6" s="1"/>
  <c r="DS71" i="6" s="1"/>
  <c r="DT71" i="6" s="1"/>
  <c r="CX71" i="6"/>
  <c r="CY71" i="6" s="1"/>
  <c r="FX71" i="6"/>
  <c r="FY71" i="6" s="1"/>
  <c r="ET71" i="6"/>
  <c r="EU71" i="6" s="1"/>
  <c r="FF71" i="6"/>
  <c r="FG71" i="6" s="1"/>
  <c r="EH71" i="6"/>
  <c r="EI71" i="6" s="1"/>
  <c r="DD71" i="6"/>
  <c r="DE71" i="6" s="1"/>
  <c r="DF71" i="6" s="1"/>
  <c r="DG71" i="6" s="1"/>
  <c r="DH71" i="6" s="1"/>
  <c r="AD71" i="6"/>
  <c r="AE71" i="6" s="1"/>
  <c r="EB71" i="6"/>
  <c r="EC71" i="6" s="1"/>
  <c r="ED71" i="6" s="1"/>
  <c r="EE71" i="6" s="1"/>
  <c r="EF71" i="6" s="1"/>
  <c r="CL71" i="6"/>
  <c r="CM71" i="6" s="1"/>
  <c r="CF71" i="6"/>
  <c r="CG71" i="6" s="1"/>
  <c r="BB71" i="6"/>
  <c r="BC71" i="6" s="1"/>
  <c r="GJ71" i="6"/>
  <c r="GK71" i="6" s="1"/>
  <c r="DJ71" i="6"/>
  <c r="DK71" i="6" s="1"/>
  <c r="EN71" i="6"/>
  <c r="EO71" i="6" s="1"/>
  <c r="EP71" i="6" s="1"/>
  <c r="EQ71" i="6" s="1"/>
  <c r="ER71" i="6" s="1"/>
  <c r="CR71" i="6"/>
  <c r="CS71" i="6" s="1"/>
  <c r="BH71" i="6"/>
  <c r="BI71" i="6" s="1"/>
  <c r="BJ71" i="6" s="1"/>
  <c r="BK71" i="6" s="1"/>
  <c r="BL71" i="6" s="1"/>
  <c r="R71" i="6"/>
  <c r="S71" i="6" s="1"/>
  <c r="AP71" i="6"/>
  <c r="AQ71" i="6" s="1"/>
  <c r="AJ71" i="6"/>
  <c r="AK71" i="6" s="1"/>
  <c r="AL71" i="6" s="1"/>
  <c r="AM71" i="6" s="1"/>
  <c r="AN71" i="6" s="1"/>
  <c r="BN71" i="6"/>
  <c r="BO71" i="6" s="1"/>
  <c r="X71" i="6"/>
  <c r="Y71" i="6" s="1"/>
  <c r="AV71" i="6"/>
  <c r="AW71" i="6" s="1"/>
  <c r="F71" i="6"/>
  <c r="G71" i="6" s="1"/>
  <c r="H71" i="6" s="1"/>
  <c r="I71" i="6" s="1"/>
  <c r="J71" i="6" s="1"/>
  <c r="BT71" i="6"/>
  <c r="BU71" i="6" s="1"/>
  <c r="BV71" i="6" s="1"/>
  <c r="BW71" i="6" s="1"/>
  <c r="BX71" i="6" s="1"/>
  <c r="L71" i="6"/>
  <c r="M71" i="6" s="1"/>
  <c r="BZ71" i="6"/>
  <c r="CA71" i="6" s="1"/>
  <c r="GJ62" i="6"/>
  <c r="GK62" i="6" s="1"/>
  <c r="GL62" i="6" s="1"/>
  <c r="GM62" i="6" s="1"/>
  <c r="GN62" i="6" s="1"/>
  <c r="FF62" i="6"/>
  <c r="FG62" i="6" s="1"/>
  <c r="EZ62" i="6"/>
  <c r="FA62" i="6" s="1"/>
  <c r="FB62" i="6" s="1"/>
  <c r="FC62" i="6" s="1"/>
  <c r="FD62" i="6" s="1"/>
  <c r="DV62" i="6"/>
  <c r="DW62" i="6" s="1"/>
  <c r="DX62" i="6" s="1"/>
  <c r="DY62" i="6" s="1"/>
  <c r="DZ62" i="6" s="1"/>
  <c r="EN62" i="6"/>
  <c r="EO62" i="6" s="1"/>
  <c r="EP62" i="6" s="1"/>
  <c r="EQ62" i="6" s="1"/>
  <c r="ER62" i="6" s="1"/>
  <c r="DP62" i="6"/>
  <c r="DQ62" i="6" s="1"/>
  <c r="DR62" i="6" s="1"/>
  <c r="DS62" i="6" s="1"/>
  <c r="DT62" i="6" s="1"/>
  <c r="EB62" i="6"/>
  <c r="EC62" i="6" s="1"/>
  <c r="GD62" i="6"/>
  <c r="GE62" i="6" s="1"/>
  <c r="DJ62" i="6"/>
  <c r="DK62" i="6" s="1"/>
  <c r="DL62" i="6" s="1"/>
  <c r="DM62" i="6" s="1"/>
  <c r="DN62" i="6" s="1"/>
  <c r="FX62" i="6"/>
  <c r="FY62" i="6" s="1"/>
  <c r="CR62" i="6"/>
  <c r="CS62" i="6" s="1"/>
  <c r="AD62" i="6"/>
  <c r="AE62" i="6" s="1"/>
  <c r="CX62" i="6"/>
  <c r="CY62" i="6" s="1"/>
  <c r="FL62" i="6"/>
  <c r="FM62" i="6" s="1"/>
  <c r="FN62" i="6" s="1"/>
  <c r="FO62" i="6" s="1"/>
  <c r="FP62" i="6" s="1"/>
  <c r="ET62" i="6"/>
  <c r="EU62" i="6" s="1"/>
  <c r="R62" i="6"/>
  <c r="S62" i="6" s="1"/>
  <c r="T62" i="6" s="1"/>
  <c r="U62" i="6" s="1"/>
  <c r="V62" i="6" s="1"/>
  <c r="AP62" i="6"/>
  <c r="AQ62" i="6" s="1"/>
  <c r="AJ62" i="6"/>
  <c r="AK62" i="6" s="1"/>
  <c r="AL62" i="6" s="1"/>
  <c r="AM62" i="6" s="1"/>
  <c r="AN62" i="6" s="1"/>
  <c r="BB62" i="6"/>
  <c r="BC62" i="6" s="1"/>
  <c r="CF62" i="6"/>
  <c r="CG62" i="6" s="1"/>
  <c r="CH62" i="6" s="1"/>
  <c r="CI62" i="6" s="1"/>
  <c r="CJ62" i="6" s="1"/>
  <c r="BH62" i="6"/>
  <c r="BI62" i="6" s="1"/>
  <c r="EH62" i="6"/>
  <c r="EI62" i="6" s="1"/>
  <c r="EJ62" i="6" s="1"/>
  <c r="EK62" i="6" s="1"/>
  <c r="EL62" i="6" s="1"/>
  <c r="DD62" i="6"/>
  <c r="DE62" i="6" s="1"/>
  <c r="CL62" i="6"/>
  <c r="CM62" i="6" s="1"/>
  <c r="BT62" i="6"/>
  <c r="BU62" i="6" s="1"/>
  <c r="BV62" i="6" s="1"/>
  <c r="BW62" i="6" s="1"/>
  <c r="BX62" i="6" s="1"/>
  <c r="BN62" i="6"/>
  <c r="BO62" i="6" s="1"/>
  <c r="X62" i="6"/>
  <c r="Y62" i="6" s="1"/>
  <c r="Z62" i="6" s="1"/>
  <c r="AA62" i="6" s="1"/>
  <c r="AB62" i="6" s="1"/>
  <c r="F62" i="6"/>
  <c r="G62" i="6" s="1"/>
  <c r="L62" i="6"/>
  <c r="M62" i="6" s="1"/>
  <c r="N62" i="6" s="1"/>
  <c r="O62" i="6" s="1"/>
  <c r="P62" i="6" s="1"/>
  <c r="AV62" i="6"/>
  <c r="AW62" i="6" s="1"/>
  <c r="AX62" i="6" s="1"/>
  <c r="AY62" i="6" s="1"/>
  <c r="AZ62" i="6" s="1"/>
  <c r="BZ62" i="6"/>
  <c r="CA62" i="6" s="1"/>
  <c r="FZ71" i="6"/>
  <c r="GA71" i="6" s="1"/>
  <c r="GB71" i="6" s="1"/>
  <c r="DF47" i="6"/>
  <c r="DG47" i="6" s="1"/>
  <c r="DH47" i="6" s="1"/>
  <c r="N29" i="6"/>
  <c r="O29" i="6" s="1"/>
  <c r="P29" i="6" s="1"/>
  <c r="FZ22" i="6"/>
  <c r="GA22" i="6" s="1"/>
  <c r="GB22" i="6" s="1"/>
  <c r="H62" i="6"/>
  <c r="I62" i="6" s="1"/>
  <c r="J62" i="6" s="1"/>
  <c r="CZ71" i="6"/>
  <c r="DA71" i="6" s="1"/>
  <c r="DB71" i="6" s="1"/>
  <c r="CB64" i="6"/>
  <c r="CC64" i="6" s="1"/>
  <c r="CD64" i="6" s="1"/>
  <c r="GF64" i="6"/>
  <c r="GG64" i="6" s="1"/>
  <c r="GH64" i="6" s="1"/>
  <c r="ED89" i="6"/>
  <c r="EE89" i="6" s="1"/>
  <c r="EF89" i="6" s="1"/>
  <c r="BP35" i="6"/>
  <c r="BQ35" i="6" s="1"/>
  <c r="BR35" i="6" s="1"/>
  <c r="EP35" i="6"/>
  <c r="EQ35" i="6" s="1"/>
  <c r="ER35" i="6" s="1"/>
  <c r="BP21" i="6"/>
  <c r="BQ21" i="6" s="1"/>
  <c r="BR21" i="6" s="1"/>
  <c r="BP29" i="6"/>
  <c r="BQ29" i="6" s="1"/>
  <c r="BR29" i="6" s="1"/>
  <c r="T58" i="6"/>
  <c r="U58" i="6" s="1"/>
  <c r="V58" i="6" s="1"/>
  <c r="AF58" i="6"/>
  <c r="AG58" i="6" s="1"/>
  <c r="AH58" i="6" s="1"/>
  <c r="AR28" i="6"/>
  <c r="AS28" i="6" s="1"/>
  <c r="AT28" i="6" s="1"/>
  <c r="AR42" i="6"/>
  <c r="AS42" i="6" s="1"/>
  <c r="AT42" i="6" s="1"/>
  <c r="EJ42" i="6"/>
  <c r="EK42" i="6" s="1"/>
  <c r="EL42" i="6" s="1"/>
  <c r="FZ42" i="6"/>
  <c r="GA42" i="6" s="1"/>
  <c r="GB42" i="6" s="1"/>
  <c r="FH22" i="6"/>
  <c r="FI22" i="6" s="1"/>
  <c r="FJ22" i="6" s="1"/>
  <c r="AR17" i="6"/>
  <c r="AS17" i="6" s="1"/>
  <c r="AT17" i="6" s="1"/>
  <c r="CH17" i="6"/>
  <c r="CI17" i="6" s="1"/>
  <c r="CJ17" i="6" s="1"/>
  <c r="EP17" i="6"/>
  <c r="EQ17" i="6" s="1"/>
  <c r="ER17" i="6" s="1"/>
  <c r="FH61" i="6"/>
  <c r="FI61" i="6" s="1"/>
  <c r="FJ61" i="6" s="1"/>
  <c r="BD62" i="6"/>
  <c r="BE62" i="6" s="1"/>
  <c r="BF62" i="6" s="1"/>
  <c r="CT62" i="6"/>
  <c r="CU62" i="6" s="1"/>
  <c r="CV62" i="6" s="1"/>
  <c r="CT71" i="6"/>
  <c r="CU71" i="6" s="1"/>
  <c r="CV71" i="6" s="1"/>
  <c r="BV41" i="6"/>
  <c r="BW41" i="6" s="1"/>
  <c r="BX41" i="6" s="1"/>
  <c r="CZ41" i="6"/>
  <c r="DA41" i="6" s="1"/>
  <c r="DB41" i="6" s="1"/>
  <c r="FH41" i="6"/>
  <c r="FI41" i="6" s="1"/>
  <c r="FJ41" i="6" s="1"/>
  <c r="EJ41" i="6"/>
  <c r="EK41" i="6" s="1"/>
  <c r="EL41" i="6" s="1"/>
  <c r="CH64" i="6"/>
  <c r="CI64" i="6" s="1"/>
  <c r="CJ64" i="6" s="1"/>
  <c r="AX89" i="6"/>
  <c r="AY89" i="6" s="1"/>
  <c r="AZ89" i="6" s="1"/>
  <c r="CH89" i="6"/>
  <c r="CI89" i="6" s="1"/>
  <c r="CJ89" i="6" s="1"/>
  <c r="GL89" i="6"/>
  <c r="GM89" i="6" s="1"/>
  <c r="GN89" i="6" s="1"/>
  <c r="BV47" i="6"/>
  <c r="BW47" i="6" s="1"/>
  <c r="BX47" i="6" s="1"/>
  <c r="ED47" i="6"/>
  <c r="EE47" i="6" s="1"/>
  <c r="EF47" i="6" s="1"/>
  <c r="FN47" i="6"/>
  <c r="FO47" i="6" s="1"/>
  <c r="FP47" i="6" s="1"/>
  <c r="BV35" i="6"/>
  <c r="BW35" i="6" s="1"/>
  <c r="BX35" i="6" s="1"/>
  <c r="AF35" i="6"/>
  <c r="AG35" i="6" s="1"/>
  <c r="AH35" i="6" s="1"/>
  <c r="FN35" i="6"/>
  <c r="FO35" i="6" s="1"/>
  <c r="FP35" i="6" s="1"/>
  <c r="EP21" i="6"/>
  <c r="EQ21" i="6" s="1"/>
  <c r="ER21" i="6" s="1"/>
  <c r="BV29" i="6"/>
  <c r="BW29" i="6" s="1"/>
  <c r="BX29" i="6" s="1"/>
  <c r="GL29" i="6"/>
  <c r="GM29" i="6" s="1"/>
  <c r="GN29" i="6" s="1"/>
  <c r="DX29" i="6"/>
  <c r="DY29" i="6" s="1"/>
  <c r="DZ29" i="6" s="1"/>
  <c r="ED29" i="6"/>
  <c r="EE29" i="6" s="1"/>
  <c r="EF29" i="6" s="1"/>
  <c r="Z77" i="6"/>
  <c r="AA77" i="6" s="1"/>
  <c r="AB77" i="6" s="1"/>
  <c r="T77" i="6"/>
  <c r="U77" i="6" s="1"/>
  <c r="V77" i="6" s="1"/>
  <c r="N58" i="6"/>
  <c r="O58" i="6" s="1"/>
  <c r="P58" i="6" s="1"/>
  <c r="AL58" i="6"/>
  <c r="AM58" i="6" s="1"/>
  <c r="AN58" i="6" s="1"/>
  <c r="EJ58" i="6"/>
  <c r="EK58" i="6" s="1"/>
  <c r="EL58" i="6" s="1"/>
  <c r="DX58" i="6"/>
  <c r="DY58" i="6" s="1"/>
  <c r="DZ58" i="6" s="1"/>
  <c r="EV28" i="6"/>
  <c r="EW28" i="6" s="1"/>
  <c r="EX28" i="6" s="1"/>
  <c r="CB42" i="6"/>
  <c r="CC42" i="6" s="1"/>
  <c r="CD42" i="6" s="1"/>
  <c r="BJ42" i="6"/>
  <c r="BK42" i="6" s="1"/>
  <c r="BL42" i="6" s="1"/>
  <c r="DF42" i="6"/>
  <c r="DG42" i="6" s="1"/>
  <c r="DH42" i="6" s="1"/>
  <c r="DL42" i="6"/>
  <c r="DM42" i="6" s="1"/>
  <c r="DN42" i="6" s="1"/>
  <c r="T22" i="6"/>
  <c r="U22" i="6" s="1"/>
  <c r="V22" i="6" s="1"/>
  <c r="DF22" i="6"/>
  <c r="DG22" i="6" s="1"/>
  <c r="DH22" i="6" s="1"/>
  <c r="BP17" i="6"/>
  <c r="BQ17" i="6" s="1"/>
  <c r="BR17" i="6" s="1"/>
  <c r="FB17" i="6"/>
  <c r="FC17" i="6" s="1"/>
  <c r="FD17" i="6" s="1"/>
  <c r="BP61" i="6"/>
  <c r="BQ61" i="6" s="1"/>
  <c r="BR61" i="6" s="1"/>
  <c r="CN61" i="6"/>
  <c r="CO61" i="6" s="1"/>
  <c r="CP61" i="6" s="1"/>
  <c r="FN61" i="6"/>
  <c r="FO61" i="6" s="1"/>
  <c r="FP61" i="6" s="1"/>
  <c r="FB61" i="6"/>
  <c r="FC61" i="6" s="1"/>
  <c r="FD61" i="6" s="1"/>
  <c r="H48" i="6"/>
  <c r="I48" i="6" s="1"/>
  <c r="J48" i="6" s="1"/>
  <c r="FB65" i="6"/>
  <c r="FC65" i="6" s="1"/>
  <c r="FD65" i="6" s="1"/>
  <c r="AX40" i="6"/>
  <c r="AY40" i="6" s="1"/>
  <c r="AZ40" i="6" s="1"/>
  <c r="CN40" i="6"/>
  <c r="CO40" i="6" s="1"/>
  <c r="CP40" i="6" s="1"/>
  <c r="DR40" i="6"/>
  <c r="DS40" i="6" s="1"/>
  <c r="DT40" i="6" s="1"/>
  <c r="AX43" i="6"/>
  <c r="AY43" i="6" s="1"/>
  <c r="AZ43" i="6" s="1"/>
  <c r="T43" i="6"/>
  <c r="U43" i="6" s="1"/>
  <c r="V43" i="6" s="1"/>
  <c r="CT43" i="6"/>
  <c r="CU43" i="6" s="1"/>
  <c r="CV43" i="6" s="1"/>
  <c r="CZ43" i="6"/>
  <c r="DA43" i="6" s="1"/>
  <c r="DB43" i="6" s="1"/>
  <c r="FZ43" i="6"/>
  <c r="GA43" i="6" s="1"/>
  <c r="GB43" i="6" s="1"/>
  <c r="GL31" i="6"/>
  <c r="GM31" i="6" s="1"/>
  <c r="GN31" i="6" s="1"/>
  <c r="DL31" i="6"/>
  <c r="DM31" i="6" s="1"/>
  <c r="DN31" i="6" s="1"/>
  <c r="BV57" i="6"/>
  <c r="BW57" i="6" s="1"/>
  <c r="BX57" i="6" s="1"/>
  <c r="AF57" i="6"/>
  <c r="AG57" i="6" s="1"/>
  <c r="AH57" i="6" s="1"/>
  <c r="DF57" i="6"/>
  <c r="DG57" i="6" s="1"/>
  <c r="DH57" i="6" s="1"/>
  <c r="EP57" i="6"/>
  <c r="EQ57" i="6" s="1"/>
  <c r="ER57" i="6" s="1"/>
  <c r="GF15" i="6"/>
  <c r="GG15" i="6" s="1"/>
  <c r="GH15" i="6" s="1"/>
  <c r="FZ15" i="6"/>
  <c r="GA15" i="6" s="1"/>
  <c r="GB15" i="6" s="1"/>
  <c r="AX67" i="6"/>
  <c r="AY67" i="6" s="1"/>
  <c r="AZ67" i="6" s="1"/>
  <c r="AR67" i="6"/>
  <c r="AS67" i="6" s="1"/>
  <c r="AT67" i="6" s="1"/>
  <c r="EP67" i="6"/>
  <c r="EQ67" i="6" s="1"/>
  <c r="ER67" i="6" s="1"/>
  <c r="FB67" i="6"/>
  <c r="FC67" i="6" s="1"/>
  <c r="FD67" i="6" s="1"/>
  <c r="CB106" i="6"/>
  <c r="CC106" i="6" s="1"/>
  <c r="CD106" i="6" s="1"/>
  <c r="BJ106" i="6"/>
  <c r="BK106" i="6" s="1"/>
  <c r="BL106" i="6" s="1"/>
  <c r="CH106" i="6"/>
  <c r="CI106" i="6" s="1"/>
  <c r="CJ106" i="6" s="1"/>
  <c r="FZ106" i="6"/>
  <c r="GA106" i="6" s="1"/>
  <c r="GB106" i="6" s="1"/>
  <c r="AX97" i="6"/>
  <c r="AY97" i="6" s="1"/>
  <c r="AZ97" i="6" s="1"/>
  <c r="BJ97" i="6"/>
  <c r="BK97" i="6" s="1"/>
  <c r="BL97" i="6" s="1"/>
  <c r="CZ97" i="6"/>
  <c r="DA97" i="6" s="1"/>
  <c r="DB97" i="6" s="1"/>
  <c r="FZ97" i="6"/>
  <c r="GA97" i="6" s="1"/>
  <c r="GB97" i="6" s="1"/>
  <c r="H96" i="6"/>
  <c r="I96" i="6" s="1"/>
  <c r="J96" i="6" s="1"/>
  <c r="DF96" i="6"/>
  <c r="DG96" i="6" s="1"/>
  <c r="DH96" i="6" s="1"/>
  <c r="FB96" i="6"/>
  <c r="FC96" i="6" s="1"/>
  <c r="FD96" i="6" s="1"/>
  <c r="AF84" i="6"/>
  <c r="AG84" i="6" s="1"/>
  <c r="AH84" i="6" s="1"/>
  <c r="AX59" i="6"/>
  <c r="AY59" i="6" s="1"/>
  <c r="AZ59" i="6" s="1"/>
  <c r="AR59" i="6"/>
  <c r="AS59" i="6" s="1"/>
  <c r="AT59" i="6" s="1"/>
  <c r="GL59" i="6"/>
  <c r="GM59" i="6" s="1"/>
  <c r="GN59" i="6" s="1"/>
  <c r="GF59" i="6"/>
  <c r="GG59" i="6" s="1"/>
  <c r="GH59" i="6" s="1"/>
  <c r="BV107" i="6"/>
  <c r="BW107" i="6" s="1"/>
  <c r="BX107" i="6" s="1"/>
  <c r="DL107" i="6"/>
  <c r="DM107" i="6" s="1"/>
  <c r="DN107" i="6" s="1"/>
  <c r="DX107" i="6"/>
  <c r="DY107" i="6" s="1"/>
  <c r="DZ107" i="6" s="1"/>
  <c r="BP23" i="6"/>
  <c r="BQ23" i="6" s="1"/>
  <c r="BR23" i="6" s="1"/>
  <c r="AR23" i="6"/>
  <c r="AS23" i="6" s="1"/>
  <c r="AT23" i="6" s="1"/>
  <c r="CN23" i="6"/>
  <c r="CO23" i="6" s="1"/>
  <c r="CP23" i="6" s="1"/>
  <c r="DF23" i="6"/>
  <c r="DG23" i="6" s="1"/>
  <c r="DH23" i="6" s="1"/>
  <c r="CB108" i="6"/>
  <c r="CC108" i="6" s="1"/>
  <c r="CD108" i="6" s="1"/>
  <c r="H108" i="6"/>
  <c r="I108" i="6" s="1"/>
  <c r="J108" i="6" s="1"/>
  <c r="CH108" i="6"/>
  <c r="CI108" i="6" s="1"/>
  <c r="CJ108" i="6" s="1"/>
  <c r="CT108" i="6"/>
  <c r="CU108" i="6" s="1"/>
  <c r="CV108" i="6" s="1"/>
  <c r="GL108" i="6"/>
  <c r="GM108" i="6" s="1"/>
  <c r="GN108" i="6" s="1"/>
  <c r="AR50" i="6"/>
  <c r="AS50" i="6" s="1"/>
  <c r="AT50" i="6" s="1"/>
  <c r="DR50" i="6"/>
  <c r="DS50" i="6" s="1"/>
  <c r="DT50" i="6" s="1"/>
  <c r="AL38" i="6"/>
  <c r="AM38" i="6" s="1"/>
  <c r="AN38" i="6" s="1"/>
  <c r="BD38" i="6"/>
  <c r="BE38" i="6" s="1"/>
  <c r="BF38" i="6" s="1"/>
  <c r="FH38" i="6"/>
  <c r="FI38" i="6" s="1"/>
  <c r="FJ38" i="6" s="1"/>
  <c r="Z34" i="6"/>
  <c r="AA34" i="6" s="1"/>
  <c r="AB34" i="6" s="1"/>
  <c r="BJ34" i="6"/>
  <c r="BK34" i="6" s="1"/>
  <c r="BL34" i="6" s="1"/>
  <c r="FZ34" i="6"/>
  <c r="GA34" i="6" s="1"/>
  <c r="GB34" i="6" s="1"/>
  <c r="DX34" i="6"/>
  <c r="DY34" i="6" s="1"/>
  <c r="DZ34" i="6" s="1"/>
  <c r="CN14" i="6"/>
  <c r="CO14" i="6" s="1"/>
  <c r="CP14" i="6" s="1"/>
  <c r="DX14" i="6"/>
  <c r="DY14" i="6" s="1"/>
  <c r="DZ14" i="6" s="1"/>
  <c r="DL101" i="6"/>
  <c r="DM101" i="6" s="1"/>
  <c r="DN101" i="6" s="1"/>
  <c r="CZ101" i="6"/>
  <c r="DA101" i="6" s="1"/>
  <c r="DB101" i="6" s="1"/>
  <c r="CB32" i="6"/>
  <c r="CC32" i="6" s="1"/>
  <c r="CD32" i="6" s="1"/>
  <c r="AL32" i="6"/>
  <c r="AM32" i="6" s="1"/>
  <c r="AN32" i="6" s="1"/>
  <c r="CZ32" i="6"/>
  <c r="DA32" i="6" s="1"/>
  <c r="DB32" i="6" s="1"/>
  <c r="FZ32" i="6"/>
  <c r="GA32" i="6" s="1"/>
  <c r="GB32" i="6" s="1"/>
  <c r="CB102" i="6"/>
  <c r="CC102" i="6" s="1"/>
  <c r="CD102" i="6" s="1"/>
  <c r="CN102" i="6"/>
  <c r="CO102" i="6" s="1"/>
  <c r="CP102" i="6" s="1"/>
  <c r="DR102" i="6"/>
  <c r="DS102" i="6" s="1"/>
  <c r="DT102" i="6" s="1"/>
  <c r="FH102" i="6"/>
  <c r="FI102" i="6" s="1"/>
  <c r="FJ102" i="6" s="1"/>
  <c r="GL102" i="6"/>
  <c r="GM102" i="6" s="1"/>
  <c r="GN102" i="6" s="1"/>
  <c r="BD82" i="6"/>
  <c r="BE82" i="6" s="1"/>
  <c r="BF82" i="6" s="1"/>
  <c r="CH82" i="6"/>
  <c r="CI82" i="6" s="1"/>
  <c r="CJ82" i="6" s="1"/>
  <c r="DF82" i="6"/>
  <c r="DG82" i="6" s="1"/>
  <c r="DH82" i="6" s="1"/>
  <c r="GF82" i="6"/>
  <c r="GG82" i="6" s="1"/>
  <c r="GH82" i="6" s="1"/>
  <c r="Z66" i="6"/>
  <c r="AA66" i="6" s="1"/>
  <c r="AB66" i="6" s="1"/>
  <c r="FN66" i="6"/>
  <c r="FO66" i="6" s="1"/>
  <c r="FP66" i="6" s="1"/>
  <c r="DF66" i="6"/>
  <c r="DG66" i="6" s="1"/>
  <c r="DH66" i="6" s="1"/>
  <c r="FB66" i="6"/>
  <c r="FC66" i="6" s="1"/>
  <c r="FD66" i="6" s="1"/>
  <c r="N27" i="6"/>
  <c r="O27" i="6" s="1"/>
  <c r="P27" i="6" s="1"/>
  <c r="CZ27" i="6"/>
  <c r="DA27" i="6" s="1"/>
  <c r="DB27" i="6" s="1"/>
  <c r="DL27" i="6"/>
  <c r="DM27" i="6" s="1"/>
  <c r="DN27" i="6" s="1"/>
  <c r="FB27" i="6"/>
  <c r="FC27" i="6" s="1"/>
  <c r="FD27" i="6" s="1"/>
  <c r="Z18" i="6"/>
  <c r="AA18" i="6" s="1"/>
  <c r="AB18" i="6" s="1"/>
  <c r="ED18" i="6"/>
  <c r="EE18" i="6" s="1"/>
  <c r="EF18" i="6" s="1"/>
  <c r="GF18" i="6"/>
  <c r="GG18" i="6" s="1"/>
  <c r="GH18" i="6" s="1"/>
  <c r="N51" i="6"/>
  <c r="O51" i="6" s="1"/>
  <c r="P51" i="6" s="1"/>
  <c r="CZ51" i="6"/>
  <c r="DA51" i="6" s="1"/>
  <c r="DB51" i="6" s="1"/>
  <c r="FB51" i="6"/>
  <c r="FC51" i="6" s="1"/>
  <c r="FD51" i="6" s="1"/>
  <c r="ED51" i="6"/>
  <c r="EE51" i="6" s="1"/>
  <c r="EF51" i="6" s="1"/>
  <c r="N25" i="6"/>
  <c r="O25" i="6" s="1"/>
  <c r="P25" i="6" s="1"/>
  <c r="T25" i="6"/>
  <c r="U25" i="6" s="1"/>
  <c r="V25" i="6" s="1"/>
  <c r="CT25" i="6"/>
  <c r="CU25" i="6" s="1"/>
  <c r="CV25" i="6" s="1"/>
  <c r="FH25" i="6"/>
  <c r="FI25" i="6" s="1"/>
  <c r="FJ25" i="6" s="1"/>
  <c r="AX11" i="6"/>
  <c r="AY11" i="6" s="1"/>
  <c r="AZ11" i="6" s="1"/>
  <c r="FH11" i="6"/>
  <c r="FI11" i="6" s="1"/>
  <c r="FJ11" i="6" s="1"/>
  <c r="EV76" i="6"/>
  <c r="EW76" i="6" s="1"/>
  <c r="EX76" i="6" s="1"/>
  <c r="BD76" i="6"/>
  <c r="BE76" i="6" s="1"/>
  <c r="BF76" i="6" s="1"/>
  <c r="FB76" i="6"/>
  <c r="FC76" i="6" s="1"/>
  <c r="FD76" i="6" s="1"/>
  <c r="AL85" i="6"/>
  <c r="AM85" i="6" s="1"/>
  <c r="AN85" i="6" s="1"/>
  <c r="CZ49" i="6"/>
  <c r="DA49" i="6" s="1"/>
  <c r="DB49" i="6" s="1"/>
  <c r="ED49" i="6"/>
  <c r="EE49" i="6" s="1"/>
  <c r="EF49" i="6" s="1"/>
  <c r="FB49" i="6"/>
  <c r="FC49" i="6" s="1"/>
  <c r="FD49" i="6" s="1"/>
  <c r="BP60" i="6"/>
  <c r="BQ60" i="6" s="1"/>
  <c r="BR60" i="6" s="1"/>
  <c r="N81" i="6"/>
  <c r="O81" i="6" s="1"/>
  <c r="P81" i="6" s="1"/>
  <c r="AF81" i="6"/>
  <c r="AG81" i="6" s="1"/>
  <c r="AH81" i="6" s="1"/>
  <c r="DF81" i="6"/>
  <c r="DG81" i="6" s="1"/>
  <c r="DH81" i="6" s="1"/>
  <c r="BP75" i="6"/>
  <c r="BQ75" i="6" s="1"/>
  <c r="BR75" i="6" s="1"/>
  <c r="BJ75" i="6"/>
  <c r="BK75" i="6" s="1"/>
  <c r="BL75" i="6" s="1"/>
  <c r="AF75" i="6"/>
  <c r="AG75" i="6" s="1"/>
  <c r="AH75" i="6" s="1"/>
  <c r="ED75" i="6"/>
  <c r="EE75" i="6" s="1"/>
  <c r="EF75" i="6" s="1"/>
  <c r="Z100" i="6"/>
  <c r="AA100" i="6" s="1"/>
  <c r="AB100" i="6" s="1"/>
  <c r="AF100" i="6"/>
  <c r="AG100" i="6" s="1"/>
  <c r="AH100" i="6" s="1"/>
  <c r="EV78" i="6"/>
  <c r="EW78" i="6" s="1"/>
  <c r="EX78" i="6" s="1"/>
  <c r="BD78" i="6"/>
  <c r="BE78" i="6" s="1"/>
  <c r="BF78" i="6" s="1"/>
  <c r="CT78" i="6"/>
  <c r="CU78" i="6" s="1"/>
  <c r="CV78" i="6" s="1"/>
  <c r="BV26" i="6"/>
  <c r="BW26" i="6" s="1"/>
  <c r="BX26" i="6" s="1"/>
  <c r="FB26" i="6"/>
  <c r="FC26" i="6" s="1"/>
  <c r="FD26" i="6" s="1"/>
  <c r="N52" i="6"/>
  <c r="O52" i="6" s="1"/>
  <c r="P52" i="6" s="1"/>
  <c r="T52" i="6"/>
  <c r="U52" i="6" s="1"/>
  <c r="V52" i="6" s="1"/>
  <c r="FB52" i="6"/>
  <c r="FC52" i="6" s="1"/>
  <c r="FD52" i="6" s="1"/>
  <c r="AX19" i="6"/>
  <c r="AY19" i="6" s="1"/>
  <c r="AZ19" i="6" s="1"/>
  <c r="BJ19" i="6"/>
  <c r="BK19" i="6" s="1"/>
  <c r="BL19" i="6" s="1"/>
  <c r="FB19" i="6"/>
  <c r="FC19" i="6" s="1"/>
  <c r="FD19" i="6" s="1"/>
  <c r="CB20" i="6"/>
  <c r="CC20" i="6" s="1"/>
  <c r="CD20" i="6" s="1"/>
  <c r="DX20" i="6"/>
  <c r="DY20" i="6" s="1"/>
  <c r="DZ20" i="6" s="1"/>
  <c r="BV99" i="6"/>
  <c r="BW99" i="6" s="1"/>
  <c r="BX99" i="6" s="1"/>
  <c r="DL99" i="6"/>
  <c r="DM99" i="6" s="1"/>
  <c r="DN99" i="6" s="1"/>
  <c r="Z45" i="6"/>
  <c r="AA45" i="6" s="1"/>
  <c r="AB45" i="6" s="1"/>
  <c r="DF45" i="6"/>
  <c r="DG45" i="6" s="1"/>
  <c r="DH45" i="6" s="1"/>
  <c r="BD44" i="6"/>
  <c r="BE44" i="6" s="1"/>
  <c r="BF44" i="6" s="1"/>
  <c r="DL44" i="6"/>
  <c r="DM44" i="6" s="1"/>
  <c r="DN44" i="6" s="1"/>
  <c r="GL44" i="6"/>
  <c r="GM44" i="6" s="1"/>
  <c r="GN44" i="6" s="1"/>
  <c r="T36" i="6"/>
  <c r="U36" i="6" s="1"/>
  <c r="V36" i="6" s="1"/>
  <c r="N93" i="6"/>
  <c r="O93" i="6" s="1"/>
  <c r="P93" i="6" s="1"/>
  <c r="BD93" i="6"/>
  <c r="BE93" i="6" s="1"/>
  <c r="BF93" i="6" s="1"/>
  <c r="CZ93" i="6"/>
  <c r="DA93" i="6" s="1"/>
  <c r="DB93" i="6" s="1"/>
  <c r="DF74" i="6"/>
  <c r="DG74" i="6" s="1"/>
  <c r="DH74" i="6" s="1"/>
  <c r="GF74" i="6"/>
  <c r="GG74" i="6" s="1"/>
  <c r="GH74" i="6" s="1"/>
  <c r="Z83" i="6"/>
  <c r="AA83" i="6" s="1"/>
  <c r="AB83" i="6" s="1"/>
  <c r="BD83" i="6"/>
  <c r="BE83" i="6" s="1"/>
  <c r="BF83" i="6" s="1"/>
  <c r="EV83" i="6"/>
  <c r="EW83" i="6" s="1"/>
  <c r="EX83" i="6" s="1"/>
  <c r="AX37" i="6"/>
  <c r="AY37" i="6" s="1"/>
  <c r="AZ37" i="6" s="1"/>
  <c r="CT37" i="6"/>
  <c r="CU37" i="6" s="1"/>
  <c r="CV37" i="6" s="1"/>
  <c r="ED37" i="6"/>
  <c r="EE37" i="6" s="1"/>
  <c r="EF37" i="6" s="1"/>
  <c r="EV55" i="6"/>
  <c r="EW55" i="6" s="1"/>
  <c r="EX55" i="6" s="1"/>
  <c r="BP98" i="6"/>
  <c r="BQ98" i="6" s="1"/>
  <c r="BR98" i="6" s="1"/>
  <c r="FB98" i="6"/>
  <c r="FC98" i="6" s="1"/>
  <c r="FD98" i="6" s="1"/>
  <c r="AX53" i="6"/>
  <c r="AY53" i="6" s="1"/>
  <c r="AZ53" i="6" s="1"/>
  <c r="EV53" i="6"/>
  <c r="EW53" i="6" s="1"/>
  <c r="EX53" i="6" s="1"/>
  <c r="AX91" i="6"/>
  <c r="AY91" i="6" s="1"/>
  <c r="AZ91" i="6" s="1"/>
  <c r="DL91" i="6"/>
  <c r="DM91" i="6" s="1"/>
  <c r="DN91" i="6" s="1"/>
  <c r="GF105" i="6"/>
  <c r="GG105" i="6" s="1"/>
  <c r="GH105" i="6" s="1"/>
  <c r="DF105" i="6"/>
  <c r="DG105" i="6" s="1"/>
  <c r="DH105" i="6" s="1"/>
  <c r="N71" i="6"/>
  <c r="O71" i="6" s="1"/>
  <c r="P71" i="6" s="1"/>
  <c r="T71" i="6"/>
  <c r="U71" i="6" s="1"/>
  <c r="V71" i="6" s="1"/>
  <c r="AL47" i="6"/>
  <c r="AM47" i="6" s="1"/>
  <c r="AN47" i="6" s="1"/>
  <c r="T21" i="6"/>
  <c r="U21" i="6" s="1"/>
  <c r="V21" i="6" s="1"/>
  <c r="BP62" i="6"/>
  <c r="BQ62" i="6" s="1"/>
  <c r="BR62" i="6" s="1"/>
  <c r="FZ62" i="6"/>
  <c r="GA62" i="6" s="1"/>
  <c r="GB62" i="6" s="1"/>
  <c r="AX71" i="6"/>
  <c r="AY71" i="6" s="1"/>
  <c r="AZ71" i="6" s="1"/>
  <c r="AF71" i="6"/>
  <c r="AG71" i="6" s="1"/>
  <c r="AH71" i="6" s="1"/>
  <c r="DX71" i="6"/>
  <c r="DY71" i="6" s="1"/>
  <c r="DZ71" i="6" s="1"/>
  <c r="BV64" i="6"/>
  <c r="BW64" i="6" s="1"/>
  <c r="BX64" i="6" s="1"/>
  <c r="GL64" i="6"/>
  <c r="GM64" i="6" s="1"/>
  <c r="GN64" i="6" s="1"/>
  <c r="DF89" i="6"/>
  <c r="DG89" i="6" s="1"/>
  <c r="DH89" i="6" s="1"/>
  <c r="CB47" i="6"/>
  <c r="CC47" i="6" s="1"/>
  <c r="CD47" i="6" s="1"/>
  <c r="AR47" i="6"/>
  <c r="AS47" i="6" s="1"/>
  <c r="AT47" i="6" s="1"/>
  <c r="DX47" i="6"/>
  <c r="DY47" i="6" s="1"/>
  <c r="DZ47" i="6" s="1"/>
  <c r="BV21" i="6"/>
  <c r="BW21" i="6" s="1"/>
  <c r="BX21" i="6" s="1"/>
  <c r="GF21" i="6"/>
  <c r="GG21" i="6" s="1"/>
  <c r="GH21" i="6" s="1"/>
  <c r="H29" i="6"/>
  <c r="I29" i="6" s="1"/>
  <c r="J29" i="6" s="1"/>
  <c r="AL29" i="6"/>
  <c r="AM29" i="6" s="1"/>
  <c r="AN29" i="6" s="1"/>
  <c r="FB29" i="6"/>
  <c r="FC29" i="6" s="1"/>
  <c r="FD29" i="6" s="1"/>
  <c r="AX77" i="6"/>
  <c r="AY77" i="6" s="1"/>
  <c r="AZ77" i="6" s="1"/>
  <c r="CZ77" i="6"/>
  <c r="DA77" i="6" s="1"/>
  <c r="DB77" i="6" s="1"/>
  <c r="FN77" i="6"/>
  <c r="FO77" i="6" s="1"/>
  <c r="FP77" i="6" s="1"/>
  <c r="BD28" i="6"/>
  <c r="BE28" i="6" s="1"/>
  <c r="BF28" i="6" s="1"/>
  <c r="CT28" i="6"/>
  <c r="CU28" i="6" s="1"/>
  <c r="CV28" i="6" s="1"/>
  <c r="DF28" i="6"/>
  <c r="DG28" i="6" s="1"/>
  <c r="DH28" i="6" s="1"/>
  <c r="AX42" i="6"/>
  <c r="AY42" i="6" s="1"/>
  <c r="AZ42" i="6" s="1"/>
  <c r="T42" i="6"/>
  <c r="U42" i="6" s="1"/>
  <c r="V42" i="6" s="1"/>
  <c r="GL42" i="6"/>
  <c r="GM42" i="6" s="1"/>
  <c r="GN42" i="6" s="1"/>
  <c r="N22" i="6"/>
  <c r="O22" i="6" s="1"/>
  <c r="P22" i="6" s="1"/>
  <c r="AL22" i="6"/>
  <c r="AM22" i="6" s="1"/>
  <c r="AN22" i="6" s="1"/>
  <c r="CH22" i="6"/>
  <c r="CI22" i="6" s="1"/>
  <c r="CJ22" i="6" s="1"/>
  <c r="DX22" i="6"/>
  <c r="DY22" i="6" s="1"/>
  <c r="DZ22" i="6" s="1"/>
  <c r="DL17" i="6"/>
  <c r="DM17" i="6" s="1"/>
  <c r="DN17" i="6" s="1"/>
  <c r="DX61" i="6"/>
  <c r="DY61" i="6" s="1"/>
  <c r="DZ61" i="6" s="1"/>
  <c r="EP61" i="6"/>
  <c r="EQ61" i="6" s="1"/>
  <c r="ER61" i="6" s="1"/>
  <c r="Z48" i="6"/>
  <c r="AA48" i="6" s="1"/>
  <c r="AB48" i="6" s="1"/>
  <c r="AR48" i="6"/>
  <c r="AS48" i="6" s="1"/>
  <c r="AT48" i="6" s="1"/>
  <c r="EP48" i="6"/>
  <c r="EQ48" i="6" s="1"/>
  <c r="ER48" i="6" s="1"/>
  <c r="FB48" i="6"/>
  <c r="FC48" i="6" s="1"/>
  <c r="FD48" i="6" s="1"/>
  <c r="BJ65" i="6"/>
  <c r="BK65" i="6" s="1"/>
  <c r="BL65" i="6" s="1"/>
  <c r="GL65" i="6"/>
  <c r="GM65" i="6" s="1"/>
  <c r="GN65" i="6" s="1"/>
  <c r="N40" i="6"/>
  <c r="O40" i="6" s="1"/>
  <c r="P40" i="6" s="1"/>
  <c r="T40" i="6"/>
  <c r="U40" i="6" s="1"/>
  <c r="V40" i="6" s="1"/>
  <c r="DX40" i="6"/>
  <c r="DY40" i="6" s="1"/>
  <c r="DZ40" i="6" s="1"/>
  <c r="EV40" i="6"/>
  <c r="EW40" i="6" s="1"/>
  <c r="EX40" i="6" s="1"/>
  <c r="CB43" i="6"/>
  <c r="CC43" i="6" s="1"/>
  <c r="CD43" i="6" s="1"/>
  <c r="DF43" i="6"/>
  <c r="DG43" i="6" s="1"/>
  <c r="DH43" i="6" s="1"/>
  <c r="CB31" i="6"/>
  <c r="CC31" i="6" s="1"/>
  <c r="CD31" i="6" s="1"/>
  <c r="BD31" i="6"/>
  <c r="BE31" i="6" s="1"/>
  <c r="BF31" i="6" s="1"/>
  <c r="CH31" i="6"/>
  <c r="CI31" i="6" s="1"/>
  <c r="CJ31" i="6" s="1"/>
  <c r="DX31" i="6"/>
  <c r="DY31" i="6" s="1"/>
  <c r="DZ31" i="6" s="1"/>
  <c r="GF31" i="6"/>
  <c r="GG31" i="6" s="1"/>
  <c r="GH31" i="6" s="1"/>
  <c r="CN73" i="6"/>
  <c r="CO73" i="6" s="1"/>
  <c r="CP73" i="6" s="1"/>
  <c r="FN73" i="6"/>
  <c r="FO73" i="6" s="1"/>
  <c r="FP73" i="6" s="1"/>
  <c r="GL73" i="6"/>
  <c r="GM73" i="6" s="1"/>
  <c r="GN73" i="6" s="1"/>
  <c r="H57" i="6"/>
  <c r="I57" i="6" s="1"/>
  <c r="J57" i="6" s="1"/>
  <c r="DR57" i="6"/>
  <c r="DS57" i="6" s="1"/>
  <c r="DT57" i="6" s="1"/>
  <c r="EV57" i="6"/>
  <c r="EW57" i="6" s="1"/>
  <c r="EX57" i="6" s="1"/>
  <c r="AL15" i="6"/>
  <c r="AM15" i="6" s="1"/>
  <c r="AN15" i="6" s="1"/>
  <c r="EJ15" i="6"/>
  <c r="EK15" i="6" s="1"/>
  <c r="EL15" i="6" s="1"/>
  <c r="H67" i="6"/>
  <c r="I67" i="6" s="1"/>
  <c r="J67" i="6" s="1"/>
  <c r="T67" i="6"/>
  <c r="U67" i="6" s="1"/>
  <c r="V67" i="6" s="1"/>
  <c r="CZ67" i="6"/>
  <c r="DA67" i="6" s="1"/>
  <c r="DB67" i="6" s="1"/>
  <c r="EV67" i="6"/>
  <c r="EW67" i="6" s="1"/>
  <c r="EX67" i="6" s="1"/>
  <c r="BJ24" i="6"/>
  <c r="BK24" i="6" s="1"/>
  <c r="BL24" i="6" s="1"/>
  <c r="DX24" i="6"/>
  <c r="DY24" i="6" s="1"/>
  <c r="DZ24" i="6" s="1"/>
  <c r="FZ24" i="6"/>
  <c r="GA24" i="6" s="1"/>
  <c r="GB24" i="6" s="1"/>
  <c r="AX106" i="6"/>
  <c r="AY106" i="6" s="1"/>
  <c r="AZ106" i="6" s="1"/>
  <c r="AR106" i="6"/>
  <c r="AS106" i="6" s="1"/>
  <c r="AT106" i="6" s="1"/>
  <c r="ED106" i="6"/>
  <c r="EE106" i="6" s="1"/>
  <c r="EF106" i="6" s="1"/>
  <c r="GL106" i="6"/>
  <c r="GM106" i="6" s="1"/>
  <c r="GN106" i="6" s="1"/>
  <c r="CH97" i="6"/>
  <c r="CI97" i="6" s="1"/>
  <c r="CJ97" i="6" s="1"/>
  <c r="DL97" i="6"/>
  <c r="DM97" i="6" s="1"/>
  <c r="DN97" i="6" s="1"/>
  <c r="DF97" i="6"/>
  <c r="DG97" i="6" s="1"/>
  <c r="DH97" i="6" s="1"/>
  <c r="CB96" i="6"/>
  <c r="CC96" i="6" s="1"/>
  <c r="CD96" i="6" s="1"/>
  <c r="T96" i="6"/>
  <c r="U96" i="6" s="1"/>
  <c r="V96" i="6" s="1"/>
  <c r="FH96" i="6"/>
  <c r="FI96" i="6" s="1"/>
  <c r="FJ96" i="6" s="1"/>
  <c r="CN96" i="6"/>
  <c r="CO96" i="6" s="1"/>
  <c r="CP96" i="6" s="1"/>
  <c r="Z84" i="6"/>
  <c r="AA84" i="6" s="1"/>
  <c r="AB84" i="6" s="1"/>
  <c r="CH84" i="6"/>
  <c r="CI84" i="6" s="1"/>
  <c r="CJ84" i="6" s="1"/>
  <c r="CZ84" i="6"/>
  <c r="DA84" i="6" s="1"/>
  <c r="DB84" i="6" s="1"/>
  <c r="GL84" i="6"/>
  <c r="GM84" i="6" s="1"/>
  <c r="GN84" i="6" s="1"/>
  <c r="N59" i="6"/>
  <c r="O59" i="6" s="1"/>
  <c r="P59" i="6" s="1"/>
  <c r="CH59" i="6"/>
  <c r="CI59" i="6" s="1"/>
  <c r="CJ59" i="6" s="1"/>
  <c r="DF59" i="6"/>
  <c r="DG59" i="6" s="1"/>
  <c r="DH59" i="6" s="1"/>
  <c r="EP59" i="6"/>
  <c r="EQ59" i="6" s="1"/>
  <c r="ER59" i="6" s="1"/>
  <c r="Z107" i="6"/>
  <c r="AA107" i="6" s="1"/>
  <c r="AB107" i="6" s="1"/>
  <c r="T107" i="6"/>
  <c r="U107" i="6" s="1"/>
  <c r="V107" i="6" s="1"/>
  <c r="FB107" i="6"/>
  <c r="FC107" i="6" s="1"/>
  <c r="FD107" i="6" s="1"/>
  <c r="N23" i="6"/>
  <c r="O23" i="6" s="1"/>
  <c r="P23" i="6" s="1"/>
  <c r="CZ23" i="6"/>
  <c r="DA23" i="6" s="1"/>
  <c r="DB23" i="6" s="1"/>
  <c r="AX108" i="6"/>
  <c r="AY108" i="6" s="1"/>
  <c r="AZ108" i="6" s="1"/>
  <c r="FH108" i="6"/>
  <c r="FI108" i="6" s="1"/>
  <c r="FJ108" i="6" s="1"/>
  <c r="CN108" i="6"/>
  <c r="CO108" i="6" s="1"/>
  <c r="CP108" i="6" s="1"/>
  <c r="DX108" i="6"/>
  <c r="DY108" i="6" s="1"/>
  <c r="DZ108" i="6" s="1"/>
  <c r="BP50" i="6"/>
  <c r="BQ50" i="6" s="1"/>
  <c r="BR50" i="6" s="1"/>
  <c r="EJ50" i="6"/>
  <c r="EK50" i="6" s="1"/>
  <c r="EL50" i="6" s="1"/>
  <c r="DF50" i="6"/>
  <c r="DG50" i="6" s="1"/>
  <c r="DH50" i="6" s="1"/>
  <c r="FZ50" i="6"/>
  <c r="GA50" i="6" s="1"/>
  <c r="GB50" i="6" s="1"/>
  <c r="BP38" i="6"/>
  <c r="BQ38" i="6" s="1"/>
  <c r="BR38" i="6" s="1"/>
  <c r="DX38" i="6"/>
  <c r="DY38" i="6" s="1"/>
  <c r="DZ38" i="6" s="1"/>
  <c r="DF38" i="6"/>
  <c r="DG38" i="6" s="1"/>
  <c r="DH38" i="6" s="1"/>
  <c r="EV38" i="6"/>
  <c r="EW38" i="6" s="1"/>
  <c r="EX38" i="6" s="1"/>
  <c r="BV34" i="6"/>
  <c r="BW34" i="6" s="1"/>
  <c r="BX34" i="6" s="1"/>
  <c r="BD34" i="6"/>
  <c r="BE34" i="6" s="1"/>
  <c r="BF34" i="6" s="1"/>
  <c r="DF34" i="6"/>
  <c r="DG34" i="6" s="1"/>
  <c r="DH34" i="6" s="1"/>
  <c r="FN34" i="6"/>
  <c r="FO34" i="6" s="1"/>
  <c r="FP34" i="6" s="1"/>
  <c r="BD14" i="6"/>
  <c r="BE14" i="6" s="1"/>
  <c r="BF14" i="6" s="1"/>
  <c r="BJ14" i="6"/>
  <c r="BK14" i="6" s="1"/>
  <c r="BL14" i="6" s="1"/>
  <c r="DR14" i="6"/>
  <c r="DS14" i="6" s="1"/>
  <c r="DT14" i="6" s="1"/>
  <c r="N101" i="6"/>
  <c r="O101" i="6" s="1"/>
  <c r="P101" i="6" s="1"/>
  <c r="AL101" i="6"/>
  <c r="AM101" i="6" s="1"/>
  <c r="AN101" i="6" s="1"/>
  <c r="DF101" i="6"/>
  <c r="DG101" i="6" s="1"/>
  <c r="DH101" i="6" s="1"/>
  <c r="FB101" i="6"/>
  <c r="FC101" i="6" s="1"/>
  <c r="FD101" i="6" s="1"/>
  <c r="AR32" i="6"/>
  <c r="AS32" i="6" s="1"/>
  <c r="AT32" i="6" s="1"/>
  <c r="BD32" i="6"/>
  <c r="BE32" i="6" s="1"/>
  <c r="BF32" i="6" s="1"/>
  <c r="DR32" i="6"/>
  <c r="DS32" i="6" s="1"/>
  <c r="DT32" i="6" s="1"/>
  <c r="ED32" i="6"/>
  <c r="EE32" i="6" s="1"/>
  <c r="EF32" i="6" s="1"/>
  <c r="BV102" i="6"/>
  <c r="BW102" i="6" s="1"/>
  <c r="BX102" i="6" s="1"/>
  <c r="EP102" i="6"/>
  <c r="EQ102" i="6" s="1"/>
  <c r="ER102" i="6" s="1"/>
  <c r="AF102" i="6"/>
  <c r="AG102" i="6" s="1"/>
  <c r="AH102" i="6" s="1"/>
  <c r="DL102" i="6"/>
  <c r="DM102" i="6" s="1"/>
  <c r="DN102" i="6" s="1"/>
  <c r="CB82" i="6"/>
  <c r="CC82" i="6" s="1"/>
  <c r="CD82" i="6" s="1"/>
  <c r="BP82" i="6"/>
  <c r="BQ82" i="6" s="1"/>
  <c r="BR82" i="6" s="1"/>
  <c r="DR82" i="6"/>
  <c r="DS82" i="6" s="1"/>
  <c r="DT82" i="6" s="1"/>
  <c r="EJ82" i="6"/>
  <c r="EK82" i="6" s="1"/>
  <c r="EL82" i="6" s="1"/>
  <c r="BV66" i="6"/>
  <c r="BW66" i="6" s="1"/>
  <c r="BX66" i="6" s="1"/>
  <c r="CZ66" i="6"/>
  <c r="DA66" i="6" s="1"/>
  <c r="DB66" i="6" s="1"/>
  <c r="DX66" i="6"/>
  <c r="DY66" i="6" s="1"/>
  <c r="DZ66" i="6" s="1"/>
  <c r="GF66" i="6"/>
  <c r="GG66" i="6" s="1"/>
  <c r="GH66" i="6" s="1"/>
  <c r="BV27" i="6"/>
  <c r="BW27" i="6" s="1"/>
  <c r="BX27" i="6" s="1"/>
  <c r="CN27" i="6"/>
  <c r="CO27" i="6" s="1"/>
  <c r="CP27" i="6" s="1"/>
  <c r="CT27" i="6"/>
  <c r="CU27" i="6" s="1"/>
  <c r="CV27" i="6" s="1"/>
  <c r="GL27" i="6"/>
  <c r="GM27" i="6" s="1"/>
  <c r="GN27" i="6" s="1"/>
  <c r="BP18" i="6"/>
  <c r="BQ18" i="6" s="1"/>
  <c r="BR18" i="6" s="1"/>
  <c r="AL18" i="6"/>
  <c r="AM18" i="6" s="1"/>
  <c r="AN18" i="6" s="1"/>
  <c r="EV18" i="6"/>
  <c r="EW18" i="6" s="1"/>
  <c r="EX18" i="6" s="1"/>
  <c r="BV51" i="6"/>
  <c r="BW51" i="6" s="1"/>
  <c r="BX51" i="6" s="1"/>
  <c r="AL51" i="6"/>
  <c r="AM51" i="6" s="1"/>
  <c r="AN51" i="6" s="1"/>
  <c r="DX51" i="6"/>
  <c r="DY51" i="6" s="1"/>
  <c r="DZ51" i="6" s="1"/>
  <c r="EV51" i="6"/>
  <c r="EW51" i="6" s="1"/>
  <c r="EX51" i="6" s="1"/>
  <c r="AX25" i="6"/>
  <c r="AY25" i="6" s="1"/>
  <c r="AZ25" i="6" s="1"/>
  <c r="AL25" i="6"/>
  <c r="AM25" i="6" s="1"/>
  <c r="AN25" i="6" s="1"/>
  <c r="ED25" i="6"/>
  <c r="EE25" i="6" s="1"/>
  <c r="EF25" i="6" s="1"/>
  <c r="EP25" i="6"/>
  <c r="EQ25" i="6" s="1"/>
  <c r="ER25" i="6" s="1"/>
  <c r="CB11" i="6"/>
  <c r="CC11" i="6" s="1"/>
  <c r="CD11" i="6" s="1"/>
  <c r="T11" i="6"/>
  <c r="U11" i="6" s="1"/>
  <c r="V11" i="6" s="1"/>
  <c r="AX76" i="6"/>
  <c r="AY76" i="6" s="1"/>
  <c r="AZ76" i="6" s="1"/>
  <c r="CT76" i="6"/>
  <c r="CU76" i="6" s="1"/>
  <c r="CV76" i="6" s="1"/>
  <c r="AF76" i="6"/>
  <c r="AG76" i="6" s="1"/>
  <c r="AH76" i="6" s="1"/>
  <c r="GF76" i="6"/>
  <c r="GG76" i="6" s="1"/>
  <c r="GH76" i="6" s="1"/>
  <c r="FZ76" i="6"/>
  <c r="GA76" i="6" s="1"/>
  <c r="GB76" i="6" s="1"/>
  <c r="N85" i="6"/>
  <c r="O85" i="6" s="1"/>
  <c r="P85" i="6" s="1"/>
  <c r="AF85" i="6"/>
  <c r="AG85" i="6" s="1"/>
  <c r="AH85" i="6" s="1"/>
  <c r="EV85" i="6"/>
  <c r="EW85" i="6" s="1"/>
  <c r="EX85" i="6" s="1"/>
  <c r="GL85" i="6"/>
  <c r="GM85" i="6" s="1"/>
  <c r="GN85" i="6" s="1"/>
  <c r="BP49" i="6"/>
  <c r="BQ49" i="6" s="1"/>
  <c r="BR49" i="6" s="1"/>
  <c r="CT49" i="6"/>
  <c r="CU49" i="6" s="1"/>
  <c r="CV49" i="6" s="1"/>
  <c r="DF49" i="6"/>
  <c r="DG49" i="6" s="1"/>
  <c r="DH49" i="6" s="1"/>
  <c r="BV60" i="6"/>
  <c r="BW60" i="6" s="1"/>
  <c r="BX60" i="6" s="1"/>
  <c r="CT60" i="6"/>
  <c r="CU60" i="6" s="1"/>
  <c r="CV60" i="6" s="1"/>
  <c r="DL60" i="6"/>
  <c r="DM60" i="6" s="1"/>
  <c r="DN60" i="6" s="1"/>
  <c r="BV81" i="6"/>
  <c r="BW81" i="6" s="1"/>
  <c r="BX81" i="6" s="1"/>
  <c r="CZ81" i="6"/>
  <c r="DA81" i="6" s="1"/>
  <c r="DB81" i="6" s="1"/>
  <c r="DX81" i="6"/>
  <c r="DY81" i="6" s="1"/>
  <c r="DZ81" i="6" s="1"/>
  <c r="CT75" i="6"/>
  <c r="CU75" i="6" s="1"/>
  <c r="CV75" i="6" s="1"/>
  <c r="AX100" i="6"/>
  <c r="AY100" i="6" s="1"/>
  <c r="AZ100" i="6" s="1"/>
  <c r="AL100" i="6"/>
  <c r="AM100" i="6" s="1"/>
  <c r="AN100" i="6" s="1"/>
  <c r="CT100" i="6"/>
  <c r="CU100" i="6" s="1"/>
  <c r="CV100" i="6" s="1"/>
  <c r="FZ100" i="6"/>
  <c r="GA100" i="6" s="1"/>
  <c r="GB100" i="6" s="1"/>
  <c r="H78" i="6"/>
  <c r="I78" i="6" s="1"/>
  <c r="J78" i="6" s="1"/>
  <c r="FZ78" i="6"/>
  <c r="GA78" i="6" s="1"/>
  <c r="GB78" i="6" s="1"/>
  <c r="AF26" i="6"/>
  <c r="AG26" i="6" s="1"/>
  <c r="AH26" i="6" s="1"/>
  <c r="GF26" i="6"/>
  <c r="GG26" i="6" s="1"/>
  <c r="GH26" i="6" s="1"/>
  <c r="H52" i="6"/>
  <c r="I52" i="6" s="1"/>
  <c r="J52" i="6" s="1"/>
  <c r="CZ52" i="6"/>
  <c r="DA52" i="6" s="1"/>
  <c r="DB52" i="6" s="1"/>
  <c r="H19" i="6"/>
  <c r="I19" i="6" s="1"/>
  <c r="J19" i="6" s="1"/>
  <c r="CT19" i="6"/>
  <c r="CU19" i="6" s="1"/>
  <c r="CV19" i="6" s="1"/>
  <c r="CZ19" i="6"/>
  <c r="DA19" i="6" s="1"/>
  <c r="DB19" i="6" s="1"/>
  <c r="AX20" i="6"/>
  <c r="AY20" i="6" s="1"/>
  <c r="AZ20" i="6" s="1"/>
  <c r="DR20" i="6"/>
  <c r="DS20" i="6" s="1"/>
  <c r="DT20" i="6" s="1"/>
  <c r="FZ99" i="6"/>
  <c r="GA99" i="6" s="1"/>
  <c r="GB99" i="6" s="1"/>
  <c r="FZ45" i="6"/>
  <c r="GA45" i="6" s="1"/>
  <c r="GB45" i="6" s="1"/>
  <c r="Z44" i="6"/>
  <c r="AA44" i="6" s="1"/>
  <c r="AB44" i="6" s="1"/>
  <c r="AF44" i="6"/>
  <c r="AG44" i="6" s="1"/>
  <c r="AH44" i="6" s="1"/>
  <c r="CZ44" i="6"/>
  <c r="DA44" i="6" s="1"/>
  <c r="DB44" i="6" s="1"/>
  <c r="BP33" i="6"/>
  <c r="BQ33" i="6" s="1"/>
  <c r="BR33" i="6" s="1"/>
  <c r="BP36" i="6"/>
  <c r="BQ36" i="6" s="1"/>
  <c r="BR36" i="6" s="1"/>
  <c r="BJ36" i="6"/>
  <c r="BK36" i="6" s="1"/>
  <c r="BL36" i="6" s="1"/>
  <c r="DL36" i="6"/>
  <c r="DM36" i="6" s="1"/>
  <c r="DN36" i="6" s="1"/>
  <c r="H70" i="6"/>
  <c r="I70" i="6" s="1"/>
  <c r="J70" i="6" s="1"/>
  <c r="DF70" i="6"/>
  <c r="DG70" i="6" s="1"/>
  <c r="DH70" i="6" s="1"/>
  <c r="CB93" i="6"/>
  <c r="CC93" i="6" s="1"/>
  <c r="CD93" i="6" s="1"/>
  <c r="T93" i="6"/>
  <c r="U93" i="6" s="1"/>
  <c r="V93" i="6" s="1"/>
  <c r="BV74" i="6"/>
  <c r="BW74" i="6" s="1"/>
  <c r="BX74" i="6" s="1"/>
  <c r="BP83" i="6"/>
  <c r="BQ83" i="6" s="1"/>
  <c r="BR83" i="6" s="1"/>
  <c r="AF83" i="6"/>
  <c r="AG83" i="6" s="1"/>
  <c r="AH83" i="6" s="1"/>
  <c r="ED83" i="6"/>
  <c r="EE83" i="6" s="1"/>
  <c r="EF83" i="6" s="1"/>
  <c r="FB83" i="6"/>
  <c r="FC83" i="6" s="1"/>
  <c r="FD83" i="6" s="1"/>
  <c r="ED69" i="6"/>
  <c r="EE69" i="6" s="1"/>
  <c r="EF69" i="6" s="1"/>
  <c r="AF37" i="6"/>
  <c r="AG37" i="6" s="1"/>
  <c r="AH37" i="6" s="1"/>
  <c r="BJ55" i="6"/>
  <c r="BK55" i="6" s="1"/>
  <c r="BL55" i="6" s="1"/>
  <c r="DL98" i="6"/>
  <c r="DM98" i="6" s="1"/>
  <c r="DN98" i="6" s="1"/>
  <c r="ED98" i="6"/>
  <c r="EE98" i="6" s="1"/>
  <c r="EF98" i="6" s="1"/>
  <c r="N53" i="6"/>
  <c r="O53" i="6" s="1"/>
  <c r="P53" i="6" s="1"/>
  <c r="ED53" i="6"/>
  <c r="EE53" i="6" s="1"/>
  <c r="EF53" i="6" s="1"/>
  <c r="N91" i="6"/>
  <c r="O91" i="6" s="1"/>
  <c r="P91" i="6" s="1"/>
  <c r="EV54" i="6"/>
  <c r="EW54" i="6" s="1"/>
  <c r="EX54" i="6" s="1"/>
  <c r="BD46" i="6"/>
  <c r="BE46" i="6" s="1"/>
  <c r="BF46" i="6" s="1"/>
  <c r="FH62" i="6"/>
  <c r="FI62" i="6" s="1"/>
  <c r="FJ62" i="6" s="1"/>
  <c r="AL41" i="6"/>
  <c r="AM41" i="6" s="1"/>
  <c r="AN41" i="6" s="1"/>
  <c r="EP64" i="6"/>
  <c r="EQ64" i="6" s="1"/>
  <c r="ER64" i="6" s="1"/>
  <c r="CZ47" i="6"/>
  <c r="DA47" i="6" s="1"/>
  <c r="DB47" i="6" s="1"/>
  <c r="DF35" i="6"/>
  <c r="DG35" i="6" s="1"/>
  <c r="DH35" i="6" s="1"/>
  <c r="EP29" i="6"/>
  <c r="EQ29" i="6" s="1"/>
  <c r="ER29" i="6" s="1"/>
  <c r="BJ77" i="6"/>
  <c r="BK77" i="6" s="1"/>
  <c r="BL77" i="6" s="1"/>
  <c r="AX58" i="6"/>
  <c r="AY58" i="6" s="1"/>
  <c r="AZ58" i="6" s="1"/>
  <c r="DL58" i="6"/>
  <c r="DM58" i="6" s="1"/>
  <c r="DN58" i="6" s="1"/>
  <c r="DF58" i="6"/>
  <c r="DG58" i="6" s="1"/>
  <c r="DH58" i="6" s="1"/>
  <c r="AX28" i="6"/>
  <c r="AY28" i="6" s="1"/>
  <c r="AZ28" i="6" s="1"/>
  <c r="AL28" i="6"/>
  <c r="AM28" i="6" s="1"/>
  <c r="AN28" i="6" s="1"/>
  <c r="FN28" i="6"/>
  <c r="FO28" i="6" s="1"/>
  <c r="FP28" i="6" s="1"/>
  <c r="BP42" i="6"/>
  <c r="BQ42" i="6" s="1"/>
  <c r="BR42" i="6" s="1"/>
  <c r="CN42" i="6"/>
  <c r="CO42" i="6" s="1"/>
  <c r="CP42" i="6" s="1"/>
  <c r="BJ22" i="6"/>
  <c r="BK22" i="6" s="1"/>
  <c r="BL22" i="6" s="1"/>
  <c r="FB22" i="6"/>
  <c r="FC22" i="6" s="1"/>
  <c r="FD22" i="6" s="1"/>
  <c r="BV17" i="6"/>
  <c r="BW17" i="6" s="1"/>
  <c r="BX17" i="6" s="1"/>
  <c r="EV17" i="6"/>
  <c r="EW17" i="6" s="1"/>
  <c r="EX17" i="6" s="1"/>
  <c r="DX17" i="6"/>
  <c r="DY17" i="6" s="1"/>
  <c r="DZ17" i="6" s="1"/>
  <c r="GF17" i="6"/>
  <c r="GG17" i="6" s="1"/>
  <c r="GH17" i="6" s="1"/>
  <c r="AL61" i="6"/>
  <c r="AM61" i="6" s="1"/>
  <c r="AN61" i="6" s="1"/>
  <c r="CZ61" i="6"/>
  <c r="DA61" i="6" s="1"/>
  <c r="DB61" i="6" s="1"/>
  <c r="EV61" i="6"/>
  <c r="EW61" i="6" s="1"/>
  <c r="EX61" i="6" s="1"/>
  <c r="BP48" i="6"/>
  <c r="BQ48" i="6" s="1"/>
  <c r="BR48" i="6" s="1"/>
  <c r="BD48" i="6"/>
  <c r="BE48" i="6" s="1"/>
  <c r="BF48" i="6" s="1"/>
  <c r="DX48" i="6"/>
  <c r="DY48" i="6" s="1"/>
  <c r="DZ48" i="6" s="1"/>
  <c r="Z65" i="6"/>
  <c r="AA65" i="6" s="1"/>
  <c r="AB65" i="6" s="1"/>
  <c r="AF65" i="6"/>
  <c r="AG65" i="6" s="1"/>
  <c r="AH65" i="6" s="1"/>
  <c r="CT65" i="6"/>
  <c r="CU65" i="6" s="1"/>
  <c r="CV65" i="6" s="1"/>
  <c r="EJ65" i="6"/>
  <c r="EK65" i="6" s="1"/>
  <c r="EL65" i="6" s="1"/>
  <c r="Z43" i="6"/>
  <c r="AA43" i="6" s="1"/>
  <c r="AB43" i="6" s="1"/>
  <c r="AL43" i="6"/>
  <c r="AM43" i="6" s="1"/>
  <c r="AN43" i="6" s="1"/>
  <c r="DR43" i="6"/>
  <c r="DS43" i="6" s="1"/>
  <c r="DT43" i="6" s="1"/>
  <c r="DX43" i="6"/>
  <c r="DY43" i="6" s="1"/>
  <c r="DZ43" i="6" s="1"/>
  <c r="N31" i="6"/>
  <c r="O31" i="6" s="1"/>
  <c r="P31" i="6" s="1"/>
  <c r="Z31" i="6"/>
  <c r="AA31" i="6" s="1"/>
  <c r="AB31" i="6" s="1"/>
  <c r="AF31" i="6"/>
  <c r="AG31" i="6" s="1"/>
  <c r="AH31" i="6" s="1"/>
  <c r="H73" i="6"/>
  <c r="I73" i="6" s="1"/>
  <c r="J73" i="6" s="1"/>
  <c r="BV73" i="6"/>
  <c r="BW73" i="6" s="1"/>
  <c r="BX73" i="6" s="1"/>
  <c r="ED73" i="6"/>
  <c r="EE73" i="6" s="1"/>
  <c r="EF73" i="6" s="1"/>
  <c r="FZ73" i="6"/>
  <c r="GA73" i="6" s="1"/>
  <c r="GB73" i="6" s="1"/>
  <c r="ED57" i="6"/>
  <c r="EE57" i="6" s="1"/>
  <c r="EF57" i="6" s="1"/>
  <c r="AR15" i="6"/>
  <c r="AS15" i="6" s="1"/>
  <c r="AT15" i="6" s="1"/>
  <c r="DR15" i="6"/>
  <c r="DS15" i="6" s="1"/>
  <c r="DT15" i="6" s="1"/>
  <c r="ED15" i="6"/>
  <c r="EE15" i="6" s="1"/>
  <c r="EF15" i="6" s="1"/>
  <c r="BJ67" i="6"/>
  <c r="BK67" i="6" s="1"/>
  <c r="BL67" i="6" s="1"/>
  <c r="CH67" i="6"/>
  <c r="CI67" i="6" s="1"/>
  <c r="CJ67" i="6" s="1"/>
  <c r="GL67" i="6"/>
  <c r="GM67" i="6" s="1"/>
  <c r="GN67" i="6" s="1"/>
  <c r="BV24" i="6"/>
  <c r="BW24" i="6" s="1"/>
  <c r="BX24" i="6" s="1"/>
  <c r="BD24" i="6"/>
  <c r="BE24" i="6" s="1"/>
  <c r="BF24" i="6" s="1"/>
  <c r="DF24" i="6"/>
  <c r="DG24" i="6" s="1"/>
  <c r="DH24" i="6" s="1"/>
  <c r="EV24" i="6"/>
  <c r="EW24" i="6" s="1"/>
  <c r="EX24" i="6" s="1"/>
  <c r="T106" i="6"/>
  <c r="U106" i="6" s="1"/>
  <c r="V106" i="6" s="1"/>
  <c r="DX106" i="6"/>
  <c r="DY106" i="6" s="1"/>
  <c r="DZ106" i="6" s="1"/>
  <c r="AL97" i="6"/>
  <c r="AM97" i="6" s="1"/>
  <c r="AN97" i="6" s="1"/>
  <c r="AR97" i="6"/>
  <c r="AS97" i="6" s="1"/>
  <c r="AT97" i="6" s="1"/>
  <c r="EP97" i="6"/>
  <c r="EQ97" i="6" s="1"/>
  <c r="ER97" i="6" s="1"/>
  <c r="EJ97" i="6"/>
  <c r="EK97" i="6" s="1"/>
  <c r="EL97" i="6" s="1"/>
  <c r="Z96" i="6"/>
  <c r="AA96" i="6" s="1"/>
  <c r="AB96" i="6" s="1"/>
  <c r="BJ96" i="6"/>
  <c r="BK96" i="6" s="1"/>
  <c r="BL96" i="6" s="1"/>
  <c r="CT96" i="6"/>
  <c r="CU96" i="6" s="1"/>
  <c r="CV96" i="6" s="1"/>
  <c r="AX84" i="6"/>
  <c r="AY84" i="6" s="1"/>
  <c r="AZ84" i="6" s="1"/>
  <c r="BD84" i="6"/>
  <c r="BE84" i="6" s="1"/>
  <c r="BF84" i="6" s="1"/>
  <c r="CN84" i="6"/>
  <c r="CO84" i="6" s="1"/>
  <c r="CP84" i="6" s="1"/>
  <c r="GF84" i="6"/>
  <c r="GG84" i="6" s="1"/>
  <c r="GH84" i="6" s="1"/>
  <c r="EP84" i="6"/>
  <c r="EQ84" i="6" s="1"/>
  <c r="ER84" i="6" s="1"/>
  <c r="H59" i="6"/>
  <c r="I59" i="6" s="1"/>
  <c r="J59" i="6" s="1"/>
  <c r="EJ59" i="6"/>
  <c r="EK59" i="6" s="1"/>
  <c r="EL59" i="6" s="1"/>
  <c r="AL107" i="6"/>
  <c r="AM107" i="6" s="1"/>
  <c r="AN107" i="6" s="1"/>
  <c r="BD107" i="6"/>
  <c r="BE107" i="6" s="1"/>
  <c r="BF107" i="6" s="1"/>
  <c r="FH107" i="6"/>
  <c r="FI107" i="6" s="1"/>
  <c r="FJ107" i="6" s="1"/>
  <c r="FN107" i="6"/>
  <c r="FO107" i="6" s="1"/>
  <c r="FP107" i="6" s="1"/>
  <c r="BV23" i="6"/>
  <c r="BW23" i="6" s="1"/>
  <c r="BX23" i="6" s="1"/>
  <c r="FB23" i="6"/>
  <c r="FC23" i="6" s="1"/>
  <c r="FD23" i="6" s="1"/>
  <c r="DR23" i="6"/>
  <c r="DS23" i="6" s="1"/>
  <c r="DT23" i="6" s="1"/>
  <c r="FN23" i="6"/>
  <c r="FO23" i="6" s="1"/>
  <c r="FP23" i="6" s="1"/>
  <c r="Z108" i="6"/>
  <c r="AA108" i="6" s="1"/>
  <c r="AB108" i="6" s="1"/>
  <c r="T108" i="6"/>
  <c r="U108" i="6" s="1"/>
  <c r="V108" i="6" s="1"/>
  <c r="CZ108" i="6"/>
  <c r="DA108" i="6" s="1"/>
  <c r="DB108" i="6" s="1"/>
  <c r="GF108" i="6"/>
  <c r="GG108" i="6" s="1"/>
  <c r="GH108" i="6" s="1"/>
  <c r="N50" i="6"/>
  <c r="O50" i="6" s="1"/>
  <c r="P50" i="6" s="1"/>
  <c r="AL50" i="6"/>
  <c r="AM50" i="6" s="1"/>
  <c r="AN50" i="6" s="1"/>
  <c r="GF50" i="6"/>
  <c r="GG50" i="6" s="1"/>
  <c r="GH50" i="6" s="1"/>
  <c r="EV50" i="6"/>
  <c r="EW50" i="6" s="1"/>
  <c r="EX50" i="6" s="1"/>
  <c r="BV38" i="6"/>
  <c r="BW38" i="6" s="1"/>
  <c r="BX38" i="6" s="1"/>
  <c r="AF38" i="6"/>
  <c r="AG38" i="6" s="1"/>
  <c r="AH38" i="6" s="1"/>
  <c r="GL38" i="6"/>
  <c r="GM38" i="6" s="1"/>
  <c r="GN38" i="6" s="1"/>
  <c r="BP34" i="6"/>
  <c r="BQ34" i="6" s="1"/>
  <c r="BR34" i="6" s="1"/>
  <c r="CN34" i="6"/>
  <c r="CO34" i="6" s="1"/>
  <c r="CP34" i="6" s="1"/>
  <c r="ED34" i="6"/>
  <c r="EE34" i="6" s="1"/>
  <c r="EF34" i="6" s="1"/>
  <c r="GL34" i="6"/>
  <c r="GM34" i="6" s="1"/>
  <c r="GN34" i="6" s="1"/>
  <c r="AF14" i="6"/>
  <c r="AG14" i="6" s="1"/>
  <c r="AH14" i="6" s="1"/>
  <c r="EJ14" i="6"/>
  <c r="EK14" i="6" s="1"/>
  <c r="EL14" i="6" s="1"/>
  <c r="FN14" i="6"/>
  <c r="FO14" i="6" s="1"/>
  <c r="FP14" i="6" s="1"/>
  <c r="Z101" i="6"/>
  <c r="AA101" i="6" s="1"/>
  <c r="AB101" i="6" s="1"/>
  <c r="BD101" i="6"/>
  <c r="BE101" i="6" s="1"/>
  <c r="BF101" i="6" s="1"/>
  <c r="EP101" i="6"/>
  <c r="EQ101" i="6" s="1"/>
  <c r="ER101" i="6" s="1"/>
  <c r="DX101" i="6"/>
  <c r="DY101" i="6" s="1"/>
  <c r="DZ101" i="6" s="1"/>
  <c r="N32" i="6"/>
  <c r="O32" i="6" s="1"/>
  <c r="P32" i="6" s="1"/>
  <c r="T32" i="6"/>
  <c r="U32" i="6" s="1"/>
  <c r="V32" i="6" s="1"/>
  <c r="AF32" i="6"/>
  <c r="AG32" i="6" s="1"/>
  <c r="AH32" i="6" s="1"/>
  <c r="N102" i="6"/>
  <c r="O102" i="6" s="1"/>
  <c r="P102" i="6" s="1"/>
  <c r="AR102" i="6"/>
  <c r="AS102" i="6" s="1"/>
  <c r="AT102" i="6" s="1"/>
  <c r="DX102" i="6"/>
  <c r="DY102" i="6" s="1"/>
  <c r="DZ102" i="6" s="1"/>
  <c r="ED102" i="6"/>
  <c r="EE102" i="6" s="1"/>
  <c r="EF102" i="6" s="1"/>
  <c r="Z82" i="6"/>
  <c r="AA82" i="6" s="1"/>
  <c r="AB82" i="6" s="1"/>
  <c r="BV82" i="6"/>
  <c r="BW82" i="6" s="1"/>
  <c r="BX82" i="6" s="1"/>
  <c r="FH82" i="6"/>
  <c r="FI82" i="6" s="1"/>
  <c r="FJ82" i="6" s="1"/>
  <c r="FN82" i="6"/>
  <c r="FO82" i="6" s="1"/>
  <c r="FP82" i="6" s="1"/>
  <c r="CB66" i="6"/>
  <c r="CC66" i="6" s="1"/>
  <c r="CD66" i="6" s="1"/>
  <c r="CT66" i="6"/>
  <c r="CU66" i="6" s="1"/>
  <c r="CV66" i="6" s="1"/>
  <c r="EJ66" i="6"/>
  <c r="EK66" i="6" s="1"/>
  <c r="EL66" i="6" s="1"/>
  <c r="FZ66" i="6"/>
  <c r="GA66" i="6" s="1"/>
  <c r="GB66" i="6" s="1"/>
  <c r="BP27" i="6"/>
  <c r="BQ27" i="6" s="1"/>
  <c r="BR27" i="6" s="1"/>
  <c r="EP27" i="6"/>
  <c r="EQ27" i="6" s="1"/>
  <c r="ER27" i="6" s="1"/>
  <c r="DR27" i="6"/>
  <c r="DS27" i="6" s="1"/>
  <c r="DT27" i="6" s="1"/>
  <c r="FZ27" i="6"/>
  <c r="GA27" i="6" s="1"/>
  <c r="GB27" i="6" s="1"/>
  <c r="BJ18" i="6"/>
  <c r="BK18" i="6" s="1"/>
  <c r="BL18" i="6" s="1"/>
  <c r="CH18" i="6"/>
  <c r="CI18" i="6" s="1"/>
  <c r="CJ18" i="6" s="1"/>
  <c r="EJ18" i="6"/>
  <c r="EK18" i="6" s="1"/>
  <c r="EL18" i="6" s="1"/>
  <c r="FN51" i="6"/>
  <c r="FO51" i="6" s="1"/>
  <c r="FP51" i="6" s="1"/>
  <c r="BP25" i="6"/>
  <c r="BQ25" i="6" s="1"/>
  <c r="BR25" i="6" s="1"/>
  <c r="AR25" i="6"/>
  <c r="AS25" i="6" s="1"/>
  <c r="AT25" i="6" s="1"/>
  <c r="FB25" i="6"/>
  <c r="FC25" i="6" s="1"/>
  <c r="FD25" i="6" s="1"/>
  <c r="DR25" i="6"/>
  <c r="DS25" i="6" s="1"/>
  <c r="DT25" i="6" s="1"/>
  <c r="AR11" i="6"/>
  <c r="AS11" i="6" s="1"/>
  <c r="AT11" i="6" s="1"/>
  <c r="CT11" i="6"/>
  <c r="CU11" i="6" s="1"/>
  <c r="CV11" i="6" s="1"/>
  <c r="CB76" i="6"/>
  <c r="CC76" i="6" s="1"/>
  <c r="CD76" i="6" s="1"/>
  <c r="Z76" i="6"/>
  <c r="AA76" i="6" s="1"/>
  <c r="AB76" i="6" s="1"/>
  <c r="DF76" i="6"/>
  <c r="DG76" i="6" s="1"/>
  <c r="DH76" i="6" s="1"/>
  <c r="DR76" i="6"/>
  <c r="DS76" i="6" s="1"/>
  <c r="DT76" i="6" s="1"/>
  <c r="DF85" i="6"/>
  <c r="DG85" i="6" s="1"/>
  <c r="DH85" i="6" s="1"/>
  <c r="FZ85" i="6"/>
  <c r="GA85" i="6" s="1"/>
  <c r="GB85" i="6" s="1"/>
  <c r="BD49" i="6"/>
  <c r="BE49" i="6" s="1"/>
  <c r="BF49" i="6" s="1"/>
  <c r="EP49" i="6"/>
  <c r="EQ49" i="6" s="1"/>
  <c r="ER49" i="6" s="1"/>
  <c r="FH49" i="6"/>
  <c r="FI49" i="6" s="1"/>
  <c r="FJ49" i="6" s="1"/>
  <c r="T60" i="6"/>
  <c r="U60" i="6" s="1"/>
  <c r="V60" i="6" s="1"/>
  <c r="DF60" i="6"/>
  <c r="DG60" i="6" s="1"/>
  <c r="DH60" i="6" s="1"/>
  <c r="BD60" i="6"/>
  <c r="BE60" i="6" s="1"/>
  <c r="BF60" i="6" s="1"/>
  <c r="BD81" i="6"/>
  <c r="BE81" i="6" s="1"/>
  <c r="BF81" i="6" s="1"/>
  <c r="DR81" i="6"/>
  <c r="DS81" i="6" s="1"/>
  <c r="DT81" i="6" s="1"/>
  <c r="GF81" i="6"/>
  <c r="GG81" i="6" s="1"/>
  <c r="GH81" i="6" s="1"/>
  <c r="H75" i="6"/>
  <c r="I75" i="6" s="1"/>
  <c r="J75" i="6" s="1"/>
  <c r="BV75" i="6"/>
  <c r="BW75" i="6" s="1"/>
  <c r="BX75" i="6" s="1"/>
  <c r="CZ75" i="6"/>
  <c r="DA75" i="6" s="1"/>
  <c r="DB75" i="6" s="1"/>
  <c r="GF75" i="6"/>
  <c r="GG75" i="6" s="1"/>
  <c r="GH75" i="6" s="1"/>
  <c r="CB100" i="6"/>
  <c r="CC100" i="6" s="1"/>
  <c r="CD100" i="6" s="1"/>
  <c r="BJ100" i="6"/>
  <c r="BK100" i="6" s="1"/>
  <c r="BL100" i="6" s="1"/>
  <c r="DR100" i="6"/>
  <c r="DS100" i="6" s="1"/>
  <c r="DT100" i="6" s="1"/>
  <c r="EV100" i="6"/>
  <c r="EW100" i="6" s="1"/>
  <c r="EX100" i="6" s="1"/>
  <c r="BP78" i="6"/>
  <c r="BQ78" i="6" s="1"/>
  <c r="BR78" i="6" s="1"/>
  <c r="CZ78" i="6"/>
  <c r="DA78" i="6" s="1"/>
  <c r="DB78" i="6" s="1"/>
  <c r="DL78" i="6"/>
  <c r="DM78" i="6" s="1"/>
  <c r="DN78" i="6" s="1"/>
  <c r="BP26" i="6"/>
  <c r="BQ26" i="6" s="1"/>
  <c r="BR26" i="6" s="1"/>
  <c r="EV26" i="6"/>
  <c r="EW26" i="6" s="1"/>
  <c r="EX26" i="6" s="1"/>
  <c r="FZ26" i="6"/>
  <c r="GA26" i="6" s="1"/>
  <c r="GB26" i="6" s="1"/>
  <c r="BP52" i="6"/>
  <c r="BQ52" i="6" s="1"/>
  <c r="BR52" i="6" s="1"/>
  <c r="FH52" i="6"/>
  <c r="FI52" i="6" s="1"/>
  <c r="FJ52" i="6" s="1"/>
  <c r="ED52" i="6"/>
  <c r="EE52" i="6" s="1"/>
  <c r="EF52" i="6" s="1"/>
  <c r="DX52" i="6"/>
  <c r="DY52" i="6" s="1"/>
  <c r="DZ52" i="6" s="1"/>
  <c r="AF19" i="6"/>
  <c r="AG19" i="6" s="1"/>
  <c r="AH19" i="6" s="1"/>
  <c r="EV19" i="6"/>
  <c r="EW19" i="6" s="1"/>
  <c r="EX19" i="6" s="1"/>
  <c r="BV20" i="6"/>
  <c r="BW20" i="6" s="1"/>
  <c r="BX20" i="6" s="1"/>
  <c r="BJ20" i="6"/>
  <c r="BK20" i="6" s="1"/>
  <c r="BL20" i="6" s="1"/>
  <c r="ED20" i="6"/>
  <c r="EE20" i="6" s="1"/>
  <c r="EF20" i="6" s="1"/>
  <c r="CB99" i="6"/>
  <c r="CC99" i="6" s="1"/>
  <c r="CD99" i="6" s="1"/>
  <c r="BP99" i="6"/>
  <c r="BQ99" i="6" s="1"/>
  <c r="BR99" i="6" s="1"/>
  <c r="CZ99" i="6"/>
  <c r="DA99" i="6" s="1"/>
  <c r="DB99" i="6" s="1"/>
  <c r="CZ45" i="6"/>
  <c r="DA45" i="6" s="1"/>
  <c r="DB45" i="6" s="1"/>
  <c r="H44" i="6"/>
  <c r="I44" i="6" s="1"/>
  <c r="J44" i="6" s="1"/>
  <c r="DX44" i="6"/>
  <c r="DY44" i="6" s="1"/>
  <c r="DZ44" i="6" s="1"/>
  <c r="EV44" i="6"/>
  <c r="EW44" i="6" s="1"/>
  <c r="EX44" i="6" s="1"/>
  <c r="CH33" i="6"/>
  <c r="CI33" i="6" s="1"/>
  <c r="CJ33" i="6" s="1"/>
  <c r="BV36" i="6"/>
  <c r="BW36" i="6" s="1"/>
  <c r="BX36" i="6" s="1"/>
  <c r="FB36" i="6"/>
  <c r="FC36" i="6" s="1"/>
  <c r="FD36" i="6" s="1"/>
  <c r="BJ70" i="6"/>
  <c r="BK70" i="6" s="1"/>
  <c r="BL70" i="6" s="1"/>
  <c r="BD70" i="6"/>
  <c r="BE70" i="6" s="1"/>
  <c r="BF70" i="6" s="1"/>
  <c r="DX70" i="6"/>
  <c r="DY70" i="6" s="1"/>
  <c r="DZ70" i="6" s="1"/>
  <c r="CB74" i="6"/>
  <c r="CC74" i="6" s="1"/>
  <c r="CD74" i="6" s="1"/>
  <c r="CT83" i="6"/>
  <c r="CU83" i="6" s="1"/>
  <c r="CV83" i="6" s="1"/>
  <c r="FH83" i="6"/>
  <c r="FI83" i="6" s="1"/>
  <c r="FJ83" i="6" s="1"/>
  <c r="T37" i="6"/>
  <c r="U37" i="6" s="1"/>
  <c r="V37" i="6" s="1"/>
  <c r="BD37" i="6"/>
  <c r="BE37" i="6" s="1"/>
  <c r="BF37" i="6" s="1"/>
  <c r="AX13" i="6"/>
  <c r="AY13" i="6" s="1"/>
  <c r="AZ13" i="6" s="1"/>
  <c r="DR13" i="6"/>
  <c r="DS13" i="6" s="1"/>
  <c r="DT13" i="6" s="1"/>
  <c r="CT13" i="6"/>
  <c r="CU13" i="6" s="1"/>
  <c r="CV13" i="6" s="1"/>
  <c r="FZ13" i="6"/>
  <c r="GA13" i="6" s="1"/>
  <c r="GB13" i="6" s="1"/>
  <c r="T98" i="6"/>
  <c r="U98" i="6" s="1"/>
  <c r="V98" i="6" s="1"/>
  <c r="EV98" i="6"/>
  <c r="EW98" i="6" s="1"/>
  <c r="EX98" i="6" s="1"/>
  <c r="AF53" i="6"/>
  <c r="AG53" i="6" s="1"/>
  <c r="AH53" i="6" s="1"/>
  <c r="FB53" i="6"/>
  <c r="FC53" i="6" s="1"/>
  <c r="FD53" i="6" s="1"/>
  <c r="FH91" i="6"/>
  <c r="FI91" i="6" s="1"/>
  <c r="FJ91" i="6" s="1"/>
  <c r="AX105" i="6"/>
  <c r="AY105" i="6" s="1"/>
  <c r="AZ105" i="6" s="1"/>
  <c r="AX54" i="6"/>
  <c r="AY54" i="6" s="1"/>
  <c r="AZ54" i="6" s="1"/>
  <c r="FB54" i="6"/>
  <c r="FC54" i="6" s="1"/>
  <c r="FD54" i="6" s="1"/>
  <c r="DX90" i="6"/>
  <c r="DY90" i="6" s="1"/>
  <c r="DZ90" i="6" s="1"/>
  <c r="DF46" i="6"/>
  <c r="DG46" i="6" s="1"/>
  <c r="DH46" i="6" s="1"/>
  <c r="AR62" i="6"/>
  <c r="AS62" i="6" s="1"/>
  <c r="AT62" i="6" s="1"/>
  <c r="EV41" i="6"/>
  <c r="EW41" i="6" s="1"/>
  <c r="EX41" i="6" s="1"/>
  <c r="BP64" i="6"/>
  <c r="BQ64" i="6" s="1"/>
  <c r="BR64" i="6" s="1"/>
  <c r="GF47" i="6"/>
  <c r="GG47" i="6" s="1"/>
  <c r="GH47" i="6" s="1"/>
  <c r="AR35" i="6"/>
  <c r="AS35" i="6" s="1"/>
  <c r="AT35" i="6" s="1"/>
  <c r="GL35" i="6"/>
  <c r="GM35" i="6" s="1"/>
  <c r="GN35" i="6" s="1"/>
  <c r="FZ21" i="6"/>
  <c r="GA21" i="6" s="1"/>
  <c r="GB21" i="6" s="1"/>
  <c r="EP77" i="6"/>
  <c r="EQ77" i="6" s="1"/>
  <c r="ER77" i="6" s="1"/>
  <c r="CB22" i="6"/>
  <c r="CC22" i="6" s="1"/>
  <c r="CD22" i="6" s="1"/>
  <c r="GL71" i="6"/>
  <c r="GM71" i="6" s="1"/>
  <c r="GN71" i="6" s="1"/>
  <c r="AR41" i="6"/>
  <c r="AS41" i="6" s="1"/>
  <c r="AT41" i="6" s="1"/>
  <c r="BV89" i="6"/>
  <c r="BW89" i="6" s="1"/>
  <c r="BX89" i="6" s="1"/>
  <c r="BP47" i="6"/>
  <c r="BQ47" i="6" s="1"/>
  <c r="BR47" i="6" s="1"/>
  <c r="EP47" i="6"/>
  <c r="EQ47" i="6" s="1"/>
  <c r="ER47" i="6" s="1"/>
  <c r="CH35" i="6"/>
  <c r="CI35" i="6" s="1"/>
  <c r="CJ35" i="6" s="1"/>
  <c r="GL21" i="6"/>
  <c r="GM21" i="6" s="1"/>
  <c r="GN21" i="6" s="1"/>
  <c r="GF29" i="6"/>
  <c r="GG29" i="6" s="1"/>
  <c r="GH29" i="6" s="1"/>
  <c r="FB77" i="6"/>
  <c r="FC77" i="6" s="1"/>
  <c r="FD77" i="6" s="1"/>
  <c r="CH58" i="6"/>
  <c r="CI58" i="6" s="1"/>
  <c r="CJ58" i="6" s="1"/>
  <c r="FN58" i="6"/>
  <c r="FO58" i="6" s="1"/>
  <c r="FP58" i="6" s="1"/>
  <c r="N42" i="6"/>
  <c r="O42" i="6" s="1"/>
  <c r="P42" i="6" s="1"/>
  <c r="DX42" i="6"/>
  <c r="DY42" i="6" s="1"/>
  <c r="DZ42" i="6" s="1"/>
  <c r="AR22" i="6"/>
  <c r="AS22" i="6" s="1"/>
  <c r="AT22" i="6" s="1"/>
  <c r="AX17" i="6"/>
  <c r="AY17" i="6" s="1"/>
  <c r="AZ17" i="6" s="1"/>
  <c r="CT17" i="6"/>
  <c r="CU17" i="6" s="1"/>
  <c r="CV17" i="6" s="1"/>
  <c r="BV61" i="6"/>
  <c r="BW61" i="6" s="1"/>
  <c r="BX61" i="6" s="1"/>
  <c r="CT61" i="6"/>
  <c r="CU61" i="6" s="1"/>
  <c r="CV61" i="6" s="1"/>
  <c r="BV48" i="6"/>
  <c r="BW48" i="6" s="1"/>
  <c r="BX48" i="6" s="1"/>
  <c r="CH48" i="6"/>
  <c r="CI48" i="6" s="1"/>
  <c r="CJ48" i="6" s="1"/>
  <c r="N65" i="6"/>
  <c r="O65" i="6" s="1"/>
  <c r="P65" i="6" s="1"/>
  <c r="CN65" i="6"/>
  <c r="CO65" i="6" s="1"/>
  <c r="CP65" i="6" s="1"/>
  <c r="DL65" i="6"/>
  <c r="DM65" i="6" s="1"/>
  <c r="DN65" i="6" s="1"/>
  <c r="GF65" i="6"/>
  <c r="GG65" i="6" s="1"/>
  <c r="GH65" i="6" s="1"/>
  <c r="BV40" i="6"/>
  <c r="BW40" i="6" s="1"/>
  <c r="BX40" i="6" s="1"/>
  <c r="AL40" i="6"/>
  <c r="AM40" i="6" s="1"/>
  <c r="AN40" i="6" s="1"/>
  <c r="DF40" i="6"/>
  <c r="DG40" i="6" s="1"/>
  <c r="DH40" i="6" s="1"/>
  <c r="ED40" i="6"/>
  <c r="EE40" i="6" s="1"/>
  <c r="EF40" i="6" s="1"/>
  <c r="BJ43" i="6"/>
  <c r="BK43" i="6" s="1"/>
  <c r="BL43" i="6" s="1"/>
  <c r="CN43" i="6"/>
  <c r="CO43" i="6" s="1"/>
  <c r="CP43" i="6" s="1"/>
  <c r="FN43" i="6"/>
  <c r="FO43" i="6" s="1"/>
  <c r="FP43" i="6" s="1"/>
  <c r="GF43" i="6"/>
  <c r="GG43" i="6" s="1"/>
  <c r="GH43" i="6" s="1"/>
  <c r="AX31" i="6"/>
  <c r="AY31" i="6" s="1"/>
  <c r="AZ31" i="6" s="1"/>
  <c r="AR31" i="6"/>
  <c r="AS31" i="6" s="1"/>
  <c r="AT31" i="6" s="1"/>
  <c r="EP31" i="6"/>
  <c r="EQ31" i="6" s="1"/>
  <c r="ER31" i="6" s="1"/>
  <c r="DR31" i="6"/>
  <c r="DS31" i="6" s="1"/>
  <c r="DT31" i="6" s="1"/>
  <c r="CB73" i="6"/>
  <c r="CC73" i="6" s="1"/>
  <c r="CD73" i="6" s="1"/>
  <c r="CZ73" i="6"/>
  <c r="DA73" i="6" s="1"/>
  <c r="DB73" i="6" s="1"/>
  <c r="DF73" i="6"/>
  <c r="DG73" i="6" s="1"/>
  <c r="DH73" i="6" s="1"/>
  <c r="FH73" i="6"/>
  <c r="FI73" i="6" s="1"/>
  <c r="FJ73" i="6" s="1"/>
  <c r="CB57" i="6"/>
  <c r="CC57" i="6" s="1"/>
  <c r="CD57" i="6" s="1"/>
  <c r="BJ57" i="6"/>
  <c r="BK57" i="6" s="1"/>
  <c r="BL57" i="6" s="1"/>
  <c r="CN57" i="6"/>
  <c r="CO57" i="6" s="1"/>
  <c r="CP57" i="6" s="1"/>
  <c r="DL57" i="6"/>
  <c r="DM57" i="6" s="1"/>
  <c r="DN57" i="6" s="1"/>
  <c r="FZ57" i="6"/>
  <c r="GA57" i="6" s="1"/>
  <c r="GB57" i="6" s="1"/>
  <c r="H15" i="6"/>
  <c r="I15" i="6" s="1"/>
  <c r="J15" i="6" s="1"/>
  <c r="CH15" i="6"/>
  <c r="CI15" i="6" s="1"/>
  <c r="CJ15" i="6" s="1"/>
  <c r="Z67" i="6"/>
  <c r="AA67" i="6" s="1"/>
  <c r="AB67" i="6" s="1"/>
  <c r="BD67" i="6"/>
  <c r="BE67" i="6" s="1"/>
  <c r="BF67" i="6" s="1"/>
  <c r="FN67" i="6"/>
  <c r="FO67" i="6" s="1"/>
  <c r="FP67" i="6" s="1"/>
  <c r="GF67" i="6"/>
  <c r="GG67" i="6" s="1"/>
  <c r="GH67" i="6" s="1"/>
  <c r="H24" i="6"/>
  <c r="I24" i="6" s="1"/>
  <c r="J24" i="6" s="1"/>
  <c r="FN24" i="6"/>
  <c r="FO24" i="6" s="1"/>
  <c r="FP24" i="6" s="1"/>
  <c r="FH24" i="6"/>
  <c r="FI24" i="6" s="1"/>
  <c r="FJ24" i="6" s="1"/>
  <c r="GL24" i="6"/>
  <c r="GM24" i="6" s="1"/>
  <c r="GN24" i="6" s="1"/>
  <c r="N106" i="6"/>
  <c r="O106" i="6" s="1"/>
  <c r="P106" i="6" s="1"/>
  <c r="BD106" i="6"/>
  <c r="BE106" i="6" s="1"/>
  <c r="BF106" i="6" s="1"/>
  <c r="EP106" i="6"/>
  <c r="EQ106" i="6" s="1"/>
  <c r="ER106" i="6" s="1"/>
  <c r="N97" i="6"/>
  <c r="O97" i="6" s="1"/>
  <c r="P97" i="6" s="1"/>
  <c r="BD97" i="6"/>
  <c r="BE97" i="6" s="1"/>
  <c r="BF97" i="6" s="1"/>
  <c r="DR97" i="6"/>
  <c r="DS97" i="6" s="1"/>
  <c r="DT97" i="6" s="1"/>
  <c r="DX97" i="6"/>
  <c r="DY97" i="6" s="1"/>
  <c r="DZ97" i="6" s="1"/>
  <c r="BV96" i="6"/>
  <c r="BW96" i="6" s="1"/>
  <c r="BX96" i="6" s="1"/>
  <c r="AR96" i="6"/>
  <c r="AS96" i="6" s="1"/>
  <c r="AT96" i="6" s="1"/>
  <c r="EP96" i="6"/>
  <c r="EQ96" i="6" s="1"/>
  <c r="ER96" i="6" s="1"/>
  <c r="EV96" i="6"/>
  <c r="EW96" i="6" s="1"/>
  <c r="EX96" i="6" s="1"/>
  <c r="CB84" i="6"/>
  <c r="CC84" i="6" s="1"/>
  <c r="CD84" i="6" s="1"/>
  <c r="T84" i="6"/>
  <c r="U84" i="6" s="1"/>
  <c r="V84" i="6" s="1"/>
  <c r="DF84" i="6"/>
  <c r="DG84" i="6" s="1"/>
  <c r="DH84" i="6" s="1"/>
  <c r="EJ84" i="6"/>
  <c r="EK84" i="6" s="1"/>
  <c r="EL84" i="6" s="1"/>
  <c r="CB59" i="6"/>
  <c r="CC59" i="6" s="1"/>
  <c r="CD59" i="6" s="1"/>
  <c r="BJ59" i="6"/>
  <c r="BK59" i="6" s="1"/>
  <c r="BL59" i="6" s="1"/>
  <c r="CN59" i="6"/>
  <c r="CO59" i="6" s="1"/>
  <c r="CP59" i="6" s="1"/>
  <c r="FB59" i="6"/>
  <c r="FC59" i="6" s="1"/>
  <c r="FD59" i="6" s="1"/>
  <c r="FZ59" i="6"/>
  <c r="GA59" i="6" s="1"/>
  <c r="GB59" i="6" s="1"/>
  <c r="BP107" i="6"/>
  <c r="BQ107" i="6" s="1"/>
  <c r="BR107" i="6" s="1"/>
  <c r="CH107" i="6"/>
  <c r="CI107" i="6" s="1"/>
  <c r="CJ107" i="6" s="1"/>
  <c r="EJ107" i="6"/>
  <c r="EK107" i="6" s="1"/>
  <c r="EL107" i="6" s="1"/>
  <c r="GF107" i="6"/>
  <c r="GG107" i="6" s="1"/>
  <c r="GH107" i="6" s="1"/>
  <c r="H23" i="6"/>
  <c r="I23" i="6" s="1"/>
  <c r="J23" i="6" s="1"/>
  <c r="FZ23" i="6"/>
  <c r="GA23" i="6" s="1"/>
  <c r="GB23" i="6" s="1"/>
  <c r="EP23" i="6"/>
  <c r="EQ23" i="6" s="1"/>
  <c r="ER23" i="6" s="1"/>
  <c r="EJ23" i="6"/>
  <c r="EK23" i="6" s="1"/>
  <c r="EL23" i="6" s="1"/>
  <c r="N108" i="6"/>
  <c r="O108" i="6" s="1"/>
  <c r="P108" i="6" s="1"/>
  <c r="BJ108" i="6"/>
  <c r="BK108" i="6" s="1"/>
  <c r="BL108" i="6" s="1"/>
  <c r="ED108" i="6"/>
  <c r="EE108" i="6" s="1"/>
  <c r="EF108" i="6" s="1"/>
  <c r="EJ108" i="6"/>
  <c r="EK108" i="6" s="1"/>
  <c r="EL108" i="6" s="1"/>
  <c r="CB50" i="6"/>
  <c r="CC50" i="6" s="1"/>
  <c r="CD50" i="6" s="1"/>
  <c r="AF50" i="6"/>
  <c r="AG50" i="6" s="1"/>
  <c r="AH50" i="6" s="1"/>
  <c r="CN50" i="6"/>
  <c r="CO50" i="6" s="1"/>
  <c r="CP50" i="6" s="1"/>
  <c r="CZ50" i="6"/>
  <c r="DA50" i="6" s="1"/>
  <c r="DB50" i="6" s="1"/>
  <c r="CB38" i="6"/>
  <c r="CC38" i="6" s="1"/>
  <c r="CD38" i="6" s="1"/>
  <c r="AR38" i="6"/>
  <c r="AS38" i="6" s="1"/>
  <c r="AT38" i="6" s="1"/>
  <c r="CN38" i="6"/>
  <c r="CO38" i="6" s="1"/>
  <c r="CP38" i="6" s="1"/>
  <c r="EJ38" i="6"/>
  <c r="EK38" i="6" s="1"/>
  <c r="EL38" i="6" s="1"/>
  <c r="GF38" i="6"/>
  <c r="GG38" i="6" s="1"/>
  <c r="GH38" i="6" s="1"/>
  <c r="AL34" i="6"/>
  <c r="AM34" i="6" s="1"/>
  <c r="AN34" i="6" s="1"/>
  <c r="CZ34" i="6"/>
  <c r="DA34" i="6" s="1"/>
  <c r="DB34" i="6" s="1"/>
  <c r="GF34" i="6"/>
  <c r="GG34" i="6" s="1"/>
  <c r="GH34" i="6" s="1"/>
  <c r="EP34" i="6"/>
  <c r="EQ34" i="6" s="1"/>
  <c r="ER34" i="6" s="1"/>
  <c r="T14" i="6"/>
  <c r="U14" i="6" s="1"/>
  <c r="V14" i="6" s="1"/>
  <c r="CZ14" i="6"/>
  <c r="DA14" i="6" s="1"/>
  <c r="DB14" i="6" s="1"/>
  <c r="FB14" i="6"/>
  <c r="FC14" i="6" s="1"/>
  <c r="FD14" i="6" s="1"/>
  <c r="BV101" i="6"/>
  <c r="BW101" i="6" s="1"/>
  <c r="BX101" i="6" s="1"/>
  <c r="AF101" i="6"/>
  <c r="AG101" i="6" s="1"/>
  <c r="AH101" i="6" s="1"/>
  <c r="EJ101" i="6"/>
  <c r="EK101" i="6" s="1"/>
  <c r="EL101" i="6" s="1"/>
  <c r="EV101" i="6"/>
  <c r="EW101" i="6" s="1"/>
  <c r="EX101" i="6" s="1"/>
  <c r="BV32" i="6"/>
  <c r="BW32" i="6" s="1"/>
  <c r="BX32" i="6" s="1"/>
  <c r="CT32" i="6"/>
  <c r="CU32" i="6" s="1"/>
  <c r="CV32" i="6" s="1"/>
  <c r="FN32" i="6"/>
  <c r="FO32" i="6" s="1"/>
  <c r="FP32" i="6" s="1"/>
  <c r="EP32" i="6"/>
  <c r="EQ32" i="6" s="1"/>
  <c r="ER32" i="6" s="1"/>
  <c r="AL102" i="6"/>
  <c r="AM102" i="6" s="1"/>
  <c r="AN102" i="6" s="1"/>
  <c r="BJ102" i="6"/>
  <c r="BK102" i="6" s="1"/>
  <c r="BL102" i="6" s="1"/>
  <c r="CH102" i="6"/>
  <c r="CI102" i="6" s="1"/>
  <c r="CJ102" i="6" s="1"/>
  <c r="EJ102" i="6"/>
  <c r="EK102" i="6" s="1"/>
  <c r="EL102" i="6" s="1"/>
  <c r="AX82" i="6"/>
  <c r="AY82" i="6" s="1"/>
  <c r="AZ82" i="6" s="1"/>
  <c r="CT82" i="6"/>
  <c r="CU82" i="6" s="1"/>
  <c r="CV82" i="6" s="1"/>
  <c r="DX82" i="6"/>
  <c r="DY82" i="6" s="1"/>
  <c r="DZ82" i="6" s="1"/>
  <c r="GL82" i="6"/>
  <c r="GM82" i="6" s="1"/>
  <c r="GN82" i="6" s="1"/>
  <c r="AX66" i="6"/>
  <c r="AY66" i="6" s="1"/>
  <c r="AZ66" i="6" s="1"/>
  <c r="T66" i="6"/>
  <c r="U66" i="6" s="1"/>
  <c r="V66" i="6" s="1"/>
  <c r="DR66" i="6"/>
  <c r="DS66" i="6" s="1"/>
  <c r="DT66" i="6" s="1"/>
  <c r="GL66" i="6"/>
  <c r="GM66" i="6" s="1"/>
  <c r="GN66" i="6" s="1"/>
  <c r="CB27" i="6"/>
  <c r="CC27" i="6" s="1"/>
  <c r="CD27" i="6" s="1"/>
  <c r="CH27" i="6"/>
  <c r="CI27" i="6" s="1"/>
  <c r="CJ27" i="6" s="1"/>
  <c r="AF27" i="6"/>
  <c r="AG27" i="6" s="1"/>
  <c r="AH27" i="6" s="1"/>
  <c r="DX27" i="6"/>
  <c r="DY27" i="6" s="1"/>
  <c r="DZ27" i="6" s="1"/>
  <c r="BV18" i="6"/>
  <c r="BW18" i="6" s="1"/>
  <c r="BX18" i="6" s="1"/>
  <c r="CZ18" i="6"/>
  <c r="DA18" i="6" s="1"/>
  <c r="DB18" i="6" s="1"/>
  <c r="DL18" i="6"/>
  <c r="DM18" i="6" s="1"/>
  <c r="DN18" i="6" s="1"/>
  <c r="Z25" i="6"/>
  <c r="AA25" i="6" s="1"/>
  <c r="AB25" i="6" s="1"/>
  <c r="BD25" i="6"/>
  <c r="BE25" i="6" s="1"/>
  <c r="BF25" i="6" s="1"/>
  <c r="CZ25" i="6"/>
  <c r="DA25" i="6" s="1"/>
  <c r="DB25" i="6" s="1"/>
  <c r="BP11" i="6"/>
  <c r="BQ11" i="6" s="1"/>
  <c r="BR11" i="6" s="1"/>
  <c r="AF11" i="6"/>
  <c r="AG11" i="6" s="1"/>
  <c r="AH11" i="6" s="1"/>
  <c r="DR11" i="6"/>
  <c r="DS11" i="6" s="1"/>
  <c r="DT11" i="6" s="1"/>
  <c r="ED11" i="6"/>
  <c r="EE11" i="6" s="1"/>
  <c r="EF11" i="6" s="1"/>
  <c r="N76" i="6"/>
  <c r="O76" i="6" s="1"/>
  <c r="P76" i="6" s="1"/>
  <c r="T76" i="6"/>
  <c r="U76" i="6" s="1"/>
  <c r="V76" i="6" s="1"/>
  <c r="CH76" i="6"/>
  <c r="CI76" i="6" s="1"/>
  <c r="CJ76" i="6" s="1"/>
  <c r="FH76" i="6"/>
  <c r="FI76" i="6" s="1"/>
  <c r="FJ76" i="6" s="1"/>
  <c r="N49" i="6"/>
  <c r="O49" i="6" s="1"/>
  <c r="P49" i="6" s="1"/>
  <c r="BJ49" i="6"/>
  <c r="BK49" i="6" s="1"/>
  <c r="BL49" i="6" s="1"/>
  <c r="DR49" i="6"/>
  <c r="DS49" i="6" s="1"/>
  <c r="DT49" i="6" s="1"/>
  <c r="FN49" i="6"/>
  <c r="FO49" i="6" s="1"/>
  <c r="FP49" i="6" s="1"/>
  <c r="GL49" i="6"/>
  <c r="GM49" i="6" s="1"/>
  <c r="GN49" i="6" s="1"/>
  <c r="AR60" i="6"/>
  <c r="AS60" i="6" s="1"/>
  <c r="AT60" i="6" s="1"/>
  <c r="EJ60" i="6"/>
  <c r="EK60" i="6" s="1"/>
  <c r="EL60" i="6" s="1"/>
  <c r="DR60" i="6"/>
  <c r="DS60" i="6" s="1"/>
  <c r="DT60" i="6" s="1"/>
  <c r="FZ60" i="6"/>
  <c r="GA60" i="6" s="1"/>
  <c r="GB60" i="6" s="1"/>
  <c r="T81" i="6"/>
  <c r="U81" i="6" s="1"/>
  <c r="V81" i="6" s="1"/>
  <c r="EJ81" i="6"/>
  <c r="EK81" i="6" s="1"/>
  <c r="EL81" i="6" s="1"/>
  <c r="N100" i="6"/>
  <c r="O100" i="6" s="1"/>
  <c r="P100" i="6" s="1"/>
  <c r="BD100" i="6"/>
  <c r="BE100" i="6" s="1"/>
  <c r="BF100" i="6" s="1"/>
  <c r="ED100" i="6"/>
  <c r="EE100" i="6" s="1"/>
  <c r="EF100" i="6" s="1"/>
  <c r="CB78" i="6"/>
  <c r="CC78" i="6" s="1"/>
  <c r="CD78" i="6" s="1"/>
  <c r="DF78" i="6"/>
  <c r="DG78" i="6" s="1"/>
  <c r="DH78" i="6" s="1"/>
  <c r="DX78" i="6"/>
  <c r="DY78" i="6" s="1"/>
  <c r="DZ78" i="6" s="1"/>
  <c r="CB26" i="6"/>
  <c r="CC26" i="6" s="1"/>
  <c r="CD26" i="6" s="1"/>
  <c r="BD26" i="6"/>
  <c r="BE26" i="6" s="1"/>
  <c r="BF26" i="6" s="1"/>
  <c r="CZ26" i="6"/>
  <c r="DA26" i="6" s="1"/>
  <c r="DB26" i="6" s="1"/>
  <c r="DR26" i="6"/>
  <c r="DS26" i="6" s="1"/>
  <c r="DT26" i="6" s="1"/>
  <c r="Z52" i="6"/>
  <c r="AA52" i="6" s="1"/>
  <c r="AB52" i="6" s="1"/>
  <c r="FZ52" i="6"/>
  <c r="GA52" i="6" s="1"/>
  <c r="GB52" i="6" s="1"/>
  <c r="DL52" i="6"/>
  <c r="DM52" i="6" s="1"/>
  <c r="DN52" i="6" s="1"/>
  <c r="EV52" i="6"/>
  <c r="EW52" i="6" s="1"/>
  <c r="EX52" i="6" s="1"/>
  <c r="T19" i="6"/>
  <c r="U19" i="6" s="1"/>
  <c r="V19" i="6" s="1"/>
  <c r="DF19" i="6"/>
  <c r="DG19" i="6" s="1"/>
  <c r="DH19" i="6" s="1"/>
  <c r="N20" i="6"/>
  <c r="O20" i="6" s="1"/>
  <c r="P20" i="6" s="1"/>
  <c r="DL20" i="6"/>
  <c r="DM20" i="6" s="1"/>
  <c r="DN20" i="6" s="1"/>
  <c r="FH20" i="6"/>
  <c r="FI20" i="6" s="1"/>
  <c r="FJ20" i="6" s="1"/>
  <c r="Z99" i="6"/>
  <c r="AA99" i="6" s="1"/>
  <c r="AB99" i="6" s="1"/>
  <c r="DX99" i="6"/>
  <c r="DY99" i="6" s="1"/>
  <c r="DZ99" i="6" s="1"/>
  <c r="AX45" i="6"/>
  <c r="AY45" i="6" s="1"/>
  <c r="AZ45" i="6" s="1"/>
  <c r="T45" i="6"/>
  <c r="U45" i="6" s="1"/>
  <c r="V45" i="6" s="1"/>
  <c r="AF45" i="6"/>
  <c r="AG45" i="6" s="1"/>
  <c r="AH45" i="6" s="1"/>
  <c r="BV44" i="6"/>
  <c r="BW44" i="6" s="1"/>
  <c r="BX44" i="6" s="1"/>
  <c r="FH33" i="6"/>
  <c r="FI33" i="6" s="1"/>
  <c r="FJ33" i="6" s="1"/>
  <c r="N36" i="6"/>
  <c r="O36" i="6" s="1"/>
  <c r="P36" i="6" s="1"/>
  <c r="ED36" i="6"/>
  <c r="EE36" i="6" s="1"/>
  <c r="EF36" i="6" s="1"/>
  <c r="N70" i="6"/>
  <c r="O70" i="6" s="1"/>
  <c r="P70" i="6" s="1"/>
  <c r="BV93" i="6"/>
  <c r="BW93" i="6" s="1"/>
  <c r="BX93" i="6" s="1"/>
  <c r="T74" i="6"/>
  <c r="U74" i="6" s="1"/>
  <c r="V74" i="6" s="1"/>
  <c r="DX74" i="6"/>
  <c r="DY74" i="6" s="1"/>
  <c r="DZ74" i="6" s="1"/>
  <c r="BV83" i="6"/>
  <c r="BW83" i="6" s="1"/>
  <c r="BX83" i="6" s="1"/>
  <c r="BJ37" i="6"/>
  <c r="BK37" i="6" s="1"/>
  <c r="BL37" i="6" s="1"/>
  <c r="DF37" i="6"/>
  <c r="DG37" i="6" s="1"/>
  <c r="DH37" i="6" s="1"/>
  <c r="GF37" i="6"/>
  <c r="GG37" i="6" s="1"/>
  <c r="GH37" i="6" s="1"/>
  <c r="FZ55" i="6"/>
  <c r="GA55" i="6" s="1"/>
  <c r="GB55" i="6" s="1"/>
  <c r="N13" i="6"/>
  <c r="O13" i="6" s="1"/>
  <c r="P13" i="6" s="1"/>
  <c r="AL13" i="6"/>
  <c r="AM13" i="6" s="1"/>
  <c r="AN13" i="6" s="1"/>
  <c r="GF13" i="6"/>
  <c r="GG13" i="6" s="1"/>
  <c r="GH13" i="6" s="1"/>
  <c r="DL13" i="6"/>
  <c r="DM13" i="6" s="1"/>
  <c r="DN13" i="6" s="1"/>
  <c r="CT98" i="6"/>
  <c r="CU98" i="6" s="1"/>
  <c r="CV98" i="6" s="1"/>
  <c r="BP53" i="6"/>
  <c r="BQ53" i="6" s="1"/>
  <c r="BR53" i="6" s="1"/>
  <c r="DR53" i="6"/>
  <c r="DS53" i="6" s="1"/>
  <c r="DT53" i="6" s="1"/>
  <c r="CT91" i="6"/>
  <c r="CU91" i="6" s="1"/>
  <c r="CV91" i="6" s="1"/>
  <c r="FB91" i="6"/>
  <c r="FC91" i="6" s="1"/>
  <c r="FD91" i="6" s="1"/>
  <c r="N105" i="6"/>
  <c r="O105" i="6" s="1"/>
  <c r="P105" i="6" s="1"/>
  <c r="BJ105" i="6"/>
  <c r="BK105" i="6" s="1"/>
  <c r="BL105" i="6" s="1"/>
  <c r="N54" i="6"/>
  <c r="O54" i="6" s="1"/>
  <c r="P54" i="6" s="1"/>
  <c r="FZ86" i="6"/>
  <c r="GA86" i="6" s="1"/>
  <c r="GB86" i="6" s="1"/>
  <c r="FZ30" i="6"/>
  <c r="GA30" i="6" s="1"/>
  <c r="GB30" i="6" s="1"/>
  <c r="AF68" i="6"/>
  <c r="AG68" i="6" s="1"/>
  <c r="AH68" i="6" s="1"/>
  <c r="H46" i="6"/>
  <c r="I46" i="6" s="1"/>
  <c r="J46" i="6" s="1"/>
  <c r="FN71" i="6"/>
  <c r="FO71" i="6" s="1"/>
  <c r="FP71" i="6" s="1"/>
  <c r="CZ64" i="6"/>
  <c r="DA64" i="6" s="1"/>
  <c r="DB64" i="6" s="1"/>
  <c r="BJ47" i="6"/>
  <c r="BK47" i="6" s="1"/>
  <c r="BL47" i="6" s="1"/>
  <c r="CB35" i="6"/>
  <c r="CC35" i="6" s="1"/>
  <c r="CD35" i="6" s="1"/>
  <c r="CH21" i="6"/>
  <c r="CI21" i="6" s="1"/>
  <c r="CJ21" i="6" s="1"/>
  <c r="T29" i="6"/>
  <c r="U29" i="6" s="1"/>
  <c r="V29" i="6" s="1"/>
  <c r="FH77" i="6"/>
  <c r="FI77" i="6" s="1"/>
  <c r="FJ77" i="6" s="1"/>
  <c r="GL22" i="6"/>
  <c r="GM22" i="6" s="1"/>
  <c r="GN22" i="6" s="1"/>
  <c r="CN62" i="6"/>
  <c r="CO62" i="6" s="1"/>
  <c r="CP62" i="6" s="1"/>
  <c r="GF62" i="6"/>
  <c r="GG62" i="6" s="1"/>
  <c r="GH62" i="6" s="1"/>
  <c r="BP71" i="6"/>
  <c r="BQ71" i="6" s="1"/>
  <c r="BR71" i="6" s="1"/>
  <c r="EJ71" i="6"/>
  <c r="EK71" i="6" s="1"/>
  <c r="EL71" i="6" s="1"/>
  <c r="FB71" i="6"/>
  <c r="FC71" i="6" s="1"/>
  <c r="FD71" i="6" s="1"/>
  <c r="H41" i="6"/>
  <c r="I41" i="6" s="1"/>
  <c r="J41" i="6" s="1"/>
  <c r="DR41" i="6"/>
  <c r="DS41" i="6" s="1"/>
  <c r="DT41" i="6" s="1"/>
  <c r="AX64" i="6"/>
  <c r="AY64" i="6" s="1"/>
  <c r="AZ64" i="6" s="1"/>
  <c r="BJ89" i="6"/>
  <c r="BK89" i="6" s="1"/>
  <c r="BL89" i="6" s="1"/>
  <c r="CN89" i="6"/>
  <c r="CO89" i="6" s="1"/>
  <c r="CP89" i="6" s="1"/>
  <c r="BD47" i="6"/>
  <c r="BE47" i="6" s="1"/>
  <c r="BF47" i="6" s="1"/>
  <c r="AF47" i="6"/>
  <c r="AG47" i="6" s="1"/>
  <c r="AH47" i="6" s="1"/>
  <c r="AX35" i="6"/>
  <c r="AY35" i="6" s="1"/>
  <c r="AZ35" i="6" s="1"/>
  <c r="BD35" i="6"/>
  <c r="BE35" i="6" s="1"/>
  <c r="BF35" i="6" s="1"/>
  <c r="DX35" i="6"/>
  <c r="DY35" i="6" s="1"/>
  <c r="DZ35" i="6" s="1"/>
  <c r="CZ21" i="6"/>
  <c r="DA21" i="6" s="1"/>
  <c r="DB21" i="6" s="1"/>
  <c r="CT21" i="6"/>
  <c r="CU21" i="6" s="1"/>
  <c r="CV21" i="6" s="1"/>
  <c r="BD29" i="6"/>
  <c r="BE29" i="6" s="1"/>
  <c r="BF29" i="6" s="1"/>
  <c r="DL29" i="6"/>
  <c r="DM29" i="6" s="1"/>
  <c r="DN29" i="6" s="1"/>
  <c r="BV77" i="6"/>
  <c r="BW77" i="6" s="1"/>
  <c r="BX77" i="6" s="1"/>
  <c r="DF77" i="6"/>
  <c r="DG77" i="6" s="1"/>
  <c r="DH77" i="6" s="1"/>
  <c r="EV77" i="6"/>
  <c r="EW77" i="6" s="1"/>
  <c r="EX77" i="6" s="1"/>
  <c r="H58" i="6"/>
  <c r="I58" i="6" s="1"/>
  <c r="J58" i="6" s="1"/>
  <c r="CT58" i="6"/>
  <c r="CU58" i="6" s="1"/>
  <c r="CV58" i="6" s="1"/>
  <c r="EP28" i="6"/>
  <c r="EQ28" i="6" s="1"/>
  <c r="ER28" i="6" s="1"/>
  <c r="AL42" i="6"/>
  <c r="AM42" i="6" s="1"/>
  <c r="AN42" i="6" s="1"/>
  <c r="ED42" i="6"/>
  <c r="EE42" i="6" s="1"/>
  <c r="EF42" i="6" s="1"/>
  <c r="AX22" i="6"/>
  <c r="AY22" i="6" s="1"/>
  <c r="AZ22" i="6" s="1"/>
  <c r="FN22" i="6"/>
  <c r="FO22" i="6" s="1"/>
  <c r="FP22" i="6" s="1"/>
  <c r="DL22" i="6"/>
  <c r="DM22" i="6" s="1"/>
  <c r="DN22" i="6" s="1"/>
  <c r="FN17" i="6"/>
  <c r="FO17" i="6" s="1"/>
  <c r="FP17" i="6" s="1"/>
  <c r="GL17" i="6"/>
  <c r="GM17" i="6" s="1"/>
  <c r="GN17" i="6" s="1"/>
  <c r="DR61" i="6"/>
  <c r="DS61" i="6" s="1"/>
  <c r="DT61" i="6" s="1"/>
  <c r="FZ48" i="6"/>
  <c r="GA48" i="6" s="1"/>
  <c r="GB48" i="6" s="1"/>
  <c r="CB62" i="6"/>
  <c r="CC62" i="6" s="1"/>
  <c r="CD62" i="6" s="1"/>
  <c r="DF62" i="6"/>
  <c r="DG62" i="6" s="1"/>
  <c r="DH62" i="6" s="1"/>
  <c r="EV62" i="6"/>
  <c r="EW62" i="6" s="1"/>
  <c r="EX62" i="6" s="1"/>
  <c r="ED62" i="6"/>
  <c r="EE62" i="6" s="1"/>
  <c r="EF62" i="6" s="1"/>
  <c r="BD71" i="6"/>
  <c r="BE71" i="6" s="1"/>
  <c r="BF71" i="6" s="1"/>
  <c r="FH71" i="6"/>
  <c r="FI71" i="6" s="1"/>
  <c r="FJ71" i="6" s="1"/>
  <c r="Z41" i="6"/>
  <c r="AA41" i="6" s="1"/>
  <c r="AB41" i="6" s="1"/>
  <c r="DF41" i="6"/>
  <c r="DG41" i="6" s="1"/>
  <c r="DH41" i="6" s="1"/>
  <c r="DX41" i="6"/>
  <c r="DY41" i="6" s="1"/>
  <c r="DZ41" i="6" s="1"/>
  <c r="T64" i="6"/>
  <c r="U64" i="6" s="1"/>
  <c r="V64" i="6" s="1"/>
  <c r="AR64" i="6"/>
  <c r="AS64" i="6" s="1"/>
  <c r="AT64" i="6" s="1"/>
  <c r="DX64" i="6"/>
  <c r="DY64" i="6" s="1"/>
  <c r="DZ64" i="6" s="1"/>
  <c r="FZ64" i="6"/>
  <c r="GA64" i="6" s="1"/>
  <c r="GB64" i="6" s="1"/>
  <c r="Z89" i="6"/>
  <c r="AA89" i="6" s="1"/>
  <c r="AB89" i="6" s="1"/>
  <c r="AR89" i="6"/>
  <c r="AS89" i="6" s="1"/>
  <c r="AT89" i="6" s="1"/>
  <c r="EV89" i="6"/>
  <c r="EW89" i="6" s="1"/>
  <c r="EX89" i="6" s="1"/>
  <c r="GF89" i="6"/>
  <c r="GG89" i="6" s="1"/>
  <c r="GH89" i="6" s="1"/>
  <c r="AX47" i="6"/>
  <c r="AY47" i="6" s="1"/>
  <c r="AZ47" i="6" s="1"/>
  <c r="CT47" i="6"/>
  <c r="CU47" i="6" s="1"/>
  <c r="CV47" i="6" s="1"/>
  <c r="EJ47" i="6"/>
  <c r="EK47" i="6" s="1"/>
  <c r="EL47" i="6" s="1"/>
  <c r="N35" i="6"/>
  <c r="O35" i="6" s="1"/>
  <c r="P35" i="6" s="1"/>
  <c r="CN35" i="6"/>
  <c r="CO35" i="6" s="1"/>
  <c r="CP35" i="6" s="1"/>
  <c r="CZ35" i="6"/>
  <c r="DA35" i="6" s="1"/>
  <c r="DB35" i="6" s="1"/>
  <c r="GF35" i="6"/>
  <c r="GG35" i="6" s="1"/>
  <c r="GH35" i="6" s="1"/>
  <c r="AX21" i="6"/>
  <c r="AY21" i="6" s="1"/>
  <c r="AZ21" i="6" s="1"/>
  <c r="N21" i="6"/>
  <c r="O21" i="6" s="1"/>
  <c r="P21" i="6" s="1"/>
  <c r="FH21" i="6"/>
  <c r="FI21" i="6" s="1"/>
  <c r="FJ21" i="6" s="1"/>
  <c r="CB29" i="6"/>
  <c r="CC29" i="6" s="1"/>
  <c r="CD29" i="6" s="1"/>
  <c r="Z29" i="6"/>
  <c r="AA29" i="6" s="1"/>
  <c r="AB29" i="6" s="1"/>
  <c r="FN29" i="6"/>
  <c r="FO29" i="6" s="1"/>
  <c r="FP29" i="6" s="1"/>
  <c r="FZ29" i="6"/>
  <c r="GA29" i="6" s="1"/>
  <c r="GB29" i="6" s="1"/>
  <c r="AR77" i="6"/>
  <c r="AS77" i="6" s="1"/>
  <c r="AT77" i="6" s="1"/>
  <c r="CH77" i="6"/>
  <c r="CI77" i="6" s="1"/>
  <c r="CJ77" i="6" s="1"/>
  <c r="BV58" i="6"/>
  <c r="BW58" i="6" s="1"/>
  <c r="BX58" i="6" s="1"/>
  <c r="CN58" i="6"/>
  <c r="CO58" i="6" s="1"/>
  <c r="CP58" i="6" s="1"/>
  <c r="ED58" i="6"/>
  <c r="EE58" i="6" s="1"/>
  <c r="EF58" i="6" s="1"/>
  <c r="GF58" i="6"/>
  <c r="GG58" i="6" s="1"/>
  <c r="GH58" i="6" s="1"/>
  <c r="H28" i="6"/>
  <c r="I28" i="6" s="1"/>
  <c r="J28" i="6" s="1"/>
  <c r="DX28" i="6"/>
  <c r="DY28" i="6" s="1"/>
  <c r="DZ28" i="6" s="1"/>
  <c r="FB28" i="6"/>
  <c r="FC28" i="6" s="1"/>
  <c r="FD28" i="6" s="1"/>
  <c r="H42" i="6"/>
  <c r="I42" i="6" s="1"/>
  <c r="J42" i="6" s="1"/>
  <c r="DR42" i="6"/>
  <c r="DS42" i="6" s="1"/>
  <c r="DT42" i="6" s="1"/>
  <c r="FB42" i="6"/>
  <c r="FC42" i="6" s="1"/>
  <c r="FD42" i="6" s="1"/>
  <c r="FH42" i="6"/>
  <c r="FI42" i="6" s="1"/>
  <c r="FJ42" i="6" s="1"/>
  <c r="AF22" i="6"/>
  <c r="AG22" i="6" s="1"/>
  <c r="AH22" i="6" s="1"/>
  <c r="ED22" i="6"/>
  <c r="EE22" i="6" s="1"/>
  <c r="EF22" i="6" s="1"/>
  <c r="EV22" i="6"/>
  <c r="EW22" i="6" s="1"/>
  <c r="EX22" i="6" s="1"/>
  <c r="H17" i="6"/>
  <c r="I17" i="6" s="1"/>
  <c r="J17" i="6" s="1"/>
  <c r="BJ17" i="6"/>
  <c r="BK17" i="6" s="1"/>
  <c r="BL17" i="6" s="1"/>
  <c r="CN17" i="6"/>
  <c r="CO17" i="6" s="1"/>
  <c r="CP17" i="6" s="1"/>
  <c r="FZ61" i="6"/>
  <c r="GA61" i="6" s="1"/>
  <c r="GB61" i="6" s="1"/>
  <c r="AL48" i="6"/>
  <c r="AM48" i="6" s="1"/>
  <c r="AN48" i="6" s="1"/>
  <c r="EJ48" i="6"/>
  <c r="EK48" i="6" s="1"/>
  <c r="EL48" i="6" s="1"/>
  <c r="CT48" i="6"/>
  <c r="CU48" i="6" s="1"/>
  <c r="CV48" i="6" s="1"/>
  <c r="GF48" i="6"/>
  <c r="GG48" i="6" s="1"/>
  <c r="GH48" i="6" s="1"/>
  <c r="BP65" i="6"/>
  <c r="BQ65" i="6" s="1"/>
  <c r="BR65" i="6" s="1"/>
  <c r="DF65" i="6"/>
  <c r="DG65" i="6" s="1"/>
  <c r="DH65" i="6" s="1"/>
  <c r="ED65" i="6"/>
  <c r="EE65" i="6" s="1"/>
  <c r="EF65" i="6" s="1"/>
  <c r="BP40" i="6"/>
  <c r="BQ40" i="6" s="1"/>
  <c r="BR40" i="6" s="1"/>
  <c r="CZ40" i="6"/>
  <c r="DA40" i="6" s="1"/>
  <c r="DB40" i="6" s="1"/>
  <c r="CT40" i="6"/>
  <c r="CU40" i="6" s="1"/>
  <c r="CV40" i="6" s="1"/>
  <c r="AR43" i="6"/>
  <c r="AS43" i="6" s="1"/>
  <c r="AT43" i="6" s="1"/>
  <c r="FB43" i="6"/>
  <c r="FC43" i="6" s="1"/>
  <c r="FD43" i="6" s="1"/>
  <c r="BP31" i="6"/>
  <c r="BQ31" i="6" s="1"/>
  <c r="BR31" i="6" s="1"/>
  <c r="BJ31" i="6"/>
  <c r="BK31" i="6" s="1"/>
  <c r="BL31" i="6" s="1"/>
  <c r="EV31" i="6"/>
  <c r="EW31" i="6" s="1"/>
  <c r="EX31" i="6" s="1"/>
  <c r="ED31" i="6"/>
  <c r="EE31" i="6" s="1"/>
  <c r="EF31" i="6" s="1"/>
  <c r="AL73" i="6"/>
  <c r="AM73" i="6" s="1"/>
  <c r="AN73" i="6" s="1"/>
  <c r="T73" i="6"/>
  <c r="U73" i="6" s="1"/>
  <c r="V73" i="6" s="1"/>
  <c r="EP73" i="6"/>
  <c r="EQ73" i="6" s="1"/>
  <c r="ER73" i="6" s="1"/>
  <c r="CT73" i="6"/>
  <c r="CU73" i="6" s="1"/>
  <c r="CV73" i="6" s="1"/>
  <c r="BP57" i="6"/>
  <c r="BQ57" i="6" s="1"/>
  <c r="BR57" i="6" s="1"/>
  <c r="BD57" i="6"/>
  <c r="BE57" i="6" s="1"/>
  <c r="BF57" i="6" s="1"/>
  <c r="EJ57" i="6"/>
  <c r="EK57" i="6" s="1"/>
  <c r="EL57" i="6" s="1"/>
  <c r="FB57" i="6"/>
  <c r="FC57" i="6" s="1"/>
  <c r="FD57" i="6" s="1"/>
  <c r="AX15" i="6"/>
  <c r="AY15" i="6" s="1"/>
  <c r="AZ15" i="6" s="1"/>
  <c r="AF15" i="6"/>
  <c r="AG15" i="6" s="1"/>
  <c r="AH15" i="6" s="1"/>
  <c r="DF15" i="6"/>
  <c r="DG15" i="6" s="1"/>
  <c r="DH15" i="6" s="1"/>
  <c r="CT15" i="6"/>
  <c r="CU15" i="6" s="1"/>
  <c r="CV15" i="6" s="1"/>
  <c r="GL15" i="6"/>
  <c r="GM15" i="6" s="1"/>
  <c r="GN15" i="6" s="1"/>
  <c r="BV67" i="6"/>
  <c r="BW67" i="6" s="1"/>
  <c r="BX67" i="6" s="1"/>
  <c r="FZ67" i="6"/>
  <c r="GA67" i="6" s="1"/>
  <c r="GB67" i="6" s="1"/>
  <c r="EJ67" i="6"/>
  <c r="EK67" i="6" s="1"/>
  <c r="EL67" i="6" s="1"/>
  <c r="BP24" i="6"/>
  <c r="BQ24" i="6" s="1"/>
  <c r="BR24" i="6" s="1"/>
  <c r="CH24" i="6"/>
  <c r="CI24" i="6" s="1"/>
  <c r="CJ24" i="6" s="1"/>
  <c r="DR24" i="6"/>
  <c r="DS24" i="6" s="1"/>
  <c r="DT24" i="6" s="1"/>
  <c r="Z106" i="6"/>
  <c r="AA106" i="6" s="1"/>
  <c r="AB106" i="6" s="1"/>
  <c r="DL106" i="6"/>
  <c r="DM106" i="6" s="1"/>
  <c r="DN106" i="6" s="1"/>
  <c r="DR106" i="6"/>
  <c r="DS106" i="6" s="1"/>
  <c r="DT106" i="6" s="1"/>
  <c r="FB106" i="6"/>
  <c r="FC106" i="6" s="1"/>
  <c r="FD106" i="6" s="1"/>
  <c r="T97" i="6"/>
  <c r="U97" i="6" s="1"/>
  <c r="V97" i="6" s="1"/>
  <c r="ED97" i="6"/>
  <c r="EE97" i="6" s="1"/>
  <c r="EF97" i="6" s="1"/>
  <c r="EV97" i="6"/>
  <c r="EW97" i="6" s="1"/>
  <c r="EX97" i="6" s="1"/>
  <c r="N96" i="6"/>
  <c r="O96" i="6" s="1"/>
  <c r="P96" i="6" s="1"/>
  <c r="CH96" i="6"/>
  <c r="CI96" i="6" s="1"/>
  <c r="CJ96" i="6" s="1"/>
  <c r="DL96" i="6"/>
  <c r="DM96" i="6" s="1"/>
  <c r="DN96" i="6" s="1"/>
  <c r="BP84" i="6"/>
  <c r="BQ84" i="6" s="1"/>
  <c r="BR84" i="6" s="1"/>
  <c r="DL84" i="6"/>
  <c r="DM84" i="6" s="1"/>
  <c r="DN84" i="6" s="1"/>
  <c r="ED84" i="6"/>
  <c r="EE84" i="6" s="1"/>
  <c r="EF84" i="6" s="1"/>
  <c r="FN84" i="6"/>
  <c r="FO84" i="6" s="1"/>
  <c r="FP84" i="6" s="1"/>
  <c r="ED59" i="6"/>
  <c r="EE59" i="6" s="1"/>
  <c r="EF59" i="6" s="1"/>
  <c r="Z59" i="6"/>
  <c r="AA59" i="6" s="1"/>
  <c r="AB59" i="6" s="1"/>
  <c r="FH59" i="6"/>
  <c r="FI59" i="6" s="1"/>
  <c r="FJ59" i="6" s="1"/>
  <c r="H107" i="6"/>
  <c r="I107" i="6" s="1"/>
  <c r="J107" i="6" s="1"/>
  <c r="AF107" i="6"/>
  <c r="AG107" i="6" s="1"/>
  <c r="AH107" i="6" s="1"/>
  <c r="DR107" i="6"/>
  <c r="DS107" i="6" s="1"/>
  <c r="DT107" i="6" s="1"/>
  <c r="EV107" i="6"/>
  <c r="EW107" i="6" s="1"/>
  <c r="EX107" i="6" s="1"/>
  <c r="Z23" i="6"/>
  <c r="AA23" i="6" s="1"/>
  <c r="AB23" i="6" s="1"/>
  <c r="BJ23" i="6"/>
  <c r="BK23" i="6" s="1"/>
  <c r="BL23" i="6" s="1"/>
  <c r="DL23" i="6"/>
  <c r="DM23" i="6" s="1"/>
  <c r="DN23" i="6" s="1"/>
  <c r="FH23" i="6"/>
  <c r="FI23" i="6" s="1"/>
  <c r="FJ23" i="6" s="1"/>
  <c r="BP108" i="6"/>
  <c r="BQ108" i="6" s="1"/>
  <c r="BR108" i="6" s="1"/>
  <c r="BD108" i="6"/>
  <c r="BE108" i="6" s="1"/>
  <c r="BF108" i="6" s="1"/>
  <c r="EV108" i="6"/>
  <c r="EW108" i="6" s="1"/>
  <c r="EX108" i="6" s="1"/>
  <c r="FB108" i="6"/>
  <c r="FC108" i="6" s="1"/>
  <c r="FD108" i="6" s="1"/>
  <c r="AX50" i="6"/>
  <c r="AY50" i="6" s="1"/>
  <c r="AZ50" i="6" s="1"/>
  <c r="BJ50" i="6"/>
  <c r="BK50" i="6" s="1"/>
  <c r="BL50" i="6" s="1"/>
  <c r="DX50" i="6"/>
  <c r="DY50" i="6" s="1"/>
  <c r="DZ50" i="6" s="1"/>
  <c r="ED50" i="6"/>
  <c r="EE50" i="6" s="1"/>
  <c r="EF50" i="6" s="1"/>
  <c r="AX38" i="6"/>
  <c r="AY38" i="6" s="1"/>
  <c r="AZ38" i="6" s="1"/>
  <c r="CH38" i="6"/>
  <c r="CI38" i="6" s="1"/>
  <c r="CJ38" i="6" s="1"/>
  <c r="CT38" i="6"/>
  <c r="CU38" i="6" s="1"/>
  <c r="CV38" i="6" s="1"/>
  <c r="CB34" i="6"/>
  <c r="CC34" i="6" s="1"/>
  <c r="CD34" i="6" s="1"/>
  <c r="AF34" i="6"/>
  <c r="AG34" i="6" s="1"/>
  <c r="AH34" i="6" s="1"/>
  <c r="CH34" i="6"/>
  <c r="CI34" i="6" s="1"/>
  <c r="CJ34" i="6" s="1"/>
  <c r="FH34" i="6"/>
  <c r="FI34" i="6" s="1"/>
  <c r="FJ34" i="6" s="1"/>
  <c r="H14" i="6"/>
  <c r="I14" i="6" s="1"/>
  <c r="J14" i="6" s="1"/>
  <c r="FH14" i="6"/>
  <c r="FI14" i="6" s="1"/>
  <c r="FJ14" i="6" s="1"/>
  <c r="DL14" i="6"/>
  <c r="DM14" i="6" s="1"/>
  <c r="DN14" i="6" s="1"/>
  <c r="BP101" i="6"/>
  <c r="BQ101" i="6" s="1"/>
  <c r="BR101" i="6" s="1"/>
  <c r="CN101" i="6"/>
  <c r="CO101" i="6" s="1"/>
  <c r="CP101" i="6" s="1"/>
  <c r="FN101" i="6"/>
  <c r="FO101" i="6" s="1"/>
  <c r="FP101" i="6" s="1"/>
  <c r="BP32" i="6"/>
  <c r="BQ32" i="6" s="1"/>
  <c r="BR32" i="6" s="1"/>
  <c r="DX32" i="6"/>
  <c r="DY32" i="6" s="1"/>
  <c r="DZ32" i="6" s="1"/>
  <c r="FH32" i="6"/>
  <c r="FI32" i="6" s="1"/>
  <c r="FJ32" i="6" s="1"/>
  <c r="GL32" i="6"/>
  <c r="GM32" i="6" s="1"/>
  <c r="GN32" i="6" s="1"/>
  <c r="AX102" i="6"/>
  <c r="AY102" i="6" s="1"/>
  <c r="AZ102" i="6" s="1"/>
  <c r="DF102" i="6"/>
  <c r="DG102" i="6" s="1"/>
  <c r="DH102" i="6" s="1"/>
  <c r="CT102" i="6"/>
  <c r="CU102" i="6" s="1"/>
  <c r="CV102" i="6" s="1"/>
  <c r="EV102" i="6"/>
  <c r="EW102" i="6" s="1"/>
  <c r="EX102" i="6" s="1"/>
  <c r="N82" i="6"/>
  <c r="O82" i="6" s="1"/>
  <c r="P82" i="6" s="1"/>
  <c r="AR82" i="6"/>
  <c r="AS82" i="6" s="1"/>
  <c r="AT82" i="6" s="1"/>
  <c r="EV82" i="6"/>
  <c r="EW82" i="6" s="1"/>
  <c r="EX82" i="6" s="1"/>
  <c r="FZ82" i="6"/>
  <c r="GA82" i="6" s="1"/>
  <c r="GB82" i="6" s="1"/>
  <c r="AR66" i="6"/>
  <c r="AS66" i="6" s="1"/>
  <c r="AT66" i="6" s="1"/>
  <c r="BD66" i="6"/>
  <c r="BE66" i="6" s="1"/>
  <c r="BF66" i="6" s="1"/>
  <c r="AF66" i="6"/>
  <c r="AG66" i="6" s="1"/>
  <c r="AH66" i="6" s="1"/>
  <c r="EV66" i="6"/>
  <c r="EW66" i="6" s="1"/>
  <c r="EX66" i="6" s="1"/>
  <c r="Z27" i="6"/>
  <c r="AA27" i="6" s="1"/>
  <c r="AB27" i="6" s="1"/>
  <c r="EV27" i="6"/>
  <c r="EW27" i="6" s="1"/>
  <c r="EX27" i="6" s="1"/>
  <c r="CB18" i="6"/>
  <c r="CC18" i="6" s="1"/>
  <c r="CD18" i="6" s="1"/>
  <c r="DX18" i="6"/>
  <c r="DY18" i="6" s="1"/>
  <c r="DZ18" i="6" s="1"/>
  <c r="DF18" i="6"/>
  <c r="DG18" i="6" s="1"/>
  <c r="DH18" i="6" s="1"/>
  <c r="FB18" i="6"/>
  <c r="FC18" i="6" s="1"/>
  <c r="FD18" i="6" s="1"/>
  <c r="FZ18" i="6"/>
  <c r="GA18" i="6" s="1"/>
  <c r="GB18" i="6" s="1"/>
  <c r="H25" i="6"/>
  <c r="I25" i="6" s="1"/>
  <c r="J25" i="6" s="1"/>
  <c r="AF25" i="6"/>
  <c r="AG25" i="6" s="1"/>
  <c r="AH25" i="6" s="1"/>
  <c r="DL25" i="6"/>
  <c r="DM25" i="6" s="1"/>
  <c r="DN25" i="6" s="1"/>
  <c r="FZ25" i="6"/>
  <c r="GA25" i="6" s="1"/>
  <c r="GB25" i="6" s="1"/>
  <c r="Z11" i="6"/>
  <c r="AA11" i="6" s="1"/>
  <c r="AB11" i="6" s="1"/>
  <c r="BD11" i="6"/>
  <c r="BE11" i="6" s="1"/>
  <c r="BF11" i="6" s="1"/>
  <c r="GF11" i="6"/>
  <c r="GG11" i="6" s="1"/>
  <c r="GH11" i="6" s="1"/>
  <c r="EP11" i="6"/>
  <c r="EQ11" i="6" s="1"/>
  <c r="ER11" i="6" s="1"/>
  <c r="AL76" i="6"/>
  <c r="AM76" i="6" s="1"/>
  <c r="AN76" i="6" s="1"/>
  <c r="BJ76" i="6"/>
  <c r="BK76" i="6" s="1"/>
  <c r="BL76" i="6" s="1"/>
  <c r="DL76" i="6"/>
  <c r="DM76" i="6" s="1"/>
  <c r="DN76" i="6" s="1"/>
  <c r="GL76" i="6"/>
  <c r="GM76" i="6" s="1"/>
  <c r="GN76" i="6" s="1"/>
  <c r="CB49" i="6"/>
  <c r="CC49" i="6" s="1"/>
  <c r="CD49" i="6" s="1"/>
  <c r="GF49" i="6"/>
  <c r="GG49" i="6" s="1"/>
  <c r="GH49" i="6" s="1"/>
  <c r="CB60" i="6"/>
  <c r="CC60" i="6" s="1"/>
  <c r="CD60" i="6" s="1"/>
  <c r="H60" i="6"/>
  <c r="I60" i="6" s="1"/>
  <c r="J60" i="6" s="1"/>
  <c r="AF60" i="6"/>
  <c r="AG60" i="6" s="1"/>
  <c r="AH60" i="6" s="1"/>
  <c r="GF60" i="6"/>
  <c r="GG60" i="6" s="1"/>
  <c r="GH60" i="6" s="1"/>
  <c r="BJ81" i="6"/>
  <c r="BK81" i="6" s="1"/>
  <c r="BL81" i="6" s="1"/>
  <c r="CT81" i="6"/>
  <c r="CU81" i="6" s="1"/>
  <c r="CV81" i="6" s="1"/>
  <c r="DX75" i="6"/>
  <c r="DY75" i="6" s="1"/>
  <c r="DZ75" i="6" s="1"/>
  <c r="FH75" i="6"/>
  <c r="FI75" i="6" s="1"/>
  <c r="FJ75" i="6" s="1"/>
  <c r="BV100" i="6"/>
  <c r="BW100" i="6" s="1"/>
  <c r="BX100" i="6" s="1"/>
  <c r="T100" i="6"/>
  <c r="U100" i="6" s="1"/>
  <c r="V100" i="6" s="1"/>
  <c r="N78" i="6"/>
  <c r="O78" i="6" s="1"/>
  <c r="P78" i="6" s="1"/>
  <c r="AF78" i="6"/>
  <c r="AG78" i="6" s="1"/>
  <c r="AH78" i="6" s="1"/>
  <c r="GF78" i="6"/>
  <c r="GG78" i="6" s="1"/>
  <c r="GH78" i="6" s="1"/>
  <c r="AX26" i="6"/>
  <c r="AY26" i="6" s="1"/>
  <c r="AZ26" i="6" s="1"/>
  <c r="CT26" i="6"/>
  <c r="CU26" i="6" s="1"/>
  <c r="CV26" i="6" s="1"/>
  <c r="BV52" i="6"/>
  <c r="BW52" i="6" s="1"/>
  <c r="BX52" i="6" s="1"/>
  <c r="AF52" i="6"/>
  <c r="AG52" i="6" s="1"/>
  <c r="AH52" i="6" s="1"/>
  <c r="DF94" i="6"/>
  <c r="DG94" i="6" s="1"/>
  <c r="DH94" i="6" s="1"/>
  <c r="N19" i="6"/>
  <c r="O19" i="6" s="1"/>
  <c r="P19" i="6" s="1"/>
  <c r="FH19" i="6"/>
  <c r="FI19" i="6" s="1"/>
  <c r="FJ19" i="6" s="1"/>
  <c r="Z20" i="6"/>
  <c r="AA20" i="6" s="1"/>
  <c r="AB20" i="6" s="1"/>
  <c r="T20" i="6"/>
  <c r="U20" i="6" s="1"/>
  <c r="V20" i="6" s="1"/>
  <c r="FZ20" i="6"/>
  <c r="GA20" i="6" s="1"/>
  <c r="GB20" i="6" s="1"/>
  <c r="N99" i="6"/>
  <c r="O99" i="6" s="1"/>
  <c r="P99" i="6" s="1"/>
  <c r="BJ99" i="6"/>
  <c r="BK99" i="6" s="1"/>
  <c r="BL99" i="6" s="1"/>
  <c r="BD99" i="6"/>
  <c r="BE99" i="6" s="1"/>
  <c r="BF99" i="6" s="1"/>
  <c r="FH99" i="6"/>
  <c r="FI99" i="6" s="1"/>
  <c r="FJ99" i="6" s="1"/>
  <c r="CB45" i="6"/>
  <c r="CC45" i="6" s="1"/>
  <c r="CD45" i="6" s="1"/>
  <c r="CT45" i="6"/>
  <c r="CU45" i="6" s="1"/>
  <c r="CV45" i="6" s="1"/>
  <c r="FB45" i="6"/>
  <c r="FC45" i="6" s="1"/>
  <c r="FD45" i="6" s="1"/>
  <c r="CB44" i="6"/>
  <c r="CC44" i="6" s="1"/>
  <c r="CD44" i="6" s="1"/>
  <c r="ED44" i="6"/>
  <c r="EE44" i="6" s="1"/>
  <c r="EF44" i="6" s="1"/>
  <c r="FZ44" i="6"/>
  <c r="GA44" i="6" s="1"/>
  <c r="GB44" i="6" s="1"/>
  <c r="H36" i="6"/>
  <c r="I36" i="6" s="1"/>
  <c r="J36" i="6" s="1"/>
  <c r="DR36" i="6"/>
  <c r="DS36" i="6" s="1"/>
  <c r="DT36" i="6" s="1"/>
  <c r="Z70" i="6"/>
  <c r="AA70" i="6" s="1"/>
  <c r="AB70" i="6" s="1"/>
  <c r="GF70" i="6"/>
  <c r="GG70" i="6" s="1"/>
  <c r="GH70" i="6" s="1"/>
  <c r="CT93" i="6"/>
  <c r="CU93" i="6" s="1"/>
  <c r="CV93" i="6" s="1"/>
  <c r="DX93" i="6"/>
  <c r="DY93" i="6" s="1"/>
  <c r="DZ93" i="6" s="1"/>
  <c r="GF93" i="6"/>
  <c r="GG93" i="6" s="1"/>
  <c r="GH93" i="6" s="1"/>
  <c r="BJ74" i="6"/>
  <c r="BK74" i="6" s="1"/>
  <c r="BL74" i="6" s="1"/>
  <c r="CH74" i="6"/>
  <c r="CI74" i="6" s="1"/>
  <c r="CJ74" i="6" s="1"/>
  <c r="FB74" i="6"/>
  <c r="FC74" i="6" s="1"/>
  <c r="FD74" i="6" s="1"/>
  <c r="AX83" i="6"/>
  <c r="AY83" i="6" s="1"/>
  <c r="AZ83" i="6" s="1"/>
  <c r="GF83" i="6"/>
  <c r="GG83" i="6" s="1"/>
  <c r="GH83" i="6" s="1"/>
  <c r="H37" i="6"/>
  <c r="I37" i="6" s="1"/>
  <c r="J37" i="6" s="1"/>
  <c r="FZ37" i="6"/>
  <c r="GA37" i="6" s="1"/>
  <c r="GB37" i="6" s="1"/>
  <c r="BP55" i="6"/>
  <c r="BQ55" i="6" s="1"/>
  <c r="BR55" i="6" s="1"/>
  <c r="CB13" i="6"/>
  <c r="CC13" i="6" s="1"/>
  <c r="CD13" i="6" s="1"/>
  <c r="T13" i="6"/>
  <c r="U13" i="6" s="1"/>
  <c r="V13" i="6" s="1"/>
  <c r="AF13" i="6"/>
  <c r="AG13" i="6" s="1"/>
  <c r="AH13" i="6" s="1"/>
  <c r="AX98" i="6"/>
  <c r="AY98" i="6" s="1"/>
  <c r="AZ98" i="6" s="1"/>
  <c r="CZ98" i="6"/>
  <c r="DA98" i="6" s="1"/>
  <c r="DB98" i="6" s="1"/>
  <c r="DR98" i="6"/>
  <c r="DS98" i="6" s="1"/>
  <c r="DT98" i="6" s="1"/>
  <c r="CB53" i="6"/>
  <c r="CC53" i="6" s="1"/>
  <c r="CD53" i="6" s="1"/>
  <c r="BJ53" i="6"/>
  <c r="BK53" i="6" s="1"/>
  <c r="BL53" i="6" s="1"/>
  <c r="BJ91" i="6"/>
  <c r="BK91" i="6" s="1"/>
  <c r="BL91" i="6" s="1"/>
  <c r="EV91" i="6"/>
  <c r="EW91" i="6" s="1"/>
  <c r="EX91" i="6" s="1"/>
  <c r="Z71" i="6"/>
  <c r="AA71" i="6" s="1"/>
  <c r="AB71" i="6" s="1"/>
  <c r="DL71" i="6"/>
  <c r="DM71" i="6" s="1"/>
  <c r="DN71" i="6" s="1"/>
  <c r="BP41" i="6"/>
  <c r="BQ41" i="6" s="1"/>
  <c r="BR41" i="6" s="1"/>
  <c r="N64" i="6"/>
  <c r="O64" i="6" s="1"/>
  <c r="P64" i="6" s="1"/>
  <c r="N89" i="6"/>
  <c r="O89" i="6" s="1"/>
  <c r="P89" i="6" s="1"/>
  <c r="N47" i="6"/>
  <c r="O47" i="6" s="1"/>
  <c r="P47" i="6" s="1"/>
  <c r="BD21" i="6"/>
  <c r="BE21" i="6" s="1"/>
  <c r="BF21" i="6" s="1"/>
  <c r="CB71" i="6"/>
  <c r="CC71" i="6" s="1"/>
  <c r="CD71" i="6" s="1"/>
  <c r="AR71" i="6"/>
  <c r="AS71" i="6" s="1"/>
  <c r="AT71" i="6" s="1"/>
  <c r="CH71" i="6"/>
  <c r="CI71" i="6" s="1"/>
  <c r="CJ71" i="6" s="1"/>
  <c r="EV71" i="6"/>
  <c r="EW71" i="6" s="1"/>
  <c r="EX71" i="6" s="1"/>
  <c r="GF71" i="6"/>
  <c r="GG71" i="6" s="1"/>
  <c r="GH71" i="6" s="1"/>
  <c r="BJ41" i="6"/>
  <c r="BK41" i="6" s="1"/>
  <c r="BL41" i="6" s="1"/>
  <c r="CN41" i="6"/>
  <c r="CO41" i="6" s="1"/>
  <c r="CP41" i="6" s="1"/>
  <c r="FB41" i="6"/>
  <c r="FC41" i="6" s="1"/>
  <c r="FD41" i="6" s="1"/>
  <c r="GL41" i="6"/>
  <c r="GM41" i="6" s="1"/>
  <c r="GN41" i="6" s="1"/>
  <c r="AL64" i="6"/>
  <c r="AM64" i="6" s="1"/>
  <c r="AN64" i="6" s="1"/>
  <c r="BD64" i="6"/>
  <c r="BE64" i="6" s="1"/>
  <c r="BF64" i="6" s="1"/>
  <c r="FH64" i="6"/>
  <c r="FI64" i="6" s="1"/>
  <c r="FJ64" i="6" s="1"/>
  <c r="CT89" i="6"/>
  <c r="CU89" i="6" s="1"/>
  <c r="CV89" i="6" s="1"/>
  <c r="H47" i="6"/>
  <c r="I47" i="6" s="1"/>
  <c r="J47" i="6" s="1"/>
  <c r="T47" i="6"/>
  <c r="U47" i="6" s="1"/>
  <c r="V47" i="6" s="1"/>
  <c r="DR47" i="6"/>
  <c r="DS47" i="6" s="1"/>
  <c r="DT47" i="6" s="1"/>
  <c r="EV47" i="6"/>
  <c r="EW47" i="6" s="1"/>
  <c r="EX47" i="6" s="1"/>
  <c r="Z35" i="6"/>
  <c r="AA35" i="6" s="1"/>
  <c r="AB35" i="6" s="1"/>
  <c r="AL35" i="6"/>
  <c r="AM35" i="6" s="1"/>
  <c r="AN35" i="6" s="1"/>
  <c r="ED35" i="6"/>
  <c r="EE35" i="6" s="1"/>
  <c r="EF35" i="6" s="1"/>
  <c r="DR35" i="6"/>
  <c r="DS35" i="6" s="1"/>
  <c r="DT35" i="6" s="1"/>
  <c r="H21" i="6"/>
  <c r="I21" i="6" s="1"/>
  <c r="J21" i="6" s="1"/>
  <c r="AL21" i="6"/>
  <c r="AM21" i="6" s="1"/>
  <c r="AN21" i="6" s="1"/>
  <c r="AF21" i="6"/>
  <c r="AG21" i="6" s="1"/>
  <c r="AH21" i="6" s="1"/>
  <c r="DR29" i="6"/>
  <c r="DS29" i="6" s="1"/>
  <c r="DT29" i="6" s="1"/>
  <c r="CB77" i="6"/>
  <c r="CC77" i="6" s="1"/>
  <c r="CD77" i="6" s="1"/>
  <c r="CN77" i="6"/>
  <c r="CO77" i="6" s="1"/>
  <c r="CP77" i="6" s="1"/>
  <c r="EJ77" i="6"/>
  <c r="EK77" i="6" s="1"/>
  <c r="EL77" i="6" s="1"/>
  <c r="DR77" i="6"/>
  <c r="DS77" i="6" s="1"/>
  <c r="DT77" i="6" s="1"/>
  <c r="FZ77" i="6"/>
  <c r="GA77" i="6" s="1"/>
  <c r="GB77" i="6" s="1"/>
  <c r="BP58" i="6"/>
  <c r="BQ58" i="6" s="1"/>
  <c r="BR58" i="6" s="1"/>
  <c r="FH58" i="6"/>
  <c r="FI58" i="6" s="1"/>
  <c r="FJ58" i="6" s="1"/>
  <c r="EV58" i="6"/>
  <c r="EW58" i="6" s="1"/>
  <c r="EX58" i="6" s="1"/>
  <c r="FZ58" i="6"/>
  <c r="GA58" i="6" s="1"/>
  <c r="GB58" i="6" s="1"/>
  <c r="Z28" i="6"/>
  <c r="AA28" i="6" s="1"/>
  <c r="AB28" i="6" s="1"/>
  <c r="CH28" i="6"/>
  <c r="CI28" i="6" s="1"/>
  <c r="CJ28" i="6" s="1"/>
  <c r="DR28" i="6"/>
  <c r="DS28" i="6" s="1"/>
  <c r="DT28" i="6" s="1"/>
  <c r="GL28" i="6"/>
  <c r="GM28" i="6" s="1"/>
  <c r="GN28" i="6" s="1"/>
  <c r="AF42" i="6"/>
  <c r="AG42" i="6" s="1"/>
  <c r="AH42" i="6" s="1"/>
  <c r="Z22" i="6"/>
  <c r="AA22" i="6" s="1"/>
  <c r="AB22" i="6" s="1"/>
  <c r="DR22" i="6"/>
  <c r="DS22" i="6" s="1"/>
  <c r="DT22" i="6" s="1"/>
  <c r="EP22" i="6"/>
  <c r="EQ22" i="6" s="1"/>
  <c r="ER22" i="6" s="1"/>
  <c r="EJ22" i="6"/>
  <c r="EK22" i="6" s="1"/>
  <c r="EL22" i="6" s="1"/>
  <c r="N17" i="6"/>
  <c r="O17" i="6" s="1"/>
  <c r="P17" i="6" s="1"/>
  <c r="AL17" i="6"/>
  <c r="AM17" i="6" s="1"/>
  <c r="AN17" i="6" s="1"/>
  <c r="DR17" i="6"/>
  <c r="DS17" i="6" s="1"/>
  <c r="DT17" i="6" s="1"/>
  <c r="CZ17" i="6"/>
  <c r="DA17" i="6" s="1"/>
  <c r="DB17" i="6" s="1"/>
  <c r="N61" i="6"/>
  <c r="O61" i="6" s="1"/>
  <c r="P61" i="6" s="1"/>
  <c r="AR61" i="6"/>
  <c r="AS61" i="6" s="1"/>
  <c r="AT61" i="6" s="1"/>
  <c r="AF61" i="6"/>
  <c r="AG61" i="6" s="1"/>
  <c r="AH61" i="6" s="1"/>
  <c r="N48" i="6"/>
  <c r="O48" i="6" s="1"/>
  <c r="P48" i="6" s="1"/>
  <c r="T48" i="6"/>
  <c r="U48" i="6" s="1"/>
  <c r="V48" i="6" s="1"/>
  <c r="CN48" i="6"/>
  <c r="CO48" i="6" s="1"/>
  <c r="CP48" i="6" s="1"/>
  <c r="DR48" i="6"/>
  <c r="DS48" i="6" s="1"/>
  <c r="DT48" i="6" s="1"/>
  <c r="GL48" i="6"/>
  <c r="GM48" i="6" s="1"/>
  <c r="GN48" i="6" s="1"/>
  <c r="H65" i="6"/>
  <c r="I65" i="6" s="1"/>
  <c r="J65" i="6" s="1"/>
  <c r="EV65" i="6"/>
  <c r="EW65" i="6" s="1"/>
  <c r="EX65" i="6" s="1"/>
  <c r="DR65" i="6"/>
  <c r="DS65" i="6" s="1"/>
  <c r="DT65" i="6" s="1"/>
  <c r="EP65" i="6"/>
  <c r="EQ65" i="6" s="1"/>
  <c r="ER65" i="6" s="1"/>
  <c r="Z40" i="6"/>
  <c r="AA40" i="6" s="1"/>
  <c r="AB40" i="6" s="1"/>
  <c r="CH40" i="6"/>
  <c r="CI40" i="6" s="1"/>
  <c r="CJ40" i="6" s="1"/>
  <c r="DL40" i="6"/>
  <c r="DM40" i="6" s="1"/>
  <c r="DN40" i="6" s="1"/>
  <c r="FH40" i="6"/>
  <c r="FI40" i="6" s="1"/>
  <c r="FJ40" i="6" s="1"/>
  <c r="BP43" i="6"/>
  <c r="BQ43" i="6" s="1"/>
  <c r="BR43" i="6" s="1"/>
  <c r="BD43" i="6"/>
  <c r="BE43" i="6" s="1"/>
  <c r="BF43" i="6" s="1"/>
  <c r="BV31" i="6"/>
  <c r="BW31" i="6" s="1"/>
  <c r="BX31" i="6" s="1"/>
  <c r="T31" i="6"/>
  <c r="U31" i="6" s="1"/>
  <c r="V31" i="6" s="1"/>
  <c r="FB31" i="6"/>
  <c r="FC31" i="6" s="1"/>
  <c r="FD31" i="6" s="1"/>
  <c r="AX73" i="6"/>
  <c r="AY73" i="6" s="1"/>
  <c r="AZ73" i="6" s="1"/>
  <c r="AR73" i="6"/>
  <c r="AS73" i="6" s="1"/>
  <c r="AT73" i="6" s="1"/>
  <c r="DR73" i="6"/>
  <c r="DS73" i="6" s="1"/>
  <c r="DT73" i="6" s="1"/>
  <c r="EJ73" i="6"/>
  <c r="EK73" i="6" s="1"/>
  <c r="EL73" i="6" s="1"/>
  <c r="N57" i="6"/>
  <c r="O57" i="6" s="1"/>
  <c r="P57" i="6" s="1"/>
  <c r="AL57" i="6"/>
  <c r="AM57" i="6" s="1"/>
  <c r="AN57" i="6" s="1"/>
  <c r="CH57" i="6"/>
  <c r="CI57" i="6" s="1"/>
  <c r="CJ57" i="6" s="1"/>
  <c r="FN57" i="6"/>
  <c r="FO57" i="6" s="1"/>
  <c r="FP57" i="6" s="1"/>
  <c r="N15" i="6"/>
  <c r="O15" i="6" s="1"/>
  <c r="P15" i="6" s="1"/>
  <c r="BD15" i="6"/>
  <c r="BE15" i="6" s="1"/>
  <c r="BF15" i="6" s="1"/>
  <c r="DX15" i="6"/>
  <c r="DY15" i="6" s="1"/>
  <c r="DZ15" i="6" s="1"/>
  <c r="EV15" i="6"/>
  <c r="EW15" i="6" s="1"/>
  <c r="EX15" i="6" s="1"/>
  <c r="CB67" i="6"/>
  <c r="CC67" i="6" s="1"/>
  <c r="CD67" i="6" s="1"/>
  <c r="AF67" i="6"/>
  <c r="AG67" i="6" s="1"/>
  <c r="AH67" i="6" s="1"/>
  <c r="ED67" i="6"/>
  <c r="EE67" i="6" s="1"/>
  <c r="EF67" i="6" s="1"/>
  <c r="DR67" i="6"/>
  <c r="DS67" i="6" s="1"/>
  <c r="DT67" i="6" s="1"/>
  <c r="AL24" i="6"/>
  <c r="AM24" i="6" s="1"/>
  <c r="AN24" i="6" s="1"/>
  <c r="CN24" i="6"/>
  <c r="CO24" i="6" s="1"/>
  <c r="CP24" i="6" s="1"/>
  <c r="FB24" i="6"/>
  <c r="FC24" i="6" s="1"/>
  <c r="FD24" i="6" s="1"/>
  <c r="GF24" i="6"/>
  <c r="GG24" i="6" s="1"/>
  <c r="GH24" i="6" s="1"/>
  <c r="BV106" i="6"/>
  <c r="BW106" i="6" s="1"/>
  <c r="BX106" i="6" s="1"/>
  <c r="CZ106" i="6"/>
  <c r="DA106" i="6" s="1"/>
  <c r="DB106" i="6" s="1"/>
  <c r="FN106" i="6"/>
  <c r="FO106" i="6" s="1"/>
  <c r="FP106" i="6" s="1"/>
  <c r="FH106" i="6"/>
  <c r="FI106" i="6" s="1"/>
  <c r="FJ106" i="6" s="1"/>
  <c r="Z97" i="6"/>
  <c r="AA97" i="6" s="1"/>
  <c r="AB97" i="6" s="1"/>
  <c r="GL97" i="6"/>
  <c r="GM97" i="6" s="1"/>
  <c r="GN97" i="6" s="1"/>
  <c r="GF97" i="6"/>
  <c r="GG97" i="6" s="1"/>
  <c r="GH97" i="6" s="1"/>
  <c r="AX96" i="6"/>
  <c r="AY96" i="6" s="1"/>
  <c r="AZ96" i="6" s="1"/>
  <c r="AF96" i="6"/>
  <c r="AG96" i="6" s="1"/>
  <c r="AH96" i="6" s="1"/>
  <c r="DX96" i="6"/>
  <c r="DY96" i="6" s="1"/>
  <c r="DZ96" i="6" s="1"/>
  <c r="N84" i="6"/>
  <c r="O84" i="6" s="1"/>
  <c r="P84" i="6" s="1"/>
  <c r="BJ84" i="6"/>
  <c r="BK84" i="6" s="1"/>
  <c r="BL84" i="6" s="1"/>
  <c r="DR84" i="6"/>
  <c r="DS84" i="6" s="1"/>
  <c r="DT84" i="6" s="1"/>
  <c r="FH84" i="6"/>
  <c r="FI84" i="6" s="1"/>
  <c r="FJ84" i="6" s="1"/>
  <c r="BP59" i="6"/>
  <c r="BQ59" i="6" s="1"/>
  <c r="BR59" i="6" s="1"/>
  <c r="BV59" i="6"/>
  <c r="BW59" i="6" s="1"/>
  <c r="BX59" i="6" s="1"/>
  <c r="DL59" i="6"/>
  <c r="DM59" i="6" s="1"/>
  <c r="DN59" i="6" s="1"/>
  <c r="DR59" i="6"/>
  <c r="DS59" i="6" s="1"/>
  <c r="DT59" i="6" s="1"/>
  <c r="AX107" i="6"/>
  <c r="AY107" i="6" s="1"/>
  <c r="AZ107" i="6" s="1"/>
  <c r="AR107" i="6"/>
  <c r="AS107" i="6" s="1"/>
  <c r="AT107" i="6" s="1"/>
  <c r="CT107" i="6"/>
  <c r="CU107" i="6" s="1"/>
  <c r="CV107" i="6" s="1"/>
  <c r="ED107" i="6"/>
  <c r="EE107" i="6" s="1"/>
  <c r="EF107" i="6" s="1"/>
  <c r="GL107" i="6"/>
  <c r="GM107" i="6" s="1"/>
  <c r="GN107" i="6" s="1"/>
  <c r="T23" i="6"/>
  <c r="U23" i="6" s="1"/>
  <c r="V23" i="6" s="1"/>
  <c r="CH23" i="6"/>
  <c r="CI23" i="6" s="1"/>
  <c r="CJ23" i="6" s="1"/>
  <c r="ED23" i="6"/>
  <c r="EE23" i="6" s="1"/>
  <c r="EF23" i="6" s="1"/>
  <c r="GL23" i="6"/>
  <c r="GM23" i="6" s="1"/>
  <c r="GN23" i="6" s="1"/>
  <c r="BV108" i="6"/>
  <c r="BW108" i="6" s="1"/>
  <c r="BX108" i="6" s="1"/>
  <c r="DL108" i="6"/>
  <c r="DM108" i="6" s="1"/>
  <c r="DN108" i="6" s="1"/>
  <c r="FZ108" i="6"/>
  <c r="GA108" i="6" s="1"/>
  <c r="GB108" i="6" s="1"/>
  <c r="EP108" i="6"/>
  <c r="EQ108" i="6" s="1"/>
  <c r="ER108" i="6" s="1"/>
  <c r="H50" i="6"/>
  <c r="I50" i="6" s="1"/>
  <c r="J50" i="6" s="1"/>
  <c r="T50" i="6"/>
  <c r="U50" i="6" s="1"/>
  <c r="V50" i="6" s="1"/>
  <c r="DL50" i="6"/>
  <c r="DM50" i="6" s="1"/>
  <c r="DN50" i="6" s="1"/>
  <c r="FN50" i="6"/>
  <c r="FO50" i="6" s="1"/>
  <c r="FP50" i="6" s="1"/>
  <c r="Z38" i="6"/>
  <c r="AA38" i="6" s="1"/>
  <c r="AB38" i="6" s="1"/>
  <c r="CZ38" i="6"/>
  <c r="DA38" i="6" s="1"/>
  <c r="DB38" i="6" s="1"/>
  <c r="EP38" i="6"/>
  <c r="EQ38" i="6" s="1"/>
  <c r="ER38" i="6" s="1"/>
  <c r="FZ38" i="6"/>
  <c r="GA38" i="6" s="1"/>
  <c r="GB38" i="6" s="1"/>
  <c r="AX34" i="6"/>
  <c r="AY34" i="6" s="1"/>
  <c r="AZ34" i="6" s="1"/>
  <c r="H34" i="6"/>
  <c r="I34" i="6" s="1"/>
  <c r="J34" i="6" s="1"/>
  <c r="CT34" i="6"/>
  <c r="CU34" i="6" s="1"/>
  <c r="CV34" i="6" s="1"/>
  <c r="FB34" i="6"/>
  <c r="FC34" i="6" s="1"/>
  <c r="FD34" i="6" s="1"/>
  <c r="CB14" i="6"/>
  <c r="CC14" i="6" s="1"/>
  <c r="CD14" i="6" s="1"/>
  <c r="BV14" i="6"/>
  <c r="BW14" i="6" s="1"/>
  <c r="BX14" i="6" s="1"/>
  <c r="CT14" i="6"/>
  <c r="CU14" i="6" s="1"/>
  <c r="CV14" i="6" s="1"/>
  <c r="EV14" i="6"/>
  <c r="EW14" i="6" s="1"/>
  <c r="EX14" i="6" s="1"/>
  <c r="GF14" i="6"/>
  <c r="GG14" i="6" s="1"/>
  <c r="GH14" i="6" s="1"/>
  <c r="BJ101" i="6"/>
  <c r="BK101" i="6" s="1"/>
  <c r="BL101" i="6" s="1"/>
  <c r="ED101" i="6"/>
  <c r="EE101" i="6" s="1"/>
  <c r="EF101" i="6" s="1"/>
  <c r="GF101" i="6"/>
  <c r="GG101" i="6" s="1"/>
  <c r="GH101" i="6" s="1"/>
  <c r="Z32" i="6"/>
  <c r="AA32" i="6" s="1"/>
  <c r="AB32" i="6" s="1"/>
  <c r="DL32" i="6"/>
  <c r="DM32" i="6" s="1"/>
  <c r="DN32" i="6" s="1"/>
  <c r="DF32" i="6"/>
  <c r="DG32" i="6" s="1"/>
  <c r="DH32" i="6" s="1"/>
  <c r="Z102" i="6"/>
  <c r="AA102" i="6" s="1"/>
  <c r="AB102" i="6" s="1"/>
  <c r="CZ102" i="6"/>
  <c r="DA102" i="6" s="1"/>
  <c r="DB102" i="6" s="1"/>
  <c r="GF102" i="6"/>
  <c r="GG102" i="6" s="1"/>
  <c r="GH102" i="6" s="1"/>
  <c r="H82" i="6"/>
  <c r="I82" i="6" s="1"/>
  <c r="J82" i="6" s="1"/>
  <c r="T82" i="6"/>
  <c r="U82" i="6" s="1"/>
  <c r="V82" i="6" s="1"/>
  <c r="CZ82" i="6"/>
  <c r="DA82" i="6" s="1"/>
  <c r="DB82" i="6" s="1"/>
  <c r="ED82" i="6"/>
  <c r="EE82" i="6" s="1"/>
  <c r="EF82" i="6" s="1"/>
  <c r="H66" i="6"/>
  <c r="I66" i="6" s="1"/>
  <c r="J66" i="6" s="1"/>
  <c r="CN66" i="6"/>
  <c r="CO66" i="6" s="1"/>
  <c r="CP66" i="6" s="1"/>
  <c r="ED66" i="6"/>
  <c r="EE66" i="6" s="1"/>
  <c r="EF66" i="6" s="1"/>
  <c r="AX27" i="6"/>
  <c r="AY27" i="6" s="1"/>
  <c r="AZ27" i="6" s="1"/>
  <c r="T27" i="6"/>
  <c r="U27" i="6" s="1"/>
  <c r="V27" i="6" s="1"/>
  <c r="GF27" i="6"/>
  <c r="GG27" i="6" s="1"/>
  <c r="GH27" i="6" s="1"/>
  <c r="AX18" i="6"/>
  <c r="AY18" i="6" s="1"/>
  <c r="AZ18" i="6" s="1"/>
  <c r="AR18" i="6"/>
  <c r="AS18" i="6" s="1"/>
  <c r="AT18" i="6" s="1"/>
  <c r="DR18" i="6"/>
  <c r="DS18" i="6" s="1"/>
  <c r="DT18" i="6" s="1"/>
  <c r="BP51" i="6"/>
  <c r="BQ51" i="6" s="1"/>
  <c r="BR51" i="6" s="1"/>
  <c r="CH51" i="6"/>
  <c r="CI51" i="6" s="1"/>
  <c r="CJ51" i="6" s="1"/>
  <c r="BV25" i="6"/>
  <c r="BW25" i="6" s="1"/>
  <c r="BX25" i="6" s="1"/>
  <c r="DF25" i="6"/>
  <c r="DG25" i="6" s="1"/>
  <c r="DH25" i="6" s="1"/>
  <c r="EV25" i="6"/>
  <c r="EW25" i="6" s="1"/>
  <c r="EX25" i="6" s="1"/>
  <c r="AL11" i="6"/>
  <c r="AM11" i="6" s="1"/>
  <c r="AN11" i="6" s="1"/>
  <c r="DL11" i="6"/>
  <c r="DM11" i="6" s="1"/>
  <c r="DN11" i="6" s="1"/>
  <c r="BP76" i="6"/>
  <c r="BQ76" i="6" s="1"/>
  <c r="BR76" i="6" s="1"/>
  <c r="AR76" i="6"/>
  <c r="AS76" i="6" s="1"/>
  <c r="AT76" i="6" s="1"/>
  <c r="CZ76" i="6"/>
  <c r="DA76" i="6" s="1"/>
  <c r="DB76" i="6" s="1"/>
  <c r="EJ76" i="6"/>
  <c r="EK76" i="6" s="1"/>
  <c r="EL76" i="6" s="1"/>
  <c r="CZ85" i="6"/>
  <c r="DA85" i="6" s="1"/>
  <c r="DB85" i="6" s="1"/>
  <c r="DR85" i="6"/>
  <c r="DS85" i="6" s="1"/>
  <c r="DT85" i="6" s="1"/>
  <c r="AX49" i="6"/>
  <c r="AY49" i="6" s="1"/>
  <c r="AZ49" i="6" s="1"/>
  <c r="T49" i="6"/>
  <c r="U49" i="6" s="1"/>
  <c r="V49" i="6" s="1"/>
  <c r="DL49" i="6"/>
  <c r="DM49" i="6" s="1"/>
  <c r="DN49" i="6" s="1"/>
  <c r="Z60" i="6"/>
  <c r="AA60" i="6" s="1"/>
  <c r="AB60" i="6" s="1"/>
  <c r="AL60" i="6"/>
  <c r="AM60" i="6" s="1"/>
  <c r="AN60" i="6" s="1"/>
  <c r="CH60" i="6"/>
  <c r="CI60" i="6" s="1"/>
  <c r="CJ60" i="6" s="1"/>
  <c r="DX60" i="6"/>
  <c r="DY60" i="6" s="1"/>
  <c r="DZ60" i="6" s="1"/>
  <c r="CB81" i="6"/>
  <c r="CC81" i="6" s="1"/>
  <c r="CD81" i="6" s="1"/>
  <c r="Z81" i="6"/>
  <c r="AA81" i="6" s="1"/>
  <c r="AB81" i="6" s="1"/>
  <c r="FZ81" i="6"/>
  <c r="GA81" i="6" s="1"/>
  <c r="GB81" i="6" s="1"/>
  <c r="EV81" i="6"/>
  <c r="EW81" i="6" s="1"/>
  <c r="EX81" i="6" s="1"/>
  <c r="GL81" i="6"/>
  <c r="GM81" i="6" s="1"/>
  <c r="GN81" i="6" s="1"/>
  <c r="BJ62" i="6"/>
  <c r="BK62" i="6" s="1"/>
  <c r="BL62" i="6" s="1"/>
  <c r="CB41" i="6"/>
  <c r="CC41" i="6" s="1"/>
  <c r="CD41" i="6" s="1"/>
  <c r="AF64" i="6"/>
  <c r="AG64" i="6" s="1"/>
  <c r="AH64" i="6" s="1"/>
  <c r="FN89" i="6"/>
  <c r="FO89" i="6" s="1"/>
  <c r="FP89" i="6" s="1"/>
  <c r="EJ35" i="6"/>
  <c r="EK35" i="6" s="1"/>
  <c r="EL35" i="6" s="1"/>
  <c r="EV21" i="6"/>
  <c r="EW21" i="6" s="1"/>
  <c r="EX21" i="6" s="1"/>
  <c r="AF29" i="6"/>
  <c r="AG29" i="6" s="1"/>
  <c r="AH29" i="6" s="1"/>
  <c r="DL77" i="6"/>
  <c r="DM77" i="6" s="1"/>
  <c r="DN77" i="6" s="1"/>
  <c r="GL77" i="6"/>
  <c r="GM77" i="6" s="1"/>
  <c r="GN77" i="6" s="1"/>
  <c r="AR58" i="6"/>
  <c r="AS58" i="6" s="1"/>
  <c r="AT58" i="6" s="1"/>
  <c r="BD58" i="6"/>
  <c r="BE58" i="6" s="1"/>
  <c r="BF58" i="6" s="1"/>
  <c r="GL58" i="6"/>
  <c r="GM58" i="6" s="1"/>
  <c r="GN58" i="6" s="1"/>
  <c r="BV28" i="6"/>
  <c r="BW28" i="6" s="1"/>
  <c r="BX28" i="6" s="1"/>
  <c r="CZ28" i="6"/>
  <c r="DA28" i="6" s="1"/>
  <c r="DB28" i="6" s="1"/>
  <c r="GF28" i="6"/>
  <c r="GG28" i="6" s="1"/>
  <c r="GH28" i="6" s="1"/>
  <c r="Z42" i="6"/>
  <c r="AA42" i="6" s="1"/>
  <c r="AB42" i="6" s="1"/>
  <c r="CT42" i="6"/>
  <c r="CU42" i="6" s="1"/>
  <c r="CV42" i="6" s="1"/>
  <c r="CZ42" i="6"/>
  <c r="DA42" i="6" s="1"/>
  <c r="DB42" i="6" s="1"/>
  <c r="CN22" i="6"/>
  <c r="CO22" i="6" s="1"/>
  <c r="CP22" i="6" s="1"/>
  <c r="T17" i="6"/>
  <c r="U17" i="6" s="1"/>
  <c r="V17" i="6" s="1"/>
  <c r="BD17" i="6"/>
  <c r="BE17" i="6" s="1"/>
  <c r="BF17" i="6" s="1"/>
  <c r="AF17" i="6"/>
  <c r="AG17" i="6" s="1"/>
  <c r="AH17" i="6" s="1"/>
  <c r="DF17" i="6"/>
  <c r="DG17" i="6" s="1"/>
  <c r="DH17" i="6" s="1"/>
  <c r="AX61" i="6"/>
  <c r="AY61" i="6" s="1"/>
  <c r="AZ61" i="6" s="1"/>
  <c r="T61" i="6"/>
  <c r="U61" i="6" s="1"/>
  <c r="V61" i="6" s="1"/>
  <c r="CH61" i="6"/>
  <c r="CI61" i="6" s="1"/>
  <c r="CJ61" i="6" s="1"/>
  <c r="GL61" i="6"/>
  <c r="GM61" i="6" s="1"/>
  <c r="GN61" i="6" s="1"/>
  <c r="DL48" i="6"/>
  <c r="DM48" i="6" s="1"/>
  <c r="DN48" i="6" s="1"/>
  <c r="ED48" i="6"/>
  <c r="EE48" i="6" s="1"/>
  <c r="EF48" i="6" s="1"/>
  <c r="CB65" i="6"/>
  <c r="CC65" i="6" s="1"/>
  <c r="CD65" i="6" s="1"/>
  <c r="BV65" i="6"/>
  <c r="BW65" i="6" s="1"/>
  <c r="BX65" i="6" s="1"/>
  <c r="CH65" i="6"/>
  <c r="CI65" i="6" s="1"/>
  <c r="CJ65" i="6" s="1"/>
  <c r="FH65" i="6"/>
  <c r="FI65" i="6" s="1"/>
  <c r="FJ65" i="6" s="1"/>
  <c r="FZ65" i="6"/>
  <c r="GA65" i="6" s="1"/>
  <c r="GB65" i="6" s="1"/>
  <c r="AR40" i="6"/>
  <c r="AS40" i="6" s="1"/>
  <c r="AT40" i="6" s="1"/>
  <c r="GF40" i="6"/>
  <c r="GG40" i="6" s="1"/>
  <c r="GH40" i="6" s="1"/>
  <c r="FB40" i="6"/>
  <c r="FC40" i="6" s="1"/>
  <c r="FD40" i="6" s="1"/>
  <c r="GL40" i="6"/>
  <c r="GM40" i="6" s="1"/>
  <c r="GN40" i="6" s="1"/>
  <c r="BV43" i="6"/>
  <c r="BW43" i="6" s="1"/>
  <c r="BX43" i="6" s="1"/>
  <c r="DL43" i="6"/>
  <c r="DM43" i="6" s="1"/>
  <c r="DN43" i="6" s="1"/>
  <c r="ED43" i="6"/>
  <c r="EE43" i="6" s="1"/>
  <c r="EF43" i="6" s="1"/>
  <c r="H31" i="6"/>
  <c r="I31" i="6" s="1"/>
  <c r="J31" i="6" s="1"/>
  <c r="CN31" i="6"/>
  <c r="CO31" i="6" s="1"/>
  <c r="CP31" i="6" s="1"/>
  <c r="EJ31" i="6"/>
  <c r="EK31" i="6" s="1"/>
  <c r="EL31" i="6" s="1"/>
  <c r="FH31" i="6"/>
  <c r="FI31" i="6" s="1"/>
  <c r="FJ31" i="6" s="1"/>
  <c r="N73" i="6"/>
  <c r="O73" i="6" s="1"/>
  <c r="P73" i="6" s="1"/>
  <c r="BD73" i="6"/>
  <c r="BE73" i="6" s="1"/>
  <c r="BF73" i="6" s="1"/>
  <c r="DX73" i="6"/>
  <c r="DY73" i="6" s="1"/>
  <c r="DZ73" i="6" s="1"/>
  <c r="EV73" i="6"/>
  <c r="EW73" i="6" s="1"/>
  <c r="EX73" i="6" s="1"/>
  <c r="AX57" i="6"/>
  <c r="AY57" i="6" s="1"/>
  <c r="AZ57" i="6" s="1"/>
  <c r="AR57" i="6"/>
  <c r="AS57" i="6" s="1"/>
  <c r="AT57" i="6" s="1"/>
  <c r="GL57" i="6"/>
  <c r="GM57" i="6" s="1"/>
  <c r="GN57" i="6" s="1"/>
  <c r="DX57" i="6"/>
  <c r="DY57" i="6" s="1"/>
  <c r="DZ57" i="6" s="1"/>
  <c r="CB15" i="6"/>
  <c r="CC15" i="6" s="1"/>
  <c r="CD15" i="6" s="1"/>
  <c r="CN15" i="6"/>
  <c r="CO15" i="6" s="1"/>
  <c r="CP15" i="6" s="1"/>
  <c r="EP15" i="6"/>
  <c r="EQ15" i="6" s="1"/>
  <c r="ER15" i="6" s="1"/>
  <c r="FH15" i="6"/>
  <c r="FI15" i="6" s="1"/>
  <c r="FJ15" i="6" s="1"/>
  <c r="CN67" i="6"/>
  <c r="CO67" i="6" s="1"/>
  <c r="CP67" i="6" s="1"/>
  <c r="BP67" i="6"/>
  <c r="BQ67" i="6" s="1"/>
  <c r="BR67" i="6" s="1"/>
  <c r="CT67" i="6"/>
  <c r="CU67" i="6" s="1"/>
  <c r="CV67" i="6" s="1"/>
  <c r="N24" i="6"/>
  <c r="O24" i="6" s="1"/>
  <c r="P24" i="6" s="1"/>
  <c r="AR24" i="6"/>
  <c r="AS24" i="6" s="1"/>
  <c r="AT24" i="6" s="1"/>
  <c r="AF24" i="6"/>
  <c r="AG24" i="6" s="1"/>
  <c r="AH24" i="6" s="1"/>
  <c r="EJ24" i="6"/>
  <c r="EK24" i="6" s="1"/>
  <c r="EL24" i="6" s="1"/>
  <c r="H106" i="6"/>
  <c r="I106" i="6" s="1"/>
  <c r="J106" i="6" s="1"/>
  <c r="DF106" i="6"/>
  <c r="DG106" i="6" s="1"/>
  <c r="DH106" i="6" s="1"/>
  <c r="CT106" i="6"/>
  <c r="CU106" i="6" s="1"/>
  <c r="CV106" i="6" s="1"/>
  <c r="GF106" i="6"/>
  <c r="GG106" i="6" s="1"/>
  <c r="GH106" i="6" s="1"/>
  <c r="BV97" i="6"/>
  <c r="BW97" i="6" s="1"/>
  <c r="BX97" i="6" s="1"/>
  <c r="CN97" i="6"/>
  <c r="CO97" i="6" s="1"/>
  <c r="CP97" i="6" s="1"/>
  <c r="CT97" i="6"/>
  <c r="CU97" i="6" s="1"/>
  <c r="CV97" i="6" s="1"/>
  <c r="FB97" i="6"/>
  <c r="FC97" i="6" s="1"/>
  <c r="FD97" i="6" s="1"/>
  <c r="BP96" i="6"/>
  <c r="BQ96" i="6" s="1"/>
  <c r="BR96" i="6" s="1"/>
  <c r="DR96" i="6"/>
  <c r="DS96" i="6" s="1"/>
  <c r="DT96" i="6" s="1"/>
  <c r="GL96" i="6"/>
  <c r="GM96" i="6" s="1"/>
  <c r="GN96" i="6" s="1"/>
  <c r="EJ96" i="6"/>
  <c r="EK96" i="6" s="1"/>
  <c r="EL96" i="6" s="1"/>
  <c r="H84" i="6"/>
  <c r="I84" i="6" s="1"/>
  <c r="J84" i="6" s="1"/>
  <c r="AR84" i="6"/>
  <c r="AS84" i="6" s="1"/>
  <c r="AT84" i="6" s="1"/>
  <c r="CT84" i="6"/>
  <c r="CU84" i="6" s="1"/>
  <c r="CV84" i="6" s="1"/>
  <c r="BD59" i="6"/>
  <c r="BE59" i="6" s="1"/>
  <c r="BF59" i="6" s="1"/>
  <c r="AL59" i="6"/>
  <c r="AM59" i="6" s="1"/>
  <c r="AN59" i="6" s="1"/>
  <c r="CZ59" i="6"/>
  <c r="DA59" i="6" s="1"/>
  <c r="DB59" i="6" s="1"/>
  <c r="DX59" i="6"/>
  <c r="DY59" i="6" s="1"/>
  <c r="DZ59" i="6" s="1"/>
  <c r="CB107" i="6"/>
  <c r="CC107" i="6" s="1"/>
  <c r="CD107" i="6" s="1"/>
  <c r="BJ107" i="6"/>
  <c r="BK107" i="6" s="1"/>
  <c r="BL107" i="6" s="1"/>
  <c r="CN107" i="6"/>
  <c r="CO107" i="6" s="1"/>
  <c r="CP107" i="6" s="1"/>
  <c r="FZ107" i="6"/>
  <c r="GA107" i="6" s="1"/>
  <c r="GB107" i="6" s="1"/>
  <c r="CB23" i="6"/>
  <c r="CC23" i="6" s="1"/>
  <c r="CD23" i="6" s="1"/>
  <c r="AL23" i="6"/>
  <c r="AM23" i="6" s="1"/>
  <c r="AN23" i="6" s="1"/>
  <c r="AF23" i="6"/>
  <c r="AG23" i="6" s="1"/>
  <c r="AH23" i="6" s="1"/>
  <c r="DX23" i="6"/>
  <c r="DY23" i="6" s="1"/>
  <c r="DZ23" i="6" s="1"/>
  <c r="AL108" i="6"/>
  <c r="AM108" i="6" s="1"/>
  <c r="AN108" i="6" s="1"/>
  <c r="AF108" i="6"/>
  <c r="AG108" i="6" s="1"/>
  <c r="AH108" i="6" s="1"/>
  <c r="FN108" i="6"/>
  <c r="FO108" i="6" s="1"/>
  <c r="FP108" i="6" s="1"/>
  <c r="BV50" i="6"/>
  <c r="BW50" i="6" s="1"/>
  <c r="BX50" i="6" s="1"/>
  <c r="CH50" i="6"/>
  <c r="CI50" i="6" s="1"/>
  <c r="CJ50" i="6" s="1"/>
  <c r="GL50" i="6"/>
  <c r="GM50" i="6" s="1"/>
  <c r="GN50" i="6" s="1"/>
  <c r="FB50" i="6"/>
  <c r="FC50" i="6" s="1"/>
  <c r="FD50" i="6" s="1"/>
  <c r="N38" i="6"/>
  <c r="O38" i="6" s="1"/>
  <c r="P38" i="6" s="1"/>
  <c r="T38" i="6"/>
  <c r="U38" i="6" s="1"/>
  <c r="V38" i="6" s="1"/>
  <c r="ED38" i="6"/>
  <c r="EE38" i="6" s="1"/>
  <c r="EF38" i="6" s="1"/>
  <c r="DL38" i="6"/>
  <c r="DM38" i="6" s="1"/>
  <c r="DN38" i="6" s="1"/>
  <c r="AR34" i="6"/>
  <c r="AS34" i="6" s="1"/>
  <c r="AT34" i="6" s="1"/>
  <c r="T34" i="6"/>
  <c r="U34" i="6" s="1"/>
  <c r="V34" i="6" s="1"/>
  <c r="EJ34" i="6"/>
  <c r="EK34" i="6" s="1"/>
  <c r="EL34" i="6" s="1"/>
  <c r="DR34" i="6"/>
  <c r="DS34" i="6" s="1"/>
  <c r="DT34" i="6" s="1"/>
  <c r="AX14" i="6"/>
  <c r="AY14" i="6" s="1"/>
  <c r="AZ14" i="6" s="1"/>
  <c r="AL14" i="6"/>
  <c r="AM14" i="6" s="1"/>
  <c r="AN14" i="6" s="1"/>
  <c r="CH14" i="6"/>
  <c r="CI14" i="6" s="1"/>
  <c r="CJ14" i="6" s="1"/>
  <c r="FZ14" i="6"/>
  <c r="GA14" i="6" s="1"/>
  <c r="GB14" i="6" s="1"/>
  <c r="CB101" i="6"/>
  <c r="CC101" i="6" s="1"/>
  <c r="CD101" i="6" s="1"/>
  <c r="T101" i="6"/>
  <c r="U101" i="6" s="1"/>
  <c r="V101" i="6" s="1"/>
  <c r="CH101" i="6"/>
  <c r="CI101" i="6" s="1"/>
  <c r="CJ101" i="6" s="1"/>
  <c r="FZ101" i="6"/>
  <c r="GA101" i="6" s="1"/>
  <c r="GB101" i="6" s="1"/>
  <c r="GL101" i="6"/>
  <c r="GM101" i="6" s="1"/>
  <c r="GN101" i="6" s="1"/>
  <c r="BJ32" i="6"/>
  <c r="BK32" i="6" s="1"/>
  <c r="BL32" i="6" s="1"/>
  <c r="CH32" i="6"/>
  <c r="CI32" i="6" s="1"/>
  <c r="CJ32" i="6" s="1"/>
  <c r="EJ32" i="6"/>
  <c r="EK32" i="6" s="1"/>
  <c r="EL32" i="6" s="1"/>
  <c r="GF32" i="6"/>
  <c r="GG32" i="6" s="1"/>
  <c r="GH32" i="6" s="1"/>
  <c r="H102" i="6"/>
  <c r="I102" i="6" s="1"/>
  <c r="J102" i="6" s="1"/>
  <c r="BD102" i="6"/>
  <c r="BE102" i="6" s="1"/>
  <c r="BF102" i="6" s="1"/>
  <c r="FZ102" i="6"/>
  <c r="GA102" i="6" s="1"/>
  <c r="GB102" i="6" s="1"/>
  <c r="FN102" i="6"/>
  <c r="FO102" i="6" s="1"/>
  <c r="FP102" i="6" s="1"/>
  <c r="AF82" i="6"/>
  <c r="AG82" i="6" s="1"/>
  <c r="AH82" i="6" s="1"/>
  <c r="AL82" i="6"/>
  <c r="AM82" i="6" s="1"/>
  <c r="AN82" i="6" s="1"/>
  <c r="DL82" i="6"/>
  <c r="DM82" i="6" s="1"/>
  <c r="DN82" i="6" s="1"/>
  <c r="EP82" i="6"/>
  <c r="EQ82" i="6" s="1"/>
  <c r="ER82" i="6" s="1"/>
  <c r="BP66" i="6"/>
  <c r="BQ66" i="6" s="1"/>
  <c r="BR66" i="6" s="1"/>
  <c r="BJ66" i="6"/>
  <c r="BK66" i="6" s="1"/>
  <c r="BL66" i="6" s="1"/>
  <c r="EP66" i="6"/>
  <c r="EQ66" i="6" s="1"/>
  <c r="ER66" i="6" s="1"/>
  <c r="H27" i="6"/>
  <c r="I27" i="6" s="1"/>
  <c r="J27" i="6" s="1"/>
  <c r="BJ27" i="6"/>
  <c r="BK27" i="6" s="1"/>
  <c r="BL27" i="6" s="1"/>
  <c r="DF27" i="6"/>
  <c r="DG27" i="6" s="1"/>
  <c r="DH27" i="6" s="1"/>
  <c r="ED27" i="6"/>
  <c r="EE27" i="6" s="1"/>
  <c r="EF27" i="6" s="1"/>
  <c r="N18" i="6"/>
  <c r="O18" i="6" s="1"/>
  <c r="P18" i="6" s="1"/>
  <c r="T18" i="6"/>
  <c r="U18" i="6" s="1"/>
  <c r="V18" i="6" s="1"/>
  <c r="EP18" i="6"/>
  <c r="EQ18" i="6" s="1"/>
  <c r="ER18" i="6" s="1"/>
  <c r="CB51" i="6"/>
  <c r="CC51" i="6" s="1"/>
  <c r="CD51" i="6" s="1"/>
  <c r="BJ51" i="6"/>
  <c r="BK51" i="6" s="1"/>
  <c r="BL51" i="6" s="1"/>
  <c r="DL51" i="6"/>
  <c r="DM51" i="6" s="1"/>
  <c r="DN51" i="6" s="1"/>
  <c r="GL51" i="6"/>
  <c r="GM51" i="6" s="1"/>
  <c r="GN51" i="6" s="1"/>
  <c r="BJ25" i="6"/>
  <c r="BK25" i="6" s="1"/>
  <c r="BL25" i="6" s="1"/>
  <c r="GF25" i="6"/>
  <c r="GG25" i="6" s="1"/>
  <c r="GH25" i="6" s="1"/>
  <c r="H11" i="6"/>
  <c r="I11" i="6" s="1"/>
  <c r="J11" i="6" s="1"/>
  <c r="DX11" i="6"/>
  <c r="DY11" i="6" s="1"/>
  <c r="DZ11" i="6" s="1"/>
  <c r="FZ11" i="6"/>
  <c r="GA11" i="6" s="1"/>
  <c r="GB11" i="6" s="1"/>
  <c r="BV76" i="6"/>
  <c r="BW76" i="6" s="1"/>
  <c r="BX76" i="6" s="1"/>
  <c r="CN76" i="6"/>
  <c r="CO76" i="6" s="1"/>
  <c r="CP76" i="6" s="1"/>
  <c r="ED76" i="6"/>
  <c r="EE76" i="6" s="1"/>
  <c r="EF76" i="6" s="1"/>
  <c r="BV85" i="6"/>
  <c r="BW85" i="6" s="1"/>
  <c r="BX85" i="6" s="1"/>
  <c r="CN85" i="6"/>
  <c r="CO85" i="6" s="1"/>
  <c r="CP85" i="6" s="1"/>
  <c r="FH85" i="6"/>
  <c r="FI85" i="6" s="1"/>
  <c r="FJ85" i="6" s="1"/>
  <c r="Z49" i="6"/>
  <c r="AA49" i="6" s="1"/>
  <c r="AB49" i="6" s="1"/>
  <c r="DX49" i="6"/>
  <c r="DY49" i="6" s="1"/>
  <c r="DZ49" i="6" s="1"/>
  <c r="CZ60" i="6"/>
  <c r="DA60" i="6" s="1"/>
  <c r="DB60" i="6" s="1"/>
  <c r="FH60" i="6"/>
  <c r="FI60" i="6" s="1"/>
  <c r="FJ60" i="6" s="1"/>
  <c r="AX81" i="6"/>
  <c r="AY81" i="6" s="1"/>
  <c r="AZ81" i="6" s="1"/>
  <c r="H81" i="6"/>
  <c r="I81" i="6" s="1"/>
  <c r="J81" i="6" s="1"/>
  <c r="CN81" i="6"/>
  <c r="CO81" i="6" s="1"/>
  <c r="CP81" i="6" s="1"/>
  <c r="FH81" i="6"/>
  <c r="FI81" i="6" s="1"/>
  <c r="FJ81" i="6" s="1"/>
  <c r="CB75" i="6"/>
  <c r="CC75" i="6" s="1"/>
  <c r="CD75" i="6" s="1"/>
  <c r="AL75" i="6"/>
  <c r="AM75" i="6" s="1"/>
  <c r="AN75" i="6" s="1"/>
  <c r="DF75" i="6"/>
  <c r="DG75" i="6" s="1"/>
  <c r="DH75" i="6" s="1"/>
  <c r="H100" i="6"/>
  <c r="I100" i="6" s="1"/>
  <c r="J100" i="6" s="1"/>
  <c r="DF100" i="6"/>
  <c r="DG100" i="6" s="1"/>
  <c r="DH100" i="6" s="1"/>
  <c r="FH100" i="6"/>
  <c r="FI100" i="6" s="1"/>
  <c r="FJ100" i="6" s="1"/>
  <c r="BV78" i="6"/>
  <c r="BW78" i="6" s="1"/>
  <c r="BX78" i="6" s="1"/>
  <c r="Z26" i="6"/>
  <c r="AA26" i="6" s="1"/>
  <c r="AB26" i="6" s="1"/>
  <c r="T26" i="6"/>
  <c r="U26" i="6" s="1"/>
  <c r="V26" i="6" s="1"/>
  <c r="ED26" i="6"/>
  <c r="EE26" i="6" s="1"/>
  <c r="EF26" i="6" s="1"/>
  <c r="BD52" i="6"/>
  <c r="BE52" i="6" s="1"/>
  <c r="BF52" i="6" s="1"/>
  <c r="BP19" i="6"/>
  <c r="BQ19" i="6" s="1"/>
  <c r="BR19" i="6" s="1"/>
  <c r="DL19" i="6"/>
  <c r="DM19" i="6" s="1"/>
  <c r="DN19" i="6" s="1"/>
  <c r="ED19" i="6"/>
  <c r="EE19" i="6" s="1"/>
  <c r="EF19" i="6" s="1"/>
  <c r="BP20" i="6"/>
  <c r="BQ20" i="6" s="1"/>
  <c r="BR20" i="6" s="1"/>
  <c r="AF20" i="6"/>
  <c r="AG20" i="6" s="1"/>
  <c r="AH20" i="6" s="1"/>
  <c r="CT20" i="6"/>
  <c r="CU20" i="6" s="1"/>
  <c r="CV20" i="6" s="1"/>
  <c r="ED99" i="6"/>
  <c r="EE99" i="6" s="1"/>
  <c r="EF99" i="6" s="1"/>
  <c r="EV99" i="6"/>
  <c r="EW99" i="6" s="1"/>
  <c r="EX99" i="6" s="1"/>
  <c r="FB99" i="6"/>
  <c r="FC99" i="6" s="1"/>
  <c r="FD99" i="6" s="1"/>
  <c r="N45" i="6"/>
  <c r="O45" i="6" s="1"/>
  <c r="P45" i="6" s="1"/>
  <c r="BJ45" i="6"/>
  <c r="BK45" i="6" s="1"/>
  <c r="BL45" i="6" s="1"/>
  <c r="DL45" i="6"/>
  <c r="DM45" i="6" s="1"/>
  <c r="DN45" i="6" s="1"/>
  <c r="GF45" i="6"/>
  <c r="GG45" i="6" s="1"/>
  <c r="GH45" i="6" s="1"/>
  <c r="N44" i="6"/>
  <c r="O44" i="6" s="1"/>
  <c r="P44" i="6" s="1"/>
  <c r="DR44" i="6"/>
  <c r="DS44" i="6" s="1"/>
  <c r="DT44" i="6" s="1"/>
  <c r="DF44" i="6"/>
  <c r="DG44" i="6" s="1"/>
  <c r="DH44" i="6" s="1"/>
  <c r="CB36" i="6"/>
  <c r="CC36" i="6" s="1"/>
  <c r="CD36" i="6" s="1"/>
  <c r="DF36" i="6"/>
  <c r="DG36" i="6" s="1"/>
  <c r="DH36" i="6" s="1"/>
  <c r="CT36" i="6"/>
  <c r="CU36" i="6" s="1"/>
  <c r="CV36" i="6" s="1"/>
  <c r="FZ36" i="6"/>
  <c r="GA36" i="6" s="1"/>
  <c r="GB36" i="6" s="1"/>
  <c r="BP70" i="6"/>
  <c r="BQ70" i="6" s="1"/>
  <c r="BR70" i="6" s="1"/>
  <c r="CZ70" i="6"/>
  <c r="DA70" i="6" s="1"/>
  <c r="DB70" i="6" s="1"/>
  <c r="DL93" i="6"/>
  <c r="DM93" i="6" s="1"/>
  <c r="DN93" i="6" s="1"/>
  <c r="EV93" i="6"/>
  <c r="EW93" i="6" s="1"/>
  <c r="EX93" i="6" s="1"/>
  <c r="BD74" i="6"/>
  <c r="BE74" i="6" s="1"/>
  <c r="BF74" i="6" s="1"/>
  <c r="ED74" i="6"/>
  <c r="EE74" i="6" s="1"/>
  <c r="EF74" i="6" s="1"/>
  <c r="DF83" i="6"/>
  <c r="DG83" i="6" s="1"/>
  <c r="DH83" i="6" s="1"/>
  <c r="BJ83" i="6"/>
  <c r="BK83" i="6" s="1"/>
  <c r="BL83" i="6" s="1"/>
  <c r="DR83" i="6"/>
  <c r="DS83" i="6" s="1"/>
  <c r="DT83" i="6" s="1"/>
  <c r="N69" i="6"/>
  <c r="O69" i="6" s="1"/>
  <c r="P69" i="6" s="1"/>
  <c r="DL69" i="6"/>
  <c r="DM69" i="6" s="1"/>
  <c r="DN69" i="6" s="1"/>
  <c r="BP37" i="6"/>
  <c r="BQ37" i="6" s="1"/>
  <c r="BR37" i="6" s="1"/>
  <c r="FN37" i="6"/>
  <c r="FO37" i="6" s="1"/>
  <c r="FP37" i="6" s="1"/>
  <c r="H55" i="6"/>
  <c r="I55" i="6" s="1"/>
  <c r="J55" i="6" s="1"/>
  <c r="CT55" i="6"/>
  <c r="CU55" i="6" s="1"/>
  <c r="CV55" i="6" s="1"/>
  <c r="FB13" i="6"/>
  <c r="FC13" i="6" s="1"/>
  <c r="FD13" i="6" s="1"/>
  <c r="AL98" i="6"/>
  <c r="AM98" i="6" s="1"/>
  <c r="AN98" i="6" s="1"/>
  <c r="DL53" i="6"/>
  <c r="DM53" i="6" s="1"/>
  <c r="DN53" i="6" s="1"/>
  <c r="BP91" i="6"/>
  <c r="BQ91" i="6" s="1"/>
  <c r="BR91" i="6" s="1"/>
  <c r="AF105" i="6"/>
  <c r="AG105" i="6" s="1"/>
  <c r="AH105" i="6" s="1"/>
  <c r="H54" i="6"/>
  <c r="I54" i="6" s="1"/>
  <c r="J54" i="6" s="1"/>
  <c r="BJ54" i="6"/>
  <c r="BK54" i="6" s="1"/>
  <c r="BL54" i="6" s="1"/>
  <c r="CT86" i="6"/>
  <c r="CU86" i="6" s="1"/>
  <c r="CV86" i="6" s="1"/>
  <c r="N30" i="6"/>
  <c r="O30" i="6" s="1"/>
  <c r="P30" i="6" s="1"/>
  <c r="EV30" i="6"/>
  <c r="EW30" i="6" s="1"/>
  <c r="EX30" i="6" s="1"/>
  <c r="CB90" i="6"/>
  <c r="CC90" i="6" s="1"/>
  <c r="CD90" i="6" s="1"/>
  <c r="BP46" i="6"/>
  <c r="BQ46" i="6" s="1"/>
  <c r="BR46" i="6" s="1"/>
  <c r="DR46" i="6"/>
  <c r="DS46" i="6" s="1"/>
  <c r="DT46" i="6" s="1"/>
  <c r="CZ62" i="6"/>
  <c r="DA62" i="6" s="1"/>
  <c r="DB62" i="6" s="1"/>
  <c r="CN71" i="6"/>
  <c r="CO71" i="6" s="1"/>
  <c r="CP71" i="6" s="1"/>
  <c r="CT41" i="6"/>
  <c r="CU41" i="6" s="1"/>
  <c r="CV41" i="6" s="1"/>
  <c r="CT64" i="6"/>
  <c r="CU64" i="6" s="1"/>
  <c r="CV64" i="6" s="1"/>
  <c r="EP89" i="6"/>
  <c r="EQ89" i="6" s="1"/>
  <c r="ER89" i="6" s="1"/>
  <c r="CZ89" i="6"/>
  <c r="DA89" i="6" s="1"/>
  <c r="DB89" i="6" s="1"/>
  <c r="H35" i="6"/>
  <c r="I35" i="6" s="1"/>
  <c r="J35" i="6" s="1"/>
  <c r="FB21" i="6"/>
  <c r="FC21" i="6" s="1"/>
  <c r="FD21" i="6" s="1"/>
  <c r="BJ29" i="6"/>
  <c r="BK29" i="6" s="1"/>
  <c r="BL29" i="6" s="1"/>
  <c r="N77" i="6"/>
  <c r="O77" i="6" s="1"/>
  <c r="P77" i="6" s="1"/>
  <c r="Z58" i="6"/>
  <c r="AA58" i="6" s="1"/>
  <c r="AB58" i="6" s="1"/>
  <c r="BP22" i="6"/>
  <c r="BQ22" i="6" s="1"/>
  <c r="BR22" i="6" s="1"/>
  <c r="AF62" i="6"/>
  <c r="AG62" i="6" s="1"/>
  <c r="AH62" i="6" s="1"/>
  <c r="AX41" i="6"/>
  <c r="AY41" i="6" s="1"/>
  <c r="AZ41" i="6" s="1"/>
  <c r="DL41" i="6"/>
  <c r="DM41" i="6" s="1"/>
  <c r="DN41" i="6" s="1"/>
  <c r="DF64" i="6"/>
  <c r="DG64" i="6" s="1"/>
  <c r="DH64" i="6" s="1"/>
  <c r="DL89" i="6"/>
  <c r="DM89" i="6" s="1"/>
  <c r="DN89" i="6" s="1"/>
  <c r="FH47" i="6"/>
  <c r="FI47" i="6" s="1"/>
  <c r="FJ47" i="6" s="1"/>
  <c r="T35" i="6"/>
  <c r="U35" i="6" s="1"/>
  <c r="V35" i="6" s="1"/>
  <c r="CN21" i="6"/>
  <c r="CO21" i="6" s="1"/>
  <c r="CP21" i="6" s="1"/>
  <c r="CN29" i="6"/>
  <c r="CO29" i="6" s="1"/>
  <c r="CP29" i="6" s="1"/>
  <c r="DX77" i="6"/>
  <c r="DY77" i="6" s="1"/>
  <c r="DZ77" i="6" s="1"/>
  <c r="DR58" i="6"/>
  <c r="DS58" i="6" s="1"/>
  <c r="DT58" i="6" s="1"/>
  <c r="ED28" i="6"/>
  <c r="EE28" i="6" s="1"/>
  <c r="EF28" i="6" s="1"/>
  <c r="BD42" i="6"/>
  <c r="BE42" i="6" s="1"/>
  <c r="BF42" i="6" s="1"/>
  <c r="CZ22" i="6"/>
  <c r="DA22" i="6" s="1"/>
  <c r="DB22" i="6" s="1"/>
  <c r="ED17" i="6"/>
  <c r="EE17" i="6" s="1"/>
  <c r="EF17" i="6" s="1"/>
  <c r="H61" i="6"/>
  <c r="I61" i="6" s="1"/>
  <c r="J61" i="6" s="1"/>
  <c r="ED61" i="6"/>
  <c r="EE61" i="6" s="1"/>
  <c r="EF61" i="6" s="1"/>
  <c r="EJ61" i="6"/>
  <c r="EK61" i="6" s="1"/>
  <c r="EL61" i="6" s="1"/>
  <c r="AX48" i="6"/>
  <c r="AY48" i="6" s="1"/>
  <c r="AZ48" i="6" s="1"/>
  <c r="BJ48" i="6"/>
  <c r="BK48" i="6" s="1"/>
  <c r="BL48" i="6" s="1"/>
  <c r="AF48" i="6"/>
  <c r="AG48" i="6" s="1"/>
  <c r="AH48" i="6" s="1"/>
  <c r="FH48" i="6"/>
  <c r="FI48" i="6" s="1"/>
  <c r="FJ48" i="6" s="1"/>
  <c r="T65" i="6"/>
  <c r="U65" i="6" s="1"/>
  <c r="V65" i="6" s="1"/>
  <c r="DX65" i="6"/>
  <c r="DY65" i="6" s="1"/>
  <c r="DZ65" i="6" s="1"/>
  <c r="CB40" i="6"/>
  <c r="CC40" i="6" s="1"/>
  <c r="CD40" i="6" s="1"/>
  <c r="BJ40" i="6"/>
  <c r="BK40" i="6" s="1"/>
  <c r="BL40" i="6" s="1"/>
  <c r="AF40" i="6"/>
  <c r="AG40" i="6" s="1"/>
  <c r="AH40" i="6" s="1"/>
  <c r="FN40" i="6"/>
  <c r="FO40" i="6" s="1"/>
  <c r="FP40" i="6" s="1"/>
  <c r="N43" i="6"/>
  <c r="O43" i="6" s="1"/>
  <c r="P43" i="6" s="1"/>
  <c r="AF43" i="6"/>
  <c r="AG43" i="6" s="1"/>
  <c r="AH43" i="6" s="1"/>
  <c r="EP43" i="6"/>
  <c r="EQ43" i="6" s="1"/>
  <c r="ER43" i="6" s="1"/>
  <c r="FH43" i="6"/>
  <c r="FI43" i="6" s="1"/>
  <c r="FJ43" i="6" s="1"/>
  <c r="AL31" i="6"/>
  <c r="AM31" i="6" s="1"/>
  <c r="AN31" i="6" s="1"/>
  <c r="FN31" i="6"/>
  <c r="FO31" i="6" s="1"/>
  <c r="FP31" i="6" s="1"/>
  <c r="CT31" i="6"/>
  <c r="CU31" i="6" s="1"/>
  <c r="CV31" i="6" s="1"/>
  <c r="FZ31" i="6"/>
  <c r="GA31" i="6" s="1"/>
  <c r="GB31" i="6" s="1"/>
  <c r="BJ73" i="6"/>
  <c r="BK73" i="6" s="1"/>
  <c r="BL73" i="6" s="1"/>
  <c r="CH73" i="6"/>
  <c r="CI73" i="6" s="1"/>
  <c r="CJ73" i="6" s="1"/>
  <c r="FB73" i="6"/>
  <c r="FC73" i="6" s="1"/>
  <c r="FD73" i="6" s="1"/>
  <c r="GF73" i="6"/>
  <c r="GG73" i="6" s="1"/>
  <c r="GH73" i="6" s="1"/>
  <c r="Z57" i="6"/>
  <c r="AA57" i="6" s="1"/>
  <c r="AB57" i="6" s="1"/>
  <c r="CT57" i="6"/>
  <c r="CU57" i="6" s="1"/>
  <c r="CV57" i="6" s="1"/>
  <c r="CZ57" i="6"/>
  <c r="DA57" i="6" s="1"/>
  <c r="DB57" i="6" s="1"/>
  <c r="GF57" i="6"/>
  <c r="GG57" i="6" s="1"/>
  <c r="GH57" i="6" s="1"/>
  <c r="BP15" i="6"/>
  <c r="BQ15" i="6" s="1"/>
  <c r="BR15" i="6" s="1"/>
  <c r="T15" i="6"/>
  <c r="U15" i="6" s="1"/>
  <c r="V15" i="6" s="1"/>
  <c r="CZ15" i="6"/>
  <c r="DA15" i="6" s="1"/>
  <c r="DB15" i="6" s="1"/>
  <c r="N67" i="6"/>
  <c r="O67" i="6" s="1"/>
  <c r="P67" i="6" s="1"/>
  <c r="AL67" i="6"/>
  <c r="AM67" i="6" s="1"/>
  <c r="AN67" i="6" s="1"/>
  <c r="DF67" i="6"/>
  <c r="DG67" i="6" s="1"/>
  <c r="DH67" i="6" s="1"/>
  <c r="FH67" i="6"/>
  <c r="FI67" i="6" s="1"/>
  <c r="FJ67" i="6" s="1"/>
  <c r="CB24" i="6"/>
  <c r="CC24" i="6" s="1"/>
  <c r="CD24" i="6" s="1"/>
  <c r="CT24" i="6"/>
  <c r="CU24" i="6" s="1"/>
  <c r="CV24" i="6" s="1"/>
  <c r="CZ24" i="6"/>
  <c r="DA24" i="6" s="1"/>
  <c r="DB24" i="6" s="1"/>
  <c r="DL24" i="6"/>
  <c r="DM24" i="6" s="1"/>
  <c r="DN24" i="6" s="1"/>
  <c r="BP106" i="6"/>
  <c r="BQ106" i="6" s="1"/>
  <c r="BR106" i="6" s="1"/>
  <c r="AL106" i="6"/>
  <c r="AM106" i="6" s="1"/>
  <c r="AN106" i="6" s="1"/>
  <c r="AF106" i="6"/>
  <c r="AG106" i="6" s="1"/>
  <c r="AH106" i="6" s="1"/>
  <c r="EV106" i="6"/>
  <c r="EW106" i="6" s="1"/>
  <c r="EX106" i="6" s="1"/>
  <c r="BP97" i="6"/>
  <c r="BQ97" i="6" s="1"/>
  <c r="BR97" i="6" s="1"/>
  <c r="AF97" i="6"/>
  <c r="AG97" i="6" s="1"/>
  <c r="AH97" i="6" s="1"/>
  <c r="FN97" i="6"/>
  <c r="FO97" i="6" s="1"/>
  <c r="FP97" i="6" s="1"/>
  <c r="FH97" i="6"/>
  <c r="FI97" i="6" s="1"/>
  <c r="FJ97" i="6" s="1"/>
  <c r="AL96" i="6"/>
  <c r="AM96" i="6" s="1"/>
  <c r="AN96" i="6" s="1"/>
  <c r="CZ96" i="6"/>
  <c r="DA96" i="6" s="1"/>
  <c r="DB96" i="6" s="1"/>
  <c r="ED96" i="6"/>
  <c r="EE96" i="6" s="1"/>
  <c r="EF96" i="6" s="1"/>
  <c r="FN96" i="6"/>
  <c r="FO96" i="6" s="1"/>
  <c r="FP96" i="6" s="1"/>
  <c r="AL84" i="6"/>
  <c r="AM84" i="6" s="1"/>
  <c r="AN84" i="6" s="1"/>
  <c r="EV84" i="6"/>
  <c r="EW84" i="6" s="1"/>
  <c r="EX84" i="6" s="1"/>
  <c r="DX84" i="6"/>
  <c r="DY84" i="6" s="1"/>
  <c r="DZ84" i="6" s="1"/>
  <c r="FZ84" i="6"/>
  <c r="GA84" i="6" s="1"/>
  <c r="GB84" i="6" s="1"/>
  <c r="T59" i="6"/>
  <c r="U59" i="6" s="1"/>
  <c r="V59" i="6" s="1"/>
  <c r="CT59" i="6"/>
  <c r="CU59" i="6" s="1"/>
  <c r="CV59" i="6" s="1"/>
  <c r="FN59" i="6"/>
  <c r="FO59" i="6" s="1"/>
  <c r="FP59" i="6" s="1"/>
  <c r="EV59" i="6"/>
  <c r="EW59" i="6" s="1"/>
  <c r="EX59" i="6" s="1"/>
  <c r="N107" i="6"/>
  <c r="O107" i="6" s="1"/>
  <c r="P107" i="6" s="1"/>
  <c r="CZ107" i="6"/>
  <c r="DA107" i="6" s="1"/>
  <c r="DB107" i="6" s="1"/>
  <c r="DF107" i="6"/>
  <c r="DG107" i="6" s="1"/>
  <c r="DH107" i="6" s="1"/>
  <c r="EP107" i="6"/>
  <c r="EQ107" i="6" s="1"/>
  <c r="ER107" i="6" s="1"/>
  <c r="AX23" i="6"/>
  <c r="AY23" i="6" s="1"/>
  <c r="AZ23" i="6" s="1"/>
  <c r="BD23" i="6"/>
  <c r="BE23" i="6" s="1"/>
  <c r="BF23" i="6" s="1"/>
  <c r="CT23" i="6"/>
  <c r="CU23" i="6" s="1"/>
  <c r="CV23" i="6" s="1"/>
  <c r="GF23" i="6"/>
  <c r="GG23" i="6" s="1"/>
  <c r="GH23" i="6" s="1"/>
  <c r="AR108" i="6"/>
  <c r="AS108" i="6" s="1"/>
  <c r="AT108" i="6" s="1"/>
  <c r="DF108" i="6"/>
  <c r="DG108" i="6" s="1"/>
  <c r="DH108" i="6" s="1"/>
  <c r="DR108" i="6"/>
  <c r="DS108" i="6" s="1"/>
  <c r="DT108" i="6" s="1"/>
  <c r="Z50" i="6"/>
  <c r="AA50" i="6" s="1"/>
  <c r="AB50" i="6" s="1"/>
  <c r="BD50" i="6"/>
  <c r="BE50" i="6" s="1"/>
  <c r="BF50" i="6" s="1"/>
  <c r="CT50" i="6"/>
  <c r="CU50" i="6" s="1"/>
  <c r="CV50" i="6" s="1"/>
  <c r="EP50" i="6"/>
  <c r="EQ50" i="6" s="1"/>
  <c r="ER50" i="6" s="1"/>
  <c r="H38" i="6"/>
  <c r="I38" i="6" s="1"/>
  <c r="J38" i="6" s="1"/>
  <c r="BJ38" i="6"/>
  <c r="BK38" i="6" s="1"/>
  <c r="BL38" i="6" s="1"/>
  <c r="DR38" i="6"/>
  <c r="DS38" i="6" s="1"/>
  <c r="DT38" i="6" s="1"/>
  <c r="FN38" i="6"/>
  <c r="FO38" i="6" s="1"/>
  <c r="FP38" i="6" s="1"/>
  <c r="N34" i="6"/>
  <c r="O34" i="6" s="1"/>
  <c r="P34" i="6" s="1"/>
  <c r="DL34" i="6"/>
  <c r="DM34" i="6" s="1"/>
  <c r="DN34" i="6" s="1"/>
  <c r="EV34" i="6"/>
  <c r="EW34" i="6" s="1"/>
  <c r="EX34" i="6" s="1"/>
  <c r="Z14" i="6"/>
  <c r="AA14" i="6" s="1"/>
  <c r="AB14" i="6" s="1"/>
  <c r="AR14" i="6"/>
  <c r="AS14" i="6" s="1"/>
  <c r="AT14" i="6" s="1"/>
  <c r="DF14" i="6"/>
  <c r="DG14" i="6" s="1"/>
  <c r="DH14" i="6" s="1"/>
  <c r="GL14" i="6"/>
  <c r="GM14" i="6" s="1"/>
  <c r="GN14" i="6" s="1"/>
  <c r="H101" i="6"/>
  <c r="I101" i="6" s="1"/>
  <c r="J101" i="6" s="1"/>
  <c r="AR101" i="6"/>
  <c r="AS101" i="6" s="1"/>
  <c r="AT101" i="6" s="1"/>
  <c r="DR101" i="6"/>
  <c r="DS101" i="6" s="1"/>
  <c r="DT101" i="6" s="1"/>
  <c r="FH101" i="6"/>
  <c r="FI101" i="6" s="1"/>
  <c r="FJ101" i="6" s="1"/>
  <c r="AX32" i="6"/>
  <c r="AY32" i="6" s="1"/>
  <c r="AZ32" i="6" s="1"/>
  <c r="H32" i="6"/>
  <c r="I32" i="6" s="1"/>
  <c r="J32" i="6" s="1"/>
  <c r="CN32" i="6"/>
  <c r="CO32" i="6" s="1"/>
  <c r="CP32" i="6" s="1"/>
  <c r="FB32" i="6"/>
  <c r="FC32" i="6" s="1"/>
  <c r="FD32" i="6" s="1"/>
  <c r="BP102" i="6"/>
  <c r="BQ102" i="6" s="1"/>
  <c r="BR102" i="6" s="1"/>
  <c r="T102" i="6"/>
  <c r="U102" i="6" s="1"/>
  <c r="V102" i="6" s="1"/>
  <c r="FB102" i="6"/>
  <c r="FC102" i="6" s="1"/>
  <c r="FD102" i="6" s="1"/>
  <c r="BJ82" i="6"/>
  <c r="BK82" i="6" s="1"/>
  <c r="BL82" i="6" s="1"/>
  <c r="FB82" i="6"/>
  <c r="FC82" i="6" s="1"/>
  <c r="FD82" i="6" s="1"/>
  <c r="CN82" i="6"/>
  <c r="CO82" i="6" s="1"/>
  <c r="CP82" i="6" s="1"/>
  <c r="N66" i="6"/>
  <c r="O66" i="6" s="1"/>
  <c r="P66" i="6" s="1"/>
  <c r="CH66" i="6"/>
  <c r="CI66" i="6" s="1"/>
  <c r="CJ66" i="6" s="1"/>
  <c r="DL66" i="6"/>
  <c r="DM66" i="6" s="1"/>
  <c r="DN66" i="6" s="1"/>
  <c r="FH66" i="6"/>
  <c r="FI66" i="6" s="1"/>
  <c r="FJ66" i="6" s="1"/>
  <c r="AL27" i="6"/>
  <c r="AM27" i="6" s="1"/>
  <c r="AN27" i="6" s="1"/>
  <c r="BD27" i="6"/>
  <c r="BE27" i="6" s="1"/>
  <c r="BF27" i="6" s="1"/>
  <c r="FH27" i="6"/>
  <c r="FI27" i="6" s="1"/>
  <c r="FJ27" i="6" s="1"/>
  <c r="H18" i="6"/>
  <c r="I18" i="6" s="1"/>
  <c r="J18" i="6" s="1"/>
  <c r="AF18" i="6"/>
  <c r="AG18" i="6" s="1"/>
  <c r="AH18" i="6" s="1"/>
  <c r="CT18" i="6"/>
  <c r="CU18" i="6" s="1"/>
  <c r="CV18" i="6" s="1"/>
  <c r="FH18" i="6"/>
  <c r="FI18" i="6" s="1"/>
  <c r="FJ18" i="6" s="1"/>
  <c r="AX51" i="6"/>
  <c r="AY51" i="6" s="1"/>
  <c r="AZ51" i="6" s="1"/>
  <c r="T51" i="6"/>
  <c r="U51" i="6" s="1"/>
  <c r="V51" i="6" s="1"/>
  <c r="AF51" i="6"/>
  <c r="AG51" i="6" s="1"/>
  <c r="AH51" i="6" s="1"/>
  <c r="DR51" i="6"/>
  <c r="DS51" i="6" s="1"/>
  <c r="DT51" i="6" s="1"/>
  <c r="CB25" i="6"/>
  <c r="CC25" i="6" s="1"/>
  <c r="CD25" i="6" s="1"/>
  <c r="CH25" i="6"/>
  <c r="CI25" i="6" s="1"/>
  <c r="CJ25" i="6" s="1"/>
  <c r="CN25" i="6"/>
  <c r="CO25" i="6" s="1"/>
  <c r="CP25" i="6" s="1"/>
  <c r="DX25" i="6"/>
  <c r="DY25" i="6" s="1"/>
  <c r="DZ25" i="6" s="1"/>
  <c r="BV11" i="6"/>
  <c r="BW11" i="6" s="1"/>
  <c r="BX11" i="6" s="1"/>
  <c r="CZ11" i="6"/>
  <c r="DA11" i="6" s="1"/>
  <c r="DB11" i="6" s="1"/>
  <c r="EV11" i="6"/>
  <c r="EW11" i="6" s="1"/>
  <c r="EX11" i="6" s="1"/>
  <c r="H76" i="6"/>
  <c r="I76" i="6" s="1"/>
  <c r="J76" i="6" s="1"/>
  <c r="DX76" i="6"/>
  <c r="DY76" i="6" s="1"/>
  <c r="DZ76" i="6" s="1"/>
  <c r="Z85" i="6"/>
  <c r="AA85" i="6" s="1"/>
  <c r="AB85" i="6" s="1"/>
  <c r="EP85" i="6"/>
  <c r="EQ85" i="6" s="1"/>
  <c r="ER85" i="6" s="1"/>
  <c r="ED85" i="6"/>
  <c r="EE85" i="6" s="1"/>
  <c r="EF85" i="6" s="1"/>
  <c r="FB85" i="6"/>
  <c r="FC85" i="6" s="1"/>
  <c r="FD85" i="6" s="1"/>
  <c r="H49" i="6"/>
  <c r="I49" i="6" s="1"/>
  <c r="J49" i="6" s="1"/>
  <c r="CH49" i="6"/>
  <c r="CI49" i="6" s="1"/>
  <c r="CJ49" i="6" s="1"/>
  <c r="EV49" i="6"/>
  <c r="EW49" i="6" s="1"/>
  <c r="EX49" i="6" s="1"/>
  <c r="FZ49" i="6"/>
  <c r="GA49" i="6" s="1"/>
  <c r="GB49" i="6" s="1"/>
  <c r="AX60" i="6"/>
  <c r="AY60" i="6" s="1"/>
  <c r="AZ60" i="6" s="1"/>
  <c r="EV60" i="6"/>
  <c r="EW60" i="6" s="1"/>
  <c r="EX60" i="6" s="1"/>
  <c r="FB60" i="6"/>
  <c r="FC60" i="6" s="1"/>
  <c r="FD60" i="6" s="1"/>
  <c r="AL81" i="6"/>
  <c r="AM81" i="6" s="1"/>
  <c r="AN81" i="6" s="1"/>
  <c r="BP81" i="6"/>
  <c r="BQ81" i="6" s="1"/>
  <c r="BR81" i="6" s="1"/>
  <c r="DL81" i="6"/>
  <c r="DM81" i="6" s="1"/>
  <c r="DN81" i="6" s="1"/>
  <c r="FB81" i="6"/>
  <c r="FC81" i="6" s="1"/>
  <c r="FD81" i="6" s="1"/>
  <c r="AX75" i="6"/>
  <c r="AY75" i="6" s="1"/>
  <c r="AZ75" i="6" s="1"/>
  <c r="T75" i="6"/>
  <c r="U75" i="6" s="1"/>
  <c r="V75" i="6" s="1"/>
  <c r="BD75" i="6"/>
  <c r="BE75" i="6" s="1"/>
  <c r="BF75" i="6" s="1"/>
  <c r="FB75" i="6"/>
  <c r="FC75" i="6" s="1"/>
  <c r="FD75" i="6" s="1"/>
  <c r="BP100" i="6"/>
  <c r="BQ100" i="6" s="1"/>
  <c r="BR100" i="6" s="1"/>
  <c r="CZ100" i="6"/>
  <c r="DA100" i="6" s="1"/>
  <c r="DB100" i="6" s="1"/>
  <c r="DX100" i="6"/>
  <c r="DY100" i="6" s="1"/>
  <c r="DZ100" i="6" s="1"/>
  <c r="FB100" i="6"/>
  <c r="FC100" i="6" s="1"/>
  <c r="FD100" i="6" s="1"/>
  <c r="AL78" i="6"/>
  <c r="AM78" i="6" s="1"/>
  <c r="AN78" i="6" s="1"/>
  <c r="T78" i="6"/>
  <c r="U78" i="6" s="1"/>
  <c r="V78" i="6" s="1"/>
  <c r="FB78" i="6"/>
  <c r="FC78" i="6" s="1"/>
  <c r="FD78" i="6" s="1"/>
  <c r="BJ26" i="6"/>
  <c r="BK26" i="6" s="1"/>
  <c r="BL26" i="6" s="1"/>
  <c r="DL26" i="6"/>
  <c r="DM26" i="6" s="1"/>
  <c r="DN26" i="6" s="1"/>
  <c r="GF52" i="6"/>
  <c r="GG52" i="6" s="1"/>
  <c r="GH52" i="6" s="1"/>
  <c r="CB19" i="6"/>
  <c r="CC19" i="6" s="1"/>
  <c r="CD19" i="6" s="1"/>
  <c r="BD19" i="6"/>
  <c r="BE19" i="6" s="1"/>
  <c r="BF19" i="6" s="1"/>
  <c r="DR19" i="6"/>
  <c r="DS19" i="6" s="1"/>
  <c r="DT19" i="6" s="1"/>
  <c r="FB20" i="6"/>
  <c r="FC20" i="6" s="1"/>
  <c r="FD20" i="6" s="1"/>
  <c r="GF20" i="6"/>
  <c r="GG20" i="6" s="1"/>
  <c r="GH20" i="6" s="1"/>
  <c r="H99" i="6"/>
  <c r="I99" i="6" s="1"/>
  <c r="J99" i="6" s="1"/>
  <c r="DR99" i="6"/>
  <c r="DS99" i="6" s="1"/>
  <c r="DT99" i="6" s="1"/>
  <c r="H45" i="6"/>
  <c r="I45" i="6" s="1"/>
  <c r="J45" i="6" s="1"/>
  <c r="DX45" i="6"/>
  <c r="DY45" i="6" s="1"/>
  <c r="DZ45" i="6" s="1"/>
  <c r="EV45" i="6"/>
  <c r="EW45" i="6" s="1"/>
  <c r="EX45" i="6" s="1"/>
  <c r="AX44" i="6"/>
  <c r="AY44" i="6" s="1"/>
  <c r="AZ44" i="6" s="1"/>
  <c r="T44" i="6"/>
  <c r="U44" i="6" s="1"/>
  <c r="V44" i="6" s="1"/>
  <c r="GF44" i="6"/>
  <c r="GG44" i="6" s="1"/>
  <c r="GH44" i="6" s="1"/>
  <c r="AX36" i="6"/>
  <c r="AY36" i="6" s="1"/>
  <c r="AZ36" i="6" s="1"/>
  <c r="AR36" i="6"/>
  <c r="AS36" i="6" s="1"/>
  <c r="AT36" i="6" s="1"/>
  <c r="AF36" i="6"/>
  <c r="AG36" i="6" s="1"/>
  <c r="AH36" i="6" s="1"/>
  <c r="AL70" i="6"/>
  <c r="AM70" i="6" s="1"/>
  <c r="AN70" i="6" s="1"/>
  <c r="CT70" i="6"/>
  <c r="CU70" i="6" s="1"/>
  <c r="CV70" i="6" s="1"/>
  <c r="FB70" i="6"/>
  <c r="FC70" i="6" s="1"/>
  <c r="FD70" i="6" s="1"/>
  <c r="FZ70" i="6"/>
  <c r="GA70" i="6" s="1"/>
  <c r="GB70" i="6" s="1"/>
  <c r="H93" i="6"/>
  <c r="I93" i="6" s="1"/>
  <c r="J93" i="6" s="1"/>
  <c r="FZ93" i="6"/>
  <c r="GA93" i="6" s="1"/>
  <c r="GB93" i="6" s="1"/>
  <c r="Z74" i="6"/>
  <c r="AA74" i="6" s="1"/>
  <c r="AB74" i="6" s="1"/>
  <c r="DR74" i="6"/>
  <c r="DS74" i="6" s="1"/>
  <c r="DT74" i="6" s="1"/>
  <c r="DL74" i="6"/>
  <c r="DM74" i="6" s="1"/>
  <c r="DN74" i="6" s="1"/>
  <c r="EV74" i="6"/>
  <c r="EW74" i="6" s="1"/>
  <c r="EX74" i="6" s="1"/>
  <c r="N83" i="6"/>
  <c r="O83" i="6" s="1"/>
  <c r="P83" i="6" s="1"/>
  <c r="FZ83" i="6"/>
  <c r="GA83" i="6" s="1"/>
  <c r="GB83" i="6" s="1"/>
  <c r="CZ69" i="6"/>
  <c r="DA69" i="6" s="1"/>
  <c r="DB69" i="6" s="1"/>
  <c r="BV37" i="6"/>
  <c r="BW37" i="6" s="1"/>
  <c r="BX37" i="6" s="1"/>
  <c r="AF55" i="6"/>
  <c r="AG55" i="6" s="1"/>
  <c r="AH55" i="6" s="1"/>
  <c r="GF55" i="6"/>
  <c r="GG55" i="6" s="1"/>
  <c r="GH55" i="6" s="1"/>
  <c r="BD13" i="6"/>
  <c r="BE13" i="6" s="1"/>
  <c r="BF13" i="6" s="1"/>
  <c r="EV13" i="6"/>
  <c r="EW13" i="6" s="1"/>
  <c r="EX13" i="6" s="1"/>
  <c r="ED13" i="6"/>
  <c r="EE13" i="6" s="1"/>
  <c r="EF13" i="6" s="1"/>
  <c r="BJ98" i="6"/>
  <c r="BK98" i="6" s="1"/>
  <c r="BL98" i="6" s="1"/>
  <c r="CH53" i="6"/>
  <c r="CI53" i="6" s="1"/>
  <c r="CJ53" i="6" s="1"/>
  <c r="GF53" i="6"/>
  <c r="GG53" i="6" s="1"/>
  <c r="GH53" i="6" s="1"/>
  <c r="H105" i="6"/>
  <c r="I105" i="6" s="1"/>
  <c r="J105" i="6" s="1"/>
  <c r="GF54" i="6"/>
  <c r="GG54" i="6" s="1"/>
  <c r="GH54" i="6" s="1"/>
  <c r="H92" i="6"/>
  <c r="I92" i="6" s="1"/>
  <c r="J92" i="6" s="1"/>
  <c r="Z86" i="6"/>
  <c r="AA86" i="6" s="1"/>
  <c r="AB86" i="6" s="1"/>
  <c r="DR86" i="6"/>
  <c r="DS86" i="6" s="1"/>
  <c r="DT86" i="6" s="1"/>
  <c r="BD30" i="6"/>
  <c r="BE30" i="6" s="1"/>
  <c r="BF30" i="6" s="1"/>
  <c r="DR30" i="6"/>
  <c r="DS30" i="6" s="1"/>
  <c r="DT30" i="6" s="1"/>
  <c r="CZ46" i="6"/>
  <c r="DA46" i="6" s="1"/>
  <c r="DB46" i="6" s="1"/>
  <c r="GF46" i="6"/>
  <c r="GG46" i="6" s="1"/>
  <c r="GH46" i="6" s="1"/>
  <c r="GD39" i="6" l="1"/>
  <c r="GE39" i="6" s="1"/>
  <c r="GF39" i="6" s="1"/>
  <c r="GG39" i="6" s="1"/>
  <c r="GH39" i="6" s="1"/>
  <c r="CR39" i="6"/>
  <c r="CS39" i="6" s="1"/>
  <c r="CT39" i="6" s="1"/>
  <c r="CU39" i="6" s="1"/>
  <c r="CV39" i="6" s="1"/>
  <c r="EH39" i="6"/>
  <c r="EI39" i="6" s="1"/>
  <c r="EJ39" i="6" s="1"/>
  <c r="EK39" i="6" s="1"/>
  <c r="EL39" i="6" s="1"/>
  <c r="BB39" i="6"/>
  <c r="BC39" i="6" s="1"/>
  <c r="BD39" i="6" s="1"/>
  <c r="BE39" i="6" s="1"/>
  <c r="BF39" i="6" s="1"/>
  <c r="GJ39" i="6"/>
  <c r="GK39" i="6" s="1"/>
  <c r="GL39" i="6" s="1"/>
  <c r="GM39" i="6" s="1"/>
  <c r="GN39" i="6" s="1"/>
  <c r="ET39" i="6"/>
  <c r="EU39" i="6" s="1"/>
  <c r="EV39" i="6" s="1"/>
  <c r="EW39" i="6" s="1"/>
  <c r="EX39" i="6" s="1"/>
  <c r="CL39" i="6"/>
  <c r="CM39" i="6" s="1"/>
  <c r="CN39" i="6" s="1"/>
  <c r="CO39" i="6" s="1"/>
  <c r="CP39" i="6" s="1"/>
  <c r="X39" i="6"/>
  <c r="Y39" i="6" s="1"/>
  <c r="Z39" i="6" s="1"/>
  <c r="AA39" i="6" s="1"/>
  <c r="AB39" i="6" s="1"/>
  <c r="FX39" i="6"/>
  <c r="FY39" i="6" s="1"/>
  <c r="FZ39" i="6" s="1"/>
  <c r="GA39" i="6" s="1"/>
  <c r="GB39" i="6" s="1"/>
  <c r="DJ39" i="6"/>
  <c r="DK39" i="6" s="1"/>
  <c r="DL39" i="6" s="1"/>
  <c r="DM39" i="6" s="1"/>
  <c r="DN39" i="6" s="1"/>
  <c r="CF39" i="6"/>
  <c r="CG39" i="6" s="1"/>
  <c r="CH39" i="6" s="1"/>
  <c r="CI39" i="6" s="1"/>
  <c r="CJ39" i="6" s="1"/>
  <c r="BN39" i="6"/>
  <c r="BO39" i="6" s="1"/>
  <c r="BP39" i="6" s="1"/>
  <c r="BQ39" i="6" s="1"/>
  <c r="BR39" i="6" s="1"/>
  <c r="EN39" i="6"/>
  <c r="EO39" i="6" s="1"/>
  <c r="EP39" i="6" s="1"/>
  <c r="EQ39" i="6" s="1"/>
  <c r="ER39" i="6" s="1"/>
  <c r="CX39" i="6"/>
  <c r="CY39" i="6" s="1"/>
  <c r="CZ39" i="6" s="1"/>
  <c r="DA39" i="6" s="1"/>
  <c r="DB39" i="6" s="1"/>
  <c r="AP39" i="6"/>
  <c r="AQ39" i="6" s="1"/>
  <c r="AR39" i="6" s="1"/>
  <c r="AS39" i="6" s="1"/>
  <c r="AT39" i="6" s="1"/>
  <c r="L39" i="6"/>
  <c r="M39" i="6" s="1"/>
  <c r="N39" i="6" s="1"/>
  <c r="O39" i="6" s="1"/>
  <c r="P39" i="6" s="1"/>
  <c r="DV39" i="6"/>
  <c r="DW39" i="6" s="1"/>
  <c r="DX39" i="6" s="1"/>
  <c r="DY39" i="6" s="1"/>
  <c r="DZ39" i="6" s="1"/>
  <c r="AD39" i="6"/>
  <c r="AE39" i="6" s="1"/>
  <c r="AF39" i="6" s="1"/>
  <c r="AG39" i="6" s="1"/>
  <c r="AH39" i="6" s="1"/>
  <c r="BH39" i="6"/>
  <c r="BI39" i="6" s="1"/>
  <c r="BJ39" i="6" s="1"/>
  <c r="BK39" i="6" s="1"/>
  <c r="BL39" i="6" s="1"/>
  <c r="F39" i="6"/>
  <c r="G39" i="6" s="1"/>
  <c r="H39" i="6" s="1"/>
  <c r="I39" i="6" s="1"/>
  <c r="J39" i="6" s="1"/>
  <c r="FF39" i="6"/>
  <c r="FG39" i="6" s="1"/>
  <c r="FH39" i="6" s="1"/>
  <c r="FI39" i="6" s="1"/>
  <c r="FJ39" i="6" s="1"/>
  <c r="EZ39" i="6"/>
  <c r="FA39" i="6" s="1"/>
  <c r="FB39" i="6" s="1"/>
  <c r="FC39" i="6" s="1"/>
  <c r="FD39" i="6" s="1"/>
  <c r="R39" i="6"/>
  <c r="S39" i="6" s="1"/>
  <c r="T39" i="6" s="1"/>
  <c r="U39" i="6" s="1"/>
  <c r="V39" i="6" s="1"/>
  <c r="AV39" i="6"/>
  <c r="AW39" i="6" s="1"/>
  <c r="AX39" i="6" s="1"/>
  <c r="AY39" i="6" s="1"/>
  <c r="AZ39" i="6" s="1"/>
  <c r="EB39" i="6"/>
  <c r="EC39" i="6" s="1"/>
  <c r="ED39" i="6" s="1"/>
  <c r="EE39" i="6" s="1"/>
  <c r="EF39" i="6" s="1"/>
  <c r="FL39" i="6"/>
  <c r="FM39" i="6" s="1"/>
  <c r="FN39" i="6" s="1"/>
  <c r="FO39" i="6" s="1"/>
  <c r="FP39" i="6" s="1"/>
  <c r="BT39" i="6"/>
  <c r="BU39" i="6" s="1"/>
  <c r="BV39" i="6" s="1"/>
  <c r="BW39" i="6" s="1"/>
  <c r="BX39" i="6" s="1"/>
  <c r="BZ39" i="6"/>
  <c r="CA39" i="6" s="1"/>
  <c r="CB39" i="6" s="1"/>
  <c r="CC39" i="6" s="1"/>
  <c r="CD39" i="6" s="1"/>
  <c r="DP39" i="6"/>
  <c r="DQ39" i="6" s="1"/>
  <c r="DR39" i="6" s="1"/>
  <c r="DS39" i="6" s="1"/>
  <c r="DT39" i="6" s="1"/>
  <c r="DD39" i="6"/>
  <c r="DE39" i="6" s="1"/>
  <c r="DF39" i="6" s="1"/>
  <c r="DG39" i="6" s="1"/>
  <c r="DH39" i="6" s="1"/>
  <c r="AJ39" i="6"/>
  <c r="AK39" i="6" s="1"/>
  <c r="AL39" i="6" s="1"/>
  <c r="AM39" i="6" s="1"/>
  <c r="AN39" i="6" s="1"/>
  <c r="EZ63" i="6"/>
  <c r="FA63" i="6" s="1"/>
  <c r="FB63" i="6" s="1"/>
  <c r="FC63" i="6" s="1"/>
  <c r="FD63" i="6" s="1"/>
  <c r="DP63" i="6"/>
  <c r="DQ63" i="6" s="1"/>
  <c r="DR63" i="6" s="1"/>
  <c r="DS63" i="6" s="1"/>
  <c r="DT63" i="6" s="1"/>
  <c r="DJ63" i="6"/>
  <c r="DK63" i="6" s="1"/>
  <c r="DL63" i="6" s="1"/>
  <c r="DM63" i="6" s="1"/>
  <c r="DN63" i="6" s="1"/>
  <c r="CX63" i="6"/>
  <c r="CY63" i="6" s="1"/>
  <c r="CZ63" i="6" s="1"/>
  <c r="DA63" i="6" s="1"/>
  <c r="DB63" i="6" s="1"/>
  <c r="EB63" i="6"/>
  <c r="EC63" i="6" s="1"/>
  <c r="ED63" i="6" s="1"/>
  <c r="EE63" i="6" s="1"/>
  <c r="EF63" i="6" s="1"/>
  <c r="BT63" i="6"/>
  <c r="BU63" i="6" s="1"/>
  <c r="BV63" i="6" s="1"/>
  <c r="BW63" i="6" s="1"/>
  <c r="BX63" i="6" s="1"/>
  <c r="CR63" i="6"/>
  <c r="CS63" i="6" s="1"/>
  <c r="CT63" i="6" s="1"/>
  <c r="CU63" i="6" s="1"/>
  <c r="CV63" i="6" s="1"/>
  <c r="BN63" i="6"/>
  <c r="BO63" i="6" s="1"/>
  <c r="BP63" i="6" s="1"/>
  <c r="BQ63" i="6" s="1"/>
  <c r="BR63" i="6" s="1"/>
  <c r="GD63" i="6"/>
  <c r="GE63" i="6" s="1"/>
  <c r="GF63" i="6" s="1"/>
  <c r="GG63" i="6" s="1"/>
  <c r="GH63" i="6" s="1"/>
  <c r="X63" i="6"/>
  <c r="Y63" i="6" s="1"/>
  <c r="Z63" i="6" s="1"/>
  <c r="AA63" i="6" s="1"/>
  <c r="AB63" i="6" s="1"/>
  <c r="DV63" i="6"/>
  <c r="DW63" i="6" s="1"/>
  <c r="DX63" i="6" s="1"/>
  <c r="DY63" i="6" s="1"/>
  <c r="DZ63" i="6" s="1"/>
  <c r="L63" i="6"/>
  <c r="M63" i="6" s="1"/>
  <c r="N63" i="6" s="1"/>
  <c r="O63" i="6" s="1"/>
  <c r="P63" i="6" s="1"/>
  <c r="DD63" i="6"/>
  <c r="DE63" i="6" s="1"/>
  <c r="DF63" i="6" s="1"/>
  <c r="DG63" i="6" s="1"/>
  <c r="DH63" i="6" s="1"/>
  <c r="BZ63" i="6"/>
  <c r="CA63" i="6" s="1"/>
  <c r="CB63" i="6" s="1"/>
  <c r="CC63" i="6" s="1"/>
  <c r="CD63" i="6" s="1"/>
  <c r="AD63" i="6"/>
  <c r="AE63" i="6" s="1"/>
  <c r="AF63" i="6" s="1"/>
  <c r="AG63" i="6" s="1"/>
  <c r="AH63" i="6" s="1"/>
  <c r="FF63" i="6"/>
  <c r="FG63" i="6" s="1"/>
  <c r="FH63" i="6" s="1"/>
  <c r="FI63" i="6" s="1"/>
  <c r="FJ63" i="6" s="1"/>
  <c r="R63" i="6"/>
  <c r="S63" i="6" s="1"/>
  <c r="T63" i="6" s="1"/>
  <c r="U63" i="6" s="1"/>
  <c r="V63" i="6" s="1"/>
  <c r="AD79" i="6"/>
  <c r="AE79" i="6" s="1"/>
  <c r="AF79" i="6" s="1"/>
  <c r="AG79" i="6" s="1"/>
  <c r="AH79" i="6" s="1"/>
  <c r="X79" i="6"/>
  <c r="Y79" i="6" s="1"/>
  <c r="Z79" i="6" s="1"/>
  <c r="AA79" i="6" s="1"/>
  <c r="AB79" i="6" s="1"/>
  <c r="GD79" i="6"/>
  <c r="GE79" i="6" s="1"/>
  <c r="GF79" i="6" s="1"/>
  <c r="GG79" i="6" s="1"/>
  <c r="GH79" i="6" s="1"/>
  <c r="EN79" i="6"/>
  <c r="EO79" i="6" s="1"/>
  <c r="EP79" i="6" s="1"/>
  <c r="EQ79" i="6" s="1"/>
  <c r="ER79" i="6" s="1"/>
  <c r="BZ79" i="6"/>
  <c r="CA79" i="6" s="1"/>
  <c r="CB79" i="6" s="1"/>
  <c r="CC79" i="6" s="1"/>
  <c r="CD79" i="6" s="1"/>
  <c r="FX79" i="6"/>
  <c r="FY79" i="6" s="1"/>
  <c r="FZ79" i="6" s="1"/>
  <c r="GA79" i="6" s="1"/>
  <c r="GB79" i="6" s="1"/>
  <c r="F79" i="6"/>
  <c r="G79" i="6" s="1"/>
  <c r="H79" i="6" s="1"/>
  <c r="I79" i="6" s="1"/>
  <c r="J79" i="6" s="1"/>
  <c r="R79" i="6"/>
  <c r="S79" i="6" s="1"/>
  <c r="T79" i="6" s="1"/>
  <c r="U79" i="6" s="1"/>
  <c r="V79" i="6" s="1"/>
  <c r="EB79" i="6"/>
  <c r="EC79" i="6" s="1"/>
  <c r="ED79" i="6" s="1"/>
  <c r="EE79" i="6" s="1"/>
  <c r="EF79" i="6" s="1"/>
  <c r="FF79" i="6"/>
  <c r="FG79" i="6" s="1"/>
  <c r="FH79" i="6" s="1"/>
  <c r="FI79" i="6" s="1"/>
  <c r="FJ79" i="6" s="1"/>
  <c r="DD79" i="6"/>
  <c r="DE79" i="6" s="1"/>
  <c r="DF79" i="6" s="1"/>
  <c r="DG79" i="6" s="1"/>
  <c r="DH79" i="6" s="1"/>
  <c r="BT79" i="6"/>
  <c r="BU79" i="6" s="1"/>
  <c r="BV79" i="6" s="1"/>
  <c r="BW79" i="6" s="1"/>
  <c r="BX79" i="6" s="1"/>
  <c r="CX79" i="6"/>
  <c r="CY79" i="6" s="1"/>
  <c r="CZ79" i="6" s="1"/>
  <c r="DA79" i="6" s="1"/>
  <c r="DB79" i="6" s="1"/>
  <c r="BN79" i="6"/>
  <c r="BO79" i="6" s="1"/>
  <c r="BP79" i="6" s="1"/>
  <c r="BQ79" i="6" s="1"/>
  <c r="BR79" i="6" s="1"/>
  <c r="DP79" i="6"/>
  <c r="DQ79" i="6" s="1"/>
  <c r="DR79" i="6" s="1"/>
  <c r="DS79" i="6" s="1"/>
  <c r="DT79" i="6" s="1"/>
  <c r="BH79" i="6"/>
  <c r="BI79" i="6" s="1"/>
  <c r="BJ79" i="6" s="1"/>
  <c r="BK79" i="6" s="1"/>
  <c r="BL79" i="6" s="1"/>
  <c r="ET79" i="6"/>
  <c r="EU79" i="6" s="1"/>
  <c r="EV79" i="6" s="1"/>
  <c r="EW79" i="6" s="1"/>
  <c r="EX79" i="6" s="1"/>
  <c r="CR79" i="6"/>
  <c r="CS79" i="6" s="1"/>
  <c r="CT79" i="6" s="1"/>
  <c r="CU79" i="6" s="1"/>
  <c r="CV79" i="6" s="1"/>
  <c r="L79" i="6"/>
  <c r="M79" i="6" s="1"/>
  <c r="N79" i="6" s="1"/>
  <c r="O79" i="6" s="1"/>
  <c r="P79" i="6" s="1"/>
  <c r="DV79" i="6"/>
  <c r="DW79" i="6" s="1"/>
  <c r="DX79" i="6" s="1"/>
  <c r="DY79" i="6" s="1"/>
  <c r="DZ79" i="6" s="1"/>
  <c r="BB79" i="6"/>
  <c r="BC79" i="6" s="1"/>
  <c r="BD79" i="6" s="1"/>
  <c r="BE79" i="6" s="1"/>
  <c r="BF79" i="6" s="1"/>
  <c r="AV79" i="6"/>
  <c r="AW79" i="6" s="1"/>
  <c r="AX79" i="6" s="1"/>
  <c r="AY79" i="6" s="1"/>
  <c r="AZ79" i="6" s="1"/>
  <c r="AD87" i="6"/>
  <c r="AE87" i="6" s="1"/>
  <c r="AF87" i="6" s="1"/>
  <c r="AG87" i="6" s="1"/>
  <c r="AH87" i="6" s="1"/>
  <c r="ET87" i="6"/>
  <c r="EU87" i="6" s="1"/>
  <c r="EV87" i="6" s="1"/>
  <c r="EW87" i="6" s="1"/>
  <c r="EX87" i="6" s="1"/>
  <c r="BH87" i="6"/>
  <c r="BI87" i="6" s="1"/>
  <c r="BJ87" i="6" s="1"/>
  <c r="BK87" i="6" s="1"/>
  <c r="BL87" i="6" s="1"/>
  <c r="F87" i="6"/>
  <c r="G87" i="6" s="1"/>
  <c r="H87" i="6" s="1"/>
  <c r="I87" i="6" s="1"/>
  <c r="J87" i="6" s="1"/>
  <c r="DJ87" i="6"/>
  <c r="DK87" i="6" s="1"/>
  <c r="DL87" i="6" s="1"/>
  <c r="DM87" i="6" s="1"/>
  <c r="DN87" i="6" s="1"/>
  <c r="CR87" i="6"/>
  <c r="CS87" i="6" s="1"/>
  <c r="CT87" i="6" s="1"/>
  <c r="CU87" i="6" s="1"/>
  <c r="CV87" i="6" s="1"/>
  <c r="EZ87" i="6"/>
  <c r="FA87" i="6" s="1"/>
  <c r="FB87" i="6" s="1"/>
  <c r="FC87" i="6" s="1"/>
  <c r="FD87" i="6" s="1"/>
  <c r="L87" i="6"/>
  <c r="M87" i="6" s="1"/>
  <c r="N87" i="6" s="1"/>
  <c r="O87" i="6" s="1"/>
  <c r="P87" i="6" s="1"/>
  <c r="FX87" i="6"/>
  <c r="FY87" i="6" s="1"/>
  <c r="FZ87" i="6" s="1"/>
  <c r="GA87" i="6" s="1"/>
  <c r="GB87" i="6" s="1"/>
  <c r="BZ87" i="6"/>
  <c r="CA87" i="6" s="1"/>
  <c r="CB87" i="6" s="1"/>
  <c r="CC87" i="6" s="1"/>
  <c r="CD87" i="6" s="1"/>
  <c r="FF87" i="6"/>
  <c r="FG87" i="6" s="1"/>
  <c r="FH87" i="6" s="1"/>
  <c r="FI87" i="6" s="1"/>
  <c r="FJ87" i="6" s="1"/>
  <c r="DD87" i="6"/>
  <c r="DE87" i="6" s="1"/>
  <c r="DF87" i="6" s="1"/>
  <c r="DG87" i="6" s="1"/>
  <c r="DH87" i="6" s="1"/>
  <c r="CX87" i="6"/>
  <c r="CY87" i="6" s="1"/>
  <c r="CZ87" i="6" s="1"/>
  <c r="DA87" i="6" s="1"/>
  <c r="DB87" i="6" s="1"/>
  <c r="BT87" i="6"/>
  <c r="BU87" i="6" s="1"/>
  <c r="BV87" i="6" s="1"/>
  <c r="BW87" i="6" s="1"/>
  <c r="BX87" i="6" s="1"/>
  <c r="EB103" i="6"/>
  <c r="EC103" i="6" s="1"/>
  <c r="ED103" i="6" s="1"/>
  <c r="EE103" i="6" s="1"/>
  <c r="EF103" i="6" s="1"/>
  <c r="BB103" i="6"/>
  <c r="BC103" i="6" s="1"/>
  <c r="BD103" i="6" s="1"/>
  <c r="BE103" i="6" s="1"/>
  <c r="BF103" i="6" s="1"/>
  <c r="AP103" i="6"/>
  <c r="AQ103" i="6" s="1"/>
  <c r="AR103" i="6" s="1"/>
  <c r="AS103" i="6" s="1"/>
  <c r="AT103" i="6" s="1"/>
  <c r="BN103" i="6"/>
  <c r="BO103" i="6" s="1"/>
  <c r="BP103" i="6" s="1"/>
  <c r="BQ103" i="6" s="1"/>
  <c r="BR103" i="6" s="1"/>
  <c r="DJ103" i="6"/>
  <c r="DK103" i="6" s="1"/>
  <c r="DL103" i="6" s="1"/>
  <c r="DM103" i="6" s="1"/>
  <c r="DN103" i="6" s="1"/>
  <c r="CX103" i="6"/>
  <c r="CY103" i="6" s="1"/>
  <c r="CZ103" i="6" s="1"/>
  <c r="DA103" i="6" s="1"/>
  <c r="DB103" i="6" s="1"/>
  <c r="R103" i="6"/>
  <c r="S103" i="6" s="1"/>
  <c r="T103" i="6" s="1"/>
  <c r="U103" i="6" s="1"/>
  <c r="V103" i="6" s="1"/>
  <c r="L103" i="6"/>
  <c r="M103" i="6" s="1"/>
  <c r="N103" i="6" s="1"/>
  <c r="O103" i="6" s="1"/>
  <c r="P103" i="6" s="1"/>
  <c r="GJ103" i="6"/>
  <c r="GK103" i="6" s="1"/>
  <c r="GL103" i="6" s="1"/>
  <c r="GM103" i="6" s="1"/>
  <c r="GN103" i="6" s="1"/>
  <c r="CL103" i="6"/>
  <c r="CM103" i="6" s="1"/>
  <c r="CN103" i="6" s="1"/>
  <c r="CO103" i="6" s="1"/>
  <c r="CP103" i="6" s="1"/>
  <c r="BH103" i="6"/>
  <c r="BI103" i="6" s="1"/>
  <c r="BJ103" i="6" s="1"/>
  <c r="BK103" i="6" s="1"/>
  <c r="BL103" i="6" s="1"/>
  <c r="AV103" i="6"/>
  <c r="AW103" i="6" s="1"/>
  <c r="AX103" i="6" s="1"/>
  <c r="AY103" i="6" s="1"/>
  <c r="AZ103" i="6" s="1"/>
  <c r="EH103" i="6"/>
  <c r="EI103" i="6" s="1"/>
  <c r="EJ103" i="6" s="1"/>
  <c r="EK103" i="6" s="1"/>
  <c r="EL103" i="6" s="1"/>
  <c r="DD103" i="6"/>
  <c r="DE103" i="6" s="1"/>
  <c r="DF103" i="6" s="1"/>
  <c r="DG103" i="6" s="1"/>
  <c r="DH103" i="6" s="1"/>
  <c r="AJ103" i="6"/>
  <c r="AK103" i="6" s="1"/>
  <c r="AL103" i="6" s="1"/>
  <c r="AM103" i="6" s="1"/>
  <c r="AN103" i="6" s="1"/>
  <c r="BZ103" i="6"/>
  <c r="CA103" i="6" s="1"/>
  <c r="CB103" i="6" s="1"/>
  <c r="CC103" i="6" s="1"/>
  <c r="CD103" i="6" s="1"/>
  <c r="FL103" i="6"/>
  <c r="FM103" i="6" s="1"/>
  <c r="FN103" i="6" s="1"/>
  <c r="FO103" i="6" s="1"/>
  <c r="FP103" i="6" s="1"/>
  <c r="AD103" i="6"/>
  <c r="AE103" i="6" s="1"/>
  <c r="AF103" i="6" s="1"/>
  <c r="AG103" i="6" s="1"/>
  <c r="AH103" i="6" s="1"/>
  <c r="BT103" i="6"/>
  <c r="BU103" i="6" s="1"/>
  <c r="BV103" i="6" s="1"/>
  <c r="BW103" i="6" s="1"/>
  <c r="BX103" i="6" s="1"/>
  <c r="ET103" i="6"/>
  <c r="EU103" i="6" s="1"/>
  <c r="EV103" i="6" s="1"/>
  <c r="EW103" i="6" s="1"/>
  <c r="EX103" i="6" s="1"/>
  <c r="FF103" i="6"/>
  <c r="FG103" i="6" s="1"/>
  <c r="FH103" i="6" s="1"/>
  <c r="FI103" i="6" s="1"/>
  <c r="FJ103" i="6" s="1"/>
  <c r="GD103" i="6"/>
  <c r="GE103" i="6" s="1"/>
  <c r="GF103" i="6" s="1"/>
  <c r="GG103" i="6" s="1"/>
  <c r="GH103" i="6" s="1"/>
  <c r="F103" i="6"/>
  <c r="G103" i="6" s="1"/>
  <c r="H103" i="6" s="1"/>
  <c r="I103" i="6" s="1"/>
  <c r="J103" i="6" s="1"/>
  <c r="FX103" i="6"/>
  <c r="FY103" i="6" s="1"/>
  <c r="FZ103" i="6" s="1"/>
  <c r="GA103" i="6" s="1"/>
  <c r="GB103" i="6" s="1"/>
  <c r="EZ103" i="6"/>
  <c r="FA103" i="6" s="1"/>
  <c r="FB103" i="6" s="1"/>
  <c r="FC103" i="6" s="1"/>
  <c r="FD103" i="6" s="1"/>
  <c r="DV103" i="6"/>
  <c r="DW103" i="6" s="1"/>
  <c r="DX103" i="6" s="1"/>
  <c r="DY103" i="6" s="1"/>
  <c r="DZ103" i="6" s="1"/>
  <c r="X103" i="6"/>
  <c r="Y103" i="6" s="1"/>
  <c r="Z103" i="6" s="1"/>
  <c r="AA103" i="6" s="1"/>
  <c r="AB103" i="6" s="1"/>
  <c r="EN103" i="6"/>
  <c r="EO103" i="6" s="1"/>
  <c r="EP103" i="6" s="1"/>
  <c r="EQ103" i="6" s="1"/>
  <c r="ER103" i="6" s="1"/>
  <c r="CR103" i="6"/>
  <c r="CS103" i="6" s="1"/>
  <c r="CT103" i="6" s="1"/>
  <c r="CU103" i="6" s="1"/>
  <c r="CV103" i="6" s="1"/>
  <c r="CF103" i="6"/>
  <c r="CG103" i="6" s="1"/>
  <c r="CH103" i="6" s="1"/>
  <c r="CI103" i="6" s="1"/>
  <c r="CJ103" i="6" s="1"/>
  <c r="DP103" i="6"/>
  <c r="DQ103" i="6" s="1"/>
  <c r="DR103" i="6" s="1"/>
  <c r="DS103" i="6" s="1"/>
  <c r="DT103" i="6" s="1"/>
  <c r="EB95" i="6"/>
  <c r="EC95" i="6" s="1"/>
  <c r="ED95" i="6" s="1"/>
  <c r="EE95" i="6" s="1"/>
  <c r="EF95" i="6" s="1"/>
  <c r="CX95" i="6"/>
  <c r="CY95" i="6" s="1"/>
  <c r="CZ95" i="6" s="1"/>
  <c r="DA95" i="6" s="1"/>
  <c r="DB95" i="6" s="1"/>
  <c r="BT95" i="6"/>
  <c r="BU95" i="6" s="1"/>
  <c r="BV95" i="6" s="1"/>
  <c r="BW95" i="6" s="1"/>
  <c r="BX95" i="6" s="1"/>
  <c r="BZ95" i="6"/>
  <c r="CA95" i="6" s="1"/>
  <c r="CB95" i="6" s="1"/>
  <c r="CC95" i="6" s="1"/>
  <c r="CD95" i="6" s="1"/>
  <c r="DP95" i="6"/>
  <c r="DQ95" i="6" s="1"/>
  <c r="DR95" i="6" s="1"/>
  <c r="DS95" i="6" s="1"/>
  <c r="DT95" i="6" s="1"/>
  <c r="AD95" i="6"/>
  <c r="AE95" i="6" s="1"/>
  <c r="AF95" i="6" s="1"/>
  <c r="AG95" i="6" s="1"/>
  <c r="AH95" i="6" s="1"/>
  <c r="DD95" i="6"/>
  <c r="DE95" i="6" s="1"/>
  <c r="DF95" i="6" s="1"/>
  <c r="DG95" i="6" s="1"/>
  <c r="DH95" i="6" s="1"/>
  <c r="EN95" i="6"/>
  <c r="EO95" i="6" s="1"/>
  <c r="EP95" i="6" s="1"/>
  <c r="EQ95" i="6" s="1"/>
  <c r="ER95" i="6" s="1"/>
  <c r="CR95" i="6"/>
  <c r="CS95" i="6" s="1"/>
  <c r="CT95" i="6" s="1"/>
  <c r="CU95" i="6" s="1"/>
  <c r="CV95" i="6" s="1"/>
  <c r="CF95" i="6"/>
  <c r="CG95" i="6" s="1"/>
  <c r="CH95" i="6" s="1"/>
  <c r="CI95" i="6" s="1"/>
  <c r="CJ95" i="6" s="1"/>
  <c r="BN95" i="6"/>
  <c r="BO95" i="6" s="1"/>
  <c r="BP95" i="6" s="1"/>
  <c r="BQ95" i="6" s="1"/>
  <c r="BR95" i="6" s="1"/>
  <c r="FL95" i="6"/>
  <c r="FM95" i="6" s="1"/>
  <c r="FN95" i="6" s="1"/>
  <c r="FO95" i="6" s="1"/>
  <c r="FP95" i="6" s="1"/>
  <c r="GD95" i="6"/>
  <c r="GE95" i="6" s="1"/>
  <c r="GF95" i="6" s="1"/>
  <c r="GG95" i="6" s="1"/>
  <c r="GH95" i="6" s="1"/>
  <c r="R95" i="6"/>
  <c r="S95" i="6" s="1"/>
  <c r="T95" i="6" s="1"/>
  <c r="U95" i="6" s="1"/>
  <c r="V95" i="6" s="1"/>
  <c r="BH95" i="6"/>
  <c r="BI95" i="6" s="1"/>
  <c r="BJ95" i="6" s="1"/>
  <c r="BK95" i="6" s="1"/>
  <c r="BL95" i="6" s="1"/>
  <c r="DV95" i="6"/>
  <c r="DW95" i="6" s="1"/>
  <c r="DX95" i="6" s="1"/>
  <c r="DY95" i="6" s="1"/>
  <c r="DZ95" i="6" s="1"/>
  <c r="FX95" i="6"/>
  <c r="FY95" i="6" s="1"/>
  <c r="FZ95" i="6" s="1"/>
  <c r="GA95" i="6" s="1"/>
  <c r="GB95" i="6" s="1"/>
  <c r="AP95" i="6"/>
  <c r="AQ95" i="6" s="1"/>
  <c r="AR95" i="6" s="1"/>
  <c r="AS95" i="6" s="1"/>
  <c r="AT95" i="6" s="1"/>
  <c r="F95" i="6"/>
  <c r="G95" i="6" s="1"/>
  <c r="H95" i="6" s="1"/>
  <c r="I95" i="6" s="1"/>
  <c r="J95" i="6" s="1"/>
  <c r="FF95" i="6"/>
  <c r="FG95" i="6" s="1"/>
  <c r="FH95" i="6" s="1"/>
  <c r="FI95" i="6" s="1"/>
  <c r="FJ95" i="6" s="1"/>
  <c r="EZ95" i="6"/>
  <c r="FA95" i="6" s="1"/>
  <c r="FB95" i="6" s="1"/>
  <c r="FC95" i="6" s="1"/>
  <c r="FD95" i="6" s="1"/>
  <c r="AJ95" i="6"/>
  <c r="AK95" i="6" s="1"/>
  <c r="AL95" i="6" s="1"/>
  <c r="AM95" i="6" s="1"/>
  <c r="AN95" i="6" s="1"/>
  <c r="L95" i="6"/>
  <c r="M95" i="6" s="1"/>
  <c r="N95" i="6" s="1"/>
  <c r="O95" i="6" s="1"/>
  <c r="P95" i="6" s="1"/>
  <c r="ET95" i="6"/>
  <c r="EU95" i="6" s="1"/>
  <c r="EV95" i="6" s="1"/>
  <c r="EW95" i="6" s="1"/>
  <c r="EX95" i="6" s="1"/>
  <c r="EH95" i="6"/>
  <c r="EI95" i="6" s="1"/>
  <c r="EJ95" i="6" s="1"/>
  <c r="EK95" i="6" s="1"/>
  <c r="EL95" i="6" s="1"/>
  <c r="CL95" i="6"/>
  <c r="CM95" i="6" s="1"/>
  <c r="CN95" i="6" s="1"/>
  <c r="CO95" i="6" s="1"/>
  <c r="CP95" i="6" s="1"/>
  <c r="X95" i="6"/>
  <c r="Y95" i="6" s="1"/>
  <c r="Z95" i="6" s="1"/>
  <c r="AA95" i="6" s="1"/>
  <c r="AB95" i="6" s="1"/>
  <c r="GJ95" i="6"/>
  <c r="GK95" i="6" s="1"/>
  <c r="GL95" i="6" s="1"/>
  <c r="GM95" i="6" s="1"/>
  <c r="GN95" i="6" s="1"/>
  <c r="DJ95" i="6"/>
  <c r="DK95" i="6" s="1"/>
  <c r="DL95" i="6" s="1"/>
  <c r="DM95" i="6" s="1"/>
  <c r="DN95" i="6" s="1"/>
  <c r="BB95" i="6"/>
  <c r="BC95" i="6" s="1"/>
  <c r="BD95" i="6" s="1"/>
  <c r="BE95" i="6" s="1"/>
  <c r="BF95" i="6" s="1"/>
  <c r="AV95" i="6"/>
  <c r="AW95" i="6" s="1"/>
  <c r="AX95" i="6" s="1"/>
  <c r="AY95" i="6" s="1"/>
  <c r="AZ95" i="6" s="1"/>
  <c r="CR52" i="6"/>
  <c r="CS52" i="6" s="1"/>
  <c r="CT52" i="6" s="1"/>
  <c r="CU52" i="6" s="1"/>
  <c r="CV52" i="6" s="1"/>
  <c r="DD52" i="6"/>
  <c r="DE52" i="6" s="1"/>
  <c r="DF52" i="6" s="1"/>
  <c r="DG52" i="6" s="1"/>
  <c r="DH52" i="6" s="1"/>
  <c r="AV52" i="6"/>
  <c r="AW52" i="6" s="1"/>
  <c r="AX52" i="6" s="1"/>
  <c r="AY52" i="6" s="1"/>
  <c r="AZ52" i="6" s="1"/>
  <c r="FF69" i="6"/>
  <c r="FG69" i="6" s="1"/>
  <c r="FH69" i="6" s="1"/>
  <c r="FI69" i="6" s="1"/>
  <c r="FJ69" i="6" s="1"/>
  <c r="BT69" i="6"/>
  <c r="BU69" i="6" s="1"/>
  <c r="BV69" i="6" s="1"/>
  <c r="BW69" i="6" s="1"/>
  <c r="BX69" i="6" s="1"/>
  <c r="GJ60" i="6"/>
  <c r="GK60" i="6" s="1"/>
  <c r="GL60" i="6" s="1"/>
  <c r="GM60" i="6" s="1"/>
  <c r="GN60" i="6" s="1"/>
  <c r="EB60" i="6"/>
  <c r="EC60" i="6" s="1"/>
  <c r="ED60" i="6" s="1"/>
  <c r="EE60" i="6" s="1"/>
  <c r="EF60" i="6" s="1"/>
  <c r="BH60" i="6"/>
  <c r="BI60" i="6" s="1"/>
  <c r="BJ60" i="6" s="1"/>
  <c r="BK60" i="6" s="1"/>
  <c r="BL60" i="6" s="1"/>
  <c r="L60" i="6"/>
  <c r="M60" i="6" s="1"/>
  <c r="N60" i="6" s="1"/>
  <c r="O60" i="6" s="1"/>
  <c r="P60" i="6" s="1"/>
  <c r="DJ55" i="6"/>
  <c r="DK55" i="6" s="1"/>
  <c r="DL55" i="6" s="1"/>
  <c r="DM55" i="6" s="1"/>
  <c r="DN55" i="6" s="1"/>
  <c r="R55" i="6"/>
  <c r="S55" i="6" s="1"/>
  <c r="T55" i="6" s="1"/>
  <c r="U55" i="6" s="1"/>
  <c r="V55" i="6" s="1"/>
  <c r="DD20" i="6"/>
  <c r="DE20" i="6" s="1"/>
  <c r="DF20" i="6" s="1"/>
  <c r="DG20" i="6" s="1"/>
  <c r="DH20" i="6" s="1"/>
  <c r="CX20" i="6"/>
  <c r="CY20" i="6" s="1"/>
  <c r="CZ20" i="6" s="1"/>
  <c r="DA20" i="6" s="1"/>
  <c r="DB20" i="6" s="1"/>
  <c r="EB72" i="6"/>
  <c r="EC72" i="6" s="1"/>
  <c r="ED72" i="6" s="1"/>
  <c r="EE72" i="6" s="1"/>
  <c r="EF72" i="6" s="1"/>
  <c r="FL72" i="6"/>
  <c r="FM72" i="6" s="1"/>
  <c r="FN72" i="6" s="1"/>
  <c r="FO72" i="6" s="1"/>
  <c r="FP72" i="6" s="1"/>
  <c r="FF30" i="6"/>
  <c r="FG30" i="6" s="1"/>
  <c r="FH30" i="6" s="1"/>
  <c r="FI30" i="6" s="1"/>
  <c r="FJ30" i="6" s="1"/>
  <c r="AD91" i="6"/>
  <c r="AE91" i="6" s="1"/>
  <c r="AF91" i="6" s="1"/>
  <c r="AG91" i="6" s="1"/>
  <c r="AH91" i="6" s="1"/>
  <c r="BZ91" i="6"/>
  <c r="CA91" i="6" s="1"/>
  <c r="CB91" i="6" s="1"/>
  <c r="CC91" i="6" s="1"/>
  <c r="CD91" i="6" s="1"/>
  <c r="FX91" i="6"/>
  <c r="FY91" i="6" s="1"/>
  <c r="FZ91" i="6" s="1"/>
  <c r="GA91" i="6" s="1"/>
  <c r="GB91" i="6" s="1"/>
  <c r="BB91" i="6"/>
  <c r="BC91" i="6" s="1"/>
  <c r="BD91" i="6" s="1"/>
  <c r="BE91" i="6" s="1"/>
  <c r="BF91" i="6" s="1"/>
  <c r="FF45" i="6"/>
  <c r="FG45" i="6" s="1"/>
  <c r="FH45" i="6" s="1"/>
  <c r="FI45" i="6" s="1"/>
  <c r="FJ45" i="6" s="1"/>
  <c r="BT45" i="6"/>
  <c r="BU45" i="6" s="1"/>
  <c r="BV45" i="6" s="1"/>
  <c r="BW45" i="6" s="1"/>
  <c r="BX45" i="6" s="1"/>
  <c r="GP99" i="6"/>
  <c r="GQ99" i="6" s="1"/>
  <c r="GR99" i="6" s="1"/>
  <c r="GS99" i="6" s="1"/>
  <c r="GT99" i="6" s="1"/>
  <c r="GD99" i="6"/>
  <c r="GE99" i="6" s="1"/>
  <c r="GF99" i="6" s="1"/>
  <c r="GG99" i="6" s="1"/>
  <c r="GH99" i="6" s="1"/>
  <c r="DD99" i="6"/>
  <c r="DE99" i="6" s="1"/>
  <c r="DF99" i="6" s="1"/>
  <c r="DG99" i="6" s="1"/>
  <c r="DH99" i="6" s="1"/>
  <c r="R99" i="6"/>
  <c r="S99" i="6" s="1"/>
  <c r="T99" i="6" s="1"/>
  <c r="U99" i="6" s="1"/>
  <c r="V99" i="6" s="1"/>
  <c r="DJ46" i="6"/>
  <c r="DK46" i="6" s="1"/>
  <c r="DL46" i="6" s="1"/>
  <c r="DM46" i="6" s="1"/>
  <c r="DN46" i="6" s="1"/>
  <c r="DJ100" i="6"/>
  <c r="DK100" i="6" s="1"/>
  <c r="DL100" i="6" s="1"/>
  <c r="DM100" i="6" s="1"/>
  <c r="DN100" i="6" s="1"/>
  <c r="AV70" i="6"/>
  <c r="AW70" i="6" s="1"/>
  <c r="AX70" i="6" s="1"/>
  <c r="AY70" i="6" s="1"/>
  <c r="AZ70" i="6" s="1"/>
  <c r="DD93" i="6"/>
  <c r="DE93" i="6" s="1"/>
  <c r="DF93" i="6" s="1"/>
  <c r="DG93" i="6" s="1"/>
  <c r="DH93" i="6" s="1"/>
  <c r="AV74" i="6"/>
  <c r="AW74" i="6" s="1"/>
  <c r="AX74" i="6" s="1"/>
  <c r="AY74" i="6" s="1"/>
  <c r="AZ74" i="6" s="1"/>
  <c r="CR69" i="6"/>
  <c r="CS69" i="6" s="1"/>
  <c r="CT69" i="6" s="1"/>
  <c r="CU69" i="6" s="1"/>
  <c r="CV69" i="6" s="1"/>
  <c r="DP69" i="6"/>
  <c r="DQ69" i="6" s="1"/>
  <c r="DR69" i="6" s="1"/>
  <c r="DS69" i="6" s="1"/>
  <c r="DT69" i="6" s="1"/>
  <c r="CX55" i="6"/>
  <c r="CY55" i="6" s="1"/>
  <c r="CZ55" i="6" s="1"/>
  <c r="DA55" i="6" s="1"/>
  <c r="DB55" i="6" s="1"/>
  <c r="BT91" i="6"/>
  <c r="BU91" i="6" s="1"/>
  <c r="BV91" i="6" s="1"/>
  <c r="BW91" i="6" s="1"/>
  <c r="BX91" i="6" s="1"/>
  <c r="BZ105" i="6"/>
  <c r="CA105" i="6" s="1"/>
  <c r="CB105" i="6" s="1"/>
  <c r="CC105" i="6" s="1"/>
  <c r="CD105" i="6" s="1"/>
  <c r="EZ105" i="6"/>
  <c r="FA105" i="6" s="1"/>
  <c r="FB105" i="6" s="1"/>
  <c r="FC105" i="6" s="1"/>
  <c r="FD105" i="6" s="1"/>
  <c r="EH90" i="6"/>
  <c r="EI90" i="6" s="1"/>
  <c r="EJ90" i="6" s="1"/>
  <c r="EK90" i="6" s="1"/>
  <c r="EL90" i="6" s="1"/>
  <c r="ET46" i="6"/>
  <c r="EU46" i="6" s="1"/>
  <c r="EV46" i="6" s="1"/>
  <c r="EW46" i="6" s="1"/>
  <c r="EX46" i="6" s="1"/>
  <c r="FF54" i="6"/>
  <c r="FG54" i="6" s="1"/>
  <c r="FH54" i="6" s="1"/>
  <c r="FI54" i="6" s="1"/>
  <c r="FJ54" i="6" s="1"/>
  <c r="DJ54" i="6"/>
  <c r="DK54" i="6" s="1"/>
  <c r="DL54" i="6" s="1"/>
  <c r="DM54" i="6" s="1"/>
  <c r="DN54" i="6" s="1"/>
  <c r="BT54" i="6"/>
  <c r="BU54" i="6" s="1"/>
  <c r="BV54" i="6" s="1"/>
  <c r="BW54" i="6" s="1"/>
  <c r="BX54" i="6" s="1"/>
  <c r="ET75" i="6"/>
  <c r="EU75" i="6" s="1"/>
  <c r="EV75" i="6" s="1"/>
  <c r="EW75" i="6" s="1"/>
  <c r="EX75" i="6" s="1"/>
  <c r="DP75" i="6"/>
  <c r="DQ75" i="6" s="1"/>
  <c r="DR75" i="6" s="1"/>
  <c r="DS75" i="6" s="1"/>
  <c r="DT75" i="6" s="1"/>
  <c r="L75" i="6"/>
  <c r="M75" i="6" s="1"/>
  <c r="N75" i="6" s="1"/>
  <c r="O75" i="6" s="1"/>
  <c r="P75" i="6" s="1"/>
  <c r="DP68" i="6"/>
  <c r="DQ68" i="6" s="1"/>
  <c r="DR68" i="6" s="1"/>
  <c r="DS68" i="6" s="1"/>
  <c r="DT68" i="6" s="1"/>
  <c r="AV68" i="6"/>
  <c r="AW68" i="6" s="1"/>
  <c r="AX68" i="6" s="1"/>
  <c r="AY68" i="6" s="1"/>
  <c r="AZ68" i="6" s="1"/>
  <c r="DP105" i="6"/>
  <c r="DQ105" i="6" s="1"/>
  <c r="DR105" i="6" s="1"/>
  <c r="DS105" i="6" s="1"/>
  <c r="DT105" i="6" s="1"/>
  <c r="FF36" i="6"/>
  <c r="FG36" i="6" s="1"/>
  <c r="FH36" i="6" s="1"/>
  <c r="FI36" i="6" s="1"/>
  <c r="FJ36" i="6" s="1"/>
  <c r="FF70" i="6"/>
  <c r="FG70" i="6" s="1"/>
  <c r="FH70" i="6" s="1"/>
  <c r="FI70" i="6" s="1"/>
  <c r="FJ70" i="6" s="1"/>
  <c r="AV93" i="6"/>
  <c r="AW93" i="6" s="1"/>
  <c r="AX93" i="6" s="1"/>
  <c r="AY93" i="6" s="1"/>
  <c r="AZ93" i="6" s="1"/>
  <c r="FF93" i="6"/>
  <c r="FG93" i="6" s="1"/>
  <c r="FH93" i="6" s="1"/>
  <c r="FI93" i="6" s="1"/>
  <c r="FJ93" i="6" s="1"/>
  <c r="CX83" i="6"/>
  <c r="CY83" i="6" s="1"/>
  <c r="CZ83" i="6" s="1"/>
  <c r="DA83" i="6" s="1"/>
  <c r="DB83" i="6" s="1"/>
  <c r="R69" i="6"/>
  <c r="S69" i="6" s="1"/>
  <c r="T69" i="6" s="1"/>
  <c r="U69" i="6" s="1"/>
  <c r="V69" i="6" s="1"/>
  <c r="FX69" i="6"/>
  <c r="FY69" i="6" s="1"/>
  <c r="FZ69" i="6" s="1"/>
  <c r="GA69" i="6" s="1"/>
  <c r="GB69" i="6" s="1"/>
  <c r="L55" i="6"/>
  <c r="M55" i="6" s="1"/>
  <c r="N55" i="6" s="1"/>
  <c r="O55" i="6" s="1"/>
  <c r="P55" i="6" s="1"/>
  <c r="DP55" i="6"/>
  <c r="DQ55" i="6" s="1"/>
  <c r="DR55" i="6" s="1"/>
  <c r="DS55" i="6" s="1"/>
  <c r="DT55" i="6" s="1"/>
  <c r="FF98" i="6"/>
  <c r="FG98" i="6" s="1"/>
  <c r="FH98" i="6" s="1"/>
  <c r="FI98" i="6" s="1"/>
  <c r="FJ98" i="6" s="1"/>
  <c r="R91" i="6"/>
  <c r="S91" i="6" s="1"/>
  <c r="T91" i="6" s="1"/>
  <c r="U91" i="6" s="1"/>
  <c r="V91" i="6" s="1"/>
  <c r="CR92" i="6"/>
  <c r="CS92" i="6" s="1"/>
  <c r="CT92" i="6" s="1"/>
  <c r="CU92" i="6" s="1"/>
  <c r="CV92" i="6" s="1"/>
  <c r="AV46" i="6"/>
  <c r="AW46" i="6" s="1"/>
  <c r="AX46" i="6" s="1"/>
  <c r="AY46" i="6" s="1"/>
  <c r="AZ46" i="6" s="1"/>
  <c r="FF74" i="6"/>
  <c r="FG74" i="6" s="1"/>
  <c r="FH74" i="6" s="1"/>
  <c r="FI74" i="6" s="1"/>
  <c r="FJ74" i="6" s="1"/>
  <c r="CR74" i="6"/>
  <c r="CS74" i="6" s="1"/>
  <c r="CT74" i="6" s="1"/>
  <c r="CU74" i="6" s="1"/>
  <c r="CV74" i="6" s="1"/>
  <c r="L74" i="6"/>
  <c r="M74" i="6" s="1"/>
  <c r="N74" i="6" s="1"/>
  <c r="O74" i="6" s="1"/>
  <c r="P74" i="6" s="1"/>
  <c r="DD98" i="6"/>
  <c r="DE98" i="6" s="1"/>
  <c r="DF98" i="6" s="1"/>
  <c r="DG98" i="6" s="1"/>
  <c r="DH98" i="6" s="1"/>
  <c r="F98" i="6"/>
  <c r="G98" i="6" s="1"/>
  <c r="H98" i="6" s="1"/>
  <c r="I98" i="6" s="1"/>
  <c r="J98" i="6" s="1"/>
  <c r="FX98" i="6"/>
  <c r="FY98" i="6" s="1"/>
  <c r="FZ98" i="6" s="1"/>
  <c r="GA98" i="6" s="1"/>
  <c r="GB98" i="6" s="1"/>
  <c r="AD98" i="6"/>
  <c r="AE98" i="6" s="1"/>
  <c r="AF98" i="6" s="1"/>
  <c r="AG98" i="6" s="1"/>
  <c r="AH98" i="6" s="1"/>
  <c r="BT98" i="6"/>
  <c r="BU98" i="6" s="1"/>
  <c r="BV98" i="6" s="1"/>
  <c r="BW98" i="6" s="1"/>
  <c r="BX98" i="6" s="1"/>
  <c r="FF78" i="6"/>
  <c r="FG78" i="6" s="1"/>
  <c r="FH78" i="6" s="1"/>
  <c r="FI78" i="6" s="1"/>
  <c r="FJ78" i="6" s="1"/>
  <c r="DP78" i="6"/>
  <c r="DQ78" i="6" s="1"/>
  <c r="DR78" i="6" s="1"/>
  <c r="DS78" i="6" s="1"/>
  <c r="DT78" i="6" s="1"/>
  <c r="AV78" i="6"/>
  <c r="AW78" i="6" s="1"/>
  <c r="AX78" i="6" s="1"/>
  <c r="AY78" i="6" s="1"/>
  <c r="AZ78" i="6" s="1"/>
  <c r="ET37" i="6"/>
  <c r="EU37" i="6" s="1"/>
  <c r="EV37" i="6" s="1"/>
  <c r="EW37" i="6" s="1"/>
  <c r="EX37" i="6" s="1"/>
  <c r="X37" i="6"/>
  <c r="Y37" i="6" s="1"/>
  <c r="Z37" i="6" s="1"/>
  <c r="AA37" i="6" s="1"/>
  <c r="AB37" i="6" s="1"/>
  <c r="F13" i="6"/>
  <c r="G13" i="6" s="1"/>
  <c r="H13" i="6" s="1"/>
  <c r="I13" i="6" s="1"/>
  <c r="J13" i="6" s="1"/>
  <c r="F26" i="6"/>
  <c r="G26" i="6" s="1"/>
  <c r="H26" i="6" s="1"/>
  <c r="I26" i="6" s="1"/>
  <c r="J26" i="6" s="1"/>
  <c r="BB105" i="6"/>
  <c r="BC105" i="6" s="1"/>
  <c r="BD105" i="6" s="1"/>
  <c r="BE105" i="6" s="1"/>
  <c r="BF105" i="6" s="1"/>
  <c r="BN69" i="6"/>
  <c r="BO69" i="6" s="1"/>
  <c r="BP69" i="6" s="1"/>
  <c r="BQ69" i="6" s="1"/>
  <c r="BR69" i="6" s="1"/>
  <c r="ET69" i="6"/>
  <c r="EU69" i="6" s="1"/>
  <c r="EV69" i="6" s="1"/>
  <c r="EW69" i="6" s="1"/>
  <c r="EX69" i="6" s="1"/>
  <c r="CX37" i="6"/>
  <c r="CY37" i="6" s="1"/>
  <c r="CZ37" i="6" s="1"/>
  <c r="DA37" i="6" s="1"/>
  <c r="DB37" i="6" s="1"/>
  <c r="DD55" i="6"/>
  <c r="DE55" i="6" s="1"/>
  <c r="DF55" i="6" s="1"/>
  <c r="DG55" i="6" s="1"/>
  <c r="DH55" i="6" s="1"/>
  <c r="BH46" i="6"/>
  <c r="BI46" i="6" s="1"/>
  <c r="BJ46" i="6" s="1"/>
  <c r="BK46" i="6" s="1"/>
  <c r="BL46" i="6" s="1"/>
  <c r="BT46" i="6"/>
  <c r="BU46" i="6" s="1"/>
  <c r="BV46" i="6" s="1"/>
  <c r="BW46" i="6" s="1"/>
  <c r="BX46" i="6" s="1"/>
  <c r="F86" i="6"/>
  <c r="G86" i="6" s="1"/>
  <c r="H86" i="6" s="1"/>
  <c r="I86" i="6" s="1"/>
  <c r="J86" i="6" s="1"/>
  <c r="BN86" i="6"/>
  <c r="BO86" i="6" s="1"/>
  <c r="BP86" i="6" s="1"/>
  <c r="BQ86" i="6" s="1"/>
  <c r="BR86" i="6" s="1"/>
  <c r="DP93" i="6"/>
  <c r="DQ93" i="6" s="1"/>
  <c r="DR93" i="6" s="1"/>
  <c r="DS93" i="6" s="1"/>
  <c r="DT93" i="6" s="1"/>
  <c r="BN93" i="6"/>
  <c r="BO93" i="6" s="1"/>
  <c r="BP93" i="6" s="1"/>
  <c r="BQ93" i="6" s="1"/>
  <c r="BR93" i="6" s="1"/>
  <c r="BH69" i="6"/>
  <c r="BI69" i="6" s="1"/>
  <c r="BJ69" i="6" s="1"/>
  <c r="BK69" i="6" s="1"/>
  <c r="BL69" i="6" s="1"/>
  <c r="CX91" i="6"/>
  <c r="CY91" i="6" s="1"/>
  <c r="CZ91" i="6" s="1"/>
  <c r="DA91" i="6" s="1"/>
  <c r="DB91" i="6" s="1"/>
  <c r="EZ44" i="6"/>
  <c r="FA44" i="6" s="1"/>
  <c r="FB44" i="6" s="1"/>
  <c r="FC44" i="6" s="1"/>
  <c r="FD44" i="6" s="1"/>
  <c r="FF44" i="6"/>
  <c r="FG44" i="6" s="1"/>
  <c r="FH44" i="6" s="1"/>
  <c r="FI44" i="6" s="1"/>
  <c r="FJ44" i="6" s="1"/>
  <c r="CR44" i="6"/>
  <c r="CS44" i="6" s="1"/>
  <c r="CT44" i="6" s="1"/>
  <c r="CU44" i="6" s="1"/>
  <c r="CV44" i="6" s="1"/>
  <c r="BH44" i="6"/>
  <c r="BI44" i="6" s="1"/>
  <c r="BJ44" i="6" s="1"/>
  <c r="BK44" i="6" s="1"/>
  <c r="BL44" i="6" s="1"/>
  <c r="FL85" i="6"/>
  <c r="FM85" i="6" s="1"/>
  <c r="FN85" i="6" s="1"/>
  <c r="FO85" i="6" s="1"/>
  <c r="FP85" i="6" s="1"/>
  <c r="BB85" i="6"/>
  <c r="BC85" i="6" s="1"/>
  <c r="BD85" i="6" s="1"/>
  <c r="BE85" i="6" s="1"/>
  <c r="BF85" i="6" s="1"/>
  <c r="F85" i="6"/>
  <c r="G85" i="6" s="1"/>
  <c r="H85" i="6" s="1"/>
  <c r="I85" i="6" s="1"/>
  <c r="J85" i="6" s="1"/>
  <c r="CR105" i="6"/>
  <c r="CS105" i="6" s="1"/>
  <c r="CT105" i="6" s="1"/>
  <c r="CU105" i="6" s="1"/>
  <c r="CV105" i="6" s="1"/>
  <c r="R105" i="6"/>
  <c r="S105" i="6" s="1"/>
  <c r="T105" i="6" s="1"/>
  <c r="U105" i="6" s="1"/>
  <c r="V105" i="6" s="1"/>
  <c r="CX105" i="6"/>
  <c r="CY105" i="6" s="1"/>
  <c r="CZ105" i="6" s="1"/>
  <c r="DA105" i="6" s="1"/>
  <c r="DB105" i="6" s="1"/>
  <c r="EB105" i="6"/>
  <c r="EC105" i="6" s="1"/>
  <c r="ED105" i="6" s="1"/>
  <c r="EE105" i="6" s="1"/>
  <c r="EF105" i="6" s="1"/>
  <c r="EB70" i="6"/>
  <c r="EC70" i="6" s="1"/>
  <c r="ED70" i="6" s="1"/>
  <c r="EE70" i="6" s="1"/>
  <c r="EF70" i="6" s="1"/>
  <c r="EB81" i="6"/>
  <c r="EC81" i="6" s="1"/>
  <c r="ED81" i="6" s="1"/>
  <c r="EE81" i="6" s="1"/>
  <c r="EF81" i="6" s="1"/>
  <c r="BB69" i="6"/>
  <c r="BC69" i="6" s="1"/>
  <c r="BD69" i="6" s="1"/>
  <c r="BE69" i="6" s="1"/>
  <c r="BF69" i="6" s="1"/>
  <c r="FF55" i="6"/>
  <c r="FG55" i="6" s="1"/>
  <c r="FH55" i="6" s="1"/>
  <c r="FI55" i="6" s="1"/>
  <c r="FJ55" i="6" s="1"/>
  <c r="DD53" i="6"/>
  <c r="DE53" i="6" s="1"/>
  <c r="DF53" i="6" s="1"/>
  <c r="DG53" i="6" s="1"/>
  <c r="DH53" i="6" s="1"/>
  <c r="FX19" i="6"/>
  <c r="FY19" i="6" s="1"/>
  <c r="FZ19" i="6" s="1"/>
  <c r="GA19" i="6" s="1"/>
  <c r="GB19" i="6" s="1"/>
  <c r="DV19" i="6"/>
  <c r="DW19" i="6" s="1"/>
  <c r="DX19" i="6" s="1"/>
  <c r="DY19" i="6" s="1"/>
  <c r="DZ19" i="6" s="1"/>
  <c r="GD19" i="6"/>
  <c r="GE19" i="6" s="1"/>
  <c r="GF19" i="6" s="1"/>
  <c r="GG19" i="6" s="1"/>
  <c r="GH19" i="6" s="1"/>
  <c r="BT19" i="6"/>
  <c r="BU19" i="6" s="1"/>
  <c r="BV19" i="6" s="1"/>
  <c r="BW19" i="6" s="1"/>
  <c r="BX19" i="6" s="1"/>
  <c r="ET36" i="6"/>
  <c r="EU36" i="6" s="1"/>
  <c r="EV36" i="6" s="1"/>
  <c r="EW36" i="6" s="1"/>
  <c r="EX36" i="6" s="1"/>
  <c r="DV36" i="6"/>
  <c r="DW36" i="6" s="1"/>
  <c r="DX36" i="6" s="1"/>
  <c r="DY36" i="6" s="1"/>
  <c r="DZ36" i="6" s="1"/>
  <c r="X36" i="6"/>
  <c r="Y36" i="6" s="1"/>
  <c r="Z36" i="6" s="1"/>
  <c r="AA36" i="6" s="1"/>
  <c r="AB36" i="6" s="1"/>
  <c r="EN76" i="6"/>
  <c r="EO76" i="6" s="1"/>
  <c r="EP76" i="6" s="1"/>
  <c r="EQ76" i="6" s="1"/>
  <c r="ER76" i="6" s="1"/>
  <c r="X91" i="6"/>
  <c r="Y91" i="6" s="1"/>
  <c r="Z91" i="6" s="1"/>
  <c r="AA91" i="6" s="1"/>
  <c r="AB91" i="6" s="1"/>
  <c r="BH30" i="6"/>
  <c r="BI30" i="6" s="1"/>
  <c r="BJ30" i="6" s="1"/>
  <c r="BK30" i="6" s="1"/>
  <c r="BL30" i="6" s="1"/>
  <c r="BN30" i="6"/>
  <c r="BO30" i="6" s="1"/>
  <c r="BP30" i="6" s="1"/>
  <c r="BQ30" i="6" s="1"/>
  <c r="BR30" i="6" s="1"/>
  <c r="DV53" i="6"/>
  <c r="DW53" i="6" s="1"/>
  <c r="DX53" i="6" s="1"/>
  <c r="DY53" i="6" s="1"/>
  <c r="DZ53" i="6" s="1"/>
  <c r="FX105" i="6"/>
  <c r="FY105" i="6" s="1"/>
  <c r="FZ105" i="6" s="1"/>
  <c r="GA105" i="6" s="1"/>
  <c r="GB105" i="6" s="1"/>
  <c r="BB53" i="6"/>
  <c r="BC53" i="6" s="1"/>
  <c r="BD53" i="6" s="1"/>
  <c r="BE53" i="6" s="1"/>
  <c r="BF53" i="6" s="1"/>
  <c r="FF53" i="6"/>
  <c r="FG53" i="6" s="1"/>
  <c r="FH53" i="6" s="1"/>
  <c r="FI53" i="6" s="1"/>
  <c r="FJ53" i="6" s="1"/>
  <c r="BZ86" i="6"/>
  <c r="CA86" i="6" s="1"/>
  <c r="CB86" i="6" s="1"/>
  <c r="CC86" i="6" s="1"/>
  <c r="CD86" i="6" s="1"/>
  <c r="BT49" i="6"/>
  <c r="BU49" i="6" s="1"/>
  <c r="BV49" i="6" s="1"/>
  <c r="BW49" i="6" s="1"/>
  <c r="BX49" i="6" s="1"/>
  <c r="AD49" i="6"/>
  <c r="AE49" i="6" s="1"/>
  <c r="AF49" i="6" s="1"/>
  <c r="AG49" i="6" s="1"/>
  <c r="AH49" i="6" s="1"/>
  <c r="F83" i="6"/>
  <c r="G83" i="6" s="1"/>
  <c r="H83" i="6" s="1"/>
  <c r="I83" i="6" s="1"/>
  <c r="J83" i="6" s="1"/>
  <c r="DV13" i="6"/>
  <c r="DW13" i="6" s="1"/>
  <c r="DX13" i="6" s="1"/>
  <c r="DY13" i="6" s="1"/>
  <c r="DZ13" i="6" s="1"/>
  <c r="BT53" i="6"/>
  <c r="BU53" i="6" s="1"/>
  <c r="BV53" i="6" s="1"/>
  <c r="BW53" i="6" s="1"/>
  <c r="BX53" i="6" s="1"/>
  <c r="CX53" i="6"/>
  <c r="CY53" i="6" s="1"/>
  <c r="CZ53" i="6" s="1"/>
  <c r="DA53" i="6" s="1"/>
  <c r="DB53" i="6" s="1"/>
  <c r="GP16" i="6"/>
  <c r="GQ16" i="6" s="1"/>
  <c r="GR16" i="6" s="1"/>
  <c r="GS16" i="6" s="1"/>
  <c r="GT16" i="6" s="1"/>
  <c r="ET16" i="6"/>
  <c r="EU16" i="6" s="1"/>
  <c r="EV16" i="6" s="1"/>
  <c r="EW16" i="6" s="1"/>
  <c r="EX16" i="6" s="1"/>
  <c r="EZ16" i="6"/>
  <c r="FA16" i="6" s="1"/>
  <c r="FB16" i="6" s="1"/>
  <c r="FC16" i="6" s="1"/>
  <c r="FD16" i="6" s="1"/>
  <c r="R16" i="6"/>
  <c r="S16" i="6" s="1"/>
  <c r="T16" i="6" s="1"/>
  <c r="U16" i="6" s="1"/>
  <c r="V16" i="6" s="1"/>
  <c r="AV16" i="6"/>
  <c r="AW16" i="6" s="1"/>
  <c r="AX16" i="6" s="1"/>
  <c r="AY16" i="6" s="1"/>
  <c r="AZ16" i="6" s="1"/>
  <c r="GD16" i="6"/>
  <c r="GE16" i="6" s="1"/>
  <c r="GF16" i="6" s="1"/>
  <c r="GG16" i="6" s="1"/>
  <c r="GH16" i="6" s="1"/>
  <c r="CR16" i="6"/>
  <c r="CS16" i="6" s="1"/>
  <c r="CT16" i="6" s="1"/>
  <c r="CU16" i="6" s="1"/>
  <c r="CV16" i="6" s="1"/>
  <c r="BT16" i="6"/>
  <c r="BU16" i="6" s="1"/>
  <c r="BV16" i="6" s="1"/>
  <c r="BW16" i="6" s="1"/>
  <c r="BX16" i="6" s="1"/>
  <c r="DP16" i="6"/>
  <c r="DQ16" i="6" s="1"/>
  <c r="DR16" i="6" s="1"/>
  <c r="DS16" i="6" s="1"/>
  <c r="DT16" i="6" s="1"/>
  <c r="DD16" i="6"/>
  <c r="DE16" i="6" s="1"/>
  <c r="DF16" i="6" s="1"/>
  <c r="DG16" i="6" s="1"/>
  <c r="DH16" i="6" s="1"/>
  <c r="BH16" i="6"/>
  <c r="BI16" i="6" s="1"/>
  <c r="BJ16" i="6" s="1"/>
  <c r="BK16" i="6" s="1"/>
  <c r="BL16" i="6" s="1"/>
  <c r="GJ16" i="6"/>
  <c r="GK16" i="6" s="1"/>
  <c r="GL16" i="6" s="1"/>
  <c r="GM16" i="6" s="1"/>
  <c r="GN16" i="6" s="1"/>
  <c r="CX16" i="6"/>
  <c r="CY16" i="6" s="1"/>
  <c r="CZ16" i="6" s="1"/>
  <c r="DA16" i="6" s="1"/>
  <c r="DB16" i="6" s="1"/>
  <c r="L16" i="6"/>
  <c r="M16" i="6" s="1"/>
  <c r="N16" i="6" s="1"/>
  <c r="O16" i="6" s="1"/>
  <c r="P16" i="6" s="1"/>
  <c r="EH16" i="6"/>
  <c r="EI16" i="6" s="1"/>
  <c r="EJ16" i="6" s="1"/>
  <c r="EK16" i="6" s="1"/>
  <c r="EL16" i="6" s="1"/>
  <c r="AD16" i="6"/>
  <c r="AE16" i="6" s="1"/>
  <c r="AF16" i="6" s="1"/>
  <c r="AG16" i="6" s="1"/>
  <c r="AH16" i="6" s="1"/>
  <c r="X16" i="6"/>
  <c r="Y16" i="6" s="1"/>
  <c r="Z16" i="6" s="1"/>
  <c r="AA16" i="6" s="1"/>
  <c r="AB16" i="6" s="1"/>
  <c r="DJ16" i="6"/>
  <c r="DK16" i="6" s="1"/>
  <c r="DL16" i="6" s="1"/>
  <c r="DM16" i="6" s="1"/>
  <c r="DN16" i="6" s="1"/>
  <c r="AP16" i="6"/>
  <c r="AQ16" i="6" s="1"/>
  <c r="AR16" i="6" s="1"/>
  <c r="AS16" i="6" s="1"/>
  <c r="AT16" i="6" s="1"/>
  <c r="BZ16" i="6"/>
  <c r="CA16" i="6" s="1"/>
  <c r="CB16" i="6" s="1"/>
  <c r="CC16" i="6" s="1"/>
  <c r="CD16" i="6" s="1"/>
  <c r="FX16" i="6"/>
  <c r="FY16" i="6" s="1"/>
  <c r="FZ16" i="6" s="1"/>
  <c r="GA16" i="6" s="1"/>
  <c r="GB16" i="6" s="1"/>
  <c r="DV16" i="6"/>
  <c r="DW16" i="6" s="1"/>
  <c r="DX16" i="6" s="1"/>
  <c r="DY16" i="6" s="1"/>
  <c r="DZ16" i="6" s="1"/>
  <c r="BB16" i="6"/>
  <c r="BC16" i="6" s="1"/>
  <c r="BD16" i="6" s="1"/>
  <c r="BE16" i="6" s="1"/>
  <c r="BF16" i="6" s="1"/>
  <c r="EB16" i="6"/>
  <c r="EC16" i="6" s="1"/>
  <c r="ED16" i="6" s="1"/>
  <c r="EE16" i="6" s="1"/>
  <c r="EF16" i="6" s="1"/>
  <c r="CF16" i="6"/>
  <c r="CG16" i="6" s="1"/>
  <c r="CH16" i="6" s="1"/>
  <c r="CI16" i="6" s="1"/>
  <c r="CJ16" i="6" s="1"/>
  <c r="BN16" i="6"/>
  <c r="BO16" i="6" s="1"/>
  <c r="BP16" i="6" s="1"/>
  <c r="BQ16" i="6" s="1"/>
  <c r="BR16" i="6" s="1"/>
  <c r="EN16" i="6"/>
  <c r="EO16" i="6" s="1"/>
  <c r="EP16" i="6" s="1"/>
  <c r="EQ16" i="6" s="1"/>
  <c r="ER16" i="6" s="1"/>
  <c r="CL16" i="6"/>
  <c r="CM16" i="6" s="1"/>
  <c r="CN16" i="6" s="1"/>
  <c r="CO16" i="6" s="1"/>
  <c r="CP16" i="6" s="1"/>
  <c r="AJ16" i="6"/>
  <c r="AK16" i="6" s="1"/>
  <c r="AL16" i="6" s="1"/>
  <c r="AM16" i="6" s="1"/>
  <c r="AN16" i="6" s="1"/>
  <c r="FF56" i="6"/>
  <c r="FG56" i="6" s="1"/>
  <c r="FH56" i="6" s="1"/>
  <c r="FI56" i="6" s="1"/>
  <c r="FJ56" i="6" s="1"/>
  <c r="DV56" i="6"/>
  <c r="DW56" i="6" s="1"/>
  <c r="DX56" i="6" s="1"/>
  <c r="DY56" i="6" s="1"/>
  <c r="DZ56" i="6" s="1"/>
  <c r="BH56" i="6"/>
  <c r="BI56" i="6" s="1"/>
  <c r="BJ56" i="6" s="1"/>
  <c r="BK56" i="6" s="1"/>
  <c r="BL56" i="6" s="1"/>
  <c r="F56" i="6"/>
  <c r="G56" i="6" s="1"/>
  <c r="H56" i="6" s="1"/>
  <c r="I56" i="6" s="1"/>
  <c r="J56" i="6" s="1"/>
  <c r="ET56" i="6"/>
  <c r="EU56" i="6" s="1"/>
  <c r="EV56" i="6" s="1"/>
  <c r="EW56" i="6" s="1"/>
  <c r="EX56" i="6" s="1"/>
  <c r="CX56" i="6"/>
  <c r="CY56" i="6" s="1"/>
  <c r="CZ56" i="6" s="1"/>
  <c r="DA56" i="6" s="1"/>
  <c r="DB56" i="6" s="1"/>
  <c r="CF56" i="6"/>
  <c r="CG56" i="6" s="1"/>
  <c r="CH56" i="6" s="1"/>
  <c r="CI56" i="6" s="1"/>
  <c r="CJ56" i="6" s="1"/>
  <c r="X56" i="6"/>
  <c r="Y56" i="6" s="1"/>
  <c r="Z56" i="6" s="1"/>
  <c r="AA56" i="6" s="1"/>
  <c r="AB56" i="6" s="1"/>
  <c r="GJ56" i="6"/>
  <c r="GK56" i="6" s="1"/>
  <c r="GL56" i="6" s="1"/>
  <c r="GM56" i="6" s="1"/>
  <c r="GN56" i="6" s="1"/>
  <c r="EH56" i="6"/>
  <c r="EI56" i="6" s="1"/>
  <c r="EJ56" i="6" s="1"/>
  <c r="EK56" i="6" s="1"/>
  <c r="EL56" i="6" s="1"/>
  <c r="AD56" i="6"/>
  <c r="AE56" i="6" s="1"/>
  <c r="AF56" i="6" s="1"/>
  <c r="AG56" i="6" s="1"/>
  <c r="AH56" i="6" s="1"/>
  <c r="L56" i="6"/>
  <c r="M56" i="6" s="1"/>
  <c r="N56" i="6" s="1"/>
  <c r="O56" i="6" s="1"/>
  <c r="P56" i="6" s="1"/>
  <c r="DJ56" i="6"/>
  <c r="DK56" i="6" s="1"/>
  <c r="DL56" i="6" s="1"/>
  <c r="DM56" i="6" s="1"/>
  <c r="DN56" i="6" s="1"/>
  <c r="BB56" i="6"/>
  <c r="BC56" i="6" s="1"/>
  <c r="BD56" i="6" s="1"/>
  <c r="BE56" i="6" s="1"/>
  <c r="BF56" i="6" s="1"/>
  <c r="GD56" i="6"/>
  <c r="GE56" i="6" s="1"/>
  <c r="GF56" i="6" s="1"/>
  <c r="GG56" i="6" s="1"/>
  <c r="GH56" i="6" s="1"/>
  <c r="DD56" i="6"/>
  <c r="DE56" i="6" s="1"/>
  <c r="DF56" i="6" s="1"/>
  <c r="DG56" i="6" s="1"/>
  <c r="DH56" i="6" s="1"/>
  <c r="BT56" i="6"/>
  <c r="BU56" i="6" s="1"/>
  <c r="BV56" i="6" s="1"/>
  <c r="BW56" i="6" s="1"/>
  <c r="BX56" i="6" s="1"/>
  <c r="FL56" i="6"/>
  <c r="FM56" i="6" s="1"/>
  <c r="FN56" i="6" s="1"/>
  <c r="FO56" i="6" s="1"/>
  <c r="FP56" i="6" s="1"/>
  <c r="CL56" i="6"/>
  <c r="CM56" i="6" s="1"/>
  <c r="CN56" i="6" s="1"/>
  <c r="CO56" i="6" s="1"/>
  <c r="CP56" i="6" s="1"/>
  <c r="AV56" i="6"/>
  <c r="AW56" i="6" s="1"/>
  <c r="AX56" i="6" s="1"/>
  <c r="AY56" i="6" s="1"/>
  <c r="AZ56" i="6" s="1"/>
  <c r="EB56" i="6"/>
  <c r="EC56" i="6" s="1"/>
  <c r="ED56" i="6" s="1"/>
  <c r="EE56" i="6" s="1"/>
  <c r="EF56" i="6" s="1"/>
  <c r="FX56" i="6"/>
  <c r="FY56" i="6" s="1"/>
  <c r="FZ56" i="6" s="1"/>
  <c r="GA56" i="6" s="1"/>
  <c r="GB56" i="6" s="1"/>
  <c r="BZ56" i="6"/>
  <c r="CA56" i="6" s="1"/>
  <c r="CB56" i="6" s="1"/>
  <c r="CC56" i="6" s="1"/>
  <c r="CD56" i="6" s="1"/>
  <c r="EZ56" i="6"/>
  <c r="FA56" i="6" s="1"/>
  <c r="FB56" i="6" s="1"/>
  <c r="FC56" i="6" s="1"/>
  <c r="FD56" i="6" s="1"/>
  <c r="R56" i="6"/>
  <c r="S56" i="6" s="1"/>
  <c r="T56" i="6" s="1"/>
  <c r="U56" i="6" s="1"/>
  <c r="V56" i="6" s="1"/>
  <c r="DP56" i="6"/>
  <c r="DQ56" i="6" s="1"/>
  <c r="DR56" i="6" s="1"/>
  <c r="DS56" i="6" s="1"/>
  <c r="DT56" i="6" s="1"/>
  <c r="AJ56" i="6"/>
  <c r="AK56" i="6" s="1"/>
  <c r="AL56" i="6" s="1"/>
  <c r="AM56" i="6" s="1"/>
  <c r="AN56" i="6" s="1"/>
  <c r="EN56" i="6"/>
  <c r="EO56" i="6" s="1"/>
  <c r="EP56" i="6" s="1"/>
  <c r="EQ56" i="6" s="1"/>
  <c r="ER56" i="6" s="1"/>
  <c r="AP56" i="6"/>
  <c r="AQ56" i="6" s="1"/>
  <c r="AR56" i="6" s="1"/>
  <c r="AS56" i="6" s="1"/>
  <c r="AT56" i="6" s="1"/>
  <c r="CR56" i="6"/>
  <c r="CS56" i="6" s="1"/>
  <c r="CT56" i="6" s="1"/>
  <c r="CU56" i="6" s="1"/>
  <c r="CV56" i="6" s="1"/>
  <c r="BN56" i="6"/>
  <c r="BO56" i="6" s="1"/>
  <c r="BP56" i="6" s="1"/>
  <c r="BQ56" i="6" s="1"/>
  <c r="BR56" i="6" s="1"/>
  <c r="DV92" i="6"/>
  <c r="DW92" i="6" s="1"/>
  <c r="DX92" i="6" s="1"/>
  <c r="DY92" i="6" s="1"/>
  <c r="DZ92" i="6" s="1"/>
  <c r="FF92" i="6"/>
  <c r="FG92" i="6" s="1"/>
  <c r="FH92" i="6" s="1"/>
  <c r="FI92" i="6" s="1"/>
  <c r="FJ92" i="6" s="1"/>
  <c r="ET92" i="6"/>
  <c r="EU92" i="6" s="1"/>
  <c r="EV92" i="6" s="1"/>
  <c r="EW92" i="6" s="1"/>
  <c r="EX92" i="6" s="1"/>
  <c r="BZ92" i="6"/>
  <c r="CA92" i="6" s="1"/>
  <c r="CB92" i="6" s="1"/>
  <c r="CC92" i="6" s="1"/>
  <c r="CD92" i="6" s="1"/>
  <c r="AD92" i="6"/>
  <c r="AE92" i="6" s="1"/>
  <c r="AF92" i="6" s="1"/>
  <c r="AG92" i="6" s="1"/>
  <c r="AH92" i="6" s="1"/>
  <c r="X92" i="6"/>
  <c r="Y92" i="6" s="1"/>
  <c r="Z92" i="6" s="1"/>
  <c r="AA92" i="6" s="1"/>
  <c r="AB92" i="6" s="1"/>
  <c r="GJ92" i="6"/>
  <c r="GK92" i="6" s="1"/>
  <c r="GL92" i="6" s="1"/>
  <c r="GM92" i="6" s="1"/>
  <c r="GN92" i="6" s="1"/>
  <c r="CF92" i="6"/>
  <c r="CG92" i="6" s="1"/>
  <c r="CH92" i="6" s="1"/>
  <c r="CI92" i="6" s="1"/>
  <c r="CJ92" i="6" s="1"/>
  <c r="FX92" i="6"/>
  <c r="FY92" i="6" s="1"/>
  <c r="FZ92" i="6" s="1"/>
  <c r="GA92" i="6" s="1"/>
  <c r="GB92" i="6" s="1"/>
  <c r="BB92" i="6"/>
  <c r="BC92" i="6" s="1"/>
  <c r="BD92" i="6" s="1"/>
  <c r="BE92" i="6" s="1"/>
  <c r="BF92" i="6" s="1"/>
  <c r="FL92" i="6"/>
  <c r="FM92" i="6" s="1"/>
  <c r="FN92" i="6" s="1"/>
  <c r="FO92" i="6" s="1"/>
  <c r="FP92" i="6" s="1"/>
  <c r="R92" i="6"/>
  <c r="S92" i="6" s="1"/>
  <c r="T92" i="6" s="1"/>
  <c r="U92" i="6" s="1"/>
  <c r="V92" i="6" s="1"/>
  <c r="EH92" i="6"/>
  <c r="EI92" i="6" s="1"/>
  <c r="EJ92" i="6" s="1"/>
  <c r="EK92" i="6" s="1"/>
  <c r="EL92" i="6" s="1"/>
  <c r="BH92" i="6"/>
  <c r="BI92" i="6" s="1"/>
  <c r="BJ92" i="6" s="1"/>
  <c r="BK92" i="6" s="1"/>
  <c r="BL92" i="6" s="1"/>
  <c r="DP92" i="6"/>
  <c r="DQ92" i="6" s="1"/>
  <c r="DR92" i="6" s="1"/>
  <c r="DS92" i="6" s="1"/>
  <c r="DT92" i="6" s="1"/>
  <c r="BN92" i="6"/>
  <c r="BO92" i="6" s="1"/>
  <c r="BP92" i="6" s="1"/>
  <c r="BQ92" i="6" s="1"/>
  <c r="BR92" i="6" s="1"/>
  <c r="EZ92" i="6"/>
  <c r="FA92" i="6" s="1"/>
  <c r="FB92" i="6" s="1"/>
  <c r="FC92" i="6" s="1"/>
  <c r="FD92" i="6" s="1"/>
  <c r="L92" i="6"/>
  <c r="M92" i="6" s="1"/>
  <c r="N92" i="6" s="1"/>
  <c r="O92" i="6" s="1"/>
  <c r="P92" i="6" s="1"/>
  <c r="GP94" i="6"/>
  <c r="GQ94" i="6" s="1"/>
  <c r="GR94" i="6" s="1"/>
  <c r="GS94" i="6" s="1"/>
  <c r="GT94" i="6" s="1"/>
  <c r="FL94" i="6"/>
  <c r="FM94" i="6" s="1"/>
  <c r="FN94" i="6" s="1"/>
  <c r="FO94" i="6" s="1"/>
  <c r="FP94" i="6" s="1"/>
  <c r="EH94" i="6"/>
  <c r="EI94" i="6" s="1"/>
  <c r="EJ94" i="6" s="1"/>
  <c r="EK94" i="6" s="1"/>
  <c r="EL94" i="6" s="1"/>
  <c r="R94" i="6"/>
  <c r="S94" i="6" s="1"/>
  <c r="T94" i="6" s="1"/>
  <c r="U94" i="6" s="1"/>
  <c r="V94" i="6" s="1"/>
  <c r="AJ94" i="6"/>
  <c r="AK94" i="6" s="1"/>
  <c r="AL94" i="6" s="1"/>
  <c r="AM94" i="6" s="1"/>
  <c r="AN94" i="6" s="1"/>
  <c r="ET94" i="6"/>
  <c r="EU94" i="6" s="1"/>
  <c r="EV94" i="6" s="1"/>
  <c r="EW94" i="6" s="1"/>
  <c r="EX94" i="6" s="1"/>
  <c r="DV94" i="6"/>
  <c r="DW94" i="6" s="1"/>
  <c r="DX94" i="6" s="1"/>
  <c r="DY94" i="6" s="1"/>
  <c r="DZ94" i="6" s="1"/>
  <c r="CX94" i="6"/>
  <c r="CY94" i="6" s="1"/>
  <c r="CZ94" i="6" s="1"/>
  <c r="DA94" i="6" s="1"/>
  <c r="DB94" i="6" s="1"/>
  <c r="BT94" i="6"/>
  <c r="BU94" i="6" s="1"/>
  <c r="BV94" i="6" s="1"/>
  <c r="BW94" i="6" s="1"/>
  <c r="BX94" i="6" s="1"/>
  <c r="FX94" i="6"/>
  <c r="FY94" i="6" s="1"/>
  <c r="FZ94" i="6" s="1"/>
  <c r="GA94" i="6" s="1"/>
  <c r="GB94" i="6" s="1"/>
  <c r="CL94" i="6"/>
  <c r="CM94" i="6" s="1"/>
  <c r="CN94" i="6" s="1"/>
  <c r="CO94" i="6" s="1"/>
  <c r="CP94" i="6" s="1"/>
  <c r="AP94" i="6"/>
  <c r="AQ94" i="6" s="1"/>
  <c r="AR94" i="6" s="1"/>
  <c r="AS94" i="6" s="1"/>
  <c r="AT94" i="6" s="1"/>
  <c r="FF94" i="6"/>
  <c r="FG94" i="6" s="1"/>
  <c r="FH94" i="6" s="1"/>
  <c r="FI94" i="6" s="1"/>
  <c r="FJ94" i="6" s="1"/>
  <c r="EZ94" i="6"/>
  <c r="FA94" i="6" s="1"/>
  <c r="FB94" i="6" s="1"/>
  <c r="FC94" i="6" s="1"/>
  <c r="FD94" i="6" s="1"/>
  <c r="X94" i="6"/>
  <c r="Y94" i="6" s="1"/>
  <c r="Z94" i="6" s="1"/>
  <c r="AA94" i="6" s="1"/>
  <c r="AB94" i="6" s="1"/>
  <c r="EB94" i="6"/>
  <c r="EC94" i="6" s="1"/>
  <c r="ED94" i="6" s="1"/>
  <c r="EE94" i="6" s="1"/>
  <c r="EF94" i="6" s="1"/>
  <c r="BB94" i="6"/>
  <c r="BC94" i="6" s="1"/>
  <c r="BD94" i="6" s="1"/>
  <c r="BE94" i="6" s="1"/>
  <c r="BF94" i="6" s="1"/>
  <c r="F94" i="6"/>
  <c r="G94" i="6" s="1"/>
  <c r="H94" i="6" s="1"/>
  <c r="I94" i="6" s="1"/>
  <c r="J94" i="6" s="1"/>
  <c r="DP94" i="6"/>
  <c r="DQ94" i="6" s="1"/>
  <c r="DR94" i="6" s="1"/>
  <c r="DS94" i="6" s="1"/>
  <c r="DT94" i="6" s="1"/>
  <c r="AD94" i="6"/>
  <c r="AE94" i="6" s="1"/>
  <c r="AF94" i="6" s="1"/>
  <c r="AG94" i="6" s="1"/>
  <c r="AH94" i="6" s="1"/>
  <c r="L94" i="6"/>
  <c r="M94" i="6" s="1"/>
  <c r="N94" i="6" s="1"/>
  <c r="O94" i="6" s="1"/>
  <c r="P94" i="6" s="1"/>
  <c r="GJ94" i="6"/>
  <c r="GK94" i="6" s="1"/>
  <c r="GL94" i="6" s="1"/>
  <c r="GM94" i="6" s="1"/>
  <c r="GN94" i="6" s="1"/>
  <c r="DJ94" i="6"/>
  <c r="DK94" i="6" s="1"/>
  <c r="DL94" i="6" s="1"/>
  <c r="DM94" i="6" s="1"/>
  <c r="DN94" i="6" s="1"/>
  <c r="BH94" i="6"/>
  <c r="BI94" i="6" s="1"/>
  <c r="BJ94" i="6" s="1"/>
  <c r="BK94" i="6" s="1"/>
  <c r="BL94" i="6" s="1"/>
  <c r="BZ94" i="6"/>
  <c r="CA94" i="6" s="1"/>
  <c r="CB94" i="6" s="1"/>
  <c r="CC94" i="6" s="1"/>
  <c r="CD94" i="6" s="1"/>
  <c r="FL46" i="6"/>
  <c r="FM46" i="6" s="1"/>
  <c r="FN46" i="6" s="1"/>
  <c r="FO46" i="6" s="1"/>
  <c r="FP46" i="6" s="1"/>
  <c r="FL13" i="6"/>
  <c r="FM13" i="6" s="1"/>
  <c r="FN13" i="6" s="1"/>
  <c r="FO13" i="6" s="1"/>
  <c r="FP13" i="6" s="1"/>
  <c r="FL86" i="6"/>
  <c r="FM86" i="6" s="1"/>
  <c r="FN86" i="6" s="1"/>
  <c r="FO86" i="6" s="1"/>
  <c r="FP86" i="6" s="1"/>
  <c r="FL98" i="6"/>
  <c r="FM98" i="6" s="1"/>
  <c r="FN98" i="6" s="1"/>
  <c r="FO98" i="6" s="1"/>
  <c r="FP98" i="6" s="1"/>
  <c r="FL83" i="6"/>
  <c r="FM83" i="6" s="1"/>
  <c r="FN83" i="6" s="1"/>
  <c r="FO83" i="6" s="1"/>
  <c r="FP83" i="6" s="1"/>
  <c r="FL36" i="6"/>
  <c r="FM36" i="6" s="1"/>
  <c r="FN36" i="6" s="1"/>
  <c r="FO36" i="6" s="1"/>
  <c r="FP36" i="6" s="1"/>
  <c r="FL78" i="6"/>
  <c r="FM78" i="6" s="1"/>
  <c r="FN78" i="6" s="1"/>
  <c r="FO78" i="6" s="1"/>
  <c r="FP78" i="6" s="1"/>
  <c r="FL52" i="6"/>
  <c r="FM52" i="6" s="1"/>
  <c r="FN52" i="6" s="1"/>
  <c r="FO52" i="6" s="1"/>
  <c r="FP52" i="6" s="1"/>
  <c r="FL60" i="6"/>
  <c r="FM60" i="6" s="1"/>
  <c r="FN60" i="6" s="1"/>
  <c r="FO60" i="6" s="1"/>
  <c r="FP60" i="6" s="1"/>
  <c r="FL25" i="6"/>
  <c r="FM25" i="6" s="1"/>
  <c r="FN25" i="6" s="1"/>
  <c r="FO25" i="6" s="1"/>
  <c r="FP25" i="6" s="1"/>
  <c r="FL54" i="6"/>
  <c r="FM54" i="6" s="1"/>
  <c r="FN54" i="6" s="1"/>
  <c r="FO54" i="6" s="1"/>
  <c r="FP54" i="6" s="1"/>
  <c r="FL93" i="6"/>
  <c r="FM93" i="6" s="1"/>
  <c r="FN93" i="6" s="1"/>
  <c r="FO93" i="6" s="1"/>
  <c r="FP93" i="6" s="1"/>
  <c r="FL44" i="6"/>
  <c r="FM44" i="6" s="1"/>
  <c r="FN44" i="6" s="1"/>
  <c r="FO44" i="6" s="1"/>
  <c r="FP44" i="6" s="1"/>
  <c r="FL27" i="6"/>
  <c r="FM27" i="6" s="1"/>
  <c r="FN27" i="6" s="1"/>
  <c r="FO27" i="6" s="1"/>
  <c r="FP27" i="6" s="1"/>
  <c r="FL105" i="6"/>
  <c r="FM105" i="6" s="1"/>
  <c r="FN105" i="6" s="1"/>
  <c r="FO105" i="6" s="1"/>
  <c r="FP105" i="6" s="1"/>
  <c r="FL79" i="6"/>
  <c r="FM79" i="6" s="1"/>
  <c r="FN79" i="6" s="1"/>
  <c r="FO79" i="6" s="1"/>
  <c r="FP79" i="6" s="1"/>
  <c r="FL11" i="6"/>
  <c r="FM11" i="6" s="1"/>
  <c r="FN11" i="6" s="1"/>
  <c r="FO11" i="6" s="1"/>
  <c r="FP11" i="6" s="1"/>
  <c r="FL91" i="6"/>
  <c r="FM91" i="6" s="1"/>
  <c r="FN91" i="6" s="1"/>
  <c r="FO91" i="6" s="1"/>
  <c r="FP91" i="6" s="1"/>
  <c r="FL69" i="6"/>
  <c r="FM69" i="6" s="1"/>
  <c r="FN69" i="6" s="1"/>
  <c r="FO69" i="6" s="1"/>
  <c r="FP69" i="6" s="1"/>
  <c r="FL99" i="6"/>
  <c r="FM99" i="6" s="1"/>
  <c r="FN99" i="6" s="1"/>
  <c r="FO99" i="6" s="1"/>
  <c r="FP99" i="6" s="1"/>
  <c r="FL68" i="6"/>
  <c r="FM68" i="6" s="1"/>
  <c r="FN68" i="6" s="1"/>
  <c r="FO68" i="6" s="1"/>
  <c r="FP68" i="6" s="1"/>
  <c r="FL74" i="6"/>
  <c r="FM74" i="6" s="1"/>
  <c r="FN74" i="6" s="1"/>
  <c r="FO74" i="6" s="1"/>
  <c r="FP74" i="6" s="1"/>
  <c r="FL70" i="6"/>
  <c r="FM70" i="6" s="1"/>
  <c r="FN70" i="6" s="1"/>
  <c r="FO70" i="6" s="1"/>
  <c r="FP70" i="6" s="1"/>
  <c r="FL45" i="6"/>
  <c r="FM45" i="6" s="1"/>
  <c r="FN45" i="6" s="1"/>
  <c r="FO45" i="6" s="1"/>
  <c r="FP45" i="6" s="1"/>
  <c r="FL19" i="6"/>
  <c r="FM19" i="6" s="1"/>
  <c r="FN19" i="6" s="1"/>
  <c r="FO19" i="6" s="1"/>
  <c r="FP19" i="6" s="1"/>
  <c r="FL26" i="6"/>
  <c r="FM26" i="6" s="1"/>
  <c r="FN26" i="6" s="1"/>
  <c r="FO26" i="6" s="1"/>
  <c r="FP26" i="6" s="1"/>
  <c r="FL75" i="6"/>
  <c r="FM75" i="6" s="1"/>
  <c r="FN75" i="6" s="1"/>
  <c r="FO75" i="6" s="1"/>
  <c r="FP75" i="6" s="1"/>
  <c r="FR72" i="6"/>
  <c r="FS72" i="6" s="1"/>
  <c r="FT72" i="6" s="1"/>
  <c r="FU72" i="6" s="1"/>
  <c r="FV72" i="6" s="1"/>
  <c r="FX72" i="6"/>
  <c r="FY72" i="6" s="1"/>
  <c r="FZ72" i="6" s="1"/>
  <c r="GA72" i="6" s="1"/>
  <c r="GB72" i="6" s="1"/>
  <c r="CR72" i="6"/>
  <c r="CS72" i="6" s="1"/>
  <c r="CT72" i="6" s="1"/>
  <c r="CU72" i="6" s="1"/>
  <c r="CV72" i="6" s="1"/>
  <c r="EZ72" i="6"/>
  <c r="FA72" i="6" s="1"/>
  <c r="FB72" i="6" s="1"/>
  <c r="FC72" i="6" s="1"/>
  <c r="FD72" i="6" s="1"/>
  <c r="AV72" i="6"/>
  <c r="AW72" i="6" s="1"/>
  <c r="AX72" i="6" s="1"/>
  <c r="AY72" i="6" s="1"/>
  <c r="AZ72" i="6" s="1"/>
  <c r="EN72" i="6"/>
  <c r="EO72" i="6" s="1"/>
  <c r="EP72" i="6" s="1"/>
  <c r="EQ72" i="6" s="1"/>
  <c r="ER72" i="6" s="1"/>
  <c r="CX72" i="6"/>
  <c r="CY72" i="6" s="1"/>
  <c r="CZ72" i="6" s="1"/>
  <c r="DA72" i="6" s="1"/>
  <c r="DB72" i="6" s="1"/>
  <c r="AP72" i="6"/>
  <c r="AQ72" i="6" s="1"/>
  <c r="AR72" i="6" s="1"/>
  <c r="AS72" i="6" s="1"/>
  <c r="AT72" i="6" s="1"/>
  <c r="EH72" i="6"/>
  <c r="EI72" i="6" s="1"/>
  <c r="EJ72" i="6" s="1"/>
  <c r="EK72" i="6" s="1"/>
  <c r="EL72" i="6" s="1"/>
  <c r="CL72" i="6"/>
  <c r="CM72" i="6" s="1"/>
  <c r="CN72" i="6" s="1"/>
  <c r="CO72" i="6" s="1"/>
  <c r="CP72" i="6" s="1"/>
  <c r="BH72" i="6"/>
  <c r="BI72" i="6" s="1"/>
  <c r="BJ72" i="6" s="1"/>
  <c r="BK72" i="6" s="1"/>
  <c r="BL72" i="6" s="1"/>
  <c r="DD72" i="6"/>
  <c r="DE72" i="6" s="1"/>
  <c r="DF72" i="6" s="1"/>
  <c r="DG72" i="6" s="1"/>
  <c r="DH72" i="6" s="1"/>
  <c r="DJ72" i="6"/>
  <c r="DK72" i="6" s="1"/>
  <c r="DL72" i="6" s="1"/>
  <c r="DM72" i="6" s="1"/>
  <c r="DN72" i="6" s="1"/>
  <c r="X72" i="6"/>
  <c r="Y72" i="6" s="1"/>
  <c r="Z72" i="6" s="1"/>
  <c r="AA72" i="6" s="1"/>
  <c r="AB72" i="6" s="1"/>
  <c r="FF72" i="6"/>
  <c r="FG72" i="6" s="1"/>
  <c r="FH72" i="6" s="1"/>
  <c r="FI72" i="6" s="1"/>
  <c r="FJ72" i="6" s="1"/>
  <c r="CF72" i="6"/>
  <c r="CG72" i="6" s="1"/>
  <c r="CH72" i="6" s="1"/>
  <c r="CI72" i="6" s="1"/>
  <c r="CJ72" i="6" s="1"/>
  <c r="F72" i="6"/>
  <c r="G72" i="6" s="1"/>
  <c r="H72" i="6" s="1"/>
  <c r="I72" i="6" s="1"/>
  <c r="J72" i="6" s="1"/>
  <c r="GJ72" i="6"/>
  <c r="GK72" i="6" s="1"/>
  <c r="GL72" i="6" s="1"/>
  <c r="GM72" i="6" s="1"/>
  <c r="GN72" i="6" s="1"/>
  <c r="ET72" i="6"/>
  <c r="EU72" i="6" s="1"/>
  <c r="EV72" i="6" s="1"/>
  <c r="EW72" i="6" s="1"/>
  <c r="EX72" i="6" s="1"/>
  <c r="BB72" i="6"/>
  <c r="BC72" i="6" s="1"/>
  <c r="BD72" i="6" s="1"/>
  <c r="BE72" i="6" s="1"/>
  <c r="BF72" i="6" s="1"/>
  <c r="L72" i="6"/>
  <c r="M72" i="6" s="1"/>
  <c r="N72" i="6" s="1"/>
  <c r="O72" i="6" s="1"/>
  <c r="P72" i="6" s="1"/>
  <c r="EH80" i="6"/>
  <c r="EI80" i="6" s="1"/>
  <c r="EJ80" i="6" s="1"/>
  <c r="EK80" i="6" s="1"/>
  <c r="EL80" i="6" s="1"/>
  <c r="DJ80" i="6"/>
  <c r="DK80" i="6" s="1"/>
  <c r="DL80" i="6" s="1"/>
  <c r="DM80" i="6" s="1"/>
  <c r="DN80" i="6" s="1"/>
  <c r="FF80" i="6"/>
  <c r="FG80" i="6" s="1"/>
  <c r="FH80" i="6" s="1"/>
  <c r="FI80" i="6" s="1"/>
  <c r="FJ80" i="6" s="1"/>
  <c r="AJ80" i="6"/>
  <c r="AK80" i="6" s="1"/>
  <c r="AL80" i="6" s="1"/>
  <c r="AM80" i="6" s="1"/>
  <c r="AN80" i="6" s="1"/>
  <c r="EZ80" i="6"/>
  <c r="FA80" i="6" s="1"/>
  <c r="FB80" i="6" s="1"/>
  <c r="FC80" i="6" s="1"/>
  <c r="FD80" i="6" s="1"/>
  <c r="CL80" i="6"/>
  <c r="CM80" i="6" s="1"/>
  <c r="CN80" i="6" s="1"/>
  <c r="CO80" i="6" s="1"/>
  <c r="CP80" i="6" s="1"/>
  <c r="BT80" i="6"/>
  <c r="BU80" i="6" s="1"/>
  <c r="BV80" i="6" s="1"/>
  <c r="BW80" i="6" s="1"/>
  <c r="BX80" i="6" s="1"/>
  <c r="GD80" i="6"/>
  <c r="GE80" i="6" s="1"/>
  <c r="GF80" i="6" s="1"/>
  <c r="GG80" i="6" s="1"/>
  <c r="GH80" i="6" s="1"/>
  <c r="AD80" i="6"/>
  <c r="AE80" i="6" s="1"/>
  <c r="AF80" i="6" s="1"/>
  <c r="AG80" i="6" s="1"/>
  <c r="AH80" i="6" s="1"/>
  <c r="BH80" i="6"/>
  <c r="BI80" i="6" s="1"/>
  <c r="BJ80" i="6" s="1"/>
  <c r="BK80" i="6" s="1"/>
  <c r="BL80" i="6" s="1"/>
  <c r="EB80" i="6"/>
  <c r="EC80" i="6" s="1"/>
  <c r="ED80" i="6" s="1"/>
  <c r="EE80" i="6" s="1"/>
  <c r="EF80" i="6" s="1"/>
  <c r="CX80" i="6"/>
  <c r="CY80" i="6" s="1"/>
  <c r="CZ80" i="6" s="1"/>
  <c r="DA80" i="6" s="1"/>
  <c r="DB80" i="6" s="1"/>
  <c r="L80" i="6"/>
  <c r="M80" i="6" s="1"/>
  <c r="N80" i="6" s="1"/>
  <c r="O80" i="6" s="1"/>
  <c r="P80" i="6" s="1"/>
  <c r="ET80" i="6"/>
  <c r="EU80" i="6" s="1"/>
  <c r="EV80" i="6" s="1"/>
  <c r="EW80" i="6" s="1"/>
  <c r="EX80" i="6" s="1"/>
  <c r="BB80" i="6"/>
  <c r="BC80" i="6" s="1"/>
  <c r="BD80" i="6" s="1"/>
  <c r="BE80" i="6" s="1"/>
  <c r="BF80" i="6" s="1"/>
  <c r="BZ80" i="6"/>
  <c r="CA80" i="6" s="1"/>
  <c r="CB80" i="6" s="1"/>
  <c r="CC80" i="6" s="1"/>
  <c r="CD80" i="6" s="1"/>
  <c r="DV80" i="6"/>
  <c r="DW80" i="6" s="1"/>
  <c r="DX80" i="6" s="1"/>
  <c r="DY80" i="6" s="1"/>
  <c r="DZ80" i="6" s="1"/>
  <c r="R80" i="6"/>
  <c r="S80" i="6" s="1"/>
  <c r="T80" i="6" s="1"/>
  <c r="U80" i="6" s="1"/>
  <c r="V80" i="6" s="1"/>
  <c r="AV80" i="6"/>
  <c r="AW80" i="6" s="1"/>
  <c r="AX80" i="6" s="1"/>
  <c r="AY80" i="6" s="1"/>
  <c r="AZ80" i="6" s="1"/>
  <c r="FX80" i="6"/>
  <c r="FY80" i="6" s="1"/>
  <c r="FZ80" i="6" s="1"/>
  <c r="GA80" i="6" s="1"/>
  <c r="GB80" i="6" s="1"/>
  <c r="CR80" i="6"/>
  <c r="CS80" i="6" s="1"/>
  <c r="CT80" i="6" s="1"/>
  <c r="CU80" i="6" s="1"/>
  <c r="CV80" i="6" s="1"/>
  <c r="AP80" i="6"/>
  <c r="AQ80" i="6" s="1"/>
  <c r="AR80" i="6" s="1"/>
  <c r="AS80" i="6" s="1"/>
  <c r="AT80" i="6" s="1"/>
  <c r="EN80" i="6"/>
  <c r="EO80" i="6" s="1"/>
  <c r="EP80" i="6" s="1"/>
  <c r="EQ80" i="6" s="1"/>
  <c r="ER80" i="6" s="1"/>
  <c r="DP80" i="6"/>
  <c r="DQ80" i="6" s="1"/>
  <c r="DR80" i="6" s="1"/>
  <c r="DS80" i="6" s="1"/>
  <c r="DT80" i="6" s="1"/>
  <c r="X80" i="6"/>
  <c r="Y80" i="6" s="1"/>
  <c r="Z80" i="6" s="1"/>
  <c r="AA80" i="6" s="1"/>
  <c r="AB80" i="6" s="1"/>
  <c r="FX88" i="6"/>
  <c r="FY88" i="6" s="1"/>
  <c r="FZ88" i="6" s="1"/>
  <c r="GA88" i="6" s="1"/>
  <c r="GB88" i="6" s="1"/>
  <c r="ET88" i="6"/>
  <c r="EU88" i="6" s="1"/>
  <c r="EV88" i="6" s="1"/>
  <c r="EW88" i="6" s="1"/>
  <c r="EX88" i="6" s="1"/>
  <c r="EB88" i="6"/>
  <c r="EC88" i="6" s="1"/>
  <c r="ED88" i="6" s="1"/>
  <c r="EE88" i="6" s="1"/>
  <c r="EF88" i="6" s="1"/>
  <c r="L88" i="6"/>
  <c r="M88" i="6" s="1"/>
  <c r="N88" i="6" s="1"/>
  <c r="O88" i="6" s="1"/>
  <c r="P88" i="6" s="1"/>
  <c r="FL88" i="6"/>
  <c r="FM88" i="6" s="1"/>
  <c r="FN88" i="6" s="1"/>
  <c r="FO88" i="6" s="1"/>
  <c r="FP88" i="6" s="1"/>
  <c r="DJ88" i="6"/>
  <c r="DK88" i="6" s="1"/>
  <c r="DL88" i="6" s="1"/>
  <c r="DM88" i="6" s="1"/>
  <c r="DN88" i="6" s="1"/>
  <c r="BN88" i="6"/>
  <c r="BO88" i="6" s="1"/>
  <c r="BP88" i="6" s="1"/>
  <c r="BQ88" i="6" s="1"/>
  <c r="BR88" i="6" s="1"/>
  <c r="EZ88" i="6"/>
  <c r="FA88" i="6" s="1"/>
  <c r="FB88" i="6" s="1"/>
  <c r="FC88" i="6" s="1"/>
  <c r="FD88" i="6" s="1"/>
  <c r="DP88" i="6"/>
  <c r="DQ88" i="6" s="1"/>
  <c r="DR88" i="6" s="1"/>
  <c r="DS88" i="6" s="1"/>
  <c r="DT88" i="6" s="1"/>
  <c r="BB88" i="6"/>
  <c r="BC88" i="6" s="1"/>
  <c r="BD88" i="6" s="1"/>
  <c r="BE88" i="6" s="1"/>
  <c r="BF88" i="6" s="1"/>
  <c r="DV88" i="6"/>
  <c r="DW88" i="6" s="1"/>
  <c r="DX88" i="6" s="1"/>
  <c r="DY88" i="6" s="1"/>
  <c r="DZ88" i="6" s="1"/>
  <c r="CX88" i="6"/>
  <c r="CY88" i="6" s="1"/>
  <c r="CZ88" i="6" s="1"/>
  <c r="DA88" i="6" s="1"/>
  <c r="DB88" i="6" s="1"/>
  <c r="AV88" i="6"/>
  <c r="AW88" i="6" s="1"/>
  <c r="AX88" i="6" s="1"/>
  <c r="AY88" i="6" s="1"/>
  <c r="AZ88" i="6" s="1"/>
  <c r="EH88" i="6"/>
  <c r="EI88" i="6" s="1"/>
  <c r="EJ88" i="6" s="1"/>
  <c r="EK88" i="6" s="1"/>
  <c r="EL88" i="6" s="1"/>
  <c r="AJ88" i="6"/>
  <c r="AK88" i="6" s="1"/>
  <c r="AL88" i="6" s="1"/>
  <c r="AM88" i="6" s="1"/>
  <c r="AN88" i="6" s="1"/>
  <c r="BT88" i="6"/>
  <c r="BU88" i="6" s="1"/>
  <c r="BV88" i="6" s="1"/>
  <c r="BW88" i="6" s="1"/>
  <c r="BX88" i="6" s="1"/>
  <c r="DD88" i="6"/>
  <c r="DE88" i="6" s="1"/>
  <c r="DF88" i="6" s="1"/>
  <c r="DG88" i="6" s="1"/>
  <c r="DH88" i="6" s="1"/>
  <c r="AP88" i="6"/>
  <c r="AQ88" i="6" s="1"/>
  <c r="AR88" i="6" s="1"/>
  <c r="AS88" i="6" s="1"/>
  <c r="AT88" i="6" s="1"/>
  <c r="BH88" i="6"/>
  <c r="BI88" i="6" s="1"/>
  <c r="BJ88" i="6" s="1"/>
  <c r="BK88" i="6" s="1"/>
  <c r="BL88" i="6" s="1"/>
  <c r="GJ88" i="6"/>
  <c r="GK88" i="6" s="1"/>
  <c r="GL88" i="6" s="1"/>
  <c r="GM88" i="6" s="1"/>
  <c r="GN88" i="6" s="1"/>
  <c r="AD88" i="6"/>
  <c r="AE88" i="6" s="1"/>
  <c r="AF88" i="6" s="1"/>
  <c r="AG88" i="6" s="1"/>
  <c r="AH88" i="6" s="1"/>
  <c r="BZ88" i="6"/>
  <c r="CA88" i="6" s="1"/>
  <c r="CB88" i="6" s="1"/>
  <c r="CC88" i="6" s="1"/>
  <c r="CD88" i="6" s="1"/>
  <c r="EN88" i="6"/>
  <c r="EO88" i="6" s="1"/>
  <c r="EP88" i="6" s="1"/>
  <c r="EQ88" i="6" s="1"/>
  <c r="ER88" i="6" s="1"/>
  <c r="CF88" i="6"/>
  <c r="CG88" i="6" s="1"/>
  <c r="CH88" i="6" s="1"/>
  <c r="CI88" i="6" s="1"/>
  <c r="CJ88" i="6" s="1"/>
  <c r="X88" i="6"/>
  <c r="Y88" i="6" s="1"/>
  <c r="Z88" i="6" s="1"/>
  <c r="AA88" i="6" s="1"/>
  <c r="AB88" i="6" s="1"/>
  <c r="FL104" i="6"/>
  <c r="FM104" i="6" s="1"/>
  <c r="FN104" i="6" s="1"/>
  <c r="FO104" i="6" s="1"/>
  <c r="FP104" i="6" s="1"/>
  <c r="EH104" i="6"/>
  <c r="EI104" i="6" s="1"/>
  <c r="EJ104" i="6" s="1"/>
  <c r="EK104" i="6" s="1"/>
  <c r="EL104" i="6" s="1"/>
  <c r="AD104" i="6"/>
  <c r="AE104" i="6" s="1"/>
  <c r="AF104" i="6" s="1"/>
  <c r="AG104" i="6" s="1"/>
  <c r="AH104" i="6" s="1"/>
  <c r="F104" i="6"/>
  <c r="G104" i="6" s="1"/>
  <c r="H104" i="6" s="1"/>
  <c r="I104" i="6" s="1"/>
  <c r="J104" i="6" s="1"/>
  <c r="FF104" i="6"/>
  <c r="FG104" i="6" s="1"/>
  <c r="FH104" i="6" s="1"/>
  <c r="FI104" i="6" s="1"/>
  <c r="FJ104" i="6" s="1"/>
  <c r="DJ104" i="6"/>
  <c r="DK104" i="6" s="1"/>
  <c r="DL104" i="6" s="1"/>
  <c r="DM104" i="6" s="1"/>
  <c r="DN104" i="6" s="1"/>
  <c r="BT104" i="6"/>
  <c r="BU104" i="6" s="1"/>
  <c r="BV104" i="6" s="1"/>
  <c r="BW104" i="6" s="1"/>
  <c r="BX104" i="6" s="1"/>
  <c r="EZ104" i="6"/>
  <c r="FA104" i="6" s="1"/>
  <c r="FB104" i="6" s="1"/>
  <c r="FC104" i="6" s="1"/>
  <c r="FD104" i="6" s="1"/>
  <c r="CL104" i="6"/>
  <c r="CM104" i="6" s="1"/>
  <c r="CN104" i="6" s="1"/>
  <c r="CO104" i="6" s="1"/>
  <c r="CP104" i="6" s="1"/>
  <c r="R104" i="6"/>
  <c r="S104" i="6" s="1"/>
  <c r="T104" i="6" s="1"/>
  <c r="U104" i="6" s="1"/>
  <c r="V104" i="6" s="1"/>
  <c r="DP104" i="6"/>
  <c r="DQ104" i="6" s="1"/>
  <c r="DR104" i="6" s="1"/>
  <c r="DS104" i="6" s="1"/>
  <c r="DT104" i="6" s="1"/>
  <c r="BH104" i="6"/>
  <c r="BI104" i="6" s="1"/>
  <c r="BJ104" i="6" s="1"/>
  <c r="BK104" i="6" s="1"/>
  <c r="BL104" i="6" s="1"/>
  <c r="L104" i="6"/>
  <c r="M104" i="6" s="1"/>
  <c r="N104" i="6" s="1"/>
  <c r="O104" i="6" s="1"/>
  <c r="P104" i="6" s="1"/>
  <c r="GD104" i="6"/>
  <c r="GE104" i="6" s="1"/>
  <c r="GF104" i="6" s="1"/>
  <c r="GG104" i="6" s="1"/>
  <c r="GH104" i="6" s="1"/>
  <c r="DV104" i="6"/>
  <c r="DW104" i="6" s="1"/>
  <c r="DX104" i="6" s="1"/>
  <c r="DY104" i="6" s="1"/>
  <c r="DZ104" i="6" s="1"/>
  <c r="CF104" i="6"/>
  <c r="CG104" i="6" s="1"/>
  <c r="CH104" i="6" s="1"/>
  <c r="CI104" i="6" s="1"/>
  <c r="CJ104" i="6" s="1"/>
  <c r="AJ104" i="6"/>
  <c r="AK104" i="6" s="1"/>
  <c r="AL104" i="6" s="1"/>
  <c r="AM104" i="6" s="1"/>
  <c r="AN104" i="6" s="1"/>
  <c r="EN104" i="6"/>
  <c r="EO104" i="6" s="1"/>
  <c r="EP104" i="6" s="1"/>
  <c r="EQ104" i="6" s="1"/>
  <c r="ER104" i="6" s="1"/>
  <c r="DD104" i="6"/>
  <c r="DE104" i="6" s="1"/>
  <c r="DF104" i="6" s="1"/>
  <c r="DG104" i="6" s="1"/>
  <c r="DH104" i="6" s="1"/>
  <c r="AP104" i="6"/>
  <c r="AQ104" i="6" s="1"/>
  <c r="AR104" i="6" s="1"/>
  <c r="AS104" i="6" s="1"/>
  <c r="AT104" i="6" s="1"/>
  <c r="AV104" i="6"/>
  <c r="AW104" i="6" s="1"/>
  <c r="AX104" i="6" s="1"/>
  <c r="AY104" i="6" s="1"/>
  <c r="AZ104" i="6" s="1"/>
  <c r="GJ104" i="6"/>
  <c r="GK104" i="6" s="1"/>
  <c r="GL104" i="6" s="1"/>
  <c r="GM104" i="6" s="1"/>
  <c r="GN104" i="6" s="1"/>
  <c r="CX104" i="6"/>
  <c r="CY104" i="6" s="1"/>
  <c r="CZ104" i="6" s="1"/>
  <c r="DA104" i="6" s="1"/>
  <c r="DB104" i="6" s="1"/>
  <c r="BN104" i="6"/>
  <c r="BO104" i="6" s="1"/>
  <c r="BP104" i="6" s="1"/>
  <c r="BQ104" i="6" s="1"/>
  <c r="BR104" i="6" s="1"/>
  <c r="EN86" i="6"/>
  <c r="EO86" i="6" s="1"/>
  <c r="EP86" i="6" s="1"/>
  <c r="EQ86" i="6" s="1"/>
  <c r="ER86" i="6" s="1"/>
  <c r="EN87" i="6"/>
  <c r="EO87" i="6" s="1"/>
  <c r="EP87" i="6" s="1"/>
  <c r="EQ87" i="6" s="1"/>
  <c r="ER87" i="6" s="1"/>
  <c r="EN70" i="6"/>
  <c r="EO70" i="6" s="1"/>
  <c r="EP70" i="6" s="1"/>
  <c r="EQ70" i="6" s="1"/>
  <c r="ER70" i="6" s="1"/>
  <c r="EN54" i="6"/>
  <c r="EO54" i="6" s="1"/>
  <c r="EP54" i="6" s="1"/>
  <c r="EQ54" i="6" s="1"/>
  <c r="ER54" i="6" s="1"/>
  <c r="EN91" i="6"/>
  <c r="EO91" i="6" s="1"/>
  <c r="EP91" i="6" s="1"/>
  <c r="EQ91" i="6" s="1"/>
  <c r="ER91" i="6" s="1"/>
  <c r="EN63" i="6"/>
  <c r="EO63" i="6" s="1"/>
  <c r="EP63" i="6" s="1"/>
  <c r="EQ63" i="6" s="1"/>
  <c r="ER63" i="6" s="1"/>
  <c r="EN26" i="6"/>
  <c r="EO26" i="6" s="1"/>
  <c r="EP26" i="6" s="1"/>
  <c r="EQ26" i="6" s="1"/>
  <c r="ER26" i="6" s="1"/>
  <c r="EN30" i="6"/>
  <c r="EO30" i="6" s="1"/>
  <c r="EP30" i="6" s="1"/>
  <c r="EQ30" i="6" s="1"/>
  <c r="ER30" i="6" s="1"/>
  <c r="EN37" i="6"/>
  <c r="EO37" i="6" s="1"/>
  <c r="EP37" i="6" s="1"/>
  <c r="EQ37" i="6" s="1"/>
  <c r="ER37" i="6" s="1"/>
  <c r="EN83" i="6"/>
  <c r="EO83" i="6" s="1"/>
  <c r="EP83" i="6" s="1"/>
  <c r="EQ83" i="6" s="1"/>
  <c r="ER83" i="6" s="1"/>
  <c r="EN93" i="6"/>
  <c r="EO93" i="6" s="1"/>
  <c r="EP93" i="6" s="1"/>
  <c r="EQ93" i="6" s="1"/>
  <c r="ER93" i="6" s="1"/>
  <c r="EN78" i="6"/>
  <c r="EO78" i="6" s="1"/>
  <c r="EP78" i="6" s="1"/>
  <c r="EQ78" i="6" s="1"/>
  <c r="ER78" i="6" s="1"/>
  <c r="EN81" i="6"/>
  <c r="EO81" i="6" s="1"/>
  <c r="EP81" i="6" s="1"/>
  <c r="EQ81" i="6" s="1"/>
  <c r="ER81" i="6" s="1"/>
  <c r="EN60" i="6"/>
  <c r="EO60" i="6" s="1"/>
  <c r="EP60" i="6" s="1"/>
  <c r="EQ60" i="6" s="1"/>
  <c r="ER60" i="6" s="1"/>
  <c r="EN19" i="6"/>
  <c r="EO19" i="6" s="1"/>
  <c r="EP19" i="6" s="1"/>
  <c r="EQ19" i="6" s="1"/>
  <c r="ER19" i="6" s="1"/>
  <c r="EN75" i="6"/>
  <c r="EO75" i="6" s="1"/>
  <c r="EP75" i="6" s="1"/>
  <c r="EQ75" i="6" s="1"/>
  <c r="ER75" i="6" s="1"/>
  <c r="EN53" i="6"/>
  <c r="EO53" i="6" s="1"/>
  <c r="EP53" i="6" s="1"/>
  <c r="EQ53" i="6" s="1"/>
  <c r="ER53" i="6" s="1"/>
  <c r="EN55" i="6"/>
  <c r="EO55" i="6" s="1"/>
  <c r="EP55" i="6" s="1"/>
  <c r="EQ55" i="6" s="1"/>
  <c r="ER55" i="6" s="1"/>
  <c r="EN45" i="6"/>
  <c r="EO45" i="6" s="1"/>
  <c r="EP45" i="6" s="1"/>
  <c r="EQ45" i="6" s="1"/>
  <c r="ER45" i="6" s="1"/>
  <c r="EN13" i="6"/>
  <c r="EO13" i="6" s="1"/>
  <c r="EP13" i="6" s="1"/>
  <c r="EQ13" i="6" s="1"/>
  <c r="ER13" i="6" s="1"/>
  <c r="EN69" i="6"/>
  <c r="EO69" i="6" s="1"/>
  <c r="EP69" i="6" s="1"/>
  <c r="EQ69" i="6" s="1"/>
  <c r="ER69" i="6" s="1"/>
  <c r="EN44" i="6"/>
  <c r="EO44" i="6" s="1"/>
  <c r="EP44" i="6" s="1"/>
  <c r="EQ44" i="6" s="1"/>
  <c r="ER44" i="6" s="1"/>
  <c r="EN99" i="6"/>
  <c r="EO99" i="6" s="1"/>
  <c r="EP99" i="6" s="1"/>
  <c r="EQ99" i="6" s="1"/>
  <c r="ER99" i="6" s="1"/>
  <c r="EN20" i="6"/>
  <c r="EO20" i="6" s="1"/>
  <c r="EP20" i="6" s="1"/>
  <c r="EQ20" i="6" s="1"/>
  <c r="ER20" i="6" s="1"/>
  <c r="CL53" i="6"/>
  <c r="CM53" i="6" s="1"/>
  <c r="CN53" i="6" s="1"/>
  <c r="CO53" i="6" s="1"/>
  <c r="CP53" i="6" s="1"/>
  <c r="CL55" i="6"/>
  <c r="CM55" i="6" s="1"/>
  <c r="CN55" i="6" s="1"/>
  <c r="CO55" i="6" s="1"/>
  <c r="CP55" i="6" s="1"/>
  <c r="CL69" i="6"/>
  <c r="CM69" i="6" s="1"/>
  <c r="CN69" i="6" s="1"/>
  <c r="CO69" i="6" s="1"/>
  <c r="CP69" i="6" s="1"/>
  <c r="CL74" i="6"/>
  <c r="CM74" i="6" s="1"/>
  <c r="CN74" i="6" s="1"/>
  <c r="CO74" i="6" s="1"/>
  <c r="CP74" i="6" s="1"/>
  <c r="CL70" i="6"/>
  <c r="CM70" i="6" s="1"/>
  <c r="CN70" i="6" s="1"/>
  <c r="CO70" i="6" s="1"/>
  <c r="CP70" i="6" s="1"/>
  <c r="CL26" i="6"/>
  <c r="CM26" i="6" s="1"/>
  <c r="CN26" i="6" s="1"/>
  <c r="CO26" i="6" s="1"/>
  <c r="CP26" i="6" s="1"/>
  <c r="CL100" i="6"/>
  <c r="CM100" i="6" s="1"/>
  <c r="CN100" i="6" s="1"/>
  <c r="CO100" i="6" s="1"/>
  <c r="CP100" i="6" s="1"/>
  <c r="CL79" i="6"/>
  <c r="CM79" i="6" s="1"/>
  <c r="CN79" i="6" s="1"/>
  <c r="CO79" i="6" s="1"/>
  <c r="CP79" i="6" s="1"/>
  <c r="CL36" i="6"/>
  <c r="CM36" i="6" s="1"/>
  <c r="CN36" i="6" s="1"/>
  <c r="CO36" i="6" s="1"/>
  <c r="CP36" i="6" s="1"/>
  <c r="CL20" i="6"/>
  <c r="CM20" i="6" s="1"/>
  <c r="CN20" i="6" s="1"/>
  <c r="CO20" i="6" s="1"/>
  <c r="CP20" i="6" s="1"/>
  <c r="CL60" i="6"/>
  <c r="CM60" i="6" s="1"/>
  <c r="CN60" i="6" s="1"/>
  <c r="CO60" i="6" s="1"/>
  <c r="CP60" i="6" s="1"/>
  <c r="CL49" i="6"/>
  <c r="CM49" i="6" s="1"/>
  <c r="CN49" i="6" s="1"/>
  <c r="CO49" i="6" s="1"/>
  <c r="CP49" i="6" s="1"/>
  <c r="CL105" i="6"/>
  <c r="CM105" i="6" s="1"/>
  <c r="CN105" i="6" s="1"/>
  <c r="CO105" i="6" s="1"/>
  <c r="CP105" i="6" s="1"/>
  <c r="CL98" i="6"/>
  <c r="CM98" i="6" s="1"/>
  <c r="CN98" i="6" s="1"/>
  <c r="CO98" i="6" s="1"/>
  <c r="CP98" i="6" s="1"/>
  <c r="CL75" i="6"/>
  <c r="CM75" i="6" s="1"/>
  <c r="CN75" i="6" s="1"/>
  <c r="CO75" i="6" s="1"/>
  <c r="CP75" i="6" s="1"/>
  <c r="CL18" i="6"/>
  <c r="CM18" i="6" s="1"/>
  <c r="CN18" i="6" s="1"/>
  <c r="CO18" i="6" s="1"/>
  <c r="CP18" i="6" s="1"/>
  <c r="CL45" i="6"/>
  <c r="CM45" i="6" s="1"/>
  <c r="CN45" i="6" s="1"/>
  <c r="CO45" i="6" s="1"/>
  <c r="CP45" i="6" s="1"/>
  <c r="CL78" i="6"/>
  <c r="CM78" i="6" s="1"/>
  <c r="CN78" i="6" s="1"/>
  <c r="CO78" i="6" s="1"/>
  <c r="CP78" i="6" s="1"/>
  <c r="CL13" i="6"/>
  <c r="CM13" i="6" s="1"/>
  <c r="CN13" i="6" s="1"/>
  <c r="CO13" i="6" s="1"/>
  <c r="CP13" i="6" s="1"/>
  <c r="AP87" i="6"/>
  <c r="AQ87" i="6" s="1"/>
  <c r="AR87" i="6" s="1"/>
  <c r="AS87" i="6" s="1"/>
  <c r="AT87" i="6" s="1"/>
  <c r="AP78" i="6"/>
  <c r="AQ78" i="6" s="1"/>
  <c r="AR78" i="6" s="1"/>
  <c r="AS78" i="6" s="1"/>
  <c r="AT78" i="6" s="1"/>
  <c r="AP63" i="6"/>
  <c r="AQ63" i="6" s="1"/>
  <c r="AR63" i="6" s="1"/>
  <c r="AS63" i="6" s="1"/>
  <c r="AT63" i="6" s="1"/>
  <c r="AP45" i="6"/>
  <c r="AQ45" i="6" s="1"/>
  <c r="AR45" i="6" s="1"/>
  <c r="AS45" i="6" s="1"/>
  <c r="AT45" i="6" s="1"/>
  <c r="AP19" i="6"/>
  <c r="AQ19" i="6" s="1"/>
  <c r="AR19" i="6" s="1"/>
  <c r="AS19" i="6" s="1"/>
  <c r="AT19" i="6" s="1"/>
  <c r="AP79" i="6"/>
  <c r="AQ79" i="6" s="1"/>
  <c r="AR79" i="6" s="1"/>
  <c r="AS79" i="6" s="1"/>
  <c r="AT79" i="6" s="1"/>
  <c r="AP26" i="6"/>
  <c r="AQ26" i="6" s="1"/>
  <c r="AR26" i="6" s="1"/>
  <c r="AS26" i="6" s="1"/>
  <c r="AT26" i="6" s="1"/>
  <c r="AP49" i="6"/>
  <c r="AQ49" i="6" s="1"/>
  <c r="AR49" i="6" s="1"/>
  <c r="AS49" i="6" s="1"/>
  <c r="AT49" i="6" s="1"/>
  <c r="AP30" i="6"/>
  <c r="AQ30" i="6" s="1"/>
  <c r="AR30" i="6" s="1"/>
  <c r="AS30" i="6" s="1"/>
  <c r="AT30" i="6" s="1"/>
  <c r="AP83" i="6"/>
  <c r="AQ83" i="6" s="1"/>
  <c r="AR83" i="6" s="1"/>
  <c r="AS83" i="6" s="1"/>
  <c r="AT83" i="6" s="1"/>
  <c r="AP81" i="6"/>
  <c r="AQ81" i="6" s="1"/>
  <c r="AR81" i="6" s="1"/>
  <c r="AS81" i="6" s="1"/>
  <c r="AT81" i="6" s="1"/>
  <c r="AP37" i="6"/>
  <c r="AQ37" i="6" s="1"/>
  <c r="AR37" i="6" s="1"/>
  <c r="AS37" i="6" s="1"/>
  <c r="AT37" i="6" s="1"/>
  <c r="AP69" i="6"/>
  <c r="AQ69" i="6" s="1"/>
  <c r="AR69" i="6" s="1"/>
  <c r="AS69" i="6" s="1"/>
  <c r="AT69" i="6" s="1"/>
  <c r="AP52" i="6"/>
  <c r="AQ52" i="6" s="1"/>
  <c r="AR52" i="6" s="1"/>
  <c r="AS52" i="6" s="1"/>
  <c r="AT52" i="6" s="1"/>
  <c r="AP75" i="6"/>
  <c r="AQ75" i="6" s="1"/>
  <c r="AR75" i="6" s="1"/>
  <c r="AS75" i="6" s="1"/>
  <c r="AT75" i="6" s="1"/>
  <c r="AP27" i="6"/>
  <c r="AQ27" i="6" s="1"/>
  <c r="AR27" i="6" s="1"/>
  <c r="AS27" i="6" s="1"/>
  <c r="AT27" i="6" s="1"/>
  <c r="AP93" i="6"/>
  <c r="AQ93" i="6" s="1"/>
  <c r="AR93" i="6" s="1"/>
  <c r="AS93" i="6" s="1"/>
  <c r="AT93" i="6" s="1"/>
  <c r="AP70" i="6"/>
  <c r="AQ70" i="6" s="1"/>
  <c r="AR70" i="6" s="1"/>
  <c r="AS70" i="6" s="1"/>
  <c r="AT70" i="6" s="1"/>
  <c r="AP99" i="6"/>
  <c r="AQ99" i="6" s="1"/>
  <c r="AR99" i="6" s="1"/>
  <c r="AS99" i="6" s="1"/>
  <c r="AT99" i="6" s="1"/>
  <c r="AP46" i="6"/>
  <c r="AQ46" i="6" s="1"/>
  <c r="AR46" i="6" s="1"/>
  <c r="AS46" i="6" s="1"/>
  <c r="AT46" i="6" s="1"/>
  <c r="AP105" i="6"/>
  <c r="AQ105" i="6" s="1"/>
  <c r="AR105" i="6" s="1"/>
  <c r="AS105" i="6" s="1"/>
  <c r="AT105" i="6" s="1"/>
  <c r="AP91" i="6"/>
  <c r="AQ91" i="6" s="1"/>
  <c r="AR91" i="6" s="1"/>
  <c r="AS91" i="6" s="1"/>
  <c r="AT91" i="6" s="1"/>
  <c r="AP20" i="6"/>
  <c r="AQ20" i="6" s="1"/>
  <c r="AR20" i="6" s="1"/>
  <c r="AS20" i="6" s="1"/>
  <c r="AT20" i="6" s="1"/>
  <c r="FL18" i="6"/>
  <c r="FM18" i="6" s="1"/>
  <c r="FN18" i="6" s="1"/>
  <c r="FO18" i="6" s="1"/>
  <c r="FP18" i="6" s="1"/>
  <c r="BZ72" i="6"/>
  <c r="CA72" i="6" s="1"/>
  <c r="CB72" i="6" s="1"/>
  <c r="CC72" i="6" s="1"/>
  <c r="CD72" i="6" s="1"/>
  <c r="GD94" i="6"/>
  <c r="GE94" i="6" s="1"/>
  <c r="GF94" i="6" s="1"/>
  <c r="GG94" i="6" s="1"/>
  <c r="GH94" i="6" s="1"/>
  <c r="CL99" i="6"/>
  <c r="CM99" i="6" s="1"/>
  <c r="CN99" i="6" s="1"/>
  <c r="CO99" i="6" s="1"/>
  <c r="CP99" i="6" s="1"/>
  <c r="R88" i="6"/>
  <c r="S88" i="6" s="1"/>
  <c r="T88" i="6" s="1"/>
  <c r="U88" i="6" s="1"/>
  <c r="V88" i="6" s="1"/>
  <c r="GP33" i="6"/>
  <c r="GQ33" i="6" s="1"/>
  <c r="GR33" i="6" s="1"/>
  <c r="GS33" i="6" s="1"/>
  <c r="GT33" i="6" s="1"/>
  <c r="FL33" i="6"/>
  <c r="FM33" i="6" s="1"/>
  <c r="FN33" i="6" s="1"/>
  <c r="FO33" i="6" s="1"/>
  <c r="FP33" i="6" s="1"/>
  <c r="DP33" i="6"/>
  <c r="DQ33" i="6" s="1"/>
  <c r="DR33" i="6" s="1"/>
  <c r="DS33" i="6" s="1"/>
  <c r="DT33" i="6" s="1"/>
  <c r="BH33" i="6"/>
  <c r="BI33" i="6" s="1"/>
  <c r="BJ33" i="6" s="1"/>
  <c r="BK33" i="6" s="1"/>
  <c r="BL33" i="6" s="1"/>
  <c r="L33" i="6"/>
  <c r="M33" i="6" s="1"/>
  <c r="N33" i="6" s="1"/>
  <c r="O33" i="6" s="1"/>
  <c r="P33" i="6" s="1"/>
  <c r="EZ33" i="6"/>
  <c r="FA33" i="6" s="1"/>
  <c r="FB33" i="6" s="1"/>
  <c r="FC33" i="6" s="1"/>
  <c r="FD33" i="6" s="1"/>
  <c r="EH33" i="6"/>
  <c r="EI33" i="6" s="1"/>
  <c r="EJ33" i="6" s="1"/>
  <c r="EK33" i="6" s="1"/>
  <c r="EL33" i="6" s="1"/>
  <c r="AP33" i="6"/>
  <c r="AQ33" i="6" s="1"/>
  <c r="AR33" i="6" s="1"/>
  <c r="AS33" i="6" s="1"/>
  <c r="AT33" i="6" s="1"/>
  <c r="BZ33" i="6"/>
  <c r="CA33" i="6" s="1"/>
  <c r="CB33" i="6" s="1"/>
  <c r="CC33" i="6" s="1"/>
  <c r="CD33" i="6" s="1"/>
  <c r="EB33" i="6"/>
  <c r="EC33" i="6" s="1"/>
  <c r="ED33" i="6" s="1"/>
  <c r="EE33" i="6" s="1"/>
  <c r="EF33" i="6" s="1"/>
  <c r="BB33" i="6"/>
  <c r="BC33" i="6" s="1"/>
  <c r="BD33" i="6" s="1"/>
  <c r="BE33" i="6" s="1"/>
  <c r="BF33" i="6" s="1"/>
  <c r="R33" i="6"/>
  <c r="S33" i="6" s="1"/>
  <c r="T33" i="6" s="1"/>
  <c r="U33" i="6" s="1"/>
  <c r="V33" i="6" s="1"/>
  <c r="DD33" i="6"/>
  <c r="DE33" i="6" s="1"/>
  <c r="DF33" i="6" s="1"/>
  <c r="DG33" i="6" s="1"/>
  <c r="DH33" i="6" s="1"/>
  <c r="CR33" i="6"/>
  <c r="CS33" i="6" s="1"/>
  <c r="CT33" i="6" s="1"/>
  <c r="CU33" i="6" s="1"/>
  <c r="CV33" i="6" s="1"/>
  <c r="AJ33" i="6"/>
  <c r="AK33" i="6" s="1"/>
  <c r="AL33" i="6" s="1"/>
  <c r="AM33" i="6" s="1"/>
  <c r="AN33" i="6" s="1"/>
  <c r="CX33" i="6"/>
  <c r="CY33" i="6" s="1"/>
  <c r="CZ33" i="6" s="1"/>
  <c r="DA33" i="6" s="1"/>
  <c r="DB33" i="6" s="1"/>
  <c r="FX33" i="6"/>
  <c r="FY33" i="6" s="1"/>
  <c r="FZ33" i="6" s="1"/>
  <c r="GA33" i="6" s="1"/>
  <c r="GB33" i="6" s="1"/>
  <c r="BT33" i="6"/>
  <c r="BU33" i="6" s="1"/>
  <c r="BV33" i="6" s="1"/>
  <c r="BW33" i="6" s="1"/>
  <c r="BX33" i="6" s="1"/>
  <c r="GJ33" i="6"/>
  <c r="GK33" i="6" s="1"/>
  <c r="GL33" i="6" s="1"/>
  <c r="GM33" i="6" s="1"/>
  <c r="GN33" i="6" s="1"/>
  <c r="CL33" i="6"/>
  <c r="CM33" i="6" s="1"/>
  <c r="CN33" i="6" s="1"/>
  <c r="CO33" i="6" s="1"/>
  <c r="CP33" i="6" s="1"/>
  <c r="X33" i="6"/>
  <c r="Y33" i="6" s="1"/>
  <c r="Z33" i="6" s="1"/>
  <c r="AA33" i="6" s="1"/>
  <c r="AB33" i="6" s="1"/>
  <c r="GD33" i="6"/>
  <c r="GE33" i="6" s="1"/>
  <c r="GF33" i="6" s="1"/>
  <c r="GG33" i="6" s="1"/>
  <c r="GH33" i="6" s="1"/>
  <c r="ET33" i="6"/>
  <c r="EU33" i="6" s="1"/>
  <c r="EV33" i="6" s="1"/>
  <c r="EW33" i="6" s="1"/>
  <c r="EX33" i="6" s="1"/>
  <c r="DJ33" i="6"/>
  <c r="DK33" i="6" s="1"/>
  <c r="DL33" i="6" s="1"/>
  <c r="DM33" i="6" s="1"/>
  <c r="DN33" i="6" s="1"/>
  <c r="F33" i="6"/>
  <c r="G33" i="6" s="1"/>
  <c r="H33" i="6" s="1"/>
  <c r="I33" i="6" s="1"/>
  <c r="J33" i="6" s="1"/>
  <c r="BN72" i="6"/>
  <c r="BO72" i="6" s="1"/>
  <c r="BP72" i="6" s="1"/>
  <c r="BQ72" i="6" s="1"/>
  <c r="BR72" i="6" s="1"/>
  <c r="AP74" i="6"/>
  <c r="AQ74" i="6" s="1"/>
  <c r="AR74" i="6" s="1"/>
  <c r="AS74" i="6" s="1"/>
  <c r="AT74" i="6" s="1"/>
  <c r="FL55" i="6"/>
  <c r="FM55" i="6" s="1"/>
  <c r="FN55" i="6" s="1"/>
  <c r="FO55" i="6" s="1"/>
  <c r="FP55" i="6" s="1"/>
  <c r="CR88" i="6"/>
  <c r="CS88" i="6" s="1"/>
  <c r="CT88" i="6" s="1"/>
  <c r="CU88" i="6" s="1"/>
  <c r="CV88" i="6" s="1"/>
  <c r="FX51" i="6"/>
  <c r="FY51" i="6" s="1"/>
  <c r="FZ51" i="6" s="1"/>
  <c r="GA51" i="6" s="1"/>
  <c r="GB51" i="6" s="1"/>
  <c r="FF51" i="6"/>
  <c r="FG51" i="6" s="1"/>
  <c r="FH51" i="6" s="1"/>
  <c r="FI51" i="6" s="1"/>
  <c r="FJ51" i="6" s="1"/>
  <c r="BB51" i="6"/>
  <c r="BC51" i="6" s="1"/>
  <c r="BD51" i="6" s="1"/>
  <c r="BE51" i="6" s="1"/>
  <c r="BF51" i="6" s="1"/>
  <c r="X51" i="6"/>
  <c r="Y51" i="6" s="1"/>
  <c r="Z51" i="6" s="1"/>
  <c r="AA51" i="6" s="1"/>
  <c r="AB51" i="6" s="1"/>
  <c r="EN51" i="6"/>
  <c r="EO51" i="6" s="1"/>
  <c r="EP51" i="6" s="1"/>
  <c r="EQ51" i="6" s="1"/>
  <c r="ER51" i="6" s="1"/>
  <c r="DD51" i="6"/>
  <c r="DE51" i="6" s="1"/>
  <c r="DF51" i="6" s="1"/>
  <c r="DG51" i="6" s="1"/>
  <c r="DH51" i="6" s="1"/>
  <c r="CR51" i="6"/>
  <c r="CS51" i="6" s="1"/>
  <c r="CT51" i="6" s="1"/>
  <c r="CU51" i="6" s="1"/>
  <c r="CV51" i="6" s="1"/>
  <c r="F51" i="6"/>
  <c r="G51" i="6" s="1"/>
  <c r="H51" i="6" s="1"/>
  <c r="I51" i="6" s="1"/>
  <c r="J51" i="6" s="1"/>
  <c r="GD51" i="6"/>
  <c r="GE51" i="6" s="1"/>
  <c r="GF51" i="6" s="1"/>
  <c r="GG51" i="6" s="1"/>
  <c r="GH51" i="6" s="1"/>
  <c r="EH51" i="6"/>
  <c r="EI51" i="6" s="1"/>
  <c r="EJ51" i="6" s="1"/>
  <c r="EK51" i="6" s="1"/>
  <c r="EL51" i="6" s="1"/>
  <c r="CL51" i="6"/>
  <c r="CM51" i="6" s="1"/>
  <c r="CN51" i="6" s="1"/>
  <c r="CO51" i="6" s="1"/>
  <c r="CP51" i="6" s="1"/>
  <c r="AP51" i="6"/>
  <c r="AQ51" i="6" s="1"/>
  <c r="AR51" i="6" s="1"/>
  <c r="AS51" i="6" s="1"/>
  <c r="AT51" i="6" s="1"/>
  <c r="R72" i="6"/>
  <c r="S72" i="6" s="1"/>
  <c r="T72" i="6" s="1"/>
  <c r="U72" i="6" s="1"/>
  <c r="V72" i="6" s="1"/>
  <c r="BZ104" i="6"/>
  <c r="CA104" i="6" s="1"/>
  <c r="CB104" i="6" s="1"/>
  <c r="CC104" i="6" s="1"/>
  <c r="CD104" i="6" s="1"/>
  <c r="CL44" i="6"/>
  <c r="CM44" i="6" s="1"/>
  <c r="CN44" i="6" s="1"/>
  <c r="CO44" i="6" s="1"/>
  <c r="CP44" i="6" s="1"/>
  <c r="AP55" i="6"/>
  <c r="AQ55" i="6" s="1"/>
  <c r="AR55" i="6" s="1"/>
  <c r="AS55" i="6" s="1"/>
  <c r="AT55" i="6" s="1"/>
  <c r="GD88" i="6"/>
  <c r="GE88" i="6" s="1"/>
  <c r="GF88" i="6" s="1"/>
  <c r="GG88" i="6" s="1"/>
  <c r="GH88" i="6" s="1"/>
  <c r="EH30" i="6"/>
  <c r="EI30" i="6" s="1"/>
  <c r="EJ30" i="6" s="1"/>
  <c r="EK30" i="6" s="1"/>
  <c r="EL30" i="6" s="1"/>
  <c r="EH83" i="6"/>
  <c r="EI83" i="6" s="1"/>
  <c r="EJ83" i="6" s="1"/>
  <c r="EK83" i="6" s="1"/>
  <c r="EL83" i="6" s="1"/>
  <c r="EH19" i="6"/>
  <c r="EI19" i="6" s="1"/>
  <c r="EJ19" i="6" s="1"/>
  <c r="EK19" i="6" s="1"/>
  <c r="EL19" i="6" s="1"/>
  <c r="EH86" i="6"/>
  <c r="EI86" i="6" s="1"/>
  <c r="EJ86" i="6" s="1"/>
  <c r="EK86" i="6" s="1"/>
  <c r="EL86" i="6" s="1"/>
  <c r="EH87" i="6"/>
  <c r="EI87" i="6" s="1"/>
  <c r="EJ87" i="6" s="1"/>
  <c r="EK87" i="6" s="1"/>
  <c r="EL87" i="6" s="1"/>
  <c r="EH69" i="6"/>
  <c r="EI69" i="6" s="1"/>
  <c r="EJ69" i="6" s="1"/>
  <c r="EK69" i="6" s="1"/>
  <c r="EL69" i="6" s="1"/>
  <c r="EH74" i="6"/>
  <c r="EI74" i="6" s="1"/>
  <c r="EJ74" i="6" s="1"/>
  <c r="EK74" i="6" s="1"/>
  <c r="EL74" i="6" s="1"/>
  <c r="EH93" i="6"/>
  <c r="EI93" i="6" s="1"/>
  <c r="EJ93" i="6" s="1"/>
  <c r="EK93" i="6" s="1"/>
  <c r="EL93" i="6" s="1"/>
  <c r="EH99" i="6"/>
  <c r="EI99" i="6" s="1"/>
  <c r="EJ99" i="6" s="1"/>
  <c r="EK99" i="6" s="1"/>
  <c r="EL99" i="6" s="1"/>
  <c r="EH20" i="6"/>
  <c r="EI20" i="6" s="1"/>
  <c r="EJ20" i="6" s="1"/>
  <c r="EK20" i="6" s="1"/>
  <c r="EL20" i="6" s="1"/>
  <c r="EH37" i="6"/>
  <c r="EI37" i="6" s="1"/>
  <c r="EJ37" i="6" s="1"/>
  <c r="EK37" i="6" s="1"/>
  <c r="EL37" i="6" s="1"/>
  <c r="EH25" i="6"/>
  <c r="EI25" i="6" s="1"/>
  <c r="EJ25" i="6" s="1"/>
  <c r="EK25" i="6" s="1"/>
  <c r="EL25" i="6" s="1"/>
  <c r="EH45" i="6"/>
  <c r="EI45" i="6" s="1"/>
  <c r="EJ45" i="6" s="1"/>
  <c r="EK45" i="6" s="1"/>
  <c r="EL45" i="6" s="1"/>
  <c r="EH26" i="6"/>
  <c r="EI26" i="6" s="1"/>
  <c r="EJ26" i="6" s="1"/>
  <c r="EK26" i="6" s="1"/>
  <c r="EL26" i="6" s="1"/>
  <c r="EH100" i="6"/>
  <c r="EI100" i="6" s="1"/>
  <c r="EJ100" i="6" s="1"/>
  <c r="EK100" i="6" s="1"/>
  <c r="EL100" i="6" s="1"/>
  <c r="EH49" i="6"/>
  <c r="EI49" i="6" s="1"/>
  <c r="EJ49" i="6" s="1"/>
  <c r="EK49" i="6" s="1"/>
  <c r="EL49" i="6" s="1"/>
  <c r="EH27" i="6"/>
  <c r="EI27" i="6" s="1"/>
  <c r="EJ27" i="6" s="1"/>
  <c r="EK27" i="6" s="1"/>
  <c r="EL27" i="6" s="1"/>
  <c r="EH70" i="6"/>
  <c r="EI70" i="6" s="1"/>
  <c r="EJ70" i="6" s="1"/>
  <c r="EK70" i="6" s="1"/>
  <c r="EL70" i="6" s="1"/>
  <c r="EH52" i="6"/>
  <c r="EI52" i="6" s="1"/>
  <c r="EJ52" i="6" s="1"/>
  <c r="EK52" i="6" s="1"/>
  <c r="EL52" i="6" s="1"/>
  <c r="EH79" i="6"/>
  <c r="EI79" i="6" s="1"/>
  <c r="EJ79" i="6" s="1"/>
  <c r="EK79" i="6" s="1"/>
  <c r="EL79" i="6" s="1"/>
  <c r="EH54" i="6"/>
  <c r="EI54" i="6" s="1"/>
  <c r="EJ54" i="6" s="1"/>
  <c r="EK54" i="6" s="1"/>
  <c r="EL54" i="6" s="1"/>
  <c r="EH105" i="6"/>
  <c r="EI105" i="6" s="1"/>
  <c r="EJ105" i="6" s="1"/>
  <c r="EK105" i="6" s="1"/>
  <c r="EL105" i="6" s="1"/>
  <c r="EH55" i="6"/>
  <c r="EI55" i="6" s="1"/>
  <c r="EJ55" i="6" s="1"/>
  <c r="EK55" i="6" s="1"/>
  <c r="EL55" i="6" s="1"/>
  <c r="EH63" i="6"/>
  <c r="EI63" i="6" s="1"/>
  <c r="EJ63" i="6" s="1"/>
  <c r="EK63" i="6" s="1"/>
  <c r="EL63" i="6" s="1"/>
  <c r="EH44" i="6"/>
  <c r="EI44" i="6" s="1"/>
  <c r="EJ44" i="6" s="1"/>
  <c r="EK44" i="6" s="1"/>
  <c r="EL44" i="6" s="1"/>
  <c r="AD72" i="6"/>
  <c r="AE72" i="6" s="1"/>
  <c r="AF72" i="6" s="1"/>
  <c r="AG72" i="6" s="1"/>
  <c r="AH72" i="6" s="1"/>
  <c r="BB104" i="6"/>
  <c r="BC104" i="6" s="1"/>
  <c r="BD104" i="6" s="1"/>
  <c r="BE104" i="6" s="1"/>
  <c r="BF104" i="6" s="1"/>
  <c r="F80" i="6"/>
  <c r="G80" i="6" s="1"/>
  <c r="H80" i="6" s="1"/>
  <c r="I80" i="6" s="1"/>
  <c r="J80" i="6" s="1"/>
  <c r="CF91" i="6"/>
  <c r="CG91" i="6" s="1"/>
  <c r="CH91" i="6" s="1"/>
  <c r="CI91" i="6" s="1"/>
  <c r="CJ91" i="6" s="1"/>
  <c r="CF37" i="6"/>
  <c r="CG37" i="6" s="1"/>
  <c r="CH37" i="6" s="1"/>
  <c r="CI37" i="6" s="1"/>
  <c r="CJ37" i="6" s="1"/>
  <c r="CF26" i="6"/>
  <c r="CG26" i="6" s="1"/>
  <c r="CH26" i="6" s="1"/>
  <c r="CI26" i="6" s="1"/>
  <c r="CJ26" i="6" s="1"/>
  <c r="CF105" i="6"/>
  <c r="CG105" i="6" s="1"/>
  <c r="CH105" i="6" s="1"/>
  <c r="CI105" i="6" s="1"/>
  <c r="CJ105" i="6" s="1"/>
  <c r="CF98" i="6"/>
  <c r="CG98" i="6" s="1"/>
  <c r="CH98" i="6" s="1"/>
  <c r="CI98" i="6" s="1"/>
  <c r="CJ98" i="6" s="1"/>
  <c r="CF19" i="6"/>
  <c r="CG19" i="6" s="1"/>
  <c r="CH19" i="6" s="1"/>
  <c r="CI19" i="6" s="1"/>
  <c r="CJ19" i="6" s="1"/>
  <c r="CF78" i="6"/>
  <c r="CG78" i="6" s="1"/>
  <c r="CH78" i="6" s="1"/>
  <c r="CI78" i="6" s="1"/>
  <c r="CJ78" i="6" s="1"/>
  <c r="CF79" i="6"/>
  <c r="CG79" i="6" s="1"/>
  <c r="CH79" i="6" s="1"/>
  <c r="CI79" i="6" s="1"/>
  <c r="CJ79" i="6" s="1"/>
  <c r="CF93" i="6"/>
  <c r="CG93" i="6" s="1"/>
  <c r="CH93" i="6" s="1"/>
  <c r="CI93" i="6" s="1"/>
  <c r="CJ93" i="6" s="1"/>
  <c r="CF11" i="6"/>
  <c r="CG11" i="6" s="1"/>
  <c r="CH11" i="6" s="1"/>
  <c r="CI11" i="6" s="1"/>
  <c r="CJ11" i="6" s="1"/>
  <c r="CF13" i="6"/>
  <c r="CG13" i="6" s="1"/>
  <c r="CH13" i="6" s="1"/>
  <c r="CI13" i="6" s="1"/>
  <c r="CJ13" i="6" s="1"/>
  <c r="CF70" i="6"/>
  <c r="CG70" i="6" s="1"/>
  <c r="CH70" i="6" s="1"/>
  <c r="CI70" i="6" s="1"/>
  <c r="CJ70" i="6" s="1"/>
  <c r="CF45" i="6"/>
  <c r="CG45" i="6" s="1"/>
  <c r="CH45" i="6" s="1"/>
  <c r="CI45" i="6" s="1"/>
  <c r="CJ45" i="6" s="1"/>
  <c r="CF20" i="6"/>
  <c r="CG20" i="6" s="1"/>
  <c r="CH20" i="6" s="1"/>
  <c r="CI20" i="6" s="1"/>
  <c r="CJ20" i="6" s="1"/>
  <c r="CF75" i="6"/>
  <c r="CG75" i="6" s="1"/>
  <c r="CH75" i="6" s="1"/>
  <c r="CI75" i="6" s="1"/>
  <c r="CJ75" i="6" s="1"/>
  <c r="CF52" i="6"/>
  <c r="CG52" i="6" s="1"/>
  <c r="CH52" i="6" s="1"/>
  <c r="CI52" i="6" s="1"/>
  <c r="CJ52" i="6" s="1"/>
  <c r="CF81" i="6"/>
  <c r="CG81" i="6" s="1"/>
  <c r="CH81" i="6" s="1"/>
  <c r="CI81" i="6" s="1"/>
  <c r="CJ81" i="6" s="1"/>
  <c r="CF87" i="6"/>
  <c r="CG87" i="6" s="1"/>
  <c r="CH87" i="6" s="1"/>
  <c r="CI87" i="6" s="1"/>
  <c r="CJ87" i="6" s="1"/>
  <c r="CF86" i="6"/>
  <c r="CG86" i="6" s="1"/>
  <c r="CH86" i="6" s="1"/>
  <c r="CI86" i="6" s="1"/>
  <c r="CJ86" i="6" s="1"/>
  <c r="CF83" i="6"/>
  <c r="CG83" i="6" s="1"/>
  <c r="CH83" i="6" s="1"/>
  <c r="CI83" i="6" s="1"/>
  <c r="CJ83" i="6" s="1"/>
  <c r="CF63" i="6"/>
  <c r="CG63" i="6" s="1"/>
  <c r="CH63" i="6" s="1"/>
  <c r="CI63" i="6" s="1"/>
  <c r="CJ63" i="6" s="1"/>
  <c r="CF99" i="6"/>
  <c r="CG99" i="6" s="1"/>
  <c r="CH99" i="6" s="1"/>
  <c r="CI99" i="6" s="1"/>
  <c r="CJ99" i="6" s="1"/>
  <c r="FL76" i="6"/>
  <c r="FM76" i="6" s="1"/>
  <c r="FN76" i="6" s="1"/>
  <c r="FO76" i="6" s="1"/>
  <c r="FP76" i="6" s="1"/>
  <c r="FL81" i="6"/>
  <c r="FM81" i="6" s="1"/>
  <c r="FN81" i="6" s="1"/>
  <c r="FO81" i="6" s="1"/>
  <c r="FP81" i="6" s="1"/>
  <c r="DV72" i="6"/>
  <c r="DW72" i="6" s="1"/>
  <c r="DX72" i="6" s="1"/>
  <c r="DY72" i="6" s="1"/>
  <c r="DZ72" i="6" s="1"/>
  <c r="CL52" i="6"/>
  <c r="CM52" i="6" s="1"/>
  <c r="CN52" i="6" s="1"/>
  <c r="CO52" i="6" s="1"/>
  <c r="CP52" i="6" s="1"/>
  <c r="CR104" i="6"/>
  <c r="CS104" i="6" s="1"/>
  <c r="CT104" i="6" s="1"/>
  <c r="CU104" i="6" s="1"/>
  <c r="CV104" i="6" s="1"/>
  <c r="EN36" i="6"/>
  <c r="EO36" i="6" s="1"/>
  <c r="EP36" i="6" s="1"/>
  <c r="EQ36" i="6" s="1"/>
  <c r="ER36" i="6" s="1"/>
  <c r="CL63" i="6"/>
  <c r="CM63" i="6" s="1"/>
  <c r="CN63" i="6" s="1"/>
  <c r="CO63" i="6" s="1"/>
  <c r="CP63" i="6" s="1"/>
  <c r="DD80" i="6"/>
  <c r="DE80" i="6" s="1"/>
  <c r="DF80" i="6" s="1"/>
  <c r="DG80" i="6" s="1"/>
  <c r="DH80" i="6" s="1"/>
  <c r="AJ105" i="6"/>
  <c r="AK105" i="6" s="1"/>
  <c r="AL105" i="6" s="1"/>
  <c r="AM105" i="6" s="1"/>
  <c r="AN105" i="6" s="1"/>
  <c r="AJ69" i="6"/>
  <c r="AK69" i="6" s="1"/>
  <c r="AL69" i="6" s="1"/>
  <c r="AM69" i="6" s="1"/>
  <c r="AN69" i="6" s="1"/>
  <c r="AJ74" i="6"/>
  <c r="AK74" i="6" s="1"/>
  <c r="AL74" i="6" s="1"/>
  <c r="AM74" i="6" s="1"/>
  <c r="AN74" i="6" s="1"/>
  <c r="AJ20" i="6"/>
  <c r="AK20" i="6" s="1"/>
  <c r="AL20" i="6" s="1"/>
  <c r="AM20" i="6" s="1"/>
  <c r="AN20" i="6" s="1"/>
  <c r="AJ30" i="6"/>
  <c r="AK30" i="6" s="1"/>
  <c r="AL30" i="6" s="1"/>
  <c r="AM30" i="6" s="1"/>
  <c r="AN30" i="6" s="1"/>
  <c r="AJ45" i="6"/>
  <c r="AK45" i="6" s="1"/>
  <c r="AL45" i="6" s="1"/>
  <c r="AM45" i="6" s="1"/>
  <c r="AN45" i="6" s="1"/>
  <c r="AJ99" i="6"/>
  <c r="AK99" i="6" s="1"/>
  <c r="AL99" i="6" s="1"/>
  <c r="AM99" i="6" s="1"/>
  <c r="AN99" i="6" s="1"/>
  <c r="AJ91" i="6"/>
  <c r="AK91" i="6" s="1"/>
  <c r="AL91" i="6" s="1"/>
  <c r="AM91" i="6" s="1"/>
  <c r="AN91" i="6" s="1"/>
  <c r="AJ19" i="6"/>
  <c r="AK19" i="6" s="1"/>
  <c r="AL19" i="6" s="1"/>
  <c r="AM19" i="6" s="1"/>
  <c r="AN19" i="6" s="1"/>
  <c r="AJ52" i="6"/>
  <c r="AK52" i="6" s="1"/>
  <c r="AL52" i="6" s="1"/>
  <c r="AM52" i="6" s="1"/>
  <c r="AN52" i="6" s="1"/>
  <c r="AJ63" i="6"/>
  <c r="AK63" i="6" s="1"/>
  <c r="AL63" i="6" s="1"/>
  <c r="AM63" i="6" s="1"/>
  <c r="AN63" i="6" s="1"/>
  <c r="AJ93" i="6"/>
  <c r="AK93" i="6" s="1"/>
  <c r="AL93" i="6" s="1"/>
  <c r="AM93" i="6" s="1"/>
  <c r="AN93" i="6" s="1"/>
  <c r="AJ26" i="6"/>
  <c r="AK26" i="6" s="1"/>
  <c r="AL26" i="6" s="1"/>
  <c r="AM26" i="6" s="1"/>
  <c r="AN26" i="6" s="1"/>
  <c r="AJ49" i="6"/>
  <c r="AK49" i="6" s="1"/>
  <c r="AL49" i="6" s="1"/>
  <c r="AM49" i="6" s="1"/>
  <c r="AN49" i="6" s="1"/>
  <c r="AJ66" i="6"/>
  <c r="AK66" i="6" s="1"/>
  <c r="AL66" i="6" s="1"/>
  <c r="AM66" i="6" s="1"/>
  <c r="AN66" i="6" s="1"/>
  <c r="AJ54" i="6"/>
  <c r="AK54" i="6" s="1"/>
  <c r="AL54" i="6" s="1"/>
  <c r="AM54" i="6" s="1"/>
  <c r="AN54" i="6" s="1"/>
  <c r="AJ44" i="6"/>
  <c r="AK44" i="6" s="1"/>
  <c r="AL44" i="6" s="1"/>
  <c r="AM44" i="6" s="1"/>
  <c r="AN44" i="6" s="1"/>
  <c r="AJ87" i="6"/>
  <c r="AK87" i="6" s="1"/>
  <c r="AL87" i="6" s="1"/>
  <c r="AM87" i="6" s="1"/>
  <c r="AN87" i="6" s="1"/>
  <c r="AJ53" i="6"/>
  <c r="AK53" i="6" s="1"/>
  <c r="AL53" i="6" s="1"/>
  <c r="AM53" i="6" s="1"/>
  <c r="AN53" i="6" s="1"/>
  <c r="AJ55" i="6"/>
  <c r="AK55" i="6" s="1"/>
  <c r="AL55" i="6" s="1"/>
  <c r="AM55" i="6" s="1"/>
  <c r="AN55" i="6" s="1"/>
  <c r="AJ36" i="6"/>
  <c r="AK36" i="6" s="1"/>
  <c r="AL36" i="6" s="1"/>
  <c r="AM36" i="6" s="1"/>
  <c r="AN36" i="6" s="1"/>
  <c r="DP72" i="6"/>
  <c r="DQ72" i="6" s="1"/>
  <c r="DR72" i="6" s="1"/>
  <c r="DS72" i="6" s="1"/>
  <c r="DT72" i="6" s="1"/>
  <c r="FL100" i="6"/>
  <c r="FM100" i="6" s="1"/>
  <c r="FN100" i="6" s="1"/>
  <c r="FO100" i="6" s="1"/>
  <c r="FP100" i="6" s="1"/>
  <c r="AV94" i="6"/>
  <c r="AW94" i="6" s="1"/>
  <c r="AX94" i="6" s="1"/>
  <c r="AY94" i="6" s="1"/>
  <c r="AZ94" i="6" s="1"/>
  <c r="FX104" i="6"/>
  <c r="FY104" i="6" s="1"/>
  <c r="FZ104" i="6" s="1"/>
  <c r="GA104" i="6" s="1"/>
  <c r="GB104" i="6" s="1"/>
  <c r="GJ80" i="6"/>
  <c r="GK80" i="6" s="1"/>
  <c r="GL80" i="6" s="1"/>
  <c r="GM80" i="6" s="1"/>
  <c r="GN80" i="6" s="1"/>
  <c r="DJ85" i="6"/>
  <c r="DK85" i="6" s="1"/>
  <c r="DL85" i="6" s="1"/>
  <c r="DM85" i="6" s="1"/>
  <c r="DN85" i="6" s="1"/>
  <c r="DV85" i="6"/>
  <c r="DW85" i="6" s="1"/>
  <c r="DX85" i="6" s="1"/>
  <c r="DY85" i="6" s="1"/>
  <c r="DZ85" i="6" s="1"/>
  <c r="AP85" i="6"/>
  <c r="AQ85" i="6" s="1"/>
  <c r="AR85" i="6" s="1"/>
  <c r="AS85" i="6" s="1"/>
  <c r="AT85" i="6" s="1"/>
  <c r="BN85" i="6"/>
  <c r="BO85" i="6" s="1"/>
  <c r="BP85" i="6" s="1"/>
  <c r="BQ85" i="6" s="1"/>
  <c r="BR85" i="6" s="1"/>
  <c r="EH85" i="6"/>
  <c r="EI85" i="6" s="1"/>
  <c r="EJ85" i="6" s="1"/>
  <c r="EK85" i="6" s="1"/>
  <c r="EL85" i="6" s="1"/>
  <c r="CR85" i="6"/>
  <c r="CS85" i="6" s="1"/>
  <c r="CT85" i="6" s="1"/>
  <c r="CU85" i="6" s="1"/>
  <c r="CV85" i="6" s="1"/>
  <c r="BH85" i="6"/>
  <c r="BI85" i="6" s="1"/>
  <c r="BJ85" i="6" s="1"/>
  <c r="BK85" i="6" s="1"/>
  <c r="BL85" i="6" s="1"/>
  <c r="AV85" i="6"/>
  <c r="AW85" i="6" s="1"/>
  <c r="AX85" i="6" s="1"/>
  <c r="AY85" i="6" s="1"/>
  <c r="AZ85" i="6" s="1"/>
  <c r="GD85" i="6"/>
  <c r="GE85" i="6" s="1"/>
  <c r="GF85" i="6" s="1"/>
  <c r="GG85" i="6" s="1"/>
  <c r="GH85" i="6" s="1"/>
  <c r="CF85" i="6"/>
  <c r="CG85" i="6" s="1"/>
  <c r="CH85" i="6" s="1"/>
  <c r="CI85" i="6" s="1"/>
  <c r="CJ85" i="6" s="1"/>
  <c r="R85" i="6"/>
  <c r="S85" i="6" s="1"/>
  <c r="T85" i="6" s="1"/>
  <c r="U85" i="6" s="1"/>
  <c r="V85" i="6" s="1"/>
  <c r="BZ85" i="6"/>
  <c r="CA85" i="6" s="1"/>
  <c r="CB85" i="6" s="1"/>
  <c r="CC85" i="6" s="1"/>
  <c r="CD85" i="6" s="1"/>
  <c r="GD90" i="6"/>
  <c r="GE90" i="6" s="1"/>
  <c r="GF90" i="6" s="1"/>
  <c r="GG90" i="6" s="1"/>
  <c r="GH90" i="6" s="1"/>
  <c r="FL90" i="6"/>
  <c r="FM90" i="6" s="1"/>
  <c r="FN90" i="6" s="1"/>
  <c r="FO90" i="6" s="1"/>
  <c r="FP90" i="6" s="1"/>
  <c r="AJ90" i="6"/>
  <c r="AK90" i="6" s="1"/>
  <c r="AL90" i="6" s="1"/>
  <c r="AM90" i="6" s="1"/>
  <c r="AN90" i="6" s="1"/>
  <c r="FF90" i="6"/>
  <c r="FG90" i="6" s="1"/>
  <c r="FH90" i="6" s="1"/>
  <c r="FI90" i="6" s="1"/>
  <c r="FJ90" i="6" s="1"/>
  <c r="CF90" i="6"/>
  <c r="CG90" i="6" s="1"/>
  <c r="CH90" i="6" s="1"/>
  <c r="CI90" i="6" s="1"/>
  <c r="CJ90" i="6" s="1"/>
  <c r="EN90" i="6"/>
  <c r="EO90" i="6" s="1"/>
  <c r="EP90" i="6" s="1"/>
  <c r="EQ90" i="6" s="1"/>
  <c r="ER90" i="6" s="1"/>
  <c r="BB90" i="6"/>
  <c r="BC90" i="6" s="1"/>
  <c r="BD90" i="6" s="1"/>
  <c r="BE90" i="6" s="1"/>
  <c r="BF90" i="6" s="1"/>
  <c r="DJ90" i="6"/>
  <c r="DK90" i="6" s="1"/>
  <c r="DL90" i="6" s="1"/>
  <c r="DM90" i="6" s="1"/>
  <c r="DN90" i="6" s="1"/>
  <c r="BH90" i="6"/>
  <c r="BI90" i="6" s="1"/>
  <c r="BJ90" i="6" s="1"/>
  <c r="BK90" i="6" s="1"/>
  <c r="BL90" i="6" s="1"/>
  <c r="CX90" i="6"/>
  <c r="CY90" i="6" s="1"/>
  <c r="CZ90" i="6" s="1"/>
  <c r="DA90" i="6" s="1"/>
  <c r="DB90" i="6" s="1"/>
  <c r="X90" i="6"/>
  <c r="Y90" i="6" s="1"/>
  <c r="Z90" i="6" s="1"/>
  <c r="AA90" i="6" s="1"/>
  <c r="AB90" i="6" s="1"/>
  <c r="AD90" i="6"/>
  <c r="AE90" i="6" s="1"/>
  <c r="AF90" i="6" s="1"/>
  <c r="AG90" i="6" s="1"/>
  <c r="AH90" i="6" s="1"/>
  <c r="F90" i="6"/>
  <c r="G90" i="6" s="1"/>
  <c r="H90" i="6" s="1"/>
  <c r="I90" i="6" s="1"/>
  <c r="J90" i="6" s="1"/>
  <c r="EZ90" i="6"/>
  <c r="FA90" i="6" s="1"/>
  <c r="FB90" i="6" s="1"/>
  <c r="FC90" i="6" s="1"/>
  <c r="FD90" i="6" s="1"/>
  <c r="L90" i="6"/>
  <c r="M90" i="6" s="1"/>
  <c r="N90" i="6" s="1"/>
  <c r="O90" i="6" s="1"/>
  <c r="P90" i="6" s="1"/>
  <c r="GJ90" i="6"/>
  <c r="GK90" i="6" s="1"/>
  <c r="GL90" i="6" s="1"/>
  <c r="GM90" i="6" s="1"/>
  <c r="GN90" i="6" s="1"/>
  <c r="AP90" i="6"/>
  <c r="AQ90" i="6" s="1"/>
  <c r="AR90" i="6" s="1"/>
  <c r="AS90" i="6" s="1"/>
  <c r="AT90" i="6" s="1"/>
  <c r="GJ86" i="6"/>
  <c r="GK86" i="6" s="1"/>
  <c r="GL86" i="6" s="1"/>
  <c r="GM86" i="6" s="1"/>
  <c r="GN86" i="6" s="1"/>
  <c r="GJ69" i="6"/>
  <c r="GK69" i="6" s="1"/>
  <c r="GL69" i="6" s="1"/>
  <c r="GM69" i="6" s="1"/>
  <c r="GN69" i="6" s="1"/>
  <c r="GJ36" i="6"/>
  <c r="GK36" i="6" s="1"/>
  <c r="GL36" i="6" s="1"/>
  <c r="GM36" i="6" s="1"/>
  <c r="GN36" i="6" s="1"/>
  <c r="GJ99" i="6"/>
  <c r="GK99" i="6" s="1"/>
  <c r="GL99" i="6" s="1"/>
  <c r="GM99" i="6" s="1"/>
  <c r="GN99" i="6" s="1"/>
  <c r="GJ26" i="6"/>
  <c r="GK26" i="6" s="1"/>
  <c r="GL26" i="6" s="1"/>
  <c r="GM26" i="6" s="1"/>
  <c r="GN26" i="6" s="1"/>
  <c r="GJ78" i="6"/>
  <c r="GK78" i="6" s="1"/>
  <c r="GL78" i="6" s="1"/>
  <c r="GM78" i="6" s="1"/>
  <c r="GN78" i="6" s="1"/>
  <c r="GJ13" i="6"/>
  <c r="GK13" i="6" s="1"/>
  <c r="GL13" i="6" s="1"/>
  <c r="GM13" i="6" s="1"/>
  <c r="GN13" i="6" s="1"/>
  <c r="GJ19" i="6"/>
  <c r="GK19" i="6" s="1"/>
  <c r="GL19" i="6" s="1"/>
  <c r="GM19" i="6" s="1"/>
  <c r="GN19" i="6" s="1"/>
  <c r="GJ79" i="6"/>
  <c r="GK79" i="6" s="1"/>
  <c r="GL79" i="6" s="1"/>
  <c r="GM79" i="6" s="1"/>
  <c r="GN79" i="6" s="1"/>
  <c r="GJ18" i="6"/>
  <c r="GK18" i="6" s="1"/>
  <c r="GL18" i="6" s="1"/>
  <c r="GM18" i="6" s="1"/>
  <c r="GN18" i="6" s="1"/>
  <c r="GJ105" i="6"/>
  <c r="GK105" i="6" s="1"/>
  <c r="GL105" i="6" s="1"/>
  <c r="GM105" i="6" s="1"/>
  <c r="GN105" i="6" s="1"/>
  <c r="GJ20" i="6"/>
  <c r="GK20" i="6" s="1"/>
  <c r="GL20" i="6" s="1"/>
  <c r="GM20" i="6" s="1"/>
  <c r="GN20" i="6" s="1"/>
  <c r="GJ100" i="6"/>
  <c r="GK100" i="6" s="1"/>
  <c r="GL100" i="6" s="1"/>
  <c r="GM100" i="6" s="1"/>
  <c r="GN100" i="6" s="1"/>
  <c r="GJ25" i="6"/>
  <c r="GK25" i="6" s="1"/>
  <c r="GL25" i="6" s="1"/>
  <c r="GM25" i="6" s="1"/>
  <c r="GN25" i="6" s="1"/>
  <c r="GJ46" i="6"/>
  <c r="GK46" i="6" s="1"/>
  <c r="GL46" i="6" s="1"/>
  <c r="GM46" i="6" s="1"/>
  <c r="GN46" i="6" s="1"/>
  <c r="GJ87" i="6"/>
  <c r="GK87" i="6" s="1"/>
  <c r="GL87" i="6" s="1"/>
  <c r="GM87" i="6" s="1"/>
  <c r="GN87" i="6" s="1"/>
  <c r="GJ11" i="6"/>
  <c r="GK11" i="6" s="1"/>
  <c r="GL11" i="6" s="1"/>
  <c r="GM11" i="6" s="1"/>
  <c r="GN11" i="6" s="1"/>
  <c r="GJ37" i="6"/>
  <c r="GK37" i="6" s="1"/>
  <c r="GL37" i="6" s="1"/>
  <c r="GM37" i="6" s="1"/>
  <c r="GN37" i="6" s="1"/>
  <c r="GJ63" i="6"/>
  <c r="GK63" i="6" s="1"/>
  <c r="GL63" i="6" s="1"/>
  <c r="GM63" i="6" s="1"/>
  <c r="GN63" i="6" s="1"/>
  <c r="GJ74" i="6"/>
  <c r="GK74" i="6" s="1"/>
  <c r="GL74" i="6" s="1"/>
  <c r="GM74" i="6" s="1"/>
  <c r="GN74" i="6" s="1"/>
  <c r="GJ93" i="6"/>
  <c r="GK93" i="6" s="1"/>
  <c r="GL93" i="6" s="1"/>
  <c r="GM93" i="6" s="1"/>
  <c r="GN93" i="6" s="1"/>
  <c r="GJ45" i="6"/>
  <c r="GK45" i="6" s="1"/>
  <c r="GL45" i="6" s="1"/>
  <c r="GM45" i="6" s="1"/>
  <c r="GN45" i="6" s="1"/>
  <c r="GJ75" i="6"/>
  <c r="GK75" i="6" s="1"/>
  <c r="GL75" i="6" s="1"/>
  <c r="GM75" i="6" s="1"/>
  <c r="GN75" i="6" s="1"/>
  <c r="GJ53" i="6"/>
  <c r="GK53" i="6" s="1"/>
  <c r="GL53" i="6" s="1"/>
  <c r="GM53" i="6" s="1"/>
  <c r="GN53" i="6" s="1"/>
  <c r="GJ98" i="6"/>
  <c r="GK98" i="6" s="1"/>
  <c r="GL98" i="6" s="1"/>
  <c r="GM98" i="6" s="1"/>
  <c r="GN98" i="6" s="1"/>
  <c r="GJ52" i="6"/>
  <c r="GK52" i="6" s="1"/>
  <c r="GL52" i="6" s="1"/>
  <c r="GM52" i="6" s="1"/>
  <c r="GN52" i="6" s="1"/>
  <c r="GP93" i="6"/>
  <c r="GQ93" i="6" s="1"/>
  <c r="GR93" i="6" s="1"/>
  <c r="GS93" i="6" s="1"/>
  <c r="GT93" i="6" s="1"/>
  <c r="EB93" i="6"/>
  <c r="EC93" i="6" s="1"/>
  <c r="ED93" i="6" s="1"/>
  <c r="EE93" i="6" s="1"/>
  <c r="EF93" i="6" s="1"/>
  <c r="AD93" i="6"/>
  <c r="AE93" i="6" s="1"/>
  <c r="AF93" i="6" s="1"/>
  <c r="AG93" i="6" s="1"/>
  <c r="AH93" i="6" s="1"/>
  <c r="CL93" i="6"/>
  <c r="CM93" i="6" s="1"/>
  <c r="CN93" i="6" s="1"/>
  <c r="CO93" i="6" s="1"/>
  <c r="CP93" i="6" s="1"/>
  <c r="GJ68" i="6"/>
  <c r="GK68" i="6" s="1"/>
  <c r="GL68" i="6" s="1"/>
  <c r="GM68" i="6" s="1"/>
  <c r="GN68" i="6" s="1"/>
  <c r="EN68" i="6"/>
  <c r="EO68" i="6" s="1"/>
  <c r="EP68" i="6" s="1"/>
  <c r="EQ68" i="6" s="1"/>
  <c r="ER68" i="6" s="1"/>
  <c r="R68" i="6"/>
  <c r="S68" i="6" s="1"/>
  <c r="T68" i="6" s="1"/>
  <c r="U68" i="6" s="1"/>
  <c r="V68" i="6" s="1"/>
  <c r="BZ68" i="6"/>
  <c r="CA68" i="6" s="1"/>
  <c r="CB68" i="6" s="1"/>
  <c r="CC68" i="6" s="1"/>
  <c r="CD68" i="6" s="1"/>
  <c r="CX68" i="6"/>
  <c r="CY68" i="6" s="1"/>
  <c r="CZ68" i="6" s="1"/>
  <c r="DA68" i="6" s="1"/>
  <c r="DB68" i="6" s="1"/>
  <c r="GD36" i="6"/>
  <c r="GE36" i="6" s="1"/>
  <c r="GF36" i="6" s="1"/>
  <c r="GG36" i="6" s="1"/>
  <c r="GH36" i="6" s="1"/>
  <c r="CX36" i="6"/>
  <c r="CY36" i="6" s="1"/>
  <c r="CZ36" i="6" s="1"/>
  <c r="DA36" i="6" s="1"/>
  <c r="DB36" i="6" s="1"/>
  <c r="FR86" i="6"/>
  <c r="FS86" i="6" s="1"/>
  <c r="FT86" i="6" s="1"/>
  <c r="FU86" i="6" s="1"/>
  <c r="FV86" i="6" s="1"/>
  <c r="ET86" i="6"/>
  <c r="EU86" i="6" s="1"/>
  <c r="EV86" i="6" s="1"/>
  <c r="EW86" i="6" s="1"/>
  <c r="EX86" i="6" s="1"/>
  <c r="AJ86" i="6"/>
  <c r="AK86" i="6" s="1"/>
  <c r="AL86" i="6" s="1"/>
  <c r="AM86" i="6" s="1"/>
  <c r="AN86" i="6" s="1"/>
  <c r="BZ37" i="6"/>
  <c r="CA37" i="6" s="1"/>
  <c r="CB37" i="6" s="1"/>
  <c r="CC37" i="6" s="1"/>
  <c r="CD37" i="6" s="1"/>
  <c r="DV37" i="6"/>
  <c r="DW37" i="6" s="1"/>
  <c r="DX37" i="6" s="1"/>
  <c r="DY37" i="6" s="1"/>
  <c r="DZ37" i="6" s="1"/>
  <c r="BZ55" i="6"/>
  <c r="CA55" i="6" s="1"/>
  <c r="CB55" i="6" s="1"/>
  <c r="CC55" i="6" s="1"/>
  <c r="CD55" i="6" s="1"/>
  <c r="X98" i="6"/>
  <c r="Y98" i="6" s="1"/>
  <c r="Z98" i="6" s="1"/>
  <c r="AA98" i="6" s="1"/>
  <c r="AB98" i="6" s="1"/>
  <c r="X53" i="6"/>
  <c r="Y53" i="6" s="1"/>
  <c r="Z53" i="6" s="1"/>
  <c r="AA53" i="6" s="1"/>
  <c r="AB53" i="6" s="1"/>
  <c r="EB91" i="6"/>
  <c r="EC91" i="6" s="1"/>
  <c r="ED91" i="6" s="1"/>
  <c r="EE91" i="6" s="1"/>
  <c r="EF91" i="6" s="1"/>
  <c r="AD54" i="6"/>
  <c r="AE54" i="6" s="1"/>
  <c r="AF54" i="6" s="1"/>
  <c r="AG54" i="6" s="1"/>
  <c r="AH54" i="6" s="1"/>
  <c r="BH86" i="6"/>
  <c r="BI86" i="6" s="1"/>
  <c r="BJ86" i="6" s="1"/>
  <c r="BK86" i="6" s="1"/>
  <c r="BL86" i="6" s="1"/>
  <c r="GD86" i="6"/>
  <c r="GE86" i="6" s="1"/>
  <c r="GF86" i="6" s="1"/>
  <c r="GG86" i="6" s="1"/>
  <c r="GH86" i="6" s="1"/>
  <c r="BN68" i="6"/>
  <c r="BO68" i="6" s="1"/>
  <c r="BP68" i="6" s="1"/>
  <c r="BQ68" i="6" s="1"/>
  <c r="BR68" i="6" s="1"/>
  <c r="CL68" i="6"/>
  <c r="CM68" i="6" s="1"/>
  <c r="CN68" i="6" s="1"/>
  <c r="CO68" i="6" s="1"/>
  <c r="CP68" i="6" s="1"/>
  <c r="X46" i="6"/>
  <c r="Y46" i="6" s="1"/>
  <c r="Z46" i="6" s="1"/>
  <c r="AA46" i="6" s="1"/>
  <c r="AB46" i="6" s="1"/>
  <c r="DV46" i="6"/>
  <c r="DW46" i="6" s="1"/>
  <c r="DX46" i="6" s="1"/>
  <c r="DY46" i="6" s="1"/>
  <c r="DZ46" i="6" s="1"/>
  <c r="EN46" i="6"/>
  <c r="EO46" i="6" s="1"/>
  <c r="EP46" i="6" s="1"/>
  <c r="EQ46" i="6" s="1"/>
  <c r="ER46" i="6" s="1"/>
  <c r="CF46" i="6"/>
  <c r="CG46" i="6" s="1"/>
  <c r="CH46" i="6" s="1"/>
  <c r="CI46" i="6" s="1"/>
  <c r="CJ46" i="6" s="1"/>
  <c r="L46" i="6"/>
  <c r="M46" i="6" s="1"/>
  <c r="N46" i="6" s="1"/>
  <c r="O46" i="6" s="1"/>
  <c r="P46" i="6" s="1"/>
  <c r="FR74" i="6"/>
  <c r="FS74" i="6" s="1"/>
  <c r="FT74" i="6" s="1"/>
  <c r="FU74" i="6" s="1"/>
  <c r="FV74" i="6" s="1"/>
  <c r="EN74" i="6"/>
  <c r="EO74" i="6" s="1"/>
  <c r="EP74" i="6" s="1"/>
  <c r="EQ74" i="6" s="1"/>
  <c r="ER74" i="6" s="1"/>
  <c r="CX74" i="6"/>
  <c r="CY74" i="6" s="1"/>
  <c r="CZ74" i="6" s="1"/>
  <c r="DA74" i="6" s="1"/>
  <c r="DB74" i="6" s="1"/>
  <c r="BN74" i="6"/>
  <c r="BO74" i="6" s="1"/>
  <c r="BP74" i="6" s="1"/>
  <c r="BQ74" i="6" s="1"/>
  <c r="BR74" i="6" s="1"/>
  <c r="GD30" i="6"/>
  <c r="GE30" i="6" s="1"/>
  <c r="GF30" i="6" s="1"/>
  <c r="GG30" i="6" s="1"/>
  <c r="GH30" i="6" s="1"/>
  <c r="EZ30" i="6"/>
  <c r="FA30" i="6" s="1"/>
  <c r="FB30" i="6" s="1"/>
  <c r="FC30" i="6" s="1"/>
  <c r="FD30" i="6" s="1"/>
  <c r="AD30" i="6"/>
  <c r="AE30" i="6" s="1"/>
  <c r="AF30" i="6" s="1"/>
  <c r="AG30" i="6" s="1"/>
  <c r="AH30" i="6" s="1"/>
  <c r="F30" i="6"/>
  <c r="G30" i="6" s="1"/>
  <c r="H30" i="6" s="1"/>
  <c r="I30" i="6" s="1"/>
  <c r="J30" i="6" s="1"/>
  <c r="ET105" i="6"/>
  <c r="EU105" i="6" s="1"/>
  <c r="EV105" i="6" s="1"/>
  <c r="EW105" i="6" s="1"/>
  <c r="EX105" i="6" s="1"/>
  <c r="DV105" i="6"/>
  <c r="DW105" i="6" s="1"/>
  <c r="DX105" i="6" s="1"/>
  <c r="DY105" i="6" s="1"/>
  <c r="DZ105" i="6" s="1"/>
  <c r="DJ105" i="6"/>
  <c r="DK105" i="6" s="1"/>
  <c r="DL105" i="6" s="1"/>
  <c r="DM105" i="6" s="1"/>
  <c r="DN105" i="6" s="1"/>
  <c r="BN105" i="6"/>
  <c r="BO105" i="6" s="1"/>
  <c r="BP105" i="6" s="1"/>
  <c r="BQ105" i="6" s="1"/>
  <c r="BR105" i="6" s="1"/>
  <c r="DV26" i="6"/>
  <c r="DW26" i="6" s="1"/>
  <c r="DX26" i="6" s="1"/>
  <c r="DY26" i="6" s="1"/>
  <c r="DZ26" i="6" s="1"/>
  <c r="X105" i="6"/>
  <c r="Y105" i="6" s="1"/>
  <c r="Z105" i="6" s="1"/>
  <c r="AA105" i="6" s="1"/>
  <c r="AB105" i="6" s="1"/>
  <c r="R86" i="6"/>
  <c r="S86" i="6" s="1"/>
  <c r="T86" i="6" s="1"/>
  <c r="U86" i="6" s="1"/>
  <c r="V86" i="6" s="1"/>
  <c r="CX86" i="6"/>
  <c r="CY86" i="6" s="1"/>
  <c r="CZ86" i="6" s="1"/>
  <c r="DA86" i="6" s="1"/>
  <c r="DB86" i="6" s="1"/>
  <c r="EB30" i="6"/>
  <c r="EC30" i="6" s="1"/>
  <c r="ED30" i="6" s="1"/>
  <c r="EE30" i="6" s="1"/>
  <c r="EF30" i="6" s="1"/>
  <c r="X68" i="6"/>
  <c r="Y68" i="6" s="1"/>
  <c r="Z68" i="6" s="1"/>
  <c r="AA68" i="6" s="1"/>
  <c r="AB68" i="6" s="1"/>
  <c r="ET68" i="6"/>
  <c r="EU68" i="6" s="1"/>
  <c r="EV68" i="6" s="1"/>
  <c r="EW68" i="6" s="1"/>
  <c r="EX68" i="6" s="1"/>
  <c r="ET70" i="6"/>
  <c r="EU70" i="6" s="1"/>
  <c r="EV70" i="6" s="1"/>
  <c r="EW70" i="6" s="1"/>
  <c r="EX70" i="6" s="1"/>
  <c r="GJ70" i="6"/>
  <c r="GK70" i="6" s="1"/>
  <c r="GL70" i="6" s="1"/>
  <c r="GM70" i="6" s="1"/>
  <c r="GN70" i="6" s="1"/>
  <c r="DP70" i="6"/>
  <c r="DQ70" i="6" s="1"/>
  <c r="DR70" i="6" s="1"/>
  <c r="DS70" i="6" s="1"/>
  <c r="DT70" i="6" s="1"/>
  <c r="R70" i="6"/>
  <c r="S70" i="6" s="1"/>
  <c r="T70" i="6" s="1"/>
  <c r="U70" i="6" s="1"/>
  <c r="V70" i="6" s="1"/>
  <c r="BZ70" i="6"/>
  <c r="CA70" i="6" s="1"/>
  <c r="CB70" i="6" s="1"/>
  <c r="CC70" i="6" s="1"/>
  <c r="CD70" i="6" s="1"/>
  <c r="FX54" i="6"/>
  <c r="FY54" i="6" s="1"/>
  <c r="FZ54" i="6" s="1"/>
  <c r="GA54" i="6" s="1"/>
  <c r="GB54" i="6" s="1"/>
  <c r="CF54" i="6"/>
  <c r="CG54" i="6" s="1"/>
  <c r="CH54" i="6" s="1"/>
  <c r="CI54" i="6" s="1"/>
  <c r="CJ54" i="6" s="1"/>
  <c r="CX54" i="6"/>
  <c r="CY54" i="6" s="1"/>
  <c r="CZ54" i="6" s="1"/>
  <c r="DA54" i="6" s="1"/>
  <c r="DB54" i="6" s="1"/>
  <c r="GP87" i="6"/>
  <c r="GQ87" i="6" s="1"/>
  <c r="GR87" i="6" s="1"/>
  <c r="GS87" i="6" s="1"/>
  <c r="GT87" i="6" s="1"/>
  <c r="GD87" i="6"/>
  <c r="GE87" i="6" s="1"/>
  <c r="GF87" i="6" s="1"/>
  <c r="GG87" i="6" s="1"/>
  <c r="GH87" i="6" s="1"/>
  <c r="DP87" i="6"/>
  <c r="DQ87" i="6" s="1"/>
  <c r="DR87" i="6" s="1"/>
  <c r="DS87" i="6" s="1"/>
  <c r="DT87" i="6" s="1"/>
  <c r="R87" i="6"/>
  <c r="S87" i="6" s="1"/>
  <c r="T87" i="6" s="1"/>
  <c r="U87" i="6" s="1"/>
  <c r="V87" i="6" s="1"/>
  <c r="X87" i="6"/>
  <c r="Y87" i="6" s="1"/>
  <c r="Z87" i="6" s="1"/>
  <c r="AA87" i="6" s="1"/>
  <c r="AB87" i="6" s="1"/>
  <c r="EH53" i="6"/>
  <c r="EI53" i="6" s="1"/>
  <c r="EJ53" i="6" s="1"/>
  <c r="EK53" i="6" s="1"/>
  <c r="EL53" i="6" s="1"/>
  <c r="FL53" i="6"/>
  <c r="FM53" i="6" s="1"/>
  <c r="FN53" i="6" s="1"/>
  <c r="FO53" i="6" s="1"/>
  <c r="FP53" i="6" s="1"/>
  <c r="FX53" i="6"/>
  <c r="FY53" i="6" s="1"/>
  <c r="FZ53" i="6" s="1"/>
  <c r="GA53" i="6" s="1"/>
  <c r="GB53" i="6" s="1"/>
  <c r="R53" i="6"/>
  <c r="S53" i="6" s="1"/>
  <c r="T53" i="6" s="1"/>
  <c r="U53" i="6" s="1"/>
  <c r="V53" i="6" s="1"/>
  <c r="GP63" i="6"/>
  <c r="GQ63" i="6" s="1"/>
  <c r="GR63" i="6" s="1"/>
  <c r="GS63" i="6" s="1"/>
  <c r="GT63" i="6" s="1"/>
  <c r="ET63" i="6"/>
  <c r="EU63" i="6" s="1"/>
  <c r="EV63" i="6" s="1"/>
  <c r="EW63" i="6" s="1"/>
  <c r="EX63" i="6" s="1"/>
  <c r="FX63" i="6"/>
  <c r="FY63" i="6" s="1"/>
  <c r="FZ63" i="6" s="1"/>
  <c r="GA63" i="6" s="1"/>
  <c r="GB63" i="6" s="1"/>
  <c r="BB63" i="6"/>
  <c r="BC63" i="6" s="1"/>
  <c r="BD63" i="6" s="1"/>
  <c r="BE63" i="6" s="1"/>
  <c r="BF63" i="6" s="1"/>
  <c r="AV63" i="6"/>
  <c r="AW63" i="6" s="1"/>
  <c r="AX63" i="6" s="1"/>
  <c r="AY63" i="6" s="1"/>
  <c r="AZ63" i="6" s="1"/>
  <c r="X69" i="6"/>
  <c r="Y69" i="6" s="1"/>
  <c r="Z69" i="6" s="1"/>
  <c r="AA69" i="6" s="1"/>
  <c r="AB69" i="6" s="1"/>
  <c r="DV69" i="6"/>
  <c r="DW69" i="6" s="1"/>
  <c r="DX69" i="6" s="1"/>
  <c r="DY69" i="6" s="1"/>
  <c r="DZ69" i="6" s="1"/>
  <c r="X55" i="6"/>
  <c r="Y55" i="6" s="1"/>
  <c r="Z55" i="6" s="1"/>
  <c r="AA55" i="6" s="1"/>
  <c r="AB55" i="6" s="1"/>
  <c r="BB87" i="6"/>
  <c r="BC87" i="6" s="1"/>
  <c r="BD87" i="6" s="1"/>
  <c r="BE87" i="6" s="1"/>
  <c r="BF87" i="6" s="1"/>
  <c r="DV87" i="6"/>
  <c r="DW87" i="6" s="1"/>
  <c r="DX87" i="6" s="1"/>
  <c r="DY87" i="6" s="1"/>
  <c r="DZ87" i="6" s="1"/>
  <c r="EB87" i="6"/>
  <c r="EC87" i="6" s="1"/>
  <c r="ED87" i="6" s="1"/>
  <c r="EE87" i="6" s="1"/>
  <c r="EF87" i="6" s="1"/>
  <c r="DV91" i="6"/>
  <c r="DW91" i="6" s="1"/>
  <c r="DX91" i="6" s="1"/>
  <c r="DY91" i="6" s="1"/>
  <c r="DZ91" i="6" s="1"/>
  <c r="BZ54" i="6"/>
  <c r="CA54" i="6" s="1"/>
  <c r="CB54" i="6" s="1"/>
  <c r="CC54" i="6" s="1"/>
  <c r="CD54" i="6" s="1"/>
  <c r="CR54" i="6"/>
  <c r="CS54" i="6" s="1"/>
  <c r="CT54" i="6" s="1"/>
  <c r="CU54" i="6" s="1"/>
  <c r="CV54" i="6" s="1"/>
  <c r="EB54" i="6"/>
  <c r="EC54" i="6" s="1"/>
  <c r="ED54" i="6" s="1"/>
  <c r="EE54" i="6" s="1"/>
  <c r="EF54" i="6" s="1"/>
  <c r="BB86" i="6"/>
  <c r="BC86" i="6" s="1"/>
  <c r="BD86" i="6" s="1"/>
  <c r="BE86" i="6" s="1"/>
  <c r="BF86" i="6" s="1"/>
  <c r="FF86" i="6"/>
  <c r="FG86" i="6" s="1"/>
  <c r="FH86" i="6" s="1"/>
  <c r="FI86" i="6" s="1"/>
  <c r="FJ86" i="6" s="1"/>
  <c r="AJ68" i="6"/>
  <c r="AK68" i="6" s="1"/>
  <c r="AL68" i="6" s="1"/>
  <c r="AM68" i="6" s="1"/>
  <c r="AN68" i="6" s="1"/>
  <c r="EB68" i="6"/>
  <c r="EC68" i="6" s="1"/>
  <c r="ED68" i="6" s="1"/>
  <c r="EE68" i="6" s="1"/>
  <c r="EF68" i="6" s="1"/>
  <c r="GJ91" i="6"/>
  <c r="GK91" i="6" s="1"/>
  <c r="GL91" i="6" s="1"/>
  <c r="GM91" i="6" s="1"/>
  <c r="GN91" i="6" s="1"/>
  <c r="EH91" i="6"/>
  <c r="EI91" i="6" s="1"/>
  <c r="EJ91" i="6" s="1"/>
  <c r="EK91" i="6" s="1"/>
  <c r="EL91" i="6" s="1"/>
  <c r="DD91" i="6"/>
  <c r="DE91" i="6" s="1"/>
  <c r="DF91" i="6" s="1"/>
  <c r="DG91" i="6" s="1"/>
  <c r="DH91" i="6" s="1"/>
  <c r="F91" i="6"/>
  <c r="G91" i="6" s="1"/>
  <c r="H91" i="6" s="1"/>
  <c r="I91" i="6" s="1"/>
  <c r="J91" i="6" s="1"/>
  <c r="DP45" i="6"/>
  <c r="DQ45" i="6" s="1"/>
  <c r="DR45" i="6" s="1"/>
  <c r="DS45" i="6" s="1"/>
  <c r="DT45" i="6" s="1"/>
  <c r="EZ37" i="6"/>
  <c r="FA37" i="6" s="1"/>
  <c r="FB37" i="6" s="1"/>
  <c r="FC37" i="6" s="1"/>
  <c r="FD37" i="6" s="1"/>
  <c r="FF37" i="6"/>
  <c r="FG37" i="6" s="1"/>
  <c r="FH37" i="6" s="1"/>
  <c r="FI37" i="6" s="1"/>
  <c r="FJ37" i="6" s="1"/>
  <c r="DJ37" i="6"/>
  <c r="DK37" i="6" s="1"/>
  <c r="DL37" i="6" s="1"/>
  <c r="DM37" i="6" s="1"/>
  <c r="DN37" i="6" s="1"/>
  <c r="L37" i="6"/>
  <c r="M37" i="6" s="1"/>
  <c r="N37" i="6" s="1"/>
  <c r="O37" i="6" s="1"/>
  <c r="P37" i="6" s="1"/>
  <c r="GP69" i="6"/>
  <c r="GQ69" i="6" s="1"/>
  <c r="GR69" i="6" s="1"/>
  <c r="GS69" i="6" s="1"/>
  <c r="GT69" i="6" s="1"/>
  <c r="GD69" i="6"/>
  <c r="GE69" i="6" s="1"/>
  <c r="GF69" i="6" s="1"/>
  <c r="GG69" i="6" s="1"/>
  <c r="GH69" i="6" s="1"/>
  <c r="DD69" i="6"/>
  <c r="DE69" i="6" s="1"/>
  <c r="DF69" i="6" s="1"/>
  <c r="DG69" i="6" s="1"/>
  <c r="DH69" i="6" s="1"/>
  <c r="AD69" i="6"/>
  <c r="AE69" i="6" s="1"/>
  <c r="AF69" i="6" s="1"/>
  <c r="AG69" i="6" s="1"/>
  <c r="AH69" i="6" s="1"/>
  <c r="AV69" i="6"/>
  <c r="AW69" i="6" s="1"/>
  <c r="AX69" i="6" s="1"/>
  <c r="AY69" i="6" s="1"/>
  <c r="AZ69" i="6" s="1"/>
  <c r="DJ83" i="6"/>
  <c r="DK83" i="6" s="1"/>
  <c r="DL83" i="6" s="1"/>
  <c r="DM83" i="6" s="1"/>
  <c r="DN83" i="6" s="1"/>
  <c r="DV83" i="6"/>
  <c r="DW83" i="6" s="1"/>
  <c r="DX83" i="6" s="1"/>
  <c r="DY83" i="6" s="1"/>
  <c r="DZ83" i="6" s="1"/>
  <c r="GJ83" i="6"/>
  <c r="GK83" i="6" s="1"/>
  <c r="GL83" i="6" s="1"/>
  <c r="GM83" i="6" s="1"/>
  <c r="GN83" i="6" s="1"/>
  <c r="AJ83" i="6"/>
  <c r="AK83" i="6" s="1"/>
  <c r="AL83" i="6" s="1"/>
  <c r="AM83" i="6" s="1"/>
  <c r="AN83" i="6" s="1"/>
  <c r="DV30" i="6"/>
  <c r="DW30" i="6" s="1"/>
  <c r="DX30" i="6" s="1"/>
  <c r="DY30" i="6" s="1"/>
  <c r="DZ30" i="6" s="1"/>
  <c r="BH68" i="6"/>
  <c r="BI68" i="6" s="1"/>
  <c r="BJ68" i="6" s="1"/>
  <c r="BK68" i="6" s="1"/>
  <c r="BL68" i="6" s="1"/>
  <c r="FX68" i="6"/>
  <c r="FY68" i="6" s="1"/>
  <c r="FZ68" i="6" s="1"/>
  <c r="GA68" i="6" s="1"/>
  <c r="GB68" i="6" s="1"/>
  <c r="FF13" i="6"/>
  <c r="FG13" i="6" s="1"/>
  <c r="FH13" i="6" s="1"/>
  <c r="FI13" i="6" s="1"/>
  <c r="FJ13" i="6" s="1"/>
  <c r="DD13" i="6"/>
  <c r="DE13" i="6" s="1"/>
  <c r="DF13" i="6" s="1"/>
  <c r="DG13" i="6" s="1"/>
  <c r="DH13" i="6" s="1"/>
  <c r="CX13" i="6"/>
  <c r="CY13" i="6" s="1"/>
  <c r="CZ13" i="6" s="1"/>
  <c r="DA13" i="6" s="1"/>
  <c r="DB13" i="6" s="1"/>
  <c r="BN13" i="6"/>
  <c r="BO13" i="6" s="1"/>
  <c r="BP13" i="6" s="1"/>
  <c r="BQ13" i="6" s="1"/>
  <c r="BR13" i="6" s="1"/>
  <c r="EZ55" i="6"/>
  <c r="FA55" i="6" s="1"/>
  <c r="FB55" i="6" s="1"/>
  <c r="FC55" i="6" s="1"/>
  <c r="FD55" i="6" s="1"/>
  <c r="GJ55" i="6"/>
  <c r="GK55" i="6" s="1"/>
  <c r="GL55" i="6" s="1"/>
  <c r="GM55" i="6" s="1"/>
  <c r="GN55" i="6" s="1"/>
  <c r="DV55" i="6"/>
  <c r="DW55" i="6" s="1"/>
  <c r="DX55" i="6" s="1"/>
  <c r="DY55" i="6" s="1"/>
  <c r="DZ55" i="6" s="1"/>
  <c r="BB55" i="6"/>
  <c r="BC55" i="6" s="1"/>
  <c r="BD55" i="6" s="1"/>
  <c r="BE55" i="6" s="1"/>
  <c r="BF55" i="6" s="1"/>
  <c r="AV55" i="6"/>
  <c r="AW55" i="6" s="1"/>
  <c r="AX55" i="6" s="1"/>
  <c r="AY55" i="6" s="1"/>
  <c r="AZ55" i="6" s="1"/>
  <c r="AP68" i="6"/>
  <c r="AQ68" i="6" s="1"/>
  <c r="AR68" i="6" s="1"/>
  <c r="AS68" i="6" s="1"/>
  <c r="AT68" i="6" s="1"/>
  <c r="EZ68" i="6"/>
  <c r="FA68" i="6" s="1"/>
  <c r="FB68" i="6" s="1"/>
  <c r="FC68" i="6" s="1"/>
  <c r="FD68" i="6" s="1"/>
  <c r="EH98" i="6"/>
  <c r="EI98" i="6" s="1"/>
  <c r="EJ98" i="6" s="1"/>
  <c r="EK98" i="6" s="1"/>
  <c r="EL98" i="6" s="1"/>
  <c r="GD98" i="6"/>
  <c r="GE98" i="6" s="1"/>
  <c r="GF98" i="6" s="1"/>
  <c r="GG98" i="6" s="1"/>
  <c r="GH98" i="6" s="1"/>
  <c r="DV98" i="6"/>
  <c r="DW98" i="6" s="1"/>
  <c r="DX98" i="6" s="1"/>
  <c r="DY98" i="6" s="1"/>
  <c r="DZ98" i="6" s="1"/>
  <c r="BB98" i="6"/>
  <c r="BC98" i="6" s="1"/>
  <c r="BD98" i="6" s="1"/>
  <c r="BE98" i="6" s="1"/>
  <c r="BF98" i="6" s="1"/>
  <c r="BZ98" i="6"/>
  <c r="CA98" i="6" s="1"/>
  <c r="CB98" i="6" s="1"/>
  <c r="CC98" i="6" s="1"/>
  <c r="CD98" i="6" s="1"/>
  <c r="ET20" i="6"/>
  <c r="EU20" i="6" s="1"/>
  <c r="EV20" i="6" s="1"/>
  <c r="EW20" i="6" s="1"/>
  <c r="EX20" i="6" s="1"/>
  <c r="GP52" i="6"/>
  <c r="GQ52" i="6" s="1"/>
  <c r="GR52" i="6" s="1"/>
  <c r="GS52" i="6" s="1"/>
  <c r="GT52" i="6" s="1"/>
  <c r="EH78" i="6"/>
  <c r="EI78" i="6" s="1"/>
  <c r="EJ78" i="6" s="1"/>
  <c r="EK78" i="6" s="1"/>
  <c r="EL78" i="6" s="1"/>
  <c r="GD100" i="6"/>
  <c r="GE100" i="6" s="1"/>
  <c r="GF100" i="6" s="1"/>
  <c r="GG100" i="6" s="1"/>
  <c r="GH100" i="6" s="1"/>
  <c r="FR79" i="6"/>
  <c r="FS79" i="6" s="1"/>
  <c r="FT79" i="6" s="1"/>
  <c r="FU79" i="6" s="1"/>
  <c r="FV79" i="6" s="1"/>
  <c r="FX75" i="6"/>
  <c r="FY75" i="6" s="1"/>
  <c r="FZ75" i="6" s="1"/>
  <c r="GA75" i="6" s="1"/>
  <c r="GB75" i="6" s="1"/>
  <c r="FR11" i="6"/>
  <c r="FS11" i="6" s="1"/>
  <c r="FT11" i="6" s="1"/>
  <c r="FU11" i="6" s="1"/>
  <c r="FV11" i="6" s="1"/>
  <c r="FR18" i="6"/>
  <c r="FS18" i="6" s="1"/>
  <c r="FT18" i="6" s="1"/>
  <c r="FU18" i="6" s="1"/>
  <c r="FV18" i="6" s="1"/>
  <c r="FR66" i="6"/>
  <c r="FS66" i="6" s="1"/>
  <c r="FT66" i="6" s="1"/>
  <c r="FU66" i="6" s="1"/>
  <c r="FV66" i="6" s="1"/>
  <c r="FR102" i="6"/>
  <c r="FS102" i="6" s="1"/>
  <c r="FT102" i="6" s="1"/>
  <c r="FU102" i="6" s="1"/>
  <c r="FV102" i="6" s="1"/>
  <c r="FR32" i="6"/>
  <c r="FS32" i="6" s="1"/>
  <c r="FT32" i="6" s="1"/>
  <c r="FU32" i="6" s="1"/>
  <c r="FV32" i="6" s="1"/>
  <c r="FR97" i="6"/>
  <c r="FS97" i="6" s="1"/>
  <c r="FT97" i="6" s="1"/>
  <c r="FU97" i="6" s="1"/>
  <c r="FV97" i="6" s="1"/>
  <c r="FR31" i="6"/>
  <c r="FS31" i="6" s="1"/>
  <c r="FT31" i="6" s="1"/>
  <c r="FU31" i="6" s="1"/>
  <c r="FV31" i="6" s="1"/>
  <c r="FR43" i="6"/>
  <c r="FS43" i="6" s="1"/>
  <c r="FT43" i="6" s="1"/>
  <c r="FU43" i="6" s="1"/>
  <c r="FV43" i="6" s="1"/>
  <c r="FR61" i="6"/>
  <c r="FS61" i="6" s="1"/>
  <c r="FT61" i="6" s="1"/>
  <c r="FU61" i="6" s="1"/>
  <c r="FV61" i="6" s="1"/>
  <c r="FR64" i="6"/>
  <c r="FS64" i="6" s="1"/>
  <c r="FT64" i="6" s="1"/>
  <c r="FU64" i="6" s="1"/>
  <c r="FV64" i="6" s="1"/>
  <c r="FR62" i="6"/>
  <c r="FS62" i="6" s="1"/>
  <c r="FT62" i="6" s="1"/>
  <c r="FU62" i="6" s="1"/>
  <c r="FV62" i="6" s="1"/>
  <c r="FR91" i="6"/>
  <c r="FS91" i="6" s="1"/>
  <c r="FT91" i="6" s="1"/>
  <c r="FU91" i="6" s="1"/>
  <c r="FV91" i="6" s="1"/>
  <c r="FR44" i="6"/>
  <c r="FS44" i="6" s="1"/>
  <c r="FT44" i="6" s="1"/>
  <c r="FU44" i="6" s="1"/>
  <c r="FV44" i="6" s="1"/>
  <c r="FR104" i="6"/>
  <c r="FS104" i="6" s="1"/>
  <c r="FT104" i="6" s="1"/>
  <c r="FU104" i="6" s="1"/>
  <c r="FV104" i="6" s="1"/>
  <c r="FR19" i="6"/>
  <c r="FS19" i="6" s="1"/>
  <c r="FT19" i="6" s="1"/>
  <c r="FU19" i="6" s="1"/>
  <c r="FV19" i="6" s="1"/>
  <c r="FR52" i="6"/>
  <c r="FS52" i="6" s="1"/>
  <c r="FT52" i="6" s="1"/>
  <c r="FU52" i="6" s="1"/>
  <c r="FV52" i="6" s="1"/>
  <c r="FR56" i="6"/>
  <c r="FS56" i="6" s="1"/>
  <c r="FT56" i="6" s="1"/>
  <c r="FU56" i="6" s="1"/>
  <c r="FV56" i="6" s="1"/>
  <c r="FR101" i="6"/>
  <c r="FS101" i="6" s="1"/>
  <c r="FT101" i="6" s="1"/>
  <c r="FU101" i="6" s="1"/>
  <c r="FV101" i="6" s="1"/>
  <c r="FR14" i="6"/>
  <c r="FS14" i="6" s="1"/>
  <c r="FT14" i="6" s="1"/>
  <c r="FU14" i="6" s="1"/>
  <c r="FV14" i="6" s="1"/>
  <c r="FR38" i="6"/>
  <c r="FS38" i="6" s="1"/>
  <c r="FT38" i="6" s="1"/>
  <c r="FU38" i="6" s="1"/>
  <c r="FV38" i="6" s="1"/>
  <c r="FR103" i="6"/>
  <c r="FS103" i="6" s="1"/>
  <c r="FT103" i="6" s="1"/>
  <c r="FU103" i="6" s="1"/>
  <c r="FV103" i="6" s="1"/>
  <c r="FR96" i="6"/>
  <c r="FS96" i="6" s="1"/>
  <c r="FT96" i="6" s="1"/>
  <c r="FU96" i="6" s="1"/>
  <c r="FV96" i="6" s="1"/>
  <c r="FR24" i="6"/>
  <c r="FS24" i="6" s="1"/>
  <c r="FT24" i="6" s="1"/>
  <c r="FU24" i="6" s="1"/>
  <c r="FV24" i="6" s="1"/>
  <c r="FR67" i="6"/>
  <c r="FS67" i="6" s="1"/>
  <c r="FT67" i="6" s="1"/>
  <c r="FU67" i="6" s="1"/>
  <c r="FV67" i="6" s="1"/>
  <c r="FR40" i="6"/>
  <c r="FS40" i="6" s="1"/>
  <c r="FT40" i="6" s="1"/>
  <c r="FU40" i="6" s="1"/>
  <c r="FV40" i="6" s="1"/>
  <c r="FR65" i="6"/>
  <c r="FS65" i="6" s="1"/>
  <c r="FT65" i="6" s="1"/>
  <c r="FU65" i="6" s="1"/>
  <c r="FV65" i="6" s="1"/>
  <c r="FR77" i="6"/>
  <c r="FS77" i="6" s="1"/>
  <c r="FT77" i="6" s="1"/>
  <c r="FU77" i="6" s="1"/>
  <c r="FV77" i="6" s="1"/>
  <c r="FR41" i="6"/>
  <c r="FS41" i="6" s="1"/>
  <c r="FT41" i="6" s="1"/>
  <c r="FU41" i="6" s="1"/>
  <c r="FV41" i="6" s="1"/>
  <c r="FR71" i="6"/>
  <c r="FS71" i="6" s="1"/>
  <c r="FT71" i="6" s="1"/>
  <c r="FU71" i="6" s="1"/>
  <c r="FV71" i="6" s="1"/>
  <c r="FR46" i="6"/>
  <c r="FS46" i="6" s="1"/>
  <c r="FT46" i="6" s="1"/>
  <c r="FU46" i="6" s="1"/>
  <c r="FV46" i="6" s="1"/>
  <c r="FR90" i="6"/>
  <c r="FS90" i="6" s="1"/>
  <c r="FT90" i="6" s="1"/>
  <c r="FU90" i="6" s="1"/>
  <c r="FV90" i="6" s="1"/>
  <c r="FR92" i="6"/>
  <c r="FS92" i="6" s="1"/>
  <c r="FT92" i="6" s="1"/>
  <c r="FU92" i="6" s="1"/>
  <c r="FV92" i="6" s="1"/>
  <c r="FR87" i="6"/>
  <c r="FS87" i="6" s="1"/>
  <c r="FT87" i="6" s="1"/>
  <c r="FU87" i="6" s="1"/>
  <c r="FV87" i="6" s="1"/>
  <c r="FR53" i="6"/>
  <c r="FS53" i="6" s="1"/>
  <c r="FT53" i="6" s="1"/>
  <c r="FU53" i="6" s="1"/>
  <c r="FV53" i="6" s="1"/>
  <c r="FR80" i="6"/>
  <c r="FS80" i="6" s="1"/>
  <c r="FT80" i="6" s="1"/>
  <c r="FU80" i="6" s="1"/>
  <c r="FV80" i="6" s="1"/>
  <c r="FR93" i="6"/>
  <c r="FS93" i="6" s="1"/>
  <c r="FT93" i="6" s="1"/>
  <c r="FU93" i="6" s="1"/>
  <c r="FV93" i="6" s="1"/>
  <c r="FR33" i="6"/>
  <c r="FS33" i="6" s="1"/>
  <c r="FT33" i="6" s="1"/>
  <c r="FU33" i="6" s="1"/>
  <c r="FV33" i="6" s="1"/>
  <c r="FR81" i="6"/>
  <c r="FS81" i="6" s="1"/>
  <c r="FT81" i="6" s="1"/>
  <c r="FU81" i="6" s="1"/>
  <c r="FV81" i="6" s="1"/>
  <c r="FR25" i="6"/>
  <c r="FS25" i="6" s="1"/>
  <c r="FT25" i="6" s="1"/>
  <c r="FU25" i="6" s="1"/>
  <c r="FV25" i="6" s="1"/>
  <c r="FR51" i="6"/>
  <c r="FS51" i="6" s="1"/>
  <c r="FT51" i="6" s="1"/>
  <c r="FU51" i="6" s="1"/>
  <c r="FV51" i="6" s="1"/>
  <c r="FR28" i="6"/>
  <c r="FS28" i="6" s="1"/>
  <c r="FT28" i="6" s="1"/>
  <c r="FU28" i="6" s="1"/>
  <c r="FV28" i="6" s="1"/>
  <c r="FR89" i="6"/>
  <c r="FS89" i="6" s="1"/>
  <c r="FT89" i="6" s="1"/>
  <c r="FU89" i="6" s="1"/>
  <c r="FV89" i="6" s="1"/>
  <c r="FR30" i="6"/>
  <c r="FS30" i="6" s="1"/>
  <c r="FT30" i="6" s="1"/>
  <c r="FU30" i="6" s="1"/>
  <c r="FV30" i="6" s="1"/>
  <c r="FR78" i="6"/>
  <c r="FS78" i="6" s="1"/>
  <c r="FT78" i="6" s="1"/>
  <c r="FU78" i="6" s="1"/>
  <c r="FV78" i="6" s="1"/>
  <c r="FR60" i="6"/>
  <c r="FS60" i="6" s="1"/>
  <c r="FT60" i="6" s="1"/>
  <c r="FU60" i="6" s="1"/>
  <c r="FV60" i="6" s="1"/>
  <c r="FR59" i="6"/>
  <c r="FS59" i="6" s="1"/>
  <c r="FT59" i="6" s="1"/>
  <c r="FU59" i="6" s="1"/>
  <c r="FV59" i="6" s="1"/>
  <c r="FR106" i="6"/>
  <c r="FS106" i="6" s="1"/>
  <c r="FT106" i="6" s="1"/>
  <c r="FU106" i="6" s="1"/>
  <c r="FV106" i="6" s="1"/>
  <c r="FR57" i="6"/>
  <c r="FS57" i="6" s="1"/>
  <c r="FT57" i="6" s="1"/>
  <c r="FU57" i="6" s="1"/>
  <c r="FV57" i="6" s="1"/>
  <c r="FR29" i="6"/>
  <c r="FS29" i="6" s="1"/>
  <c r="FT29" i="6" s="1"/>
  <c r="FU29" i="6" s="1"/>
  <c r="FV29" i="6" s="1"/>
  <c r="FR98" i="6"/>
  <c r="FS98" i="6" s="1"/>
  <c r="FT98" i="6" s="1"/>
  <c r="FU98" i="6" s="1"/>
  <c r="FV98" i="6" s="1"/>
  <c r="FR37" i="6"/>
  <c r="FS37" i="6" s="1"/>
  <c r="FT37" i="6" s="1"/>
  <c r="FU37" i="6" s="1"/>
  <c r="FV37" i="6" s="1"/>
  <c r="FR16" i="6"/>
  <c r="FS16" i="6" s="1"/>
  <c r="FT16" i="6" s="1"/>
  <c r="FU16" i="6" s="1"/>
  <c r="FV16" i="6" s="1"/>
  <c r="FR36" i="6"/>
  <c r="FS36" i="6" s="1"/>
  <c r="FT36" i="6" s="1"/>
  <c r="FU36" i="6" s="1"/>
  <c r="FV36" i="6" s="1"/>
  <c r="FR75" i="6"/>
  <c r="FS75" i="6" s="1"/>
  <c r="FT75" i="6" s="1"/>
  <c r="FU75" i="6" s="1"/>
  <c r="FV75" i="6" s="1"/>
  <c r="FR23" i="6"/>
  <c r="FS23" i="6" s="1"/>
  <c r="FT23" i="6" s="1"/>
  <c r="FU23" i="6" s="1"/>
  <c r="FV23" i="6" s="1"/>
  <c r="FR58" i="6"/>
  <c r="FS58" i="6" s="1"/>
  <c r="FT58" i="6" s="1"/>
  <c r="FU58" i="6" s="1"/>
  <c r="FV58" i="6" s="1"/>
  <c r="FR21" i="6"/>
  <c r="FS21" i="6" s="1"/>
  <c r="FT21" i="6" s="1"/>
  <c r="FU21" i="6" s="1"/>
  <c r="FV21" i="6" s="1"/>
  <c r="FR88" i="6"/>
  <c r="FS88" i="6" s="1"/>
  <c r="FT88" i="6" s="1"/>
  <c r="FU88" i="6" s="1"/>
  <c r="FV88" i="6" s="1"/>
  <c r="FR69" i="6"/>
  <c r="FS69" i="6" s="1"/>
  <c r="FT69" i="6" s="1"/>
  <c r="FU69" i="6" s="1"/>
  <c r="FV69" i="6" s="1"/>
  <c r="FR83" i="6"/>
  <c r="FS83" i="6" s="1"/>
  <c r="FT83" i="6" s="1"/>
  <c r="FU83" i="6" s="1"/>
  <c r="FV83" i="6" s="1"/>
  <c r="FR63" i="6"/>
  <c r="FS63" i="6" s="1"/>
  <c r="FT63" i="6" s="1"/>
  <c r="FU63" i="6" s="1"/>
  <c r="FV63" i="6" s="1"/>
  <c r="FR70" i="6"/>
  <c r="FS70" i="6" s="1"/>
  <c r="FT70" i="6" s="1"/>
  <c r="FU70" i="6" s="1"/>
  <c r="FV70" i="6" s="1"/>
  <c r="FR45" i="6"/>
  <c r="FS45" i="6" s="1"/>
  <c r="FT45" i="6" s="1"/>
  <c r="FU45" i="6" s="1"/>
  <c r="FV45" i="6" s="1"/>
  <c r="FR99" i="6"/>
  <c r="FS99" i="6" s="1"/>
  <c r="FT99" i="6" s="1"/>
  <c r="FU99" i="6" s="1"/>
  <c r="FV99" i="6" s="1"/>
  <c r="FR26" i="6"/>
  <c r="FS26" i="6" s="1"/>
  <c r="FT26" i="6" s="1"/>
  <c r="FU26" i="6" s="1"/>
  <c r="FV26" i="6" s="1"/>
  <c r="FR100" i="6"/>
  <c r="FS100" i="6" s="1"/>
  <c r="FT100" i="6" s="1"/>
  <c r="FU100" i="6" s="1"/>
  <c r="FV100" i="6" s="1"/>
  <c r="FR85" i="6"/>
  <c r="FS85" i="6" s="1"/>
  <c r="FT85" i="6" s="1"/>
  <c r="FU85" i="6" s="1"/>
  <c r="FV85" i="6" s="1"/>
  <c r="FR50" i="6"/>
  <c r="FS50" i="6" s="1"/>
  <c r="FT50" i="6" s="1"/>
  <c r="FU50" i="6" s="1"/>
  <c r="FV50" i="6" s="1"/>
  <c r="FR107" i="6"/>
  <c r="FS107" i="6" s="1"/>
  <c r="FT107" i="6" s="1"/>
  <c r="FU107" i="6" s="1"/>
  <c r="FV107" i="6" s="1"/>
  <c r="FR84" i="6"/>
  <c r="FS84" i="6" s="1"/>
  <c r="FT84" i="6" s="1"/>
  <c r="FU84" i="6" s="1"/>
  <c r="FV84" i="6" s="1"/>
  <c r="FR73" i="6"/>
  <c r="FS73" i="6" s="1"/>
  <c r="FT73" i="6" s="1"/>
  <c r="FU73" i="6" s="1"/>
  <c r="FV73" i="6" s="1"/>
  <c r="FR48" i="6"/>
  <c r="FS48" i="6" s="1"/>
  <c r="FT48" i="6" s="1"/>
  <c r="FU48" i="6" s="1"/>
  <c r="FV48" i="6" s="1"/>
  <c r="FR17" i="6"/>
  <c r="FS17" i="6" s="1"/>
  <c r="FT17" i="6" s="1"/>
  <c r="FU17" i="6" s="1"/>
  <c r="FV17" i="6" s="1"/>
  <c r="FR68" i="6"/>
  <c r="FS68" i="6" s="1"/>
  <c r="FT68" i="6" s="1"/>
  <c r="FU68" i="6" s="1"/>
  <c r="FV68" i="6" s="1"/>
  <c r="FR105" i="6"/>
  <c r="FS105" i="6" s="1"/>
  <c r="FT105" i="6" s="1"/>
  <c r="FU105" i="6" s="1"/>
  <c r="FV105" i="6" s="1"/>
  <c r="FR94" i="6"/>
  <c r="FS94" i="6" s="1"/>
  <c r="FT94" i="6" s="1"/>
  <c r="FU94" i="6" s="1"/>
  <c r="FV94" i="6" s="1"/>
  <c r="FR76" i="6"/>
  <c r="FS76" i="6" s="1"/>
  <c r="FT76" i="6" s="1"/>
  <c r="FU76" i="6" s="1"/>
  <c r="FV76" i="6" s="1"/>
  <c r="FR27" i="6"/>
  <c r="FS27" i="6" s="1"/>
  <c r="FT27" i="6" s="1"/>
  <c r="FU27" i="6" s="1"/>
  <c r="FV27" i="6" s="1"/>
  <c r="FR82" i="6"/>
  <c r="FS82" i="6" s="1"/>
  <c r="FT82" i="6" s="1"/>
  <c r="FU82" i="6" s="1"/>
  <c r="FV82" i="6" s="1"/>
  <c r="FR34" i="6"/>
  <c r="FS34" i="6" s="1"/>
  <c r="FT34" i="6" s="1"/>
  <c r="FU34" i="6" s="1"/>
  <c r="FV34" i="6" s="1"/>
  <c r="FR15" i="6"/>
  <c r="FS15" i="6" s="1"/>
  <c r="FT15" i="6" s="1"/>
  <c r="FU15" i="6" s="1"/>
  <c r="FV15" i="6" s="1"/>
  <c r="FR35" i="6"/>
  <c r="FS35" i="6" s="1"/>
  <c r="FT35" i="6" s="1"/>
  <c r="FU35" i="6" s="1"/>
  <c r="FV35" i="6" s="1"/>
  <c r="FR13" i="6"/>
  <c r="FS13" i="6" s="1"/>
  <c r="FT13" i="6" s="1"/>
  <c r="FU13" i="6" s="1"/>
  <c r="FV13" i="6" s="1"/>
  <c r="FR55" i="6"/>
  <c r="FS55" i="6" s="1"/>
  <c r="FT55" i="6" s="1"/>
  <c r="FU55" i="6" s="1"/>
  <c r="FV55" i="6" s="1"/>
  <c r="FR20" i="6"/>
  <c r="FS20" i="6" s="1"/>
  <c r="FT20" i="6" s="1"/>
  <c r="FU20" i="6" s="1"/>
  <c r="FV20" i="6" s="1"/>
  <c r="FR49" i="6"/>
  <c r="FS49" i="6" s="1"/>
  <c r="FT49" i="6" s="1"/>
  <c r="FU49" i="6" s="1"/>
  <c r="FV49" i="6" s="1"/>
  <c r="FR95" i="6"/>
  <c r="FS95" i="6" s="1"/>
  <c r="FT95" i="6" s="1"/>
  <c r="FU95" i="6" s="1"/>
  <c r="FV95" i="6" s="1"/>
  <c r="FR108" i="6"/>
  <c r="FS108" i="6" s="1"/>
  <c r="FT108" i="6" s="1"/>
  <c r="FU108" i="6" s="1"/>
  <c r="FV108" i="6" s="1"/>
  <c r="FR39" i="6"/>
  <c r="FS39" i="6" s="1"/>
  <c r="FT39" i="6" s="1"/>
  <c r="FU39" i="6" s="1"/>
  <c r="FV39" i="6" s="1"/>
  <c r="FR22" i="6"/>
  <c r="FS22" i="6" s="1"/>
  <c r="FT22" i="6" s="1"/>
  <c r="FU22" i="6" s="1"/>
  <c r="FV22" i="6" s="1"/>
  <c r="FR42" i="6"/>
  <c r="FS42" i="6" s="1"/>
  <c r="FT42" i="6" s="1"/>
  <c r="FU42" i="6" s="1"/>
  <c r="FV42" i="6" s="1"/>
  <c r="FR47" i="6"/>
  <c r="FS47" i="6" s="1"/>
  <c r="FT47" i="6" s="1"/>
  <c r="FU47" i="6" s="1"/>
  <c r="FV47" i="6" s="1"/>
  <c r="DV9" i="6"/>
  <c r="DW9" i="6" s="1"/>
  <c r="DX9" i="6" s="1"/>
  <c r="DY9" i="6" s="1"/>
  <c r="DJ9" i="6"/>
  <c r="DK9" i="6" s="1"/>
  <c r="DL9" i="6" s="1"/>
  <c r="DM9" i="6" s="1"/>
  <c r="R9" i="6"/>
  <c r="S9" i="6" s="1"/>
  <c r="T9" i="6" s="1"/>
  <c r="U9" i="6" s="1"/>
  <c r="L9" i="6"/>
  <c r="M9" i="6" s="1"/>
  <c r="N9" i="6" s="1"/>
  <c r="O9" i="6" s="1"/>
  <c r="GJ9" i="6"/>
  <c r="GK9" i="6" s="1"/>
  <c r="GL9" i="6" s="1"/>
  <c r="GM9" i="6" s="1"/>
  <c r="CF9" i="6"/>
  <c r="CG9" i="6" s="1"/>
  <c r="CH9" i="6" s="1"/>
  <c r="CI9" i="6" s="1"/>
  <c r="AJ9" i="6"/>
  <c r="AK9" i="6" s="1"/>
  <c r="AL9" i="6" s="1"/>
  <c r="AM9" i="6" s="1"/>
  <c r="CX9" i="6"/>
  <c r="CY9" i="6" s="1"/>
  <c r="CZ9" i="6" s="1"/>
  <c r="DA9" i="6" s="1"/>
  <c r="GP9" i="6"/>
  <c r="GQ9" i="6" s="1"/>
  <c r="GR9" i="6" s="1"/>
  <c r="GS9" i="6" s="1"/>
  <c r="EZ9" i="6"/>
  <c r="FA9" i="6" s="1"/>
  <c r="FB9" i="6" s="1"/>
  <c r="FC9" i="6" s="1"/>
  <c r="AD9" i="6"/>
  <c r="AE9" i="6" s="1"/>
  <c r="AF9" i="6" s="1"/>
  <c r="AG9" i="6" s="1"/>
  <c r="AP9" i="6"/>
  <c r="AQ9" i="6" s="1"/>
  <c r="AR9" i="6" s="1"/>
  <c r="AS9" i="6" s="1"/>
  <c r="BZ9" i="6"/>
  <c r="CA9" i="6" s="1"/>
  <c r="CB9" i="6" s="1"/>
  <c r="CC9" i="6" s="1"/>
  <c r="GD9" i="6"/>
  <c r="GE9" i="6" s="1"/>
  <c r="GF9" i="6" s="1"/>
  <c r="GG9" i="6" s="1"/>
  <c r="ET9" i="6"/>
  <c r="EU9" i="6" s="1"/>
  <c r="EV9" i="6" s="1"/>
  <c r="EW9" i="6" s="1"/>
  <c r="FR9" i="6"/>
  <c r="FS9" i="6" s="1"/>
  <c r="FT9" i="6" s="1"/>
  <c r="FU9" i="6" s="1"/>
  <c r="BT9" i="6"/>
  <c r="BU9" i="6" s="1"/>
  <c r="BV9" i="6" s="1"/>
  <c r="BW9" i="6" s="1"/>
  <c r="FX9" i="6"/>
  <c r="FY9" i="6" s="1"/>
  <c r="FZ9" i="6" s="1"/>
  <c r="GA9" i="6" s="1"/>
  <c r="EB9" i="6"/>
  <c r="EC9" i="6" s="1"/>
  <c r="ED9" i="6" s="1"/>
  <c r="EE9" i="6" s="1"/>
  <c r="EH9" i="6"/>
  <c r="EI9" i="6" s="1"/>
  <c r="EJ9" i="6" s="1"/>
  <c r="EK9" i="6" s="1"/>
  <c r="F9" i="6"/>
  <c r="G9" i="6" s="1"/>
  <c r="H9" i="6" s="1"/>
  <c r="I9" i="6" s="1"/>
  <c r="FL9" i="6"/>
  <c r="FM9" i="6" s="1"/>
  <c r="FN9" i="6" s="1"/>
  <c r="FO9" i="6" s="1"/>
  <c r="DP9" i="6"/>
  <c r="DQ9" i="6" s="1"/>
  <c r="DR9" i="6" s="1"/>
  <c r="DS9" i="6" s="1"/>
  <c r="DD9" i="6"/>
  <c r="DE9" i="6" s="1"/>
  <c r="DF9" i="6" s="1"/>
  <c r="DG9" i="6" s="1"/>
  <c r="BN9" i="6"/>
  <c r="BO9" i="6" s="1"/>
  <c r="BP9" i="6" s="1"/>
  <c r="BQ9" i="6" s="1"/>
  <c r="EN9" i="6"/>
  <c r="EO9" i="6" s="1"/>
  <c r="EP9" i="6" s="1"/>
  <c r="EQ9" i="6" s="1"/>
  <c r="CR9" i="6"/>
  <c r="CS9" i="6" s="1"/>
  <c r="CT9" i="6" s="1"/>
  <c r="CU9" i="6" s="1"/>
  <c r="BH9" i="6"/>
  <c r="BI9" i="6" s="1"/>
  <c r="BJ9" i="6" s="1"/>
  <c r="BK9" i="6" s="1"/>
  <c r="AV9" i="6"/>
  <c r="AW9" i="6" s="1"/>
  <c r="AX9" i="6" s="1"/>
  <c r="AY9" i="6" s="1"/>
  <c r="FF9" i="6"/>
  <c r="FG9" i="6" s="1"/>
  <c r="FH9" i="6" s="1"/>
  <c r="FI9" i="6" s="1"/>
  <c r="CL9" i="6"/>
  <c r="CM9" i="6" s="1"/>
  <c r="CN9" i="6" s="1"/>
  <c r="CO9" i="6" s="1"/>
  <c r="BB9" i="6"/>
  <c r="BC9" i="6" s="1"/>
  <c r="BD9" i="6" s="1"/>
  <c r="BE9" i="6" s="1"/>
  <c r="X9" i="6"/>
  <c r="Y9" i="6" s="1"/>
  <c r="Z9" i="6" s="1"/>
  <c r="AA9" i="6" s="1"/>
  <c r="EB10" i="6"/>
  <c r="EC10" i="6" s="1"/>
  <c r="ED10" i="6" s="1"/>
  <c r="EE10" i="6" s="1"/>
  <c r="EF10" i="6" s="1"/>
  <c r="AD10" i="6"/>
  <c r="AE10" i="6" s="1"/>
  <c r="AF10" i="6" s="1"/>
  <c r="AG10" i="6" s="1"/>
  <c r="AH10" i="6" s="1"/>
  <c r="BT10" i="6"/>
  <c r="BU10" i="6" s="1"/>
  <c r="BV10" i="6" s="1"/>
  <c r="BW10" i="6" s="1"/>
  <c r="BX10" i="6" s="1"/>
  <c r="BZ10" i="6"/>
  <c r="CA10" i="6" s="1"/>
  <c r="CB10" i="6" s="1"/>
  <c r="CC10" i="6" s="1"/>
  <c r="CD10" i="6" s="1"/>
  <c r="GD10" i="6"/>
  <c r="GE10" i="6" s="1"/>
  <c r="GF10" i="6" s="1"/>
  <c r="GG10" i="6" s="1"/>
  <c r="GH10" i="6" s="1"/>
  <c r="GJ10" i="6"/>
  <c r="GK10" i="6" s="1"/>
  <c r="GL10" i="6" s="1"/>
  <c r="GM10" i="6" s="1"/>
  <c r="GN10" i="6" s="1"/>
  <c r="DP10" i="6"/>
  <c r="DQ10" i="6" s="1"/>
  <c r="DR10" i="6" s="1"/>
  <c r="DS10" i="6" s="1"/>
  <c r="DT10" i="6" s="1"/>
  <c r="F10" i="6"/>
  <c r="G10" i="6" s="1"/>
  <c r="H10" i="6" s="1"/>
  <c r="I10" i="6" s="1"/>
  <c r="J10" i="6" s="1"/>
  <c r="R10" i="6"/>
  <c r="S10" i="6" s="1"/>
  <c r="T10" i="6" s="1"/>
  <c r="U10" i="6" s="1"/>
  <c r="V10" i="6" s="1"/>
  <c r="FX10" i="6"/>
  <c r="FY10" i="6" s="1"/>
  <c r="FZ10" i="6" s="1"/>
  <c r="GA10" i="6" s="1"/>
  <c r="GB10" i="6" s="1"/>
  <c r="FR10" i="6"/>
  <c r="FS10" i="6" s="1"/>
  <c r="FT10" i="6" s="1"/>
  <c r="FU10" i="6" s="1"/>
  <c r="FV10" i="6" s="1"/>
  <c r="DD10" i="6"/>
  <c r="DE10" i="6" s="1"/>
  <c r="DF10" i="6" s="1"/>
  <c r="DG10" i="6" s="1"/>
  <c r="DH10" i="6" s="1"/>
  <c r="BN10" i="6"/>
  <c r="BO10" i="6" s="1"/>
  <c r="BP10" i="6" s="1"/>
  <c r="BQ10" i="6" s="1"/>
  <c r="BR10" i="6" s="1"/>
  <c r="EH10" i="6"/>
  <c r="EI10" i="6" s="1"/>
  <c r="EJ10" i="6" s="1"/>
  <c r="EK10" i="6" s="1"/>
  <c r="EL10" i="6" s="1"/>
  <c r="EZ10" i="6"/>
  <c r="FA10" i="6" s="1"/>
  <c r="FB10" i="6" s="1"/>
  <c r="FC10" i="6" s="1"/>
  <c r="FD10" i="6" s="1"/>
  <c r="CR10" i="6"/>
  <c r="CS10" i="6" s="1"/>
  <c r="CT10" i="6" s="1"/>
  <c r="CU10" i="6" s="1"/>
  <c r="CV10" i="6" s="1"/>
  <c r="X10" i="6"/>
  <c r="Y10" i="6" s="1"/>
  <c r="Z10" i="6" s="1"/>
  <c r="AA10" i="6" s="1"/>
  <c r="AB10" i="6" s="1"/>
  <c r="FF10" i="6"/>
  <c r="FG10" i="6" s="1"/>
  <c r="FH10" i="6" s="1"/>
  <c r="FI10" i="6" s="1"/>
  <c r="FJ10" i="6" s="1"/>
  <c r="ET10" i="6"/>
  <c r="EU10" i="6" s="1"/>
  <c r="EV10" i="6" s="1"/>
  <c r="EW10" i="6" s="1"/>
  <c r="EX10" i="6" s="1"/>
  <c r="DV10" i="6"/>
  <c r="DW10" i="6" s="1"/>
  <c r="DX10" i="6" s="1"/>
  <c r="DY10" i="6" s="1"/>
  <c r="DZ10" i="6" s="1"/>
  <c r="CF10" i="6"/>
  <c r="CG10" i="6" s="1"/>
  <c r="CH10" i="6" s="1"/>
  <c r="CI10" i="6" s="1"/>
  <c r="CJ10" i="6" s="1"/>
  <c r="GP10" i="6"/>
  <c r="GQ10" i="6" s="1"/>
  <c r="GR10" i="6" s="1"/>
  <c r="GS10" i="6" s="1"/>
  <c r="GT10" i="6" s="1"/>
  <c r="DJ10" i="6"/>
  <c r="DK10" i="6" s="1"/>
  <c r="DL10" i="6" s="1"/>
  <c r="DM10" i="6" s="1"/>
  <c r="DN10" i="6" s="1"/>
  <c r="BH10" i="6"/>
  <c r="BI10" i="6" s="1"/>
  <c r="BJ10" i="6" s="1"/>
  <c r="BK10" i="6" s="1"/>
  <c r="BL10" i="6" s="1"/>
  <c r="L10" i="6"/>
  <c r="M10" i="6" s="1"/>
  <c r="N10" i="6" s="1"/>
  <c r="O10" i="6" s="1"/>
  <c r="P10" i="6" s="1"/>
  <c r="FL10" i="6"/>
  <c r="FM10" i="6" s="1"/>
  <c r="FN10" i="6" s="1"/>
  <c r="FO10" i="6" s="1"/>
  <c r="FP10" i="6" s="1"/>
  <c r="CL10" i="6"/>
  <c r="CM10" i="6" s="1"/>
  <c r="CN10" i="6" s="1"/>
  <c r="CO10" i="6" s="1"/>
  <c r="CP10" i="6" s="1"/>
  <c r="BB10" i="6"/>
  <c r="BC10" i="6" s="1"/>
  <c r="BD10" i="6" s="1"/>
  <c r="BE10" i="6" s="1"/>
  <c r="BF10" i="6" s="1"/>
  <c r="AJ10" i="6"/>
  <c r="AK10" i="6" s="1"/>
  <c r="AL10" i="6" s="1"/>
  <c r="AM10" i="6" s="1"/>
  <c r="AN10" i="6" s="1"/>
  <c r="EN10" i="6"/>
  <c r="EO10" i="6" s="1"/>
  <c r="EP10" i="6" s="1"/>
  <c r="EQ10" i="6" s="1"/>
  <c r="ER10" i="6" s="1"/>
  <c r="CX10" i="6"/>
  <c r="CY10" i="6" s="1"/>
  <c r="CZ10" i="6" s="1"/>
  <c r="DA10" i="6" s="1"/>
  <c r="DB10" i="6" s="1"/>
  <c r="AP10" i="6"/>
  <c r="AQ10" i="6" s="1"/>
  <c r="AR10" i="6" s="1"/>
  <c r="AS10" i="6" s="1"/>
  <c r="AT10" i="6" s="1"/>
  <c r="AV10" i="6"/>
  <c r="AW10" i="6" s="1"/>
  <c r="AX10" i="6" s="1"/>
  <c r="AY10" i="6" s="1"/>
  <c r="AZ10" i="6" s="1"/>
  <c r="GP56" i="6"/>
  <c r="GQ56" i="6" s="1"/>
  <c r="GR56" i="6" s="1"/>
  <c r="GS56" i="6" s="1"/>
  <c r="GT56" i="6" s="1"/>
  <c r="GP101" i="6"/>
  <c r="GQ101" i="6" s="1"/>
  <c r="GR101" i="6" s="1"/>
  <c r="GS101" i="6" s="1"/>
  <c r="GT101" i="6" s="1"/>
  <c r="GP96" i="6"/>
  <c r="GQ96" i="6" s="1"/>
  <c r="GR96" i="6" s="1"/>
  <c r="GS96" i="6" s="1"/>
  <c r="GT96" i="6" s="1"/>
  <c r="GP67" i="6"/>
  <c r="GQ67" i="6" s="1"/>
  <c r="GR67" i="6" s="1"/>
  <c r="GS67" i="6" s="1"/>
  <c r="GT67" i="6" s="1"/>
  <c r="GP43" i="6"/>
  <c r="GQ43" i="6" s="1"/>
  <c r="GR43" i="6" s="1"/>
  <c r="GS43" i="6" s="1"/>
  <c r="GT43" i="6" s="1"/>
  <c r="GP89" i="6"/>
  <c r="GQ89" i="6" s="1"/>
  <c r="GR89" i="6" s="1"/>
  <c r="GS89" i="6" s="1"/>
  <c r="GT89" i="6" s="1"/>
  <c r="GP70" i="6"/>
  <c r="GQ70" i="6" s="1"/>
  <c r="GR70" i="6" s="1"/>
  <c r="GS70" i="6" s="1"/>
  <c r="GT70" i="6" s="1"/>
  <c r="GP81" i="6"/>
  <c r="GQ81" i="6" s="1"/>
  <c r="GR81" i="6" s="1"/>
  <c r="GS81" i="6" s="1"/>
  <c r="GT81" i="6" s="1"/>
  <c r="GP60" i="6"/>
  <c r="GQ60" i="6" s="1"/>
  <c r="GR60" i="6" s="1"/>
  <c r="GS60" i="6" s="1"/>
  <c r="GT60" i="6" s="1"/>
  <c r="GP85" i="6"/>
  <c r="GQ85" i="6" s="1"/>
  <c r="GR85" i="6" s="1"/>
  <c r="GS85" i="6" s="1"/>
  <c r="GT85" i="6" s="1"/>
  <c r="GP34" i="6"/>
  <c r="GQ34" i="6" s="1"/>
  <c r="GR34" i="6" s="1"/>
  <c r="GS34" i="6" s="1"/>
  <c r="GT34" i="6" s="1"/>
  <c r="GP39" i="6"/>
  <c r="GQ39" i="6" s="1"/>
  <c r="GR39" i="6" s="1"/>
  <c r="GS39" i="6" s="1"/>
  <c r="GT39" i="6" s="1"/>
  <c r="GP59" i="6"/>
  <c r="GQ59" i="6" s="1"/>
  <c r="GR59" i="6" s="1"/>
  <c r="GS59" i="6" s="1"/>
  <c r="GT59" i="6" s="1"/>
  <c r="GP17" i="6"/>
  <c r="GQ17" i="6" s="1"/>
  <c r="GR17" i="6" s="1"/>
  <c r="GS17" i="6" s="1"/>
  <c r="GT17" i="6" s="1"/>
  <c r="GP77" i="6"/>
  <c r="GQ77" i="6" s="1"/>
  <c r="GR77" i="6" s="1"/>
  <c r="GS77" i="6" s="1"/>
  <c r="GT77" i="6" s="1"/>
  <c r="GP62" i="6"/>
  <c r="GQ62" i="6" s="1"/>
  <c r="GR62" i="6" s="1"/>
  <c r="GS62" i="6" s="1"/>
  <c r="GT62" i="6" s="1"/>
  <c r="GP105" i="6"/>
  <c r="GQ105" i="6" s="1"/>
  <c r="GR105" i="6" s="1"/>
  <c r="GS105" i="6" s="1"/>
  <c r="GT105" i="6" s="1"/>
  <c r="GP91" i="6"/>
  <c r="GQ91" i="6" s="1"/>
  <c r="GR91" i="6" s="1"/>
  <c r="GS91" i="6" s="1"/>
  <c r="GT91" i="6" s="1"/>
  <c r="GP98" i="6"/>
  <c r="GQ98" i="6" s="1"/>
  <c r="GR98" i="6" s="1"/>
  <c r="GS98" i="6" s="1"/>
  <c r="GT98" i="6" s="1"/>
  <c r="GP83" i="6"/>
  <c r="GQ83" i="6" s="1"/>
  <c r="GR83" i="6" s="1"/>
  <c r="GS83" i="6" s="1"/>
  <c r="GT83" i="6" s="1"/>
  <c r="GP44" i="6"/>
  <c r="GQ44" i="6" s="1"/>
  <c r="GR44" i="6" s="1"/>
  <c r="GS44" i="6" s="1"/>
  <c r="GT44" i="6" s="1"/>
  <c r="GP45" i="6"/>
  <c r="GQ45" i="6" s="1"/>
  <c r="GR45" i="6" s="1"/>
  <c r="GS45" i="6" s="1"/>
  <c r="GT45" i="6" s="1"/>
  <c r="GP26" i="6"/>
  <c r="GQ26" i="6" s="1"/>
  <c r="GR26" i="6" s="1"/>
  <c r="GS26" i="6" s="1"/>
  <c r="GT26" i="6" s="1"/>
  <c r="GP51" i="6"/>
  <c r="GQ51" i="6" s="1"/>
  <c r="GR51" i="6" s="1"/>
  <c r="GS51" i="6" s="1"/>
  <c r="GT51" i="6" s="1"/>
  <c r="GP27" i="6"/>
  <c r="GQ27" i="6" s="1"/>
  <c r="GR27" i="6" s="1"/>
  <c r="GS27" i="6" s="1"/>
  <c r="GT27" i="6" s="1"/>
  <c r="GP14" i="6"/>
  <c r="GQ14" i="6" s="1"/>
  <c r="GR14" i="6" s="1"/>
  <c r="GS14" i="6" s="1"/>
  <c r="GT14" i="6" s="1"/>
  <c r="GP95" i="6"/>
  <c r="GQ95" i="6" s="1"/>
  <c r="GR95" i="6" s="1"/>
  <c r="GS95" i="6" s="1"/>
  <c r="GT95" i="6" s="1"/>
  <c r="GP15" i="6"/>
  <c r="GQ15" i="6" s="1"/>
  <c r="GR15" i="6" s="1"/>
  <c r="GS15" i="6" s="1"/>
  <c r="GT15" i="6" s="1"/>
  <c r="GP48" i="6"/>
  <c r="GQ48" i="6" s="1"/>
  <c r="GR48" i="6" s="1"/>
  <c r="GS48" i="6" s="1"/>
  <c r="GT48" i="6" s="1"/>
  <c r="GP29" i="6"/>
  <c r="GQ29" i="6" s="1"/>
  <c r="GR29" i="6" s="1"/>
  <c r="GS29" i="6" s="1"/>
  <c r="GT29" i="6" s="1"/>
  <c r="GP41" i="6"/>
  <c r="GQ41" i="6" s="1"/>
  <c r="GR41" i="6" s="1"/>
  <c r="GS41" i="6" s="1"/>
  <c r="GT41" i="6" s="1"/>
  <c r="GP68" i="6"/>
  <c r="GQ68" i="6" s="1"/>
  <c r="GR68" i="6" s="1"/>
  <c r="GS68" i="6" s="1"/>
  <c r="GT68" i="6" s="1"/>
  <c r="GP86" i="6"/>
  <c r="GQ86" i="6" s="1"/>
  <c r="GR86" i="6" s="1"/>
  <c r="GS86" i="6" s="1"/>
  <c r="GT86" i="6" s="1"/>
  <c r="GP53" i="6"/>
  <c r="GQ53" i="6" s="1"/>
  <c r="GR53" i="6" s="1"/>
  <c r="GS53" i="6" s="1"/>
  <c r="GT53" i="6" s="1"/>
  <c r="GP37" i="6"/>
  <c r="GQ37" i="6" s="1"/>
  <c r="GR37" i="6" s="1"/>
  <c r="GS37" i="6" s="1"/>
  <c r="GT37" i="6" s="1"/>
  <c r="GP74" i="6"/>
  <c r="GQ74" i="6" s="1"/>
  <c r="GR74" i="6" s="1"/>
  <c r="GS74" i="6" s="1"/>
  <c r="GT74" i="6" s="1"/>
  <c r="GP50" i="6"/>
  <c r="GQ50" i="6" s="1"/>
  <c r="GR50" i="6" s="1"/>
  <c r="GS50" i="6" s="1"/>
  <c r="GT50" i="6" s="1"/>
  <c r="GP73" i="6"/>
  <c r="GQ73" i="6" s="1"/>
  <c r="GR73" i="6" s="1"/>
  <c r="GS73" i="6" s="1"/>
  <c r="GT73" i="6" s="1"/>
  <c r="GP61" i="6"/>
  <c r="GQ61" i="6" s="1"/>
  <c r="GR61" i="6" s="1"/>
  <c r="GS61" i="6" s="1"/>
  <c r="GT61" i="6" s="1"/>
  <c r="GP21" i="6"/>
  <c r="GQ21" i="6" s="1"/>
  <c r="GR21" i="6" s="1"/>
  <c r="GS21" i="6" s="1"/>
  <c r="GT21" i="6" s="1"/>
  <c r="GP92" i="6"/>
  <c r="GQ92" i="6" s="1"/>
  <c r="GR92" i="6" s="1"/>
  <c r="GS92" i="6" s="1"/>
  <c r="GT92" i="6" s="1"/>
  <c r="GP54" i="6"/>
  <c r="GQ54" i="6" s="1"/>
  <c r="GR54" i="6" s="1"/>
  <c r="GS54" i="6" s="1"/>
  <c r="GT54" i="6" s="1"/>
  <c r="GP104" i="6"/>
  <c r="GQ104" i="6" s="1"/>
  <c r="GR104" i="6" s="1"/>
  <c r="GS104" i="6" s="1"/>
  <c r="GT104" i="6" s="1"/>
  <c r="GP49" i="6"/>
  <c r="GQ49" i="6" s="1"/>
  <c r="GR49" i="6" s="1"/>
  <c r="GS49" i="6" s="1"/>
  <c r="GT49" i="6" s="1"/>
  <c r="GP18" i="6"/>
  <c r="GQ18" i="6" s="1"/>
  <c r="GR18" i="6" s="1"/>
  <c r="GS18" i="6" s="1"/>
  <c r="GT18" i="6" s="1"/>
  <c r="GP82" i="6"/>
  <c r="GQ82" i="6" s="1"/>
  <c r="GR82" i="6" s="1"/>
  <c r="GS82" i="6" s="1"/>
  <c r="GT82" i="6" s="1"/>
  <c r="GP107" i="6"/>
  <c r="GQ107" i="6" s="1"/>
  <c r="GR107" i="6" s="1"/>
  <c r="GS107" i="6" s="1"/>
  <c r="GT107" i="6" s="1"/>
  <c r="GP57" i="6"/>
  <c r="GQ57" i="6" s="1"/>
  <c r="GR57" i="6" s="1"/>
  <c r="GS57" i="6" s="1"/>
  <c r="GT57" i="6" s="1"/>
  <c r="GP22" i="6"/>
  <c r="GQ22" i="6" s="1"/>
  <c r="GR22" i="6" s="1"/>
  <c r="GS22" i="6" s="1"/>
  <c r="GT22" i="6" s="1"/>
  <c r="GP88" i="6"/>
  <c r="GQ88" i="6" s="1"/>
  <c r="GR88" i="6" s="1"/>
  <c r="GS88" i="6" s="1"/>
  <c r="GT88" i="6" s="1"/>
  <c r="GP55" i="6"/>
  <c r="GQ55" i="6" s="1"/>
  <c r="GR55" i="6" s="1"/>
  <c r="GS55" i="6" s="1"/>
  <c r="GT55" i="6" s="1"/>
  <c r="GP36" i="6"/>
  <c r="GQ36" i="6" s="1"/>
  <c r="GR36" i="6" s="1"/>
  <c r="GS36" i="6" s="1"/>
  <c r="GT36" i="6" s="1"/>
  <c r="GP20" i="6"/>
  <c r="GQ20" i="6" s="1"/>
  <c r="GR20" i="6" s="1"/>
  <c r="GS20" i="6" s="1"/>
  <c r="GT20" i="6" s="1"/>
  <c r="GP100" i="6"/>
  <c r="GQ100" i="6" s="1"/>
  <c r="GR100" i="6" s="1"/>
  <c r="GS100" i="6" s="1"/>
  <c r="GT100" i="6" s="1"/>
  <c r="GP76" i="6"/>
  <c r="GQ76" i="6" s="1"/>
  <c r="GR76" i="6" s="1"/>
  <c r="GS76" i="6" s="1"/>
  <c r="GT76" i="6" s="1"/>
  <c r="GP38" i="6"/>
  <c r="GQ38" i="6" s="1"/>
  <c r="GR38" i="6" s="1"/>
  <c r="GS38" i="6" s="1"/>
  <c r="GT38" i="6" s="1"/>
  <c r="GP103" i="6"/>
  <c r="GQ103" i="6" s="1"/>
  <c r="GR103" i="6" s="1"/>
  <c r="GS103" i="6" s="1"/>
  <c r="GT103" i="6" s="1"/>
  <c r="GP97" i="6"/>
  <c r="GQ97" i="6" s="1"/>
  <c r="GR97" i="6" s="1"/>
  <c r="GS97" i="6" s="1"/>
  <c r="GT97" i="6" s="1"/>
  <c r="GP31" i="6"/>
  <c r="GQ31" i="6" s="1"/>
  <c r="GR31" i="6" s="1"/>
  <c r="GS31" i="6" s="1"/>
  <c r="GT31" i="6" s="1"/>
  <c r="GP42" i="6"/>
  <c r="GQ42" i="6" s="1"/>
  <c r="GR42" i="6" s="1"/>
  <c r="GS42" i="6" s="1"/>
  <c r="GT42" i="6" s="1"/>
  <c r="GP71" i="6"/>
  <c r="GQ71" i="6" s="1"/>
  <c r="GR71" i="6" s="1"/>
  <c r="GS71" i="6" s="1"/>
  <c r="GT71" i="6" s="1"/>
  <c r="GP13" i="6"/>
  <c r="GQ13" i="6" s="1"/>
  <c r="GR13" i="6" s="1"/>
  <c r="GS13" i="6" s="1"/>
  <c r="GT13" i="6" s="1"/>
  <c r="GP80" i="6"/>
  <c r="GQ80" i="6" s="1"/>
  <c r="GR80" i="6" s="1"/>
  <c r="GS80" i="6" s="1"/>
  <c r="GT80" i="6" s="1"/>
  <c r="GP78" i="6"/>
  <c r="GQ78" i="6" s="1"/>
  <c r="GR78" i="6" s="1"/>
  <c r="GS78" i="6" s="1"/>
  <c r="GT78" i="6" s="1"/>
  <c r="GP11" i="6"/>
  <c r="GQ11" i="6" s="1"/>
  <c r="GR11" i="6" s="1"/>
  <c r="GS11" i="6" s="1"/>
  <c r="GT11" i="6" s="1"/>
  <c r="GP25" i="6"/>
  <c r="GQ25" i="6" s="1"/>
  <c r="GR25" i="6" s="1"/>
  <c r="GS25" i="6" s="1"/>
  <c r="GT25" i="6" s="1"/>
  <c r="GP102" i="6"/>
  <c r="GQ102" i="6" s="1"/>
  <c r="GR102" i="6" s="1"/>
  <c r="GS102" i="6" s="1"/>
  <c r="GT102" i="6" s="1"/>
  <c r="GP32" i="6"/>
  <c r="GQ32" i="6" s="1"/>
  <c r="GR32" i="6" s="1"/>
  <c r="GS32" i="6" s="1"/>
  <c r="GT32" i="6" s="1"/>
  <c r="GP108" i="6"/>
  <c r="GQ108" i="6" s="1"/>
  <c r="GR108" i="6" s="1"/>
  <c r="GS108" i="6" s="1"/>
  <c r="GT108" i="6" s="1"/>
  <c r="GP106" i="6"/>
  <c r="GQ106" i="6" s="1"/>
  <c r="GR106" i="6" s="1"/>
  <c r="GS106" i="6" s="1"/>
  <c r="GT106" i="6" s="1"/>
  <c r="GP40" i="6"/>
  <c r="GQ40" i="6" s="1"/>
  <c r="GR40" i="6" s="1"/>
  <c r="GS40" i="6" s="1"/>
  <c r="GT40" i="6" s="1"/>
  <c r="GP65" i="6"/>
  <c r="GQ65" i="6" s="1"/>
  <c r="GR65" i="6" s="1"/>
  <c r="GS65" i="6" s="1"/>
  <c r="GT65" i="6" s="1"/>
  <c r="GP90" i="6"/>
  <c r="GQ90" i="6" s="1"/>
  <c r="GR90" i="6" s="1"/>
  <c r="GS90" i="6" s="1"/>
  <c r="GT90" i="6" s="1"/>
  <c r="GP72" i="6"/>
  <c r="GQ72" i="6" s="1"/>
  <c r="GR72" i="6" s="1"/>
  <c r="GS72" i="6" s="1"/>
  <c r="GT72" i="6" s="1"/>
  <c r="GP79" i="6"/>
  <c r="GQ79" i="6" s="1"/>
  <c r="GR79" i="6" s="1"/>
  <c r="GS79" i="6" s="1"/>
  <c r="GT79" i="6" s="1"/>
  <c r="GP75" i="6"/>
  <c r="GQ75" i="6" s="1"/>
  <c r="GR75" i="6" s="1"/>
  <c r="GS75" i="6" s="1"/>
  <c r="GT75" i="6" s="1"/>
  <c r="GP66" i="6"/>
  <c r="GQ66" i="6" s="1"/>
  <c r="GR66" i="6" s="1"/>
  <c r="GS66" i="6" s="1"/>
  <c r="GT66" i="6" s="1"/>
  <c r="GP23" i="6"/>
  <c r="GQ23" i="6" s="1"/>
  <c r="GR23" i="6" s="1"/>
  <c r="GS23" i="6" s="1"/>
  <c r="GT23" i="6" s="1"/>
  <c r="GP84" i="6"/>
  <c r="GQ84" i="6" s="1"/>
  <c r="GR84" i="6" s="1"/>
  <c r="GS84" i="6" s="1"/>
  <c r="GT84" i="6" s="1"/>
  <c r="GP24" i="6"/>
  <c r="GQ24" i="6" s="1"/>
  <c r="GR24" i="6" s="1"/>
  <c r="GS24" i="6" s="1"/>
  <c r="GT24" i="6" s="1"/>
  <c r="GP28" i="6"/>
  <c r="GQ28" i="6" s="1"/>
  <c r="GR28" i="6" s="1"/>
  <c r="GS28" i="6" s="1"/>
  <c r="GT28" i="6" s="1"/>
  <c r="GP58" i="6"/>
  <c r="GQ58" i="6" s="1"/>
  <c r="GR58" i="6" s="1"/>
  <c r="GS58" i="6" s="1"/>
  <c r="GT58" i="6" s="1"/>
  <c r="GP35" i="6"/>
  <c r="GQ35" i="6" s="1"/>
  <c r="GR35" i="6" s="1"/>
  <c r="GS35" i="6" s="1"/>
  <c r="GT35" i="6" s="1"/>
  <c r="GP47" i="6"/>
  <c r="GQ47" i="6" s="1"/>
  <c r="GR47" i="6" s="1"/>
  <c r="GS47" i="6" s="1"/>
  <c r="GT47" i="6" s="1"/>
  <c r="GP64" i="6"/>
  <c r="GQ64" i="6" s="1"/>
  <c r="GR64" i="6" s="1"/>
  <c r="GS64" i="6" s="1"/>
  <c r="GT64" i="6" s="1"/>
  <c r="GJ12" i="6"/>
  <c r="GK12" i="6" s="1"/>
  <c r="GL12" i="6" s="1"/>
  <c r="GM12" i="6" s="1"/>
  <c r="GN12" i="6" s="1"/>
  <c r="DV12" i="6"/>
  <c r="DW12" i="6" s="1"/>
  <c r="DX12" i="6" s="1"/>
  <c r="DY12" i="6" s="1"/>
  <c r="DZ12" i="6" s="1"/>
  <c r="EN12" i="6"/>
  <c r="EO12" i="6" s="1"/>
  <c r="EP12" i="6" s="1"/>
  <c r="EQ12" i="6" s="1"/>
  <c r="ER12" i="6" s="1"/>
  <c r="BT12" i="6"/>
  <c r="BU12" i="6" s="1"/>
  <c r="BV12" i="6" s="1"/>
  <c r="BW12" i="6" s="1"/>
  <c r="BX12" i="6" s="1"/>
  <c r="EZ12" i="6"/>
  <c r="FA12" i="6" s="1"/>
  <c r="FB12" i="6" s="1"/>
  <c r="FC12" i="6" s="1"/>
  <c r="FD12" i="6" s="1"/>
  <c r="CX12" i="6"/>
  <c r="CY12" i="6" s="1"/>
  <c r="CZ12" i="6" s="1"/>
  <c r="DA12" i="6" s="1"/>
  <c r="DB12" i="6" s="1"/>
  <c r="CF12" i="6"/>
  <c r="CG12" i="6" s="1"/>
  <c r="CH12" i="6" s="1"/>
  <c r="CI12" i="6" s="1"/>
  <c r="CJ12" i="6" s="1"/>
  <c r="F12" i="6"/>
  <c r="G12" i="6" s="1"/>
  <c r="H12" i="6" s="1"/>
  <c r="I12" i="6" s="1"/>
  <c r="J12" i="6" s="1"/>
  <c r="DD12" i="6"/>
  <c r="DE12" i="6" s="1"/>
  <c r="DF12" i="6" s="1"/>
  <c r="DG12" i="6" s="1"/>
  <c r="DH12" i="6" s="1"/>
  <c r="EH12" i="6"/>
  <c r="EI12" i="6" s="1"/>
  <c r="EJ12" i="6" s="1"/>
  <c r="EK12" i="6" s="1"/>
  <c r="EL12" i="6" s="1"/>
  <c r="ET12" i="6"/>
  <c r="EU12" i="6" s="1"/>
  <c r="EV12" i="6" s="1"/>
  <c r="EW12" i="6" s="1"/>
  <c r="EX12" i="6" s="1"/>
  <c r="X12" i="6"/>
  <c r="Y12" i="6" s="1"/>
  <c r="Z12" i="6" s="1"/>
  <c r="AA12" i="6" s="1"/>
  <c r="AB12" i="6" s="1"/>
  <c r="FL12" i="6"/>
  <c r="FM12" i="6" s="1"/>
  <c r="FN12" i="6" s="1"/>
  <c r="FO12" i="6" s="1"/>
  <c r="FP12" i="6" s="1"/>
  <c r="DP12" i="6"/>
  <c r="DQ12" i="6" s="1"/>
  <c r="DR12" i="6" s="1"/>
  <c r="DS12" i="6" s="1"/>
  <c r="DT12" i="6" s="1"/>
  <c r="BH12" i="6"/>
  <c r="BI12" i="6" s="1"/>
  <c r="BJ12" i="6" s="1"/>
  <c r="BK12" i="6" s="1"/>
  <c r="BL12" i="6" s="1"/>
  <c r="L12" i="6"/>
  <c r="M12" i="6" s="1"/>
  <c r="N12" i="6" s="1"/>
  <c r="O12" i="6" s="1"/>
  <c r="P12" i="6" s="1"/>
  <c r="FR12" i="6"/>
  <c r="FS12" i="6" s="1"/>
  <c r="FT12" i="6" s="1"/>
  <c r="FU12" i="6" s="1"/>
  <c r="FV12" i="6" s="1"/>
  <c r="BB12" i="6"/>
  <c r="BC12" i="6" s="1"/>
  <c r="BD12" i="6" s="1"/>
  <c r="BE12" i="6" s="1"/>
  <c r="BF12" i="6" s="1"/>
  <c r="R12" i="6"/>
  <c r="S12" i="6" s="1"/>
  <c r="T12" i="6" s="1"/>
  <c r="U12" i="6" s="1"/>
  <c r="V12" i="6" s="1"/>
  <c r="AV12" i="6"/>
  <c r="AW12" i="6" s="1"/>
  <c r="AX12" i="6" s="1"/>
  <c r="AY12" i="6" s="1"/>
  <c r="AZ12" i="6" s="1"/>
  <c r="EB12" i="6"/>
  <c r="EC12" i="6" s="1"/>
  <c r="ED12" i="6" s="1"/>
  <c r="EE12" i="6" s="1"/>
  <c r="EF12" i="6" s="1"/>
  <c r="CL12" i="6"/>
  <c r="CM12" i="6" s="1"/>
  <c r="CN12" i="6" s="1"/>
  <c r="CO12" i="6" s="1"/>
  <c r="CP12" i="6" s="1"/>
  <c r="AJ12" i="6"/>
  <c r="AK12" i="6" s="1"/>
  <c r="AL12" i="6" s="1"/>
  <c r="AM12" i="6" s="1"/>
  <c r="AN12" i="6" s="1"/>
  <c r="BN12" i="6"/>
  <c r="BO12" i="6" s="1"/>
  <c r="BP12" i="6" s="1"/>
  <c r="BQ12" i="6" s="1"/>
  <c r="BR12" i="6" s="1"/>
  <c r="FX12" i="6"/>
  <c r="FY12" i="6" s="1"/>
  <c r="FZ12" i="6" s="1"/>
  <c r="GA12" i="6" s="1"/>
  <c r="GB12" i="6" s="1"/>
  <c r="DJ12" i="6"/>
  <c r="DK12" i="6" s="1"/>
  <c r="DL12" i="6" s="1"/>
  <c r="DM12" i="6" s="1"/>
  <c r="DN12" i="6" s="1"/>
  <c r="AD12" i="6"/>
  <c r="AE12" i="6" s="1"/>
  <c r="AF12" i="6" s="1"/>
  <c r="AG12" i="6" s="1"/>
  <c r="AH12" i="6" s="1"/>
  <c r="GP12" i="6"/>
  <c r="GQ12" i="6" s="1"/>
  <c r="GR12" i="6" s="1"/>
  <c r="GS12" i="6" s="1"/>
  <c r="GT12" i="6" s="1"/>
  <c r="BZ12" i="6"/>
  <c r="CA12" i="6" s="1"/>
  <c r="CB12" i="6" s="1"/>
  <c r="CC12" i="6" s="1"/>
  <c r="CD12" i="6" s="1"/>
  <c r="GD12" i="6"/>
  <c r="GE12" i="6" s="1"/>
  <c r="GF12" i="6" s="1"/>
  <c r="GG12" i="6" s="1"/>
  <c r="GH12" i="6" s="1"/>
  <c r="FF12" i="6"/>
  <c r="FG12" i="6" s="1"/>
  <c r="FH12" i="6" s="1"/>
  <c r="FI12" i="6" s="1"/>
  <c r="FJ12" i="6" s="1"/>
  <c r="CR12" i="6"/>
  <c r="CS12" i="6" s="1"/>
  <c r="CT12" i="6" s="1"/>
  <c r="CU12" i="6" s="1"/>
  <c r="CV12" i="6" s="1"/>
  <c r="AP12" i="6"/>
  <c r="AQ12" i="6" s="1"/>
  <c r="AR12" i="6" s="1"/>
  <c r="AS12" i="6" s="1"/>
  <c r="AT12" i="6" s="1"/>
  <c r="X54" i="6"/>
  <c r="Y54" i="6" s="1"/>
  <c r="Z54" i="6" s="1"/>
  <c r="AA54" i="6" s="1"/>
  <c r="AB54" i="6" s="1"/>
  <c r="FR54" i="6"/>
  <c r="FS54" i="6" s="1"/>
  <c r="FT54" i="6" s="1"/>
  <c r="FU54" i="6" s="1"/>
  <c r="FV54" i="6" s="1"/>
  <c r="CL54" i="6"/>
  <c r="CM54" i="6" s="1"/>
  <c r="CN54" i="6" s="1"/>
  <c r="CO54" i="6" s="1"/>
  <c r="CP54" i="6" s="1"/>
  <c r="GJ54" i="6"/>
  <c r="GK54" i="6" s="1"/>
  <c r="GL54" i="6" s="1"/>
  <c r="GM54" i="6" s="1"/>
  <c r="GN54" i="6" s="1"/>
  <c r="DJ92" i="6"/>
  <c r="DK92" i="6" s="1"/>
  <c r="DL92" i="6" s="1"/>
  <c r="DM92" i="6" s="1"/>
  <c r="DN92" i="6" s="1"/>
  <c r="CL92" i="6"/>
  <c r="CM92" i="6" s="1"/>
  <c r="CN92" i="6" s="1"/>
  <c r="CO92" i="6" s="1"/>
  <c r="CP92" i="6" s="1"/>
  <c r="EN92" i="6"/>
  <c r="EO92" i="6" s="1"/>
  <c r="EP92" i="6" s="1"/>
  <c r="EQ92" i="6" s="1"/>
  <c r="ER92" i="6" s="1"/>
  <c r="GD92" i="6"/>
  <c r="GE92" i="6" s="1"/>
  <c r="GF92" i="6" s="1"/>
  <c r="GG92" i="6" s="1"/>
  <c r="GH92" i="6" s="1"/>
  <c r="BT86" i="6"/>
  <c r="BU86" i="6" s="1"/>
  <c r="BV86" i="6" s="1"/>
  <c r="BW86" i="6" s="1"/>
  <c r="BX86" i="6" s="1"/>
  <c r="DD86" i="6"/>
  <c r="DE86" i="6" s="1"/>
  <c r="DF86" i="6" s="1"/>
  <c r="DG86" i="6" s="1"/>
  <c r="DH86" i="6" s="1"/>
  <c r="DV86" i="6"/>
  <c r="DW86" i="6" s="1"/>
  <c r="DX86" i="6" s="1"/>
  <c r="DY86" i="6" s="1"/>
  <c r="DZ86" i="6" s="1"/>
  <c r="EZ86" i="6"/>
  <c r="FA86" i="6" s="1"/>
  <c r="FB86" i="6" s="1"/>
  <c r="FC86" i="6" s="1"/>
  <c r="FD86" i="6" s="1"/>
  <c r="BT30" i="6"/>
  <c r="BU30" i="6" s="1"/>
  <c r="BV30" i="6" s="1"/>
  <c r="BW30" i="6" s="1"/>
  <c r="BX30" i="6" s="1"/>
  <c r="R30" i="6"/>
  <c r="S30" i="6" s="1"/>
  <c r="T30" i="6" s="1"/>
  <c r="U30" i="6" s="1"/>
  <c r="V30" i="6" s="1"/>
  <c r="CL30" i="6"/>
  <c r="CM30" i="6" s="1"/>
  <c r="CN30" i="6" s="1"/>
  <c r="CO30" i="6" s="1"/>
  <c r="CP30" i="6" s="1"/>
  <c r="GJ30" i="6"/>
  <c r="GK30" i="6" s="1"/>
  <c r="GL30" i="6" s="1"/>
  <c r="GM30" i="6" s="1"/>
  <c r="GN30" i="6" s="1"/>
  <c r="L68" i="6"/>
  <c r="M68" i="6" s="1"/>
  <c r="N68" i="6" s="1"/>
  <c r="O68" i="6" s="1"/>
  <c r="P68" i="6" s="1"/>
  <c r="DD68" i="6"/>
  <c r="DE68" i="6" s="1"/>
  <c r="DF68" i="6" s="1"/>
  <c r="DG68" i="6" s="1"/>
  <c r="DH68" i="6" s="1"/>
  <c r="CR68" i="6"/>
  <c r="CS68" i="6" s="1"/>
  <c r="CT68" i="6" s="1"/>
  <c r="CU68" i="6" s="1"/>
  <c r="CV68" i="6" s="1"/>
  <c r="FF68" i="6"/>
  <c r="FG68" i="6" s="1"/>
  <c r="FH68" i="6" s="1"/>
  <c r="FI68" i="6" s="1"/>
  <c r="FJ68" i="6" s="1"/>
  <c r="AV90" i="6"/>
  <c r="AW90" i="6" s="1"/>
  <c r="AX90" i="6" s="1"/>
  <c r="AY90" i="6" s="1"/>
  <c r="AZ90" i="6" s="1"/>
  <c r="DP90" i="6"/>
  <c r="DQ90" i="6" s="1"/>
  <c r="DR90" i="6" s="1"/>
  <c r="DS90" i="6" s="1"/>
  <c r="DT90" i="6" s="1"/>
  <c r="CL90" i="6"/>
  <c r="CM90" i="6" s="1"/>
  <c r="CN90" i="6" s="1"/>
  <c r="CO90" i="6" s="1"/>
  <c r="CP90" i="6" s="1"/>
  <c r="EB90" i="6"/>
  <c r="EC90" i="6" s="1"/>
  <c r="ED90" i="6" s="1"/>
  <c r="EE90" i="6" s="1"/>
  <c r="EF90" i="6" s="1"/>
  <c r="BZ46" i="6"/>
  <c r="CA46" i="6" s="1"/>
  <c r="CB46" i="6" s="1"/>
  <c r="CC46" i="6" s="1"/>
  <c r="CD46" i="6" s="1"/>
  <c r="AD46" i="6"/>
  <c r="AE46" i="6" s="1"/>
  <c r="AF46" i="6" s="1"/>
  <c r="AG46" i="6" s="1"/>
  <c r="AH46" i="6" s="1"/>
  <c r="CR46" i="6"/>
  <c r="CS46" i="6" s="1"/>
  <c r="CT46" i="6" s="1"/>
  <c r="CU46" i="6" s="1"/>
  <c r="CV46" i="6" s="1"/>
  <c r="EB46" i="6"/>
  <c r="EC46" i="6" s="1"/>
  <c r="ED46" i="6" s="1"/>
  <c r="EE46" i="6" s="1"/>
  <c r="EF46" i="6" s="1"/>
  <c r="BN54" i="6"/>
  <c r="BO54" i="6" s="1"/>
  <c r="BP54" i="6" s="1"/>
  <c r="BQ54" i="6" s="1"/>
  <c r="BR54" i="6" s="1"/>
  <c r="BB54" i="6"/>
  <c r="BC54" i="6" s="1"/>
  <c r="BD54" i="6" s="1"/>
  <c r="BE54" i="6" s="1"/>
  <c r="BF54" i="6" s="1"/>
  <c r="DV54" i="6"/>
  <c r="DW54" i="6" s="1"/>
  <c r="DX54" i="6" s="1"/>
  <c r="DY54" i="6" s="1"/>
  <c r="DZ54" i="6" s="1"/>
  <c r="DP54" i="6"/>
  <c r="DQ54" i="6" s="1"/>
  <c r="DR54" i="6" s="1"/>
  <c r="DS54" i="6" s="1"/>
  <c r="DT54" i="6" s="1"/>
  <c r="BT92" i="6"/>
  <c r="BU92" i="6" s="1"/>
  <c r="BV92" i="6" s="1"/>
  <c r="BW92" i="6" s="1"/>
  <c r="BX92" i="6" s="1"/>
  <c r="AP92" i="6"/>
  <c r="AQ92" i="6" s="1"/>
  <c r="AR92" i="6" s="1"/>
  <c r="AS92" i="6" s="1"/>
  <c r="AT92" i="6" s="1"/>
  <c r="CX92" i="6"/>
  <c r="CY92" i="6" s="1"/>
  <c r="CZ92" i="6" s="1"/>
  <c r="DA92" i="6" s="1"/>
  <c r="DB92" i="6" s="1"/>
  <c r="DD92" i="6"/>
  <c r="DE92" i="6" s="1"/>
  <c r="DF92" i="6" s="1"/>
  <c r="DG92" i="6" s="1"/>
  <c r="DH92" i="6" s="1"/>
  <c r="L86" i="6"/>
  <c r="M86" i="6" s="1"/>
  <c r="N86" i="6" s="1"/>
  <c r="O86" i="6" s="1"/>
  <c r="P86" i="6" s="1"/>
  <c r="AP86" i="6"/>
  <c r="AQ86" i="6" s="1"/>
  <c r="AR86" i="6" s="1"/>
  <c r="AS86" i="6" s="1"/>
  <c r="AT86" i="6" s="1"/>
  <c r="AD86" i="6"/>
  <c r="AE86" i="6" s="1"/>
  <c r="AF86" i="6" s="1"/>
  <c r="AG86" i="6" s="1"/>
  <c r="AH86" i="6" s="1"/>
  <c r="EB86" i="6"/>
  <c r="EC86" i="6" s="1"/>
  <c r="ED86" i="6" s="1"/>
  <c r="EE86" i="6" s="1"/>
  <c r="EF86" i="6" s="1"/>
  <c r="BZ30" i="6"/>
  <c r="CA30" i="6" s="1"/>
  <c r="CB30" i="6" s="1"/>
  <c r="CC30" i="6" s="1"/>
  <c r="CD30" i="6" s="1"/>
  <c r="X30" i="6"/>
  <c r="Y30" i="6" s="1"/>
  <c r="Z30" i="6" s="1"/>
  <c r="AA30" i="6" s="1"/>
  <c r="AB30" i="6" s="1"/>
  <c r="CX30" i="6"/>
  <c r="CY30" i="6" s="1"/>
  <c r="CZ30" i="6" s="1"/>
  <c r="DA30" i="6" s="1"/>
  <c r="DB30" i="6" s="1"/>
  <c r="FL30" i="6"/>
  <c r="FM30" i="6" s="1"/>
  <c r="FN30" i="6" s="1"/>
  <c r="FO30" i="6" s="1"/>
  <c r="FP30" i="6" s="1"/>
  <c r="GP30" i="6"/>
  <c r="GQ30" i="6" s="1"/>
  <c r="GR30" i="6" s="1"/>
  <c r="GS30" i="6" s="1"/>
  <c r="GT30" i="6" s="1"/>
  <c r="F68" i="6"/>
  <c r="G68" i="6" s="1"/>
  <c r="H68" i="6" s="1"/>
  <c r="I68" i="6" s="1"/>
  <c r="J68" i="6" s="1"/>
  <c r="EH68" i="6"/>
  <c r="EI68" i="6" s="1"/>
  <c r="EJ68" i="6" s="1"/>
  <c r="EK68" i="6" s="1"/>
  <c r="EL68" i="6" s="1"/>
  <c r="DJ68" i="6"/>
  <c r="DK68" i="6" s="1"/>
  <c r="DL68" i="6" s="1"/>
  <c r="DM68" i="6" s="1"/>
  <c r="DN68" i="6" s="1"/>
  <c r="GD68" i="6"/>
  <c r="GE68" i="6" s="1"/>
  <c r="GF68" i="6" s="1"/>
  <c r="GG68" i="6" s="1"/>
  <c r="GH68" i="6" s="1"/>
  <c r="BN90" i="6"/>
  <c r="BO90" i="6" s="1"/>
  <c r="BP90" i="6" s="1"/>
  <c r="BQ90" i="6" s="1"/>
  <c r="BR90" i="6" s="1"/>
  <c r="R90" i="6"/>
  <c r="S90" i="6" s="1"/>
  <c r="T90" i="6" s="1"/>
  <c r="U90" i="6" s="1"/>
  <c r="V90" i="6" s="1"/>
  <c r="CR90" i="6"/>
  <c r="CS90" i="6" s="1"/>
  <c r="CT90" i="6" s="1"/>
  <c r="CU90" i="6" s="1"/>
  <c r="CV90" i="6" s="1"/>
  <c r="ET90" i="6"/>
  <c r="EU90" i="6" s="1"/>
  <c r="EV90" i="6" s="1"/>
  <c r="EW90" i="6" s="1"/>
  <c r="EX90" i="6" s="1"/>
  <c r="AJ46" i="6"/>
  <c r="AK46" i="6" s="1"/>
  <c r="AL46" i="6" s="1"/>
  <c r="AM46" i="6" s="1"/>
  <c r="AN46" i="6" s="1"/>
  <c r="CL46" i="6"/>
  <c r="CM46" i="6" s="1"/>
  <c r="CN46" i="6" s="1"/>
  <c r="CO46" i="6" s="1"/>
  <c r="CP46" i="6" s="1"/>
  <c r="EZ46" i="6"/>
  <c r="FA46" i="6" s="1"/>
  <c r="FB46" i="6" s="1"/>
  <c r="FC46" i="6" s="1"/>
  <c r="FD46" i="6" s="1"/>
  <c r="FX46" i="6"/>
  <c r="FY46" i="6" s="1"/>
  <c r="FZ46" i="6" s="1"/>
  <c r="GA46" i="6" s="1"/>
  <c r="GB46" i="6" s="1"/>
  <c r="X75" i="6"/>
  <c r="Y75" i="6" s="1"/>
  <c r="Z75" i="6" s="1"/>
  <c r="AA75" i="6" s="1"/>
  <c r="AB75" i="6" s="1"/>
  <c r="DJ75" i="6"/>
  <c r="DK75" i="6" s="1"/>
  <c r="DL75" i="6" s="1"/>
  <c r="DM75" i="6" s="1"/>
  <c r="DN75" i="6" s="1"/>
  <c r="EH75" i="6"/>
  <c r="EI75" i="6" s="1"/>
  <c r="EJ75" i="6" s="1"/>
  <c r="EK75" i="6" s="1"/>
  <c r="EL75" i="6" s="1"/>
  <c r="DJ79" i="6"/>
  <c r="DK79" i="6" s="1"/>
  <c r="DL79" i="6" s="1"/>
  <c r="DM79" i="6" s="1"/>
  <c r="DN79" i="6" s="1"/>
  <c r="AJ79" i="6"/>
  <c r="AK79" i="6" s="1"/>
  <c r="AL79" i="6" s="1"/>
  <c r="AM79" i="6" s="1"/>
  <c r="AN79" i="6" s="1"/>
  <c r="EZ79" i="6"/>
  <c r="FA79" i="6" s="1"/>
  <c r="FB79" i="6" s="1"/>
  <c r="FC79" i="6" s="1"/>
  <c r="FD79" i="6" s="1"/>
  <c r="BT72" i="6"/>
  <c r="BU72" i="6" s="1"/>
  <c r="BV72" i="6" s="1"/>
  <c r="BW72" i="6" s="1"/>
  <c r="BX72" i="6" s="1"/>
  <c r="AJ72" i="6"/>
  <c r="AK72" i="6" s="1"/>
  <c r="AL72" i="6" s="1"/>
  <c r="AM72" i="6" s="1"/>
  <c r="AN72" i="6" s="1"/>
  <c r="GD72" i="6"/>
  <c r="GE72" i="6" s="1"/>
  <c r="GF72" i="6" s="1"/>
  <c r="GG72" i="6" s="1"/>
  <c r="GH72" i="6" s="1"/>
  <c r="AP100" i="6"/>
  <c r="AQ100" i="6" s="1"/>
  <c r="AR100" i="6" s="1"/>
  <c r="AS100" i="6" s="1"/>
  <c r="AT100" i="6" s="1"/>
  <c r="CF100" i="6"/>
  <c r="CG100" i="6" s="1"/>
  <c r="CH100" i="6" s="1"/>
  <c r="CI100" i="6" s="1"/>
  <c r="CJ100" i="6" s="1"/>
  <c r="EN100" i="6"/>
  <c r="EO100" i="6" s="1"/>
  <c r="EP100" i="6" s="1"/>
  <c r="EQ100" i="6" s="1"/>
  <c r="ER100" i="6" s="1"/>
  <c r="X78" i="6"/>
  <c r="Y78" i="6" s="1"/>
  <c r="Z78" i="6" s="1"/>
  <c r="AA78" i="6" s="1"/>
  <c r="AB78" i="6" s="1"/>
  <c r="BH78" i="6"/>
  <c r="BI78" i="6" s="1"/>
  <c r="BJ78" i="6" s="1"/>
  <c r="BK78" i="6" s="1"/>
  <c r="BL78" i="6" s="1"/>
  <c r="EB78" i="6"/>
  <c r="EC78" i="6" s="1"/>
  <c r="ED78" i="6" s="1"/>
  <c r="EE78" i="6" s="1"/>
  <c r="EF78" i="6" s="1"/>
  <c r="L26" i="6"/>
  <c r="M26" i="6" s="1"/>
  <c r="N26" i="6" s="1"/>
  <c r="O26" i="6" s="1"/>
  <c r="P26" i="6" s="1"/>
  <c r="DD26" i="6"/>
  <c r="DE26" i="6" s="1"/>
  <c r="DF26" i="6" s="1"/>
  <c r="DG26" i="6" s="1"/>
  <c r="DH26" i="6" s="1"/>
  <c r="FF26" i="6"/>
  <c r="FG26" i="6" s="1"/>
  <c r="FH26" i="6" s="1"/>
  <c r="FI26" i="6" s="1"/>
  <c r="FJ26" i="6" s="1"/>
  <c r="BZ52" i="6"/>
  <c r="CA52" i="6" s="1"/>
  <c r="CB52" i="6" s="1"/>
  <c r="CC52" i="6" s="1"/>
  <c r="CD52" i="6" s="1"/>
  <c r="BH52" i="6"/>
  <c r="BI52" i="6" s="1"/>
  <c r="BJ52" i="6" s="1"/>
  <c r="BK52" i="6" s="1"/>
  <c r="BL52" i="6" s="1"/>
  <c r="DP52" i="6"/>
  <c r="DQ52" i="6" s="1"/>
  <c r="DR52" i="6" s="1"/>
  <c r="DS52" i="6" s="1"/>
  <c r="DT52" i="6" s="1"/>
  <c r="EN52" i="6"/>
  <c r="EO52" i="6" s="1"/>
  <c r="EP52" i="6" s="1"/>
  <c r="EQ52" i="6" s="1"/>
  <c r="ER52" i="6" s="1"/>
  <c r="BN94" i="6"/>
  <c r="BO94" i="6" s="1"/>
  <c r="BP94" i="6" s="1"/>
  <c r="BQ94" i="6" s="1"/>
  <c r="BR94" i="6" s="1"/>
  <c r="CR94" i="6"/>
  <c r="CS94" i="6" s="1"/>
  <c r="CT94" i="6" s="1"/>
  <c r="CU94" i="6" s="1"/>
  <c r="CV94" i="6" s="1"/>
  <c r="EN94" i="6"/>
  <c r="EO94" i="6" s="1"/>
  <c r="EP94" i="6" s="1"/>
  <c r="EQ94" i="6" s="1"/>
  <c r="ER94" i="6" s="1"/>
  <c r="X19" i="6"/>
  <c r="Y19" i="6" s="1"/>
  <c r="Z19" i="6" s="1"/>
  <c r="AA19" i="6" s="1"/>
  <c r="AB19" i="6" s="1"/>
  <c r="CL19" i="6"/>
  <c r="CM19" i="6" s="1"/>
  <c r="CN19" i="6" s="1"/>
  <c r="CO19" i="6" s="1"/>
  <c r="CP19" i="6" s="1"/>
  <c r="GP19" i="6"/>
  <c r="GQ19" i="6" s="1"/>
  <c r="GR19" i="6" s="1"/>
  <c r="GS19" i="6" s="1"/>
  <c r="GT19" i="6" s="1"/>
  <c r="F20" i="6"/>
  <c r="G20" i="6" s="1"/>
  <c r="H20" i="6" s="1"/>
  <c r="I20" i="6" s="1"/>
  <c r="J20" i="6" s="1"/>
  <c r="BB20" i="6"/>
  <c r="BC20" i="6" s="1"/>
  <c r="BD20" i="6" s="1"/>
  <c r="BE20" i="6" s="1"/>
  <c r="BF20" i="6" s="1"/>
  <c r="FL20" i="6"/>
  <c r="FM20" i="6" s="1"/>
  <c r="FN20" i="6" s="1"/>
  <c r="FO20" i="6" s="1"/>
  <c r="FP20" i="6" s="1"/>
  <c r="X104" i="6"/>
  <c r="Y104" i="6" s="1"/>
  <c r="Z104" i="6" s="1"/>
  <c r="AA104" i="6" s="1"/>
  <c r="AB104" i="6" s="1"/>
  <c r="EB104" i="6"/>
  <c r="EC104" i="6" s="1"/>
  <c r="ED104" i="6" s="1"/>
  <c r="EE104" i="6" s="1"/>
  <c r="EF104" i="6" s="1"/>
  <c r="ET104" i="6"/>
  <c r="EU104" i="6" s="1"/>
  <c r="EV104" i="6" s="1"/>
  <c r="EW104" i="6" s="1"/>
  <c r="EX104" i="6" s="1"/>
  <c r="AV99" i="6"/>
  <c r="AW99" i="6" s="1"/>
  <c r="AX99" i="6" s="1"/>
  <c r="AY99" i="6" s="1"/>
  <c r="AZ99" i="6" s="1"/>
  <c r="AD99" i="6"/>
  <c r="AE99" i="6" s="1"/>
  <c r="AF99" i="6" s="1"/>
  <c r="AG99" i="6" s="1"/>
  <c r="AH99" i="6" s="1"/>
  <c r="CR99" i="6"/>
  <c r="CS99" i="6" s="1"/>
  <c r="CT99" i="6" s="1"/>
  <c r="CU99" i="6" s="1"/>
  <c r="CV99" i="6" s="1"/>
  <c r="BN45" i="6"/>
  <c r="BO45" i="6" s="1"/>
  <c r="BP45" i="6" s="1"/>
  <c r="BQ45" i="6" s="1"/>
  <c r="BR45" i="6" s="1"/>
  <c r="BB45" i="6"/>
  <c r="BC45" i="6" s="1"/>
  <c r="BD45" i="6" s="1"/>
  <c r="BE45" i="6" s="1"/>
  <c r="BF45" i="6" s="1"/>
  <c r="EB45" i="6"/>
  <c r="EC45" i="6" s="1"/>
  <c r="ED45" i="6" s="1"/>
  <c r="EE45" i="6" s="1"/>
  <c r="EF45" i="6" s="1"/>
  <c r="BN44" i="6"/>
  <c r="BO44" i="6" s="1"/>
  <c r="BP44" i="6" s="1"/>
  <c r="BQ44" i="6" s="1"/>
  <c r="BR44" i="6" s="1"/>
  <c r="AP44" i="6"/>
  <c r="AQ44" i="6" s="1"/>
  <c r="AR44" i="6" s="1"/>
  <c r="AS44" i="6" s="1"/>
  <c r="AT44" i="6" s="1"/>
  <c r="CF44" i="6"/>
  <c r="CG44" i="6" s="1"/>
  <c r="CH44" i="6" s="1"/>
  <c r="CI44" i="6" s="1"/>
  <c r="CJ44" i="6" s="1"/>
  <c r="AV33" i="6"/>
  <c r="AW33" i="6" s="1"/>
  <c r="AX33" i="6" s="1"/>
  <c r="AY33" i="6" s="1"/>
  <c r="AZ33" i="6" s="1"/>
  <c r="EN33" i="6"/>
  <c r="EO33" i="6" s="1"/>
  <c r="EP33" i="6" s="1"/>
  <c r="EQ33" i="6" s="1"/>
  <c r="ER33" i="6" s="1"/>
  <c r="AD33" i="6"/>
  <c r="AE33" i="6" s="1"/>
  <c r="AF33" i="6" s="1"/>
  <c r="AG33" i="6" s="1"/>
  <c r="AH33" i="6" s="1"/>
  <c r="DV33" i="6"/>
  <c r="DW33" i="6" s="1"/>
  <c r="DX33" i="6" s="1"/>
  <c r="DY33" i="6" s="1"/>
  <c r="DZ33" i="6" s="1"/>
  <c r="BB36" i="6"/>
  <c r="BC36" i="6" s="1"/>
  <c r="BD36" i="6" s="1"/>
  <c r="BE36" i="6" s="1"/>
  <c r="BF36" i="6" s="1"/>
  <c r="CF36" i="6"/>
  <c r="CG36" i="6" s="1"/>
  <c r="CH36" i="6" s="1"/>
  <c r="CI36" i="6" s="1"/>
  <c r="CJ36" i="6" s="1"/>
  <c r="EH36" i="6"/>
  <c r="EI36" i="6" s="1"/>
  <c r="EJ36" i="6" s="1"/>
  <c r="EK36" i="6" s="1"/>
  <c r="EL36" i="6" s="1"/>
  <c r="BT70" i="6"/>
  <c r="BU70" i="6" s="1"/>
  <c r="BV70" i="6" s="1"/>
  <c r="BW70" i="6" s="1"/>
  <c r="BX70" i="6" s="1"/>
  <c r="AD70" i="6"/>
  <c r="AE70" i="6" s="1"/>
  <c r="AF70" i="6" s="1"/>
  <c r="AG70" i="6" s="1"/>
  <c r="AH70" i="6" s="1"/>
  <c r="DJ70" i="6"/>
  <c r="DK70" i="6" s="1"/>
  <c r="DL70" i="6" s="1"/>
  <c r="DM70" i="6" s="1"/>
  <c r="DN70" i="6" s="1"/>
  <c r="X93" i="6"/>
  <c r="Y93" i="6" s="1"/>
  <c r="Z93" i="6" s="1"/>
  <c r="AA93" i="6" s="1"/>
  <c r="AB93" i="6" s="1"/>
  <c r="BH93" i="6"/>
  <c r="BI93" i="6" s="1"/>
  <c r="BJ93" i="6" s="1"/>
  <c r="BK93" i="6" s="1"/>
  <c r="BL93" i="6" s="1"/>
  <c r="EZ93" i="6"/>
  <c r="FA93" i="6" s="1"/>
  <c r="FB93" i="6" s="1"/>
  <c r="FC93" i="6" s="1"/>
  <c r="FD93" i="6" s="1"/>
  <c r="F16" i="6"/>
  <c r="G16" i="6" s="1"/>
  <c r="H16" i="6" s="1"/>
  <c r="I16" i="6" s="1"/>
  <c r="J16" i="6" s="1"/>
  <c r="FF16" i="6"/>
  <c r="FG16" i="6" s="1"/>
  <c r="FH16" i="6" s="1"/>
  <c r="FI16" i="6" s="1"/>
  <c r="FJ16" i="6" s="1"/>
  <c r="FL16" i="6"/>
  <c r="FM16" i="6" s="1"/>
  <c r="FN16" i="6" s="1"/>
  <c r="FO16" i="6" s="1"/>
  <c r="FP16" i="6" s="1"/>
  <c r="F74" i="6"/>
  <c r="G74" i="6" s="1"/>
  <c r="H74" i="6" s="1"/>
  <c r="I74" i="6" s="1"/>
  <c r="J74" i="6" s="1"/>
  <c r="AD74" i="6"/>
  <c r="AE74" i="6" s="1"/>
  <c r="AF74" i="6" s="1"/>
  <c r="AG74" i="6" s="1"/>
  <c r="AH74" i="6" s="1"/>
  <c r="FX74" i="6"/>
  <c r="FY74" i="6" s="1"/>
  <c r="FZ74" i="6" s="1"/>
  <c r="GA74" i="6" s="1"/>
  <c r="GB74" i="6" s="1"/>
  <c r="F63" i="6"/>
  <c r="G63" i="6" s="1"/>
  <c r="H63" i="6" s="1"/>
  <c r="I63" i="6" s="1"/>
  <c r="J63" i="6" s="1"/>
  <c r="BH63" i="6"/>
  <c r="BI63" i="6" s="1"/>
  <c r="BJ63" i="6" s="1"/>
  <c r="BK63" i="6" s="1"/>
  <c r="BL63" i="6" s="1"/>
  <c r="FL63" i="6"/>
  <c r="FM63" i="6" s="1"/>
  <c r="FN63" i="6" s="1"/>
  <c r="FO63" i="6" s="1"/>
  <c r="FP63" i="6" s="1"/>
  <c r="BZ83" i="6"/>
  <c r="CA83" i="6" s="1"/>
  <c r="CB83" i="6" s="1"/>
  <c r="CC83" i="6" s="1"/>
  <c r="CD83" i="6" s="1"/>
  <c r="R83" i="6"/>
  <c r="S83" i="6" s="1"/>
  <c r="T83" i="6" s="1"/>
  <c r="U83" i="6" s="1"/>
  <c r="V83" i="6" s="1"/>
  <c r="CL83" i="6"/>
  <c r="CM83" i="6" s="1"/>
  <c r="CN83" i="6" s="1"/>
  <c r="CO83" i="6" s="1"/>
  <c r="CP83" i="6" s="1"/>
  <c r="BZ69" i="6"/>
  <c r="CA69" i="6" s="1"/>
  <c r="CB69" i="6" s="1"/>
  <c r="CC69" i="6" s="1"/>
  <c r="CD69" i="6" s="1"/>
  <c r="F69" i="6"/>
  <c r="G69" i="6" s="1"/>
  <c r="H69" i="6" s="1"/>
  <c r="I69" i="6" s="1"/>
  <c r="J69" i="6" s="1"/>
  <c r="CF69" i="6"/>
  <c r="CG69" i="6" s="1"/>
  <c r="CH69" i="6" s="1"/>
  <c r="CI69" i="6" s="1"/>
  <c r="CJ69" i="6" s="1"/>
  <c r="EZ69" i="6"/>
  <c r="FA69" i="6" s="1"/>
  <c r="FB69" i="6" s="1"/>
  <c r="FC69" i="6" s="1"/>
  <c r="FD69" i="6" s="1"/>
  <c r="BN80" i="6"/>
  <c r="BO80" i="6" s="1"/>
  <c r="BP80" i="6" s="1"/>
  <c r="BQ80" i="6" s="1"/>
  <c r="BR80" i="6" s="1"/>
  <c r="CF80" i="6"/>
  <c r="CG80" i="6" s="1"/>
  <c r="CH80" i="6" s="1"/>
  <c r="CI80" i="6" s="1"/>
  <c r="CJ80" i="6" s="1"/>
  <c r="FL80" i="6"/>
  <c r="FM80" i="6" s="1"/>
  <c r="FN80" i="6" s="1"/>
  <c r="FO80" i="6" s="1"/>
  <c r="FP80" i="6" s="1"/>
  <c r="AJ37" i="6"/>
  <c r="AK37" i="6" s="1"/>
  <c r="AL37" i="6" s="1"/>
  <c r="AM37" i="6" s="1"/>
  <c r="AN37" i="6" s="1"/>
  <c r="CL37" i="6"/>
  <c r="CM37" i="6" s="1"/>
  <c r="CN37" i="6" s="1"/>
  <c r="CO37" i="6" s="1"/>
  <c r="CP37" i="6" s="1"/>
  <c r="DP37" i="6"/>
  <c r="DQ37" i="6" s="1"/>
  <c r="DR37" i="6" s="1"/>
  <c r="DS37" i="6" s="1"/>
  <c r="DT37" i="6" s="1"/>
  <c r="BT55" i="6"/>
  <c r="BU55" i="6" s="1"/>
  <c r="BV55" i="6" s="1"/>
  <c r="BW55" i="6" s="1"/>
  <c r="BX55" i="6" s="1"/>
  <c r="CF55" i="6"/>
  <c r="CG55" i="6" s="1"/>
  <c r="CH55" i="6" s="1"/>
  <c r="CI55" i="6" s="1"/>
  <c r="CJ55" i="6" s="1"/>
  <c r="EB55" i="6"/>
  <c r="EC55" i="6" s="1"/>
  <c r="ED55" i="6" s="1"/>
  <c r="EE55" i="6" s="1"/>
  <c r="EF55" i="6" s="1"/>
  <c r="F88" i="6"/>
  <c r="G88" i="6" s="1"/>
  <c r="H88" i="6" s="1"/>
  <c r="I88" i="6" s="1"/>
  <c r="J88" i="6" s="1"/>
  <c r="CL88" i="6"/>
  <c r="CM88" i="6" s="1"/>
  <c r="CN88" i="6" s="1"/>
  <c r="CO88" i="6" s="1"/>
  <c r="CP88" i="6" s="1"/>
  <c r="FF88" i="6"/>
  <c r="FG88" i="6" s="1"/>
  <c r="FH88" i="6" s="1"/>
  <c r="FI88" i="6" s="1"/>
  <c r="FJ88" i="6" s="1"/>
  <c r="AP13" i="6"/>
  <c r="AQ13" i="6" s="1"/>
  <c r="AR13" i="6" s="1"/>
  <c r="AS13" i="6" s="1"/>
  <c r="AT13" i="6" s="1"/>
  <c r="BH13" i="6"/>
  <c r="BI13" i="6" s="1"/>
  <c r="BJ13" i="6" s="1"/>
  <c r="BK13" i="6" s="1"/>
  <c r="BL13" i="6" s="1"/>
  <c r="EH13" i="6"/>
  <c r="EI13" i="6" s="1"/>
  <c r="EJ13" i="6" s="1"/>
  <c r="EK13" i="6" s="1"/>
  <c r="EL13" i="6" s="1"/>
  <c r="L98" i="6"/>
  <c r="M98" i="6" s="1"/>
  <c r="N98" i="6" s="1"/>
  <c r="O98" i="6" s="1"/>
  <c r="P98" i="6" s="1"/>
  <c r="AP98" i="6"/>
  <c r="AQ98" i="6" s="1"/>
  <c r="AR98" i="6" s="1"/>
  <c r="AS98" i="6" s="1"/>
  <c r="AT98" i="6" s="1"/>
  <c r="EN98" i="6"/>
  <c r="EO98" i="6" s="1"/>
  <c r="EP98" i="6" s="1"/>
  <c r="EQ98" i="6" s="1"/>
  <c r="ER98" i="6" s="1"/>
  <c r="F53" i="6"/>
  <c r="G53" i="6" s="1"/>
  <c r="H53" i="6" s="1"/>
  <c r="I53" i="6" s="1"/>
  <c r="J53" i="6" s="1"/>
  <c r="AP53" i="6"/>
  <c r="AQ53" i="6" s="1"/>
  <c r="AR53" i="6" s="1"/>
  <c r="AS53" i="6" s="1"/>
  <c r="AT53" i="6" s="1"/>
  <c r="CR53" i="6"/>
  <c r="CS53" i="6" s="1"/>
  <c r="CT53" i="6" s="1"/>
  <c r="CU53" i="6" s="1"/>
  <c r="CV53" i="6" s="1"/>
  <c r="AV87" i="6"/>
  <c r="AW87" i="6" s="1"/>
  <c r="AX87" i="6" s="1"/>
  <c r="AY87" i="6" s="1"/>
  <c r="AZ87" i="6" s="1"/>
  <c r="BN87" i="6"/>
  <c r="BO87" i="6" s="1"/>
  <c r="BP87" i="6" s="1"/>
  <c r="BQ87" i="6" s="1"/>
  <c r="BR87" i="6" s="1"/>
  <c r="CL87" i="6"/>
  <c r="CM87" i="6" s="1"/>
  <c r="CN87" i="6" s="1"/>
  <c r="CO87" i="6" s="1"/>
  <c r="CP87" i="6" s="1"/>
  <c r="FL87" i="6"/>
  <c r="FM87" i="6" s="1"/>
  <c r="FN87" i="6" s="1"/>
  <c r="FO87" i="6" s="1"/>
  <c r="FP87" i="6" s="1"/>
  <c r="DP91" i="6"/>
  <c r="DQ91" i="6" s="1"/>
  <c r="DR91" i="6" s="1"/>
  <c r="DS91" i="6" s="1"/>
  <c r="DT91" i="6" s="1"/>
  <c r="CL91" i="6"/>
  <c r="CM91" i="6" s="1"/>
  <c r="CN91" i="6" s="1"/>
  <c r="CO91" i="6" s="1"/>
  <c r="CP91" i="6" s="1"/>
  <c r="GD91" i="6"/>
  <c r="GE91" i="6" s="1"/>
  <c r="GF91" i="6" s="1"/>
  <c r="GG91" i="6" s="1"/>
  <c r="GH91" i="6" s="1"/>
  <c r="BT105" i="6"/>
  <c r="BU105" i="6" s="1"/>
  <c r="BV105" i="6" s="1"/>
  <c r="BW105" i="6" s="1"/>
  <c r="BX105" i="6" s="1"/>
  <c r="EN105" i="6"/>
  <c r="EO105" i="6" s="1"/>
  <c r="EP105" i="6" s="1"/>
  <c r="EQ105" i="6" s="1"/>
  <c r="ER105" i="6" s="1"/>
  <c r="FF105" i="6"/>
  <c r="FG105" i="6" s="1"/>
  <c r="FH105" i="6" s="1"/>
  <c r="FI105" i="6" s="1"/>
  <c r="FJ105" i="6" s="1"/>
  <c r="R54" i="6"/>
  <c r="S54" i="6" s="1"/>
  <c r="T54" i="6" s="1"/>
  <c r="U54" i="6" s="1"/>
  <c r="V54" i="6" s="1"/>
  <c r="AP54" i="6"/>
  <c r="AQ54" i="6" s="1"/>
  <c r="AR54" i="6" s="1"/>
  <c r="AS54" i="6" s="1"/>
  <c r="AT54" i="6" s="1"/>
  <c r="DD54" i="6"/>
  <c r="DE54" i="6" s="1"/>
  <c r="DF54" i="6" s="1"/>
  <c r="DG54" i="6" s="1"/>
  <c r="DH54" i="6" s="1"/>
  <c r="AV92" i="6"/>
  <c r="AW92" i="6" s="1"/>
  <c r="AX92" i="6" s="1"/>
  <c r="AY92" i="6" s="1"/>
  <c r="AZ92" i="6" s="1"/>
  <c r="AJ92" i="6"/>
  <c r="AK92" i="6" s="1"/>
  <c r="AL92" i="6" s="1"/>
  <c r="AM92" i="6" s="1"/>
  <c r="AN92" i="6" s="1"/>
  <c r="EB92" i="6"/>
  <c r="EC92" i="6" s="1"/>
  <c r="ED92" i="6" s="1"/>
  <c r="EE92" i="6" s="1"/>
  <c r="EF92" i="6" s="1"/>
  <c r="AV86" i="6"/>
  <c r="AW86" i="6" s="1"/>
  <c r="AX86" i="6" s="1"/>
  <c r="AY86" i="6" s="1"/>
  <c r="AZ86" i="6" s="1"/>
  <c r="DJ86" i="6"/>
  <c r="DK86" i="6" s="1"/>
  <c r="DL86" i="6" s="1"/>
  <c r="DM86" i="6" s="1"/>
  <c r="DN86" i="6" s="1"/>
  <c r="CL86" i="6"/>
  <c r="CM86" i="6" s="1"/>
  <c r="CN86" i="6" s="1"/>
  <c r="CO86" i="6" s="1"/>
  <c r="CP86" i="6" s="1"/>
  <c r="AV30" i="6"/>
  <c r="AW30" i="6" s="1"/>
  <c r="AX30" i="6" s="1"/>
  <c r="AY30" i="6" s="1"/>
  <c r="AZ30" i="6" s="1"/>
  <c r="CF30" i="6"/>
  <c r="CG30" i="6" s="1"/>
  <c r="CH30" i="6" s="1"/>
  <c r="CI30" i="6" s="1"/>
  <c r="CJ30" i="6" s="1"/>
  <c r="DJ30" i="6"/>
  <c r="DK30" i="6" s="1"/>
  <c r="DL30" i="6" s="1"/>
  <c r="DM30" i="6" s="1"/>
  <c r="DN30" i="6" s="1"/>
  <c r="BB68" i="6"/>
  <c r="BC68" i="6" s="1"/>
  <c r="BD68" i="6" s="1"/>
  <c r="BE68" i="6" s="1"/>
  <c r="BF68" i="6" s="1"/>
  <c r="BT68" i="6"/>
  <c r="BU68" i="6" s="1"/>
  <c r="BV68" i="6" s="1"/>
  <c r="BW68" i="6" s="1"/>
  <c r="BX68" i="6" s="1"/>
  <c r="CF68" i="6"/>
  <c r="CG68" i="6" s="1"/>
  <c r="CH68" i="6" s="1"/>
  <c r="CI68" i="6" s="1"/>
  <c r="CJ68" i="6" s="1"/>
  <c r="DV68" i="6"/>
  <c r="DW68" i="6" s="1"/>
  <c r="DX68" i="6" s="1"/>
  <c r="DY68" i="6" s="1"/>
  <c r="DZ68" i="6" s="1"/>
  <c r="BT90" i="6"/>
  <c r="BU90" i="6" s="1"/>
  <c r="BV90" i="6" s="1"/>
  <c r="BW90" i="6" s="1"/>
  <c r="BX90" i="6" s="1"/>
  <c r="FX90" i="6"/>
  <c r="FY90" i="6" s="1"/>
  <c r="FZ90" i="6" s="1"/>
  <c r="GA90" i="6" s="1"/>
  <c r="GB90" i="6" s="1"/>
  <c r="DD90" i="6"/>
  <c r="DE90" i="6" s="1"/>
  <c r="DF90" i="6" s="1"/>
  <c r="DG90" i="6" s="1"/>
  <c r="DH90" i="6" s="1"/>
  <c r="R46" i="6"/>
  <c r="S46" i="6" s="1"/>
  <c r="T46" i="6" s="1"/>
  <c r="U46" i="6" s="1"/>
  <c r="V46" i="6" s="1"/>
  <c r="EH46" i="6"/>
  <c r="EI46" i="6" s="1"/>
  <c r="EJ46" i="6" s="1"/>
  <c r="EK46" i="6" s="1"/>
  <c r="EL46" i="6" s="1"/>
  <c r="GP46" i="6"/>
  <c r="GQ46" i="6" s="1"/>
  <c r="GR46" i="6" s="1"/>
  <c r="GS46" i="6" s="1"/>
  <c r="GT46" i="6" s="1"/>
  <c r="BL9" i="6" l="1"/>
  <c r="BL109" i="6" s="1"/>
  <c r="BK109" i="6"/>
  <c r="EL9" i="6"/>
  <c r="EL109" i="6" s="1"/>
  <c r="EK109" i="6"/>
  <c r="AT9" i="6"/>
  <c r="AT109" i="6" s="1"/>
  <c r="AS109" i="6"/>
  <c r="P9" i="6"/>
  <c r="P109" i="6" s="1"/>
  <c r="O109" i="6"/>
  <c r="CV9" i="6"/>
  <c r="CV109" i="6" s="1"/>
  <c r="CU109" i="6"/>
  <c r="EF9" i="6"/>
  <c r="EF109" i="6" s="1"/>
  <c r="EE109" i="6"/>
  <c r="AH9" i="6"/>
  <c r="AH109" i="6" s="1"/>
  <c r="AG109" i="6"/>
  <c r="V9" i="6"/>
  <c r="V109" i="6" s="1"/>
  <c r="U109" i="6"/>
  <c r="ER9" i="6"/>
  <c r="ER109" i="6" s="1"/>
  <c r="EQ109" i="6"/>
  <c r="GB9" i="6"/>
  <c r="GB109" i="6" s="1"/>
  <c r="GA109" i="6"/>
  <c r="FD9" i="6"/>
  <c r="FD109" i="6" s="1"/>
  <c r="FC109" i="6"/>
  <c r="DN9" i="6"/>
  <c r="DN109" i="6" s="1"/>
  <c r="DM109" i="6"/>
  <c r="AB9" i="6"/>
  <c r="AB109" i="6" s="1"/>
  <c r="AA109" i="6"/>
  <c r="BR9" i="6"/>
  <c r="BR109" i="6" s="1"/>
  <c r="BQ109" i="6"/>
  <c r="BX9" i="6"/>
  <c r="BX109" i="6" s="1"/>
  <c r="BW109" i="6"/>
  <c r="GT9" i="6"/>
  <c r="GT109" i="6" s="1"/>
  <c r="GS109" i="6"/>
  <c r="DZ9" i="6"/>
  <c r="DZ109" i="6" s="1"/>
  <c r="DY109" i="6"/>
  <c r="BF9" i="6"/>
  <c r="BF109" i="6" s="1"/>
  <c r="BE109" i="6"/>
  <c r="DH9" i="6"/>
  <c r="DH109" i="6" s="1"/>
  <c r="DG109" i="6"/>
  <c r="FV9" i="6"/>
  <c r="FV109" i="6" s="1"/>
  <c r="FU109" i="6"/>
  <c r="DB9" i="6"/>
  <c r="DB109" i="6" s="1"/>
  <c r="DA109" i="6"/>
  <c r="CP9" i="6"/>
  <c r="CP109" i="6" s="1"/>
  <c r="CO109" i="6"/>
  <c r="DT9" i="6"/>
  <c r="DT109" i="6" s="1"/>
  <c r="DS109" i="6"/>
  <c r="EX9" i="6"/>
  <c r="EX109" i="6" s="1"/>
  <c r="EW109" i="6"/>
  <c r="AN9" i="6"/>
  <c r="AN109" i="6" s="1"/>
  <c r="AM109" i="6"/>
  <c r="FJ9" i="6"/>
  <c r="FJ109" i="6" s="1"/>
  <c r="FI109" i="6"/>
  <c r="FP9" i="6"/>
  <c r="FP109" i="6" s="1"/>
  <c r="FO109" i="6"/>
  <c r="GH9" i="6"/>
  <c r="GH109" i="6" s="1"/>
  <c r="GG109" i="6"/>
  <c r="CJ9" i="6"/>
  <c r="CJ109" i="6" s="1"/>
  <c r="CI109" i="6"/>
  <c r="AZ9" i="6"/>
  <c r="AZ109" i="6" s="1"/>
  <c r="AY109" i="6"/>
  <c r="J9" i="6"/>
  <c r="J109" i="6" s="1"/>
  <c r="I109" i="6"/>
  <c r="CD9" i="6"/>
  <c r="CD109" i="6" s="1"/>
  <c r="CC109" i="6"/>
  <c r="GN9" i="6"/>
  <c r="GN109" i="6" s="1"/>
  <c r="GM109" i="6"/>
  <c r="BL6" i="6"/>
  <c r="CV6" i="6"/>
  <c r="ER6" i="6"/>
  <c r="AB6" i="6"/>
  <c r="DZ6" i="6"/>
  <c r="DB6" i="6"/>
  <c r="AN6" i="6"/>
  <c r="CJ6" i="6"/>
  <c r="GN6" i="6"/>
  <c r="AZ6" i="6"/>
  <c r="BT6" i="6"/>
  <c r="P6" i="6"/>
  <c r="GT6" i="6"/>
  <c r="EX6" i="6"/>
  <c r="GD6" i="6"/>
  <c r="BH6" i="6"/>
  <c r="CR6" i="6"/>
  <c r="EN6" i="6"/>
  <c r="X6" i="6"/>
  <c r="DV6" i="6"/>
  <c r="CX6" i="6"/>
  <c r="AJ6" i="6"/>
  <c r="CF6" i="6"/>
  <c r="GJ6" i="6"/>
  <c r="AP6" i="6"/>
  <c r="DD6" i="6"/>
  <c r="FL6" i="6"/>
  <c r="DN6" i="6"/>
  <c r="CD6" i="6"/>
  <c r="EL6" i="6"/>
  <c r="EF6" i="6"/>
  <c r="GB6" i="6"/>
  <c r="BR6" i="6"/>
  <c r="BF6" i="6"/>
  <c r="CP6" i="6"/>
  <c r="FJ6" i="6"/>
  <c r="AV6" i="6"/>
  <c r="EZ6" i="6"/>
  <c r="V6" i="6"/>
  <c r="FV6" i="6"/>
  <c r="L6" i="6"/>
  <c r="GP6" i="6"/>
  <c r="EH6" i="6"/>
  <c r="EB6" i="6"/>
  <c r="FX6" i="6"/>
  <c r="BN6" i="6"/>
  <c r="BB6" i="6"/>
  <c r="CL6" i="6"/>
  <c r="FF6" i="6"/>
  <c r="AD6" i="6"/>
  <c r="DP6" i="6"/>
  <c r="F6" i="6"/>
  <c r="DJ6" i="6"/>
  <c r="FR6" i="6"/>
  <c r="BZ6" i="6"/>
  <c r="AT6" i="6"/>
  <c r="AH6" i="6"/>
  <c r="FD6" i="6"/>
  <c r="BX6" i="6"/>
  <c r="DH6" i="6"/>
  <c r="DT6" i="6"/>
  <c r="FP6" i="6"/>
  <c r="J6" i="6"/>
  <c r="GH6" i="6"/>
  <c r="R6" i="6"/>
  <c r="ET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<sst xmlns="http://schemas.openxmlformats.org/spreadsheetml/2006/main" count="404" uniqueCount="166">
  <si>
    <t>OUTFALLSTATS</t>
  </si>
  <si>
    <t>Min</t>
  </si>
  <si>
    <t>Median</t>
  </si>
  <si>
    <t>Max</t>
  </si>
  <si>
    <t xml:space="preserve">  Genome copies GII per L</t>
  </si>
  <si>
    <t>SIMULATION SETTINGS</t>
  </si>
  <si>
    <t>Default or given value</t>
  </si>
  <si>
    <t>Make these selections in the Simulations Settings menu item tabs:</t>
  </si>
  <si>
    <t>Input</t>
  </si>
  <si>
    <t>General tab:</t>
  </si>
  <si>
    <t>Select 1000 iterations, #Simulations = 1, Multiple CPU Support = Enabled</t>
  </si>
  <si>
    <t>intermediate calculation</t>
  </si>
  <si>
    <t>Select "Random Values (Monte Carlo)" for when a simulation is not running</t>
  </si>
  <si>
    <t>Copied value</t>
  </si>
  <si>
    <t>View tab:</t>
  </si>
  <si>
    <t xml:space="preserve">Select "None" for automatic results display, and tick box for Update Windows  </t>
  </si>
  <si>
    <t>Result</t>
  </si>
  <si>
    <t>During Simulation Every "Automatic" seconds</t>
  </si>
  <si>
    <t>Sampling tab:</t>
  </si>
  <si>
    <t>Select Latin Hypercube, Mersenne Twister, Fixed Initial Seed (value = 1)</t>
  </si>
  <si>
    <t>"All Use Same Seed" for Multiple Simulations</t>
  </si>
  <si>
    <t xml:space="preserve"> "Inputs marked with Select" in Collect Distribution Samples button</t>
  </si>
  <si>
    <t>"Disabled" in Smart Sensitivity Analysis panel</t>
  </si>
  <si>
    <t>"At End of Each Simulation" in Update Statistic Functions</t>
  </si>
  <si>
    <t>Macros tab:</t>
  </si>
  <si>
    <t xml:space="preserve"> Nothing selected</t>
  </si>
  <si>
    <t>Monitoring tab:</t>
  </si>
  <si>
    <t>Explanation</t>
  </si>
  <si>
    <t xml:space="preserve">The data (green cells) don't easily lend themselves to fitting to a  </t>
  </si>
  <si>
    <t xml:space="preserve">particular distribution. So we use the RiskGeneral function in @RISK, for an empirical </t>
  </si>
  <si>
    <t>probability density function ("pdf"). To do so we use the constraint that the total area under the</t>
  </si>
  <si>
    <r>
      <t>pdf = 1. To satisfy this constraint we find the value of the 100</t>
    </r>
    <r>
      <rPr>
        <i/>
        <sz val="10"/>
        <rFont val="Arial"/>
        <family val="2"/>
      </rPr>
      <t>P</t>
    </r>
    <r>
      <rPr>
        <sz val="10"/>
        <rFont val="Arial"/>
        <family val="2"/>
      </rPr>
      <t>%ile (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P</t>
    </r>
    <r>
      <rPr>
        <sz val="10"/>
        <rFont val="Arial"/>
        <family val="2"/>
      </rPr>
      <t>) given a user-supplied</t>
    </r>
  </si>
  <si>
    <r>
      <t xml:space="preserve">value of </t>
    </r>
    <r>
      <rPr>
        <i/>
        <sz val="10"/>
        <rFont val="Arial"/>
        <family val="2"/>
      </rPr>
      <t xml:space="preserve">P. </t>
    </r>
    <r>
      <rPr>
        <sz val="10"/>
        <rFont val="Arial"/>
        <family val="2"/>
      </rPr>
      <t xml:space="preserve">This value is </t>
    </r>
    <r>
      <rPr>
        <i/>
        <sz val="10"/>
        <rFont val="Arial"/>
        <family val="2"/>
      </rPr>
      <t xml:space="preserve">above </t>
    </r>
    <r>
      <rPr>
        <sz val="10"/>
        <rFont val="Arial"/>
        <family val="2"/>
      </rPr>
      <t xml:space="preserve">the median. We also use linear interpolation between the pdf </t>
    </r>
  </si>
  <si>
    <t>breakpoints (note that were we to join BD by a straight line we would over-estimate the median</t>
  </si>
  <si>
    <t>and the frequency of most of the high values).</t>
  </si>
  <si>
    <t>The algebra involves solving a quadratic, and this is the calculation sequence:</t>
  </si>
  <si>
    <r>
      <t>h</t>
    </r>
    <r>
      <rPr>
        <vertAlign val="subscript"/>
        <sz val="9"/>
        <rFont val="Arial"/>
        <family val="2"/>
      </rPr>
      <t>1</t>
    </r>
    <r>
      <rPr>
        <sz val="9"/>
        <rFont val="Arial"/>
        <family val="2"/>
      </rPr>
      <t xml:space="preserve"> = </t>
    </r>
  </si>
  <si>
    <r>
      <t>2*0.5/(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50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>0</t>
    </r>
    <r>
      <rPr>
        <sz val="9"/>
        <rFont val="Arial"/>
        <family val="2"/>
      </rPr>
      <t>)</t>
    </r>
  </si>
  <si>
    <r>
      <t>X</t>
    </r>
    <r>
      <rPr>
        <i/>
        <vertAlign val="subscript"/>
        <sz val="10"/>
        <rFont val="Arial"/>
        <family val="2"/>
      </rPr>
      <t>P</t>
    </r>
    <r>
      <rPr>
        <i/>
        <sz val="10"/>
        <rFont val="Arial"/>
        <family val="2"/>
      </rPr>
      <t xml:space="preserve"> = </t>
    </r>
  </si>
  <si>
    <r>
      <t>{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 xml:space="preserve"> + 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- SQRT[(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-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)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+ 1/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50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q</t>
    </r>
    <r>
      <rPr>
        <sz val="10"/>
        <rFont val="Arial"/>
        <family val="2"/>
      </rPr>
      <t>) + (</t>
    </r>
    <r>
      <rPr>
        <i/>
        <sz val="10"/>
        <rFont val="Arial"/>
        <family val="2"/>
      </rPr>
      <t>X</t>
    </r>
    <r>
      <rPr>
        <vertAlign val="subscript"/>
        <sz val="10"/>
        <rFont val="Arial"/>
        <family val="2"/>
      </rPr>
      <t>100</t>
    </r>
    <r>
      <rPr>
        <sz val="10"/>
        <rFont val="Arial"/>
        <family val="2"/>
      </rPr>
      <t>/</t>
    </r>
    <r>
      <rPr>
        <i/>
        <sz val="10"/>
        <rFont val="Arial"/>
        <family val="2"/>
      </rPr>
      <t>h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)(2-8</t>
    </r>
    <r>
      <rPr>
        <i/>
        <sz val="10"/>
        <rFont val="Arial"/>
        <family val="2"/>
      </rPr>
      <t>s</t>
    </r>
    <r>
      <rPr>
        <sz val="10"/>
        <rFont val="Arial"/>
        <family val="2"/>
      </rPr>
      <t>)]}/2</t>
    </r>
  </si>
  <si>
    <r>
      <t>h</t>
    </r>
    <r>
      <rPr>
        <vertAlign val="subscript"/>
        <sz val="9"/>
        <rFont val="Arial"/>
        <family val="2"/>
      </rPr>
      <t>2</t>
    </r>
    <r>
      <rPr>
        <sz val="9"/>
        <rFont val="Arial"/>
        <family val="2"/>
      </rPr>
      <t xml:space="preserve"> = </t>
    </r>
  </si>
  <si>
    <r>
      <t>2*</t>
    </r>
    <r>
      <rPr>
        <i/>
        <sz val="9"/>
        <rFont val="Arial"/>
        <family val="2"/>
      </rPr>
      <t>q</t>
    </r>
    <r>
      <rPr>
        <sz val="9"/>
        <rFont val="Arial"/>
        <family val="2"/>
      </rPr>
      <t>/(</t>
    </r>
    <r>
      <rPr>
        <i/>
        <sz val="9"/>
        <rFont val="Arial"/>
        <family val="2"/>
      </rPr>
      <t>X</t>
    </r>
    <r>
      <rPr>
        <vertAlign val="subscript"/>
        <sz val="9"/>
        <rFont val="Arial"/>
        <family val="2"/>
      </rPr>
      <t xml:space="preserve">100 </t>
    </r>
    <r>
      <rPr>
        <sz val="9"/>
        <rFont val="Arial"/>
        <family val="2"/>
      </rPr>
      <t xml:space="preserve">- </t>
    </r>
    <r>
      <rPr>
        <i/>
        <sz val="9"/>
        <rFont val="Arial"/>
        <family val="2"/>
      </rPr>
      <t>X</t>
    </r>
    <r>
      <rPr>
        <i/>
        <vertAlign val="subscript"/>
        <sz val="9"/>
        <rFont val="Arial"/>
        <family val="2"/>
      </rPr>
      <t>P</t>
    </r>
    <r>
      <rPr>
        <sz val="9"/>
        <rFont val="Arial"/>
        <family val="2"/>
      </rPr>
      <t>)</t>
    </r>
  </si>
  <si>
    <r>
      <t xml:space="preserve">As a check we can sum all the resulting areas and we get </t>
    </r>
    <r>
      <rPr>
        <i/>
        <sz val="10"/>
        <rFont val="Arial"/>
        <family val="2"/>
      </rPr>
      <t>A</t>
    </r>
    <r>
      <rPr>
        <vertAlign val="subscript"/>
        <sz val="10"/>
        <rFont val="Arial"/>
        <family val="2"/>
      </rPr>
      <t>should=1</t>
    </r>
    <r>
      <rPr>
        <sz val="10"/>
        <rFont val="Arial"/>
        <family val="2"/>
      </rPr>
      <t xml:space="preserve"> = 1, as required. </t>
    </r>
  </si>
  <si>
    <t xml:space="preserve">Finally, we use the RiskGeneral function, with the above table layout, to generate the random draws. </t>
  </si>
  <si>
    <r>
      <t xml:space="preserve">In the box above we have chosen </t>
    </r>
    <r>
      <rPr>
        <i/>
        <sz val="10"/>
        <rFont val="Arial"/>
        <family val="2"/>
      </rPr>
      <t xml:space="preserve">P </t>
    </r>
    <r>
      <rPr>
        <sz val="10"/>
        <rFont val="Arial"/>
        <family val="2"/>
      </rPr>
      <t xml:space="preserve">= 0.95 (i.e., the breakpoint is the 95%ile). This seems appropriate given the usual (lognormal) form of </t>
    </r>
  </si>
  <si>
    <t>distributions of microrganisms. Results check (using 1000 iterations: min = 597, 50%ile = 4999, 95%ile = 8222, max = 9751). Pretty good!</t>
  </si>
  <si>
    <t>Breakpoint percentile (as %, e.g., 95) =</t>
  </si>
  <si>
    <r>
      <t xml:space="preserve">So, </t>
    </r>
    <r>
      <rPr>
        <b/>
        <i/>
        <sz val="9"/>
        <rFont val="Arial"/>
        <family val="2"/>
      </rPr>
      <t>q</t>
    </r>
    <r>
      <rPr>
        <b/>
        <sz val="9"/>
        <rFont val="Arial"/>
        <family val="2"/>
      </rPr>
      <t xml:space="preserve"> = </t>
    </r>
  </si>
  <si>
    <r>
      <t xml:space="preserve">and </t>
    </r>
    <r>
      <rPr>
        <b/>
        <i/>
        <sz val="9"/>
        <rFont val="Arial"/>
        <family val="2"/>
      </rPr>
      <t>s</t>
    </r>
    <r>
      <rPr>
        <b/>
        <sz val="9"/>
        <rFont val="Arial"/>
        <family val="2"/>
      </rPr>
      <t xml:space="preserve"> = </t>
    </r>
  </si>
  <si>
    <r>
      <t>X</t>
    </r>
    <r>
      <rPr>
        <b/>
        <vertAlign val="subscript"/>
        <sz val="9"/>
        <rFont val="Arial"/>
        <family val="2"/>
      </rPr>
      <t>0</t>
    </r>
  </si>
  <si>
    <r>
      <t>X</t>
    </r>
    <r>
      <rPr>
        <b/>
        <vertAlign val="subscript"/>
        <sz val="9"/>
        <rFont val="Arial"/>
        <family val="2"/>
      </rPr>
      <t>50</t>
    </r>
  </si>
  <si>
    <r>
      <t>X</t>
    </r>
    <r>
      <rPr>
        <b/>
        <i/>
        <vertAlign val="subscript"/>
        <sz val="9"/>
        <rFont val="Arial"/>
        <family val="2"/>
      </rPr>
      <t>P</t>
    </r>
  </si>
  <si>
    <r>
      <t>X</t>
    </r>
    <r>
      <rPr>
        <b/>
        <vertAlign val="subscript"/>
        <sz val="9"/>
        <rFont val="Arial"/>
        <family val="2"/>
      </rPr>
      <t>100</t>
    </r>
  </si>
  <si>
    <r>
      <t>h</t>
    </r>
    <r>
      <rPr>
        <b/>
        <vertAlign val="subscript"/>
        <sz val="9"/>
        <rFont val="Arial"/>
        <family val="2"/>
      </rPr>
      <t>1</t>
    </r>
  </si>
  <si>
    <r>
      <t>h</t>
    </r>
    <r>
      <rPr>
        <b/>
        <vertAlign val="subscript"/>
        <sz val="9"/>
        <rFont val="Arial"/>
        <family val="2"/>
      </rPr>
      <t>2</t>
    </r>
  </si>
  <si>
    <r>
      <t>A</t>
    </r>
    <r>
      <rPr>
        <b/>
        <vertAlign val="subscript"/>
        <sz val="9"/>
        <rFont val="Arial"/>
        <family val="2"/>
      </rPr>
      <t>should=1</t>
    </r>
  </si>
  <si>
    <t>Random value</t>
  </si>
  <si>
    <t>TOTAL INFECTIONS</t>
  </si>
  <si>
    <t>TOTAL ILL</t>
  </si>
  <si>
    <t>Individual</t>
  </si>
  <si>
    <t>"Dose"</t>
  </si>
  <si>
    <t>Dose</t>
  </si>
  <si>
    <t>Prob(inf)</t>
  </si>
  <si>
    <t>Infected?</t>
  </si>
  <si>
    <t>Ill?</t>
  </si>
  <si>
    <t>Norovirus</t>
  </si>
  <si>
    <t>To run the model</t>
  </si>
  <si>
    <t>Start @RISK</t>
  </si>
  <si>
    <t xml:space="preserve">Copy those results: Click top left corner, right click, then select 'Copy' </t>
  </si>
  <si>
    <r>
      <t xml:space="preserve">Paste into the 'Summary Stats' page in the workbook: </t>
    </r>
    <r>
      <rPr>
        <b/>
        <sz val="11"/>
        <color rgb="FFFF0000"/>
        <rFont val="Calibri"/>
        <family val="2"/>
        <scheme val="minor"/>
      </rPr>
      <t>MUST paste into cell A1</t>
    </r>
  </si>
  <si>
    <t xml:space="preserve"> -</t>
  </si>
  <si>
    <t>Run model: 'Start simulation' menu item</t>
  </si>
  <si>
    <t>Click on left-most small icon immediately under 'Define filters'; hovver over it and 'Simulation Detailed Statistics' will pop up</t>
  </si>
  <si>
    <t>Results appear immediately on 'Output' page</t>
  </si>
  <si>
    <t>Choose parameters/input in 'Global data' sheet</t>
  </si>
  <si>
    <t>Select number of iterations (suggest 1,000 for preliminary runs, 10,000 for he final run)</t>
  </si>
  <si>
    <t xml:space="preserve"> </t>
  </si>
  <si>
    <t>MODEL PARAMETERS</t>
  </si>
  <si>
    <t>PATHOGEN</t>
  </si>
  <si>
    <t>V =</t>
  </si>
  <si>
    <r>
      <t>Log</t>
    </r>
    <r>
      <rPr>
        <b/>
        <vertAlign val="subscript"/>
        <sz val="9"/>
        <color rgb="FFFF0000"/>
        <rFont val="Arial"/>
        <family val="2"/>
      </rPr>
      <t>10</t>
    </r>
    <r>
      <rPr>
        <b/>
        <sz val="9"/>
        <color rgb="FFFF0000"/>
        <rFont val="Arial"/>
        <family val="2"/>
      </rPr>
      <t xml:space="preserve"> removal =</t>
    </r>
  </si>
  <si>
    <t>Site Number</t>
  </si>
  <si>
    <t>Site name</t>
  </si>
  <si>
    <r>
      <t xml:space="preserve">Note that the </t>
    </r>
    <r>
      <rPr>
        <b/>
        <i/>
        <sz val="10"/>
        <rFont val="Arial"/>
        <family val="2"/>
      </rPr>
      <t>h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equation in McBride (2005) has an </t>
    </r>
    <r>
      <rPr>
        <b/>
        <i/>
        <sz val="10"/>
        <rFont val="Arial"/>
        <family val="2"/>
      </rPr>
      <t>X</t>
    </r>
    <r>
      <rPr>
        <b/>
        <vertAlign val="subscript"/>
        <sz val="10"/>
        <rFont val="Arial"/>
        <family val="2"/>
      </rPr>
      <t>50</t>
    </r>
    <r>
      <rPr>
        <b/>
        <sz val="10"/>
        <rFont val="Arial"/>
        <family val="2"/>
      </rPr>
      <t xml:space="preserve"> on the denominator, but that should be </t>
    </r>
    <r>
      <rPr>
        <b/>
        <i/>
        <sz val="10"/>
        <rFont val="Arial"/>
        <family val="2"/>
      </rPr>
      <t>X</t>
    </r>
    <r>
      <rPr>
        <b/>
        <i/>
        <vertAlign val="subscript"/>
        <sz val="10"/>
        <rFont val="Arial"/>
        <family val="2"/>
      </rPr>
      <t>P</t>
    </r>
    <r>
      <rPr>
        <b/>
        <sz val="10"/>
        <rFont val="Arial"/>
        <family val="2"/>
      </rPr>
      <t>.</t>
    </r>
  </si>
  <si>
    <t>Random dilutions</t>
  </si>
  <si>
    <t>DUMB STUFF</t>
  </si>
  <si>
    <t>mL/L</t>
  </si>
  <si>
    <t>SITES</t>
  </si>
  <si>
    <t xml:space="preserve">  Don't touch!This box is needed for a drop-down menu item</t>
  </si>
  <si>
    <t>Copy the output page and Paste Special values into the paste special sheet</t>
  </si>
  <si>
    <t>Adenovirus</t>
  </si>
  <si>
    <t>Enterovirus</t>
  </si>
  <si>
    <t>Rotavirus</t>
  </si>
  <si>
    <t>This material is based on the approach taken by Andrew Ball (ESR) in modelling shellfish doses in a model for the Waimakariri coast (for WDC).</t>
  </si>
  <si>
    <t>I have made some changes however, as noted below.</t>
  </si>
  <si>
    <t>LOCAL EDIBLE SHELLFISH AND PATHOGEN DOSE RECEIVED BY CONSUMERS OF RAW SHELLFISH</t>
  </si>
  <si>
    <t>mollusc, is the major species in this area and is the only one to attain edible size.  Tuatua ranged from 2-55 mm in length, with a mean size of 14.7 mm. However, the</t>
  </si>
  <si>
    <t xml:space="preserve">average size is of little value because shellfish-gatherers tend to collect adult shells.  The size of adult tuatua was surveyed at several Pegasus Bay beaches during </t>
  </si>
  <si>
    <t>1998 (Marsden, 2000).  The median shell lengths from Woodend, Spencer Park and Pines beaches were 67, 52 and 47 mm respectively.</t>
  </si>
  <si>
    <t>Tuatua feed by filtering out particles suspended in seawater.  Consequently, they can concentrate pathogens and other microorganisms present in seawater.  This</t>
  </si>
  <si>
    <t xml:space="preserve">imposes a greater disease illness risk on  consumers of raw shellfish compared with recreational water users. To estimate the consumers' pathogen doses we must </t>
  </si>
  <si>
    <t xml:space="preserve">first estimate the meal size. Then in the absence of a survey of pathogens in shellfish, it is necessary to make an estimate of pathogen concentrations in shellfish. To </t>
  </si>
  <si>
    <t>do that we apply a "bioaccumulation factor (BAF)" to pathogen concentrations in the overlying seawater.</t>
  </si>
  <si>
    <t>MEAL SIZE (grams)</t>
  </si>
  <si>
    <t xml:space="preserve">estimates of daily intake from 98 consumers of shellfish, comprising individuals consuming mussels (57), oysters (21), scallops (15), pipi (4) and tuatua (1); paua and </t>
  </si>
  <si>
    <t xml:space="preserve">canned shellfish were excluded.  Quantities of shellfish were measured in terms of weight or volume, the latter being converted to grams on the assumption that the </t>
  </si>
  <si>
    <t>Running this with 1000 iterations we get minimum = 0.80, 1%ile = 8.27, 5%ile = 18.8, 50%ile = 74.1, 95%ile = 283, 99%ile = 596, maximum = 1748 g. While this</t>
  </si>
  <si>
    <t xml:space="preserve">provides a good fit to the body of the distribution, the high tail value is unreasonable (the maximum meal size measured was 790 g). Also, Rose &amp; Sobsey (1993) </t>
  </si>
  <si>
    <t>distribution at 5 and 800 g. With 1000 iterations we get minimum = 5.5, 1%ile = 9.6, 5%ile = 19.4, 50%ile = 74.0, 95%ile = 270, 99%ile = 484, maximum = 786 g.</t>
  </si>
  <si>
    <t>This is in good agreement with the histogram below.</t>
  </si>
  <si>
    <t>This distribution is sampled at each line on the risk model pages, so that on each occasion each individual takes a different meal size.</t>
  </si>
  <si>
    <t>BIOACCUMULATION FACTOR (BAF)</t>
  </si>
  <si>
    <t xml:space="preserve">The pathogen dose ingested from consumption of a given mass of shellfish is taken as BAF X the number of pathogens present the equivalent volume of sewater, e.g., </t>
  </si>
  <si>
    <t xml:space="preserve">the adenovirus dose ingested from consumption of 100 g of shellfish is taken as BAF X the concentration of adenoviruses expressed as number per 100 mL of </t>
  </si>
  <si>
    <t>seawater. Note that this assumes that this concentration has persisted long enough for that degree of accumulation to occur.</t>
  </si>
  <si>
    <t>We use the BAF data for eastern oysters in seawater described by Burkhardt &amp; Calci (2000), who reported BAF and standard error ("SE") for two periods.</t>
  </si>
  <si>
    <t>February – early October</t>
  </si>
  <si>
    <t>Late October – January</t>
  </si>
  <si>
    <t>Indicator Organism</t>
  </si>
  <si>
    <t>BAF</t>
  </si>
  <si>
    <t>SE</t>
  </si>
  <si>
    <t>Faecal coliforms</t>
  </si>
  <si>
    <t>FRNA bacteriophage</t>
  </si>
  <si>
    <t>C. perfringens</t>
  </si>
  <si>
    <t xml:space="preserve">The model used in this risk assessment is based on the following assumptions: </t>
  </si>
  <si>
    <t>*  the BAF data derived from eastern oysters is suitable for tuatua,</t>
  </si>
  <si>
    <t xml:space="preserve">It should be noted that the bioaccumulation factors showed a large seasonal variation and because the cause of variation has not been satisfactorily explained, </t>
  </si>
  <si>
    <t>deviation of 20.93, being SE*sqrt(n = 6) = 18.13, whereas it should be 7.4 * sqrt(8) = 20.9). With 1000 iterations this distribution gives the following percentiles:</t>
  </si>
  <si>
    <t>minimum = -17.4, 1%ile = 2.03, 5%ile = 14.9, 50%ile = 44.9, 95%ile = 74.5, 99%ile = 86.6, maximum = 100.96. We use this distribution, but truncated so that the</t>
  </si>
  <si>
    <t>minimum = 1 and maximum = 100.</t>
  </si>
  <si>
    <t xml:space="preserve">mean = </t>
  </si>
  <si>
    <t xml:space="preserve">standard deviation = </t>
  </si>
  <si>
    <t xml:space="preserve">BAF = </t>
  </si>
  <si>
    <t>This distribution is sampled on this page, so that BAF is a constant for any one occasion (on the risk model sheets).</t>
  </si>
  <si>
    <t>References</t>
  </si>
  <si>
    <t xml:space="preserve">The presence and abundance of intertidal shellfish has been surveyed and reported by Kingett Mitchell (2003).  The tuatua (Paphies donacina), a filter-feeding bivalve </t>
  </si>
  <si>
    <t xml:space="preserve">An estimate of shellfish consumption was obtained from the raw data generated from the 1997 National Nutrition Survey (Russell et al., 1999). These data comprised </t>
  </si>
  <si>
    <t xml:space="preserve">density of shellfish is very close to 1 g/mL (see histogram below).  Andrew Ball fitted by a loglogistic distribution with parameters b = 75.072, g = -0.9032, a = 2.2046. </t>
  </si>
  <si>
    <t xml:space="preserve">estimated that the likely average serving was based on a 60-240 g, meal comprising 6–12 shellfish of between 10 and 20 g each in weight. So we trncate the </t>
  </si>
  <si>
    <t xml:space="preserve">a = </t>
  </si>
  <si>
    <t xml:space="preserve">b = </t>
  </si>
  <si>
    <t xml:space="preserve">g = </t>
  </si>
  <si>
    <t xml:space="preserve">n = </t>
  </si>
  <si>
    <t>*  the BAF parameters for FRNA bacteriophage are suitable estimates for viral pathogens (with faecal coliform and C. perfringens data sufficing for bacteria and cysts).</t>
  </si>
  <si>
    <t>the maximum values derived from the late October – January period (n = 8 data) have been used in the model in accordance with the precautionary approach.</t>
  </si>
  <si>
    <t>This also notes that C. perfingens BAF is always high. Note that Andrew Ball has used a normal distribution to fit the data (based on a mean of 44.9 and a standard</t>
  </si>
  <si>
    <t>Burkhardt, W.; Calci, K.R. (2000). Selective accumulation may account for shellfish-associated viral illness. Applied and Environmental Microbiology 66(4): 1375-1378.</t>
  </si>
  <si>
    <t>Kingett Mitchell. (2003). Fisheries resources of inshore Pegasus Bay. Report for URS.</t>
  </si>
  <si>
    <t xml:space="preserve">Marsden, I.D. (2000). Variability in low tide populations of tuatua, Paphies donacina, in Pegasus Bay, Canterbury, New Zealand. New Zealand Journal of  Marine and Freshwater </t>
  </si>
  <si>
    <t xml:space="preserve">     Research 34: 359-370.</t>
  </si>
  <si>
    <t>Rose, J.B.; Sobsey, M. (1993). Quantitative risk assessment for viral contamination of shellfish and coastal waters. Journal of Food Protection 56(12): 1043-1050.</t>
  </si>
  <si>
    <t>Russell, D.G.; Parnell, W.R.; Wilson, N.C. et al. (1999). NZ Food: NZ People. Key results of the 1997 National Nutrition Survey. Ministry of Health. Wellington.</t>
  </si>
  <si>
    <t xml:space="preserve">Meal size (g) </t>
  </si>
  <si>
    <t>WaterEquiv (L)</t>
  </si>
  <si>
    <t>PATHOGEN LOG-REMOVAL AT WWTP</t>
  </si>
  <si>
    <r>
      <rPr>
        <sz val="9"/>
        <rFont val="Symbol"/>
        <family val="1"/>
        <charset val="2"/>
      </rPr>
      <t>a</t>
    </r>
    <r>
      <rPr>
        <sz val="9"/>
        <rFont val="Arial"/>
        <family val="2"/>
      </rPr>
      <t xml:space="preserve"> =</t>
    </r>
  </si>
  <si>
    <r>
      <rPr>
        <sz val="9"/>
        <rFont val="Symbol"/>
        <family val="1"/>
        <charset val="2"/>
      </rPr>
      <t>b</t>
    </r>
    <r>
      <rPr>
        <sz val="9"/>
        <rFont val="Arial"/>
        <family val="2"/>
      </rPr>
      <t xml:space="preserve"> =</t>
    </r>
  </si>
  <si>
    <t>Method Harmonisation Factor, H =</t>
  </si>
  <si>
    <t>Proportion susceptible, P =</t>
  </si>
  <si>
    <t>Prob (Illness), Pill =</t>
  </si>
  <si>
    <r>
      <t>Prob (Illness | Infection), P</t>
    </r>
    <r>
      <rPr>
        <vertAlign val="subscript"/>
        <sz val="11"/>
        <color theme="1"/>
        <rFont val="Calibri"/>
        <family val="2"/>
        <scheme val="minor"/>
      </rPr>
      <t>rill|inf</t>
    </r>
    <r>
      <rPr>
        <sz val="11"/>
        <color theme="1"/>
        <rFont val="Calibri"/>
        <family val="2"/>
        <scheme val="minor"/>
      </rPr>
      <t xml:space="preserve"> =</t>
    </r>
  </si>
  <si>
    <t>Graham McBride 27 August 2019</t>
  </si>
  <si>
    <t>C. jejuni</t>
  </si>
  <si>
    <t>This is a QMRA with 15 sites</t>
  </si>
  <si>
    <t>David has changes the granularoty if the dilution</t>
  </si>
  <si>
    <t>David has also checked that the method harmisatin factor is inlcuded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</si>
</sst>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0E+00"/>
    <numFmt numFmtId="167" formatCode="0.000E+00"/>
    <numFmt numFmtId="168" formatCode="0.000"/>
  </numFmts>
  <fonts count="40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vertAlign val="subscript"/>
      <sz val="10"/>
      <name val="Arial"/>
      <family val="2"/>
    </font>
    <font>
      <vertAlign val="superscript"/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name val="Times New Roman"/>
      <family val="1"/>
    </font>
    <font>
      <sz val="9"/>
      <color indexed="17"/>
      <name val="Arial"/>
      <family val="2"/>
    </font>
    <font>
      <sz val="9"/>
      <color indexed="12"/>
      <name val="Arial"/>
      <family val="2"/>
    </font>
    <font>
      <i/>
      <vertAlign val="subscript"/>
      <sz val="10"/>
      <name val="Arial"/>
      <family val="2"/>
    </font>
    <font>
      <vertAlign val="subscript"/>
      <sz val="9"/>
      <name val="Arial"/>
      <family val="2"/>
    </font>
    <font>
      <i/>
      <vertAlign val="subscript"/>
      <sz val="9"/>
      <name val="Arial"/>
      <family val="2"/>
    </font>
    <font>
      <b/>
      <i/>
      <sz val="9"/>
      <name val="Arial"/>
      <family val="2"/>
    </font>
    <font>
      <b/>
      <vertAlign val="subscript"/>
      <sz val="9"/>
      <name val="Arial"/>
      <family val="2"/>
    </font>
    <font>
      <b/>
      <i/>
      <vertAlign val="subscript"/>
      <sz val="9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sz val="8"/>
      <color indexed="10"/>
      <name val="Arial"/>
      <family val="2"/>
    </font>
    <font>
      <sz val="10"/>
      <color indexed="10"/>
      <name val="Arial"/>
      <family val="2"/>
    </font>
    <font>
      <b/>
      <sz val="9"/>
      <name val="Times New Roman"/>
      <family val="1"/>
    </font>
    <font>
      <b/>
      <sz val="11"/>
      <color theme="1"/>
      <name val="Calibri"/>
      <family val="2"/>
      <scheme val="minor"/>
    </font>
    <font>
      <b/>
      <sz val="9"/>
      <color rgb="FF00005E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rgb="FFFF0000"/>
      <name val="Arial"/>
      <family val="2"/>
    </font>
    <font>
      <b/>
      <vertAlign val="subscript"/>
      <sz val="9"/>
      <color rgb="FFFF0000"/>
      <name val="Arial"/>
      <family val="2"/>
    </font>
    <font>
      <b/>
      <vertAlign val="subscript"/>
      <sz val="10"/>
      <name val="Arial"/>
      <family val="2"/>
    </font>
    <font>
      <b/>
      <i/>
      <vertAlign val="subscript"/>
      <sz val="10"/>
      <name val="Arial"/>
      <family val="2"/>
    </font>
    <font>
      <vertAlign val="subscript"/>
      <sz val="11"/>
      <color theme="1"/>
      <name val="Calibri"/>
      <family val="2"/>
      <scheme val="minor"/>
    </font>
    <font>
      <sz val="9"/>
      <name val="Symbol"/>
      <family val="1"/>
      <charset val="2"/>
    </font>
    <font>
      <b/>
      <u/>
      <sz val="9"/>
      <color rgb="FFFF0000"/>
      <name val="Arial"/>
      <family val="2"/>
    </font>
    <font>
      <u/>
      <sz val="9"/>
      <color rgb="FF0000FF"/>
      <name val="Arial"/>
      <family val="2"/>
    </font>
    <font>
      <sz val="9"/>
      <name val="Arial"/>
      <family val="1"/>
      <charset val="2"/>
    </font>
    <font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EEEF7"/>
        <bgColor indexed="64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183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1" applyAlignment="1" applyProtection="1"/>
    <xf numFmtId="0" fontId="0" fillId="0" borderId="0" xfId="0" applyAlignment="1">
      <alignment horizontal="left"/>
    </xf>
    <xf numFmtId="0" fontId="8" fillId="0" borderId="1" xfId="0" applyFont="1" applyBorder="1"/>
    <xf numFmtId="0" fontId="9" fillId="0" borderId="2" xfId="0" applyFont="1" applyBorder="1"/>
    <xf numFmtId="0" fontId="9" fillId="0" borderId="3" xfId="0" applyFont="1" applyBorder="1"/>
    <xf numFmtId="0" fontId="9" fillId="0" borderId="0" xfId="0" applyFont="1"/>
    <xf numFmtId="0" fontId="9" fillId="0" borderId="7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9" fillId="0" borderId="9" xfId="0" applyFont="1" applyBorder="1" applyAlignment="1">
      <alignment horizontal="right"/>
    </xf>
    <xf numFmtId="0" fontId="9" fillId="0" borderId="0" xfId="0" applyFont="1" applyAlignment="1">
      <alignment horizontal="left"/>
    </xf>
    <xf numFmtId="0" fontId="9" fillId="0" borderId="12" xfId="0" applyFont="1" applyBorder="1"/>
    <xf numFmtId="0" fontId="9" fillId="0" borderId="13" xfId="0" applyFont="1" applyBorder="1" applyAlignment="1">
      <alignment horizontal="righ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11" fontId="9" fillId="2" borderId="0" xfId="0" applyNumberFormat="1" applyFont="1" applyFill="1" applyAlignment="1">
      <alignment horizontal="center"/>
    </xf>
    <xf numFmtId="11" fontId="9" fillId="2" borderId="8" xfId="0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0" fillId="0" borderId="0" xfId="0" applyAlignment="1">
      <alignment horizontal="right"/>
    </xf>
    <xf numFmtId="0" fontId="8" fillId="0" borderId="1" xfId="0" applyFont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2" fontId="13" fillId="0" borderId="2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0" fontId="9" fillId="7" borderId="4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/>
    <xf numFmtId="0" fontId="14" fillId="0" borderId="7" xfId="0" applyFont="1" applyBorder="1" applyAlignment="1">
      <alignment horizontal="left"/>
    </xf>
    <xf numFmtId="0" fontId="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9" fillId="2" borderId="7" xfId="0" applyFont="1" applyFill="1" applyBorder="1" applyAlignment="1">
      <alignment horizontal="left"/>
    </xf>
    <xf numFmtId="0" fontId="9" fillId="2" borderId="0" xfId="0" applyFont="1" applyFill="1"/>
    <xf numFmtId="0" fontId="9" fillId="2" borderId="8" xfId="0" applyFont="1" applyFill="1" applyBorder="1"/>
    <xf numFmtId="0" fontId="15" fillId="0" borderId="7" xfId="0" applyFont="1" applyBorder="1" applyAlignment="1">
      <alignment horizontal="right"/>
    </xf>
    <xf numFmtId="164" fontId="9" fillId="0" borderId="0" xfId="0" applyNumberFormat="1" applyFont="1" applyAlignment="1">
      <alignment horizontal="left"/>
    </xf>
    <xf numFmtId="0" fontId="9" fillId="6" borderId="7" xfId="0" applyFont="1" applyFill="1" applyBorder="1" applyAlignment="1">
      <alignment horizontal="left"/>
    </xf>
    <xf numFmtId="0" fontId="9" fillId="6" borderId="0" xfId="0" applyFont="1" applyFill="1"/>
    <xf numFmtId="0" fontId="9" fillId="6" borderId="8" xfId="0" applyFont="1" applyFill="1" applyBorder="1"/>
    <xf numFmtId="0" fontId="9" fillId="8" borderId="7" xfId="0" applyFont="1" applyFill="1" applyBorder="1" applyAlignment="1">
      <alignment horizontal="left"/>
    </xf>
    <xf numFmtId="0" fontId="9" fillId="9" borderId="9" xfId="0" applyFont="1" applyFill="1" applyBorder="1"/>
    <xf numFmtId="0" fontId="9" fillId="9" borderId="10" xfId="0" applyFont="1" applyFill="1" applyBorder="1"/>
    <xf numFmtId="0" fontId="9" fillId="9" borderId="11" xfId="0" applyFont="1" applyFill="1" applyBorder="1"/>
    <xf numFmtId="0" fontId="15" fillId="0" borderId="9" xfId="0" applyFont="1" applyBorder="1" applyAlignment="1">
      <alignment horizontal="right"/>
    </xf>
    <xf numFmtId="164" fontId="9" fillId="0" borderId="10" xfId="0" applyNumberFormat="1" applyFont="1" applyBorder="1" applyAlignment="1">
      <alignment horizontal="left"/>
    </xf>
    <xf numFmtId="164" fontId="9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1" fontId="9" fillId="0" borderId="0" xfId="0" applyNumberFormat="1" applyFont="1"/>
    <xf numFmtId="0" fontId="2" fillId="0" borderId="0" xfId="0" applyFont="1"/>
    <xf numFmtId="164" fontId="10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12" fillId="0" borderId="7" xfId="0" applyFont="1" applyBorder="1"/>
    <xf numFmtId="16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right"/>
    </xf>
    <xf numFmtId="0" fontId="12" fillId="5" borderId="17" xfId="0" applyFont="1" applyFill="1" applyBorder="1" applyAlignment="1">
      <alignment horizontal="center"/>
    </xf>
    <xf numFmtId="0" fontId="12" fillId="6" borderId="17" xfId="0" applyFont="1" applyFill="1" applyBorder="1" applyAlignment="1">
      <alignment horizontal="center"/>
    </xf>
    <xf numFmtId="0" fontId="12" fillId="0" borderId="9" xfId="0" applyFont="1" applyBorder="1"/>
    <xf numFmtId="164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right"/>
    </xf>
    <xf numFmtId="0" fontId="12" fillId="6" borderId="18" xfId="0" applyFont="1" applyFill="1" applyBorder="1" applyAlignment="1">
      <alignment horizontal="center"/>
    </xf>
    <xf numFmtId="166" fontId="9" fillId="8" borderId="9" xfId="0" applyNumberFormat="1" applyFont="1" applyFill="1" applyBorder="1" applyAlignment="1">
      <alignment horizontal="center"/>
    </xf>
    <xf numFmtId="166" fontId="9" fillId="6" borderId="10" xfId="0" applyNumberFormat="1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 applyAlignment="1">
      <alignment horizontal="right"/>
    </xf>
    <xf numFmtId="0" fontId="13" fillId="0" borderId="10" xfId="0" applyFont="1" applyBorder="1" applyAlignment="1">
      <alignment horizontal="right"/>
    </xf>
    <xf numFmtId="0" fontId="13" fillId="9" borderId="2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6" fillId="0" borderId="3" xfId="0" applyFont="1" applyBorder="1" applyAlignment="1">
      <alignment horizontal="center"/>
    </xf>
    <xf numFmtId="164" fontId="9" fillId="0" borderId="7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7" fillId="0" borderId="0" xfId="0" applyFont="1" applyAlignment="1">
      <alignment vertical="center"/>
    </xf>
    <xf numFmtId="14" fontId="0" fillId="0" borderId="0" xfId="0" applyNumberFormat="1" applyAlignment="1">
      <alignment horizontal="left"/>
    </xf>
    <xf numFmtId="0" fontId="9" fillId="11" borderId="8" xfId="0" applyFont="1" applyFill="1" applyBorder="1"/>
    <xf numFmtId="0" fontId="9" fillId="11" borderId="0" xfId="0" applyFont="1" applyFill="1"/>
    <xf numFmtId="1" fontId="9" fillId="0" borderId="0" xfId="0" applyNumberFormat="1" applyFont="1" applyAlignment="1">
      <alignment horizontal="right"/>
    </xf>
    <xf numFmtId="166" fontId="9" fillId="8" borderId="10" xfId="0" applyNumberFormat="1" applyFont="1" applyFill="1" applyBorder="1" applyAlignment="1">
      <alignment horizontal="center"/>
    </xf>
    <xf numFmtId="166" fontId="9" fillId="10" borderId="10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3" fillId="0" borderId="10" xfId="0" applyFont="1" applyBorder="1" applyAlignment="1">
      <alignment horizontal="center"/>
    </xf>
    <xf numFmtId="0" fontId="25" fillId="0" borderId="0" xfId="0" applyFont="1"/>
    <xf numFmtId="0" fontId="9" fillId="0" borderId="7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9" fillId="0" borderId="0" xfId="0" applyFont="1"/>
    <xf numFmtId="168" fontId="2" fillId="0" borderId="7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0" fontId="28" fillId="12" borderId="0" xfId="0" applyFont="1" applyFill="1" applyAlignment="1">
      <alignment horizontal="center" vertical="center"/>
    </xf>
    <xf numFmtId="167" fontId="2" fillId="4" borderId="26" xfId="0" applyNumberFormat="1" applyFont="1" applyFill="1" applyBorder="1" applyAlignment="1">
      <alignment horizontal="center"/>
    </xf>
    <xf numFmtId="11" fontId="9" fillId="4" borderId="10" xfId="0" applyNumberFormat="1" applyFont="1" applyFill="1" applyBorder="1" applyAlignment="1">
      <alignment horizontal="center"/>
    </xf>
    <xf numFmtId="11" fontId="9" fillId="4" borderId="11" xfId="0" applyNumberFormat="1" applyFont="1" applyFill="1" applyBorder="1" applyAlignment="1">
      <alignment horizontal="center"/>
    </xf>
    <xf numFmtId="0" fontId="30" fillId="0" borderId="0" xfId="0" applyFont="1"/>
    <xf numFmtId="0" fontId="0" fillId="3" borderId="28" xfId="0" applyFill="1" applyBorder="1" applyAlignment="1">
      <alignment horizontal="left"/>
    </xf>
    <xf numFmtId="0" fontId="9" fillId="0" borderId="13" xfId="0" applyFont="1" applyBorder="1"/>
    <xf numFmtId="0" fontId="9" fillId="0" borderId="14" xfId="0" applyFont="1" applyBorder="1"/>
    <xf numFmtId="0" fontId="30" fillId="0" borderId="0" xfId="0" applyFont="1" applyAlignment="1">
      <alignment horizontal="center"/>
    </xf>
    <xf numFmtId="11" fontId="9" fillId="6" borderId="13" xfId="0" applyNumberFormat="1" applyFont="1" applyFill="1" applyBorder="1" applyAlignment="1">
      <alignment horizontal="left"/>
    </xf>
    <xf numFmtId="0" fontId="30" fillId="0" borderId="12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6" fillId="0" borderId="27" xfId="0" applyFont="1" applyBorder="1" applyAlignment="1">
      <alignment horizontal="center"/>
    </xf>
    <xf numFmtId="0" fontId="29" fillId="0" borderId="0" xfId="0" applyFont="1" applyAlignment="1">
      <alignment horizontal="left"/>
    </xf>
    <xf numFmtId="0" fontId="0" fillId="0" borderId="12" xfId="0" applyBorder="1" applyAlignment="1">
      <alignment horizontal="right"/>
    </xf>
    <xf numFmtId="0" fontId="0" fillId="0" borderId="14" xfId="0" applyBorder="1"/>
    <xf numFmtId="11" fontId="9" fillId="3" borderId="0" xfId="0" applyNumberFormat="1" applyFont="1" applyFill="1" applyAlignment="1">
      <alignment horizontal="center"/>
    </xf>
    <xf numFmtId="0" fontId="9" fillId="3" borderId="14" xfId="0" applyFont="1" applyFill="1" applyBorder="1" applyAlignment="1">
      <alignment horizontal="left"/>
    </xf>
    <xf numFmtId="166" fontId="9" fillId="0" borderId="0" xfId="0" applyNumberFormat="1" applyFont="1" applyAlignment="1">
      <alignment horizontal="left"/>
    </xf>
    <xf numFmtId="0" fontId="0" fillId="7" borderId="13" xfId="0" applyFill="1" applyBorder="1" applyAlignment="1">
      <alignment horizontal="left"/>
    </xf>
    <xf numFmtId="0" fontId="0" fillId="7" borderId="15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0" fillId="0" borderId="7" xfId="0" applyBorder="1" applyAlignment="1">
      <alignment horizontal="right"/>
    </xf>
    <xf numFmtId="0" fontId="0" fillId="7" borderId="29" xfId="0" applyFill="1" applyBorder="1" applyAlignment="1">
      <alignment horizontal="left"/>
    </xf>
    <xf numFmtId="0" fontId="36" fillId="0" borderId="0" xfId="0" applyFont="1"/>
    <xf numFmtId="0" fontId="9" fillId="0" borderId="0" xfId="1" applyFont="1" applyFill="1" applyBorder="1" applyAlignment="1" applyProtection="1"/>
    <xf numFmtId="0" fontId="35" fillId="0" borderId="0" xfId="0" applyFont="1" applyAlignment="1">
      <alignment horizontal="right"/>
    </xf>
    <xf numFmtId="0" fontId="9" fillId="13" borderId="0" xfId="0" applyFont="1" applyFill="1" applyAlignment="1">
      <alignment horizontal="left"/>
    </xf>
    <xf numFmtId="0" fontId="37" fillId="0" borderId="0" xfId="1" applyFont="1" applyFill="1" applyBorder="1" applyAlignment="1" applyProtection="1"/>
    <xf numFmtId="0" fontId="9" fillId="0" borderId="4" xfId="0" applyFont="1" applyBorder="1" applyAlignment="1">
      <alignment vertical="top" wrapText="1"/>
    </xf>
    <xf numFmtId="0" fontId="9" fillId="0" borderId="20" xfId="0" applyFont="1" applyBorder="1"/>
    <xf numFmtId="0" fontId="9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22" xfId="0" applyFont="1" applyBorder="1" applyAlignment="1">
      <alignment vertical="top" wrapText="1"/>
    </xf>
    <xf numFmtId="0" fontId="10" fillId="0" borderId="30" xfId="0" applyFont="1" applyBorder="1" applyAlignment="1">
      <alignment horizontal="center"/>
    </xf>
    <xf numFmtId="0" fontId="9" fillId="0" borderId="23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9" fillId="0" borderId="21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0" fontId="9" fillId="0" borderId="8" xfId="0" applyFont="1" applyBorder="1" applyAlignment="1">
      <alignment horizontal="center" vertical="top" wrapText="1"/>
    </xf>
    <xf numFmtId="0" fontId="10" fillId="0" borderId="9" xfId="0" applyFont="1" applyBorder="1" applyAlignment="1">
      <alignment vertical="top" wrapText="1"/>
    </xf>
    <xf numFmtId="0" fontId="9" fillId="0" borderId="19" xfId="0" applyFont="1" applyBorder="1" applyAlignment="1">
      <alignment horizontal="center"/>
    </xf>
    <xf numFmtId="0" fontId="9" fillId="0" borderId="10" xfId="0" applyFont="1" applyBorder="1" applyAlignment="1">
      <alignment horizontal="center" vertical="top" wrapText="1"/>
    </xf>
    <xf numFmtId="0" fontId="9" fillId="0" borderId="11" xfId="0" applyFont="1" applyBorder="1" applyAlignment="1">
      <alignment horizontal="center" vertical="top" wrapText="1"/>
    </xf>
    <xf numFmtId="0" fontId="10" fillId="0" borderId="0" xfId="0" applyFont="1" applyAlignment="1">
      <alignment vertical="top" wrapText="1"/>
    </xf>
    <xf numFmtId="0" fontId="9" fillId="14" borderId="0" xfId="0" applyFont="1" applyFill="1" applyAlignment="1">
      <alignment horizontal="left"/>
    </xf>
    <xf numFmtId="0" fontId="30" fillId="0" borderId="14" xfId="0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1" fontId="9" fillId="0" borderId="13" xfId="0" applyNumberFormat="1" applyFont="1" applyBorder="1" applyAlignment="1">
      <alignment horizontal="right"/>
    </xf>
    <xf numFmtId="166" fontId="9" fillId="8" borderId="14" xfId="0" applyNumberFormat="1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left"/>
    </xf>
    <xf numFmtId="0" fontId="9" fillId="2" borderId="8" xfId="0" applyFont="1" applyFill="1" applyBorder="1" applyAlignment="1">
      <alignment horizontal="left"/>
    </xf>
    <xf numFmtId="0" fontId="0" fillId="3" borderId="8" xfId="0" applyFill="1" applyBorder="1" applyAlignment="1">
      <alignment horizontal="left"/>
    </xf>
    <xf numFmtId="2" fontId="9" fillId="4" borderId="11" xfId="0" applyNumberFormat="1" applyFont="1" applyFill="1" applyBorder="1" applyAlignment="1">
      <alignment horizontal="left"/>
    </xf>
    <xf numFmtId="0" fontId="38" fillId="0" borderId="4" xfId="0" applyFont="1" applyBorder="1" applyAlignment="1">
      <alignment horizontal="right"/>
    </xf>
    <xf numFmtId="0" fontId="38" fillId="0" borderId="7" xfId="0" applyFont="1" applyBorder="1" applyAlignment="1">
      <alignment horizontal="right"/>
    </xf>
    <xf numFmtId="0" fontId="39" fillId="0" borderId="0" xfId="0" applyFont="1" applyAlignment="1">
      <alignment horizontal="left"/>
    </xf>
    <xf numFmtId="0" fontId="39" fillId="0" borderId="0" xfId="0" quotePrefix="1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3" borderId="34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FFFF"/>
      <color rgb="FF00FF00"/>
      <color rgb="FF3333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209550</xdr:colOff>
      <xdr:row>3</xdr:row>
      <xdr:rowOff>142875</xdr:rowOff>
    </xdr:from>
    <xdr:to>
      <xdr:col>13</xdr:col>
      <xdr:colOff>28575</xdr:colOff>
      <xdr:row>18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32" t="12202" r="8081" b="4167"/>
        <a:stretch>
          <a:fillRect/>
        </a:stretch>
      </xdr:blipFill>
      <xdr:spPr bwMode="auto">
        <a:xfrm>
          <a:off x="6581775" y="628650"/>
          <a:ext cx="2809875" cy="2552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28</xdr:row>
      <xdr:rowOff>0</xdr:rowOff>
    </xdr:from>
    <xdr:to>
      <xdr:col>4</xdr:col>
      <xdr:colOff>0</xdr:colOff>
      <xdr:row>28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28</xdr:row>
      <xdr:rowOff>0</xdr:rowOff>
    </xdr:from>
    <xdr:to>
      <xdr:col>9</xdr:col>
      <xdr:colOff>0</xdr:colOff>
      <xdr:row>28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0" y="489585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13" workbookViewId="0">
      <selection activeCell="A17" sqref="A17"/>
    </sheetView>
  </sheetViews>
  <sheetFormatPr defaultRowHeight="14.5"/>
  <cols>
    <col min="1" max="1" width="10.7265625" bestFit="1" customWidth="1"/>
  </cols>
  <sheetData>
    <row r="1" spans="1:2">
      <c r="A1" s="93" t="s">
        <v>66</v>
      </c>
    </row>
    <row r="2" spans="1:2">
      <c r="A2" s="23" t="s">
        <v>70</v>
      </c>
      <c r="B2" t="s">
        <v>67</v>
      </c>
    </row>
    <row r="3" spans="1:2">
      <c r="A3" s="23" t="s">
        <v>70</v>
      </c>
      <c r="B3" t="s">
        <v>74</v>
      </c>
    </row>
    <row r="4" spans="1:2">
      <c r="A4" s="23" t="s">
        <v>70</v>
      </c>
      <c r="B4" t="s">
        <v>75</v>
      </c>
    </row>
    <row r="5" spans="1:2">
      <c r="A5" s="23" t="s">
        <v>70</v>
      </c>
      <c r="B5" t="s">
        <v>71</v>
      </c>
    </row>
    <row r="6" spans="1:2">
      <c r="A6" s="23" t="s">
        <v>70</v>
      </c>
      <c r="B6" t="s">
        <v>72</v>
      </c>
    </row>
    <row r="7" spans="1:2">
      <c r="A7" s="23" t="s">
        <v>70</v>
      </c>
      <c r="B7" t="s">
        <v>68</v>
      </c>
    </row>
    <row r="8" spans="1:2">
      <c r="A8" s="23" t="s">
        <v>70</v>
      </c>
      <c r="B8" t="s">
        <v>69</v>
      </c>
    </row>
    <row r="9" spans="1:2">
      <c r="A9" s="23" t="s">
        <v>70</v>
      </c>
      <c r="B9" t="s">
        <v>73</v>
      </c>
    </row>
    <row r="10" spans="1:2">
      <c r="A10" s="23" t="s">
        <v>70</v>
      </c>
      <c r="B10" t="s">
        <v>89</v>
      </c>
    </row>
    <row r="12" spans="1:2">
      <c r="B12" t="s">
        <v>161</v>
      </c>
    </row>
    <row r="14" spans="1:2">
      <c r="A14" t="s">
        <v>163</v>
      </c>
    </row>
    <row r="15" spans="1:2">
      <c r="A15" t="s">
        <v>164</v>
      </c>
    </row>
    <row r="16" spans="1:2">
      <c r="A16" t="s">
        <v>165</v>
      </c>
    </row>
    <row r="24" spans="1:1">
      <c r="A24" s="3"/>
    </row>
    <row r="25" spans="1:1">
      <c r="A25" s="94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63"/>
  <sheetViews>
    <sheetView topLeftCell="A5" workbookViewId="0">
      <selection activeCell="E18" sqref="E18"/>
    </sheetView>
  </sheetViews>
  <sheetFormatPr defaultRowHeight="14.5"/>
  <cols>
    <col min="1" max="1" width="2.1796875" customWidth="1"/>
    <col min="2" max="2" width="31.453125" customWidth="1"/>
    <col min="3" max="3" width="24.453125" style="4" customWidth="1"/>
    <col min="8" max="8" width="14.7265625" customWidth="1"/>
    <col min="9" max="9" width="22.453125" customWidth="1"/>
    <col min="10" max="10" width="11.1796875" customWidth="1"/>
    <col min="11" max="11" width="15.26953125" customWidth="1"/>
    <col min="13" max="13" width="11.1796875" customWidth="1"/>
  </cols>
  <sheetData>
    <row r="1" spans="2:14" ht="15" thickBot="1"/>
    <row r="2" spans="2:14" ht="15" thickBot="1">
      <c r="B2" s="111" t="s">
        <v>78</v>
      </c>
      <c r="F2" s="31" t="s">
        <v>6</v>
      </c>
      <c r="G2" s="32"/>
      <c r="H2" s="33"/>
    </row>
    <row r="3" spans="2:14" ht="15" thickBot="1">
      <c r="B3" s="119" t="s">
        <v>65</v>
      </c>
      <c r="F3" s="39" t="s">
        <v>8</v>
      </c>
      <c r="G3" s="40"/>
      <c r="H3" s="41"/>
    </row>
    <row r="4" spans="2:14">
      <c r="B4" s="4"/>
      <c r="F4" s="44" t="s">
        <v>11</v>
      </c>
      <c r="G4" s="45"/>
      <c r="H4" s="46"/>
    </row>
    <row r="5" spans="2:14" ht="15" thickBot="1">
      <c r="B5" s="111" t="s">
        <v>154</v>
      </c>
      <c r="C5" s="127"/>
      <c r="F5" s="47" t="s">
        <v>13</v>
      </c>
      <c r="G5" s="96"/>
      <c r="H5" s="95"/>
    </row>
    <row r="6" spans="2:14" ht="15" thickBot="1">
      <c r="B6" s="128" t="str">
        <f xml:space="preserve"> CONCATENATE("Log10 ",Pathogen," removal")</f>
        <v>Log10 Norovirus removal</v>
      </c>
      <c r="C6" s="131">
        <v>6</v>
      </c>
      <c r="F6" s="48" t="s">
        <v>16</v>
      </c>
      <c r="G6" s="49"/>
      <c r="H6" s="50"/>
    </row>
    <row r="7" spans="2:14">
      <c r="B7" s="10"/>
      <c r="C7" s="10"/>
      <c r="D7" s="12"/>
      <c r="E7" s="10"/>
      <c r="F7" s="12"/>
      <c r="G7" s="10"/>
      <c r="H7" s="12"/>
      <c r="I7" s="8"/>
    </row>
    <row r="8" spans="2:14" ht="15" thickBot="1">
      <c r="B8" s="118" t="s">
        <v>77</v>
      </c>
      <c r="C8" s="10"/>
      <c r="D8" s="12"/>
      <c r="E8" s="10"/>
      <c r="F8" s="12"/>
      <c r="G8" s="10"/>
      <c r="H8" s="12"/>
      <c r="I8" s="8"/>
      <c r="K8" s="23"/>
      <c r="L8" s="12" t="s">
        <v>76</v>
      </c>
    </row>
    <row r="9" spans="2:14">
      <c r="B9" s="171" t="s">
        <v>155</v>
      </c>
      <c r="C9" s="166">
        <v>0.04</v>
      </c>
      <c r="D9" s="15" t="str">
        <f>IF(Pathogen="Norovirus","  Suggest alpha = 0.040  (Teunis et al. 2008, Epi. Inf. 144, Table III, 8fII1+8fIIb, no aggregation)",IF(Pathogen="Enterovirus","  Suggest alpha = 1.3 (Haas 1983, Am. J. Epidem. 118(4), Table 2)",IF(Pathogen="Rotavirus","  Suggest alpha = 0.2531 (Haas et al. 1999, QMRA Wiley)",IF(Pathogen="Adenovirus","  Suggest alpha = 5.11 (Teunis et al. 2016 Epi. Inf. 144 Table 2 (Oral))","  Suggest alpha = 0.145 (Teunis &amp; Havelaar (2000) or 0.024 (Teunis et al. 2005))"))))</f>
        <v xml:space="preserve">  Suggest alpha = 0.040  (Teunis et al. 2008, Epi. Inf. 144, Table III, 8fII1+8fIIb, no aggregation)</v>
      </c>
      <c r="E9" s="8"/>
      <c r="F9" s="12"/>
      <c r="G9" s="10"/>
      <c r="H9" s="12"/>
      <c r="I9" s="8"/>
      <c r="M9" s="8"/>
      <c r="N9" s="8"/>
    </row>
    <row r="10" spans="2:14">
      <c r="B10" s="172" t="s">
        <v>156</v>
      </c>
      <c r="C10" s="167">
        <v>5.5E-2</v>
      </c>
      <c r="D10" s="15" t="str">
        <f>IF(Pathogen="Norovirus","  Suggest beta = 0.055  (Teunis et al. 2008, Epi. Inf. 144, Table III, 8fII1+8fIIb, no aggregation)",IF(Pathogen="Enterovirus","  Suggest beta = 75 (Haas 1983, Am. J. Epidem. 118(4), Table 2)",IF(Pathogen="Rotavirus","  Suggest beta = 0.4265 (Haas et al. 1999, QMRA Wiley)",IF(Pathogen="Adenovirus","  Suggest beta = 2.80 (Teunis et al. 2016 Epi. Inf. 144 Table 2 (Oral))","  Suggest beta = 8.007 (Teunis &amp; Havelaar (2000) or 0.011 (Teunis et al. 2005))"))))</f>
        <v xml:space="preserve">  Suggest beta = 0.055  (Teunis et al. 2008, Epi. Inf. 144, Table III, 8fII1+8fIIb, no aggregation)</v>
      </c>
      <c r="E10" s="16"/>
      <c r="F10" s="12"/>
      <c r="G10" s="10"/>
      <c r="H10" s="12"/>
      <c r="I10" s="8"/>
      <c r="M10" s="111"/>
    </row>
    <row r="11" spans="2:14">
      <c r="B11" s="9" t="s">
        <v>157</v>
      </c>
      <c r="C11" s="168">
        <v>18.5</v>
      </c>
      <c r="D11" s="15" t="str">
        <f xml:space="preserve"> IF(Pathogen = "Norovirus","  Suggest H = 18.5  (McBride et al.  2013, Wat. Res. 47, Table 4)", IF(Pathogen = "Enterovirus","  Suggest H = 1", IF(Pathogen = "Rotavirus","  Suggest H = 1,900 [(McBride et al.  2013, Wat. Res. 47, Table 4)]","  Suggest H = 1 ")))</f>
        <v xml:space="preserve">  Suggest H = 18.5  (McBride et al.  2013, Wat. Res. 47, Table 4)</v>
      </c>
      <c r="E11" s="16"/>
      <c r="F11" s="12"/>
      <c r="G11" s="10"/>
      <c r="H11" s="12"/>
      <c r="I11" s="8"/>
    </row>
    <row r="12" spans="2:14">
      <c r="B12" s="9" t="s">
        <v>158</v>
      </c>
      <c r="C12" s="167">
        <v>0.74</v>
      </c>
      <c r="D12" s="15" t="str">
        <f xml:space="preserve"> IF(Pathogen = "Norovirus","  Suggest P = 0.74  (McBride et al.  2013, Wat. Res. 47, Table 4)", IF(Pathogen = "Enterovirus","  Suggest P = 1", IF(Pathogen = "Rotavirus","  Suggest P = 1","  Suggest P = 1 ")))</f>
        <v xml:space="preserve">  Suggest P = 0.74  (McBride et al.  2013, Wat. Res. 47, Table 4)</v>
      </c>
      <c r="E12" s="16"/>
      <c r="F12" s="12"/>
      <c r="G12" s="10"/>
      <c r="H12" s="12"/>
      <c r="I12" s="8"/>
    </row>
    <row r="13" spans="2:14" ht="16.5">
      <c r="B13" s="136" t="s">
        <v>160</v>
      </c>
      <c r="C13" s="169">
        <v>0.6</v>
      </c>
      <c r="D13" s="15" t="str">
        <f xml:space="preserve"> IF(Pathogen = "Norovirus","  Suggest Pr(ill | inf) = 0.5 (McBride et al.  2013, Wat. Res. 47, Table 4)", IF(Pathogen = "Enterovirus","  Suggest Pr(ill | inf) = 1 (McBride et al.  2013, Wat. Res. 47, Table 4)", IF(Pathogen = "Rotavirus","  Suggest Pr(ill | inf) = 0.35 (McBride et al.  2013, Wat. Res. 47, Table 4)", "  Suggest Pr(ill | inf) = 0.5)")))</f>
        <v xml:space="preserve">  Suggest Pr(ill | inf) = 0.5 (McBride et al.  2013, Wat. Res. 47, Table 4)</v>
      </c>
      <c r="E13" s="8"/>
      <c r="F13" s="12"/>
      <c r="G13" s="10"/>
      <c r="H13" s="12"/>
      <c r="I13" s="8"/>
    </row>
    <row r="14" spans="2:14" ht="15" thickBot="1">
      <c r="B14" s="11" t="s">
        <v>159</v>
      </c>
      <c r="C14" s="170">
        <f>Proportion_susceptible*Prob_Illness_given_Infection_has_occurred</f>
        <v>0.44400000000000001</v>
      </c>
      <c r="D14" s="15"/>
      <c r="E14" s="8"/>
      <c r="F14" s="12"/>
      <c r="G14" s="10"/>
      <c r="H14" s="12"/>
      <c r="I14" s="8"/>
    </row>
    <row r="15" spans="2:14" ht="15" thickBot="1">
      <c r="B15" s="17"/>
      <c r="C15" s="12"/>
      <c r="D15" s="15"/>
      <c r="E15" s="8"/>
      <c r="F15" s="12"/>
      <c r="G15" s="10"/>
      <c r="H15" s="12"/>
      <c r="I15" s="8"/>
      <c r="J15" s="8"/>
    </row>
    <row r="16" spans="2:14">
      <c r="B16" s="5" t="s">
        <v>0</v>
      </c>
      <c r="C16" s="18" t="s">
        <v>1</v>
      </c>
      <c r="D16" s="18" t="s">
        <v>2</v>
      </c>
      <c r="E16" s="19" t="s">
        <v>3</v>
      </c>
      <c r="F16" s="12"/>
      <c r="G16" s="10"/>
      <c r="H16" s="12"/>
      <c r="I16" s="8"/>
      <c r="J16" s="8"/>
    </row>
    <row r="17" spans="2:13">
      <c r="B17" s="9" t="str">
        <f xml:space="preserve"> CONCATENATE("[", Pathogen,"] in Influent")</f>
        <v>[Norovirus] in Influent</v>
      </c>
      <c r="C17" s="20">
        <v>100</v>
      </c>
      <c r="D17" s="130">
        <v>100000</v>
      </c>
      <c r="E17" s="21">
        <v>10000000</v>
      </c>
      <c r="F17" s="22" t="s">
        <v>4</v>
      </c>
      <c r="G17" s="10"/>
      <c r="H17" s="12"/>
      <c r="I17" s="8"/>
      <c r="J17" s="8"/>
    </row>
    <row r="18" spans="2:13" ht="15" thickBot="1">
      <c r="B18" s="11" t="str">
        <f xml:space="preserve"> CONCATENATE("[", Pathogen,"] in effluent")</f>
        <v>[Norovirus] in effluent</v>
      </c>
      <c r="C18" s="116">
        <f xml:space="preserve"> 10^(-Log10_Pathogen_Reduction)*Pathogen_Conc_in_Influent_min</f>
        <v>9.9999999999999991E-5</v>
      </c>
      <c r="D18" s="116">
        <f xml:space="preserve"> 10^(-Log10_Pathogen_Reduction)*Pathogen_Conc_in_Influent_median</f>
        <v>9.9999999999999992E-2</v>
      </c>
      <c r="E18" s="117">
        <f xml:space="preserve"> 10^(-Log10_Pathogen_Reduction)*Pathogen_Conc_in_Influent_max</f>
        <v>10</v>
      </c>
      <c r="F18" s="22" t="s">
        <v>4</v>
      </c>
      <c r="G18" s="10"/>
      <c r="H18" s="12"/>
      <c r="I18" s="8"/>
    </row>
    <row r="19" spans="2:13">
      <c r="I19" s="8"/>
    </row>
    <row r="20" spans="2:13" ht="15" thickBot="1">
      <c r="B20" s="111" t="s">
        <v>87</v>
      </c>
      <c r="E20" s="127" t="str">
        <f xml:space="preserve"> IF(Pathogen = "C. jejuni", "NOTES ON SELECTING CAMPYLOBACTER MODEL PARAMETERS","")</f>
        <v/>
      </c>
      <c r="I20" s="8"/>
    </row>
    <row r="21" spans="2:13">
      <c r="B21" s="175" t="s">
        <v>81</v>
      </c>
      <c r="C21" s="176" t="s">
        <v>82</v>
      </c>
      <c r="E21" s="173" t="str">
        <f xml:space="preserve"> IF(Pathogen = "C. jejuni", "Note that Teunis &amp; Havelaar [2000, Risk Anal. 20(4), p. 516] derived the","")</f>
        <v/>
      </c>
      <c r="I21" s="8"/>
      <c r="M21" s="8"/>
    </row>
    <row r="22" spans="2:13">
      <c r="B22" s="177">
        <v>1</v>
      </c>
      <c r="C22" s="178">
        <v>1</v>
      </c>
      <c r="E22" s="174" t="str">
        <f xml:space="preserve"> IF(Pathogen = "C. jejuni", "'mild' campylobacteriosis risk model [(alpha, beta) = (0.145,  8.007)] based ","")</f>
        <v/>
      </c>
      <c r="F22" s="8"/>
    </row>
    <row r="23" spans="2:13">
      <c r="B23" s="179">
        <v>2</v>
      </c>
      <c r="C23" s="180">
        <v>2</v>
      </c>
      <c r="E23" s="173" t="str">
        <f>IF(Pathogen="C. jejuni","on a clinical trial of healthy adults (ID50 about 900). But Teunis et al. (2005","")</f>
        <v/>
      </c>
      <c r="F23" s="8"/>
    </row>
    <row r="24" spans="2:13">
      <c r="B24" s="179">
        <v>3</v>
      </c>
      <c r="C24" s="180">
        <v>3</v>
      </c>
      <c r="E24" s="173" t="str">
        <f xml:space="preserve"> IF(Pathogen = "C. jejuni", "Epi. Inf. 133) derived the 'severe' risk model [(alpha, beta) = (0.024, 0.011),","")</f>
        <v/>
      </c>
      <c r="F24" s="8"/>
    </row>
    <row r="25" spans="2:13">
      <c r="B25" s="179">
        <v>4</v>
      </c>
      <c r="C25" s="180">
        <v>4</v>
      </c>
      <c r="E25" s="173" t="str">
        <f xml:space="preserve"> IF(Pathogen = "C. jejuni", "ID50 = 1.3] for an outbreak among children  visiting dairy farms. ","")</f>
        <v/>
      </c>
      <c r="F25" s="8"/>
    </row>
    <row r="26" spans="2:13">
      <c r="B26" s="179">
        <v>5</v>
      </c>
      <c r="C26" s="180">
        <v>5</v>
      </c>
      <c r="E26" s="173" t="str">
        <f xml:space="preserve"> IF(Pathogen = "C. jejuni", "You choose!!","")</f>
        <v/>
      </c>
      <c r="F26" s="8"/>
    </row>
    <row r="27" spans="2:13">
      <c r="B27" s="179">
        <v>6</v>
      </c>
      <c r="C27" s="180">
        <v>6</v>
      </c>
      <c r="F27" s="8"/>
    </row>
    <row r="28" spans="2:13">
      <c r="B28" s="153">
        <v>7</v>
      </c>
      <c r="C28" s="180">
        <v>7</v>
      </c>
      <c r="F28" s="8"/>
    </row>
    <row r="29" spans="2:13">
      <c r="B29" s="179">
        <v>8</v>
      </c>
      <c r="C29" s="180">
        <v>8</v>
      </c>
      <c r="F29" s="8"/>
    </row>
    <row r="30" spans="2:13">
      <c r="B30" s="179">
        <v>9</v>
      </c>
      <c r="C30" s="180">
        <v>9</v>
      </c>
      <c r="F30" s="8"/>
    </row>
    <row r="31" spans="2:13">
      <c r="B31" s="179">
        <v>10</v>
      </c>
      <c r="C31" s="180">
        <v>10</v>
      </c>
      <c r="F31" s="8"/>
    </row>
    <row r="32" spans="2:13">
      <c r="B32" s="179">
        <v>11</v>
      </c>
      <c r="C32" s="180">
        <v>11</v>
      </c>
      <c r="F32" s="8"/>
    </row>
    <row r="33" spans="2:6">
      <c r="B33" s="179">
        <v>12</v>
      </c>
      <c r="C33" s="180">
        <v>12</v>
      </c>
      <c r="F33" s="8"/>
    </row>
    <row r="34" spans="2:6">
      <c r="B34" s="179">
        <v>13</v>
      </c>
      <c r="C34" s="180">
        <v>13</v>
      </c>
      <c r="F34" s="8"/>
    </row>
    <row r="35" spans="2:6">
      <c r="B35" s="179">
        <v>14</v>
      </c>
      <c r="C35" s="180">
        <v>14</v>
      </c>
      <c r="F35" s="8"/>
    </row>
    <row r="36" spans="2:6">
      <c r="B36" s="179">
        <v>15</v>
      </c>
      <c r="C36" s="180">
        <v>15</v>
      </c>
      <c r="F36" s="8"/>
    </row>
    <row r="37" spans="2:6">
      <c r="B37" s="179">
        <v>16</v>
      </c>
      <c r="C37" s="180">
        <v>16</v>
      </c>
      <c r="F37" s="8"/>
    </row>
    <row r="38" spans="2:6">
      <c r="B38" s="179">
        <v>17</v>
      </c>
      <c r="C38" s="180">
        <v>17</v>
      </c>
      <c r="F38" s="8"/>
    </row>
    <row r="39" spans="2:6">
      <c r="B39" s="179">
        <v>18</v>
      </c>
      <c r="C39" s="180">
        <v>18</v>
      </c>
      <c r="F39" s="8"/>
    </row>
    <row r="40" spans="2:6">
      <c r="B40" s="179">
        <v>19</v>
      </c>
      <c r="C40" s="180">
        <v>19</v>
      </c>
      <c r="F40" s="8"/>
    </row>
    <row r="41" spans="2:6">
      <c r="B41" s="179">
        <v>20</v>
      </c>
      <c r="C41" s="180">
        <v>20</v>
      </c>
      <c r="F41" s="8"/>
    </row>
    <row r="42" spans="2:6">
      <c r="B42" s="179">
        <v>21</v>
      </c>
      <c r="C42" s="180">
        <v>21</v>
      </c>
      <c r="F42" s="8"/>
    </row>
    <row r="43" spans="2:6">
      <c r="B43" s="153">
        <v>22</v>
      </c>
      <c r="C43" s="180">
        <v>22</v>
      </c>
      <c r="F43" s="8"/>
    </row>
    <row r="44" spans="2:6">
      <c r="B44" s="179">
        <v>23</v>
      </c>
      <c r="C44" s="180">
        <v>23</v>
      </c>
      <c r="F44" s="8"/>
    </row>
    <row r="45" spans="2:6">
      <c r="B45" s="179">
        <v>24</v>
      </c>
      <c r="C45" s="180">
        <v>24</v>
      </c>
      <c r="F45" s="8"/>
    </row>
    <row r="46" spans="2:6">
      <c r="B46" s="179">
        <v>25</v>
      </c>
      <c r="C46" s="180">
        <v>25</v>
      </c>
      <c r="F46" s="8"/>
    </row>
    <row r="47" spans="2:6">
      <c r="B47" s="179">
        <v>26</v>
      </c>
      <c r="C47" s="180">
        <v>26</v>
      </c>
      <c r="F47" s="8"/>
    </row>
    <row r="48" spans="2:6">
      <c r="B48" s="179">
        <v>27</v>
      </c>
      <c r="C48" s="180">
        <v>27</v>
      </c>
      <c r="F48" s="8"/>
    </row>
    <row r="49" spans="2:12">
      <c r="B49" s="179">
        <v>28</v>
      </c>
      <c r="C49" s="180">
        <v>28</v>
      </c>
      <c r="F49" s="8"/>
    </row>
    <row r="50" spans="2:12">
      <c r="B50" s="179">
        <v>29</v>
      </c>
      <c r="C50" s="180">
        <v>29</v>
      </c>
      <c r="F50" s="8"/>
    </row>
    <row r="51" spans="2:12">
      <c r="B51" s="179">
        <v>30</v>
      </c>
      <c r="C51" s="180">
        <v>30</v>
      </c>
      <c r="F51" s="8"/>
    </row>
    <row r="52" spans="2:12">
      <c r="B52" s="179">
        <v>31</v>
      </c>
      <c r="C52" s="180">
        <v>31</v>
      </c>
      <c r="F52" s="8"/>
    </row>
    <row r="53" spans="2:12">
      <c r="B53" s="181">
        <v>32</v>
      </c>
      <c r="C53" s="182">
        <v>32</v>
      </c>
      <c r="F53" s="8"/>
    </row>
    <row r="54" spans="2:12">
      <c r="B54" s="91"/>
      <c r="C54" s="91"/>
      <c r="I54" s="8"/>
    </row>
    <row r="55" spans="2:12" ht="15" thickBot="1">
      <c r="B55" s="127" t="s">
        <v>85</v>
      </c>
      <c r="I55" s="8"/>
    </row>
    <row r="56" spans="2:12" ht="15" thickBot="1">
      <c r="B56" s="128" t="s">
        <v>79</v>
      </c>
      <c r="C56" s="133">
        <v>1000</v>
      </c>
      <c r="D56" s="129" t="s">
        <v>86</v>
      </c>
      <c r="I56" s="8"/>
    </row>
    <row r="57" spans="2:12">
      <c r="C57" s="91"/>
      <c r="I57" s="8"/>
      <c r="L57" s="8"/>
    </row>
    <row r="58" spans="2:12" ht="15" thickBot="1">
      <c r="E58" s="1" t="s">
        <v>88</v>
      </c>
    </row>
    <row r="59" spans="2:12">
      <c r="B59" s="134" t="s">
        <v>90</v>
      </c>
    </row>
    <row r="60" spans="2:12">
      <c r="B60" s="137" t="s">
        <v>91</v>
      </c>
    </row>
    <row r="61" spans="2:12">
      <c r="B61" s="137" t="s">
        <v>65</v>
      </c>
    </row>
    <row r="62" spans="2:12">
      <c r="B62" s="137" t="s">
        <v>92</v>
      </c>
    </row>
    <row r="63" spans="2:12" ht="15" thickBot="1">
      <c r="B63" s="135" t="s">
        <v>162</v>
      </c>
    </row>
  </sheetData>
  <dataValidations disablePrompts="1" count="1">
    <dataValidation type="list" allowBlank="1" showInputMessage="1" showErrorMessage="1" sqref="B3" xr:uid="{00000000-0002-0000-0100-000000000000}">
      <formula1>$B$59:$B$63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T112"/>
  <sheetViews>
    <sheetView workbookViewId="0">
      <selection activeCell="D4" sqref="D4"/>
    </sheetView>
  </sheetViews>
  <sheetFormatPr defaultColWidth="9.1796875" defaultRowHeight="11.5"/>
  <cols>
    <col min="1" max="1" width="3.26953125" style="8" customWidth="1"/>
    <col min="2" max="2" width="17.7265625" style="8" customWidth="1"/>
    <col min="3" max="3" width="15.26953125" style="8" customWidth="1"/>
    <col min="4" max="4" width="18.7265625" style="8" customWidth="1"/>
    <col min="5" max="5" width="1.7265625" style="8" customWidth="1"/>
    <col min="6" max="6" width="12.7265625" style="8" customWidth="1"/>
    <col min="7" max="9" width="9.7265625" style="8" customWidth="1"/>
    <col min="10" max="10" width="12.7265625" style="8" customWidth="1"/>
    <col min="11" max="11" width="1.7265625" style="8" customWidth="1"/>
    <col min="12" max="12" width="12.7265625" style="8" customWidth="1"/>
    <col min="13" max="15" width="9.7265625" style="8" customWidth="1"/>
    <col min="16" max="16" width="12.7265625" style="8" customWidth="1"/>
    <col min="17" max="17" width="1.7265625" style="8" customWidth="1"/>
    <col min="18" max="18" width="12.7265625" style="8" customWidth="1"/>
    <col min="19" max="21" width="9.7265625" style="8" customWidth="1"/>
    <col min="22" max="22" width="12.7265625" style="8" customWidth="1"/>
    <col min="23" max="23" width="1.7265625" style="8" customWidth="1"/>
    <col min="24" max="24" width="12.7265625" style="8" customWidth="1"/>
    <col min="25" max="27" width="9.7265625" style="8" customWidth="1"/>
    <col min="28" max="28" width="12.7265625" style="8" customWidth="1"/>
    <col min="29" max="29" width="1.7265625" style="8" customWidth="1"/>
    <col min="30" max="30" width="12.7265625" style="8" customWidth="1"/>
    <col min="31" max="33" width="9.7265625" style="8" customWidth="1"/>
    <col min="34" max="34" width="12.7265625" style="8" customWidth="1"/>
    <col min="35" max="35" width="1.7265625" style="8" customWidth="1"/>
    <col min="36" max="36" width="12.7265625" style="8" customWidth="1"/>
    <col min="37" max="39" width="9.7265625" style="8" customWidth="1"/>
    <col min="40" max="40" width="12.7265625" style="8" customWidth="1"/>
    <col min="41" max="41" width="1.7265625" style="8" customWidth="1"/>
    <col min="42" max="42" width="12.7265625" style="8" customWidth="1"/>
    <col min="43" max="45" width="9.7265625" style="8" customWidth="1"/>
    <col min="46" max="46" width="12.7265625" style="8" customWidth="1"/>
    <col min="47" max="47" width="1.7265625" style="8" customWidth="1"/>
    <col min="48" max="48" width="12.7265625" style="8" customWidth="1"/>
    <col min="49" max="51" width="9.7265625" style="8" customWidth="1"/>
    <col min="52" max="52" width="12.7265625" style="8" customWidth="1"/>
    <col min="53" max="16384" width="9.1796875" style="8"/>
  </cols>
  <sheetData>
    <row r="1" spans="2:202" ht="12" thickBot="1"/>
    <row r="2" spans="2:202" ht="14" thickBot="1">
      <c r="B2" s="124" t="s">
        <v>80</v>
      </c>
      <c r="C2" s="162">
        <v>1</v>
      </c>
      <c r="F2" s="84" t="str">
        <f>CONCATENATE("Site ",Site_name_1,"_inf")</f>
        <v>Site 1_inf</v>
      </c>
      <c r="H2" s="122" t="str">
        <f>CONCATENATE("Site ",Site_name_1)</f>
        <v>Site 1</v>
      </c>
      <c r="I2" s="10"/>
      <c r="J2" s="84" t="str">
        <f>CONCATENATE("Site ",Site_name_1,"_ill")</f>
        <v>Site 1_ill</v>
      </c>
      <c r="L2" s="84" t="str">
        <f>CONCATENATE("Site ",Site_name_2,"_inf")</f>
        <v>Site 2_inf</v>
      </c>
      <c r="N2" s="122" t="str">
        <f>CONCATENATE("Site ",Site_name_2)</f>
        <v>Site 2</v>
      </c>
      <c r="O2" s="10"/>
      <c r="P2" s="84" t="str">
        <f>CONCATENATE("Site ",Site_name_2,"_ill")</f>
        <v>Site 2_ill</v>
      </c>
      <c r="R2" s="84" t="str">
        <f>CONCATENATE("Site ",Site_name_3,"_inf")</f>
        <v>Site 3_inf</v>
      </c>
      <c r="T2" s="122" t="str">
        <f>CONCATENATE("Site ",Site_name_3)</f>
        <v>Site 3</v>
      </c>
      <c r="U2" s="10"/>
      <c r="V2" s="84" t="str">
        <f>CONCATENATE("Site ",Site_name_3,"_ill")</f>
        <v>Site 3_ill</v>
      </c>
      <c r="X2" s="84" t="str">
        <f>CONCATENATE("Site ",Site_name_4,"_inf")</f>
        <v>Site 4_inf</v>
      </c>
      <c r="Z2" s="122" t="str">
        <f>CONCATENATE("Site ",Site_name_4)</f>
        <v>Site 4</v>
      </c>
      <c r="AA2" s="10"/>
      <c r="AB2" s="84" t="str">
        <f>CONCATENATE("Site ",Site_name_4,"_ill")</f>
        <v>Site 4_ill</v>
      </c>
      <c r="AD2" s="84" t="str">
        <f>CONCATENATE("Site ",Site_name_5,"_inf")</f>
        <v>Site 5_inf</v>
      </c>
      <c r="AF2" s="122" t="str">
        <f>CONCATENATE("Site ",Site_name_5)</f>
        <v>Site 5</v>
      </c>
      <c r="AG2" s="10"/>
      <c r="AH2" s="84" t="str">
        <f>CONCATENATE("Site ",Site_name_5,"_ill")</f>
        <v>Site 5_ill</v>
      </c>
      <c r="AJ2" s="84" t="str">
        <f>CONCATENATE("Site ",Site_name_6,"_inf")</f>
        <v>Site 6_inf</v>
      </c>
      <c r="AL2" s="122" t="str">
        <f>CONCATENATE("Site ",Site_name_6)</f>
        <v>Site 6</v>
      </c>
      <c r="AM2" s="10"/>
      <c r="AN2" s="84" t="str">
        <f>CONCATENATE("Site ",Site_name_6,"_ill")</f>
        <v>Site 6_ill</v>
      </c>
      <c r="AP2" s="84" t="str">
        <f>CONCATENATE("Site ",Site_name_7,"_inf")</f>
        <v>Site 7_inf</v>
      </c>
      <c r="AR2" s="122" t="str">
        <f>CONCATENATE("Site ",Site_name_7)</f>
        <v>Site 7</v>
      </c>
      <c r="AS2" s="10"/>
      <c r="AT2" s="84" t="str">
        <f>CONCATENATE("Site ",Site_name_7,"_ill")</f>
        <v>Site 7_ill</v>
      </c>
      <c r="AV2" s="84" t="str">
        <f>CONCATENATE("Site ",Site_name_8,"_inf")</f>
        <v>Site 8_inf</v>
      </c>
      <c r="AX2" s="122" t="str">
        <f>CONCATENATE("Site ",Site_name_8)</f>
        <v>Site 8</v>
      </c>
      <c r="AY2" s="10"/>
      <c r="AZ2" s="84" t="str">
        <f>CONCATENATE("Site ",Site_name_8,"_ill")</f>
        <v>Site 8_ill</v>
      </c>
      <c r="BB2" s="84" t="str">
        <f>CONCATENATE("Site ",Site_name_9,"_inf")</f>
        <v>Site 9_inf</v>
      </c>
      <c r="BD2" s="122" t="str">
        <f>CONCATENATE("Site ",Site_name_9)</f>
        <v>Site 9</v>
      </c>
      <c r="BE2" s="10"/>
      <c r="BF2" s="84" t="str">
        <f>CONCATENATE("Site ",Site_name_9,"_ill")</f>
        <v>Site 9_ill</v>
      </c>
      <c r="BH2" s="84" t="str">
        <f>CONCATENATE("Site ",Site_name_10,"_inf")</f>
        <v>Site 10_inf</v>
      </c>
      <c r="BJ2" s="122" t="str">
        <f>CONCATENATE("Site ",Site_name_10)</f>
        <v>Site 10</v>
      </c>
      <c r="BK2" s="10"/>
      <c r="BL2" s="84" t="str">
        <f>CONCATENATE("Site ",Site_name_10,"_ill")</f>
        <v>Site 10_ill</v>
      </c>
      <c r="BN2" s="84" t="str">
        <f>CONCATENATE("Site ",Site_name_11,"_inf")</f>
        <v>Site 11_inf</v>
      </c>
      <c r="BP2" s="122" t="str">
        <f>CONCATENATE("Site ",Site_name_11)</f>
        <v>Site 11</v>
      </c>
      <c r="BQ2" s="10"/>
      <c r="BR2" s="84" t="str">
        <f>CONCATENATE("Site ",Site_name_11,"_ill")</f>
        <v>Site 11_ill</v>
      </c>
      <c r="BT2" s="84" t="str">
        <f>CONCATENATE("Site ",Site_name_12,"_inf")</f>
        <v>Site 12_inf</v>
      </c>
      <c r="BV2" s="122" t="str">
        <f>CONCATENATE("Site ",Site_name_12)</f>
        <v>Site 12</v>
      </c>
      <c r="BW2" s="10"/>
      <c r="BX2" s="84" t="str">
        <f>CONCATENATE("Site ",Site_name_12,"_ill")</f>
        <v>Site 12_ill</v>
      </c>
      <c r="BZ2" s="84" t="str">
        <f>CONCATENATE("Site ",Site_name_13,"_inf")</f>
        <v>Site 13_inf</v>
      </c>
      <c r="CB2" s="122" t="str">
        <f>CONCATENATE("Site ",Site_name_13)</f>
        <v>Site 13</v>
      </c>
      <c r="CC2" s="10"/>
      <c r="CD2" s="84" t="str">
        <f>CONCATENATE("Site ",Site_name_13,"_ill")</f>
        <v>Site 13_ill</v>
      </c>
      <c r="CF2" s="84" t="str">
        <f>CONCATENATE("Site ",Site_name_14,"_inf")</f>
        <v>Site 14_inf</v>
      </c>
      <c r="CH2" s="122" t="str">
        <f>CONCATENATE("Site ",Site_name_14)</f>
        <v>Site 14</v>
      </c>
      <c r="CI2" s="10"/>
      <c r="CJ2" s="84" t="str">
        <f>CONCATENATE("Site ",Site_name_14,"_ill")</f>
        <v>Site 14_ill</v>
      </c>
      <c r="CL2" s="84" t="str">
        <f>CONCATENATE("Site ",Site_name_15,"_inf")</f>
        <v>Site 15_inf</v>
      </c>
      <c r="CN2" s="122" t="str">
        <f>CONCATENATE("Site ",Site_name_15)</f>
        <v>Site 15</v>
      </c>
      <c r="CO2" s="10"/>
      <c r="CP2" s="84" t="str">
        <f>CONCATENATE("Site ",Site_name_15,"_ill")</f>
        <v>Site 15_ill</v>
      </c>
      <c r="CR2" s="84" t="str">
        <f>CONCATENATE("Site ",Site_name_16,"_inf")</f>
        <v>Site 16_inf</v>
      </c>
      <c r="CT2" s="122" t="str">
        <f>CONCATENATE("Site ",Site_name_16)</f>
        <v>Site 16</v>
      </c>
      <c r="CU2" s="10"/>
      <c r="CV2" s="84" t="str">
        <f>CONCATENATE("Site ",Site_name_16,"_ill")</f>
        <v>Site 16_ill</v>
      </c>
      <c r="CX2" s="84" t="str">
        <f>CONCATENATE("Site ",Site_name_17,"_inf")</f>
        <v>Site 17_inf</v>
      </c>
      <c r="CZ2" s="122" t="str">
        <f>CONCATENATE("Site ",Site_name_17)</f>
        <v>Site 17</v>
      </c>
      <c r="DA2" s="10"/>
      <c r="DB2" s="84" t="str">
        <f>CONCATENATE("Site ",Site_name_17,"_ill")</f>
        <v>Site 17_ill</v>
      </c>
      <c r="DD2" s="84" t="str">
        <f>CONCATENATE("Site ",Site_name_17,"_inf")</f>
        <v>Site 17_inf</v>
      </c>
      <c r="DF2" s="122" t="str">
        <f>CONCATENATE("Site ",Site_name_17)</f>
        <v>Site 17</v>
      </c>
      <c r="DG2" s="10"/>
      <c r="DH2" s="84" t="str">
        <f>CONCATENATE("Site ",Site_name_17,"_ill")</f>
        <v>Site 17_ill</v>
      </c>
      <c r="DJ2" s="84" t="str">
        <f>CONCATENATE("Site ",Site_name_18,"_inf")</f>
        <v>Site 18_inf</v>
      </c>
      <c r="DL2" s="122" t="str">
        <f>CONCATENATE("Site ",Site_name_18)</f>
        <v>Site 18</v>
      </c>
      <c r="DM2" s="10"/>
      <c r="DN2" s="84" t="str">
        <f>CONCATENATE("Site ",Site_name_18,"_ill")</f>
        <v>Site 18_ill</v>
      </c>
      <c r="DP2" s="84" t="str">
        <f>CONCATENATE("Site ",Site_name_19,"_inf")</f>
        <v>Site 19_inf</v>
      </c>
      <c r="DR2" s="122" t="str">
        <f>CONCATENATE("Site ",Site_name_19)</f>
        <v>Site 19</v>
      </c>
      <c r="DS2" s="10"/>
      <c r="DT2" s="84" t="str">
        <f>CONCATENATE("Site ",Site_name_19,"_ill")</f>
        <v>Site 19_ill</v>
      </c>
      <c r="DV2" s="84" t="str">
        <f>CONCATENATE("Site ",Site_name_20,"_inf")</f>
        <v>Site 20_inf</v>
      </c>
      <c r="DX2" s="122" t="str">
        <f>CONCATENATE("Site ",Site_name_20)</f>
        <v>Site 20</v>
      </c>
      <c r="DY2" s="10"/>
      <c r="DZ2" s="84" t="str">
        <f>CONCATENATE("Site ",Site_name_20,"_ill")</f>
        <v>Site 20_ill</v>
      </c>
      <c r="EB2" s="84" t="str">
        <f>CONCATENATE("Site ",Site_name_21,"_inf")</f>
        <v>Site 21_inf</v>
      </c>
      <c r="ED2" s="122" t="str">
        <f>CONCATENATE("Site ",Site_name_21)</f>
        <v>Site 21</v>
      </c>
      <c r="EE2" s="10"/>
      <c r="EF2" s="84" t="str">
        <f>CONCATENATE("Site ",Site_name_21,"_ill")</f>
        <v>Site 21_ill</v>
      </c>
      <c r="EH2" s="84" t="str">
        <f>CONCATENATE("Site ",Site_name_22,"_inf")</f>
        <v>Site 22_inf</v>
      </c>
      <c r="EJ2" s="122" t="str">
        <f>CONCATENATE("Site ",Site_name_22)</f>
        <v>Site 22</v>
      </c>
      <c r="EK2" s="10"/>
      <c r="EL2" s="84" t="str">
        <f>CONCATENATE("Site ",Site_name_22,"_ill")</f>
        <v>Site 22_ill</v>
      </c>
      <c r="EN2" s="84" t="str">
        <f>CONCATENATE("Site ",Site_name_23,"_inf")</f>
        <v>Site 23_inf</v>
      </c>
      <c r="EP2" s="122" t="str">
        <f>CONCATENATE("Site ",Site_name_23)</f>
        <v>Site 23</v>
      </c>
      <c r="EQ2" s="10"/>
      <c r="ER2" s="84" t="str">
        <f>CONCATENATE("Site ",Site_name_23,"_ill")</f>
        <v>Site 23_ill</v>
      </c>
      <c r="ET2" s="84" t="str">
        <f>CONCATENATE("Site ",Site_name_24,"_inf")</f>
        <v>Site 24_inf</v>
      </c>
      <c r="EV2" s="122" t="str">
        <f>CONCATENATE("Site ",Site_name_24)</f>
        <v>Site 24</v>
      </c>
      <c r="EW2" s="10"/>
      <c r="EX2" s="84" t="str">
        <f>CONCATENATE("Site ",Site_name_24,"_ill")</f>
        <v>Site 24_ill</v>
      </c>
      <c r="EZ2" s="84" t="str">
        <f>CONCATENATE("Site ",Site_name_25,"_inf")</f>
        <v>Site 25_inf</v>
      </c>
      <c r="FB2" s="122" t="str">
        <f>CONCATENATE("Site ",Site_name_25)</f>
        <v>Site 25</v>
      </c>
      <c r="FC2" s="10"/>
      <c r="FD2" s="84" t="str">
        <f>CONCATENATE("Site ",Site_name_25,"_ill")</f>
        <v>Site 25_ill</v>
      </c>
      <c r="FF2" s="84" t="str">
        <f>CONCATENATE("Site ",Site_name_26,"_inf")</f>
        <v>Site 26_inf</v>
      </c>
      <c r="FH2" s="122" t="str">
        <f>CONCATENATE("Site ",Site_name_26)</f>
        <v>Site 26</v>
      </c>
      <c r="FI2" s="10"/>
      <c r="FJ2" s="84" t="str">
        <f>CONCATENATE("Site ",Site_name_26,"_ill")</f>
        <v>Site 26_ill</v>
      </c>
      <c r="FL2" s="84" t="str">
        <f>CONCATENATE("Site ",Site_name_27,"_inf")</f>
        <v>Site 27_inf</v>
      </c>
      <c r="FN2" s="122" t="str">
        <f>CONCATENATE("Site ",Site_name_27)</f>
        <v>Site 27</v>
      </c>
      <c r="FO2" s="10"/>
      <c r="FP2" s="84" t="str">
        <f>CONCATENATE("Site ",Site_name_27,"_ill")</f>
        <v>Site 27_ill</v>
      </c>
      <c r="FR2" s="84" t="str">
        <f>CONCATENATE("Site ",Site_name_28,"_inf")</f>
        <v>Site 28_inf</v>
      </c>
      <c r="FT2" s="122" t="str">
        <f>CONCATENATE("Site ",Site_name_28)</f>
        <v>Site 28</v>
      </c>
      <c r="FU2" s="10"/>
      <c r="FV2" s="84" t="str">
        <f>CONCATENATE("Site ",Site_name_28,"_ill")</f>
        <v>Site 28_ill</v>
      </c>
      <c r="FX2" s="84" t="str">
        <f>CONCATENATE("Site ",Site_name_29,"_inf")</f>
        <v>Site 29_inf</v>
      </c>
      <c r="FZ2" s="122" t="str">
        <f>CONCATENATE("Site ",Site_name_29)</f>
        <v>Site 29</v>
      </c>
      <c r="GA2" s="10"/>
      <c r="GB2" s="84" t="str">
        <f>CONCATENATE("Site ",Site_name_29,"_ill")</f>
        <v>Site 29_ill</v>
      </c>
      <c r="GD2" s="84" t="str">
        <f>CONCATENATE("Site ",Site_name_30,"_inf")</f>
        <v>Site 30_inf</v>
      </c>
      <c r="GF2" s="122" t="str">
        <f>CONCATENATE("Site ",Site_name_30)</f>
        <v>Site 30</v>
      </c>
      <c r="GG2" s="10"/>
      <c r="GH2" s="84" t="str">
        <f>CONCATENATE("Site ",Site_name_30,"_ill")</f>
        <v>Site 30_ill</v>
      </c>
      <c r="GJ2" s="84" t="str">
        <f>CONCATENATE("Site ",Site_name_31,"_inf")</f>
        <v>Site 31_inf</v>
      </c>
      <c r="GL2" s="122" t="str">
        <f>CONCATENATE("Site ",Site_name_31)</f>
        <v>Site 31</v>
      </c>
      <c r="GM2" s="10"/>
      <c r="GN2" s="84" t="str">
        <f>CONCATENATE("Site ",Site_name_31,"_ill")</f>
        <v>Site 31_ill</v>
      </c>
      <c r="GP2" s="84" t="str">
        <f>CONCATENATE("Site ",Site_name_32,"_inf")</f>
        <v>Site 32_inf</v>
      </c>
      <c r="GR2" s="122" t="str">
        <f>CONCATENATE("Site ",Site_name_32)</f>
        <v>Site 32</v>
      </c>
      <c r="GS2" s="10"/>
      <c r="GT2" s="84" t="str">
        <f>CONCATENATE("Site ",Site_name_32,"_ill")</f>
        <v>Site 32_ill</v>
      </c>
    </row>
    <row r="3" spans="2:202" ht="13" thickBot="1">
      <c r="C3" s="10"/>
      <c r="D3" s="12"/>
      <c r="F3" s="13"/>
      <c r="G3" s="120"/>
      <c r="H3" s="14" t="str">
        <f>CONCATENATE("[",Pathogen,"] at ",H2," (/L) =")</f>
        <v>[Norovirus] at Site 1 (/L) =</v>
      </c>
      <c r="I3" s="123">
        <f ca="1">Random_effluent_Pathogen_conc*Pathogen_Conc_Site_1</f>
        <v>3.6103919108406097E-10</v>
      </c>
      <c r="J3" s="121"/>
      <c r="K3" s="107"/>
      <c r="L3" s="13"/>
      <c r="M3" s="120"/>
      <c r="N3" s="14" t="str">
        <f>CONCATENATE("[",Pathogen,"] at ",N2," (/L) =")</f>
        <v>[Norovirus] at Site 2 (/L) =</v>
      </c>
      <c r="O3" s="123">
        <f ca="1">Random_effluent_Pathogen_conc*Pathogen_Conc_Site_2</f>
        <v>1.844094114761727E-5</v>
      </c>
      <c r="P3" s="121"/>
      <c r="Q3" s="107"/>
      <c r="R3" s="13"/>
      <c r="S3" s="120"/>
      <c r="T3" s="14" t="str">
        <f>CONCATENATE("[",Pathogen,"] at ",T2," (/L) =")</f>
        <v>[Norovirus] at Site 3 (/L) =</v>
      </c>
      <c r="U3" s="123">
        <f ca="1">Random_effluent_Pathogen_conc*Pathogen_Conc_Site_3</f>
        <v>1.9063465162065837E-6</v>
      </c>
      <c r="V3" s="121"/>
      <c r="W3" s="107"/>
      <c r="X3" s="13"/>
      <c r="Y3" s="120"/>
      <c r="Z3" s="14" t="str">
        <f>CONCATENATE("[",Pathogen,"] at ",Z2," (/L) =")</f>
        <v>[Norovirus] at Site 4 (/L) =</v>
      </c>
      <c r="AA3" s="123">
        <f ca="1">Random_effluent_Pathogen_conc*Pathogen_Conc_Site_4</f>
        <v>7.8317681706612279E-13</v>
      </c>
      <c r="AB3" s="121"/>
      <c r="AC3" s="107"/>
      <c r="AD3" s="13"/>
      <c r="AE3" s="120"/>
      <c r="AF3" s="14" t="str">
        <f>CONCATENATE("[",Pathogen,"] at ",AF2," (/L) =")</f>
        <v>[Norovirus] at Site 5 (/L) =</v>
      </c>
      <c r="AG3" s="123">
        <f ca="1">Random_effluent_Pathogen_conc*Pathogen_Conc_Site_5</f>
        <v>3.9457835091217198E-13</v>
      </c>
      <c r="AH3" s="121"/>
      <c r="AI3" s="107"/>
      <c r="AJ3" s="13"/>
      <c r="AK3" s="120"/>
      <c r="AL3" s="14" t="str">
        <f>CONCATENATE("[",Pathogen,"] at ",AL2," (/L) =")</f>
        <v>[Norovirus] at Site 6 (/L) =</v>
      </c>
      <c r="AM3" s="123">
        <f ca="1">Random_effluent_Pathogen_conc*Pathogen_Conc_Site_6</f>
        <v>1.8315310194203033E-5</v>
      </c>
      <c r="AN3" s="121"/>
      <c r="AO3" s="107"/>
      <c r="AP3" s="13"/>
      <c r="AQ3" s="120"/>
      <c r="AR3" s="14" t="str">
        <f>CONCATENATE("[",Pathogen,"] at ",AR2," (/L) =")</f>
        <v>[Norovirus] at Site 7 (/L) =</v>
      </c>
      <c r="AS3" s="123">
        <f ca="1">Random_effluent_Pathogen_conc*Pathogen_Conc_Site_7</f>
        <v>4.4541064566656498E-10</v>
      </c>
      <c r="AT3" s="121"/>
      <c r="AU3" s="107"/>
      <c r="AV3" s="13"/>
      <c r="AW3" s="120"/>
      <c r="AX3" s="14" t="str">
        <f>CONCATENATE("[",Pathogen,"] at ",AX2," (/L) =")</f>
        <v>[Norovirus] at Site 8 (/L) =</v>
      </c>
      <c r="AY3" s="123">
        <f ca="1">Random_effluent_Pathogen_conc*Pathogen_Conc_Site_8</f>
        <v>1.0333295104901769E-5</v>
      </c>
      <c r="AZ3" s="121"/>
      <c r="BB3" s="13"/>
      <c r="BC3" s="120"/>
      <c r="BD3" s="14" t="str">
        <f>CONCATENATE("[",Pathogen,"] at ",BD2," (/L) =")</f>
        <v>[Norovirus] at Site 9 (/L) =</v>
      </c>
      <c r="BE3" s="123">
        <f ca="1">Random_effluent_Pathogen_conc*Pathogen_Conc_Site_9</f>
        <v>1.4182549605178497E-5</v>
      </c>
      <c r="BF3" s="121"/>
      <c r="BH3" s="13"/>
      <c r="BI3" s="120"/>
      <c r="BJ3" s="14" t="str">
        <f>CONCATENATE("[",Pathogen,"] at ",BJ2," (/L) =")</f>
        <v>[Norovirus] at Site 10 (/L) =</v>
      </c>
      <c r="BK3" s="123">
        <f ca="1">Random_effluent_Pathogen_conc*Pathogen_Conc_Site_10</f>
        <v>1.7956122441507653E-5</v>
      </c>
      <c r="BL3" s="121"/>
      <c r="BN3" s="13"/>
      <c r="BO3" s="120"/>
      <c r="BP3" s="14" t="str">
        <f>CONCATENATE("[",Pathogen,"] at ",BP2," (/L) =")</f>
        <v>[Norovirus] at Site 11 (/L) =</v>
      </c>
      <c r="BQ3" s="123">
        <f ca="1">Random_effluent_Pathogen_conc*Pathogen_Conc_Site_11</f>
        <v>1.3665633030703856E-6</v>
      </c>
      <c r="BR3" s="121"/>
      <c r="BT3" s="13"/>
      <c r="BU3" s="120"/>
      <c r="BV3" s="14" t="str">
        <f>CONCATENATE("[",Pathogen,"] at ",BV2," (/L) =")</f>
        <v>[Norovirus] at Site 12 (/L) =</v>
      </c>
      <c r="BW3" s="123">
        <f ca="1">Random_effluent_Pathogen_conc*Pathogen_Conc_Site_12</f>
        <v>4.1092414051994192E-6</v>
      </c>
      <c r="BX3" s="121"/>
      <c r="BZ3" s="13"/>
      <c r="CA3" s="120"/>
      <c r="CB3" s="14" t="str">
        <f>CONCATENATE("[",Pathogen,"] at ",CB2," (/L) =")</f>
        <v>[Norovirus] at Site 13 (/L) =</v>
      </c>
      <c r="CC3" s="123">
        <f ca="1">Random_effluent_Pathogen_conc*Pathogen_Conc_Site_13</f>
        <v>1.1264815880726029E-5</v>
      </c>
      <c r="CD3" s="121"/>
      <c r="CF3" s="13"/>
      <c r="CG3" s="120"/>
      <c r="CH3" s="14" t="str">
        <f>CONCATENATE("[",Pathogen,"] at ",CH2," (/L) =")</f>
        <v>[Norovirus] at Site 14 (/L) =</v>
      </c>
      <c r="CI3" s="123">
        <f ca="1">Random_effluent_Pathogen_conc*Pathogen_Conc_Site_14</f>
        <v>2.1373860612194106E-6</v>
      </c>
      <c r="CJ3" s="121"/>
      <c r="CL3" s="13"/>
      <c r="CM3" s="120"/>
      <c r="CN3" s="14" t="str">
        <f>CONCATENATE("[",Pathogen,"] at ",CN2," (/L) =")</f>
        <v>[Norovirus] at Site 15 (/L) =</v>
      </c>
      <c r="CO3" s="123">
        <f ca="1">Random_effluent_Pathogen_conc*Pathogen_Conc_Site_15</f>
        <v>4.1245567249034093E-6</v>
      </c>
      <c r="CP3" s="121"/>
      <c r="CR3" s="13"/>
      <c r="CS3" s="120"/>
      <c r="CT3" s="14" t="str">
        <f>CONCATENATE("[",Pathogen,"] at ",CT2," (/L) =")</f>
        <v>[Norovirus] at Site 16 (/L) =</v>
      </c>
      <c r="CU3" s="123">
        <f ca="1">Random_effluent_Pathogen_conc*Pathogen_Conc_Site_16</f>
        <v>2.8425196572457755E-8</v>
      </c>
      <c r="CV3" s="121"/>
      <c r="CX3" s="13"/>
      <c r="CY3" s="120"/>
      <c r="CZ3" s="14" t="str">
        <f>CONCATENATE("[",Pathogen,"] at ",CZ2," (/L) =")</f>
        <v>[Norovirus] at Site 17 (/L) =</v>
      </c>
      <c r="DA3" s="123">
        <f ca="1">Random_effluent_Pathogen_conc*Pathogen_Conc_Site_17</f>
        <v>2.8936526963307144E-10</v>
      </c>
      <c r="DB3" s="121"/>
      <c r="DD3" s="13"/>
      <c r="DE3" s="120"/>
      <c r="DF3" s="14" t="str">
        <f>CONCATENATE("[",Pathogen,"] at ",DF2," (/L) =")</f>
        <v>[Norovirus] at Site 17 (/L) =</v>
      </c>
      <c r="DG3" s="123">
        <f ca="1">Random_effluent_Pathogen_conc*Pathogen_Conc_Site_17</f>
        <v>2.8936526963307144E-10</v>
      </c>
      <c r="DH3" s="121"/>
      <c r="DJ3" s="13"/>
      <c r="DK3" s="120"/>
      <c r="DL3" s="14" t="str">
        <f>CONCATENATE("[",Pathogen,"] at ",DL2," (/L) =")</f>
        <v>[Norovirus] at Site 18 (/L) =</v>
      </c>
      <c r="DM3" s="123">
        <f ca="1">Random_effluent_Pathogen_conc*Pathogen_Conc_Site_18</f>
        <v>4.7249333504816059E-7</v>
      </c>
      <c r="DN3" s="121"/>
      <c r="DP3" s="13"/>
      <c r="DQ3" s="120"/>
      <c r="DR3" s="14" t="str">
        <f>CONCATENATE("[",Pathogen,"] at ",DR2," (/L) =")</f>
        <v>[Norovirus] at Site 19 (/L) =</v>
      </c>
      <c r="DS3" s="123">
        <f ca="1">Random_effluent_Pathogen_conc*Pathogen_Conc_Site_19</f>
        <v>1.1169498926447549E-10</v>
      </c>
      <c r="DT3" s="121"/>
      <c r="DV3" s="13"/>
      <c r="DW3" s="120"/>
      <c r="DX3" s="14" t="str">
        <f>CONCATENATE("[",Pathogen,"] at ",DX2," (/L) =")</f>
        <v>[Norovirus] at Site 20 (/L) =</v>
      </c>
      <c r="DY3" s="123">
        <f ca="1">Random_effluent_Pathogen_conc*Pathogen_Conc_Site_20</f>
        <v>1.5724487238738729E-9</v>
      </c>
      <c r="DZ3" s="121"/>
      <c r="EB3" s="13"/>
      <c r="EC3" s="120"/>
      <c r="ED3" s="14" t="str">
        <f>CONCATENATE("[",Pathogen,"] at ",ED2," (/L) =")</f>
        <v>[Norovirus] at Site 21 (/L) =</v>
      </c>
      <c r="EE3" s="123">
        <f ca="1">Random_effluent_Pathogen_conc*Pathogen_Conc_Site_21</f>
        <v>3.9457835091203946E-13</v>
      </c>
      <c r="EF3" s="121"/>
      <c r="EH3" s="13"/>
      <c r="EI3" s="120"/>
      <c r="EJ3" s="14" t="str">
        <f>CONCATENATE("[",Pathogen,"] at ",EJ2," (/L) =")</f>
        <v>[Norovirus] at Site 22 (/L) =</v>
      </c>
      <c r="EK3" s="123">
        <f ca="1">Random_effluent_Pathogen_conc*Pathogen_Conc_Site_22</f>
        <v>3.9457835091163384E-13</v>
      </c>
      <c r="EL3" s="121"/>
      <c r="EN3" s="13"/>
      <c r="EO3" s="120"/>
      <c r="EP3" s="14" t="str">
        <f>CONCATENATE("[",Pathogen,"] at ",EP2," (/L) =")</f>
        <v>[Norovirus] at Site 23 (/L) =</v>
      </c>
      <c r="EQ3" s="123">
        <f ca="1">Random_effluent_Pathogen_conc*Pathogen_Conc_Site_23</f>
        <v>3.6002892335633943E-11</v>
      </c>
      <c r="ER3" s="121"/>
      <c r="ET3" s="13"/>
      <c r="EU3" s="120"/>
      <c r="EV3" s="14" t="str">
        <f>CONCATENATE("[",Pathogen,"] at ",EV2," (/L) =")</f>
        <v>[Norovirus] at Site 24 (/L) =</v>
      </c>
      <c r="EW3" s="123">
        <f ca="1">Random_effluent_Pathogen_conc*Pathogen_Conc_Site_24</f>
        <v>3.9457835091125756E-13</v>
      </c>
      <c r="EX3" s="121"/>
      <c r="EZ3" s="13"/>
      <c r="FA3" s="120"/>
      <c r="FB3" s="14" t="str">
        <f>CONCATENATE("[",Pathogen,"] at ",FB2," (/L) =")</f>
        <v>[Norovirus] at Site 25 (/L) =</v>
      </c>
      <c r="FC3" s="123">
        <f ca="1">Random_effluent_Pathogen_conc*Pathogen_Conc_Site_25</f>
        <v>2.975990200428749E-6</v>
      </c>
      <c r="FD3" s="121"/>
      <c r="FF3" s="13"/>
      <c r="FG3" s="120"/>
      <c r="FH3" s="14" t="str">
        <f>CONCATENATE("[",Pathogen,"] at ",FH2," (/L) =")</f>
        <v>[Norovirus] at Site 26 (/L) =</v>
      </c>
      <c r="FI3" s="123">
        <f ca="1">Random_effluent_Pathogen_conc*Pathogen_Conc_Site_26</f>
        <v>2.0730413204566788E-5</v>
      </c>
      <c r="FJ3" s="121"/>
      <c r="FL3" s="13"/>
      <c r="FM3" s="120"/>
      <c r="FN3" s="14" t="str">
        <f>CONCATENATE("[",Pathogen,"] at ",FN2," (/L) =")</f>
        <v>[Norovirus] at Site 27 (/L) =</v>
      </c>
      <c r="FO3" s="123" t="e" cm="1">
        <f t="array" aca="1" ref="FO3" ca="1">Random_effluent_Pathogen_conc*Pathogen_Dilution_Site_27</f>
        <v>#NAME?</v>
      </c>
      <c r="FP3" s="121"/>
      <c r="FR3" s="13"/>
      <c r="FS3" s="120"/>
      <c r="FT3" s="14" t="str">
        <f>CONCATENATE("[",Pathogen,"] at ",FT2," (/L) =")</f>
        <v>[Norovirus] at Site 28 (/L) =</v>
      </c>
      <c r="FU3" s="123" t="e" cm="1">
        <f t="array" aca="1" ref="FU3" ca="1">Random_effluent_Pathogen_conc*Pathogen_Dilution_Site_28</f>
        <v>#NAME?</v>
      </c>
      <c r="FV3" s="121"/>
      <c r="FX3" s="13"/>
      <c r="FY3" s="120"/>
      <c r="FZ3" s="14" t="str">
        <f>CONCATENATE("[",Pathogen,"] at ",FZ2," (/L) =")</f>
        <v>[Norovirus] at Site 29 (/L) =</v>
      </c>
      <c r="GA3" s="123">
        <f ca="1">Random_effluent_Pathogen_conc*Pathogen_Conc_Site_29</f>
        <v>4.1658282366476989E-8</v>
      </c>
      <c r="GB3" s="121"/>
      <c r="GD3" s="13"/>
      <c r="GE3" s="120"/>
      <c r="GF3" s="14" t="str">
        <f>CONCATENATE("[",Pathogen,"] at ",GF2," (/L) =")</f>
        <v>[Norovirus] at Site 30 (/L) =</v>
      </c>
      <c r="GG3" s="123" t="e" cm="1">
        <f t="array" aca="1" ref="GG3" ca="1">Random_effluent_Pathogen_conc*Pathogen_Dilution_Site_30</f>
        <v>#NAME?</v>
      </c>
      <c r="GH3" s="121"/>
      <c r="GJ3" s="13"/>
      <c r="GK3" s="120"/>
      <c r="GL3" s="14" t="str">
        <f>CONCATENATE("[",Pathogen,"] at ",GL2," (/L) =")</f>
        <v>[Norovirus] at Site 31 (/L) =</v>
      </c>
      <c r="GM3" s="123" t="e" cm="1">
        <f t="array" aca="1" ref="GM3" ca="1">Random_effluent_Pathogen_conc*Pathogen_Dilution_Site_31</f>
        <v>#NAME?</v>
      </c>
      <c r="GN3" s="121"/>
      <c r="GP3" s="13"/>
      <c r="GQ3" s="120"/>
      <c r="GR3" s="14" t="str">
        <f>CONCATENATE("[",Pathogen,"] at ",GR2," (/L) =")</f>
        <v>[Norovirus] at Site 32 (/L) =</v>
      </c>
      <c r="GS3" s="123" t="e" cm="1">
        <f t="array" aca="1" ref="GS3" ca="1">Random_effluent_Pathogen_conc*Pathogen_Dilution_Site_32</f>
        <v>#NAME?</v>
      </c>
      <c r="GT3" s="121"/>
    </row>
    <row r="4" spans="2:202" ht="12" thickBot="1">
      <c r="B4" s="163"/>
      <c r="C4" s="164" t="str">
        <f xml:space="preserve"> CONCATENATE("Random Effluent [",Pathogen,"] (gc per L) =")</f>
        <v>Random Effluent [Norovirus] (gc per L) =</v>
      </c>
      <c r="D4" s="165">
        <f ca="1">Random_effluent_Pathogen_conc</f>
        <v>3.945783509107883E-3</v>
      </c>
      <c r="E4" s="16"/>
      <c r="F4" s="16"/>
      <c r="G4" s="16"/>
      <c r="H4" s="16"/>
      <c r="I4" s="84"/>
      <c r="J4" s="16"/>
      <c r="L4" s="16"/>
      <c r="M4" s="16"/>
      <c r="N4" s="16"/>
      <c r="O4" s="84"/>
      <c r="P4" s="16"/>
      <c r="R4" s="16"/>
      <c r="S4" s="16"/>
      <c r="T4" s="16"/>
      <c r="U4" s="84"/>
      <c r="V4" s="16"/>
      <c r="X4" s="16"/>
      <c r="Y4" s="16"/>
      <c r="Z4" s="16"/>
      <c r="AA4" s="84"/>
      <c r="AB4" s="16"/>
      <c r="AD4" s="16"/>
      <c r="AE4" s="16"/>
      <c r="AF4" s="16"/>
      <c r="AG4" s="84"/>
      <c r="AH4" s="16"/>
      <c r="AJ4" s="16"/>
      <c r="AK4" s="16"/>
      <c r="AL4" s="16"/>
      <c r="AM4" s="84"/>
      <c r="AN4" s="16"/>
      <c r="AP4" s="16"/>
      <c r="AQ4" s="16"/>
      <c r="AR4" s="16"/>
      <c r="AS4" s="84"/>
      <c r="AT4" s="16"/>
      <c r="AV4" s="16"/>
      <c r="AW4" s="16"/>
      <c r="AX4" s="16"/>
      <c r="AY4" s="84"/>
      <c r="AZ4" s="16"/>
      <c r="BB4" s="16"/>
      <c r="BC4" s="16"/>
      <c r="BD4" s="16"/>
      <c r="BE4" s="84"/>
      <c r="BF4" s="16"/>
      <c r="BH4" s="16"/>
      <c r="BI4" s="16"/>
      <c r="BJ4" s="16"/>
      <c r="BK4" s="84"/>
      <c r="BL4" s="16"/>
      <c r="BN4" s="16"/>
      <c r="BO4" s="16"/>
      <c r="BP4" s="16"/>
      <c r="BQ4" s="84"/>
      <c r="BR4" s="16"/>
      <c r="BT4" s="16"/>
      <c r="BU4" s="16"/>
      <c r="BV4" s="16"/>
      <c r="BW4" s="84"/>
      <c r="BX4" s="16"/>
      <c r="BZ4" s="16"/>
      <c r="CA4" s="16"/>
      <c r="CB4" s="16"/>
      <c r="CC4" s="84"/>
      <c r="CD4" s="16"/>
      <c r="CF4" s="16"/>
      <c r="CG4" s="16"/>
      <c r="CH4" s="16"/>
      <c r="CI4" s="84"/>
      <c r="CJ4" s="16"/>
      <c r="CL4" s="16"/>
      <c r="CM4" s="16"/>
      <c r="CN4" s="16"/>
      <c r="CO4" s="84"/>
      <c r="CP4" s="16"/>
      <c r="CR4" s="16"/>
      <c r="CS4" s="16"/>
      <c r="CT4" s="16"/>
      <c r="CU4" s="84"/>
      <c r="CV4" s="16"/>
      <c r="CX4" s="16"/>
      <c r="CY4" s="16"/>
      <c r="CZ4" s="16"/>
      <c r="DA4" s="84"/>
      <c r="DB4" s="16"/>
      <c r="DD4" s="16"/>
      <c r="DE4" s="16"/>
      <c r="DF4" s="16"/>
      <c r="DG4" s="84"/>
      <c r="DH4" s="16"/>
      <c r="DJ4" s="16"/>
      <c r="DK4" s="16"/>
      <c r="DL4" s="16"/>
      <c r="DM4" s="84"/>
      <c r="DN4" s="16"/>
      <c r="DP4" s="16"/>
      <c r="DQ4" s="16"/>
      <c r="DR4" s="16"/>
      <c r="DS4" s="84"/>
      <c r="DT4" s="16"/>
      <c r="DV4" s="16"/>
      <c r="DW4" s="16"/>
      <c r="DX4" s="16"/>
      <c r="DY4" s="84"/>
      <c r="DZ4" s="16"/>
      <c r="EB4" s="16"/>
      <c r="EC4" s="16"/>
      <c r="ED4" s="16"/>
      <c r="EE4" s="84"/>
      <c r="EF4" s="16"/>
      <c r="EH4" s="16"/>
      <c r="EI4" s="16"/>
      <c r="EJ4" s="16"/>
      <c r="EK4" s="84"/>
      <c r="EL4" s="16"/>
      <c r="EN4" s="16"/>
      <c r="EO4" s="16"/>
      <c r="EP4" s="16"/>
      <c r="EQ4" s="84"/>
      <c r="ER4" s="16"/>
      <c r="ET4" s="16"/>
      <c r="EU4" s="16"/>
      <c r="EV4" s="16"/>
      <c r="EW4" s="84"/>
      <c r="EX4" s="16"/>
      <c r="EZ4" s="16"/>
      <c r="FA4" s="16"/>
      <c r="FB4" s="16"/>
      <c r="FC4" s="84"/>
      <c r="FD4" s="16"/>
      <c r="FF4" s="16"/>
      <c r="FG4" s="16"/>
      <c r="FH4" s="16"/>
      <c r="FI4" s="84"/>
      <c r="FJ4" s="16"/>
      <c r="FL4" s="16"/>
      <c r="FM4" s="16"/>
      <c r="FN4" s="16"/>
      <c r="FO4" s="84"/>
      <c r="FP4" s="16"/>
      <c r="FR4" s="16"/>
      <c r="FS4" s="16"/>
      <c r="FT4" s="16"/>
      <c r="FU4" s="84"/>
      <c r="FV4" s="16"/>
      <c r="FX4" s="16"/>
      <c r="FY4" s="16"/>
      <c r="FZ4" s="16"/>
      <c r="GA4" s="84"/>
      <c r="GB4" s="16"/>
      <c r="GD4" s="16"/>
      <c r="GE4" s="16"/>
      <c r="GF4" s="16"/>
      <c r="GG4" s="84"/>
      <c r="GH4" s="16"/>
      <c r="GJ4" s="16"/>
      <c r="GK4" s="16"/>
      <c r="GL4" s="16"/>
      <c r="GM4" s="84"/>
      <c r="GN4" s="16"/>
      <c r="GP4" s="16"/>
      <c r="GQ4" s="16"/>
      <c r="GR4" s="16"/>
      <c r="GS4" s="84"/>
      <c r="GT4" s="16"/>
    </row>
    <row r="5" spans="2:202">
      <c r="E5" s="16"/>
      <c r="F5" s="79" t="s">
        <v>57</v>
      </c>
      <c r="G5" s="80"/>
      <c r="H5" s="80"/>
      <c r="I5" s="6"/>
      <c r="J5" s="81" t="s">
        <v>58</v>
      </c>
      <c r="L5" s="79" t="s">
        <v>57</v>
      </c>
      <c r="M5" s="80"/>
      <c r="N5" s="80"/>
      <c r="O5" s="6"/>
      <c r="P5" s="81" t="s">
        <v>58</v>
      </c>
      <c r="R5" s="79" t="s">
        <v>57</v>
      </c>
      <c r="S5" s="80"/>
      <c r="T5" s="80"/>
      <c r="U5" s="6"/>
      <c r="V5" s="81" t="s">
        <v>58</v>
      </c>
      <c r="X5" s="79" t="s">
        <v>57</v>
      </c>
      <c r="Y5" s="80"/>
      <c r="Z5" s="80"/>
      <c r="AA5" s="6"/>
      <c r="AB5" s="81" t="s">
        <v>58</v>
      </c>
      <c r="AD5" s="79" t="s">
        <v>57</v>
      </c>
      <c r="AE5" s="80"/>
      <c r="AF5" s="80"/>
      <c r="AG5" s="6"/>
      <c r="AH5" s="81" t="s">
        <v>58</v>
      </c>
      <c r="AJ5" s="79" t="s">
        <v>57</v>
      </c>
      <c r="AK5" s="80"/>
      <c r="AL5" s="80"/>
      <c r="AM5" s="6"/>
      <c r="AN5" s="81" t="s">
        <v>58</v>
      </c>
      <c r="AP5" s="79" t="s">
        <v>57</v>
      </c>
      <c r="AQ5" s="80"/>
      <c r="AR5" s="80"/>
      <c r="AS5" s="6"/>
      <c r="AT5" s="81" t="s">
        <v>58</v>
      </c>
      <c r="AV5" s="79" t="s">
        <v>57</v>
      </c>
      <c r="AW5" s="80"/>
      <c r="AX5" s="80"/>
      <c r="AY5" s="6"/>
      <c r="AZ5" s="81" t="s">
        <v>58</v>
      </c>
      <c r="BB5" s="79" t="s">
        <v>57</v>
      </c>
      <c r="BC5" s="80"/>
      <c r="BD5" s="80"/>
      <c r="BE5" s="6"/>
      <c r="BF5" s="81" t="s">
        <v>58</v>
      </c>
      <c r="BH5" s="79" t="s">
        <v>57</v>
      </c>
      <c r="BI5" s="80"/>
      <c r="BJ5" s="80"/>
      <c r="BK5" s="6"/>
      <c r="BL5" s="81" t="s">
        <v>58</v>
      </c>
      <c r="BN5" s="79" t="s">
        <v>57</v>
      </c>
      <c r="BO5" s="80"/>
      <c r="BP5" s="80"/>
      <c r="BQ5" s="6"/>
      <c r="BR5" s="81" t="s">
        <v>58</v>
      </c>
      <c r="BT5" s="79" t="s">
        <v>57</v>
      </c>
      <c r="BU5" s="80"/>
      <c r="BV5" s="80"/>
      <c r="BW5" s="6"/>
      <c r="BX5" s="81" t="s">
        <v>58</v>
      </c>
      <c r="BZ5" s="79" t="s">
        <v>57</v>
      </c>
      <c r="CA5" s="80"/>
      <c r="CB5" s="80"/>
      <c r="CC5" s="6"/>
      <c r="CD5" s="81" t="s">
        <v>58</v>
      </c>
      <c r="CF5" s="79" t="s">
        <v>57</v>
      </c>
      <c r="CG5" s="80"/>
      <c r="CH5" s="80"/>
      <c r="CI5" s="6"/>
      <c r="CJ5" s="81" t="s">
        <v>58</v>
      </c>
      <c r="CL5" s="79" t="s">
        <v>57</v>
      </c>
      <c r="CM5" s="80"/>
      <c r="CN5" s="80"/>
      <c r="CO5" s="6"/>
      <c r="CP5" s="81" t="s">
        <v>58</v>
      </c>
      <c r="CR5" s="79" t="s">
        <v>57</v>
      </c>
      <c r="CS5" s="80"/>
      <c r="CT5" s="80"/>
      <c r="CU5" s="6"/>
      <c r="CV5" s="81" t="s">
        <v>58</v>
      </c>
      <c r="CX5" s="79" t="s">
        <v>57</v>
      </c>
      <c r="CY5" s="80"/>
      <c r="CZ5" s="80"/>
      <c r="DA5" s="6"/>
      <c r="DB5" s="81" t="s">
        <v>58</v>
      </c>
      <c r="DD5" s="79" t="s">
        <v>57</v>
      </c>
      <c r="DE5" s="80"/>
      <c r="DF5" s="80"/>
      <c r="DG5" s="6"/>
      <c r="DH5" s="81" t="s">
        <v>58</v>
      </c>
      <c r="DJ5" s="79" t="s">
        <v>57</v>
      </c>
      <c r="DK5" s="80"/>
      <c r="DL5" s="80"/>
      <c r="DM5" s="6"/>
      <c r="DN5" s="81" t="s">
        <v>58</v>
      </c>
      <c r="DP5" s="79" t="s">
        <v>57</v>
      </c>
      <c r="DQ5" s="80"/>
      <c r="DR5" s="80"/>
      <c r="DS5" s="6"/>
      <c r="DT5" s="81" t="s">
        <v>58</v>
      </c>
      <c r="DV5" s="79" t="s">
        <v>57</v>
      </c>
      <c r="DW5" s="80"/>
      <c r="DX5" s="80"/>
      <c r="DY5" s="6"/>
      <c r="DZ5" s="81" t="s">
        <v>58</v>
      </c>
      <c r="EB5" s="79" t="s">
        <v>57</v>
      </c>
      <c r="EC5" s="80"/>
      <c r="ED5" s="80"/>
      <c r="EE5" s="6"/>
      <c r="EF5" s="81" t="s">
        <v>58</v>
      </c>
      <c r="EH5" s="79" t="s">
        <v>57</v>
      </c>
      <c r="EI5" s="80"/>
      <c r="EJ5" s="80"/>
      <c r="EK5" s="6"/>
      <c r="EL5" s="81" t="s">
        <v>58</v>
      </c>
      <c r="EN5" s="79" t="s">
        <v>57</v>
      </c>
      <c r="EO5" s="80"/>
      <c r="EP5" s="80"/>
      <c r="EQ5" s="6"/>
      <c r="ER5" s="81" t="s">
        <v>58</v>
      </c>
      <c r="ET5" s="79" t="s">
        <v>57</v>
      </c>
      <c r="EU5" s="80"/>
      <c r="EV5" s="80"/>
      <c r="EW5" s="6"/>
      <c r="EX5" s="81" t="s">
        <v>58</v>
      </c>
      <c r="EZ5" s="79" t="s">
        <v>57</v>
      </c>
      <c r="FA5" s="80"/>
      <c r="FB5" s="80"/>
      <c r="FC5" s="6"/>
      <c r="FD5" s="81" t="s">
        <v>58</v>
      </c>
      <c r="FF5" s="79" t="s">
        <v>57</v>
      </c>
      <c r="FG5" s="80"/>
      <c r="FH5" s="80"/>
      <c r="FI5" s="6"/>
      <c r="FJ5" s="81" t="s">
        <v>58</v>
      </c>
      <c r="FL5" s="79" t="s">
        <v>57</v>
      </c>
      <c r="FM5" s="80"/>
      <c r="FN5" s="80"/>
      <c r="FO5" s="6"/>
      <c r="FP5" s="81" t="s">
        <v>58</v>
      </c>
      <c r="FR5" s="79" t="s">
        <v>57</v>
      </c>
      <c r="FS5" s="80"/>
      <c r="FT5" s="80"/>
      <c r="FU5" s="6"/>
      <c r="FV5" s="81" t="s">
        <v>58</v>
      </c>
      <c r="FX5" s="79" t="s">
        <v>57</v>
      </c>
      <c r="FY5" s="80"/>
      <c r="FZ5" s="80"/>
      <c r="GA5" s="6"/>
      <c r="GB5" s="81" t="s">
        <v>58</v>
      </c>
      <c r="GD5" s="79" t="s">
        <v>57</v>
      </c>
      <c r="GE5" s="80"/>
      <c r="GF5" s="80"/>
      <c r="GG5" s="6"/>
      <c r="GH5" s="81" t="s">
        <v>58</v>
      </c>
      <c r="GJ5" s="79" t="s">
        <v>57</v>
      </c>
      <c r="GK5" s="80"/>
      <c r="GL5" s="80"/>
      <c r="GM5" s="6"/>
      <c r="GN5" s="81" t="s">
        <v>58</v>
      </c>
      <c r="GP5" s="79" t="s">
        <v>57</v>
      </c>
      <c r="GQ5" s="80"/>
      <c r="GR5" s="80"/>
      <c r="GS5" s="6"/>
      <c r="GT5" s="81" t="s">
        <v>58</v>
      </c>
    </row>
    <row r="6" spans="2:202" ht="12" thickBot="1">
      <c r="B6" s="35"/>
      <c r="C6" s="97"/>
      <c r="D6" s="132"/>
      <c r="E6" s="105"/>
      <c r="F6" s="83">
        <f ca="1">_xll.RiskOutput(F2)+I109</f>
        <v>0</v>
      </c>
      <c r="G6" s="106"/>
      <c r="H6" s="106"/>
      <c r="I6" s="82"/>
      <c r="J6" s="83">
        <f ca="1">_xll.RiskOutput(J2)+J109</f>
        <v>0</v>
      </c>
      <c r="L6" s="83">
        <f ca="1">_xll.RiskOutput(L2)+O109</f>
        <v>0</v>
      </c>
      <c r="M6" s="106"/>
      <c r="N6" s="106"/>
      <c r="O6" s="82"/>
      <c r="P6" s="83">
        <f ca="1">_xll.RiskOutput(P2)+P109</f>
        <v>0</v>
      </c>
      <c r="R6" s="83">
        <f ca="1">_xll.RiskOutput(R2)+U109</f>
        <v>0</v>
      </c>
      <c r="S6" s="106"/>
      <c r="T6" s="106"/>
      <c r="U6" s="82"/>
      <c r="V6" s="83">
        <f ca="1">_xll.RiskOutput(V2)+V109</f>
        <v>0</v>
      </c>
      <c r="X6" s="83">
        <f ca="1">_xll.RiskOutput(X2)+AA109</f>
        <v>0</v>
      </c>
      <c r="Y6" s="106"/>
      <c r="Z6" s="106"/>
      <c r="AA6" s="82"/>
      <c r="AB6" s="83">
        <f ca="1">_xll.RiskOutput(AB2)+AB109</f>
        <v>0</v>
      </c>
      <c r="AD6" s="83">
        <f ca="1">_xll.RiskOutput(AD2)+AG109</f>
        <v>0</v>
      </c>
      <c r="AE6" s="106"/>
      <c r="AF6" s="106"/>
      <c r="AG6" s="82"/>
      <c r="AH6" s="83">
        <f ca="1">_xll.RiskOutput(AH2)+AH109</f>
        <v>0</v>
      </c>
      <c r="AI6" s="106"/>
      <c r="AJ6" s="83">
        <f ca="1">_xll.RiskOutput(AJ2)+AM109</f>
        <v>0</v>
      </c>
      <c r="AK6" s="106"/>
      <c r="AL6" s="106"/>
      <c r="AM6" s="82"/>
      <c r="AN6" s="83">
        <f ca="1">_xll.RiskOutput(AN2)+AN109</f>
        <v>0</v>
      </c>
      <c r="AP6" s="83">
        <f ca="1">_xll.RiskOutput(AP2)+AS109</f>
        <v>0</v>
      </c>
      <c r="AQ6" s="106"/>
      <c r="AR6" s="106"/>
      <c r="AS6" s="82"/>
      <c r="AT6" s="83">
        <f ca="1">_xll.RiskOutput(AT2)+AT109</f>
        <v>0</v>
      </c>
      <c r="AV6" s="83">
        <f ca="1">_xll.RiskOutput(AV2)+AY109</f>
        <v>0</v>
      </c>
      <c r="AW6" s="106"/>
      <c r="AX6" s="106"/>
      <c r="AY6" s="82"/>
      <c r="AZ6" s="83">
        <f ca="1">_xll.RiskOutput(AZ2)+AZ109</f>
        <v>0</v>
      </c>
      <c r="BB6" s="83">
        <f ca="1">_xll.RiskOutput(BB2)+BE109</f>
        <v>0</v>
      </c>
      <c r="BC6" s="106"/>
      <c r="BD6" s="106"/>
      <c r="BE6" s="82"/>
      <c r="BF6" s="83">
        <f ca="1">_xll.RiskOutput(BF2)+BF109</f>
        <v>0</v>
      </c>
      <c r="BH6" s="83">
        <f ca="1">_xll.RiskOutput(BH2)+BK109</f>
        <v>0</v>
      </c>
      <c r="BI6" s="106"/>
      <c r="BJ6" s="106"/>
      <c r="BK6" s="82"/>
      <c r="BL6" s="83">
        <f ca="1">_xll.RiskOutput(BL2)+BL109</f>
        <v>0</v>
      </c>
      <c r="BN6" s="83">
        <f ca="1">_xll.RiskOutput(BN2)+BQ109</f>
        <v>0</v>
      </c>
      <c r="BO6" s="106"/>
      <c r="BP6" s="106"/>
      <c r="BQ6" s="82"/>
      <c r="BR6" s="83">
        <f ca="1">_xll.RiskOutput(BR2)+BR109</f>
        <v>0</v>
      </c>
      <c r="BT6" s="83">
        <f ca="1">_xll.RiskOutput(BT2)+BW109</f>
        <v>0</v>
      </c>
      <c r="BU6" s="106"/>
      <c r="BV6" s="106"/>
      <c r="BW6" s="82"/>
      <c r="BX6" s="83">
        <f ca="1">_xll.RiskOutput(BX2)+BX109</f>
        <v>0</v>
      </c>
      <c r="BZ6" s="83">
        <f ca="1">_xll.RiskOutput(BZ2)+CC109</f>
        <v>0</v>
      </c>
      <c r="CA6" s="106"/>
      <c r="CB6" s="106"/>
      <c r="CC6" s="82"/>
      <c r="CD6" s="83">
        <f ca="1">_xll.RiskOutput(CD2)+CD109</f>
        <v>0</v>
      </c>
      <c r="CF6" s="83">
        <f ca="1">_xll.RiskOutput(CF2)+CI109</f>
        <v>0</v>
      </c>
      <c r="CG6" s="106"/>
      <c r="CH6" s="106"/>
      <c r="CI6" s="82"/>
      <c r="CJ6" s="83">
        <f ca="1">_xll.RiskOutput(CJ2)+CJ109</f>
        <v>0</v>
      </c>
      <c r="CL6" s="83">
        <f ca="1">_xll.RiskOutput(CL2)+CO109</f>
        <v>0</v>
      </c>
      <c r="CM6" s="106"/>
      <c r="CN6" s="106"/>
      <c r="CO6" s="82"/>
      <c r="CP6" s="83">
        <f ca="1">_xll.RiskOutput(CP2)+CP109</f>
        <v>0</v>
      </c>
      <c r="CR6" s="83">
        <f ca="1">_xll.RiskOutput(CR2)+CU109</f>
        <v>0</v>
      </c>
      <c r="CS6" s="106"/>
      <c r="CT6" s="106"/>
      <c r="CU6" s="82"/>
      <c r="CV6" s="83">
        <f ca="1">_xll.RiskOutput(CV2)+CV109</f>
        <v>0</v>
      </c>
      <c r="CX6" s="83">
        <f ca="1">_xll.RiskOutput(CX2)+DA109</f>
        <v>0</v>
      </c>
      <c r="CY6" s="106"/>
      <c r="CZ6" s="106"/>
      <c r="DA6" s="82"/>
      <c r="DB6" s="83">
        <f ca="1">_xll.RiskOutput(DB2)+DB109</f>
        <v>0</v>
      </c>
      <c r="DD6" s="83">
        <f ca="1">_xll.RiskOutput(DD2)+DG109</f>
        <v>0</v>
      </c>
      <c r="DE6" s="106"/>
      <c r="DF6" s="106"/>
      <c r="DG6" s="82"/>
      <c r="DH6" s="83">
        <f ca="1">_xll.RiskOutput(DH2)+DH109</f>
        <v>0</v>
      </c>
      <c r="DJ6" s="83">
        <f ca="1">_xll.RiskOutput(DJ2)+DM109</f>
        <v>0</v>
      </c>
      <c r="DK6" s="106"/>
      <c r="DL6" s="106"/>
      <c r="DM6" s="82"/>
      <c r="DN6" s="83">
        <f ca="1">_xll.RiskOutput(DN2)+DN109</f>
        <v>0</v>
      </c>
      <c r="DP6" s="83">
        <f ca="1">_xll.RiskOutput(DP2)+DS109</f>
        <v>0</v>
      </c>
      <c r="DQ6" s="106"/>
      <c r="DR6" s="106"/>
      <c r="DS6" s="82"/>
      <c r="DT6" s="83">
        <f ca="1">_xll.RiskOutput(DT2)+DT109</f>
        <v>0</v>
      </c>
      <c r="DV6" s="83">
        <f ca="1">_xll.RiskOutput(DV2)+DY109</f>
        <v>0</v>
      </c>
      <c r="DW6" s="106"/>
      <c r="DX6" s="106"/>
      <c r="DY6" s="82"/>
      <c r="DZ6" s="83">
        <f ca="1">_xll.RiskOutput(DZ2)+DZ109</f>
        <v>0</v>
      </c>
      <c r="EB6" s="83">
        <f ca="1">_xll.RiskOutput(EB2)+EE109</f>
        <v>0</v>
      </c>
      <c r="EC6" s="106"/>
      <c r="ED6" s="106"/>
      <c r="EE6" s="82"/>
      <c r="EF6" s="83">
        <f ca="1">_xll.RiskOutput(EF2)+EF109</f>
        <v>0</v>
      </c>
      <c r="EH6" s="83">
        <f ca="1">_xll.RiskOutput(EH2)+EK109</f>
        <v>0</v>
      </c>
      <c r="EI6" s="106"/>
      <c r="EJ6" s="106"/>
      <c r="EK6" s="82"/>
      <c r="EL6" s="83">
        <f ca="1">_xll.RiskOutput(EL2)+EL109</f>
        <v>0</v>
      </c>
      <c r="EN6" s="83">
        <f ca="1">_xll.RiskOutput(EN2)+EQ109</f>
        <v>0</v>
      </c>
      <c r="EO6" s="106"/>
      <c r="EP6" s="106"/>
      <c r="EQ6" s="82"/>
      <c r="ER6" s="83">
        <f ca="1">_xll.RiskOutput(ER2)+ER109</f>
        <v>0</v>
      </c>
      <c r="ET6" s="83">
        <f ca="1">_xll.RiskOutput(ET2)+EW109</f>
        <v>0</v>
      </c>
      <c r="EU6" s="106"/>
      <c r="EV6" s="106"/>
      <c r="EW6" s="82"/>
      <c r="EX6" s="83">
        <f ca="1">_xll.RiskOutput(EX2)+EX109</f>
        <v>0</v>
      </c>
      <c r="EZ6" s="83">
        <f ca="1">_xll.RiskOutput(EZ2)+FC109</f>
        <v>0</v>
      </c>
      <c r="FA6" s="106"/>
      <c r="FB6" s="106"/>
      <c r="FC6" s="82"/>
      <c r="FD6" s="83">
        <f ca="1">_xll.RiskOutput(FD2)+FD109</f>
        <v>0</v>
      </c>
      <c r="FF6" s="83">
        <f ca="1">_xll.RiskOutput(FF2)+FI109</f>
        <v>0</v>
      </c>
      <c r="FG6" s="106"/>
      <c r="FH6" s="106"/>
      <c r="FI6" s="82"/>
      <c r="FJ6" s="83">
        <f ca="1">_xll.RiskOutput(FJ2)+FJ109</f>
        <v>0</v>
      </c>
      <c r="FL6" s="83" t="e">
        <f ca="1">_xll.RiskOutput(FL2)+FO109</f>
        <v>#VALUE!</v>
      </c>
      <c r="FM6" s="106"/>
      <c r="FN6" s="106"/>
      <c r="FO6" s="82"/>
      <c r="FP6" s="83" t="e">
        <f ca="1">_xll.RiskOutput(FP2)+FP109</f>
        <v>#VALUE!</v>
      </c>
      <c r="FR6" s="83" t="e">
        <f ca="1">_xll.RiskOutput(FR2)+FU109</f>
        <v>#VALUE!</v>
      </c>
      <c r="FS6" s="106"/>
      <c r="FT6" s="106"/>
      <c r="FU6" s="82"/>
      <c r="FV6" s="83" t="e">
        <f ca="1">_xll.RiskOutput(FV2)+FV109</f>
        <v>#VALUE!</v>
      </c>
      <c r="FX6" s="83">
        <f ca="1">_xll.RiskOutput(FX2)+GA109</f>
        <v>0</v>
      </c>
      <c r="FY6" s="106"/>
      <c r="FZ6" s="106"/>
      <c r="GA6" s="82"/>
      <c r="GB6" s="83">
        <f ca="1">_xll.RiskOutput(GB2)+GB109</f>
        <v>0</v>
      </c>
      <c r="GD6" s="83" t="e">
        <f ca="1">_xll.RiskOutput(GD2)+GG109</f>
        <v>#VALUE!</v>
      </c>
      <c r="GE6" s="106"/>
      <c r="GF6" s="106"/>
      <c r="GG6" s="82"/>
      <c r="GH6" s="83" t="e">
        <f ca="1">_xll.RiskOutput(GH2)+GH109</f>
        <v>#VALUE!</v>
      </c>
      <c r="GJ6" s="83" t="e">
        <f ca="1">_xll.RiskOutput(GJ2)+GM109</f>
        <v>#VALUE!</v>
      </c>
      <c r="GK6" s="106"/>
      <c r="GL6" s="106"/>
      <c r="GM6" s="82"/>
      <c r="GN6" s="83" t="e">
        <f ca="1">_xll.RiskOutput(GN2)+GN109</f>
        <v>#VALUE!</v>
      </c>
      <c r="GP6" s="83" t="e">
        <f ca="1">_xll.RiskOutput(GP2)+GS109</f>
        <v>#VALUE!</v>
      </c>
      <c r="GQ6" s="106"/>
      <c r="GR6" s="106"/>
      <c r="GS6" s="82"/>
      <c r="GT6" s="83" t="e">
        <f ca="1">_xll.RiskOutput(GT2)+GT109</f>
        <v>#VALUE!</v>
      </c>
    </row>
    <row r="7" spans="2:202" ht="12" thickBot="1">
      <c r="B7" s="35"/>
      <c r="C7" s="85"/>
      <c r="D7" s="85"/>
      <c r="F7" s="85"/>
      <c r="G7" s="85"/>
      <c r="H7" s="85"/>
      <c r="L7" s="85"/>
      <c r="M7" s="85"/>
      <c r="N7" s="85"/>
      <c r="R7" s="85"/>
      <c r="S7" s="85"/>
      <c r="T7" s="85"/>
      <c r="X7" s="85"/>
      <c r="Y7" s="85"/>
      <c r="Z7" s="85"/>
      <c r="AD7" s="85"/>
      <c r="AE7" s="85"/>
      <c r="AF7" s="85"/>
      <c r="AJ7" s="85"/>
      <c r="AK7" s="85"/>
      <c r="AL7" s="85"/>
      <c r="AP7" s="85"/>
      <c r="AQ7" s="85"/>
      <c r="AR7" s="85"/>
      <c r="AV7" s="85"/>
      <c r="AW7" s="85"/>
      <c r="AX7" s="85"/>
      <c r="BB7" s="85"/>
      <c r="BC7" s="85"/>
      <c r="BD7" s="85"/>
      <c r="BH7" s="85"/>
      <c r="BI7" s="85"/>
      <c r="BJ7" s="85"/>
      <c r="BN7" s="85"/>
      <c r="BO7" s="85"/>
      <c r="BP7" s="85"/>
      <c r="BT7" s="85"/>
      <c r="BU7" s="85"/>
      <c r="BV7" s="85"/>
      <c r="BZ7" s="85"/>
      <c r="CA7" s="85"/>
      <c r="CB7" s="85"/>
      <c r="CF7" s="85"/>
      <c r="CG7" s="85"/>
      <c r="CH7" s="85"/>
      <c r="CL7" s="85"/>
      <c r="CM7" s="85"/>
      <c r="CN7" s="85"/>
      <c r="CR7" s="85"/>
      <c r="CS7" s="85"/>
      <c r="CT7" s="85"/>
      <c r="CX7" s="85"/>
      <c r="CY7" s="85"/>
      <c r="CZ7" s="85"/>
      <c r="DD7" s="85"/>
      <c r="DE7" s="85"/>
      <c r="DF7" s="85"/>
      <c r="DJ7" s="85"/>
      <c r="DK7" s="85"/>
      <c r="DL7" s="85"/>
      <c r="DP7" s="85"/>
      <c r="DQ7" s="85"/>
      <c r="DR7" s="85"/>
      <c r="DV7" s="85"/>
      <c r="DW7" s="85"/>
      <c r="DX7" s="85"/>
      <c r="EB7" s="85"/>
      <c r="EC7" s="85"/>
      <c r="ED7" s="85"/>
      <c r="EH7" s="85"/>
      <c r="EI7" s="85"/>
      <c r="EJ7" s="85"/>
      <c r="EN7" s="85"/>
      <c r="EO7" s="85"/>
      <c r="EP7" s="85"/>
      <c r="ET7" s="85"/>
      <c r="EU7" s="85"/>
      <c r="EV7" s="85"/>
      <c r="EZ7" s="85"/>
      <c r="FA7" s="85"/>
      <c r="FB7" s="85"/>
      <c r="FF7" s="85"/>
      <c r="FG7" s="85"/>
      <c r="FH7" s="85"/>
      <c r="FL7" s="85"/>
      <c r="FM7" s="85"/>
      <c r="FN7" s="85"/>
      <c r="FR7" s="85"/>
      <c r="FS7" s="85"/>
      <c r="FT7" s="85"/>
      <c r="FX7" s="85"/>
      <c r="FY7" s="85"/>
      <c r="FZ7" s="85"/>
      <c r="GD7" s="85"/>
      <c r="GE7" s="85"/>
      <c r="GF7" s="85"/>
      <c r="GJ7" s="85"/>
      <c r="GK7" s="85"/>
      <c r="GL7" s="85"/>
      <c r="GP7" s="85"/>
      <c r="GQ7" s="85"/>
      <c r="GR7" s="85"/>
    </row>
    <row r="8" spans="2:202">
      <c r="B8" s="78" t="s">
        <v>59</v>
      </c>
      <c r="C8" s="110" t="s">
        <v>152</v>
      </c>
      <c r="D8" s="18" t="s">
        <v>153</v>
      </c>
      <c r="F8" s="78" t="s">
        <v>60</v>
      </c>
      <c r="G8" s="18" t="s">
        <v>61</v>
      </c>
      <c r="H8" s="18" t="s">
        <v>62</v>
      </c>
      <c r="I8" s="18" t="s">
        <v>63</v>
      </c>
      <c r="J8" s="86" t="s">
        <v>64</v>
      </c>
      <c r="L8" s="78" t="s">
        <v>60</v>
      </c>
      <c r="M8" s="18" t="s">
        <v>61</v>
      </c>
      <c r="N8" s="18" t="s">
        <v>62</v>
      </c>
      <c r="O8" s="18" t="s">
        <v>63</v>
      </c>
      <c r="P8" s="86" t="s">
        <v>64</v>
      </c>
      <c r="R8" s="78" t="s">
        <v>60</v>
      </c>
      <c r="S8" s="18" t="s">
        <v>61</v>
      </c>
      <c r="T8" s="18" t="s">
        <v>62</v>
      </c>
      <c r="U8" s="18" t="s">
        <v>63</v>
      </c>
      <c r="V8" s="86" t="s">
        <v>64</v>
      </c>
      <c r="X8" s="78" t="s">
        <v>60</v>
      </c>
      <c r="Y8" s="18" t="s">
        <v>61</v>
      </c>
      <c r="Z8" s="18" t="s">
        <v>62</v>
      </c>
      <c r="AA8" s="18" t="s">
        <v>63</v>
      </c>
      <c r="AB8" s="86" t="s">
        <v>64</v>
      </c>
      <c r="AD8" s="78" t="s">
        <v>60</v>
      </c>
      <c r="AE8" s="18" t="s">
        <v>61</v>
      </c>
      <c r="AF8" s="18" t="s">
        <v>62</v>
      </c>
      <c r="AG8" s="18" t="s">
        <v>63</v>
      </c>
      <c r="AH8" s="86" t="s">
        <v>64</v>
      </c>
      <c r="AJ8" s="78" t="s">
        <v>60</v>
      </c>
      <c r="AK8" s="18" t="s">
        <v>61</v>
      </c>
      <c r="AL8" s="18" t="s">
        <v>62</v>
      </c>
      <c r="AM8" s="18" t="s">
        <v>63</v>
      </c>
      <c r="AN8" s="86" t="s">
        <v>64</v>
      </c>
      <c r="AP8" s="78" t="s">
        <v>60</v>
      </c>
      <c r="AQ8" s="18" t="s">
        <v>61</v>
      </c>
      <c r="AR8" s="18" t="s">
        <v>62</v>
      </c>
      <c r="AS8" s="18" t="s">
        <v>63</v>
      </c>
      <c r="AT8" s="86" t="s">
        <v>64</v>
      </c>
      <c r="AV8" s="78" t="s">
        <v>60</v>
      </c>
      <c r="AW8" s="18" t="s">
        <v>61</v>
      </c>
      <c r="AX8" s="18" t="s">
        <v>62</v>
      </c>
      <c r="AY8" s="18" t="s">
        <v>63</v>
      </c>
      <c r="AZ8" s="86" t="s">
        <v>64</v>
      </c>
      <c r="BB8" s="78" t="s">
        <v>60</v>
      </c>
      <c r="BC8" s="18" t="s">
        <v>61</v>
      </c>
      <c r="BD8" s="18" t="s">
        <v>62</v>
      </c>
      <c r="BE8" s="18" t="s">
        <v>63</v>
      </c>
      <c r="BF8" s="86" t="s">
        <v>64</v>
      </c>
      <c r="BH8" s="78" t="s">
        <v>60</v>
      </c>
      <c r="BI8" s="18" t="s">
        <v>61</v>
      </c>
      <c r="BJ8" s="18" t="s">
        <v>62</v>
      </c>
      <c r="BK8" s="18" t="s">
        <v>63</v>
      </c>
      <c r="BL8" s="86" t="s">
        <v>64</v>
      </c>
      <c r="BN8" s="78" t="s">
        <v>60</v>
      </c>
      <c r="BO8" s="18" t="s">
        <v>61</v>
      </c>
      <c r="BP8" s="18" t="s">
        <v>62</v>
      </c>
      <c r="BQ8" s="18" t="s">
        <v>63</v>
      </c>
      <c r="BR8" s="86" t="s">
        <v>64</v>
      </c>
      <c r="BT8" s="78" t="s">
        <v>60</v>
      </c>
      <c r="BU8" s="18" t="s">
        <v>61</v>
      </c>
      <c r="BV8" s="18" t="s">
        <v>62</v>
      </c>
      <c r="BW8" s="18" t="s">
        <v>63</v>
      </c>
      <c r="BX8" s="86" t="s">
        <v>64</v>
      </c>
      <c r="BZ8" s="78" t="s">
        <v>60</v>
      </c>
      <c r="CA8" s="18" t="s">
        <v>61</v>
      </c>
      <c r="CB8" s="18" t="s">
        <v>62</v>
      </c>
      <c r="CC8" s="18" t="s">
        <v>63</v>
      </c>
      <c r="CD8" s="86" t="s">
        <v>64</v>
      </c>
      <c r="CF8" s="78" t="s">
        <v>60</v>
      </c>
      <c r="CG8" s="18" t="s">
        <v>61</v>
      </c>
      <c r="CH8" s="18" t="s">
        <v>62</v>
      </c>
      <c r="CI8" s="18" t="s">
        <v>63</v>
      </c>
      <c r="CJ8" s="86" t="s">
        <v>64</v>
      </c>
      <c r="CL8" s="78" t="s">
        <v>60</v>
      </c>
      <c r="CM8" s="18" t="s">
        <v>61</v>
      </c>
      <c r="CN8" s="18" t="s">
        <v>62</v>
      </c>
      <c r="CO8" s="18" t="s">
        <v>63</v>
      </c>
      <c r="CP8" s="86" t="s">
        <v>64</v>
      </c>
      <c r="CR8" s="78" t="s">
        <v>60</v>
      </c>
      <c r="CS8" s="18" t="s">
        <v>61</v>
      </c>
      <c r="CT8" s="18" t="s">
        <v>62</v>
      </c>
      <c r="CU8" s="18" t="s">
        <v>63</v>
      </c>
      <c r="CV8" s="86" t="s">
        <v>64</v>
      </c>
      <c r="CX8" s="78" t="s">
        <v>60</v>
      </c>
      <c r="CY8" s="18" t="s">
        <v>61</v>
      </c>
      <c r="CZ8" s="18" t="s">
        <v>62</v>
      </c>
      <c r="DA8" s="18" t="s">
        <v>63</v>
      </c>
      <c r="DB8" s="86" t="s">
        <v>64</v>
      </c>
      <c r="DD8" s="78" t="s">
        <v>60</v>
      </c>
      <c r="DE8" s="18" t="s">
        <v>61</v>
      </c>
      <c r="DF8" s="18" t="s">
        <v>62</v>
      </c>
      <c r="DG8" s="18" t="s">
        <v>63</v>
      </c>
      <c r="DH8" s="86" t="s">
        <v>64</v>
      </c>
      <c r="DJ8" s="78" t="s">
        <v>60</v>
      </c>
      <c r="DK8" s="18" t="s">
        <v>61</v>
      </c>
      <c r="DL8" s="18" t="s">
        <v>62</v>
      </c>
      <c r="DM8" s="18" t="s">
        <v>63</v>
      </c>
      <c r="DN8" s="86" t="s">
        <v>64</v>
      </c>
      <c r="DP8" s="78" t="s">
        <v>60</v>
      </c>
      <c r="DQ8" s="18" t="s">
        <v>61</v>
      </c>
      <c r="DR8" s="18" t="s">
        <v>62</v>
      </c>
      <c r="DS8" s="18" t="s">
        <v>63</v>
      </c>
      <c r="DT8" s="86" t="s">
        <v>64</v>
      </c>
      <c r="DV8" s="78" t="s">
        <v>60</v>
      </c>
      <c r="DW8" s="18" t="s">
        <v>61</v>
      </c>
      <c r="DX8" s="18" t="s">
        <v>62</v>
      </c>
      <c r="DY8" s="18" t="s">
        <v>63</v>
      </c>
      <c r="DZ8" s="86" t="s">
        <v>64</v>
      </c>
      <c r="EB8" s="78" t="s">
        <v>60</v>
      </c>
      <c r="EC8" s="18" t="s">
        <v>61</v>
      </c>
      <c r="ED8" s="18" t="s">
        <v>62</v>
      </c>
      <c r="EE8" s="18" t="s">
        <v>63</v>
      </c>
      <c r="EF8" s="86" t="s">
        <v>64</v>
      </c>
      <c r="EH8" s="78" t="s">
        <v>60</v>
      </c>
      <c r="EI8" s="18" t="s">
        <v>61</v>
      </c>
      <c r="EJ8" s="18" t="s">
        <v>62</v>
      </c>
      <c r="EK8" s="18" t="s">
        <v>63</v>
      </c>
      <c r="EL8" s="86" t="s">
        <v>64</v>
      </c>
      <c r="EN8" s="78" t="s">
        <v>60</v>
      </c>
      <c r="EO8" s="18" t="s">
        <v>61</v>
      </c>
      <c r="EP8" s="18" t="s">
        <v>62</v>
      </c>
      <c r="EQ8" s="18" t="s">
        <v>63</v>
      </c>
      <c r="ER8" s="86" t="s">
        <v>64</v>
      </c>
      <c r="ET8" s="78" t="s">
        <v>60</v>
      </c>
      <c r="EU8" s="18" t="s">
        <v>61</v>
      </c>
      <c r="EV8" s="18" t="s">
        <v>62</v>
      </c>
      <c r="EW8" s="18" t="s">
        <v>63</v>
      </c>
      <c r="EX8" s="86" t="s">
        <v>64</v>
      </c>
      <c r="EZ8" s="78" t="s">
        <v>60</v>
      </c>
      <c r="FA8" s="18" t="s">
        <v>61</v>
      </c>
      <c r="FB8" s="18" t="s">
        <v>62</v>
      </c>
      <c r="FC8" s="18" t="s">
        <v>63</v>
      </c>
      <c r="FD8" s="86" t="s">
        <v>64</v>
      </c>
      <c r="FF8" s="78" t="s">
        <v>60</v>
      </c>
      <c r="FG8" s="18" t="s">
        <v>61</v>
      </c>
      <c r="FH8" s="18" t="s">
        <v>62</v>
      </c>
      <c r="FI8" s="18" t="s">
        <v>63</v>
      </c>
      <c r="FJ8" s="86" t="s">
        <v>64</v>
      </c>
      <c r="FL8" s="78" t="s">
        <v>60</v>
      </c>
      <c r="FM8" s="18" t="s">
        <v>61</v>
      </c>
      <c r="FN8" s="18" t="s">
        <v>62</v>
      </c>
      <c r="FO8" s="18" t="s">
        <v>63</v>
      </c>
      <c r="FP8" s="86" t="s">
        <v>64</v>
      </c>
      <c r="FR8" s="78" t="s">
        <v>60</v>
      </c>
      <c r="FS8" s="18" t="s">
        <v>61</v>
      </c>
      <c r="FT8" s="18" t="s">
        <v>62</v>
      </c>
      <c r="FU8" s="18" t="s">
        <v>63</v>
      </c>
      <c r="FV8" s="86" t="s">
        <v>64</v>
      </c>
      <c r="FX8" s="78" t="s">
        <v>60</v>
      </c>
      <c r="FY8" s="18" t="s">
        <v>61</v>
      </c>
      <c r="FZ8" s="18" t="s">
        <v>62</v>
      </c>
      <c r="GA8" s="18" t="s">
        <v>63</v>
      </c>
      <c r="GB8" s="86" t="s">
        <v>64</v>
      </c>
      <c r="GD8" s="78" t="s">
        <v>60</v>
      </c>
      <c r="GE8" s="18" t="s">
        <v>61</v>
      </c>
      <c r="GF8" s="18" t="s">
        <v>62</v>
      </c>
      <c r="GG8" s="18" t="s">
        <v>63</v>
      </c>
      <c r="GH8" s="86" t="s">
        <v>64</v>
      </c>
      <c r="GJ8" s="78" t="s">
        <v>60</v>
      </c>
      <c r="GK8" s="18" t="s">
        <v>61</v>
      </c>
      <c r="GL8" s="18" t="s">
        <v>62</v>
      </c>
      <c r="GM8" s="18" t="s">
        <v>63</v>
      </c>
      <c r="GN8" s="86" t="s">
        <v>64</v>
      </c>
      <c r="GP8" s="78" t="s">
        <v>60</v>
      </c>
      <c r="GQ8" s="18" t="s">
        <v>61</v>
      </c>
      <c r="GR8" s="18" t="s">
        <v>62</v>
      </c>
      <c r="GS8" s="18" t="s">
        <v>63</v>
      </c>
      <c r="GT8" s="86" t="s">
        <v>64</v>
      </c>
    </row>
    <row r="9" spans="2:202">
      <c r="B9" s="108">
        <v>1</v>
      </c>
      <c r="C9" s="87">
        <f ca="1">_xll.RiskLoglogistic(LogLogistic_gamma, LogLogistic_beta, LogLogistic_alpha, _xll.RiskTruncate(5,800))</f>
        <v>75.394397511871816</v>
      </c>
      <c r="D9" s="38">
        <f ca="1" xml:space="preserve"> C9*BAF/V</f>
        <v>4.843459541622428</v>
      </c>
      <c r="F9" s="87">
        <f ca="1">$D9*I$3</f>
        <v>1.7486787149557382E-9</v>
      </c>
      <c r="G9" s="37">
        <f ca="1">INT(F9) + _xll.RiskBinomial(1,F9-INT(F9))</f>
        <v>0</v>
      </c>
      <c r="H9" s="30">
        <f t="shared" ref="H9:H40" ca="1" si="0" xml:space="preserve"> MAX(1-EXP((GAMMALN(beta+G9)+GAMMALN(alpha+beta)-GAMMALN(alpha+beta+G9)-GAMMALN(beta))),0)</f>
        <v>0</v>
      </c>
      <c r="I9" s="35">
        <f ca="1">_xll.RiskBinomial(1,H9)</f>
        <v>0</v>
      </c>
      <c r="J9" s="88">
        <f ca="1">IF(I9=1,_xll.RiskBinomial(1,Prob_Illness_Given_Infection),0)</f>
        <v>0</v>
      </c>
      <c r="L9" s="87">
        <f ca="1">$D9*O$3</f>
        <v>8.9317952357924522E-5</v>
      </c>
      <c r="M9" s="37">
        <f ca="1">INT(L9) + _xll.RiskBinomial(1,L9-INT(L9))</f>
        <v>0</v>
      </c>
      <c r="N9" s="30">
        <f t="shared" ref="N9:N72" ca="1" si="1" xml:space="preserve"> MAX(1-EXP((GAMMALN(beta+M9)+GAMMALN(alpha+beta)-GAMMALN(alpha+beta+M9)-GAMMALN(beta))),0)</f>
        <v>0</v>
      </c>
      <c r="O9" s="35">
        <f ca="1">_xll.RiskBinomial(1,N9)</f>
        <v>0</v>
      </c>
      <c r="P9" s="88">
        <f ca="1">IF(O9=1,_xll.RiskBinomial(1,Prob_Illness_Given_Infection),0)</f>
        <v>0</v>
      </c>
      <c r="R9" s="87">
        <f ca="1">$D9*U$3</f>
        <v>9.2333122235594519E-6</v>
      </c>
      <c r="S9" s="37">
        <f ca="1">INT(R9) + _xll.RiskBinomial(1,R9-INT(R9))</f>
        <v>0</v>
      </c>
      <c r="T9" s="30">
        <f t="shared" ref="T9:T72" ca="1" si="2" xml:space="preserve"> MAX(1-EXP((GAMMALN(beta+S9)+GAMMALN(alpha+beta)-GAMMALN(alpha+beta+S9)-GAMMALN(beta))),0)</f>
        <v>0</v>
      </c>
      <c r="U9" s="35">
        <f ca="1">_xll.RiskBinomial(1,T9)</f>
        <v>0</v>
      </c>
      <c r="V9" s="88">
        <f ca="1">IF(U9=1,_xll.RiskBinomial(1,Prob_Illness_Given_Infection),0)</f>
        <v>0</v>
      </c>
      <c r="X9" s="87">
        <f ca="1">$D9*AA$3</f>
        <v>3.7932852273963951E-12</v>
      </c>
      <c r="Y9" s="37">
        <f ca="1">INT(X9) + _xll.RiskBinomial(1,X9-INT(X9))</f>
        <v>0</v>
      </c>
      <c r="Z9" s="30">
        <f t="shared" ref="Z9:Z72" ca="1" si="3" xml:space="preserve"> MAX(1-EXP((GAMMALN(beta+Y9)+GAMMALN(alpha+beta)-GAMMALN(alpha+beta+Y9)-GAMMALN(beta))),0)</f>
        <v>0</v>
      </c>
      <c r="AA9" s="35">
        <f ca="1">_xll.RiskBinomial(1,Z9)</f>
        <v>0</v>
      </c>
      <c r="AB9" s="88">
        <f ca="1">IF(AA9=1,_xll.RiskBinomial(1,Prob_Illness_Given_Infection),0)</f>
        <v>0</v>
      </c>
      <c r="AD9" s="87">
        <f ca="1">$D9*AG$3</f>
        <v>1.911124278643202E-12</v>
      </c>
      <c r="AE9" s="37">
        <f ca="1">INT(AD9) + _xll.RiskBinomial(1,AD9-INT(AD9))</f>
        <v>0</v>
      </c>
      <c r="AF9" s="30">
        <f t="shared" ref="AF9:AF72" ca="1" si="4" xml:space="preserve"> MAX(1-EXP((GAMMALN(beta+AE9)+GAMMALN(alpha+beta)-GAMMALN(alpha+beta+AE9)-GAMMALN(beta))),0)</f>
        <v>0</v>
      </c>
      <c r="AG9" s="35">
        <f ca="1">_xll.RiskBinomial(1,AF9)</f>
        <v>0</v>
      </c>
      <c r="AH9" s="88">
        <f ca="1">IF(AG9=1,_xll.RiskBinomial(1,Prob_Illness_Given_Infection),0)</f>
        <v>0</v>
      </c>
      <c r="AJ9" s="87">
        <f ca="1">$D9*AM$3</f>
        <v>8.87094639178872E-5</v>
      </c>
      <c r="AK9" s="37">
        <f ca="1">INT(AJ9) + _xll.RiskBinomial(1,AJ9-INT(AJ9))</f>
        <v>0</v>
      </c>
      <c r="AL9" s="30">
        <f t="shared" ref="AL9:AL72" ca="1" si="5" xml:space="preserve"> MAX(1-EXP((GAMMALN(beta+AK9)+GAMMALN(alpha+beta)-GAMMALN(alpha+beta+AK9)-GAMMALN(beta))),0)</f>
        <v>0</v>
      </c>
      <c r="AM9" s="35">
        <f ca="1">_xll.RiskBinomial(1,AL9)</f>
        <v>0</v>
      </c>
      <c r="AN9" s="88">
        <f ca="1">IF(AM9=1,_xll.RiskBinomial(1,Prob_Illness_Given_Infection),0)</f>
        <v>0</v>
      </c>
      <c r="AP9" s="87">
        <f ca="1">$D9*AS$3</f>
        <v>2.1573284416939304E-9</v>
      </c>
      <c r="AQ9" s="37">
        <f ca="1">INT(AP9) + _xll.RiskBinomial(1,AP9-INT(AP9))</f>
        <v>0</v>
      </c>
      <c r="AR9" s="30">
        <f t="shared" ref="AR9:AR72" ca="1" si="6" xml:space="preserve"> MAX(1-EXP((GAMMALN(beta+AQ9)+GAMMALN(alpha+beta)-GAMMALN(alpha+beta+AQ9)-GAMMALN(beta))),0)</f>
        <v>0</v>
      </c>
      <c r="AS9" s="35">
        <f ca="1">_xll.RiskBinomial(1,AR9)</f>
        <v>0</v>
      </c>
      <c r="AT9" s="88">
        <f ca="1">IF(AS9=1,_xll.RiskBinomial(1,Prob_Illness_Given_Infection),0)</f>
        <v>0</v>
      </c>
      <c r="AV9" s="87">
        <f ca="1">$D9*AY$3</f>
        <v>5.0048896772236797E-5</v>
      </c>
      <c r="AW9" s="37">
        <f ca="1">INT(AV9) + _xll.RiskBinomial(1,AV9-INT(AV9))</f>
        <v>0</v>
      </c>
      <c r="AX9" s="30">
        <f t="shared" ref="AX9:AX72" ca="1" si="7" xml:space="preserve"> MAX(1-EXP((GAMMALN(beta+AW9)+GAMMALN(alpha+beta)-GAMMALN(alpha+beta+AW9)-GAMMALN(beta))),0)</f>
        <v>0</v>
      </c>
      <c r="AY9" s="35">
        <f ca="1">_xll.RiskBinomial(1,AX9)</f>
        <v>0</v>
      </c>
      <c r="AZ9" s="88">
        <f ca="1">IF(AY9=1,_xll.RiskBinomial(1,Prob_Illness_Given_Infection),0)</f>
        <v>0</v>
      </c>
      <c r="BB9" s="87">
        <f ca="1">$D9*BE$3</f>
        <v>6.8692605209735191E-5</v>
      </c>
      <c r="BC9" s="37">
        <f ca="1">INT(BB9) + _xll.RiskBinomial(1,BB9-INT(BB9))</f>
        <v>0</v>
      </c>
      <c r="BD9" s="30">
        <f t="shared" ref="BD9:BD72" ca="1" si="8" xml:space="preserve"> MAX(1-EXP((GAMMALN(beta+BC9)+GAMMALN(alpha+beta)-GAMMALN(alpha+beta+BC9)-GAMMALN(beta))),0)</f>
        <v>0</v>
      </c>
      <c r="BE9" s="35">
        <f ca="1">_xll.RiskBinomial(1,BD9)</f>
        <v>0</v>
      </c>
      <c r="BF9" s="88">
        <f ca="1">IF(BE9=1,_xll.RiskBinomial(1,Prob_Illness_Given_Infection),0)</f>
        <v>0</v>
      </c>
      <c r="BH9" s="87">
        <f ca="1">$D9*BK$3</f>
        <v>8.6969752569860854E-5</v>
      </c>
      <c r="BI9" s="37">
        <f ca="1">INT(BH9) + _xll.RiskBinomial(1,BH9-INT(BH9))</f>
        <v>0</v>
      </c>
      <c r="BJ9" s="30">
        <f t="shared" ref="BJ9:BJ72" ca="1" si="9" xml:space="preserve"> MAX(1-EXP((GAMMALN(beta+BI9)+GAMMALN(alpha+beta)-GAMMALN(alpha+beta+BI9)-GAMMALN(beta))),0)</f>
        <v>0</v>
      </c>
      <c r="BK9" s="35">
        <f ca="1">_xll.RiskBinomial(1,BJ9)</f>
        <v>0</v>
      </c>
      <c r="BL9" s="88">
        <f ca="1">IF(BK9=1,_xll.RiskBinomial(1,Prob_Illness_Given_Infection),0)</f>
        <v>0</v>
      </c>
      <c r="BN9" s="87">
        <f ca="1">$D9*BQ$3</f>
        <v>6.6188940694873208E-6</v>
      </c>
      <c r="BO9" s="37">
        <f ca="1">INT(BN9) + _xll.RiskBinomial(1,BN9-INT(BN9))</f>
        <v>0</v>
      </c>
      <c r="BP9" s="30">
        <f t="shared" ref="BP9:BP72" ca="1" si="10" xml:space="preserve"> MAX(1-EXP((GAMMALN(beta+BO9)+GAMMALN(alpha+beta)-GAMMALN(alpha+beta+BO9)-GAMMALN(beta))),0)</f>
        <v>0</v>
      </c>
      <c r="BQ9" s="35">
        <f ca="1">_xll.RiskBinomial(1,BP9)</f>
        <v>0</v>
      </c>
      <c r="BR9" s="88">
        <f ca="1">IF(BQ9=1,_xll.RiskBinomial(1,Prob_Illness_Given_Infection),0)</f>
        <v>0</v>
      </c>
      <c r="BT9" s="87">
        <f ca="1">$D9*BW$3</f>
        <v>1.990294449284308E-5</v>
      </c>
      <c r="BU9" s="37">
        <f ca="1">INT(BT9) + _xll.RiskBinomial(1,BT9-INT(BT9))</f>
        <v>0</v>
      </c>
      <c r="BV9" s="30">
        <f t="shared" ref="BV9:BV72" ca="1" si="11" xml:space="preserve"> MAX(1-EXP((GAMMALN(beta+BU9)+GAMMALN(alpha+beta)-GAMMALN(alpha+beta+BU9)-GAMMALN(beta))),0)</f>
        <v>0</v>
      </c>
      <c r="BW9" s="35">
        <f ca="1">_xll.RiskBinomial(1,BV9)</f>
        <v>0</v>
      </c>
      <c r="BX9" s="88">
        <f ca="1">IF(BW9=1,_xll.RiskBinomial(1,Prob_Illness_Given_Infection),0)</f>
        <v>0</v>
      </c>
      <c r="BZ9" s="87">
        <f ca="1">$D9*CC$3</f>
        <v>5.456067996212234E-5</v>
      </c>
      <c r="CA9" s="37">
        <f ca="1">INT(BZ9) + _xll.RiskBinomial(1,BZ9-INT(BZ9))</f>
        <v>0</v>
      </c>
      <c r="CB9" s="30">
        <f t="shared" ref="CB9:CB72" ca="1" si="12" xml:space="preserve"> MAX(1-EXP((GAMMALN(beta+CA9)+GAMMALN(alpha+beta)-GAMMALN(alpha+beta+CA9)-GAMMALN(beta))),0)</f>
        <v>0</v>
      </c>
      <c r="CC9" s="35">
        <f ca="1">_xll.RiskBinomial(1,CB9)</f>
        <v>0</v>
      </c>
      <c r="CD9" s="88">
        <f ca="1">IF(CC9=1,_xll.RiskBinomial(1,Prob_Illness_Given_Infection),0)</f>
        <v>0</v>
      </c>
      <c r="CF9" s="87">
        <f ca="1">$D9*CI$3</f>
        <v>1.0352342912343933E-5</v>
      </c>
      <c r="CG9" s="37">
        <f ca="1">INT(CF9) + _xll.RiskBinomial(1,CF9-INT(CF9))</f>
        <v>0</v>
      </c>
      <c r="CH9" s="30">
        <f t="shared" ref="CH9:CH72" ca="1" si="13" xml:space="preserve"> MAX(1-EXP((GAMMALN(beta+CG9)+GAMMALN(alpha+beta)-GAMMALN(alpha+beta+CG9)-GAMMALN(beta))),0)</f>
        <v>0</v>
      </c>
      <c r="CI9" s="35">
        <f ca="1">_xll.RiskBinomial(1,CH9)</f>
        <v>0</v>
      </c>
      <c r="CJ9" s="88">
        <f ca="1">IF(CI9=1,_xll.RiskBinomial(1,Prob_Illness_Given_Infection),0)</f>
        <v>0</v>
      </c>
      <c r="CL9" s="87">
        <f ca="1">$D9*CO$3</f>
        <v>1.9977123624196368E-5</v>
      </c>
      <c r="CM9" s="37">
        <f ca="1">INT(CL9) + _xll.RiskBinomial(1,CL9-INT(CL9))</f>
        <v>0</v>
      </c>
      <c r="CN9" s="30">
        <f t="shared" ref="CN9:CN72" ca="1" si="14" xml:space="preserve"> MAX(1-EXP((GAMMALN(beta+CM9)+GAMMALN(alpha+beta)-GAMMALN(alpha+beta+CM9)-GAMMALN(beta))),0)</f>
        <v>0</v>
      </c>
      <c r="CO9" s="35">
        <f ca="1">_xll.RiskBinomial(1,CN9)</f>
        <v>0</v>
      </c>
      <c r="CP9" s="88">
        <f ca="1">IF(CO9=1,_xll.RiskBinomial(1,Prob_Illness_Given_Infection),0)</f>
        <v>0</v>
      </c>
      <c r="CR9" s="87">
        <f ca="1">$D9*CU$3</f>
        <v>1.3767628956136366E-7</v>
      </c>
      <c r="CS9" s="37">
        <f ca="1">INT(CR9) + _xll.RiskBinomial(1,CR9-INT(CR9))</f>
        <v>0</v>
      </c>
      <c r="CT9" s="30">
        <f t="shared" ref="CT9:CT72" ca="1" si="15" xml:space="preserve"> MAX(1-EXP((GAMMALN(beta+CS9)+GAMMALN(alpha+beta)-GAMMALN(alpha+beta+CS9)-GAMMALN(beta))),0)</f>
        <v>0</v>
      </c>
      <c r="CU9" s="35">
        <f ca="1">_xll.RiskBinomial(1,CT9)</f>
        <v>0</v>
      </c>
      <c r="CV9" s="88">
        <f ca="1">IF(CU9=1,_xll.RiskBinomial(1,Prob_Illness_Given_Infection),0)</f>
        <v>0</v>
      </c>
      <c r="CX9" s="87">
        <f ca="1">$D9*DA$3</f>
        <v>1.4015289762184465E-9</v>
      </c>
      <c r="CY9" s="37">
        <f ca="1">INT(CX9) + _xll.RiskBinomial(1,CX9-INT(CX9))</f>
        <v>0</v>
      </c>
      <c r="CZ9" s="30">
        <f t="shared" ref="CZ9:CZ72" ca="1" si="16" xml:space="preserve"> MAX(1-EXP((GAMMALN(beta+CY9)+GAMMALN(alpha+beta)-GAMMALN(alpha+beta+CY9)-GAMMALN(beta))),0)</f>
        <v>0</v>
      </c>
      <c r="DA9" s="35">
        <f ca="1">_xll.RiskBinomial(1,CZ9)</f>
        <v>0</v>
      </c>
      <c r="DB9" s="88">
        <f ca="1">IF(DA9=1,_xll.RiskBinomial(1,Prob_Illness_Given_Infection),0)</f>
        <v>0</v>
      </c>
      <c r="DD9" s="87">
        <f ca="1">$D9*DG$3</f>
        <v>1.4015289762184465E-9</v>
      </c>
      <c r="DE9" s="37">
        <f ca="1">INT(DD9) + _xll.RiskBinomial(1,DD9-INT(DD9))</f>
        <v>0</v>
      </c>
      <c r="DF9" s="30">
        <f t="shared" ref="DF9:DF72" ca="1" si="17" xml:space="preserve"> MAX(1-EXP((GAMMALN(beta+DE9)+GAMMALN(alpha+beta)-GAMMALN(alpha+beta+DE9)-GAMMALN(beta))),0)</f>
        <v>0</v>
      </c>
      <c r="DG9" s="35">
        <f ca="1">_xll.RiskBinomial(1,DF9)</f>
        <v>0</v>
      </c>
      <c r="DH9" s="88">
        <f ca="1">IF(DG9=1,_xll.RiskBinomial(1,Prob_Illness_Given_Infection),0)</f>
        <v>0</v>
      </c>
      <c r="DJ9" s="87">
        <f ca="1">$D9*DM$3</f>
        <v>2.2885023519920161E-6</v>
      </c>
      <c r="DK9" s="37">
        <f ca="1">INT(DJ9) + _xll.RiskBinomial(1,DJ9-INT(DJ9))</f>
        <v>0</v>
      </c>
      <c r="DL9" s="30">
        <f t="shared" ref="DL9:DL72" ca="1" si="18" xml:space="preserve"> MAX(1-EXP((GAMMALN(beta+DK9)+GAMMALN(alpha+beta)-GAMMALN(alpha+beta+DK9)-GAMMALN(beta))),0)</f>
        <v>0</v>
      </c>
      <c r="DM9" s="35">
        <f ca="1">_xll.RiskBinomial(1,DL9)</f>
        <v>0</v>
      </c>
      <c r="DN9" s="88">
        <f ca="1">IF(DM9=1,_xll.RiskBinomial(1,Prob_Illness_Given_Infection),0)</f>
        <v>0</v>
      </c>
      <c r="DP9" s="87">
        <f ca="1">$D9*DS$3</f>
        <v>5.4099016150443846E-10</v>
      </c>
      <c r="DQ9" s="37">
        <f ca="1">INT(DP9) + _xll.RiskBinomial(1,DP9-INT(DP9))</f>
        <v>0</v>
      </c>
      <c r="DR9" s="30">
        <f t="shared" ref="DR9:DR72" ca="1" si="19" xml:space="preserve"> MAX(1-EXP((GAMMALN(beta+DQ9)+GAMMALN(alpha+beta)-GAMMALN(alpha+beta+DQ9)-GAMMALN(beta))),0)</f>
        <v>0</v>
      </c>
      <c r="DS9" s="35">
        <f ca="1">_xll.RiskBinomial(1,DR9)</f>
        <v>0</v>
      </c>
      <c r="DT9" s="88">
        <f ca="1">IF(DS9=1,_xll.RiskBinomial(1,Prob_Illness_Given_Infection),0)</f>
        <v>0</v>
      </c>
      <c r="DV9" s="87">
        <f ca="1">$D9*DY$3</f>
        <v>7.6160917753589195E-9</v>
      </c>
      <c r="DW9" s="37">
        <f ca="1">INT(DV9) + _xll.RiskBinomial(1,DV9-INT(DV9))</f>
        <v>0</v>
      </c>
      <c r="DX9" s="30">
        <f t="shared" ref="DX9:DX72" ca="1" si="20" xml:space="preserve"> MAX(1-EXP((GAMMALN(beta+DW9)+GAMMALN(alpha+beta)-GAMMALN(alpha+beta+DW9)-GAMMALN(beta))),0)</f>
        <v>0</v>
      </c>
      <c r="DY9" s="35">
        <f ca="1">_xll.RiskBinomial(1,DX9)</f>
        <v>0</v>
      </c>
      <c r="DZ9" s="88">
        <f ca="1">IF(DY9=1,_xll.RiskBinomial(1,Prob_Illness_Given_Infection),0)</f>
        <v>0</v>
      </c>
      <c r="EB9" s="87">
        <f ca="1">$D9*EE$3</f>
        <v>1.9111242786425602E-12</v>
      </c>
      <c r="EC9" s="37">
        <f ca="1">INT(EB9) + _xll.RiskBinomial(1,EB9-INT(EB9))</f>
        <v>0</v>
      </c>
      <c r="ED9" s="30">
        <f t="shared" ref="ED9:ED72" ca="1" si="21" xml:space="preserve"> MAX(1-EXP((GAMMALN(beta+EC9)+GAMMALN(alpha+beta)-GAMMALN(alpha+beta+EC9)-GAMMALN(beta))),0)</f>
        <v>0</v>
      </c>
      <c r="EE9" s="35">
        <f ca="1">_xll.RiskBinomial(1,ED9)</f>
        <v>0</v>
      </c>
      <c r="EF9" s="88">
        <f ca="1">IF(EE9=1,_xll.RiskBinomial(1,Prob_Illness_Given_Infection),0)</f>
        <v>0</v>
      </c>
      <c r="EH9" s="87">
        <f ca="1">$D9*EK$3</f>
        <v>1.9111242786405956E-12</v>
      </c>
      <c r="EI9" s="37">
        <f ca="1">INT(EH9) + _xll.RiskBinomial(1,EH9-INT(EH9))</f>
        <v>0</v>
      </c>
      <c r="EJ9" s="30">
        <f t="shared" ref="EJ9:EJ72" ca="1" si="22" xml:space="preserve"> MAX(1-EXP((GAMMALN(beta+EI9)+GAMMALN(alpha+beta)-GAMMALN(alpha+beta+EI9)-GAMMALN(beta))),0)</f>
        <v>0</v>
      </c>
      <c r="EK9" s="35">
        <f ca="1">_xll.RiskBinomial(1,EJ9)</f>
        <v>0</v>
      </c>
      <c r="EL9" s="88">
        <f ca="1">IF(EK9=1,_xll.RiskBinomial(1,Prob_Illness_Given_Infection),0)</f>
        <v>0</v>
      </c>
      <c r="EN9" s="87">
        <f ca="1">$D9*EQ$3</f>
        <v>1.7437855240903121E-10</v>
      </c>
      <c r="EO9" s="37">
        <f ca="1">INT(EN9) + _xll.RiskBinomial(1,EN9-INT(EN9))</f>
        <v>0</v>
      </c>
      <c r="EP9" s="30">
        <f t="shared" ref="EP9:EP72" ca="1" si="23" xml:space="preserve"> MAX(1-EXP((GAMMALN(beta+EO9)+GAMMALN(alpha+beta)-GAMMALN(alpha+beta+EO9)-GAMMALN(beta))),0)</f>
        <v>0</v>
      </c>
      <c r="EQ9" s="35">
        <f ca="1">_xll.RiskBinomial(1,EP9)</f>
        <v>0</v>
      </c>
      <c r="ER9" s="88">
        <f ca="1">IF(EQ9=1,_xll.RiskBinomial(1,Prob_Illness_Given_Infection),0)</f>
        <v>0</v>
      </c>
      <c r="ET9" s="87">
        <f ca="1">$D9*EW$3</f>
        <v>1.9111242786387733E-12</v>
      </c>
      <c r="EU9" s="37">
        <f ca="1">INT(ET9) + _xll.RiskBinomial(1,ET9-INT(ET9))</f>
        <v>0</v>
      </c>
      <c r="EV9" s="30">
        <f t="shared" ref="EV9:EV72" ca="1" si="24" xml:space="preserve"> MAX(1-EXP((GAMMALN(beta+EU9)+GAMMALN(alpha+beta)-GAMMALN(alpha+beta+EU9)-GAMMALN(beta))),0)</f>
        <v>0</v>
      </c>
      <c r="EW9" s="35">
        <f ca="1">_xll.RiskBinomial(1,EV9)</f>
        <v>0</v>
      </c>
      <c r="EX9" s="88">
        <f ca="1">IF(EW9=1,_xll.RiskBinomial(1,Prob_Illness_Given_Infection),0)</f>
        <v>0</v>
      </c>
      <c r="EZ9" s="87">
        <f ca="1">$D9*FC$3</f>
        <v>1.4414088132041466E-5</v>
      </c>
      <c r="FA9" s="37">
        <f ca="1">INT(EZ9) + _xll.RiskBinomial(1,EZ9-INT(EZ9))</f>
        <v>0</v>
      </c>
      <c r="FB9" s="30">
        <f t="shared" ref="FB9:FB72" ca="1" si="25" xml:space="preserve"> MAX(1-EXP((GAMMALN(beta+FA9)+GAMMALN(alpha+beta)-GAMMALN(alpha+beta+FA9)-GAMMALN(beta))),0)</f>
        <v>0</v>
      </c>
      <c r="FC9" s="35">
        <f ca="1">_xll.RiskBinomial(1,FB9)</f>
        <v>0</v>
      </c>
      <c r="FD9" s="88">
        <f ca="1">IF(FC9=1,_xll.RiskBinomial(1,Prob_Illness_Given_Infection),0)</f>
        <v>0</v>
      </c>
      <c r="FF9" s="87">
        <f ca="1">$D9*FI$3</f>
        <v>1.0040691763743459E-4</v>
      </c>
      <c r="FG9" s="37">
        <f ca="1">INT(FF9) + _xll.RiskBinomial(1,FF9-INT(FF9))</f>
        <v>0</v>
      </c>
      <c r="FH9" s="30">
        <f t="shared" ref="FH9:FH72" ca="1" si="26" xml:space="preserve"> MAX(1-EXP((GAMMALN(beta+FG9)+GAMMALN(alpha+beta)-GAMMALN(alpha+beta+FG9)-GAMMALN(beta))),0)</f>
        <v>0</v>
      </c>
      <c r="FI9" s="35">
        <f ca="1">_xll.RiskBinomial(1,FH9)</f>
        <v>0</v>
      </c>
      <c r="FJ9" s="88">
        <f ca="1">IF(FI9=1,_xll.RiskBinomial(1,Prob_Illness_Given_Infection),0)</f>
        <v>0</v>
      </c>
      <c r="FL9" s="87" t="e">
        <f ca="1">$D9*FO$3</f>
        <v>#NAME?</v>
      </c>
      <c r="FM9" s="37" t="e">
        <f ca="1">INT(FL9) + _xll.RiskBinomial(1,FL9-INT(FL9))</f>
        <v>#NAME?</v>
      </c>
      <c r="FN9" s="30" t="e">
        <f t="shared" ref="FN9:FN72" ca="1" si="27" xml:space="preserve"> MAX(1-EXP((GAMMALN(beta+FM9)+GAMMALN(alpha+beta)-GAMMALN(alpha+beta+FM9)-GAMMALN(beta))),0)</f>
        <v>#NAME?</v>
      </c>
      <c r="FO9" s="35" t="e">
        <f ca="1">_xll.RiskBinomial(1,FN9)</f>
        <v>#VALUE!</v>
      </c>
      <c r="FP9" s="88" t="e">
        <f ca="1">IF(FO9=1,_xll.RiskBinomial(1,Prob_Illness_Given_Infection),0)</f>
        <v>#VALUE!</v>
      </c>
      <c r="FR9" s="87" t="e">
        <f ca="1">$D9*FU$3</f>
        <v>#NAME?</v>
      </c>
      <c r="FS9" s="37" t="e">
        <f ca="1">INT(FR9) + _xll.RiskBinomial(1,FR9-INT(FR9))</f>
        <v>#NAME?</v>
      </c>
      <c r="FT9" s="30" t="e">
        <f t="shared" ref="FT9:FT72" ca="1" si="28" xml:space="preserve"> MAX(1-EXP((GAMMALN(beta+FS9)+GAMMALN(alpha+beta)-GAMMALN(alpha+beta+FS9)-GAMMALN(beta))),0)</f>
        <v>#NAME?</v>
      </c>
      <c r="FU9" s="35" t="e">
        <f ca="1">_xll.RiskBinomial(1,FT9)</f>
        <v>#VALUE!</v>
      </c>
      <c r="FV9" s="88" t="e">
        <f ca="1">IF(FU9=1,_xll.RiskBinomial(1,Prob_Illness_Given_Infection),0)</f>
        <v>#VALUE!</v>
      </c>
      <c r="FX9" s="87">
        <f ca="1">$D9*GA$3</f>
        <v>2.0177020521551431E-7</v>
      </c>
      <c r="FY9" s="37">
        <f ca="1">INT(FX9) + _xll.RiskBinomial(1,FX9-INT(FX9))</f>
        <v>0</v>
      </c>
      <c r="FZ9" s="30">
        <f t="shared" ref="FZ9:FZ72" ca="1" si="29" xml:space="preserve"> MAX(1-EXP((GAMMALN(beta+FY9)+GAMMALN(alpha+beta)-GAMMALN(alpha+beta+FY9)-GAMMALN(beta))),0)</f>
        <v>0</v>
      </c>
      <c r="GA9" s="35">
        <f ca="1">_xll.RiskBinomial(1,FZ9)</f>
        <v>0</v>
      </c>
      <c r="GB9" s="88">
        <f ca="1">IF(GA9=1,_xll.RiskBinomial(1,Prob_Illness_Given_Infection),0)</f>
        <v>0</v>
      </c>
      <c r="GD9" s="87" t="e">
        <f ca="1">$D9*GG$3</f>
        <v>#NAME?</v>
      </c>
      <c r="GE9" s="37" t="e">
        <f ca="1">INT(GD9) + _xll.RiskBinomial(1,GD9-INT(GD9))</f>
        <v>#NAME?</v>
      </c>
      <c r="GF9" s="30" t="e">
        <f t="shared" ref="GF9:GF72" ca="1" si="30" xml:space="preserve"> MAX(1-EXP((GAMMALN(beta+GE9)+GAMMALN(alpha+beta)-GAMMALN(alpha+beta+GE9)-GAMMALN(beta))),0)</f>
        <v>#NAME?</v>
      </c>
      <c r="GG9" s="35" t="e">
        <f ca="1">_xll.RiskBinomial(1,GF9)</f>
        <v>#VALUE!</v>
      </c>
      <c r="GH9" s="88" t="e">
        <f ca="1">IF(GG9=1,_xll.RiskBinomial(1,Prob_Illness_Given_Infection),0)</f>
        <v>#VALUE!</v>
      </c>
      <c r="GJ9" s="87" t="e">
        <f ca="1">$D9*GM$3</f>
        <v>#NAME?</v>
      </c>
      <c r="GK9" s="37" t="e">
        <f ca="1">INT(GJ9) + _xll.RiskBinomial(1,GJ9-INT(GJ9))</f>
        <v>#NAME?</v>
      </c>
      <c r="GL9" s="30" t="e">
        <f t="shared" ref="GL9:GL72" ca="1" si="31" xml:space="preserve"> MAX(1-EXP((GAMMALN(beta+GK9)+GAMMALN(alpha+beta)-GAMMALN(alpha+beta+GK9)-GAMMALN(beta))),0)</f>
        <v>#NAME?</v>
      </c>
      <c r="GM9" s="35" t="e">
        <f ca="1">_xll.RiskBinomial(1,GL9)</f>
        <v>#VALUE!</v>
      </c>
      <c r="GN9" s="88" t="e">
        <f ca="1">IF(GM9=1,_xll.RiskBinomial(1,Prob_Illness_Given_Infection),0)</f>
        <v>#VALUE!</v>
      </c>
      <c r="GP9" s="87" t="e">
        <f ca="1">$D9*GS$3</f>
        <v>#NAME?</v>
      </c>
      <c r="GQ9" s="37" t="e">
        <f ca="1">INT(GP9) + _xll.RiskBinomial(1,GP9-INT(GP9))</f>
        <v>#NAME?</v>
      </c>
      <c r="GR9" s="30" t="e">
        <f t="shared" ref="GR9:GR72" ca="1" si="32" xml:space="preserve"> MAX(1-EXP((GAMMALN(beta+GQ9)+GAMMALN(alpha+beta)-GAMMALN(alpha+beta+GQ9)-GAMMALN(beta))),0)</f>
        <v>#NAME?</v>
      </c>
      <c r="GS9" s="35" t="e">
        <f ca="1">_xll.RiskBinomial(1,GR9)</f>
        <v>#VALUE!</v>
      </c>
      <c r="GT9" s="88" t="e">
        <f ca="1">IF(GS9=1,_xll.RiskBinomial(1,Prob_Illness_Given_Infection),0)</f>
        <v>#VALUE!</v>
      </c>
    </row>
    <row r="10" spans="2:202">
      <c r="B10" s="108">
        <v>2</v>
      </c>
      <c r="C10" s="87">
        <f ca="1">_xll.RiskLoglogistic(LogLogistic_gamma, LogLogistic_beta, LogLogistic_alpha, _xll.RiskTruncate(5,800))</f>
        <v>45.275353677514516</v>
      </c>
      <c r="D10" s="38">
        <f t="shared" ref="D10:D40" ca="1" si="33" xml:space="preserve"> C10*BAF/V</f>
        <v>2.9085628509088868</v>
      </c>
      <c r="F10" s="87">
        <f t="shared" ref="F10:F73" ca="1" si="34">$D10*I$3</f>
        <v>1.0501051789092948E-9</v>
      </c>
      <c r="G10" s="37">
        <f ca="1">INT(F10) + _xll.RiskBinomial(1,F10-INT(F10))</f>
        <v>0</v>
      </c>
      <c r="H10" s="30">
        <f t="shared" ca="1" si="0"/>
        <v>0</v>
      </c>
      <c r="I10" s="35">
        <f ca="1">_xll.RiskBinomial(1,H10)</f>
        <v>0</v>
      </c>
      <c r="J10" s="88">
        <f ca="1">IF(I10=1,_xll.RiskBinomial(1,Prob_Illness_Given_Infection),0)</f>
        <v>0</v>
      </c>
      <c r="L10" s="87">
        <f t="shared" ref="L10:L73" ca="1" si="35">$D10*O$3</f>
        <v>5.3636636357756684E-5</v>
      </c>
      <c r="M10" s="37">
        <f ca="1">INT(L10) + _xll.RiskBinomial(1,L10-INT(L10))</f>
        <v>0</v>
      </c>
      <c r="N10" s="30">
        <f t="shared" ca="1" si="1"/>
        <v>0</v>
      </c>
      <c r="O10" s="35">
        <f ca="1">_xll.RiskBinomial(1,N10)</f>
        <v>0</v>
      </c>
      <c r="P10" s="88">
        <f ca="1">IF(O10=1,_xll.RiskBinomial(1,Prob_Illness_Given_Infection),0)</f>
        <v>0</v>
      </c>
      <c r="R10" s="87">
        <f t="shared" ref="R10:R73" ca="1" si="36">$D10*U$3</f>
        <v>5.5447286579980459E-6</v>
      </c>
      <c r="S10" s="37">
        <f ca="1">INT(R10) + _xll.RiskBinomial(1,R10-INT(R10))</f>
        <v>0</v>
      </c>
      <c r="T10" s="30">
        <f t="shared" ca="1" si="2"/>
        <v>0</v>
      </c>
      <c r="U10" s="35">
        <f ca="1">_xll.RiskBinomial(1,T10)</f>
        <v>0</v>
      </c>
      <c r="V10" s="88">
        <f ca="1">IF(U10=1,_xll.RiskBinomial(1,Prob_Illness_Given_Infection),0)</f>
        <v>0</v>
      </c>
      <c r="X10" s="87">
        <f t="shared" ref="X10:X73" ca="1" si="37">$D10*AA$3</f>
        <v>2.2779189958115898E-12</v>
      </c>
      <c r="Y10" s="37">
        <f ca="1">INT(X10) + _xll.RiskBinomial(1,X10-INT(X10))</f>
        <v>0</v>
      </c>
      <c r="Z10" s="30">
        <f t="shared" ca="1" si="3"/>
        <v>0</v>
      </c>
      <c r="AA10" s="35">
        <f ca="1">_xll.RiskBinomial(1,Z10)</f>
        <v>0</v>
      </c>
      <c r="AB10" s="88">
        <f ca="1">IF(AA10=1,_xll.RiskBinomial(1,Prob_Illness_Given_Infection),0)</f>
        <v>0</v>
      </c>
      <c r="AD10" s="87">
        <f t="shared" ref="AD10:AD73" ca="1" si="38">$D10*AG$3</f>
        <v>1.147655933236034E-12</v>
      </c>
      <c r="AE10" s="37">
        <f ca="1">INT(AD10) + _xll.RiskBinomial(1,AD10-INT(AD10))</f>
        <v>0</v>
      </c>
      <c r="AF10" s="30">
        <f t="shared" ca="1" si="4"/>
        <v>0</v>
      </c>
      <c r="AG10" s="35">
        <f ca="1">_xll.RiskBinomial(1,AF10)</f>
        <v>0</v>
      </c>
      <c r="AH10" s="88">
        <f ca="1">IF(AG10=1,_xll.RiskBinomial(1,Prob_Illness_Given_Infection),0)</f>
        <v>0</v>
      </c>
      <c r="AJ10" s="87">
        <f t="shared" ref="AJ10:AJ73" ca="1" si="39">$D10*AM$3</f>
        <v>5.3271230833731773E-5</v>
      </c>
      <c r="AK10" s="37">
        <f ca="1">INT(AJ10) + _xll.RiskBinomial(1,AJ10-INT(AJ10))</f>
        <v>0</v>
      </c>
      <c r="AL10" s="30">
        <f t="shared" ca="1" si="5"/>
        <v>0</v>
      </c>
      <c r="AM10" s="35">
        <f ca="1">_xll.RiskBinomial(1,AL10)</f>
        <v>0</v>
      </c>
      <c r="AN10" s="88">
        <f ca="1">IF(AM10=1,_xll.RiskBinomial(1,Prob_Illness_Given_Infection),0)</f>
        <v>0</v>
      </c>
      <c r="AP10" s="87">
        <f t="shared" ref="AP10:AP73" ca="1" si="40">$D10*AS$3</f>
        <v>1.2955048573851122E-9</v>
      </c>
      <c r="AQ10" s="37">
        <f ca="1">INT(AP10) + _xll.RiskBinomial(1,AP10-INT(AP10))</f>
        <v>0</v>
      </c>
      <c r="AR10" s="30">
        <f t="shared" ca="1" si="6"/>
        <v>0</v>
      </c>
      <c r="AS10" s="35">
        <f ca="1">_xll.RiskBinomial(1,AR10)</f>
        <v>0</v>
      </c>
      <c r="AT10" s="88">
        <f ca="1">IF(AS10=1,_xll.RiskBinomial(1,Prob_Illness_Given_Infection),0)</f>
        <v>0</v>
      </c>
      <c r="AV10" s="87">
        <f t="shared" ref="AV10:AV73" ca="1" si="41">$D10*AY$3</f>
        <v>3.0055038269595933E-5</v>
      </c>
      <c r="AW10" s="37">
        <f ca="1">INT(AV10) + _xll.RiskBinomial(1,AV10-INT(AV10))</f>
        <v>0</v>
      </c>
      <c r="AX10" s="30">
        <f t="shared" ca="1" si="7"/>
        <v>0</v>
      </c>
      <c r="AY10" s="35">
        <f ca="1">_xll.RiskBinomial(1,AX10)</f>
        <v>0</v>
      </c>
      <c r="AZ10" s="88">
        <f ca="1">IF(AY10=1,_xll.RiskBinomial(1,Prob_Illness_Given_Infection),0)</f>
        <v>0</v>
      </c>
      <c r="BB10" s="87">
        <f t="shared" ref="BB10:BB73" ca="1" si="42">$D10*BE$3</f>
        <v>4.1250836912794674E-5</v>
      </c>
      <c r="BC10" s="37">
        <f ca="1">INT(BB10) + _xll.RiskBinomial(1,BB10-INT(BB10))</f>
        <v>0</v>
      </c>
      <c r="BD10" s="30">
        <f t="shared" ca="1" si="8"/>
        <v>0</v>
      </c>
      <c r="BE10" s="35">
        <f ca="1">_xll.RiskBinomial(1,BD10)</f>
        <v>0</v>
      </c>
      <c r="BF10" s="88">
        <f ca="1">IF(BE10=1,_xll.RiskBinomial(1,Prob_Illness_Given_Infection),0)</f>
        <v>0</v>
      </c>
      <c r="BH10" s="87">
        <f t="shared" ref="BH10:BH73" ca="1" si="43">$D10*BK$3</f>
        <v>5.2226510679740538E-5</v>
      </c>
      <c r="BI10" s="37">
        <f ca="1">INT(BH10) + _xll.RiskBinomial(1,BH10-INT(BH10))</f>
        <v>0</v>
      </c>
      <c r="BJ10" s="30">
        <f t="shared" ca="1" si="9"/>
        <v>0</v>
      </c>
      <c r="BK10" s="35">
        <f ca="1">_xll.RiskBinomial(1,BJ10)</f>
        <v>0</v>
      </c>
      <c r="BL10" s="88">
        <f ca="1">IF(BK10=1,_xll.RiskBinomial(1,Prob_Illness_Given_Infection),0)</f>
        <v>0</v>
      </c>
      <c r="BN10" s="87">
        <f t="shared" ref="BN10:BN73" ca="1" si="44">$D10*BQ$3</f>
        <v>3.974735256725866E-6</v>
      </c>
      <c r="BO10" s="37">
        <f ca="1">INT(BN10) + _xll.RiskBinomial(1,BN10-INT(BN10))</f>
        <v>0</v>
      </c>
      <c r="BP10" s="30">
        <f t="shared" ca="1" si="10"/>
        <v>0</v>
      </c>
      <c r="BQ10" s="35">
        <f ca="1">_xll.RiskBinomial(1,BP10)</f>
        <v>0</v>
      </c>
      <c r="BR10" s="88">
        <f ca="1">IF(BQ10=1,_xll.RiskBinomial(1,Prob_Illness_Given_Infection),0)</f>
        <v>0</v>
      </c>
      <c r="BT10" s="87">
        <f t="shared" ref="BT10:BT73" ca="1" si="45">$D10*BW$3</f>
        <v>1.1951986896579664E-5</v>
      </c>
      <c r="BU10" s="37">
        <f ca="1">INT(BT10) + _xll.RiskBinomial(1,BT10-INT(BT10))</f>
        <v>0</v>
      </c>
      <c r="BV10" s="30">
        <f t="shared" ca="1" si="11"/>
        <v>0</v>
      </c>
      <c r="BW10" s="35">
        <f ca="1">_xll.RiskBinomial(1,BV10)</f>
        <v>0</v>
      </c>
      <c r="BX10" s="88">
        <f ca="1">IF(BW10=1,_xll.RiskBinomial(1,Prob_Illness_Given_Infection),0)</f>
        <v>0</v>
      </c>
      <c r="BZ10" s="87">
        <f t="shared" ref="BZ10:BZ73" ca="1" si="46">$D10*CC$3</f>
        <v>3.27644249930082E-5</v>
      </c>
      <c r="CA10" s="37">
        <f ca="1">INT(BZ10) + _xll.RiskBinomial(1,BZ10-INT(BZ10))</f>
        <v>0</v>
      </c>
      <c r="CB10" s="30">
        <f t="shared" ca="1" si="12"/>
        <v>0</v>
      </c>
      <c r="CC10" s="35">
        <f ca="1">_xll.RiskBinomial(1,CB10)</f>
        <v>0</v>
      </c>
      <c r="CD10" s="88">
        <f ca="1">IF(CC10=1,_xll.RiskBinomial(1,Prob_Illness_Given_Infection),0)</f>
        <v>0</v>
      </c>
      <c r="CF10" s="87">
        <f t="shared" ref="CF10:CF73" ca="1" si="47">$D10*CI$3</f>
        <v>6.2167216957132455E-6</v>
      </c>
      <c r="CG10" s="37">
        <f ca="1">INT(CF10) + _xll.RiskBinomial(1,CF10-INT(CF10))</f>
        <v>0</v>
      </c>
      <c r="CH10" s="30">
        <f t="shared" ca="1" si="13"/>
        <v>0</v>
      </c>
      <c r="CI10" s="35">
        <f ca="1">_xll.RiskBinomial(1,CH10)</f>
        <v>0</v>
      </c>
      <c r="CJ10" s="88">
        <f ca="1">IF(CI10=1,_xll.RiskBinomial(1,Prob_Illness_Given_Infection),0)</f>
        <v>0</v>
      </c>
      <c r="CL10" s="87">
        <f t="shared" ref="CL10:CL73" ca="1" si="48">$D10*CO$3</f>
        <v>1.1996532466520481E-5</v>
      </c>
      <c r="CM10" s="37">
        <f ca="1">INT(CL10) + _xll.RiskBinomial(1,CL10-INT(CL10))</f>
        <v>0</v>
      </c>
      <c r="CN10" s="30">
        <f t="shared" ca="1" si="14"/>
        <v>0</v>
      </c>
      <c r="CO10" s="35">
        <f ca="1">_xll.RiskBinomial(1,CN10)</f>
        <v>0</v>
      </c>
      <c r="CP10" s="88">
        <f ca="1">IF(CO10=1,_xll.RiskBinomial(1,Prob_Illness_Given_Infection),0)</f>
        <v>0</v>
      </c>
      <c r="CR10" s="87">
        <f t="shared" ref="CR10:CR73" ca="1" si="49">$D10*CU$3</f>
        <v>8.2676470780433251E-8</v>
      </c>
      <c r="CS10" s="37">
        <f ca="1">INT(CR10) + _xll.RiskBinomial(1,CR10-INT(CR10))</f>
        <v>0</v>
      </c>
      <c r="CT10" s="30">
        <f t="shared" ca="1" si="15"/>
        <v>0</v>
      </c>
      <c r="CU10" s="35">
        <f ca="1">_xll.RiskBinomial(1,CT10)</f>
        <v>0</v>
      </c>
      <c r="CV10" s="88">
        <f ca="1">IF(CU10=1,_xll.RiskBinomial(1,Prob_Illness_Given_Infection),0)</f>
        <v>0</v>
      </c>
      <c r="CX10" s="87">
        <f t="shared" ref="CX10:CX73" ca="1" si="50">$D10*DA$3</f>
        <v>8.4163707359798501E-10</v>
      </c>
      <c r="CY10" s="37">
        <f ca="1">INT(CX10) + _xll.RiskBinomial(1,CX10-INT(CX10))</f>
        <v>0</v>
      </c>
      <c r="CZ10" s="30">
        <f t="shared" ca="1" si="16"/>
        <v>0</v>
      </c>
      <c r="DA10" s="35">
        <f ca="1">_xll.RiskBinomial(1,CZ10)</f>
        <v>0</v>
      </c>
      <c r="DB10" s="88">
        <f ca="1">IF(DA10=1,_xll.RiskBinomial(1,Prob_Illness_Given_Infection),0)</f>
        <v>0</v>
      </c>
      <c r="DD10" s="87">
        <f t="shared" ref="DD10:DD73" ca="1" si="51">$D10*DG$3</f>
        <v>8.4163707359798501E-10</v>
      </c>
      <c r="DE10" s="37">
        <f ca="1">INT(DD10) + _xll.RiskBinomial(1,DD10-INT(DD10))</f>
        <v>0</v>
      </c>
      <c r="DF10" s="30">
        <f t="shared" ca="1" si="17"/>
        <v>0</v>
      </c>
      <c r="DG10" s="35">
        <f ca="1">_xll.RiskBinomial(1,DF10)</f>
        <v>0</v>
      </c>
      <c r="DH10" s="88">
        <f ca="1">IF(DG10=1,_xll.RiskBinomial(1,Prob_Illness_Given_Infection),0)</f>
        <v>0</v>
      </c>
      <c r="DJ10" s="87">
        <f t="shared" ref="DJ10:DJ73" ca="1" si="52">$D10*DM$3</f>
        <v>1.3742765616231258E-6</v>
      </c>
      <c r="DK10" s="37">
        <f ca="1">INT(DJ10) + _xll.RiskBinomial(1,DJ10-INT(DJ10))</f>
        <v>0</v>
      </c>
      <c r="DL10" s="30">
        <f t="shared" ca="1" si="18"/>
        <v>0</v>
      </c>
      <c r="DM10" s="35">
        <f ca="1">_xll.RiskBinomial(1,DL10)</f>
        <v>0</v>
      </c>
      <c r="DN10" s="88">
        <f ca="1">IF(DM10=1,_xll.RiskBinomial(1,Prob_Illness_Given_Infection),0)</f>
        <v>0</v>
      </c>
      <c r="DP10" s="87">
        <f t="shared" ref="DP10:DP73" ca="1" si="53">$D10*DS$3</f>
        <v>3.2487189640732032E-10</v>
      </c>
      <c r="DQ10" s="37">
        <f ca="1">INT(DP10) + _xll.RiskBinomial(1,DP10-INT(DP10))</f>
        <v>0</v>
      </c>
      <c r="DR10" s="30">
        <f t="shared" ca="1" si="19"/>
        <v>0</v>
      </c>
      <c r="DS10" s="35">
        <f ca="1">_xll.RiskBinomial(1,DR10)</f>
        <v>0</v>
      </c>
      <c r="DT10" s="88">
        <f ca="1">IF(DS10=1,_xll.RiskBinomial(1,Prob_Illness_Given_Infection),0)</f>
        <v>0</v>
      </c>
      <c r="DV10" s="87">
        <f t="shared" ref="DV10:DV73" ca="1" si="54">$D10*DY$3</f>
        <v>4.5735659432186326E-9</v>
      </c>
      <c r="DW10" s="37">
        <f ca="1">INT(DV10) + _xll.RiskBinomial(1,DV10-INT(DV10))</f>
        <v>0</v>
      </c>
      <c r="DX10" s="30">
        <f t="shared" ca="1" si="20"/>
        <v>0</v>
      </c>
      <c r="DY10" s="35">
        <f ca="1">_xll.RiskBinomial(1,DX10)</f>
        <v>0</v>
      </c>
      <c r="DZ10" s="88">
        <f ca="1">IF(DY10=1,_xll.RiskBinomial(1,Prob_Illness_Given_Infection),0)</f>
        <v>0</v>
      </c>
      <c r="EB10" s="87">
        <f t="shared" ref="EB10:EB73" ca="1" si="55">$D10*EE$3</f>
        <v>1.1476559332356485E-12</v>
      </c>
      <c r="EC10" s="37">
        <f ca="1">INT(EB10) + _xll.RiskBinomial(1,EB10-INT(EB10))</f>
        <v>0</v>
      </c>
      <c r="ED10" s="30">
        <f t="shared" ca="1" si="21"/>
        <v>0</v>
      </c>
      <c r="EE10" s="35">
        <f ca="1">_xll.RiskBinomial(1,ED10)</f>
        <v>0</v>
      </c>
      <c r="EF10" s="88">
        <f ca="1">IF(EE10=1,_xll.RiskBinomial(1,Prob_Illness_Given_Infection),0)</f>
        <v>0</v>
      </c>
      <c r="EH10" s="87">
        <f t="shared" ref="EH10:EH73" ca="1" si="56">$D10*EK$3</f>
        <v>1.1476559332344689E-12</v>
      </c>
      <c r="EI10" s="37">
        <f ca="1">INT(EH10) + _xll.RiskBinomial(1,EH10-INT(EH10))</f>
        <v>0</v>
      </c>
      <c r="EJ10" s="30">
        <f t="shared" ca="1" si="22"/>
        <v>0</v>
      </c>
      <c r="EK10" s="35">
        <f ca="1">_xll.RiskBinomial(1,EJ10)</f>
        <v>0</v>
      </c>
      <c r="EL10" s="88">
        <f ca="1">IF(EK10=1,_xll.RiskBinomial(1,Prob_Illness_Given_Infection),0)</f>
        <v>0</v>
      </c>
      <c r="EN10" s="87">
        <f t="shared" ref="EN10:EN73" ca="1" si="57">$D10*EQ$3</f>
        <v>1.0471667517269717E-10</v>
      </c>
      <c r="EO10" s="37">
        <f ca="1">INT(EN10) + _xll.RiskBinomial(1,EN10-INT(EN10))</f>
        <v>0</v>
      </c>
      <c r="EP10" s="30">
        <f t="shared" ca="1" si="23"/>
        <v>0</v>
      </c>
      <c r="EQ10" s="35">
        <f ca="1">_xll.RiskBinomial(1,EP10)</f>
        <v>0</v>
      </c>
      <c r="ER10" s="88">
        <f ca="1">IF(EQ10=1,_xll.RiskBinomial(1,Prob_Illness_Given_Infection),0)</f>
        <v>0</v>
      </c>
      <c r="ET10" s="87">
        <f t="shared" ref="ET10:ET73" ca="1" si="58">$D10*EW$3</f>
        <v>1.1476559332333744E-12</v>
      </c>
      <c r="EU10" s="37">
        <f ca="1">INT(ET10) + _xll.RiskBinomial(1,ET10-INT(ET10))</f>
        <v>0</v>
      </c>
      <c r="EV10" s="30">
        <f t="shared" ca="1" si="24"/>
        <v>0</v>
      </c>
      <c r="EW10" s="35">
        <f ca="1">_xll.RiskBinomial(1,EV10)</f>
        <v>0</v>
      </c>
      <c r="EX10" s="88">
        <f ca="1">IF(EW10=1,_xll.RiskBinomial(1,Prob_Illness_Given_Infection),0)</f>
        <v>0</v>
      </c>
      <c r="EZ10" s="87">
        <f t="shared" ref="EZ10:EZ73" ca="1" si="59">$D10*FC$3</f>
        <v>8.6558545416359521E-6</v>
      </c>
      <c r="FA10" s="37">
        <f ca="1">INT(EZ10) + _xll.RiskBinomial(1,EZ10-INT(EZ10))</f>
        <v>0</v>
      </c>
      <c r="FB10" s="30">
        <f t="shared" ca="1" si="25"/>
        <v>0</v>
      </c>
      <c r="FC10" s="35">
        <f ca="1">_xll.RiskBinomial(1,FB10)</f>
        <v>0</v>
      </c>
      <c r="FD10" s="88">
        <f ca="1">IF(FC10=1,_xll.RiskBinomial(1,Prob_Illness_Given_Infection),0)</f>
        <v>0</v>
      </c>
      <c r="FF10" s="87">
        <f t="shared" ref="FF10:FF73" ca="1" si="60">$D10*FI$3</f>
        <v>6.029570973079401E-5</v>
      </c>
      <c r="FG10" s="37">
        <f ca="1">INT(FF10) + _xll.RiskBinomial(1,FF10-INT(FF10))</f>
        <v>0</v>
      </c>
      <c r="FH10" s="30">
        <f t="shared" ca="1" si="26"/>
        <v>0</v>
      </c>
      <c r="FI10" s="35">
        <f ca="1">_xll.RiskBinomial(1,FH10)</f>
        <v>0</v>
      </c>
      <c r="FJ10" s="88">
        <f ca="1">IF(FI10=1,_xll.RiskBinomial(1,Prob_Illness_Given_Infection),0)</f>
        <v>0</v>
      </c>
      <c r="FL10" s="87" t="e">
        <f t="shared" ref="FL10:FL73" ca="1" si="61">$D10*FO$3</f>
        <v>#NAME?</v>
      </c>
      <c r="FM10" s="37" t="e">
        <f ca="1">INT(FL10) + _xll.RiskBinomial(1,FL10-INT(FL10))</f>
        <v>#NAME?</v>
      </c>
      <c r="FN10" s="30" t="e">
        <f t="shared" ca="1" si="27"/>
        <v>#NAME?</v>
      </c>
      <c r="FO10" s="35" t="e">
        <f ca="1">_xll.RiskBinomial(1,FN10)</f>
        <v>#VALUE!</v>
      </c>
      <c r="FP10" s="88" t="e">
        <f ca="1">IF(FO10=1,_xll.RiskBinomial(1,Prob_Illness_Given_Infection),0)</f>
        <v>#VALUE!</v>
      </c>
      <c r="FR10" s="87" t="e">
        <f t="shared" ref="FR10:FR73" ca="1" si="62">$D10*FU$3</f>
        <v>#NAME?</v>
      </c>
      <c r="FS10" s="37" t="e">
        <f ca="1">INT(FR10) + _xll.RiskBinomial(1,FR10-INT(FR10))</f>
        <v>#NAME?</v>
      </c>
      <c r="FT10" s="30" t="e">
        <f t="shared" ca="1" si="28"/>
        <v>#NAME?</v>
      </c>
      <c r="FU10" s="35" t="e">
        <f ca="1">_xll.RiskBinomial(1,FT10)</f>
        <v>#VALUE!</v>
      </c>
      <c r="FV10" s="88" t="e">
        <f ca="1">IF(FU10=1,_xll.RiskBinomial(1,Prob_Illness_Given_Infection),0)</f>
        <v>#VALUE!</v>
      </c>
      <c r="FX10" s="87">
        <f t="shared" ref="FX10:FX73" ca="1" si="63">$D10*GA$3</f>
        <v>1.2116573252380771E-7</v>
      </c>
      <c r="FY10" s="37">
        <f ca="1">INT(FX10) + _xll.RiskBinomial(1,FX10-INT(FX10))</f>
        <v>0</v>
      </c>
      <c r="FZ10" s="30">
        <f t="shared" ca="1" si="29"/>
        <v>0</v>
      </c>
      <c r="GA10" s="35">
        <f ca="1">_xll.RiskBinomial(1,FZ10)</f>
        <v>0</v>
      </c>
      <c r="GB10" s="88">
        <f ca="1">IF(GA10=1,_xll.RiskBinomial(1,Prob_Illness_Given_Infection),0)</f>
        <v>0</v>
      </c>
      <c r="GD10" s="87" t="e">
        <f t="shared" ref="GD10:GD73" ca="1" si="64">$D10*GG$3</f>
        <v>#NAME?</v>
      </c>
      <c r="GE10" s="37" t="e">
        <f ca="1">INT(GD10) + _xll.RiskBinomial(1,GD10-INT(GD10))</f>
        <v>#NAME?</v>
      </c>
      <c r="GF10" s="30" t="e">
        <f t="shared" ca="1" si="30"/>
        <v>#NAME?</v>
      </c>
      <c r="GG10" s="35" t="e">
        <f ca="1">_xll.RiskBinomial(1,GF10)</f>
        <v>#VALUE!</v>
      </c>
      <c r="GH10" s="88" t="e">
        <f ca="1">IF(GG10=1,_xll.RiskBinomial(1,Prob_Illness_Given_Infection),0)</f>
        <v>#VALUE!</v>
      </c>
      <c r="GJ10" s="87" t="e">
        <f t="shared" ref="GJ10:GJ73" ca="1" si="65">$D10*GM$3</f>
        <v>#NAME?</v>
      </c>
      <c r="GK10" s="37" t="e">
        <f ca="1">INT(GJ10) + _xll.RiskBinomial(1,GJ10-INT(GJ10))</f>
        <v>#NAME?</v>
      </c>
      <c r="GL10" s="30" t="e">
        <f t="shared" ca="1" si="31"/>
        <v>#NAME?</v>
      </c>
      <c r="GM10" s="35" t="e">
        <f ca="1">_xll.RiskBinomial(1,GL10)</f>
        <v>#VALUE!</v>
      </c>
      <c r="GN10" s="88" t="e">
        <f ca="1">IF(GM10=1,_xll.RiskBinomial(1,Prob_Illness_Given_Infection),0)</f>
        <v>#VALUE!</v>
      </c>
      <c r="GP10" s="87" t="e">
        <f t="shared" ref="GP10:GP73" ca="1" si="66">$D10*GS$3</f>
        <v>#NAME?</v>
      </c>
      <c r="GQ10" s="37" t="e">
        <f ca="1">INT(GP10) + _xll.RiskBinomial(1,GP10-INT(GP10))</f>
        <v>#NAME?</v>
      </c>
      <c r="GR10" s="30" t="e">
        <f t="shared" ca="1" si="32"/>
        <v>#NAME?</v>
      </c>
      <c r="GS10" s="35" t="e">
        <f ca="1">_xll.RiskBinomial(1,GR10)</f>
        <v>#VALUE!</v>
      </c>
      <c r="GT10" s="88" t="e">
        <f ca="1">IF(GS10=1,_xll.RiskBinomial(1,Prob_Illness_Given_Infection),0)</f>
        <v>#VALUE!</v>
      </c>
    </row>
    <row r="11" spans="2:202">
      <c r="B11" s="108">
        <v>3</v>
      </c>
      <c r="C11" s="87">
        <f ca="1">_xll.RiskLoglogistic(LogLogistic_gamma, LogLogistic_beta, LogLogistic_alpha, _xll.RiskTruncate(5,800))</f>
        <v>130.8271981762621</v>
      </c>
      <c r="D11" s="38">
        <f t="shared" ca="1" si="33"/>
        <v>8.4045534180542738</v>
      </c>
      <c r="E11" s="85"/>
      <c r="F11" s="87">
        <f t="shared" ca="1" si="34"/>
        <v>3.0343731674770946E-9</v>
      </c>
      <c r="G11" s="37">
        <f ca="1">INT(F11) + _xll.RiskBinomial(1,F11-INT(F11))</f>
        <v>0</v>
      </c>
      <c r="H11" s="30">
        <f t="shared" ca="1" si="0"/>
        <v>0</v>
      </c>
      <c r="I11" s="35">
        <f ca="1">_xll.RiskBinomial(1,H11)</f>
        <v>0</v>
      </c>
      <c r="J11" s="88">
        <f ca="1">IF(I11=1,_xll.RiskBinomial(1,Prob_Illness_Given_Infection),0)</f>
        <v>0</v>
      </c>
      <c r="K11" s="85"/>
      <c r="L11" s="87">
        <f t="shared" ca="1" si="35"/>
        <v>1.5498787495434442E-4</v>
      </c>
      <c r="M11" s="37">
        <f ca="1">INT(L11) + _xll.RiskBinomial(1,L11-INT(L11))</f>
        <v>0</v>
      </c>
      <c r="N11" s="30">
        <f t="shared" ca="1" si="1"/>
        <v>0</v>
      </c>
      <c r="O11" s="35">
        <f ca="1">_xll.RiskBinomial(1,N11)</f>
        <v>0</v>
      </c>
      <c r="P11" s="88">
        <f ca="1">IF(O11=1,_xll.RiskBinomial(1,Prob_Illness_Given_Infection),0)</f>
        <v>0</v>
      </c>
      <c r="Q11" s="85"/>
      <c r="R11" s="87">
        <f t="shared" ca="1" si="36"/>
        <v>1.60219911287799E-5</v>
      </c>
      <c r="S11" s="37">
        <f ca="1">INT(R11) + _xll.RiskBinomial(1,R11-INT(R11))</f>
        <v>0</v>
      </c>
      <c r="T11" s="30">
        <f t="shared" ca="1" si="2"/>
        <v>0</v>
      </c>
      <c r="U11" s="35">
        <f ca="1">_xll.RiskBinomial(1,T11)</f>
        <v>0</v>
      </c>
      <c r="V11" s="88">
        <f ca="1">IF(U11=1,_xll.RiskBinomial(1,Prob_Illness_Given_Infection),0)</f>
        <v>0</v>
      </c>
      <c r="W11" s="85"/>
      <c r="X11" s="87">
        <f t="shared" ca="1" si="37"/>
        <v>6.5822513948139489E-12</v>
      </c>
      <c r="Y11" s="37">
        <f ca="1">INT(X11) + _xll.RiskBinomial(1,X11-INT(X11))</f>
        <v>0</v>
      </c>
      <c r="Z11" s="30">
        <f t="shared" ca="1" si="3"/>
        <v>0</v>
      </c>
      <c r="AA11" s="35">
        <f ca="1">_xll.RiskBinomial(1,Z11)</f>
        <v>0</v>
      </c>
      <c r="AB11" s="88">
        <f ca="1">IF(AA11=1,_xll.RiskBinomial(1,Prob_Illness_Given_Infection),0)</f>
        <v>0</v>
      </c>
      <c r="AC11" s="85"/>
      <c r="AD11" s="87">
        <f t="shared" ca="1" si="38"/>
        <v>3.3162548278491139E-12</v>
      </c>
      <c r="AE11" s="37">
        <f ca="1">INT(AD11) + _xll.RiskBinomial(1,AD11-INT(AD11))</f>
        <v>0</v>
      </c>
      <c r="AF11" s="30">
        <f t="shared" ca="1" si="4"/>
        <v>0</v>
      </c>
      <c r="AG11" s="35">
        <f ca="1">_xll.RiskBinomial(1,AF11)</f>
        <v>0</v>
      </c>
      <c r="AH11" s="88">
        <f ca="1">IF(AG11=1,_xll.RiskBinomial(1,Prob_Illness_Given_Infection),0)</f>
        <v>0</v>
      </c>
      <c r="AI11" s="85"/>
      <c r="AJ11" s="87">
        <f t="shared" ca="1" si="39"/>
        <v>1.5393200289541339E-4</v>
      </c>
      <c r="AK11" s="37">
        <f ca="1">INT(AJ11) + _xll.RiskBinomial(1,AJ11-INT(AJ11))</f>
        <v>0</v>
      </c>
      <c r="AL11" s="30">
        <f t="shared" ca="1" si="5"/>
        <v>0</v>
      </c>
      <c r="AM11" s="35">
        <f ca="1">_xll.RiskBinomial(1,AL11)</f>
        <v>0</v>
      </c>
      <c r="AN11" s="88">
        <f ca="1">IF(AM11=1,_xll.RiskBinomial(1,Prob_Illness_Given_Infection),0)</f>
        <v>0</v>
      </c>
      <c r="AO11" s="85"/>
      <c r="AP11" s="87">
        <f t="shared" ca="1" si="40"/>
        <v>3.7434775644746896E-9</v>
      </c>
      <c r="AQ11" s="37">
        <f ca="1">INT(AP11) + _xll.RiskBinomial(1,AP11-INT(AP11))</f>
        <v>0</v>
      </c>
      <c r="AR11" s="30">
        <f t="shared" ca="1" si="6"/>
        <v>0</v>
      </c>
      <c r="AS11" s="35">
        <f ca="1">_xll.RiskBinomial(1,AR11)</f>
        <v>0</v>
      </c>
      <c r="AT11" s="88">
        <f ca="1">IF(AS11=1,_xll.RiskBinomial(1,Prob_Illness_Given_Infection),0)</f>
        <v>0</v>
      </c>
      <c r="AU11" s="85"/>
      <c r="AV11" s="87">
        <f t="shared" ca="1" si="41"/>
        <v>8.6846730693665664E-5</v>
      </c>
      <c r="AW11" s="37">
        <f ca="1">INT(AV11) + _xll.RiskBinomial(1,AV11-INT(AV11))</f>
        <v>0</v>
      </c>
      <c r="AX11" s="30">
        <f t="shared" ca="1" si="7"/>
        <v>0</v>
      </c>
      <c r="AY11" s="35">
        <f ca="1">_xll.RiskBinomial(1,AX11)</f>
        <v>0</v>
      </c>
      <c r="AZ11" s="88">
        <f ca="1">IF(AY11=1,_xll.RiskBinomial(1,Prob_Illness_Given_Infection),0)</f>
        <v>0</v>
      </c>
      <c r="BB11" s="87">
        <f t="shared" ca="1" si="42"/>
        <v>1.1919799576092724E-4</v>
      </c>
      <c r="BC11" s="37">
        <f ca="1">INT(BB11) + _xll.RiskBinomial(1,BB11-INT(BB11))</f>
        <v>0</v>
      </c>
      <c r="BD11" s="30">
        <f t="shared" ca="1" si="8"/>
        <v>0</v>
      </c>
      <c r="BE11" s="35">
        <f ca="1">_xll.RiskBinomial(1,BD11)</f>
        <v>0</v>
      </c>
      <c r="BF11" s="88">
        <f ca="1">IF(BE11=1,_xll.RiskBinomial(1,Prob_Illness_Given_Infection),0)</f>
        <v>0</v>
      </c>
      <c r="BH11" s="87">
        <f t="shared" ca="1" si="43"/>
        <v>1.5091319024077419E-4</v>
      </c>
      <c r="BI11" s="37">
        <f ca="1">INT(BH11) + _xll.RiskBinomial(1,BH11-INT(BH11))</f>
        <v>0</v>
      </c>
      <c r="BJ11" s="30">
        <f t="shared" ca="1" si="9"/>
        <v>0</v>
      </c>
      <c r="BK11" s="35">
        <f ca="1">_xll.RiskBinomial(1,BJ11)</f>
        <v>0</v>
      </c>
      <c r="BL11" s="88">
        <f ca="1">IF(BK11=1,_xll.RiskBinomial(1,Prob_Illness_Given_Infection),0)</f>
        <v>0</v>
      </c>
      <c r="BN11" s="87">
        <f t="shared" ca="1" si="44"/>
        <v>1.1485354279807748E-5</v>
      </c>
      <c r="BO11" s="37">
        <f ca="1">INT(BN11) + _xll.RiskBinomial(1,BN11-INT(BN11))</f>
        <v>0</v>
      </c>
      <c r="BP11" s="30">
        <f t="shared" ca="1" si="10"/>
        <v>0</v>
      </c>
      <c r="BQ11" s="35">
        <f ca="1">_xll.RiskBinomial(1,BP11)</f>
        <v>0</v>
      </c>
      <c r="BR11" s="88">
        <f ca="1">IF(BQ11=1,_xll.RiskBinomial(1,Prob_Illness_Given_Infection),0)</f>
        <v>0</v>
      </c>
      <c r="BT11" s="87">
        <f t="shared" ca="1" si="45"/>
        <v>3.4536338897678925E-5</v>
      </c>
      <c r="BU11" s="37">
        <f ca="1">INT(BT11) + _xll.RiskBinomial(1,BT11-INT(BT11))</f>
        <v>0</v>
      </c>
      <c r="BV11" s="30">
        <f t="shared" ca="1" si="11"/>
        <v>0</v>
      </c>
      <c r="BW11" s="35">
        <f ca="1">_xll.RiskBinomial(1,BV11)</f>
        <v>0</v>
      </c>
      <c r="BX11" s="88">
        <f ca="1">IF(BW11=1,_xll.RiskBinomial(1,Prob_Illness_Given_Infection),0)</f>
        <v>0</v>
      </c>
      <c r="BZ11" s="87">
        <f t="shared" ca="1" si="46"/>
        <v>9.4675746814108016E-5</v>
      </c>
      <c r="CA11" s="37">
        <f ca="1">INT(BZ11) + _xll.RiskBinomial(1,BZ11-INT(BZ11))</f>
        <v>0</v>
      </c>
      <c r="CB11" s="30">
        <f t="shared" ca="1" si="12"/>
        <v>0</v>
      </c>
      <c r="CC11" s="35">
        <f ca="1">_xll.RiskBinomial(1,CB11)</f>
        <v>0</v>
      </c>
      <c r="CD11" s="88">
        <f ca="1">IF(CC11=1,_xll.RiskBinomial(1,Prob_Illness_Given_Infection),0)</f>
        <v>0</v>
      </c>
      <c r="CF11" s="87">
        <f t="shared" ca="1" si="47"/>
        <v>1.7963775326523158E-5</v>
      </c>
      <c r="CG11" s="37">
        <f ca="1">INT(CF11) + _xll.RiskBinomial(1,CF11-INT(CF11))</f>
        <v>0</v>
      </c>
      <c r="CH11" s="30">
        <f t="shared" ca="1" si="13"/>
        <v>0</v>
      </c>
      <c r="CI11" s="35">
        <f ca="1">_xll.RiskBinomial(1,CH11)</f>
        <v>0</v>
      </c>
      <c r="CJ11" s="88">
        <f ca="1">IF(CI11=1,_xll.RiskBinomial(1,Prob_Illness_Given_Infection),0)</f>
        <v>0</v>
      </c>
      <c r="CL11" s="87">
        <f t="shared" ca="1" si="48"/>
        <v>3.4665057320245692E-5</v>
      </c>
      <c r="CM11" s="37">
        <f ca="1">INT(CL11) + _xll.RiskBinomial(1,CL11-INT(CL11))</f>
        <v>0</v>
      </c>
      <c r="CN11" s="30">
        <f t="shared" ca="1" si="14"/>
        <v>0</v>
      </c>
      <c r="CO11" s="35">
        <f ca="1">_xll.RiskBinomial(1,CN11)</f>
        <v>0</v>
      </c>
      <c r="CP11" s="88">
        <f ca="1">IF(CO11=1,_xll.RiskBinomial(1,Prob_Illness_Given_Infection),0)</f>
        <v>0</v>
      </c>
      <c r="CR11" s="87">
        <f t="shared" ca="1" si="49"/>
        <v>2.3890108301191443E-7</v>
      </c>
      <c r="CS11" s="37">
        <f ca="1">INT(CR11) + _xll.RiskBinomial(1,CR11-INT(CR11))</f>
        <v>0</v>
      </c>
      <c r="CT11" s="30">
        <f t="shared" ca="1" si="15"/>
        <v>0</v>
      </c>
      <c r="CU11" s="35">
        <f ca="1">_xll.RiskBinomial(1,CT11)</f>
        <v>0</v>
      </c>
      <c r="CV11" s="88">
        <f ca="1">IF(CU11=1,_xll.RiskBinomial(1,Prob_Illness_Given_Infection),0)</f>
        <v>0</v>
      </c>
      <c r="CX11" s="87">
        <f t="shared" ca="1" si="50"/>
        <v>2.431985865960827E-9</v>
      </c>
      <c r="CY11" s="37">
        <f ca="1">INT(CX11) + _xll.RiskBinomial(1,CX11-INT(CX11))</f>
        <v>0</v>
      </c>
      <c r="CZ11" s="30">
        <f t="shared" ca="1" si="16"/>
        <v>0</v>
      </c>
      <c r="DA11" s="35">
        <f ca="1">_xll.RiskBinomial(1,CZ11)</f>
        <v>0</v>
      </c>
      <c r="DB11" s="88">
        <f ca="1">IF(DA11=1,_xll.RiskBinomial(1,Prob_Illness_Given_Infection),0)</f>
        <v>0</v>
      </c>
      <c r="DD11" s="87">
        <f t="shared" ca="1" si="51"/>
        <v>2.431985865960827E-9</v>
      </c>
      <c r="DE11" s="37">
        <f ca="1">INT(DD11) + _xll.RiskBinomial(1,DD11-INT(DD11))</f>
        <v>0</v>
      </c>
      <c r="DF11" s="30">
        <f t="shared" ca="1" si="17"/>
        <v>0</v>
      </c>
      <c r="DG11" s="35">
        <f ca="1">_xll.RiskBinomial(1,DF11)</f>
        <v>0</v>
      </c>
      <c r="DH11" s="88">
        <f ca="1">IF(DG11=1,_xll.RiskBinomial(1,Prob_Illness_Given_Infection),0)</f>
        <v>0</v>
      </c>
      <c r="DJ11" s="87">
        <f t="shared" ca="1" si="52"/>
        <v>3.9710954740868813E-6</v>
      </c>
      <c r="DK11" s="37">
        <f ca="1">INT(DJ11) + _xll.RiskBinomial(1,DJ11-INT(DJ11))</f>
        <v>0</v>
      </c>
      <c r="DL11" s="30">
        <f t="shared" ca="1" si="18"/>
        <v>0</v>
      </c>
      <c r="DM11" s="35">
        <f ca="1">_xll.RiskBinomial(1,DL11)</f>
        <v>0</v>
      </c>
      <c r="DN11" s="88">
        <f ca="1">IF(DM11=1,_xll.RiskBinomial(1,Prob_Illness_Given_Infection),0)</f>
        <v>0</v>
      </c>
      <c r="DP11" s="87">
        <f t="shared" ca="1" si="53"/>
        <v>9.3874650380228293E-10</v>
      </c>
      <c r="DQ11" s="37">
        <f ca="1">INT(DP11) + _xll.RiskBinomial(1,DP11-INT(DP11))</f>
        <v>0</v>
      </c>
      <c r="DR11" s="30">
        <f t="shared" ca="1" si="19"/>
        <v>0</v>
      </c>
      <c r="DS11" s="35">
        <f ca="1">_xll.RiskBinomial(1,DR11)</f>
        <v>0</v>
      </c>
      <c r="DT11" s="88">
        <f ca="1">IF(DS11=1,_xll.RiskBinomial(1,Prob_Illness_Given_Infection),0)</f>
        <v>0</v>
      </c>
      <c r="DV11" s="87">
        <f t="shared" ca="1" si="54"/>
        <v>1.3215729296949239E-8</v>
      </c>
      <c r="DW11" s="37">
        <f ca="1">INT(DV11) + _xll.RiskBinomial(1,DV11-INT(DV11))</f>
        <v>0</v>
      </c>
      <c r="DX11" s="30">
        <f t="shared" ca="1" si="20"/>
        <v>0</v>
      </c>
      <c r="DY11" s="35">
        <f ca="1">_xll.RiskBinomial(1,DX11)</f>
        <v>0</v>
      </c>
      <c r="DZ11" s="88">
        <f ca="1">IF(DY11=1,_xll.RiskBinomial(1,Prob_Illness_Given_Infection),0)</f>
        <v>0</v>
      </c>
      <c r="EB11" s="87">
        <f t="shared" ca="1" si="55"/>
        <v>3.3162548278479999E-12</v>
      </c>
      <c r="EC11" s="37">
        <f ca="1">INT(EB11) + _xll.RiskBinomial(1,EB11-INT(EB11))</f>
        <v>0</v>
      </c>
      <c r="ED11" s="30">
        <f t="shared" ca="1" si="21"/>
        <v>0</v>
      </c>
      <c r="EE11" s="35">
        <f ca="1">_xll.RiskBinomial(1,ED11)</f>
        <v>0</v>
      </c>
      <c r="EF11" s="88">
        <f ca="1">IF(EE11=1,_xll.RiskBinomial(1,Prob_Illness_Given_Infection),0)</f>
        <v>0</v>
      </c>
      <c r="EH11" s="87">
        <f t="shared" ca="1" si="56"/>
        <v>3.316254827844591E-12</v>
      </c>
      <c r="EI11" s="37">
        <f ca="1">INT(EH11) + _xll.RiskBinomial(1,EH11-INT(EH11))</f>
        <v>0</v>
      </c>
      <c r="EJ11" s="30">
        <f t="shared" ca="1" si="22"/>
        <v>0</v>
      </c>
      <c r="EK11" s="35">
        <f ca="1">_xll.RiskBinomial(1,EJ11)</f>
        <v>0</v>
      </c>
      <c r="EL11" s="88">
        <f ca="1">IF(EK11=1,_xll.RiskBinomial(1,Prob_Illness_Given_Infection),0)</f>
        <v>0</v>
      </c>
      <c r="EN11" s="87">
        <f t="shared" ca="1" si="57"/>
        <v>3.025882318392923E-10</v>
      </c>
      <c r="EO11" s="37">
        <f ca="1">INT(EN11) + _xll.RiskBinomial(1,EN11-INT(EN11))</f>
        <v>0</v>
      </c>
      <c r="EP11" s="30">
        <f t="shared" ca="1" si="23"/>
        <v>0</v>
      </c>
      <c r="EQ11" s="35">
        <f ca="1">_xll.RiskBinomial(1,EP11)</f>
        <v>0</v>
      </c>
      <c r="ER11" s="88">
        <f ca="1">IF(EQ11=1,_xll.RiskBinomial(1,Prob_Illness_Given_Infection),0)</f>
        <v>0</v>
      </c>
      <c r="ET11" s="87">
        <f t="shared" ca="1" si="58"/>
        <v>3.3162548278414285E-12</v>
      </c>
      <c r="EU11" s="37">
        <f ca="1">INT(ET11) + _xll.RiskBinomial(1,ET11-INT(ET11))</f>
        <v>0</v>
      </c>
      <c r="EV11" s="30">
        <f t="shared" ca="1" si="24"/>
        <v>0</v>
      </c>
      <c r="EW11" s="35">
        <f ca="1">_xll.RiskBinomial(1,EV11)</f>
        <v>0</v>
      </c>
      <c r="EX11" s="88">
        <f ca="1">IF(EW11=1,_xll.RiskBinomial(1,Prob_Illness_Given_Infection),0)</f>
        <v>0</v>
      </c>
      <c r="EZ11" s="87">
        <f t="shared" ca="1" si="59"/>
        <v>2.5011868611109466E-5</v>
      </c>
      <c r="FA11" s="37">
        <f ca="1">INT(EZ11) + _xll.RiskBinomial(1,EZ11-INT(EZ11))</f>
        <v>0</v>
      </c>
      <c r="FB11" s="30">
        <f t="shared" ca="1" si="25"/>
        <v>0</v>
      </c>
      <c r="FC11" s="35">
        <f ca="1">_xll.RiskBinomial(1,FB11)</f>
        <v>0</v>
      </c>
      <c r="FD11" s="88">
        <f ca="1">IF(FC11=1,_xll.RiskBinomial(1,Prob_Illness_Given_Infection),0)</f>
        <v>0</v>
      </c>
      <c r="FF11" s="87">
        <f t="shared" ca="1" si="60"/>
        <v>1.7422986515611925E-4</v>
      </c>
      <c r="FG11" s="37">
        <f ca="1">INT(FF11) + _xll.RiskBinomial(1,FF11-INT(FF11))</f>
        <v>0</v>
      </c>
      <c r="FH11" s="30">
        <f t="shared" ca="1" si="26"/>
        <v>0</v>
      </c>
      <c r="FI11" s="35">
        <f ca="1">_xll.RiskBinomial(1,FH11)</f>
        <v>0</v>
      </c>
      <c r="FJ11" s="88">
        <f ca="1">IF(FI11=1,_xll.RiskBinomial(1,Prob_Illness_Given_Infection),0)</f>
        <v>0</v>
      </c>
      <c r="FL11" s="87" t="e">
        <f t="shared" ca="1" si="61"/>
        <v>#NAME?</v>
      </c>
      <c r="FM11" s="37" t="e">
        <f ca="1">INT(FL11) + _xll.RiskBinomial(1,FL11-INT(FL11))</f>
        <v>#NAME?</v>
      </c>
      <c r="FN11" s="30" t="e">
        <f t="shared" ca="1" si="27"/>
        <v>#NAME?</v>
      </c>
      <c r="FO11" s="35" t="e">
        <f ca="1">_xll.RiskBinomial(1,FN11)</f>
        <v>#VALUE!</v>
      </c>
      <c r="FP11" s="88" t="e">
        <f ca="1">IF(FO11=1,_xll.RiskBinomial(1,Prob_Illness_Given_Infection),0)</f>
        <v>#VALUE!</v>
      </c>
      <c r="FR11" s="87" t="e">
        <f t="shared" ca="1" si="62"/>
        <v>#NAME?</v>
      </c>
      <c r="FS11" s="37" t="e">
        <f ca="1">INT(FR11) + _xll.RiskBinomial(1,FR11-INT(FR11))</f>
        <v>#NAME?</v>
      </c>
      <c r="FT11" s="30" t="e">
        <f t="shared" ca="1" si="28"/>
        <v>#NAME?</v>
      </c>
      <c r="FU11" s="35" t="e">
        <f ca="1">_xll.RiskBinomial(1,FT11)</f>
        <v>#VALUE!</v>
      </c>
      <c r="FV11" s="88" t="e">
        <f ca="1">IF(FU11=1,_xll.RiskBinomial(1,Prob_Illness_Given_Infection),0)</f>
        <v>#VALUE!</v>
      </c>
      <c r="FX11" s="87">
        <f t="shared" ca="1" si="63"/>
        <v>3.5011925945344424E-7</v>
      </c>
      <c r="FY11" s="37">
        <f ca="1">INT(FX11) + _xll.RiskBinomial(1,FX11-INT(FX11))</f>
        <v>0</v>
      </c>
      <c r="FZ11" s="30">
        <f t="shared" ca="1" si="29"/>
        <v>0</v>
      </c>
      <c r="GA11" s="35">
        <f ca="1">_xll.RiskBinomial(1,FZ11)</f>
        <v>0</v>
      </c>
      <c r="GB11" s="88">
        <f ca="1">IF(GA11=1,_xll.RiskBinomial(1,Prob_Illness_Given_Infection),0)</f>
        <v>0</v>
      </c>
      <c r="GD11" s="87" t="e">
        <f t="shared" ca="1" si="64"/>
        <v>#NAME?</v>
      </c>
      <c r="GE11" s="37" t="e">
        <f ca="1">INT(GD11) + _xll.RiskBinomial(1,GD11-INT(GD11))</f>
        <v>#NAME?</v>
      </c>
      <c r="GF11" s="30" t="e">
        <f t="shared" ca="1" si="30"/>
        <v>#NAME?</v>
      </c>
      <c r="GG11" s="35" t="e">
        <f ca="1">_xll.RiskBinomial(1,GF11)</f>
        <v>#VALUE!</v>
      </c>
      <c r="GH11" s="88" t="e">
        <f ca="1">IF(GG11=1,_xll.RiskBinomial(1,Prob_Illness_Given_Infection),0)</f>
        <v>#VALUE!</v>
      </c>
      <c r="GJ11" s="87" t="e">
        <f t="shared" ca="1" si="65"/>
        <v>#NAME?</v>
      </c>
      <c r="GK11" s="37" t="e">
        <f ca="1">INT(GJ11) + _xll.RiskBinomial(1,GJ11-INT(GJ11))</f>
        <v>#NAME?</v>
      </c>
      <c r="GL11" s="30" t="e">
        <f t="shared" ca="1" si="31"/>
        <v>#NAME?</v>
      </c>
      <c r="GM11" s="35" t="e">
        <f ca="1">_xll.RiskBinomial(1,GL11)</f>
        <v>#VALUE!</v>
      </c>
      <c r="GN11" s="88" t="e">
        <f ca="1">IF(GM11=1,_xll.RiskBinomial(1,Prob_Illness_Given_Infection),0)</f>
        <v>#VALUE!</v>
      </c>
      <c r="GP11" s="87" t="e">
        <f t="shared" ca="1" si="66"/>
        <v>#NAME?</v>
      </c>
      <c r="GQ11" s="37" t="e">
        <f ca="1">INT(GP11) + _xll.RiskBinomial(1,GP11-INT(GP11))</f>
        <v>#NAME?</v>
      </c>
      <c r="GR11" s="30" t="e">
        <f t="shared" ca="1" si="32"/>
        <v>#NAME?</v>
      </c>
      <c r="GS11" s="35" t="e">
        <f ca="1">_xll.RiskBinomial(1,GR11)</f>
        <v>#VALUE!</v>
      </c>
      <c r="GT11" s="88" t="e">
        <f ca="1">IF(GS11=1,_xll.RiskBinomial(1,Prob_Illness_Given_Infection),0)</f>
        <v>#VALUE!</v>
      </c>
    </row>
    <row r="12" spans="2:202">
      <c r="B12" s="108">
        <v>4</v>
      </c>
      <c r="C12" s="87">
        <f ca="1">_xll.RiskLoglogistic(LogLogistic_gamma, LogLogistic_beta, LogLogistic_alpha, _xll.RiskTruncate(5,800))</f>
        <v>76.196171840825656</v>
      </c>
      <c r="D12" s="38">
        <f t="shared" ca="1" si="33"/>
        <v>4.8949668372830626</v>
      </c>
      <c r="E12" s="84"/>
      <c r="F12" s="87">
        <f t="shared" ca="1" si="34"/>
        <v>1.7672748673159811E-9</v>
      </c>
      <c r="G12" s="37">
        <f ca="1">INT(F12) + _xll.RiskBinomial(1,F12-INT(F12))</f>
        <v>0</v>
      </c>
      <c r="H12" s="30">
        <f t="shared" ca="1" si="0"/>
        <v>0</v>
      </c>
      <c r="I12" s="35">
        <f ca="1">_xll.RiskBinomial(1,H12)</f>
        <v>0</v>
      </c>
      <c r="J12" s="88">
        <f ca="1">IF(I12=1,_xll.RiskBinomial(1,Prob_Illness_Given_Infection),0)</f>
        <v>0</v>
      </c>
      <c r="K12" s="84"/>
      <c r="L12" s="87">
        <f t="shared" ca="1" si="35"/>
        <v>9.0267795365875207E-5</v>
      </c>
      <c r="M12" s="37">
        <f ca="1">INT(L12) + _xll.RiskBinomial(1,L12-INT(L12))</f>
        <v>0</v>
      </c>
      <c r="N12" s="30">
        <f t="shared" ca="1" si="1"/>
        <v>0</v>
      </c>
      <c r="O12" s="35">
        <f ca="1">_xll.RiskBinomial(1,N12)</f>
        <v>0</v>
      </c>
      <c r="P12" s="88">
        <f ca="1">IF(O12=1,_xll.RiskBinomial(1,Prob_Illness_Given_Infection),0)</f>
        <v>0</v>
      </c>
      <c r="Q12" s="84"/>
      <c r="R12" s="87">
        <f t="shared" ca="1" si="36"/>
        <v>9.3315029772013258E-6</v>
      </c>
      <c r="S12" s="37">
        <f ca="1">INT(R12) + _xll.RiskBinomial(1,R12-INT(R12))</f>
        <v>0</v>
      </c>
      <c r="T12" s="30">
        <f t="shared" ca="1" si="2"/>
        <v>0</v>
      </c>
      <c r="U12" s="35">
        <f ca="1">_xll.RiskBinomial(1,T12)</f>
        <v>0</v>
      </c>
      <c r="V12" s="88">
        <f ca="1">IF(U12=1,_xll.RiskBinomial(1,Prob_Illness_Given_Infection),0)</f>
        <v>0</v>
      </c>
      <c r="W12" s="84"/>
      <c r="X12" s="87">
        <f t="shared" ca="1" si="37"/>
        <v>3.833624547267575E-12</v>
      </c>
      <c r="Y12" s="37">
        <f ca="1">INT(X12) + _xll.RiskBinomial(1,X12-INT(X12))</f>
        <v>0</v>
      </c>
      <c r="Z12" s="30">
        <f t="shared" ca="1" si="3"/>
        <v>0</v>
      </c>
      <c r="AA12" s="35">
        <f ca="1">_xll.RiskBinomial(1,Z12)</f>
        <v>0</v>
      </c>
      <c r="AB12" s="88">
        <f ca="1">IF(AA12=1,_xll.RiskBinomial(1,Prob_Illness_Given_Infection),0)</f>
        <v>0</v>
      </c>
      <c r="AC12" s="84"/>
      <c r="AD12" s="87">
        <f t="shared" ca="1" si="38"/>
        <v>1.9314479424249209E-12</v>
      </c>
      <c r="AE12" s="37">
        <f ca="1">INT(AD12) + _xll.RiskBinomial(1,AD12-INT(AD12))</f>
        <v>0</v>
      </c>
      <c r="AF12" s="30">
        <f t="shared" ca="1" si="4"/>
        <v>0</v>
      </c>
      <c r="AG12" s="35">
        <f ca="1">_xll.RiskBinomial(1,AF12)</f>
        <v>0</v>
      </c>
      <c r="AH12" s="88">
        <f ca="1">IF(AG12=1,_xll.RiskBinomial(1,Prob_Illness_Given_Infection),0)</f>
        <v>0</v>
      </c>
      <c r="AI12" s="84"/>
      <c r="AJ12" s="87">
        <f t="shared" ca="1" si="39"/>
        <v>8.965283601517625E-5</v>
      </c>
      <c r="AK12" s="37">
        <f ca="1">INT(AJ12) + _xll.RiskBinomial(1,AJ12-INT(AJ12))</f>
        <v>0</v>
      </c>
      <c r="AL12" s="30">
        <f t="shared" ca="1" si="5"/>
        <v>0</v>
      </c>
      <c r="AM12" s="35">
        <f ca="1">_xll.RiskBinomial(1,AL12)</f>
        <v>0</v>
      </c>
      <c r="AN12" s="88">
        <f ca="1">IF(AM12=1,_xll.RiskBinomial(1,Prob_Illness_Given_Infection),0)</f>
        <v>0</v>
      </c>
      <c r="AO12" s="84"/>
      <c r="AP12" s="87">
        <f t="shared" ca="1" si="40"/>
        <v>2.1802703395106724E-9</v>
      </c>
      <c r="AQ12" s="37">
        <f ca="1">INT(AP12) + _xll.RiskBinomial(1,AP12-INT(AP12))</f>
        <v>0</v>
      </c>
      <c r="AR12" s="30">
        <f t="shared" ca="1" si="6"/>
        <v>0</v>
      </c>
      <c r="AS12" s="35">
        <f ca="1">_xll.RiskBinomial(1,AR12)</f>
        <v>0</v>
      </c>
      <c r="AT12" s="88">
        <f ca="1">IF(AS12=1,_xll.RiskBinomial(1,Prob_Illness_Given_Infection),0)</f>
        <v>0</v>
      </c>
      <c r="AU12" s="84"/>
      <c r="AV12" s="87">
        <f t="shared" ca="1" si="41"/>
        <v>5.0581136858353564E-5</v>
      </c>
      <c r="AW12" s="37">
        <f ca="1">INT(AV12) + _xll.RiskBinomial(1,AV12-INT(AV12))</f>
        <v>0</v>
      </c>
      <c r="AX12" s="30">
        <f t="shared" ca="1" si="7"/>
        <v>0</v>
      </c>
      <c r="AY12" s="35">
        <f ca="1">_xll.RiskBinomial(1,AX12)</f>
        <v>0</v>
      </c>
      <c r="AZ12" s="88">
        <f ca="1">IF(AY12=1,_xll.RiskBinomial(1,Prob_Illness_Given_Infection),0)</f>
        <v>0</v>
      </c>
      <c r="BB12" s="87">
        <f t="shared" ca="1" si="42"/>
        <v>6.9423109985470739E-5</v>
      </c>
      <c r="BC12" s="37">
        <f ca="1">INT(BB12) + _xll.RiskBinomial(1,BB12-INT(BB12))</f>
        <v>0</v>
      </c>
      <c r="BD12" s="30">
        <f t="shared" ca="1" si="8"/>
        <v>0</v>
      </c>
      <c r="BE12" s="35">
        <f ca="1">_xll.RiskBinomial(1,BD12)</f>
        <v>0</v>
      </c>
      <c r="BF12" s="88">
        <f ca="1">IF(BE12=1,_xll.RiskBinomial(1,Prob_Illness_Given_Infection),0)</f>
        <v>0</v>
      </c>
      <c r="BH12" s="87">
        <f t="shared" ca="1" si="43"/>
        <v>8.7894623877374142E-5</v>
      </c>
      <c r="BI12" s="37">
        <f ca="1">INT(BH12) + _xll.RiskBinomial(1,BH12-INT(BH12))</f>
        <v>0</v>
      </c>
      <c r="BJ12" s="30">
        <f t="shared" ca="1" si="9"/>
        <v>0</v>
      </c>
      <c r="BK12" s="35">
        <f ca="1">_xll.RiskBinomial(1,BJ12)</f>
        <v>0</v>
      </c>
      <c r="BL12" s="88">
        <f ca="1">IF(BK12=1,_xll.RiskBinomial(1,Prob_Illness_Given_Infection),0)</f>
        <v>0</v>
      </c>
      <c r="BN12" s="87">
        <f t="shared" ca="1" si="44"/>
        <v>6.689282049577541E-6</v>
      </c>
      <c r="BO12" s="37">
        <f ca="1">INT(BN12) + _xll.RiskBinomial(1,BN12-INT(BN12))</f>
        <v>0</v>
      </c>
      <c r="BP12" s="30">
        <f t="shared" ca="1" si="10"/>
        <v>0</v>
      </c>
      <c r="BQ12" s="35">
        <f ca="1">_xll.RiskBinomial(1,BP12)</f>
        <v>0</v>
      </c>
      <c r="BR12" s="88">
        <f ca="1">IF(BQ12=1,_xll.RiskBinomial(1,Prob_Illness_Given_Infection),0)</f>
        <v>0</v>
      </c>
      <c r="BT12" s="87">
        <f t="shared" ca="1" si="45"/>
        <v>2.0114600404841608E-5</v>
      </c>
      <c r="BU12" s="37">
        <f ca="1">INT(BT12) + _xll.RiskBinomial(1,BT12-INT(BT12))</f>
        <v>0</v>
      </c>
      <c r="BV12" s="30">
        <f t="shared" ca="1" si="11"/>
        <v>0</v>
      </c>
      <c r="BW12" s="35">
        <f ca="1">_xll.RiskBinomial(1,BV12)</f>
        <v>0</v>
      </c>
      <c r="BX12" s="88">
        <f ca="1">IF(BW12=1,_xll.RiskBinomial(1,Prob_Illness_Given_Infection),0)</f>
        <v>0</v>
      </c>
      <c r="BZ12" s="87">
        <f t="shared" ca="1" si="46"/>
        <v>5.5140900164253511E-5</v>
      </c>
      <c r="CA12" s="37">
        <f ca="1">INT(BZ12) + _xll.RiskBinomial(1,BZ12-INT(BZ12))</f>
        <v>0</v>
      </c>
      <c r="CB12" s="30">
        <f t="shared" ca="1" si="12"/>
        <v>0</v>
      </c>
      <c r="CC12" s="35">
        <f ca="1">_xll.RiskBinomial(1,CB12)</f>
        <v>0</v>
      </c>
      <c r="CD12" s="88">
        <f ca="1">IF(CC12=1,_xll.RiskBinomial(1,Prob_Illness_Given_Infection),0)</f>
        <v>0</v>
      </c>
      <c r="CF12" s="87">
        <f t="shared" ca="1" si="47"/>
        <v>1.046243388814008E-5</v>
      </c>
      <c r="CG12" s="37">
        <f ca="1">INT(CF12) + _xll.RiskBinomial(1,CF12-INT(CF12))</f>
        <v>0</v>
      </c>
      <c r="CH12" s="30">
        <f t="shared" ca="1" si="13"/>
        <v>0</v>
      </c>
      <c r="CI12" s="35">
        <f ca="1">_xll.RiskBinomial(1,CH12)</f>
        <v>0</v>
      </c>
      <c r="CJ12" s="88">
        <f ca="1">IF(CI12=1,_xll.RiskBinomial(1,Prob_Illness_Given_Infection),0)</f>
        <v>0</v>
      </c>
      <c r="CL12" s="87">
        <f t="shared" ca="1" si="48"/>
        <v>2.0189568386895028E-5</v>
      </c>
      <c r="CM12" s="37">
        <f ca="1">INT(CL12) + _xll.RiskBinomial(1,CL12-INT(CL12))</f>
        <v>0</v>
      </c>
      <c r="CN12" s="30">
        <f t="shared" ca="1" si="14"/>
        <v>0</v>
      </c>
      <c r="CO12" s="35">
        <f ca="1">_xll.RiskBinomial(1,CN12)</f>
        <v>0</v>
      </c>
      <c r="CP12" s="88">
        <f ca="1">IF(CO12=1,_xll.RiskBinomial(1,Prob_Illness_Given_Infection),0)</f>
        <v>0</v>
      </c>
      <c r="CR12" s="87">
        <f t="shared" ca="1" si="49"/>
        <v>1.3914039456543289E-7</v>
      </c>
      <c r="CS12" s="37">
        <f ca="1">INT(CR12) + _xll.RiskBinomial(1,CR12-INT(CR12))</f>
        <v>0</v>
      </c>
      <c r="CT12" s="30">
        <f t="shared" ca="1" si="15"/>
        <v>0</v>
      </c>
      <c r="CU12" s="35">
        <f ca="1">_xll.RiskBinomial(1,CT12)</f>
        <v>0</v>
      </c>
      <c r="CV12" s="88">
        <f ca="1">IF(CU12=1,_xll.RiskBinomial(1,Prob_Illness_Given_Infection),0)</f>
        <v>0</v>
      </c>
      <c r="CX12" s="87">
        <f t="shared" ca="1" si="50"/>
        <v>1.4164333987153563E-9</v>
      </c>
      <c r="CY12" s="37">
        <f ca="1">INT(CX12) + _xll.RiskBinomial(1,CX12-INT(CX12))</f>
        <v>0</v>
      </c>
      <c r="CZ12" s="30">
        <f t="shared" ca="1" si="16"/>
        <v>0</v>
      </c>
      <c r="DA12" s="35">
        <f ca="1">_xll.RiskBinomial(1,CZ12)</f>
        <v>0</v>
      </c>
      <c r="DB12" s="88">
        <f ca="1">IF(DA12=1,_xll.RiskBinomial(1,Prob_Illness_Given_Infection),0)</f>
        <v>0</v>
      </c>
      <c r="DD12" s="87">
        <f t="shared" ca="1" si="51"/>
        <v>1.4164333987153563E-9</v>
      </c>
      <c r="DE12" s="37">
        <f ca="1">INT(DD12) + _xll.RiskBinomial(1,DD12-INT(DD12))</f>
        <v>0</v>
      </c>
      <c r="DF12" s="30">
        <f t="shared" ca="1" si="17"/>
        <v>0</v>
      </c>
      <c r="DG12" s="35">
        <f ca="1">_xll.RiskBinomial(1,DF12)</f>
        <v>0</v>
      </c>
      <c r="DH12" s="88">
        <f ca="1">IF(DG12=1,_xll.RiskBinomial(1,Prob_Illness_Given_Infection),0)</f>
        <v>0</v>
      </c>
      <c r="DJ12" s="87">
        <f t="shared" ca="1" si="52"/>
        <v>2.3128392058980209E-6</v>
      </c>
      <c r="DK12" s="37">
        <f ca="1">INT(DJ12) + _xll.RiskBinomial(1,DJ12-INT(DJ12))</f>
        <v>0</v>
      </c>
      <c r="DL12" s="30">
        <f t="shared" ca="1" si="18"/>
        <v>0</v>
      </c>
      <c r="DM12" s="35">
        <f ca="1">_xll.RiskBinomial(1,DL12)</f>
        <v>0</v>
      </c>
      <c r="DN12" s="88">
        <f ca="1">IF(DM12=1,_xll.RiskBinomial(1,Prob_Illness_Given_Infection),0)</f>
        <v>0</v>
      </c>
      <c r="DP12" s="87">
        <f t="shared" ca="1" si="53"/>
        <v>5.4674326834029519E-10</v>
      </c>
      <c r="DQ12" s="37">
        <f ca="1">INT(DP12) + _xll.RiskBinomial(1,DP12-INT(DP12))</f>
        <v>0</v>
      </c>
      <c r="DR12" s="30">
        <f t="shared" ca="1" si="19"/>
        <v>0</v>
      </c>
      <c r="DS12" s="35">
        <f ca="1">_xll.RiskBinomial(1,DR12)</f>
        <v>0</v>
      </c>
      <c r="DT12" s="88">
        <f ca="1">IF(DS12=1,_xll.RiskBinomial(1,Prob_Illness_Given_Infection),0)</f>
        <v>0</v>
      </c>
      <c r="DV12" s="87">
        <f t="shared" ca="1" si="54"/>
        <v>7.6970843566906791E-9</v>
      </c>
      <c r="DW12" s="37">
        <f ca="1">INT(DV12) + _xll.RiskBinomial(1,DV12-INT(DV12))</f>
        <v>0</v>
      </c>
      <c r="DX12" s="30">
        <f t="shared" ca="1" si="20"/>
        <v>0</v>
      </c>
      <c r="DY12" s="35">
        <f ca="1">_xll.RiskBinomial(1,DX12)</f>
        <v>0</v>
      </c>
      <c r="DZ12" s="88">
        <f ca="1">IF(DY12=1,_xll.RiskBinomial(1,Prob_Illness_Given_Infection),0)</f>
        <v>0</v>
      </c>
      <c r="EB12" s="87">
        <f t="shared" ca="1" si="55"/>
        <v>1.9314479424242723E-12</v>
      </c>
      <c r="EC12" s="37">
        <f ca="1">INT(EB12) + _xll.RiskBinomial(1,EB12-INT(EB12))</f>
        <v>0</v>
      </c>
      <c r="ED12" s="30">
        <f t="shared" ca="1" si="21"/>
        <v>0</v>
      </c>
      <c r="EE12" s="35">
        <f ca="1">_xll.RiskBinomial(1,ED12)</f>
        <v>0</v>
      </c>
      <c r="EF12" s="88">
        <f ca="1">IF(EE12=1,_xll.RiskBinomial(1,Prob_Illness_Given_Infection),0)</f>
        <v>0</v>
      </c>
      <c r="EH12" s="87">
        <f t="shared" ca="1" si="56"/>
        <v>1.9314479424222867E-12</v>
      </c>
      <c r="EI12" s="37">
        <f ca="1">INT(EH12) + _xll.RiskBinomial(1,EH12-INT(EH12))</f>
        <v>0</v>
      </c>
      <c r="EJ12" s="30">
        <f t="shared" ca="1" si="22"/>
        <v>0</v>
      </c>
      <c r="EK12" s="35">
        <f ca="1">_xll.RiskBinomial(1,EJ12)</f>
        <v>0</v>
      </c>
      <c r="EL12" s="88">
        <f ca="1">IF(EK12=1,_xll.RiskBinomial(1,Prob_Illness_Given_Infection),0)</f>
        <v>0</v>
      </c>
      <c r="EN12" s="87">
        <f t="shared" ca="1" si="57"/>
        <v>1.7623296402920069E-10</v>
      </c>
      <c r="EO12" s="37">
        <f ca="1">INT(EN12) + _xll.RiskBinomial(1,EN12-INT(EN12))</f>
        <v>0</v>
      </c>
      <c r="EP12" s="30">
        <f t="shared" ca="1" si="23"/>
        <v>0</v>
      </c>
      <c r="EQ12" s="35">
        <f ca="1">_xll.RiskBinomial(1,EP12)</f>
        <v>0</v>
      </c>
      <c r="ER12" s="88">
        <f ca="1">IF(EQ12=1,_xll.RiskBinomial(1,Prob_Illness_Given_Infection),0)</f>
        <v>0</v>
      </c>
      <c r="ET12" s="87">
        <f t="shared" ca="1" si="58"/>
        <v>1.9314479424204449E-12</v>
      </c>
      <c r="EU12" s="37">
        <f ca="1">INT(ET12) + _xll.RiskBinomial(1,ET12-INT(ET12))</f>
        <v>0</v>
      </c>
      <c r="EV12" s="30">
        <f t="shared" ca="1" si="24"/>
        <v>0</v>
      </c>
      <c r="EW12" s="35">
        <f ca="1">_xll.RiskBinomial(1,EV12)</f>
        <v>0</v>
      </c>
      <c r="EX12" s="88">
        <f ca="1">IF(EW12=1,_xll.RiskBinomial(1,Prob_Illness_Given_Infection),0)</f>
        <v>0</v>
      </c>
      <c r="EZ12" s="87">
        <f t="shared" ca="1" si="59"/>
        <v>1.4567373339178101E-5</v>
      </c>
      <c r="FA12" s="37">
        <f ca="1">INT(EZ12) + _xll.RiskBinomial(1,EZ12-INT(EZ12))</f>
        <v>0</v>
      </c>
      <c r="FB12" s="30">
        <f t="shared" ca="1" si="25"/>
        <v>0</v>
      </c>
      <c r="FC12" s="35">
        <f ca="1">_xll.RiskBinomial(1,FB12)</f>
        <v>0</v>
      </c>
      <c r="FD12" s="88">
        <f ca="1">IF(FC12=1,_xll.RiskBinomial(1,Prob_Illness_Given_Infection),0)</f>
        <v>0</v>
      </c>
      <c r="FF12" s="87">
        <f t="shared" ca="1" si="60"/>
        <v>1.0147468515952933E-4</v>
      </c>
      <c r="FG12" s="37">
        <f ca="1">INT(FF12) + _xll.RiskBinomial(1,FF12-INT(FF12))</f>
        <v>0</v>
      </c>
      <c r="FH12" s="30">
        <f t="shared" ca="1" si="26"/>
        <v>0</v>
      </c>
      <c r="FI12" s="35">
        <f ca="1">_xll.RiskBinomial(1,FH12)</f>
        <v>0</v>
      </c>
      <c r="FJ12" s="88">
        <f ca="1">IF(FI12=1,_xll.RiskBinomial(1,Prob_Illness_Given_Infection),0)</f>
        <v>0</v>
      </c>
      <c r="FL12" s="87" t="e">
        <f t="shared" ca="1" si="61"/>
        <v>#NAME?</v>
      </c>
      <c r="FM12" s="37" t="e">
        <f ca="1">INT(FL12) + _xll.RiskBinomial(1,FL12-INT(FL12))</f>
        <v>#NAME?</v>
      </c>
      <c r="FN12" s="30" t="e">
        <f t="shared" ca="1" si="27"/>
        <v>#NAME?</v>
      </c>
      <c r="FO12" s="35" t="e">
        <f ca="1">_xll.RiskBinomial(1,FN12)</f>
        <v>#VALUE!</v>
      </c>
      <c r="FP12" s="88" t="e">
        <f ca="1">IF(FO12=1,_xll.RiskBinomial(1,Prob_Illness_Given_Infection),0)</f>
        <v>#VALUE!</v>
      </c>
      <c r="FR12" s="87" t="e">
        <f t="shared" ca="1" si="62"/>
        <v>#NAME?</v>
      </c>
      <c r="FS12" s="37" t="e">
        <f ca="1">INT(FR12) + _xll.RiskBinomial(1,FR12-INT(FR12))</f>
        <v>#NAME?</v>
      </c>
      <c r="FT12" s="30" t="e">
        <f t="shared" ca="1" si="28"/>
        <v>#NAME?</v>
      </c>
      <c r="FU12" s="35" t="e">
        <f ca="1">_xll.RiskBinomial(1,FT12)</f>
        <v>#VALUE!</v>
      </c>
      <c r="FV12" s="88" t="e">
        <f ca="1">IF(FU12=1,_xll.RiskBinomial(1,Prob_Illness_Given_Infection),0)</f>
        <v>#VALUE!</v>
      </c>
      <c r="FX12" s="87">
        <f t="shared" ca="1" si="63"/>
        <v>2.0391591068207866E-7</v>
      </c>
      <c r="FY12" s="37">
        <f ca="1">INT(FX12) + _xll.RiskBinomial(1,FX12-INT(FX12))</f>
        <v>0</v>
      </c>
      <c r="FZ12" s="30">
        <f t="shared" ca="1" si="29"/>
        <v>0</v>
      </c>
      <c r="GA12" s="35">
        <f ca="1">_xll.RiskBinomial(1,FZ12)</f>
        <v>0</v>
      </c>
      <c r="GB12" s="88">
        <f ca="1">IF(GA12=1,_xll.RiskBinomial(1,Prob_Illness_Given_Infection),0)</f>
        <v>0</v>
      </c>
      <c r="GD12" s="87" t="e">
        <f t="shared" ca="1" si="64"/>
        <v>#NAME?</v>
      </c>
      <c r="GE12" s="37" t="e">
        <f ca="1">INT(GD12) + _xll.RiskBinomial(1,GD12-INT(GD12))</f>
        <v>#NAME?</v>
      </c>
      <c r="GF12" s="30" t="e">
        <f t="shared" ca="1" si="30"/>
        <v>#NAME?</v>
      </c>
      <c r="GG12" s="35" t="e">
        <f ca="1">_xll.RiskBinomial(1,GF12)</f>
        <v>#VALUE!</v>
      </c>
      <c r="GH12" s="88" t="e">
        <f ca="1">IF(GG12=1,_xll.RiskBinomial(1,Prob_Illness_Given_Infection),0)</f>
        <v>#VALUE!</v>
      </c>
      <c r="GJ12" s="87" t="e">
        <f t="shared" ca="1" si="65"/>
        <v>#NAME?</v>
      </c>
      <c r="GK12" s="37" t="e">
        <f ca="1">INT(GJ12) + _xll.RiskBinomial(1,GJ12-INT(GJ12))</f>
        <v>#NAME?</v>
      </c>
      <c r="GL12" s="30" t="e">
        <f t="shared" ca="1" si="31"/>
        <v>#NAME?</v>
      </c>
      <c r="GM12" s="35" t="e">
        <f ca="1">_xll.RiskBinomial(1,GL12)</f>
        <v>#VALUE!</v>
      </c>
      <c r="GN12" s="88" t="e">
        <f ca="1">IF(GM12=1,_xll.RiskBinomial(1,Prob_Illness_Given_Infection),0)</f>
        <v>#VALUE!</v>
      </c>
      <c r="GP12" s="87" t="e">
        <f t="shared" ca="1" si="66"/>
        <v>#NAME?</v>
      </c>
      <c r="GQ12" s="37" t="e">
        <f ca="1">INT(GP12) + _xll.RiskBinomial(1,GP12-INT(GP12))</f>
        <v>#NAME?</v>
      </c>
      <c r="GR12" s="30" t="e">
        <f t="shared" ca="1" si="32"/>
        <v>#NAME?</v>
      </c>
      <c r="GS12" s="35" t="e">
        <f ca="1">_xll.RiskBinomial(1,GR12)</f>
        <v>#VALUE!</v>
      </c>
      <c r="GT12" s="88" t="e">
        <f ca="1">IF(GS12=1,_xll.RiskBinomial(1,Prob_Illness_Given_Infection),0)</f>
        <v>#VALUE!</v>
      </c>
    </row>
    <row r="13" spans="2:202">
      <c r="B13" s="108">
        <v>5</v>
      </c>
      <c r="C13" s="87">
        <f ca="1">_xll.RiskLoglogistic(LogLogistic_gamma, LogLogistic_beta, LogLogistic_alpha, _xll.RiskTruncate(5,800))</f>
        <v>24.325411742687379</v>
      </c>
      <c r="D13" s="38">
        <f t="shared" ca="1" si="33"/>
        <v>1.5627042790608057</v>
      </c>
      <c r="E13" s="30"/>
      <c r="F13" s="87">
        <f t="shared" ca="1" si="34"/>
        <v>5.64197488815714E-10</v>
      </c>
      <c r="G13" s="37">
        <f ca="1">INT(F13) + _xll.RiskBinomial(1,F13-INT(F13))</f>
        <v>0</v>
      </c>
      <c r="H13" s="30">
        <f t="shared" ca="1" si="0"/>
        <v>0</v>
      </c>
      <c r="I13" s="35">
        <f ca="1">_xll.RiskBinomial(1,H13)</f>
        <v>0</v>
      </c>
      <c r="J13" s="88">
        <f ca="1">IF(I13=1,_xll.RiskBinomial(1,Prob_Illness_Given_Infection),0)</f>
        <v>0</v>
      </c>
      <c r="K13" s="30"/>
      <c r="L13" s="87">
        <f t="shared" ca="1" si="35"/>
        <v>2.8817737641289994E-5</v>
      </c>
      <c r="M13" s="37">
        <f ca="1">INT(L13) + _xll.RiskBinomial(1,L13-INT(L13))</f>
        <v>0</v>
      </c>
      <c r="N13" s="30">
        <f t="shared" ca="1" si="1"/>
        <v>0</v>
      </c>
      <c r="O13" s="35">
        <f ca="1">_xll.RiskBinomial(1,N13)</f>
        <v>0</v>
      </c>
      <c r="P13" s="88">
        <f ca="1">IF(O13=1,_xll.RiskBinomial(1,Prob_Illness_Given_Infection),0)</f>
        <v>0</v>
      </c>
      <c r="Q13" s="30"/>
      <c r="R13" s="87">
        <f t="shared" ca="1" si="36"/>
        <v>2.9790558582486878E-6</v>
      </c>
      <c r="S13" s="37">
        <f ca="1">INT(R13) + _xll.RiskBinomial(1,R13-INT(R13))</f>
        <v>0</v>
      </c>
      <c r="T13" s="30">
        <f t="shared" ca="1" si="2"/>
        <v>0</v>
      </c>
      <c r="U13" s="35">
        <f ca="1">_xll.RiskBinomial(1,T13)</f>
        <v>0</v>
      </c>
      <c r="V13" s="88">
        <f ca="1">IF(U13=1,_xll.RiskBinomial(1,Prob_Illness_Given_Infection),0)</f>
        <v>0</v>
      </c>
      <c r="W13" s="30"/>
      <c r="X13" s="87">
        <f t="shared" ca="1" si="37"/>
        <v>1.2238737632904519E-12</v>
      </c>
      <c r="Y13" s="37">
        <f ca="1">INT(X13) + _xll.RiskBinomial(1,X13-INT(X13))</f>
        <v>0</v>
      </c>
      <c r="Z13" s="30">
        <f t="shared" ca="1" si="3"/>
        <v>0</v>
      </c>
      <c r="AA13" s="35">
        <f ca="1">_xll.RiskBinomial(1,Z13)</f>
        <v>0</v>
      </c>
      <c r="AB13" s="88">
        <f ca="1">IF(AA13=1,_xll.RiskBinomial(1,Prob_Illness_Given_Infection),0)</f>
        <v>0</v>
      </c>
      <c r="AC13" s="30"/>
      <c r="AD13" s="87">
        <f t="shared" ca="1" si="38"/>
        <v>6.1660927739520731E-13</v>
      </c>
      <c r="AE13" s="37">
        <f ca="1">INT(AD13) + _xll.RiskBinomial(1,AD13-INT(AD13))</f>
        <v>0</v>
      </c>
      <c r="AF13" s="30">
        <f t="shared" ca="1" si="4"/>
        <v>0</v>
      </c>
      <c r="AG13" s="35">
        <f ca="1">_xll.RiskBinomial(1,AF13)</f>
        <v>0</v>
      </c>
      <c r="AH13" s="88">
        <f ca="1">IF(AG13=1,_xll.RiskBinomial(1,Prob_Illness_Given_Infection),0)</f>
        <v>0</v>
      </c>
      <c r="AI13" s="30"/>
      <c r="AJ13" s="87">
        <f t="shared" ca="1" si="39"/>
        <v>2.8621413612807076E-5</v>
      </c>
      <c r="AK13" s="37">
        <f ca="1">INT(AJ13) + _xll.RiskBinomial(1,AJ13-INT(AJ13))</f>
        <v>0</v>
      </c>
      <c r="AL13" s="30">
        <f t="shared" ca="1" si="5"/>
        <v>0</v>
      </c>
      <c r="AM13" s="35">
        <f ca="1">_xll.RiskBinomial(1,AL13)</f>
        <v>0</v>
      </c>
      <c r="AN13" s="88">
        <f ca="1">IF(AM13=1,_xll.RiskBinomial(1,Prob_Illness_Given_Infection),0)</f>
        <v>0</v>
      </c>
      <c r="AO13" s="30"/>
      <c r="AP13" s="87">
        <f t="shared" ca="1" si="40"/>
        <v>6.9604512192237743E-10</v>
      </c>
      <c r="AQ13" s="37">
        <f ca="1">INT(AP13) + _xll.RiskBinomial(1,AP13-INT(AP13))</f>
        <v>0</v>
      </c>
      <c r="AR13" s="30">
        <f t="shared" ca="1" si="6"/>
        <v>0</v>
      </c>
      <c r="AS13" s="35">
        <f ca="1">_xll.RiskBinomial(1,AR13)</f>
        <v>0</v>
      </c>
      <c r="AT13" s="88">
        <f ca="1">IF(AS13=1,_xll.RiskBinomial(1,Prob_Illness_Given_Infection),0)</f>
        <v>0</v>
      </c>
      <c r="AU13" s="30"/>
      <c r="AV13" s="87">
        <f t="shared" ca="1" si="41"/>
        <v>1.6147884477228071E-5</v>
      </c>
      <c r="AW13" s="37">
        <f ca="1">INT(AV13) + _xll.RiskBinomial(1,AV13-INT(AV13))</f>
        <v>0</v>
      </c>
      <c r="AX13" s="30">
        <f t="shared" ca="1" si="7"/>
        <v>0</v>
      </c>
      <c r="AY13" s="35">
        <f ca="1">_xll.RiskBinomial(1,AX13)</f>
        <v>0</v>
      </c>
      <c r="AZ13" s="88">
        <f ca="1">IF(AY13=1,_xll.RiskBinomial(1,Prob_Illness_Given_Infection),0)</f>
        <v>0</v>
      </c>
      <c r="BB13" s="87">
        <f t="shared" ca="1" si="42"/>
        <v>2.2163130956004576E-5</v>
      </c>
      <c r="BC13" s="37">
        <f ca="1">INT(BB13) + _xll.RiskBinomial(1,BB13-INT(BB13))</f>
        <v>0</v>
      </c>
      <c r="BD13" s="30">
        <f t="shared" ca="1" si="8"/>
        <v>0</v>
      </c>
      <c r="BE13" s="35">
        <f ca="1">_xll.RiskBinomial(1,BD13)</f>
        <v>0</v>
      </c>
      <c r="BF13" s="88">
        <f ca="1">IF(BE13=1,_xll.RiskBinomial(1,Prob_Illness_Given_Infection),0)</f>
        <v>0</v>
      </c>
      <c r="BH13" s="87">
        <f t="shared" ca="1" si="43"/>
        <v>2.8060109374683771E-5</v>
      </c>
      <c r="BI13" s="37">
        <f ca="1">INT(BH13) + _xll.RiskBinomial(1,BH13-INT(BH13))</f>
        <v>0</v>
      </c>
      <c r="BJ13" s="30">
        <f t="shared" ca="1" si="9"/>
        <v>0</v>
      </c>
      <c r="BK13" s="35">
        <f ca="1">_xll.RiskBinomial(1,BJ13)</f>
        <v>0</v>
      </c>
      <c r="BL13" s="88">
        <f ca="1">IF(BK13=1,_xll.RiskBinomial(1,Prob_Illness_Given_Infection),0)</f>
        <v>0</v>
      </c>
      <c r="BN13" s="87">
        <f t="shared" ca="1" si="44"/>
        <v>2.1355343213155604E-6</v>
      </c>
      <c r="BO13" s="37">
        <f ca="1">INT(BN13) + _xll.RiskBinomial(1,BN13-INT(BN13))</f>
        <v>0</v>
      </c>
      <c r="BP13" s="30">
        <f t="shared" ca="1" si="10"/>
        <v>0</v>
      </c>
      <c r="BQ13" s="35">
        <f ca="1">_xll.RiskBinomial(1,BP13)</f>
        <v>0</v>
      </c>
      <c r="BR13" s="88">
        <f ca="1">IF(BQ13=1,_xll.RiskBinomial(1,Prob_Illness_Given_Infection),0)</f>
        <v>0</v>
      </c>
      <c r="BT13" s="87">
        <f t="shared" ca="1" si="45"/>
        <v>6.4215291275989706E-6</v>
      </c>
      <c r="BU13" s="37">
        <f ca="1">INT(BT13) + _xll.RiskBinomial(1,BT13-INT(BT13))</f>
        <v>0</v>
      </c>
      <c r="BV13" s="30">
        <f t="shared" ca="1" si="11"/>
        <v>0</v>
      </c>
      <c r="BW13" s="35">
        <f ca="1">_xll.RiskBinomial(1,BV13)</f>
        <v>0</v>
      </c>
      <c r="BX13" s="88">
        <f ca="1">IF(BW13=1,_xll.RiskBinomial(1,Prob_Illness_Given_Infection),0)</f>
        <v>0</v>
      </c>
      <c r="BZ13" s="87">
        <f t="shared" ca="1" si="46"/>
        <v>1.7603575979642684E-5</v>
      </c>
      <c r="CA13" s="37">
        <f ca="1">INT(BZ13) + _xll.RiskBinomial(1,BZ13-INT(BZ13))</f>
        <v>0</v>
      </c>
      <c r="CB13" s="30">
        <f t="shared" ca="1" si="12"/>
        <v>0</v>
      </c>
      <c r="CC13" s="35">
        <f ca="1">_xll.RiskBinomial(1,CB13)</f>
        <v>0</v>
      </c>
      <c r="CD13" s="88">
        <f ca="1">IF(CC13=1,_xll.RiskBinomial(1,Prob_Illness_Given_Infection),0)</f>
        <v>0</v>
      </c>
      <c r="CF13" s="87">
        <f t="shared" ca="1" si="47"/>
        <v>3.340102343872494E-6</v>
      </c>
      <c r="CG13" s="37">
        <f ca="1">INT(CF13) + _xll.RiskBinomial(1,CF13-INT(CF13))</f>
        <v>0</v>
      </c>
      <c r="CH13" s="30">
        <f t="shared" ca="1" si="13"/>
        <v>0</v>
      </c>
      <c r="CI13" s="35">
        <f ca="1">_xll.RiskBinomial(1,CH13)</f>
        <v>0</v>
      </c>
      <c r="CJ13" s="88">
        <f ca="1">IF(CI13=1,_xll.RiskBinomial(1,Prob_Illness_Given_Infection),0)</f>
        <v>0</v>
      </c>
      <c r="CL13" s="87">
        <f t="shared" ca="1" si="48"/>
        <v>6.44546244323558E-6</v>
      </c>
      <c r="CM13" s="37">
        <f ca="1">INT(CL13) + _xll.RiskBinomial(1,CL13-INT(CL13))</f>
        <v>0</v>
      </c>
      <c r="CN13" s="30">
        <f t="shared" ca="1" si="14"/>
        <v>0</v>
      </c>
      <c r="CO13" s="35">
        <f ca="1">_xll.RiskBinomial(1,CN13)</f>
        <v>0</v>
      </c>
      <c r="CP13" s="88">
        <f ca="1">IF(CO13=1,_xll.RiskBinomial(1,Prob_Illness_Given_Infection),0)</f>
        <v>0</v>
      </c>
      <c r="CR13" s="87">
        <f t="shared" ca="1" si="49"/>
        <v>4.4420176316924279E-8</v>
      </c>
      <c r="CS13" s="37">
        <f ca="1">INT(CR13) + _xll.RiskBinomial(1,CR13-INT(CR13))</f>
        <v>0</v>
      </c>
      <c r="CT13" s="30">
        <f t="shared" ca="1" si="15"/>
        <v>0</v>
      </c>
      <c r="CU13" s="35">
        <f ca="1">_xll.RiskBinomial(1,CT13)</f>
        <v>0</v>
      </c>
      <c r="CV13" s="88">
        <f ca="1">IF(CU13=1,_xll.RiskBinomial(1,Prob_Illness_Given_Infection),0)</f>
        <v>0</v>
      </c>
      <c r="CX13" s="87">
        <f t="shared" ca="1" si="50"/>
        <v>4.5219234506718456E-10</v>
      </c>
      <c r="CY13" s="37">
        <f ca="1">INT(CX13) + _xll.RiskBinomial(1,CX13-INT(CX13))</f>
        <v>0</v>
      </c>
      <c r="CZ13" s="30">
        <f t="shared" ca="1" si="16"/>
        <v>0</v>
      </c>
      <c r="DA13" s="35">
        <f ca="1">_xll.RiskBinomial(1,CZ13)</f>
        <v>0</v>
      </c>
      <c r="DB13" s="88">
        <f ca="1">IF(DA13=1,_xll.RiskBinomial(1,Prob_Illness_Given_Infection),0)</f>
        <v>0</v>
      </c>
      <c r="DD13" s="87">
        <f t="shared" ca="1" si="51"/>
        <v>4.5219234506718456E-10</v>
      </c>
      <c r="DE13" s="37">
        <f ca="1">INT(DD13) + _xll.RiskBinomial(1,DD13-INT(DD13))</f>
        <v>0</v>
      </c>
      <c r="DF13" s="30">
        <f t="shared" ca="1" si="17"/>
        <v>0</v>
      </c>
      <c r="DG13" s="35">
        <f ca="1">_xll.RiskBinomial(1,DF13)</f>
        <v>0</v>
      </c>
      <c r="DH13" s="88">
        <f ca="1">IF(DG13=1,_xll.RiskBinomial(1,Prob_Illness_Given_Infection),0)</f>
        <v>0</v>
      </c>
      <c r="DJ13" s="87">
        <f t="shared" ca="1" si="52"/>
        <v>7.3836735650747147E-7</v>
      </c>
      <c r="DK13" s="37">
        <f ca="1">INT(DJ13) + _xll.RiskBinomial(1,DJ13-INT(DJ13))</f>
        <v>0</v>
      </c>
      <c r="DL13" s="30">
        <f t="shared" ca="1" si="18"/>
        <v>0</v>
      </c>
      <c r="DM13" s="35">
        <f ca="1">_xll.RiskBinomial(1,DL13)</f>
        <v>0</v>
      </c>
      <c r="DN13" s="88">
        <f ca="1">IF(DM13=1,_xll.RiskBinomial(1,Prob_Illness_Given_Infection),0)</f>
        <v>0</v>
      </c>
      <c r="DP13" s="87">
        <f t="shared" ca="1" si="53"/>
        <v>1.7454623767324659E-10</v>
      </c>
      <c r="DQ13" s="37">
        <f ca="1">INT(DP13) + _xll.RiskBinomial(1,DP13-INT(DP13))</f>
        <v>0</v>
      </c>
      <c r="DR13" s="30">
        <f t="shared" ca="1" si="19"/>
        <v>0</v>
      </c>
      <c r="DS13" s="35">
        <f ca="1">_xll.RiskBinomial(1,DR13)</f>
        <v>0</v>
      </c>
      <c r="DT13" s="88">
        <f ca="1">IF(DS13=1,_xll.RiskBinomial(1,Prob_Illness_Given_Infection),0)</f>
        <v>0</v>
      </c>
      <c r="DV13" s="87">
        <f t="shared" ca="1" si="54"/>
        <v>2.4572723494014046E-9</v>
      </c>
      <c r="DW13" s="37">
        <f ca="1">INT(DV13) + _xll.RiskBinomial(1,DV13-INT(DV13))</f>
        <v>0</v>
      </c>
      <c r="DX13" s="30">
        <f t="shared" ca="1" si="20"/>
        <v>0</v>
      </c>
      <c r="DY13" s="35">
        <f ca="1">_xll.RiskBinomial(1,DX13)</f>
        <v>0</v>
      </c>
      <c r="DZ13" s="88">
        <f ca="1">IF(DY13=1,_xll.RiskBinomial(1,Prob_Illness_Given_Infection),0)</f>
        <v>0</v>
      </c>
      <c r="EB13" s="87">
        <f t="shared" ca="1" si="55"/>
        <v>6.1660927739500021E-13</v>
      </c>
      <c r="EC13" s="37">
        <f ca="1">INT(EB13) + _xll.RiskBinomial(1,EB13-INT(EB13))</f>
        <v>0</v>
      </c>
      <c r="ED13" s="30">
        <f t="shared" ca="1" si="21"/>
        <v>0</v>
      </c>
      <c r="EE13" s="35">
        <f ca="1">_xll.RiskBinomial(1,ED13)</f>
        <v>0</v>
      </c>
      <c r="EF13" s="88">
        <f ca="1">IF(EE13=1,_xll.RiskBinomial(1,Prob_Illness_Given_Infection),0)</f>
        <v>0</v>
      </c>
      <c r="EH13" s="87">
        <f t="shared" ca="1" si="56"/>
        <v>6.1660927739436639E-13</v>
      </c>
      <c r="EI13" s="37">
        <f ca="1">INT(EH13) + _xll.RiskBinomial(1,EH13-INT(EH13))</f>
        <v>0</v>
      </c>
      <c r="EJ13" s="30">
        <f t="shared" ca="1" si="22"/>
        <v>0</v>
      </c>
      <c r="EK13" s="35">
        <f ca="1">_xll.RiskBinomial(1,EJ13)</f>
        <v>0</v>
      </c>
      <c r="EL13" s="88">
        <f ca="1">IF(EK13=1,_xll.RiskBinomial(1,Prob_Illness_Given_Infection),0)</f>
        <v>0</v>
      </c>
      <c r="EN13" s="87">
        <f t="shared" ca="1" si="57"/>
        <v>5.6261873911460646E-11</v>
      </c>
      <c r="EO13" s="37">
        <f ca="1">INT(EN13) + _xll.RiskBinomial(1,EN13-INT(EN13))</f>
        <v>0</v>
      </c>
      <c r="EP13" s="30">
        <f t="shared" ca="1" si="23"/>
        <v>0</v>
      </c>
      <c r="EQ13" s="35">
        <f ca="1">_xll.RiskBinomial(1,EP13)</f>
        <v>0</v>
      </c>
      <c r="ER13" s="88">
        <f ca="1">IF(EQ13=1,_xll.RiskBinomial(1,Prob_Illness_Given_Infection),0)</f>
        <v>0</v>
      </c>
      <c r="ET13" s="87">
        <f t="shared" ca="1" si="58"/>
        <v>6.1660927739377832E-13</v>
      </c>
      <c r="EU13" s="37">
        <f ca="1">INT(ET13) + _xll.RiskBinomial(1,ET13-INT(ET13))</f>
        <v>0</v>
      </c>
      <c r="EV13" s="30">
        <f t="shared" ca="1" si="24"/>
        <v>0</v>
      </c>
      <c r="EW13" s="35">
        <f ca="1">_xll.RiskBinomial(1,EV13)</f>
        <v>0</v>
      </c>
      <c r="EX13" s="88">
        <f ca="1">IF(EW13=1,_xll.RiskBinomial(1,Prob_Illness_Given_Infection),0)</f>
        <v>0</v>
      </c>
      <c r="EZ13" s="87">
        <f t="shared" ca="1" si="59"/>
        <v>4.650592620653031E-6</v>
      </c>
      <c r="FA13" s="37">
        <f ca="1">INT(EZ13) + _xll.RiskBinomial(1,EZ13-INT(EZ13))</f>
        <v>0</v>
      </c>
      <c r="FB13" s="30">
        <f t="shared" ca="1" si="25"/>
        <v>0</v>
      </c>
      <c r="FC13" s="35">
        <f ca="1">_xll.RiskBinomial(1,FB13)</f>
        <v>0</v>
      </c>
      <c r="FD13" s="88">
        <f ca="1">IF(FC13=1,_xll.RiskBinomial(1,Prob_Illness_Given_Infection),0)</f>
        <v>0</v>
      </c>
      <c r="FF13" s="87">
        <f t="shared" ca="1" si="60"/>
        <v>3.239550542147515E-5</v>
      </c>
      <c r="FG13" s="37">
        <f ca="1">INT(FF13) + _xll.RiskBinomial(1,FF13-INT(FF13))</f>
        <v>0</v>
      </c>
      <c r="FH13" s="30">
        <f t="shared" ca="1" si="26"/>
        <v>0</v>
      </c>
      <c r="FI13" s="35">
        <f ca="1">_xll.RiskBinomial(1,FH13)</f>
        <v>0</v>
      </c>
      <c r="FJ13" s="88">
        <f ca="1">IF(FI13=1,_xll.RiskBinomial(1,Prob_Illness_Given_Infection),0)</f>
        <v>0</v>
      </c>
      <c r="FL13" s="87" t="e">
        <f t="shared" ca="1" si="61"/>
        <v>#NAME?</v>
      </c>
      <c r="FM13" s="37" t="e">
        <f ca="1">INT(FL13) + _xll.RiskBinomial(1,FL13-INT(FL13))</f>
        <v>#NAME?</v>
      </c>
      <c r="FN13" s="30" t="e">
        <f t="shared" ca="1" si="27"/>
        <v>#NAME?</v>
      </c>
      <c r="FO13" s="35" t="e">
        <f ca="1">_xll.RiskBinomial(1,FN13)</f>
        <v>#VALUE!</v>
      </c>
      <c r="FP13" s="88" t="e">
        <f ca="1">IF(FO13=1,_xll.RiskBinomial(1,Prob_Illness_Given_Infection),0)</f>
        <v>#VALUE!</v>
      </c>
      <c r="FR13" s="87" t="e">
        <f t="shared" ca="1" si="62"/>
        <v>#NAME?</v>
      </c>
      <c r="FS13" s="37" t="e">
        <f ca="1">INT(FR13) + _xll.RiskBinomial(1,FR13-INT(FR13))</f>
        <v>#NAME?</v>
      </c>
      <c r="FT13" s="30" t="e">
        <f t="shared" ca="1" si="28"/>
        <v>#NAME?</v>
      </c>
      <c r="FU13" s="35" t="e">
        <f ca="1">_xll.RiskBinomial(1,FT13)</f>
        <v>#VALUE!</v>
      </c>
      <c r="FV13" s="88" t="e">
        <f ca="1">IF(FU13=1,_xll.RiskBinomial(1,Prob_Illness_Given_Infection),0)</f>
        <v>#VALUE!</v>
      </c>
      <c r="FX13" s="87">
        <f t="shared" ca="1" si="63"/>
        <v>6.5099576112416894E-8</v>
      </c>
      <c r="FY13" s="37">
        <f ca="1">INT(FX13) + _xll.RiskBinomial(1,FX13-INT(FX13))</f>
        <v>0</v>
      </c>
      <c r="FZ13" s="30">
        <f t="shared" ca="1" si="29"/>
        <v>0</v>
      </c>
      <c r="GA13" s="35">
        <f ca="1">_xll.RiskBinomial(1,FZ13)</f>
        <v>0</v>
      </c>
      <c r="GB13" s="88">
        <f ca="1">IF(GA13=1,_xll.RiskBinomial(1,Prob_Illness_Given_Infection),0)</f>
        <v>0</v>
      </c>
      <c r="GD13" s="87" t="e">
        <f t="shared" ca="1" si="64"/>
        <v>#NAME?</v>
      </c>
      <c r="GE13" s="37" t="e">
        <f ca="1">INT(GD13) + _xll.RiskBinomial(1,GD13-INT(GD13))</f>
        <v>#NAME?</v>
      </c>
      <c r="GF13" s="30" t="e">
        <f t="shared" ca="1" si="30"/>
        <v>#NAME?</v>
      </c>
      <c r="GG13" s="35" t="e">
        <f ca="1">_xll.RiskBinomial(1,GF13)</f>
        <v>#VALUE!</v>
      </c>
      <c r="GH13" s="88" t="e">
        <f ca="1">IF(GG13=1,_xll.RiskBinomial(1,Prob_Illness_Given_Infection),0)</f>
        <v>#VALUE!</v>
      </c>
      <c r="GJ13" s="87" t="e">
        <f t="shared" ca="1" si="65"/>
        <v>#NAME?</v>
      </c>
      <c r="GK13" s="37" t="e">
        <f ca="1">INT(GJ13) + _xll.RiskBinomial(1,GJ13-INT(GJ13))</f>
        <v>#NAME?</v>
      </c>
      <c r="GL13" s="30" t="e">
        <f t="shared" ca="1" si="31"/>
        <v>#NAME?</v>
      </c>
      <c r="GM13" s="35" t="e">
        <f ca="1">_xll.RiskBinomial(1,GL13)</f>
        <v>#VALUE!</v>
      </c>
      <c r="GN13" s="88" t="e">
        <f ca="1">IF(GM13=1,_xll.RiskBinomial(1,Prob_Illness_Given_Infection),0)</f>
        <v>#VALUE!</v>
      </c>
      <c r="GP13" s="87" t="e">
        <f t="shared" ca="1" si="66"/>
        <v>#NAME?</v>
      </c>
      <c r="GQ13" s="37" t="e">
        <f ca="1">INT(GP13) + _xll.RiskBinomial(1,GP13-INT(GP13))</f>
        <v>#NAME?</v>
      </c>
      <c r="GR13" s="30" t="e">
        <f t="shared" ca="1" si="32"/>
        <v>#NAME?</v>
      </c>
      <c r="GS13" s="35" t="e">
        <f ca="1">_xll.RiskBinomial(1,GR13)</f>
        <v>#VALUE!</v>
      </c>
      <c r="GT13" s="88" t="e">
        <f ca="1">IF(GS13=1,_xll.RiskBinomial(1,Prob_Illness_Given_Infection),0)</f>
        <v>#VALUE!</v>
      </c>
    </row>
    <row r="14" spans="2:202">
      <c r="B14" s="108">
        <v>6</v>
      </c>
      <c r="C14" s="87">
        <f ca="1">_xll.RiskLoglogistic(LogLogistic_gamma, LogLogistic_beta, LogLogistic_alpha, _xll.RiskTruncate(5,800))</f>
        <v>84.561017133615181</v>
      </c>
      <c r="D14" s="38">
        <f t="shared" ca="1" si="33"/>
        <v>5.4323381948985583</v>
      </c>
      <c r="E14" s="30"/>
      <c r="F14" s="87">
        <f t="shared" ca="1" si="34"/>
        <v>1.9612869875812234E-9</v>
      </c>
      <c r="G14" s="37">
        <f ca="1">INT(F14) + _xll.RiskBinomial(1,F14-INT(F14))</f>
        <v>0</v>
      </c>
      <c r="H14" s="30">
        <f t="shared" ca="1" si="0"/>
        <v>0</v>
      </c>
      <c r="I14" s="35">
        <f ca="1">_xll.RiskBinomial(1,H14)</f>
        <v>0</v>
      </c>
      <c r="J14" s="88">
        <f ca="1">IF(I14=1,_xll.RiskBinomial(1,Prob_Illness_Given_Infection),0)</f>
        <v>0</v>
      </c>
      <c r="K14" s="30"/>
      <c r="L14" s="87">
        <f t="shared" ca="1" si="35"/>
        <v>1.0017742894607775E-4</v>
      </c>
      <c r="M14" s="37">
        <f ca="1">INT(L14) + _xll.RiskBinomial(1,L14-INT(L14))</f>
        <v>0</v>
      </c>
      <c r="N14" s="30">
        <f t="shared" ca="1" si="1"/>
        <v>0</v>
      </c>
      <c r="O14" s="35">
        <f ca="1">_xll.RiskBinomial(1,N14)</f>
        <v>0</v>
      </c>
      <c r="P14" s="88">
        <f ca="1">IF(O14=1,_xll.RiskBinomial(1,Prob_Illness_Given_Infection),0)</f>
        <v>0</v>
      </c>
      <c r="Q14" s="30"/>
      <c r="R14" s="87">
        <f t="shared" ca="1" si="36"/>
        <v>1.0355918992700828E-5</v>
      </c>
      <c r="S14" s="37">
        <f ca="1">INT(R14) + _xll.RiskBinomial(1,R14-INT(R14))</f>
        <v>0</v>
      </c>
      <c r="T14" s="30">
        <f t="shared" ca="1" si="2"/>
        <v>0</v>
      </c>
      <c r="U14" s="35">
        <f ca="1">_xll.RiskBinomial(1,T14)</f>
        <v>0</v>
      </c>
      <c r="V14" s="88">
        <f ca="1">IF(U14=1,_xll.RiskBinomial(1,Prob_Illness_Given_Infection),0)</f>
        <v>0</v>
      </c>
      <c r="W14" s="30"/>
      <c r="X14" s="87">
        <f t="shared" ca="1" si="37"/>
        <v>4.2544813367073799E-12</v>
      </c>
      <c r="Y14" s="37">
        <f ca="1">INT(X14) + _xll.RiskBinomial(1,X14-INT(X14))</f>
        <v>0</v>
      </c>
      <c r="Z14" s="30">
        <f t="shared" ca="1" si="3"/>
        <v>0</v>
      </c>
      <c r="AA14" s="35">
        <f ca="1">_xll.RiskBinomial(1,Z14)</f>
        <v>0</v>
      </c>
      <c r="AB14" s="88">
        <f ca="1">IF(AA14=1,_xll.RiskBinomial(1,Prob_Illness_Given_Infection),0)</f>
        <v>0</v>
      </c>
      <c r="AC14" s="30"/>
      <c r="AD14" s="87">
        <f t="shared" ca="1" si="38"/>
        <v>2.1434830465402781E-12</v>
      </c>
      <c r="AE14" s="37">
        <f ca="1">INT(AD14) + _xll.RiskBinomial(1,AD14-INT(AD14))</f>
        <v>0</v>
      </c>
      <c r="AF14" s="30">
        <f t="shared" ca="1" si="4"/>
        <v>0</v>
      </c>
      <c r="AG14" s="35">
        <f ca="1">_xll.RiskBinomial(1,AF14)</f>
        <v>0</v>
      </c>
      <c r="AH14" s="88">
        <f ca="1">IF(AG14=1,_xll.RiskBinomial(1,Prob_Illness_Given_Infection),0)</f>
        <v>0</v>
      </c>
      <c r="AI14" s="30"/>
      <c r="AJ14" s="87">
        <f t="shared" ca="1" si="39"/>
        <v>9.9494959119384073E-5</v>
      </c>
      <c r="AK14" s="37">
        <f ca="1">INT(AJ14) + _xll.RiskBinomial(1,AJ14-INT(AJ14))</f>
        <v>0</v>
      </c>
      <c r="AL14" s="30">
        <f t="shared" ca="1" si="5"/>
        <v>0</v>
      </c>
      <c r="AM14" s="35">
        <f ca="1">_xll.RiskBinomial(1,AL14)</f>
        <v>0</v>
      </c>
      <c r="AN14" s="88">
        <f ca="1">IF(AM14=1,_xll.RiskBinomial(1,Prob_Illness_Given_Infection),0)</f>
        <v>0</v>
      </c>
      <c r="AO14" s="30"/>
      <c r="AP14" s="87">
        <f t="shared" ca="1" si="40"/>
        <v>2.4196212628689091E-9</v>
      </c>
      <c r="AQ14" s="37">
        <f ca="1">INT(AP14) + _xll.RiskBinomial(1,AP14-INT(AP14))</f>
        <v>0</v>
      </c>
      <c r="AR14" s="30">
        <f t="shared" ca="1" si="6"/>
        <v>0</v>
      </c>
      <c r="AS14" s="35">
        <f ca="1">_xll.RiskBinomial(1,AR14)</f>
        <v>0</v>
      </c>
      <c r="AT14" s="88">
        <f ca="1">IF(AS14=1,_xll.RiskBinomial(1,Prob_Illness_Given_Infection),0)</f>
        <v>0</v>
      </c>
      <c r="AU14" s="30"/>
      <c r="AV14" s="87">
        <f t="shared" ca="1" si="41"/>
        <v>5.6133953677516182E-5</v>
      </c>
      <c r="AW14" s="37">
        <f ca="1">INT(AV14) + _xll.RiskBinomial(1,AV14-INT(AV14))</f>
        <v>0</v>
      </c>
      <c r="AX14" s="30">
        <f t="shared" ca="1" si="7"/>
        <v>0</v>
      </c>
      <c r="AY14" s="35">
        <f ca="1">_xll.RiskBinomial(1,AX14)</f>
        <v>0</v>
      </c>
      <c r="AZ14" s="88">
        <f ca="1">IF(AY14=1,_xll.RiskBinomial(1,Prob_Illness_Given_Infection),0)</f>
        <v>0</v>
      </c>
      <c r="BB14" s="87">
        <f t="shared" ca="1" si="42"/>
        <v>7.704440592125462E-5</v>
      </c>
      <c r="BC14" s="37">
        <f ca="1">INT(BB14) + _xll.RiskBinomial(1,BB14-INT(BB14))</f>
        <v>0</v>
      </c>
      <c r="BD14" s="30">
        <f t="shared" ca="1" si="8"/>
        <v>0</v>
      </c>
      <c r="BE14" s="35">
        <f ca="1">_xll.RiskBinomial(1,BD14)</f>
        <v>0</v>
      </c>
      <c r="BF14" s="88">
        <f ca="1">IF(BE14=1,_xll.RiskBinomial(1,Prob_Illness_Given_Infection),0)</f>
        <v>0</v>
      </c>
      <c r="BH14" s="87">
        <f t="shared" ca="1" si="43"/>
        <v>9.7543729771277179E-5</v>
      </c>
      <c r="BI14" s="37">
        <f ca="1">INT(BH14) + _xll.RiskBinomial(1,BH14-INT(BH14))</f>
        <v>0</v>
      </c>
      <c r="BJ14" s="30">
        <f t="shared" ca="1" si="9"/>
        <v>0</v>
      </c>
      <c r="BK14" s="35">
        <f ca="1">_xll.RiskBinomial(1,BJ14)</f>
        <v>0</v>
      </c>
      <c r="BL14" s="88">
        <f ca="1">IF(BK14=1,_xll.RiskBinomial(1,Prob_Illness_Given_Infection),0)</f>
        <v>0</v>
      </c>
      <c r="BN14" s="87">
        <f t="shared" ca="1" si="44"/>
        <v>7.4236340270159897E-6</v>
      </c>
      <c r="BO14" s="37">
        <f ca="1">INT(BN14) + _xll.RiskBinomial(1,BN14-INT(BN14))</f>
        <v>0</v>
      </c>
      <c r="BP14" s="30">
        <f t="shared" ca="1" si="10"/>
        <v>0</v>
      </c>
      <c r="BQ14" s="35">
        <f ca="1">_xll.RiskBinomial(1,BP14)</f>
        <v>0</v>
      </c>
      <c r="BR14" s="88">
        <f ca="1">IF(BQ14=1,_xll.RiskBinomial(1,Prob_Illness_Given_Infection),0)</f>
        <v>0</v>
      </c>
      <c r="BT14" s="87">
        <f t="shared" ca="1" si="45"/>
        <v>2.232278903752343E-5</v>
      </c>
      <c r="BU14" s="37">
        <f ca="1">INT(BT14) + _xll.RiskBinomial(1,BT14-INT(BT14))</f>
        <v>0</v>
      </c>
      <c r="BV14" s="30">
        <f t="shared" ca="1" si="11"/>
        <v>0</v>
      </c>
      <c r="BW14" s="35">
        <f ca="1">_xll.RiskBinomial(1,BV14)</f>
        <v>0</v>
      </c>
      <c r="BX14" s="88">
        <f ca="1">IF(BW14=1,_xll.RiskBinomial(1,Prob_Illness_Given_Infection),0)</f>
        <v>0</v>
      </c>
      <c r="BZ14" s="87">
        <f t="shared" ca="1" si="46"/>
        <v>6.1194289567367857E-5</v>
      </c>
      <c r="CA14" s="37">
        <f ca="1">INT(BZ14) + _xll.RiskBinomial(1,BZ14-INT(BZ14))</f>
        <v>0</v>
      </c>
      <c r="CB14" s="30">
        <f t="shared" ca="1" si="12"/>
        <v>0</v>
      </c>
      <c r="CC14" s="35">
        <f ca="1">_xll.RiskBinomial(1,CB14)</f>
        <v>0</v>
      </c>
      <c r="CD14" s="88">
        <f ca="1">IF(CC14=1,_xll.RiskBinomial(1,Prob_Illness_Given_Infection),0)</f>
        <v>0</v>
      </c>
      <c r="CF14" s="87">
        <f t="shared" ca="1" si="47"/>
        <v>1.1611003937605992E-5</v>
      </c>
      <c r="CG14" s="37">
        <f ca="1">INT(CF14) + _xll.RiskBinomial(1,CF14-INT(CF14))</f>
        <v>0</v>
      </c>
      <c r="CH14" s="30">
        <f t="shared" ca="1" si="13"/>
        <v>0</v>
      </c>
      <c r="CI14" s="35">
        <f ca="1">_xll.RiskBinomial(1,CH14)</f>
        <v>0</v>
      </c>
      <c r="CJ14" s="88">
        <f ca="1">IF(CI14=1,_xll.RiskBinomial(1,Prob_Illness_Given_Infection),0)</f>
        <v>0</v>
      </c>
      <c r="CL14" s="87">
        <f t="shared" ca="1" si="48"/>
        <v>2.2405987033718498E-5</v>
      </c>
      <c r="CM14" s="37">
        <f ca="1">INT(CL14) + _xll.RiskBinomial(1,CL14-INT(CL14))</f>
        <v>0</v>
      </c>
      <c r="CN14" s="30">
        <f t="shared" ca="1" si="14"/>
        <v>0</v>
      </c>
      <c r="CO14" s="35">
        <f ca="1">_xll.RiskBinomial(1,CN14)</f>
        <v>0</v>
      </c>
      <c r="CP14" s="88">
        <f ca="1">IF(CO14=1,_xll.RiskBinomial(1,Prob_Illness_Given_Infection),0)</f>
        <v>0</v>
      </c>
      <c r="CR14" s="87">
        <f t="shared" ca="1" si="49"/>
        <v>1.5441528103806186E-7</v>
      </c>
      <c r="CS14" s="37">
        <f ca="1">INT(CR14) + _xll.RiskBinomial(1,CR14-INT(CR14))</f>
        <v>0</v>
      </c>
      <c r="CT14" s="30">
        <f t="shared" ca="1" si="15"/>
        <v>0</v>
      </c>
      <c r="CU14" s="35">
        <f ca="1">_xll.RiskBinomial(1,CT14)</f>
        <v>0</v>
      </c>
      <c r="CV14" s="88">
        <f ca="1">IF(CU14=1,_xll.RiskBinomial(1,Prob_Illness_Given_Infection),0)</f>
        <v>0</v>
      </c>
      <c r="CX14" s="87">
        <f t="shared" ca="1" si="50"/>
        <v>1.571930006504854E-9</v>
      </c>
      <c r="CY14" s="37">
        <f ca="1">INT(CX14) + _xll.RiskBinomial(1,CX14-INT(CX14))</f>
        <v>0</v>
      </c>
      <c r="CZ14" s="30">
        <f t="shared" ca="1" si="16"/>
        <v>0</v>
      </c>
      <c r="DA14" s="35">
        <f ca="1">_xll.RiskBinomial(1,CZ14)</f>
        <v>0</v>
      </c>
      <c r="DB14" s="88">
        <f ca="1">IF(DA14=1,_xll.RiskBinomial(1,Prob_Illness_Given_Infection),0)</f>
        <v>0</v>
      </c>
      <c r="DD14" s="87">
        <f t="shared" ca="1" si="51"/>
        <v>1.571930006504854E-9</v>
      </c>
      <c r="DE14" s="37">
        <f ca="1">INT(DD14) + _xll.RiskBinomial(1,DD14-INT(DD14))</f>
        <v>0</v>
      </c>
      <c r="DF14" s="30">
        <f t="shared" ca="1" si="17"/>
        <v>0</v>
      </c>
      <c r="DG14" s="35">
        <f ca="1">_xll.RiskBinomial(1,DF14)</f>
        <v>0</v>
      </c>
      <c r="DH14" s="88">
        <f ca="1">IF(DG14=1,_xll.RiskBinomial(1,Prob_Illness_Given_Infection),0)</f>
        <v>0</v>
      </c>
      <c r="DJ14" s="87">
        <f t="shared" ca="1" si="52"/>
        <v>2.5667435908171245E-6</v>
      </c>
      <c r="DK14" s="37">
        <f ca="1">INT(DJ14) + _xll.RiskBinomial(1,DJ14-INT(DJ14))</f>
        <v>0</v>
      </c>
      <c r="DL14" s="30">
        <f t="shared" ca="1" si="18"/>
        <v>0</v>
      </c>
      <c r="DM14" s="35">
        <f ca="1">_xll.RiskBinomial(1,DL14)</f>
        <v>0</v>
      </c>
      <c r="DN14" s="88">
        <f ca="1">IF(DM14=1,_xll.RiskBinomial(1,Prob_Illness_Given_Infection),0)</f>
        <v>0</v>
      </c>
      <c r="DP14" s="87">
        <f t="shared" ca="1" si="53"/>
        <v>6.0676495636019463E-10</v>
      </c>
      <c r="DQ14" s="37">
        <f ca="1">INT(DP14) + _xll.RiskBinomial(1,DP14-INT(DP14))</f>
        <v>0</v>
      </c>
      <c r="DR14" s="30">
        <f t="shared" ca="1" si="19"/>
        <v>0</v>
      </c>
      <c r="DS14" s="35">
        <f ca="1">_xll.RiskBinomial(1,DR14)</f>
        <v>0</v>
      </c>
      <c r="DT14" s="88">
        <f ca="1">IF(DS14=1,_xll.RiskBinomial(1,Prob_Illness_Given_Infection),0)</f>
        <v>0</v>
      </c>
      <c r="DV14" s="87">
        <f t="shared" ca="1" si="54"/>
        <v>8.5420732622195362E-9</v>
      </c>
      <c r="DW14" s="37">
        <f ca="1">INT(DV14) + _xll.RiskBinomial(1,DV14-INT(DV14))</f>
        <v>0</v>
      </c>
      <c r="DX14" s="30">
        <f t="shared" ca="1" si="20"/>
        <v>0</v>
      </c>
      <c r="DY14" s="35">
        <f ca="1">_xll.RiskBinomial(1,DX14)</f>
        <v>0</v>
      </c>
      <c r="DZ14" s="88">
        <f ca="1">IF(DY14=1,_xll.RiskBinomial(1,Prob_Illness_Given_Infection),0)</f>
        <v>0</v>
      </c>
      <c r="EB14" s="87">
        <f t="shared" ca="1" si="55"/>
        <v>2.1434830465395584E-12</v>
      </c>
      <c r="EC14" s="37">
        <f ca="1">INT(EB14) + _xll.RiskBinomial(1,EB14-INT(EB14))</f>
        <v>0</v>
      </c>
      <c r="ED14" s="30">
        <f t="shared" ca="1" si="21"/>
        <v>0</v>
      </c>
      <c r="EE14" s="35">
        <f ca="1">_xll.RiskBinomial(1,ED14)</f>
        <v>0</v>
      </c>
      <c r="EF14" s="88">
        <f ca="1">IF(EE14=1,_xll.RiskBinomial(1,Prob_Illness_Given_Infection),0)</f>
        <v>0</v>
      </c>
      <c r="EH14" s="87">
        <f t="shared" ca="1" si="56"/>
        <v>2.1434830465373547E-12</v>
      </c>
      <c r="EI14" s="37">
        <f ca="1">INT(EH14) + _xll.RiskBinomial(1,EH14-INT(EH14))</f>
        <v>0</v>
      </c>
      <c r="EJ14" s="30">
        <f t="shared" ca="1" si="22"/>
        <v>0</v>
      </c>
      <c r="EK14" s="35">
        <f ca="1">_xll.RiskBinomial(1,EJ14)</f>
        <v>0</v>
      </c>
      <c r="EL14" s="88">
        <f ca="1">IF(EK14=1,_xll.RiskBinomial(1,Prob_Illness_Given_Infection),0)</f>
        <v>0</v>
      </c>
      <c r="EN14" s="87">
        <f t="shared" ca="1" si="57"/>
        <v>1.9557988716168484E-10</v>
      </c>
      <c r="EO14" s="37">
        <f ca="1">INT(EN14) + _xll.RiskBinomial(1,EN14-INT(EN14))</f>
        <v>0</v>
      </c>
      <c r="EP14" s="30">
        <f t="shared" ca="1" si="23"/>
        <v>0</v>
      </c>
      <c r="EQ14" s="35">
        <f ca="1">_xll.RiskBinomial(1,EP14)</f>
        <v>0</v>
      </c>
      <c r="ER14" s="88">
        <f ca="1">IF(EQ14=1,_xll.RiskBinomial(1,Prob_Illness_Given_Infection),0)</f>
        <v>0</v>
      </c>
      <c r="ET14" s="87">
        <f t="shared" ca="1" si="58"/>
        <v>2.143483046535311E-12</v>
      </c>
      <c r="EU14" s="37">
        <f ca="1">INT(ET14) + _xll.RiskBinomial(1,ET14-INT(ET14))</f>
        <v>0</v>
      </c>
      <c r="EV14" s="30">
        <f t="shared" ca="1" si="24"/>
        <v>0</v>
      </c>
      <c r="EW14" s="35">
        <f ca="1">_xll.RiskBinomial(1,EV14)</f>
        <v>0</v>
      </c>
      <c r="EX14" s="88">
        <f ca="1">IF(EW14=1,_xll.RiskBinomial(1,Prob_Illness_Given_Infection),0)</f>
        <v>0</v>
      </c>
      <c r="EZ14" s="87">
        <f t="shared" ca="1" si="59"/>
        <v>1.616658523343291E-5</v>
      </c>
      <c r="FA14" s="37">
        <f ca="1">INT(EZ14) + _xll.RiskBinomial(1,EZ14-INT(EZ14))</f>
        <v>0</v>
      </c>
      <c r="FB14" s="30">
        <f t="shared" ca="1" si="25"/>
        <v>0</v>
      </c>
      <c r="FC14" s="35">
        <f ca="1">_xll.RiskBinomial(1,FB14)</f>
        <v>0</v>
      </c>
      <c r="FD14" s="88">
        <f ca="1">IF(FC14=1,_xll.RiskBinomial(1,Prob_Illness_Given_Infection),0)</f>
        <v>0</v>
      </c>
      <c r="FF14" s="87">
        <f t="shared" ca="1" si="60"/>
        <v>1.1261461544719758E-4</v>
      </c>
      <c r="FG14" s="37">
        <f ca="1">INT(FF14) + _xll.RiskBinomial(1,FF14-INT(FF14))</f>
        <v>0</v>
      </c>
      <c r="FH14" s="30">
        <f t="shared" ca="1" si="26"/>
        <v>0</v>
      </c>
      <c r="FI14" s="35">
        <f ca="1">_xll.RiskBinomial(1,FH14)</f>
        <v>0</v>
      </c>
      <c r="FJ14" s="88">
        <f ca="1">IF(FI14=1,_xll.RiskBinomial(1,Prob_Illness_Given_Infection),0)</f>
        <v>0</v>
      </c>
      <c r="FL14" s="87" t="e">
        <f t="shared" ca="1" si="61"/>
        <v>#NAME?</v>
      </c>
      <c r="FM14" s="37" t="e">
        <f ca="1">INT(FL14) + _xll.RiskBinomial(1,FL14-INT(FL14))</f>
        <v>#NAME?</v>
      </c>
      <c r="FN14" s="30" t="e">
        <f t="shared" ca="1" si="27"/>
        <v>#NAME?</v>
      </c>
      <c r="FO14" s="35" t="e">
        <f ca="1">_xll.RiskBinomial(1,FN14)</f>
        <v>#VALUE!</v>
      </c>
      <c r="FP14" s="88" t="e">
        <f ca="1">IF(FO14=1,_xll.RiskBinomial(1,Prob_Illness_Given_Infection),0)</f>
        <v>#VALUE!</v>
      </c>
      <c r="FR14" s="87" t="e">
        <f t="shared" ca="1" si="62"/>
        <v>#NAME?</v>
      </c>
      <c r="FS14" s="37" t="e">
        <f ca="1">INT(FR14) + _xll.RiskBinomial(1,FR14-INT(FR14))</f>
        <v>#NAME?</v>
      </c>
      <c r="FT14" s="30" t="e">
        <f t="shared" ca="1" si="28"/>
        <v>#NAME?</v>
      </c>
      <c r="FU14" s="35" t="e">
        <f ca="1">_xll.RiskBinomial(1,FT14)</f>
        <v>#VALUE!</v>
      </c>
      <c r="FV14" s="88" t="e">
        <f ca="1">IF(FU14=1,_xll.RiskBinomial(1,Prob_Illness_Given_Infection),0)</f>
        <v>#VALUE!</v>
      </c>
      <c r="FX14" s="87">
        <f t="shared" ca="1" si="63"/>
        <v>2.2630187843328204E-7</v>
      </c>
      <c r="FY14" s="37">
        <f ca="1">INT(FX14) + _xll.RiskBinomial(1,FX14-INT(FX14))</f>
        <v>0</v>
      </c>
      <c r="FZ14" s="30">
        <f t="shared" ca="1" si="29"/>
        <v>0</v>
      </c>
      <c r="GA14" s="35">
        <f ca="1">_xll.RiskBinomial(1,FZ14)</f>
        <v>0</v>
      </c>
      <c r="GB14" s="88">
        <f ca="1">IF(GA14=1,_xll.RiskBinomial(1,Prob_Illness_Given_Infection),0)</f>
        <v>0</v>
      </c>
      <c r="GD14" s="87" t="e">
        <f t="shared" ca="1" si="64"/>
        <v>#NAME?</v>
      </c>
      <c r="GE14" s="37" t="e">
        <f ca="1">INT(GD14) + _xll.RiskBinomial(1,GD14-INT(GD14))</f>
        <v>#NAME?</v>
      </c>
      <c r="GF14" s="30" t="e">
        <f t="shared" ca="1" si="30"/>
        <v>#NAME?</v>
      </c>
      <c r="GG14" s="35" t="e">
        <f ca="1">_xll.RiskBinomial(1,GF14)</f>
        <v>#VALUE!</v>
      </c>
      <c r="GH14" s="88" t="e">
        <f ca="1">IF(GG14=1,_xll.RiskBinomial(1,Prob_Illness_Given_Infection),0)</f>
        <v>#VALUE!</v>
      </c>
      <c r="GJ14" s="87" t="e">
        <f t="shared" ca="1" si="65"/>
        <v>#NAME?</v>
      </c>
      <c r="GK14" s="37" t="e">
        <f ca="1">INT(GJ14) + _xll.RiskBinomial(1,GJ14-INT(GJ14))</f>
        <v>#NAME?</v>
      </c>
      <c r="GL14" s="30" t="e">
        <f t="shared" ca="1" si="31"/>
        <v>#NAME?</v>
      </c>
      <c r="GM14" s="35" t="e">
        <f ca="1">_xll.RiskBinomial(1,GL14)</f>
        <v>#VALUE!</v>
      </c>
      <c r="GN14" s="88" t="e">
        <f ca="1">IF(GM14=1,_xll.RiskBinomial(1,Prob_Illness_Given_Infection),0)</f>
        <v>#VALUE!</v>
      </c>
      <c r="GP14" s="87" t="e">
        <f t="shared" ca="1" si="66"/>
        <v>#NAME?</v>
      </c>
      <c r="GQ14" s="37" t="e">
        <f ca="1">INT(GP14) + _xll.RiskBinomial(1,GP14-INT(GP14))</f>
        <v>#NAME?</v>
      </c>
      <c r="GR14" s="30" t="e">
        <f t="shared" ca="1" si="32"/>
        <v>#NAME?</v>
      </c>
      <c r="GS14" s="35" t="e">
        <f ca="1">_xll.RiskBinomial(1,GR14)</f>
        <v>#VALUE!</v>
      </c>
      <c r="GT14" s="88" t="e">
        <f ca="1">IF(GS14=1,_xll.RiskBinomial(1,Prob_Illness_Given_Infection),0)</f>
        <v>#VALUE!</v>
      </c>
    </row>
    <row r="15" spans="2:202">
      <c r="B15" s="108">
        <v>7</v>
      </c>
      <c r="C15" s="87">
        <f ca="1">_xll.RiskLoglogistic(LogLogistic_gamma, LogLogistic_beta, LogLogistic_alpha, _xll.RiskTruncate(5,800))</f>
        <v>56.407054065825413</v>
      </c>
      <c r="D15" s="38">
        <f t="shared" ca="1" si="33"/>
        <v>3.6236815101137267</v>
      </c>
      <c r="E15" s="30"/>
      <c r="F15" s="87">
        <f t="shared" ca="1" si="34"/>
        <v>1.3082910411577283E-9</v>
      </c>
      <c r="G15" s="37">
        <f ca="1">INT(F15) + _xll.RiskBinomial(1,F15-INT(F15))</f>
        <v>0</v>
      </c>
      <c r="H15" s="30">
        <f t="shared" ca="1" si="0"/>
        <v>0</v>
      </c>
      <c r="I15" s="35">
        <f ca="1">_xll.RiskBinomial(1,H15)</f>
        <v>0</v>
      </c>
      <c r="J15" s="88">
        <f ca="1">IF(I15=1,_xll.RiskBinomial(1,Prob_Illness_Given_Infection),0)</f>
        <v>0</v>
      </c>
      <c r="K15" s="30"/>
      <c r="L15" s="87">
        <f t="shared" ca="1" si="35"/>
        <v>6.6824097465716117E-5</v>
      </c>
      <c r="M15" s="37">
        <f ca="1">INT(L15) + _xll.RiskBinomial(1,L15-INT(L15))</f>
        <v>0</v>
      </c>
      <c r="N15" s="30">
        <f t="shared" ca="1" si="1"/>
        <v>0</v>
      </c>
      <c r="O15" s="35">
        <f ca="1">_xll.RiskBinomial(1,N15)</f>
        <v>0</v>
      </c>
      <c r="P15" s="88">
        <f ca="1">IF(O15=1,_xll.RiskBinomial(1,Prob_Illness_Given_Infection),0)</f>
        <v>0</v>
      </c>
      <c r="Q15" s="30"/>
      <c r="R15" s="87">
        <f t="shared" ca="1" si="36"/>
        <v>6.9079926226475155E-6</v>
      </c>
      <c r="S15" s="37">
        <f ca="1">INT(R15) + _xll.RiskBinomial(1,R15-INT(R15))</f>
        <v>0</v>
      </c>
      <c r="T15" s="30">
        <f t="shared" ca="1" si="2"/>
        <v>0</v>
      </c>
      <c r="U15" s="35">
        <f ca="1">_xll.RiskBinomial(1,T15)</f>
        <v>0</v>
      </c>
      <c r="V15" s="88">
        <f ca="1">IF(U15=1,_xll.RiskBinomial(1,Prob_Illness_Given_Infection),0)</f>
        <v>0</v>
      </c>
      <c r="W15" s="30"/>
      <c r="X15" s="87">
        <f t="shared" ca="1" si="37"/>
        <v>2.8379833511522298E-12</v>
      </c>
      <c r="Y15" s="37">
        <f ca="1">INT(X15) + _xll.RiskBinomial(1,X15-INT(X15))</f>
        <v>0</v>
      </c>
      <c r="Z15" s="30">
        <f t="shared" ca="1" si="3"/>
        <v>0</v>
      </c>
      <c r="AA15" s="35">
        <f ca="1">_xll.RiskBinomial(1,Z15)</f>
        <v>0</v>
      </c>
      <c r="AB15" s="88">
        <f ca="1">IF(AA15=1,_xll.RiskBinomial(1,Prob_Illness_Given_Infection),0)</f>
        <v>0</v>
      </c>
      <c r="AC15" s="30"/>
      <c r="AD15" s="87">
        <f t="shared" ca="1" si="38"/>
        <v>1.4298262744916035E-12</v>
      </c>
      <c r="AE15" s="37">
        <f ca="1">INT(AD15) + _xll.RiskBinomial(1,AD15-INT(AD15))</f>
        <v>0</v>
      </c>
      <c r="AF15" s="30">
        <f t="shared" ca="1" si="4"/>
        <v>0</v>
      </c>
      <c r="AG15" s="35">
        <f ca="1">_xll.RiskBinomial(1,AF15)</f>
        <v>0</v>
      </c>
      <c r="AH15" s="88">
        <f ca="1">IF(AG15=1,_xll.RiskBinomial(1,Prob_Illness_Given_Infection),0)</f>
        <v>0</v>
      </c>
      <c r="AI15" s="30"/>
      <c r="AJ15" s="87">
        <f t="shared" ca="1" si="39"/>
        <v>6.6368850902730978E-5</v>
      </c>
      <c r="AK15" s="37">
        <f ca="1">INT(AJ15) + _xll.RiskBinomial(1,AJ15-INT(AJ15))</f>
        <v>0</v>
      </c>
      <c r="AL15" s="30">
        <f t="shared" ca="1" si="5"/>
        <v>0</v>
      </c>
      <c r="AM15" s="35">
        <f ca="1">_xll.RiskBinomial(1,AL15)</f>
        <v>0</v>
      </c>
      <c r="AN15" s="88">
        <f ca="1">IF(AM15=1,_xll.RiskBinomial(1,Prob_Illness_Given_Infection),0)</f>
        <v>0</v>
      </c>
      <c r="AO15" s="30"/>
      <c r="AP15" s="87">
        <f t="shared" ca="1" si="40"/>
        <v>1.6140263211097482E-9</v>
      </c>
      <c r="AQ15" s="37">
        <f ca="1">INT(AP15) + _xll.RiskBinomial(1,AP15-INT(AP15))</f>
        <v>0</v>
      </c>
      <c r="AR15" s="30">
        <f t="shared" ca="1" si="6"/>
        <v>0</v>
      </c>
      <c r="AS15" s="35">
        <f ca="1">_xll.RiskBinomial(1,AR15)</f>
        <v>0</v>
      </c>
      <c r="AT15" s="88">
        <f ca="1">IF(AS15=1,_xll.RiskBinomial(1,Prob_Illness_Given_Infection),0)</f>
        <v>0</v>
      </c>
      <c r="AU15" s="30"/>
      <c r="AV15" s="87">
        <f t="shared" ca="1" si="41"/>
        <v>3.7444570410181222E-5</v>
      </c>
      <c r="AW15" s="37">
        <f ca="1">INT(AV15) + _xll.RiskBinomial(1,AV15-INT(AV15))</f>
        <v>0</v>
      </c>
      <c r="AX15" s="30">
        <f t="shared" ca="1" si="7"/>
        <v>0</v>
      </c>
      <c r="AY15" s="35">
        <f ca="1">_xll.RiskBinomial(1,AX15)</f>
        <v>0</v>
      </c>
      <c r="AZ15" s="88">
        <f ca="1">IF(AY15=1,_xll.RiskBinomial(1,Prob_Illness_Given_Infection),0)</f>
        <v>0</v>
      </c>
      <c r="BB15" s="87">
        <f t="shared" ca="1" si="42"/>
        <v>5.1393042770556059E-5</v>
      </c>
      <c r="BC15" s="37">
        <f ca="1">INT(BB15) + _xll.RiskBinomial(1,BB15-INT(BB15))</f>
        <v>0</v>
      </c>
      <c r="BD15" s="30">
        <f t="shared" ca="1" si="8"/>
        <v>0</v>
      </c>
      <c r="BE15" s="35">
        <f ca="1">_xll.RiskBinomial(1,BD15)</f>
        <v>0</v>
      </c>
      <c r="BF15" s="88">
        <f ca="1">IF(BE15=1,_xll.RiskBinomial(1,Prob_Illness_Given_Infection),0)</f>
        <v>0</v>
      </c>
      <c r="BH15" s="87">
        <f t="shared" ca="1" si="43"/>
        <v>6.5067268884629425E-5</v>
      </c>
      <c r="BI15" s="37">
        <f ca="1">INT(BH15) + _xll.RiskBinomial(1,BH15-INT(BH15))</f>
        <v>0</v>
      </c>
      <c r="BJ15" s="30">
        <f t="shared" ca="1" si="9"/>
        <v>0</v>
      </c>
      <c r="BK15" s="35">
        <f ca="1">_xll.RiskBinomial(1,BJ15)</f>
        <v>0</v>
      </c>
      <c r="BL15" s="88">
        <f ca="1">IF(BK15=1,_xll.RiskBinomial(1,Prob_Illness_Given_Infection),0)</f>
        <v>0</v>
      </c>
      <c r="BN15" s="87">
        <f t="shared" ca="1" si="44"/>
        <v>4.9519901737360971E-6</v>
      </c>
      <c r="BO15" s="37">
        <f ca="1">INT(BN15) + _xll.RiskBinomial(1,BN15-INT(BN15))</f>
        <v>0</v>
      </c>
      <c r="BP15" s="30">
        <f t="shared" ca="1" si="10"/>
        <v>0</v>
      </c>
      <c r="BQ15" s="35">
        <f ca="1">_xll.RiskBinomial(1,BP15)</f>
        <v>0</v>
      </c>
      <c r="BR15" s="88">
        <f ca="1">IF(BQ15=1,_xll.RiskBinomial(1,Prob_Illness_Given_Infection),0)</f>
        <v>0</v>
      </c>
      <c r="BT15" s="87">
        <f t="shared" ca="1" si="45"/>
        <v>1.4890582100614883E-5</v>
      </c>
      <c r="BU15" s="37">
        <f ca="1">INT(BT15) + _xll.RiskBinomial(1,BT15-INT(BT15))</f>
        <v>0</v>
      </c>
      <c r="BV15" s="30">
        <f t="shared" ca="1" si="11"/>
        <v>0</v>
      </c>
      <c r="BW15" s="35">
        <f ca="1">_xll.RiskBinomial(1,BV15)</f>
        <v>0</v>
      </c>
      <c r="BX15" s="88">
        <f ca="1">IF(BW15=1,_xll.RiskBinomial(1,Prob_Illness_Given_Infection),0)</f>
        <v>0</v>
      </c>
      <c r="BZ15" s="87">
        <f t="shared" ca="1" si="46"/>
        <v>4.0820105021822387E-5</v>
      </c>
      <c r="CA15" s="37">
        <f ca="1">INT(BZ15) + _xll.RiskBinomial(1,BZ15-INT(BZ15))</f>
        <v>0</v>
      </c>
      <c r="CB15" s="30">
        <f t="shared" ca="1" si="12"/>
        <v>0</v>
      </c>
      <c r="CC15" s="35">
        <f ca="1">_xll.RiskBinomial(1,CB15)</f>
        <v>0</v>
      </c>
      <c r="CD15" s="88">
        <f ca="1">IF(CC15=1,_xll.RiskBinomial(1,Prob_Illness_Given_Infection),0)</f>
        <v>0</v>
      </c>
      <c r="CF15" s="87">
        <f t="shared" ca="1" si="47"/>
        <v>7.7452063500155841E-6</v>
      </c>
      <c r="CG15" s="37">
        <f ca="1">INT(CF15) + _xll.RiskBinomial(1,CF15-INT(CF15))</f>
        <v>0</v>
      </c>
      <c r="CH15" s="30">
        <f t="shared" ca="1" si="13"/>
        <v>0</v>
      </c>
      <c r="CI15" s="35">
        <f ca="1">_xll.RiskBinomial(1,CH15)</f>
        <v>0</v>
      </c>
      <c r="CJ15" s="88">
        <f ca="1">IF(CI15=1,_xll.RiskBinomial(1,Prob_Illness_Given_Infection),0)</f>
        <v>0</v>
      </c>
      <c r="CL15" s="87">
        <f t="shared" ca="1" si="48"/>
        <v>1.4946079941447714E-5</v>
      </c>
      <c r="CM15" s="37">
        <f ca="1">INT(CL15) + _xll.RiskBinomial(1,CL15-INT(CL15))</f>
        <v>0</v>
      </c>
      <c r="CN15" s="30">
        <f t="shared" ca="1" si="14"/>
        <v>0</v>
      </c>
      <c r="CO15" s="35">
        <f ca="1">_xll.RiskBinomial(1,CN15)</f>
        <v>0</v>
      </c>
      <c r="CP15" s="88">
        <f ca="1">IF(CO15=1,_xll.RiskBinomial(1,Prob_Illness_Given_Infection),0)</f>
        <v>0</v>
      </c>
      <c r="CR15" s="87">
        <f t="shared" ca="1" si="49"/>
        <v>1.0300385924096325E-7</v>
      </c>
      <c r="CS15" s="37">
        <f ca="1">INT(CR15) + _xll.RiskBinomial(1,CR15-INT(CR15))</f>
        <v>0</v>
      </c>
      <c r="CT15" s="30">
        <f t="shared" ca="1" si="15"/>
        <v>0</v>
      </c>
      <c r="CU15" s="35">
        <f ca="1">_xll.RiskBinomial(1,CT15)</f>
        <v>0</v>
      </c>
      <c r="CV15" s="88">
        <f ca="1">IF(CU15=1,_xll.RiskBinomial(1,Prob_Illness_Given_Infection),0)</f>
        <v>0</v>
      </c>
      <c r="CX15" s="87">
        <f t="shared" ca="1" si="50"/>
        <v>1.048567577238434E-9</v>
      </c>
      <c r="CY15" s="37">
        <f ca="1">INT(CX15) + _xll.RiskBinomial(1,CX15-INT(CX15))</f>
        <v>0</v>
      </c>
      <c r="CZ15" s="30">
        <f t="shared" ca="1" si="16"/>
        <v>0</v>
      </c>
      <c r="DA15" s="35">
        <f ca="1">_xll.RiskBinomial(1,CZ15)</f>
        <v>0</v>
      </c>
      <c r="DB15" s="88">
        <f ca="1">IF(DA15=1,_xll.RiskBinomial(1,Prob_Illness_Given_Infection),0)</f>
        <v>0</v>
      </c>
      <c r="DD15" s="87">
        <f t="shared" ca="1" si="51"/>
        <v>1.048567577238434E-9</v>
      </c>
      <c r="DE15" s="37">
        <f ca="1">INT(DD15) + _xll.RiskBinomial(1,DD15-INT(DD15))</f>
        <v>0</v>
      </c>
      <c r="DF15" s="30">
        <f t="shared" ca="1" si="17"/>
        <v>0</v>
      </c>
      <c r="DG15" s="35">
        <f ca="1">_xll.RiskBinomial(1,DF15)</f>
        <v>0</v>
      </c>
      <c r="DH15" s="88">
        <f ca="1">IF(DG15=1,_xll.RiskBinomial(1,Prob_Illness_Given_Infection),0)</f>
        <v>0</v>
      </c>
      <c r="DJ15" s="87">
        <f t="shared" ca="1" si="52"/>
        <v>1.7121653618659897E-6</v>
      </c>
      <c r="DK15" s="37">
        <f ca="1">INT(DJ15) + _xll.RiskBinomial(1,DJ15-INT(DJ15))</f>
        <v>0</v>
      </c>
      <c r="DL15" s="30">
        <f t="shared" ca="1" si="18"/>
        <v>0</v>
      </c>
      <c r="DM15" s="35">
        <f ca="1">_xll.RiskBinomial(1,DL15)</f>
        <v>0</v>
      </c>
      <c r="DN15" s="88">
        <f ca="1">IF(DM15=1,_xll.RiskBinomial(1,Prob_Illness_Given_Infection),0)</f>
        <v>0</v>
      </c>
      <c r="DP15" s="87">
        <f t="shared" ca="1" si="53"/>
        <v>4.0474706737003104E-10</v>
      </c>
      <c r="DQ15" s="37">
        <f ca="1">INT(DP15) + _xll.RiskBinomial(1,DP15-INT(DP15))</f>
        <v>0</v>
      </c>
      <c r="DR15" s="30">
        <f t="shared" ca="1" si="19"/>
        <v>0</v>
      </c>
      <c r="DS15" s="35">
        <f ca="1">_xll.RiskBinomial(1,DR15)</f>
        <v>0</v>
      </c>
      <c r="DT15" s="88">
        <f ca="1">IF(DS15=1,_xll.RiskBinomial(1,Prob_Illness_Given_Infection),0)</f>
        <v>0</v>
      </c>
      <c r="DV15" s="87">
        <f t="shared" ca="1" si="54"/>
        <v>5.6980533663036782E-9</v>
      </c>
      <c r="DW15" s="37">
        <f ca="1">INT(DV15) + _xll.RiskBinomial(1,DV15-INT(DV15))</f>
        <v>0</v>
      </c>
      <c r="DX15" s="30">
        <f t="shared" ca="1" si="20"/>
        <v>0</v>
      </c>
      <c r="DY15" s="35">
        <f ca="1">_xll.RiskBinomial(1,DX15)</f>
        <v>0</v>
      </c>
      <c r="DZ15" s="88">
        <f ca="1">IF(DY15=1,_xll.RiskBinomial(1,Prob_Illness_Given_Infection),0)</f>
        <v>0</v>
      </c>
      <c r="EB15" s="87">
        <f t="shared" ca="1" si="55"/>
        <v>1.4298262744911232E-12</v>
      </c>
      <c r="EC15" s="37">
        <f ca="1">INT(EB15) + _xll.RiskBinomial(1,EB15-INT(EB15))</f>
        <v>0</v>
      </c>
      <c r="ED15" s="30">
        <f t="shared" ca="1" si="21"/>
        <v>0</v>
      </c>
      <c r="EE15" s="35">
        <f ca="1">_xll.RiskBinomial(1,ED15)</f>
        <v>0</v>
      </c>
      <c r="EF15" s="88">
        <f ca="1">IF(EE15=1,_xll.RiskBinomial(1,Prob_Illness_Given_Infection),0)</f>
        <v>0</v>
      </c>
      <c r="EH15" s="87">
        <f t="shared" ca="1" si="56"/>
        <v>1.4298262744896532E-12</v>
      </c>
      <c r="EI15" s="37">
        <f ca="1">INT(EH15) + _xll.RiskBinomial(1,EH15-INT(EH15))</f>
        <v>0</v>
      </c>
      <c r="EJ15" s="30">
        <f t="shared" ca="1" si="22"/>
        <v>0</v>
      </c>
      <c r="EK15" s="35">
        <f ca="1">_xll.RiskBinomial(1,EJ15)</f>
        <v>0</v>
      </c>
      <c r="EL15" s="88">
        <f ca="1">IF(EK15=1,_xll.RiskBinomial(1,Prob_Illness_Given_Infection),0)</f>
        <v>0</v>
      </c>
      <c r="EN15" s="87">
        <f t="shared" ca="1" si="57"/>
        <v>1.3046301526725192E-10</v>
      </c>
      <c r="EO15" s="37">
        <f ca="1">INT(EN15) + _xll.RiskBinomial(1,EN15-INT(EN15))</f>
        <v>0</v>
      </c>
      <c r="EP15" s="30">
        <f t="shared" ca="1" si="23"/>
        <v>0</v>
      </c>
      <c r="EQ15" s="35">
        <f ca="1">_xll.RiskBinomial(1,EP15)</f>
        <v>0</v>
      </c>
      <c r="ER15" s="88">
        <f ca="1">IF(EQ15=1,_xll.RiskBinomial(1,Prob_Illness_Given_Infection),0)</f>
        <v>0</v>
      </c>
      <c r="ET15" s="87">
        <f t="shared" ca="1" si="58"/>
        <v>1.4298262744882899E-12</v>
      </c>
      <c r="EU15" s="37">
        <f ca="1">INT(ET15) + _xll.RiskBinomial(1,ET15-INT(ET15))</f>
        <v>0</v>
      </c>
      <c r="EV15" s="30">
        <f t="shared" ca="1" si="24"/>
        <v>0</v>
      </c>
      <c r="EW15" s="35">
        <f ca="1">_xll.RiskBinomial(1,EV15)</f>
        <v>0</v>
      </c>
      <c r="EX15" s="88">
        <f ca="1">IF(EW15=1,_xll.RiskBinomial(1,Prob_Illness_Given_Infection),0)</f>
        <v>0</v>
      </c>
      <c r="EZ15" s="87">
        <f t="shared" ca="1" si="59"/>
        <v>1.0784040663573302E-5</v>
      </c>
      <c r="FA15" s="37">
        <f ca="1">INT(EZ15) + _xll.RiskBinomial(1,EZ15-INT(EZ15))</f>
        <v>0</v>
      </c>
      <c r="FB15" s="30">
        <f t="shared" ca="1" si="25"/>
        <v>0</v>
      </c>
      <c r="FC15" s="35">
        <f ca="1">_xll.RiskBinomial(1,FB15)</f>
        <v>0</v>
      </c>
      <c r="FD15" s="88">
        <f ca="1">IF(FC15=1,_xll.RiskBinomial(1,Prob_Illness_Given_Infection),0)</f>
        <v>0</v>
      </c>
      <c r="FF15" s="87">
        <f t="shared" ca="1" si="60"/>
        <v>7.5120415026406118E-5</v>
      </c>
      <c r="FG15" s="37">
        <f ca="1">INT(FF15) + _xll.RiskBinomial(1,FF15-INT(FF15))</f>
        <v>0</v>
      </c>
      <c r="FH15" s="30">
        <f t="shared" ca="1" si="26"/>
        <v>0</v>
      </c>
      <c r="FI15" s="35">
        <f ca="1">_xll.RiskBinomial(1,FH15)</f>
        <v>0</v>
      </c>
      <c r="FJ15" s="88">
        <f ca="1">IF(FI15=1,_xll.RiskBinomial(1,Prob_Illness_Given_Infection),0)</f>
        <v>0</v>
      </c>
      <c r="FL15" s="87" t="e">
        <f t="shared" ca="1" si="61"/>
        <v>#NAME?</v>
      </c>
      <c r="FM15" s="37" t="e">
        <f ca="1">INT(FL15) + _xll.RiskBinomial(1,FL15-INT(FL15))</f>
        <v>#NAME?</v>
      </c>
      <c r="FN15" s="30" t="e">
        <f t="shared" ca="1" si="27"/>
        <v>#NAME?</v>
      </c>
      <c r="FO15" s="35" t="e">
        <f ca="1">_xll.RiskBinomial(1,FN15)</f>
        <v>#VALUE!</v>
      </c>
      <c r="FP15" s="88" t="e">
        <f ca="1">IF(FO15=1,_xll.RiskBinomial(1,Prob_Illness_Given_Infection),0)</f>
        <v>#VALUE!</v>
      </c>
      <c r="FR15" s="87" t="e">
        <f t="shared" ca="1" si="62"/>
        <v>#NAME?</v>
      </c>
      <c r="FS15" s="37" t="e">
        <f ca="1">INT(FR15) + _xll.RiskBinomial(1,FR15-INT(FR15))</f>
        <v>#NAME?</v>
      </c>
      <c r="FT15" s="30" t="e">
        <f t="shared" ca="1" si="28"/>
        <v>#NAME?</v>
      </c>
      <c r="FU15" s="35" t="e">
        <f ca="1">_xll.RiskBinomial(1,FT15)</f>
        <v>#VALUE!</v>
      </c>
      <c r="FV15" s="88" t="e">
        <f ca="1">IF(FU15=1,_xll.RiskBinomial(1,Prob_Illness_Given_Infection),0)</f>
        <v>#VALUE!</v>
      </c>
      <c r="FX15" s="87">
        <f t="shared" ca="1" si="63"/>
        <v>1.5095634755449938E-7</v>
      </c>
      <c r="FY15" s="37">
        <f ca="1">INT(FX15) + _xll.RiskBinomial(1,FX15-INT(FX15))</f>
        <v>0</v>
      </c>
      <c r="FZ15" s="30">
        <f t="shared" ca="1" si="29"/>
        <v>0</v>
      </c>
      <c r="GA15" s="35">
        <f ca="1">_xll.RiskBinomial(1,FZ15)</f>
        <v>0</v>
      </c>
      <c r="GB15" s="88">
        <f ca="1">IF(GA15=1,_xll.RiskBinomial(1,Prob_Illness_Given_Infection),0)</f>
        <v>0</v>
      </c>
      <c r="GD15" s="87" t="e">
        <f t="shared" ca="1" si="64"/>
        <v>#NAME?</v>
      </c>
      <c r="GE15" s="37" t="e">
        <f ca="1">INT(GD15) + _xll.RiskBinomial(1,GD15-INT(GD15))</f>
        <v>#NAME?</v>
      </c>
      <c r="GF15" s="30" t="e">
        <f t="shared" ca="1" si="30"/>
        <v>#NAME?</v>
      </c>
      <c r="GG15" s="35" t="e">
        <f ca="1">_xll.RiskBinomial(1,GF15)</f>
        <v>#VALUE!</v>
      </c>
      <c r="GH15" s="88" t="e">
        <f ca="1">IF(GG15=1,_xll.RiskBinomial(1,Prob_Illness_Given_Infection),0)</f>
        <v>#VALUE!</v>
      </c>
      <c r="GJ15" s="87" t="e">
        <f t="shared" ca="1" si="65"/>
        <v>#NAME?</v>
      </c>
      <c r="GK15" s="37" t="e">
        <f ca="1">INT(GJ15) + _xll.RiskBinomial(1,GJ15-INT(GJ15))</f>
        <v>#NAME?</v>
      </c>
      <c r="GL15" s="30" t="e">
        <f t="shared" ca="1" si="31"/>
        <v>#NAME?</v>
      </c>
      <c r="GM15" s="35" t="e">
        <f ca="1">_xll.RiskBinomial(1,GL15)</f>
        <v>#VALUE!</v>
      </c>
      <c r="GN15" s="88" t="e">
        <f ca="1">IF(GM15=1,_xll.RiskBinomial(1,Prob_Illness_Given_Infection),0)</f>
        <v>#VALUE!</v>
      </c>
      <c r="GP15" s="87" t="e">
        <f t="shared" ca="1" si="66"/>
        <v>#NAME?</v>
      </c>
      <c r="GQ15" s="37" t="e">
        <f ca="1">INT(GP15) + _xll.RiskBinomial(1,GP15-INT(GP15))</f>
        <v>#NAME?</v>
      </c>
      <c r="GR15" s="30" t="e">
        <f t="shared" ca="1" si="32"/>
        <v>#NAME?</v>
      </c>
      <c r="GS15" s="35" t="e">
        <f ca="1">_xll.RiskBinomial(1,GR15)</f>
        <v>#VALUE!</v>
      </c>
      <c r="GT15" s="88" t="e">
        <f ca="1">IF(GS15=1,_xll.RiskBinomial(1,Prob_Illness_Given_Infection),0)</f>
        <v>#VALUE!</v>
      </c>
    </row>
    <row r="16" spans="2:202">
      <c r="B16" s="108">
        <v>8</v>
      </c>
      <c r="C16" s="87">
        <f ca="1">_xll.RiskLoglogistic(LogLogistic_gamma, LogLogistic_beta, LogLogistic_alpha, _xll.RiskTruncate(5,800))</f>
        <v>151.73816381315814</v>
      </c>
      <c r="D16" s="38">
        <f t="shared" ca="1" si="33"/>
        <v>9.747908088706227</v>
      </c>
      <c r="E16" s="30"/>
      <c r="F16" s="87">
        <f t="shared" ca="1" si="34"/>
        <v>3.5193768511082712E-9</v>
      </c>
      <c r="G16" s="37">
        <f ca="1">INT(F16) + _xll.RiskBinomial(1,F16-INT(F16))</f>
        <v>0</v>
      </c>
      <c r="H16" s="30">
        <f t="shared" ca="1" si="0"/>
        <v>0</v>
      </c>
      <c r="I16" s="35">
        <f ca="1">_xll.RiskBinomial(1,H16)</f>
        <v>0</v>
      </c>
      <c r="J16" s="88">
        <f ca="1">IF(I16=1,_xll.RiskBinomial(1,Prob_Illness_Given_Infection),0)</f>
        <v>0</v>
      </c>
      <c r="K16" s="30"/>
      <c r="L16" s="87">
        <f t="shared" ca="1" si="35"/>
        <v>1.7976059937621389E-4</v>
      </c>
      <c r="M16" s="37">
        <f ca="1">INT(L16) + _xll.RiskBinomial(1,L16-INT(L16))</f>
        <v>0</v>
      </c>
      <c r="N16" s="30">
        <f t="shared" ca="1" si="1"/>
        <v>0</v>
      </c>
      <c r="O16" s="35">
        <f ca="1">_xll.RiskBinomial(1,N16)</f>
        <v>0</v>
      </c>
      <c r="P16" s="88">
        <f ca="1">IF(O16=1,_xll.RiskBinomial(1,Prob_Illness_Given_Infection),0)</f>
        <v>0</v>
      </c>
      <c r="Q16" s="30"/>
      <c r="R16" s="87">
        <f t="shared" ca="1" si="36"/>
        <v>1.8582890625207094E-5</v>
      </c>
      <c r="S16" s="37">
        <f ca="1">INT(R16) + _xll.RiskBinomial(1,R16-INT(R16))</f>
        <v>0</v>
      </c>
      <c r="T16" s="30">
        <f t="shared" ca="1" si="2"/>
        <v>0</v>
      </c>
      <c r="U16" s="35">
        <f ca="1">_xll.RiskBinomial(1,T16)</f>
        <v>0</v>
      </c>
      <c r="V16" s="88">
        <f ca="1">IF(U16=1,_xll.RiskBinomial(1,Prob_Illness_Given_Infection),0)</f>
        <v>0</v>
      </c>
      <c r="W16" s="30"/>
      <c r="X16" s="87">
        <f t="shared" ca="1" si="37"/>
        <v>7.6343356299660546E-12</v>
      </c>
      <c r="Y16" s="37">
        <f ca="1">INT(X16) + _xll.RiskBinomial(1,X16-INT(X16))</f>
        <v>0</v>
      </c>
      <c r="Z16" s="30">
        <f t="shared" ca="1" si="3"/>
        <v>0</v>
      </c>
      <c r="AA16" s="35">
        <f ca="1">_xll.RiskBinomial(1,Z16)</f>
        <v>0</v>
      </c>
      <c r="AB16" s="88">
        <f ca="1">IF(AA16=1,_xll.RiskBinomial(1,Prob_Illness_Given_Infection),0)</f>
        <v>0</v>
      </c>
      <c r="AC16" s="30"/>
      <c r="AD16" s="87">
        <f t="shared" ca="1" si="38"/>
        <v>3.8463134984851257E-12</v>
      </c>
      <c r="AE16" s="37">
        <f ca="1">INT(AD16) + _xll.RiskBinomial(1,AD16-INT(AD16))</f>
        <v>0</v>
      </c>
      <c r="AF16" s="30">
        <f t="shared" ca="1" si="4"/>
        <v>0</v>
      </c>
      <c r="AG16" s="35">
        <f ca="1">_xll.RiskBinomial(1,AF16)</f>
        <v>0</v>
      </c>
      <c r="AH16" s="88">
        <f ca="1">IF(AG16=1,_xll.RiskBinomial(1,Prob_Illness_Given_Infection),0)</f>
        <v>0</v>
      </c>
      <c r="AI16" s="30"/>
      <c r="AJ16" s="87">
        <f t="shared" ca="1" si="39"/>
        <v>1.7853596038923535E-4</v>
      </c>
      <c r="AK16" s="37">
        <f ca="1">INT(AJ16) + _xll.RiskBinomial(1,AJ16-INT(AJ16))</f>
        <v>0</v>
      </c>
      <c r="AL16" s="30">
        <f t="shared" ca="1" si="5"/>
        <v>0</v>
      </c>
      <c r="AM16" s="35">
        <f ca="1">_xll.RiskBinomial(1,AL16)</f>
        <v>0</v>
      </c>
      <c r="AN16" s="88">
        <f ca="1">IF(AM16=1,_xll.RiskBinomial(1,Prob_Illness_Given_Infection),0)</f>
        <v>0</v>
      </c>
      <c r="AO16" s="30"/>
      <c r="AP16" s="87">
        <f t="shared" ca="1" si="40"/>
        <v>4.3418220356889718E-9</v>
      </c>
      <c r="AQ16" s="37">
        <f ca="1">INT(AP16) + _xll.RiskBinomial(1,AP16-INT(AP16))</f>
        <v>0</v>
      </c>
      <c r="AR16" s="30">
        <f t="shared" ca="1" si="6"/>
        <v>0</v>
      </c>
      <c r="AS16" s="35">
        <f ca="1">_xll.RiskBinomial(1,AR16)</f>
        <v>0</v>
      </c>
      <c r="AT16" s="88">
        <f ca="1">IF(AS16=1,_xll.RiskBinomial(1,Prob_Illness_Given_Infection),0)</f>
        <v>0</v>
      </c>
      <c r="AU16" s="30"/>
      <c r="AV16" s="87">
        <f t="shared" ca="1" si="41"/>
        <v>1.0072801093606041E-4</v>
      </c>
      <c r="AW16" s="37">
        <f ca="1">INT(AV16) + _xll.RiskBinomial(1,AV16-INT(AV16))</f>
        <v>0</v>
      </c>
      <c r="AX16" s="30">
        <f t="shared" ca="1" si="7"/>
        <v>0</v>
      </c>
      <c r="AY16" s="35">
        <f ca="1">_xll.RiskBinomial(1,AX16)</f>
        <v>0</v>
      </c>
      <c r="AZ16" s="88">
        <f ca="1">IF(AY16=1,_xll.RiskBinomial(1,Prob_Illness_Given_Infection),0)</f>
        <v>0</v>
      </c>
      <c r="BB16" s="87">
        <f t="shared" ca="1" si="42"/>
        <v>1.3825019001479678E-4</v>
      </c>
      <c r="BC16" s="37">
        <f ca="1">INT(BB16) + _xll.RiskBinomial(1,BB16-INT(BB16))</f>
        <v>0</v>
      </c>
      <c r="BD16" s="30">
        <f t="shared" ca="1" si="8"/>
        <v>0</v>
      </c>
      <c r="BE16" s="35">
        <f ca="1">_xll.RiskBinomial(1,BD16)</f>
        <v>0</v>
      </c>
      <c r="BF16" s="88">
        <f ca="1">IF(BE16=1,_xll.RiskBinomial(1,Prob_Illness_Given_Infection),0)</f>
        <v>0</v>
      </c>
      <c r="BH16" s="87">
        <f t="shared" ca="1" si="43"/>
        <v>1.7503463118937187E-4</v>
      </c>
      <c r="BI16" s="37">
        <f ca="1">INT(BH16) + _xll.RiskBinomial(1,BH16-INT(BH16))</f>
        <v>0</v>
      </c>
      <c r="BJ16" s="30">
        <f t="shared" ca="1" si="9"/>
        <v>0</v>
      </c>
      <c r="BK16" s="35">
        <f ca="1">_xll.RiskBinomial(1,BJ16)</f>
        <v>0</v>
      </c>
      <c r="BL16" s="88">
        <f ca="1">IF(BK16=1,_xll.RiskBinomial(1,Prob_Illness_Given_Infection),0)</f>
        <v>0</v>
      </c>
      <c r="BN16" s="87">
        <f t="shared" ca="1" si="44"/>
        <v>1.3321133475728911E-5</v>
      </c>
      <c r="BO16" s="37">
        <f ca="1">INT(BN16) + _xll.RiskBinomial(1,BN16-INT(BN16))</f>
        <v>0</v>
      </c>
      <c r="BP16" s="30">
        <f t="shared" ca="1" si="10"/>
        <v>0</v>
      </c>
      <c r="BQ16" s="35">
        <f ca="1">_xll.RiskBinomial(1,BP16)</f>
        <v>0</v>
      </c>
      <c r="BR16" s="88">
        <f ca="1">IF(BQ16=1,_xll.RiskBinomial(1,Prob_Illness_Given_Infection),0)</f>
        <v>0</v>
      </c>
      <c r="BT16" s="87">
        <f t="shared" ca="1" si="45"/>
        <v>4.0056507532189958E-5</v>
      </c>
      <c r="BU16" s="37">
        <f ca="1">INT(BT16) + _xll.RiskBinomial(1,BT16-INT(BT16))</f>
        <v>0</v>
      </c>
      <c r="BV16" s="30">
        <f t="shared" ca="1" si="11"/>
        <v>0</v>
      </c>
      <c r="BW16" s="35">
        <f ca="1">_xll.RiskBinomial(1,BV16)</f>
        <v>0</v>
      </c>
      <c r="BX16" s="88">
        <f ca="1">IF(BW16=1,_xll.RiskBinomial(1,Prob_Illness_Given_Infection),0)</f>
        <v>0</v>
      </c>
      <c r="BZ16" s="87">
        <f t="shared" ca="1" si="46"/>
        <v>1.0980838984151563E-4</v>
      </c>
      <c r="CA16" s="37">
        <f ca="1">INT(BZ16) + _xll.RiskBinomial(1,BZ16-INT(BZ16))</f>
        <v>0</v>
      </c>
      <c r="CB16" s="30">
        <f t="shared" ca="1" si="12"/>
        <v>0</v>
      </c>
      <c r="CC16" s="35">
        <f ca="1">_xll.RiskBinomial(1,CB16)</f>
        <v>0</v>
      </c>
      <c r="CD16" s="88">
        <f ca="1">IF(CC16=1,_xll.RiskBinomial(1,Prob_Illness_Given_Infection),0)</f>
        <v>0</v>
      </c>
      <c r="CF16" s="87">
        <f t="shared" ca="1" si="47"/>
        <v>2.0835042874848636E-5</v>
      </c>
      <c r="CG16" s="37">
        <f ca="1">INT(CF16) + _xll.RiskBinomial(1,CF16-INT(CF16))</f>
        <v>0</v>
      </c>
      <c r="CH16" s="30">
        <f t="shared" ca="1" si="13"/>
        <v>0</v>
      </c>
      <c r="CI16" s="35">
        <f ca="1">_xll.RiskBinomial(1,CH16)</f>
        <v>0</v>
      </c>
      <c r="CJ16" s="88">
        <f ca="1">IF(CI16=1,_xll.RiskBinomial(1,Prob_Illness_Given_Infection),0)</f>
        <v>0</v>
      </c>
      <c r="CL16" s="87">
        <f t="shared" ca="1" si="48"/>
        <v>4.020579986101361E-5</v>
      </c>
      <c r="CM16" s="37">
        <f ca="1">INT(CL16) + _xll.RiskBinomial(1,CL16-INT(CL16))</f>
        <v>0</v>
      </c>
      <c r="CN16" s="30">
        <f t="shared" ca="1" si="14"/>
        <v>0</v>
      </c>
      <c r="CO16" s="35">
        <f ca="1">_xll.RiskBinomial(1,CN16)</f>
        <v>0</v>
      </c>
      <c r="CP16" s="88">
        <f ca="1">IF(CO16=1,_xll.RiskBinomial(1,Prob_Illness_Given_Infection),0)</f>
        <v>0</v>
      </c>
      <c r="CR16" s="87">
        <f t="shared" ca="1" si="49"/>
        <v>2.7708620359172546E-7</v>
      </c>
      <c r="CS16" s="37">
        <f ca="1">INT(CR16) + _xll.RiskBinomial(1,CR16-INT(CR16))</f>
        <v>0</v>
      </c>
      <c r="CT16" s="30">
        <f t="shared" ca="1" si="15"/>
        <v>0</v>
      </c>
      <c r="CU16" s="35">
        <f ca="1">_xll.RiskBinomial(1,CT16)</f>
        <v>0</v>
      </c>
      <c r="CV16" s="88">
        <f ca="1">IF(CU16=1,_xll.RiskBinomial(1,Prob_Illness_Given_Infection),0)</f>
        <v>0</v>
      </c>
      <c r="CX16" s="87">
        <f t="shared" ca="1" si="50"/>
        <v>2.8207060524468754E-9</v>
      </c>
      <c r="CY16" s="37">
        <f ca="1">INT(CX16) + _xll.RiskBinomial(1,CX16-INT(CX16))</f>
        <v>0</v>
      </c>
      <c r="CZ16" s="30">
        <f t="shared" ca="1" si="16"/>
        <v>0</v>
      </c>
      <c r="DA16" s="35">
        <f ca="1">_xll.RiskBinomial(1,CZ16)</f>
        <v>0</v>
      </c>
      <c r="DB16" s="88">
        <f ca="1">IF(DA16=1,_xll.RiskBinomial(1,Prob_Illness_Given_Infection),0)</f>
        <v>0</v>
      </c>
      <c r="DD16" s="87">
        <f t="shared" ca="1" si="51"/>
        <v>2.8207060524468754E-9</v>
      </c>
      <c r="DE16" s="37">
        <f ca="1">INT(DD16) + _xll.RiskBinomial(1,DD16-INT(DD16))</f>
        <v>0</v>
      </c>
      <c r="DF16" s="30">
        <f t="shared" ca="1" si="17"/>
        <v>0</v>
      </c>
      <c r="DG16" s="35">
        <f ca="1">_xll.RiskBinomial(1,DF16)</f>
        <v>0</v>
      </c>
      <c r="DH16" s="88">
        <f ca="1">IF(DG16=1,_xll.RiskBinomial(1,Prob_Illness_Given_Infection),0)</f>
        <v>0</v>
      </c>
      <c r="DJ16" s="87">
        <f t="shared" ca="1" si="52"/>
        <v>4.6058216025757463E-6</v>
      </c>
      <c r="DK16" s="37">
        <f ca="1">INT(DJ16) + _xll.RiskBinomial(1,DJ16-INT(DJ16))</f>
        <v>0</v>
      </c>
      <c r="DL16" s="30">
        <f t="shared" ca="1" si="18"/>
        <v>0</v>
      </c>
      <c r="DM16" s="35">
        <f ca="1">_xll.RiskBinomial(1,DL16)</f>
        <v>0</v>
      </c>
      <c r="DN16" s="88">
        <f ca="1">IF(DM16=1,_xll.RiskBinomial(1,Prob_Illness_Given_Infection),0)</f>
        <v>0</v>
      </c>
      <c r="DP16" s="87">
        <f t="shared" ca="1" si="53"/>
        <v>1.0887924893191357E-9</v>
      </c>
      <c r="DQ16" s="37">
        <f ca="1">INT(DP16) + _xll.RiskBinomial(1,DP16-INT(DP16))</f>
        <v>0</v>
      </c>
      <c r="DR16" s="30">
        <f t="shared" ca="1" si="19"/>
        <v>0</v>
      </c>
      <c r="DS16" s="35">
        <f ca="1">_xll.RiskBinomial(1,DR16)</f>
        <v>0</v>
      </c>
      <c r="DT16" s="88">
        <f ca="1">IF(DS16=1,_xll.RiskBinomial(1,Prob_Illness_Given_Infection),0)</f>
        <v>0</v>
      </c>
      <c r="DV16" s="87">
        <f t="shared" ca="1" si="54"/>
        <v>1.5328085634525911E-8</v>
      </c>
      <c r="DW16" s="37">
        <f ca="1">INT(DV16) + _xll.RiskBinomial(1,DV16-INT(DV16))</f>
        <v>0</v>
      </c>
      <c r="DX16" s="30">
        <f t="shared" ca="1" si="20"/>
        <v>0</v>
      </c>
      <c r="DY16" s="35">
        <f ca="1">_xll.RiskBinomial(1,DX16)</f>
        <v>0</v>
      </c>
      <c r="DZ16" s="88">
        <f ca="1">IF(DY16=1,_xll.RiskBinomial(1,Prob_Illness_Given_Infection),0)</f>
        <v>0</v>
      </c>
      <c r="EB16" s="87">
        <f t="shared" ca="1" si="55"/>
        <v>3.8463134984838333E-12</v>
      </c>
      <c r="EC16" s="37">
        <f ca="1">INT(EB16) + _xll.RiskBinomial(1,EB16-INT(EB16))</f>
        <v>0</v>
      </c>
      <c r="ED16" s="30">
        <f t="shared" ca="1" si="21"/>
        <v>0</v>
      </c>
      <c r="EE16" s="35">
        <f ca="1">_xll.RiskBinomial(1,ED16)</f>
        <v>0</v>
      </c>
      <c r="EF16" s="88">
        <f ca="1">IF(EE16=1,_xll.RiskBinomial(1,Prob_Illness_Given_Infection),0)</f>
        <v>0</v>
      </c>
      <c r="EH16" s="87">
        <f t="shared" ca="1" si="56"/>
        <v>3.8463134984798799E-12</v>
      </c>
      <c r="EI16" s="37">
        <f ca="1">INT(EH16) + _xll.RiskBinomial(1,EH16-INT(EH16))</f>
        <v>0</v>
      </c>
      <c r="EJ16" s="30">
        <f t="shared" ca="1" si="22"/>
        <v>0</v>
      </c>
      <c r="EK16" s="35">
        <f ca="1">_xll.RiskBinomial(1,EJ16)</f>
        <v>0</v>
      </c>
      <c r="EL16" s="88">
        <f ca="1">IF(EK16=1,_xll.RiskBinomial(1,Prob_Illness_Given_Infection),0)</f>
        <v>0</v>
      </c>
      <c r="EN16" s="87">
        <f t="shared" ca="1" si="57"/>
        <v>3.5095288541534552E-10</v>
      </c>
      <c r="EO16" s="37">
        <f ca="1">INT(EN16) + _xll.RiskBinomial(1,EN16-INT(EN16))</f>
        <v>0</v>
      </c>
      <c r="EP16" s="30">
        <f t="shared" ca="1" si="23"/>
        <v>0</v>
      </c>
      <c r="EQ16" s="35">
        <f ca="1">_xll.RiskBinomial(1,EP16)</f>
        <v>0</v>
      </c>
      <c r="ER16" s="88">
        <f ca="1">IF(EQ16=1,_xll.RiskBinomial(1,Prob_Illness_Given_Infection),0)</f>
        <v>0</v>
      </c>
      <c r="ET16" s="87">
        <f t="shared" ca="1" si="58"/>
        <v>3.8463134984762117E-12</v>
      </c>
      <c r="EU16" s="37">
        <f ca="1">INT(ET16) + _xll.RiskBinomial(1,ET16-INT(ET16))</f>
        <v>0</v>
      </c>
      <c r="EV16" s="30">
        <f t="shared" ca="1" si="24"/>
        <v>0</v>
      </c>
      <c r="EW16" s="35">
        <f ca="1">_xll.RiskBinomial(1,EV16)</f>
        <v>0</v>
      </c>
      <c r="EX16" s="88">
        <f ca="1">IF(EW16=1,_xll.RiskBinomial(1,Prob_Illness_Given_Infection),0)</f>
        <v>0</v>
      </c>
      <c r="EZ16" s="87">
        <f t="shared" ca="1" si="59"/>
        <v>2.9009678946669867E-5</v>
      </c>
      <c r="FA16" s="37">
        <f ca="1">INT(EZ16) + _xll.RiskBinomial(1,EZ16-INT(EZ16))</f>
        <v>0</v>
      </c>
      <c r="FB16" s="30">
        <f t="shared" ca="1" si="25"/>
        <v>0</v>
      </c>
      <c r="FC16" s="35">
        <f ca="1">_xll.RiskBinomial(1,FB16)</f>
        <v>0</v>
      </c>
      <c r="FD16" s="88">
        <f ca="1">IF(FC16=1,_xll.RiskBinomial(1,Prob_Illness_Given_Infection),0)</f>
        <v>0</v>
      </c>
      <c r="FF16" s="87">
        <f t="shared" ca="1" si="60"/>
        <v>2.0207816255901897E-4</v>
      </c>
      <c r="FG16" s="37">
        <f ca="1">INT(FF16) + _xll.RiskBinomial(1,FF16-INT(FF16))</f>
        <v>0</v>
      </c>
      <c r="FH16" s="30">
        <f t="shared" ca="1" si="26"/>
        <v>0</v>
      </c>
      <c r="FI16" s="35">
        <f ca="1">_xll.RiskBinomial(1,FH16)</f>
        <v>0</v>
      </c>
      <c r="FJ16" s="88">
        <f ca="1">IF(FI16=1,_xll.RiskBinomial(1,Prob_Illness_Given_Infection),0)</f>
        <v>0</v>
      </c>
      <c r="FL16" s="87" t="e">
        <f t="shared" ca="1" si="61"/>
        <v>#NAME?</v>
      </c>
      <c r="FM16" s="37" t="e">
        <f ca="1">INT(FL16) + _xll.RiskBinomial(1,FL16-INT(FL16))</f>
        <v>#NAME?</v>
      </c>
      <c r="FN16" s="30" t="e">
        <f t="shared" ca="1" si="27"/>
        <v>#NAME?</v>
      </c>
      <c r="FO16" s="35" t="e">
        <f ca="1">_xll.RiskBinomial(1,FN16)</f>
        <v>#VALUE!</v>
      </c>
      <c r="FP16" s="88" t="e">
        <f ca="1">IF(FO16=1,_xll.RiskBinomial(1,Prob_Illness_Given_Infection),0)</f>
        <v>#VALUE!</v>
      </c>
      <c r="FR16" s="87" t="e">
        <f t="shared" ca="1" si="62"/>
        <v>#NAME?</v>
      </c>
      <c r="FS16" s="37" t="e">
        <f ca="1">INT(FR16) + _xll.RiskBinomial(1,FR16-INT(FR16))</f>
        <v>#NAME?</v>
      </c>
      <c r="FT16" s="30" t="e">
        <f t="shared" ca="1" si="28"/>
        <v>#NAME?</v>
      </c>
      <c r="FU16" s="35" t="e">
        <f ca="1">_xll.RiskBinomial(1,FT16)</f>
        <v>#VALUE!</v>
      </c>
      <c r="FV16" s="88" t="e">
        <f ca="1">IF(FU16=1,_xll.RiskBinomial(1,Prob_Illness_Given_Infection),0)</f>
        <v>#VALUE!</v>
      </c>
      <c r="FX16" s="87">
        <f t="shared" ca="1" si="63"/>
        <v>4.0608110764178902E-7</v>
      </c>
      <c r="FY16" s="37">
        <f ca="1">INT(FX16) + _xll.RiskBinomial(1,FX16-INT(FX16))</f>
        <v>0</v>
      </c>
      <c r="FZ16" s="30">
        <f t="shared" ca="1" si="29"/>
        <v>0</v>
      </c>
      <c r="GA16" s="35">
        <f ca="1">_xll.RiskBinomial(1,FZ16)</f>
        <v>0</v>
      </c>
      <c r="GB16" s="88">
        <f ca="1">IF(GA16=1,_xll.RiskBinomial(1,Prob_Illness_Given_Infection),0)</f>
        <v>0</v>
      </c>
      <c r="GD16" s="87" t="e">
        <f t="shared" ca="1" si="64"/>
        <v>#NAME?</v>
      </c>
      <c r="GE16" s="37" t="e">
        <f ca="1">INT(GD16) + _xll.RiskBinomial(1,GD16-INT(GD16))</f>
        <v>#NAME?</v>
      </c>
      <c r="GF16" s="30" t="e">
        <f t="shared" ca="1" si="30"/>
        <v>#NAME?</v>
      </c>
      <c r="GG16" s="35" t="e">
        <f ca="1">_xll.RiskBinomial(1,GF16)</f>
        <v>#VALUE!</v>
      </c>
      <c r="GH16" s="88" t="e">
        <f ca="1">IF(GG16=1,_xll.RiskBinomial(1,Prob_Illness_Given_Infection),0)</f>
        <v>#VALUE!</v>
      </c>
      <c r="GJ16" s="87" t="e">
        <f t="shared" ca="1" si="65"/>
        <v>#NAME?</v>
      </c>
      <c r="GK16" s="37" t="e">
        <f ca="1">INT(GJ16) + _xll.RiskBinomial(1,GJ16-INT(GJ16))</f>
        <v>#NAME?</v>
      </c>
      <c r="GL16" s="30" t="e">
        <f t="shared" ca="1" si="31"/>
        <v>#NAME?</v>
      </c>
      <c r="GM16" s="35" t="e">
        <f ca="1">_xll.RiskBinomial(1,GL16)</f>
        <v>#VALUE!</v>
      </c>
      <c r="GN16" s="88" t="e">
        <f ca="1">IF(GM16=1,_xll.RiskBinomial(1,Prob_Illness_Given_Infection),0)</f>
        <v>#VALUE!</v>
      </c>
      <c r="GP16" s="87" t="e">
        <f t="shared" ca="1" si="66"/>
        <v>#NAME?</v>
      </c>
      <c r="GQ16" s="37" t="e">
        <f ca="1">INT(GP16) + _xll.RiskBinomial(1,GP16-INT(GP16))</f>
        <v>#NAME?</v>
      </c>
      <c r="GR16" s="30" t="e">
        <f t="shared" ca="1" si="32"/>
        <v>#NAME?</v>
      </c>
      <c r="GS16" s="35" t="e">
        <f ca="1">_xll.RiskBinomial(1,GR16)</f>
        <v>#VALUE!</v>
      </c>
      <c r="GT16" s="88" t="e">
        <f ca="1">IF(GS16=1,_xll.RiskBinomial(1,Prob_Illness_Given_Infection),0)</f>
        <v>#VALUE!</v>
      </c>
    </row>
    <row r="17" spans="2:202">
      <c r="B17" s="108">
        <v>9</v>
      </c>
      <c r="C17" s="87">
        <f ca="1">_xll.RiskLoglogistic(LogLogistic_gamma, LogLogistic_beta, LogLogistic_alpha, _xll.RiskTruncate(5,800))</f>
        <v>79.601928990400509</v>
      </c>
      <c r="D17" s="38">
        <f t="shared" ca="1" si="33"/>
        <v>5.1137582529178873</v>
      </c>
      <c r="E17" s="30"/>
      <c r="F17" s="87">
        <f t="shared" ca="1" si="34"/>
        <v>1.8462671430329149E-9</v>
      </c>
      <c r="G17" s="37">
        <f ca="1">INT(F17) + _xll.RiskBinomial(1,F17-INT(F17))</f>
        <v>0</v>
      </c>
      <c r="H17" s="30">
        <f t="shared" ca="1" si="0"/>
        <v>0</v>
      </c>
      <c r="I17" s="35">
        <f ca="1">_xll.RiskBinomial(1,H17)</f>
        <v>0</v>
      </c>
      <c r="J17" s="88">
        <f ca="1">IF(I17=1,_xll.RiskBinomial(1,Prob_Illness_Given_Infection),0)</f>
        <v>0</v>
      </c>
      <c r="K17" s="30"/>
      <c r="L17" s="87">
        <f t="shared" ca="1" si="35"/>
        <v>9.4302514985200879E-5</v>
      </c>
      <c r="M17" s="37">
        <f ca="1">INT(L17) + _xll.RiskBinomial(1,L17-INT(L17))</f>
        <v>0</v>
      </c>
      <c r="N17" s="30">
        <f t="shared" ca="1" si="1"/>
        <v>0</v>
      </c>
      <c r="O17" s="35">
        <f ca="1">_xll.RiskBinomial(1,N17)</f>
        <v>0</v>
      </c>
      <c r="P17" s="88">
        <f ca="1">IF(O17=1,_xll.RiskBinomial(1,Prob_Illness_Given_Infection),0)</f>
        <v>0</v>
      </c>
      <c r="Q17" s="30"/>
      <c r="R17" s="87">
        <f t="shared" ca="1" si="36"/>
        <v>9.7485952301726804E-6</v>
      </c>
      <c r="S17" s="37">
        <f ca="1">INT(R17) + _xll.RiskBinomial(1,R17-INT(R17))</f>
        <v>0</v>
      </c>
      <c r="T17" s="30">
        <f t="shared" ca="1" si="2"/>
        <v>0</v>
      </c>
      <c r="U17" s="35">
        <f ca="1">_xll.RiskBinomial(1,T17)</f>
        <v>0</v>
      </c>
      <c r="V17" s="88">
        <f ca="1">IF(U17=1,_xll.RiskBinomial(1,Prob_Illness_Given_Infection),0)</f>
        <v>0</v>
      </c>
      <c r="W17" s="30"/>
      <c r="X17" s="87">
        <f t="shared" ca="1" si="37"/>
        <v>4.0049769117658481E-12</v>
      </c>
      <c r="Y17" s="37">
        <f ca="1">INT(X17) + _xll.RiskBinomial(1,X17-INT(X17))</f>
        <v>0</v>
      </c>
      <c r="Z17" s="30">
        <f t="shared" ca="1" si="3"/>
        <v>0</v>
      </c>
      <c r="AA17" s="35">
        <f ca="1">_xll.RiskBinomial(1,Z17)</f>
        <v>0</v>
      </c>
      <c r="AB17" s="88">
        <f ca="1">IF(AA17=1,_xll.RiskBinomial(1,Prob_Illness_Given_Infection),0)</f>
        <v>0</v>
      </c>
      <c r="AC17" s="30"/>
      <c r="AD17" s="87">
        <f t="shared" ca="1" si="38"/>
        <v>2.0177782983998495E-12</v>
      </c>
      <c r="AE17" s="37">
        <f ca="1">INT(AD17) + _xll.RiskBinomial(1,AD17-INT(AD17))</f>
        <v>0</v>
      </c>
      <c r="AF17" s="30">
        <f t="shared" ca="1" si="4"/>
        <v>0</v>
      </c>
      <c r="AG17" s="35">
        <f ca="1">_xll.RiskBinomial(1,AF17)</f>
        <v>0</v>
      </c>
      <c r="AH17" s="88">
        <f ca="1">IF(AG17=1,_xll.RiskBinomial(1,Prob_Illness_Given_Infection),0)</f>
        <v>0</v>
      </c>
      <c r="AI17" s="30"/>
      <c r="AJ17" s="87">
        <f t="shared" ca="1" si="39"/>
        <v>9.3660068660356868E-5</v>
      </c>
      <c r="AK17" s="37">
        <f ca="1">INT(AJ17) + _xll.RiskBinomial(1,AJ17-INT(AJ17))</f>
        <v>0</v>
      </c>
      <c r="AL17" s="30">
        <f t="shared" ca="1" si="5"/>
        <v>0</v>
      </c>
      <c r="AM17" s="35">
        <f ca="1">_xll.RiskBinomial(1,AL17)</f>
        <v>0</v>
      </c>
      <c r="AN17" s="88">
        <f ca="1">IF(AM17=1,_xll.RiskBinomial(1,Prob_Illness_Given_Infection),0)</f>
        <v>0</v>
      </c>
      <c r="AO17" s="30"/>
      <c r="AP17" s="87">
        <f t="shared" ca="1" si="40"/>
        <v>2.2777223652148816E-9</v>
      </c>
      <c r="AQ17" s="37">
        <f ca="1">INT(AP17) + _xll.RiskBinomial(1,AP17-INT(AP17))</f>
        <v>0</v>
      </c>
      <c r="AR17" s="30">
        <f t="shared" ca="1" si="6"/>
        <v>0</v>
      </c>
      <c r="AS17" s="35">
        <f ca="1">_xll.RiskBinomial(1,AR17)</f>
        <v>0</v>
      </c>
      <c r="AT17" s="88">
        <f ca="1">IF(AS17=1,_xll.RiskBinomial(1,Prob_Illness_Given_Infection),0)</f>
        <v>0</v>
      </c>
      <c r="AU17" s="30"/>
      <c r="AV17" s="87">
        <f t="shared" ca="1" si="41"/>
        <v>5.2841973122527428E-5</v>
      </c>
      <c r="AW17" s="37">
        <f ca="1">INT(AV17) + _xll.RiskBinomial(1,AV17-INT(AV17))</f>
        <v>0</v>
      </c>
      <c r="AX17" s="30">
        <f t="shared" ca="1" si="7"/>
        <v>0</v>
      </c>
      <c r="AY17" s="35">
        <f ca="1">_xll.RiskBinomial(1,AX17)</f>
        <v>0</v>
      </c>
      <c r="AZ17" s="88">
        <f ca="1">IF(AY17=1,_xll.RiskBinomial(1,Prob_Illness_Given_Infection),0)</f>
        <v>0</v>
      </c>
      <c r="BB17" s="87">
        <f t="shared" ca="1" si="42"/>
        <v>7.2526130090898872E-5</v>
      </c>
      <c r="BC17" s="37">
        <f ca="1">INT(BB17) + _xll.RiskBinomial(1,BB17-INT(BB17))</f>
        <v>0</v>
      </c>
      <c r="BD17" s="30">
        <f t="shared" ca="1" si="8"/>
        <v>0</v>
      </c>
      <c r="BE17" s="35">
        <f ca="1">_xll.RiskBinomial(1,BD17)</f>
        <v>0</v>
      </c>
      <c r="BF17" s="88">
        <f ca="1">IF(BE17=1,_xll.RiskBinomial(1,Prob_Illness_Given_Infection),0)</f>
        <v>0</v>
      </c>
      <c r="BH17" s="87">
        <f t="shared" ca="1" si="43"/>
        <v>9.182326932566384E-5</v>
      </c>
      <c r="BI17" s="37">
        <f ca="1">INT(BH17) + _xll.RiskBinomial(1,BH17-INT(BH17))</f>
        <v>0</v>
      </c>
      <c r="BJ17" s="30">
        <f t="shared" ca="1" si="9"/>
        <v>0</v>
      </c>
      <c r="BK17" s="35">
        <f ca="1">_xll.RiskBinomial(1,BJ17)</f>
        <v>0</v>
      </c>
      <c r="BL17" s="88">
        <f ca="1">IF(BK17=1,_xll.RiskBinomial(1,Prob_Illness_Given_Infection),0)</f>
        <v>0</v>
      </c>
      <c r="BN17" s="87">
        <f t="shared" ca="1" si="44"/>
        <v>6.9882743692109122E-6</v>
      </c>
      <c r="BO17" s="37">
        <f ca="1">INT(BN17) + _xll.RiskBinomial(1,BN17-INT(BN17))</f>
        <v>0</v>
      </c>
      <c r="BP17" s="30">
        <f t="shared" ca="1" si="10"/>
        <v>0</v>
      </c>
      <c r="BQ17" s="35">
        <f ca="1">_xll.RiskBinomial(1,BP17)</f>
        <v>0</v>
      </c>
      <c r="BR17" s="88">
        <f ca="1">IF(BQ17=1,_xll.RiskBinomial(1,Prob_Illness_Given_Infection),0)</f>
        <v>0</v>
      </c>
      <c r="BT17" s="87">
        <f t="shared" ca="1" si="45"/>
        <v>2.1013667149070428E-5</v>
      </c>
      <c r="BU17" s="37">
        <f ca="1">INT(BT17) + _xll.RiskBinomial(1,BT17-INT(BT17))</f>
        <v>0</v>
      </c>
      <c r="BV17" s="30">
        <f t="shared" ca="1" si="11"/>
        <v>0</v>
      </c>
      <c r="BW17" s="35">
        <f ca="1">_xll.RiskBinomial(1,BV17)</f>
        <v>0</v>
      </c>
      <c r="BX17" s="88">
        <f ca="1">IF(BW17=1,_xll.RiskBinomial(1,Prob_Illness_Given_Infection),0)</f>
        <v>0</v>
      </c>
      <c r="BZ17" s="87">
        <f t="shared" ca="1" si="46"/>
        <v>5.7605545177663215E-5</v>
      </c>
      <c r="CA17" s="37">
        <f ca="1">INT(BZ17) + _xll.RiskBinomial(1,BZ17-INT(BZ17))</f>
        <v>0</v>
      </c>
      <c r="CB17" s="30">
        <f t="shared" ca="1" si="12"/>
        <v>0</v>
      </c>
      <c r="CC17" s="35">
        <f ca="1">_xll.RiskBinomial(1,CB17)</f>
        <v>0</v>
      </c>
      <c r="CD17" s="88">
        <f ca="1">IF(CC17=1,_xll.RiskBinomial(1,Prob_Illness_Given_Infection),0)</f>
        <v>0</v>
      </c>
      <c r="CF17" s="87">
        <f t="shared" ca="1" si="47"/>
        <v>1.0930075610232417E-5</v>
      </c>
      <c r="CG17" s="37">
        <f ca="1">INT(CF17) + _xll.RiskBinomial(1,CF17-INT(CF17))</f>
        <v>0</v>
      </c>
      <c r="CH17" s="30">
        <f t="shared" ca="1" si="13"/>
        <v>0</v>
      </c>
      <c r="CI17" s="35">
        <f ca="1">_xll.RiskBinomial(1,CH17)</f>
        <v>0</v>
      </c>
      <c r="CJ17" s="88">
        <f ca="1">IF(CI17=1,_xll.RiskBinomial(1,Prob_Illness_Given_Infection),0)</f>
        <v>0</v>
      </c>
      <c r="CL17" s="87">
        <f t="shared" ca="1" si="48"/>
        <v>2.1091985991602782E-5</v>
      </c>
      <c r="CM17" s="37">
        <f ca="1">INT(CL17) + _xll.RiskBinomial(1,CL17-INT(CL17))</f>
        <v>0</v>
      </c>
      <c r="CN17" s="30">
        <f t="shared" ca="1" si="14"/>
        <v>0</v>
      </c>
      <c r="CO17" s="35">
        <f ca="1">_xll.RiskBinomial(1,CN17)</f>
        <v>0</v>
      </c>
      <c r="CP17" s="88">
        <f ca="1">IF(CO17=1,_xll.RiskBinomial(1,Prob_Illness_Given_Infection),0)</f>
        <v>0</v>
      </c>
      <c r="CR17" s="87">
        <f t="shared" ca="1" si="49"/>
        <v>1.453595835632191E-7</v>
      </c>
      <c r="CS17" s="37">
        <f ca="1">INT(CR17) + _xll.RiskBinomial(1,CR17-INT(CR17))</f>
        <v>0</v>
      </c>
      <c r="CT17" s="30">
        <f t="shared" ca="1" si="15"/>
        <v>0</v>
      </c>
      <c r="CU17" s="35">
        <f ca="1">_xll.RiskBinomial(1,CT17)</f>
        <v>0</v>
      </c>
      <c r="CV17" s="88">
        <f ca="1">IF(CU17=1,_xll.RiskBinomial(1,Prob_Illness_Given_Infection),0)</f>
        <v>0</v>
      </c>
      <c r="CX17" s="87">
        <f t="shared" ca="1" si="50"/>
        <v>1.4797440356939288E-9</v>
      </c>
      <c r="CY17" s="37">
        <f ca="1">INT(CX17) + _xll.RiskBinomial(1,CX17-INT(CX17))</f>
        <v>0</v>
      </c>
      <c r="CZ17" s="30">
        <f t="shared" ca="1" si="16"/>
        <v>0</v>
      </c>
      <c r="DA17" s="35">
        <f ca="1">_xll.RiskBinomial(1,CZ17)</f>
        <v>0</v>
      </c>
      <c r="DB17" s="88">
        <f ca="1">IF(DA17=1,_xll.RiskBinomial(1,Prob_Illness_Given_Infection),0)</f>
        <v>0</v>
      </c>
      <c r="DD17" s="87">
        <f t="shared" ca="1" si="51"/>
        <v>1.4797440356939288E-9</v>
      </c>
      <c r="DE17" s="37">
        <f ca="1">INT(DD17) + _xll.RiskBinomial(1,DD17-INT(DD17))</f>
        <v>0</v>
      </c>
      <c r="DF17" s="30">
        <f t="shared" ca="1" si="17"/>
        <v>0</v>
      </c>
      <c r="DG17" s="35">
        <f ca="1">_xll.RiskBinomial(1,DF17)</f>
        <v>0</v>
      </c>
      <c r="DH17" s="88">
        <f ca="1">IF(DG17=1,_xll.RiskBinomial(1,Prob_Illness_Given_Infection),0)</f>
        <v>0</v>
      </c>
      <c r="DJ17" s="87">
        <f t="shared" ca="1" si="52"/>
        <v>2.4162166915512278E-6</v>
      </c>
      <c r="DK17" s="37">
        <f ca="1">INT(DJ17) + _xll.RiskBinomial(1,DJ17-INT(DJ17))</f>
        <v>0</v>
      </c>
      <c r="DL17" s="30">
        <f t="shared" ca="1" si="18"/>
        <v>0</v>
      </c>
      <c r="DM17" s="35">
        <f ca="1">_xll.RiskBinomial(1,DL17)</f>
        <v>0</v>
      </c>
      <c r="DN17" s="88">
        <f ca="1">IF(DM17=1,_xll.RiskBinomial(1,Prob_Illness_Given_Infection),0)</f>
        <v>0</v>
      </c>
      <c r="DP17" s="87">
        <f t="shared" ca="1" si="53"/>
        <v>5.711811731607864E-10</v>
      </c>
      <c r="DQ17" s="37">
        <f ca="1">INT(DP17) + _xll.RiskBinomial(1,DP17-INT(DP17))</f>
        <v>0</v>
      </c>
      <c r="DR17" s="30">
        <f t="shared" ca="1" si="19"/>
        <v>0</v>
      </c>
      <c r="DS17" s="35">
        <f ca="1">_xll.RiskBinomial(1,DR17)</f>
        <v>0</v>
      </c>
      <c r="DT17" s="88">
        <f ca="1">IF(DS17=1,_xll.RiskBinomial(1,Prob_Illness_Given_Infection),0)</f>
        <v>0</v>
      </c>
      <c r="DV17" s="87">
        <f t="shared" ca="1" si="54"/>
        <v>8.0411226390002176E-9</v>
      </c>
      <c r="DW17" s="37">
        <f ca="1">INT(DV17) + _xll.RiskBinomial(1,DV17-INT(DV17))</f>
        <v>0</v>
      </c>
      <c r="DX17" s="30">
        <f t="shared" ca="1" si="20"/>
        <v>0</v>
      </c>
      <c r="DY17" s="35">
        <f ca="1">_xll.RiskBinomial(1,DX17)</f>
        <v>0</v>
      </c>
      <c r="DZ17" s="88">
        <f ca="1">IF(DY17=1,_xll.RiskBinomial(1,Prob_Illness_Given_Infection),0)</f>
        <v>0</v>
      </c>
      <c r="EB17" s="87">
        <f t="shared" ca="1" si="55"/>
        <v>2.0177782983991718E-12</v>
      </c>
      <c r="EC17" s="37">
        <f ca="1">INT(EB17) + _xll.RiskBinomial(1,EB17-INT(EB17))</f>
        <v>0</v>
      </c>
      <c r="ED17" s="30">
        <f t="shared" ca="1" si="21"/>
        <v>0</v>
      </c>
      <c r="EE17" s="35">
        <f ca="1">_xll.RiskBinomial(1,ED17)</f>
        <v>0</v>
      </c>
      <c r="EF17" s="88">
        <f ca="1">IF(EE17=1,_xll.RiskBinomial(1,Prob_Illness_Given_Infection),0)</f>
        <v>0</v>
      </c>
      <c r="EH17" s="87">
        <f t="shared" ca="1" si="56"/>
        <v>2.0177782983970978E-12</v>
      </c>
      <c r="EI17" s="37">
        <f ca="1">INT(EH17) + _xll.RiskBinomial(1,EH17-INT(EH17))</f>
        <v>0</v>
      </c>
      <c r="EJ17" s="30">
        <f t="shared" ca="1" si="22"/>
        <v>0</v>
      </c>
      <c r="EK17" s="35">
        <f ca="1">_xll.RiskBinomial(1,EJ17)</f>
        <v>0</v>
      </c>
      <c r="EL17" s="88">
        <f ca="1">IF(EK17=1,_xll.RiskBinomial(1,Prob_Illness_Given_Infection),0)</f>
        <v>0</v>
      </c>
      <c r="EN17" s="87">
        <f t="shared" ca="1" si="57"/>
        <v>1.8411008781026224E-10</v>
      </c>
      <c r="EO17" s="37">
        <f ca="1">INT(EN17) + _xll.RiskBinomial(1,EN17-INT(EN17))</f>
        <v>0</v>
      </c>
      <c r="EP17" s="30">
        <f t="shared" ca="1" si="23"/>
        <v>0</v>
      </c>
      <c r="EQ17" s="35">
        <f ca="1">_xll.RiskBinomial(1,EP17)</f>
        <v>0</v>
      </c>
      <c r="ER17" s="88">
        <f ca="1">IF(EQ17=1,_xll.RiskBinomial(1,Prob_Illness_Given_Infection),0)</f>
        <v>0</v>
      </c>
      <c r="ET17" s="87">
        <f t="shared" ca="1" si="58"/>
        <v>2.0177782983951736E-12</v>
      </c>
      <c r="EU17" s="37">
        <f ca="1">INT(ET17) + _xll.RiskBinomial(1,ET17-INT(ET17))</f>
        <v>0</v>
      </c>
      <c r="EV17" s="30">
        <f t="shared" ca="1" si="24"/>
        <v>0</v>
      </c>
      <c r="EW17" s="35">
        <f ca="1">_xll.RiskBinomial(1,EV17)</f>
        <v>0</v>
      </c>
      <c r="EX17" s="88">
        <f ca="1">IF(EW17=1,_xll.RiskBinomial(1,Prob_Illness_Given_Infection),0)</f>
        <v>0</v>
      </c>
      <c r="EZ17" s="87">
        <f t="shared" ca="1" si="59"/>
        <v>1.5218494448045272E-5</v>
      </c>
      <c r="FA17" s="37">
        <f ca="1">INT(EZ17) + _xll.RiskBinomial(1,EZ17-INT(EZ17))</f>
        <v>0</v>
      </c>
      <c r="FB17" s="30">
        <f t="shared" ca="1" si="25"/>
        <v>0</v>
      </c>
      <c r="FC17" s="35">
        <f ca="1">_xll.RiskBinomial(1,FB17)</f>
        <v>0</v>
      </c>
      <c r="FD17" s="88">
        <f ca="1">IF(FC17=1,_xll.RiskBinomial(1,Prob_Illness_Given_Infection),0)</f>
        <v>0</v>
      </c>
      <c r="FF17" s="87">
        <f t="shared" ca="1" si="60"/>
        <v>1.0601032161125135E-4</v>
      </c>
      <c r="FG17" s="37">
        <f ca="1">INT(FF17) + _xll.RiskBinomial(1,FF17-INT(FF17))</f>
        <v>0</v>
      </c>
      <c r="FH17" s="30">
        <f t="shared" ca="1" si="26"/>
        <v>0</v>
      </c>
      <c r="FI17" s="35">
        <f ca="1">_xll.RiskBinomial(1,FH17)</f>
        <v>0</v>
      </c>
      <c r="FJ17" s="88">
        <f ca="1">IF(FI17=1,_xll.RiskBinomial(1,Prob_Illness_Given_Infection),0)</f>
        <v>0</v>
      </c>
      <c r="FL17" s="87" t="e">
        <f t="shared" ca="1" si="61"/>
        <v>#NAME?</v>
      </c>
      <c r="FM17" s="37" t="e">
        <f ca="1">INT(FL17) + _xll.RiskBinomial(1,FL17-INT(FL17))</f>
        <v>#NAME?</v>
      </c>
      <c r="FN17" s="30" t="e">
        <f t="shared" ca="1" si="27"/>
        <v>#NAME?</v>
      </c>
      <c r="FO17" s="35" t="e">
        <f ca="1">_xll.RiskBinomial(1,FN17)</f>
        <v>#VALUE!</v>
      </c>
      <c r="FP17" s="88" t="e">
        <f ca="1">IF(FO17=1,_xll.RiskBinomial(1,Prob_Illness_Given_Infection),0)</f>
        <v>#VALUE!</v>
      </c>
      <c r="FR17" s="87" t="e">
        <f t="shared" ca="1" si="62"/>
        <v>#NAME?</v>
      </c>
      <c r="FS17" s="37" t="e">
        <f ca="1">INT(FR17) + _xll.RiskBinomial(1,FR17-INT(FR17))</f>
        <v>#NAME?</v>
      </c>
      <c r="FT17" s="30" t="e">
        <f t="shared" ca="1" si="28"/>
        <v>#NAME?</v>
      </c>
      <c r="FU17" s="35" t="e">
        <f ca="1">_xll.RiskBinomial(1,FT17)</f>
        <v>#VALUE!</v>
      </c>
      <c r="FV17" s="88" t="e">
        <f ca="1">IF(FU17=1,_xll.RiskBinomial(1,Prob_Illness_Given_Infection),0)</f>
        <v>#VALUE!</v>
      </c>
      <c r="FX17" s="87">
        <f t="shared" ca="1" si="63"/>
        <v>2.130303852539554E-7</v>
      </c>
      <c r="FY17" s="37">
        <f ca="1">INT(FX17) + _xll.RiskBinomial(1,FX17-INT(FX17))</f>
        <v>0</v>
      </c>
      <c r="FZ17" s="30">
        <f t="shared" ca="1" si="29"/>
        <v>0</v>
      </c>
      <c r="GA17" s="35">
        <f ca="1">_xll.RiskBinomial(1,FZ17)</f>
        <v>0</v>
      </c>
      <c r="GB17" s="88">
        <f ca="1">IF(GA17=1,_xll.RiskBinomial(1,Prob_Illness_Given_Infection),0)</f>
        <v>0</v>
      </c>
      <c r="GD17" s="87" t="e">
        <f t="shared" ca="1" si="64"/>
        <v>#NAME?</v>
      </c>
      <c r="GE17" s="37" t="e">
        <f ca="1">INT(GD17) + _xll.RiskBinomial(1,GD17-INT(GD17))</f>
        <v>#NAME?</v>
      </c>
      <c r="GF17" s="30" t="e">
        <f t="shared" ca="1" si="30"/>
        <v>#NAME?</v>
      </c>
      <c r="GG17" s="35" t="e">
        <f ca="1">_xll.RiskBinomial(1,GF17)</f>
        <v>#VALUE!</v>
      </c>
      <c r="GH17" s="88" t="e">
        <f ca="1">IF(GG17=1,_xll.RiskBinomial(1,Prob_Illness_Given_Infection),0)</f>
        <v>#VALUE!</v>
      </c>
      <c r="GJ17" s="87" t="e">
        <f t="shared" ca="1" si="65"/>
        <v>#NAME?</v>
      </c>
      <c r="GK17" s="37" t="e">
        <f ca="1">INT(GJ17) + _xll.RiskBinomial(1,GJ17-INT(GJ17))</f>
        <v>#NAME?</v>
      </c>
      <c r="GL17" s="30" t="e">
        <f t="shared" ca="1" si="31"/>
        <v>#NAME?</v>
      </c>
      <c r="GM17" s="35" t="e">
        <f ca="1">_xll.RiskBinomial(1,GL17)</f>
        <v>#VALUE!</v>
      </c>
      <c r="GN17" s="88" t="e">
        <f ca="1">IF(GM17=1,_xll.RiskBinomial(1,Prob_Illness_Given_Infection),0)</f>
        <v>#VALUE!</v>
      </c>
      <c r="GP17" s="87" t="e">
        <f t="shared" ca="1" si="66"/>
        <v>#NAME?</v>
      </c>
      <c r="GQ17" s="37" t="e">
        <f ca="1">INT(GP17) + _xll.RiskBinomial(1,GP17-INT(GP17))</f>
        <v>#NAME?</v>
      </c>
      <c r="GR17" s="30" t="e">
        <f t="shared" ca="1" si="32"/>
        <v>#NAME?</v>
      </c>
      <c r="GS17" s="35" t="e">
        <f ca="1">_xll.RiskBinomial(1,GR17)</f>
        <v>#VALUE!</v>
      </c>
      <c r="GT17" s="88" t="e">
        <f ca="1">IF(GS17=1,_xll.RiskBinomial(1,Prob_Illness_Given_Infection),0)</f>
        <v>#VALUE!</v>
      </c>
    </row>
    <row r="18" spans="2:202">
      <c r="B18" s="108">
        <v>10</v>
      </c>
      <c r="C18" s="87">
        <f ca="1">_xll.RiskLoglogistic(LogLogistic_gamma, LogLogistic_beta, LogLogistic_alpha, _xll.RiskTruncate(5,800))</f>
        <v>98.773109553465957</v>
      </c>
      <c r="D18" s="38">
        <f t="shared" ca="1" si="33"/>
        <v>6.3453462818257993</v>
      </c>
      <c r="E18" s="30"/>
      <c r="F18" s="87">
        <f t="shared" ca="1" si="34"/>
        <v>2.2909186887386405E-9</v>
      </c>
      <c r="G18" s="37">
        <f ca="1">INT(F18) + _xll.RiskBinomial(1,F18-INT(F18))</f>
        <v>0</v>
      </c>
      <c r="H18" s="30">
        <f t="shared" ca="1" si="0"/>
        <v>0</v>
      </c>
      <c r="I18" s="35">
        <f ca="1">_xll.RiskBinomial(1,H18)</f>
        <v>0</v>
      </c>
      <c r="J18" s="88">
        <f ca="1">IF(I18=1,_xll.RiskBinomial(1,Prob_Illness_Given_Infection),0)</f>
        <v>0</v>
      </c>
      <c r="K18" s="30"/>
      <c r="L18" s="87">
        <f t="shared" ca="1" si="35"/>
        <v>1.1701415734440163E-4</v>
      </c>
      <c r="M18" s="37">
        <f ca="1">INT(L18) + _xll.RiskBinomial(1,L18-INT(L18))</f>
        <v>0</v>
      </c>
      <c r="N18" s="30">
        <f t="shared" ca="1" si="1"/>
        <v>0</v>
      </c>
      <c r="O18" s="35">
        <f ca="1">_xll.RiskBinomial(1,N18)</f>
        <v>0</v>
      </c>
      <c r="P18" s="88">
        <f ca="1">IF(O18=1,_xll.RiskBinomial(1,Prob_Illness_Given_Infection),0)</f>
        <v>0</v>
      </c>
      <c r="Q18" s="30"/>
      <c r="R18" s="87">
        <f t="shared" ca="1" si="36"/>
        <v>1.2096428778483013E-5</v>
      </c>
      <c r="S18" s="37">
        <f ca="1">INT(R18) + _xll.RiskBinomial(1,R18-INT(R18))</f>
        <v>0</v>
      </c>
      <c r="T18" s="30">
        <f t="shared" ca="1" si="2"/>
        <v>0</v>
      </c>
      <c r="U18" s="35">
        <f ca="1">_xll.RiskBinomial(1,T18)</f>
        <v>0</v>
      </c>
      <c r="V18" s="88">
        <f ca="1">IF(U18=1,_xll.RiskBinomial(1,Prob_Illness_Given_Infection),0)</f>
        <v>0</v>
      </c>
      <c r="W18" s="30"/>
      <c r="X18" s="87">
        <f t="shared" ca="1" si="37"/>
        <v>4.9695281041826863E-12</v>
      </c>
      <c r="Y18" s="37">
        <f ca="1">INT(X18) + _xll.RiskBinomial(1,X18-INT(X18))</f>
        <v>0</v>
      </c>
      <c r="Z18" s="30">
        <f t="shared" ca="1" si="3"/>
        <v>0</v>
      </c>
      <c r="AA18" s="35">
        <f ca="1">_xll.RiskBinomial(1,Z18)</f>
        <v>0</v>
      </c>
      <c r="AB18" s="88">
        <f ca="1">IF(AA18=1,_xll.RiskBinomial(1,Prob_Illness_Given_Infection),0)</f>
        <v>0</v>
      </c>
      <c r="AC18" s="30"/>
      <c r="AD18" s="87">
        <f t="shared" ca="1" si="38"/>
        <v>2.503736271849506E-12</v>
      </c>
      <c r="AE18" s="37">
        <f ca="1">INT(AD18) + _xll.RiskBinomial(1,AD18-INT(AD18))</f>
        <v>0</v>
      </c>
      <c r="AF18" s="30">
        <f t="shared" ca="1" si="4"/>
        <v>0</v>
      </c>
      <c r="AG18" s="35">
        <f ca="1">_xll.RiskBinomial(1,AF18)</f>
        <v>0</v>
      </c>
      <c r="AH18" s="88">
        <f ca="1">IF(AG18=1,_xll.RiskBinomial(1,Prob_Illness_Given_Infection),0)</f>
        <v>0</v>
      </c>
      <c r="AI18" s="30"/>
      <c r="AJ18" s="87">
        <f t="shared" ca="1" si="39"/>
        <v>1.1621698544127238E-4</v>
      </c>
      <c r="AK18" s="37">
        <f ca="1">INT(AJ18) + _xll.RiskBinomial(1,AJ18-INT(AJ18))</f>
        <v>0</v>
      </c>
      <c r="AL18" s="30">
        <f t="shared" ca="1" si="5"/>
        <v>0</v>
      </c>
      <c r="AM18" s="35">
        <f ca="1">_xll.RiskBinomial(1,AL18)</f>
        <v>0</v>
      </c>
      <c r="AN18" s="88">
        <f ca="1">IF(AM18=1,_xll.RiskBinomial(1,Prob_Illness_Given_Infection),0)</f>
        <v>0</v>
      </c>
      <c r="AO18" s="30"/>
      <c r="AP18" s="87">
        <f t="shared" ca="1" si="40"/>
        <v>2.8262847843659665E-9</v>
      </c>
      <c r="AQ18" s="37">
        <f ca="1">INT(AP18) + _xll.RiskBinomial(1,AP18-INT(AP18))</f>
        <v>0</v>
      </c>
      <c r="AR18" s="30">
        <f t="shared" ca="1" si="6"/>
        <v>0</v>
      </c>
      <c r="AS18" s="35">
        <f ca="1">_xll.RiskBinomial(1,AR18)</f>
        <v>0</v>
      </c>
      <c r="AT18" s="88">
        <f ca="1">IF(AS18=1,_xll.RiskBinomial(1,Prob_Illness_Given_Infection),0)</f>
        <v>0</v>
      </c>
      <c r="AU18" s="30"/>
      <c r="AV18" s="87">
        <f t="shared" ca="1" si="41"/>
        <v>6.5568335672897172E-5</v>
      </c>
      <c r="AW18" s="37">
        <f ca="1">INT(AV18) + _xll.RiskBinomial(1,AV18-INT(AV18))</f>
        <v>0</v>
      </c>
      <c r="AX18" s="30">
        <f t="shared" ca="1" si="7"/>
        <v>0</v>
      </c>
      <c r="AY18" s="35">
        <f ca="1">_xll.RiskBinomial(1,AX18)</f>
        <v>0</v>
      </c>
      <c r="AZ18" s="88">
        <f ca="1">IF(AY18=1,_xll.RiskBinomial(1,Prob_Illness_Given_Infection),0)</f>
        <v>0</v>
      </c>
      <c r="BB18" s="87">
        <f t="shared" ca="1" si="42"/>
        <v>8.9993188404029334E-5</v>
      </c>
      <c r="BC18" s="37">
        <f ca="1">INT(BB18) + _xll.RiskBinomial(1,BB18-INT(BB18))</f>
        <v>0</v>
      </c>
      <c r="BD18" s="30">
        <f t="shared" ca="1" si="8"/>
        <v>0</v>
      </c>
      <c r="BE18" s="35">
        <f ca="1">_xll.RiskBinomial(1,BD18)</f>
        <v>0</v>
      </c>
      <c r="BF18" s="88">
        <f ca="1">IF(BE18=1,_xll.RiskBinomial(1,Prob_Illness_Given_Infection),0)</f>
        <v>0</v>
      </c>
      <c r="BH18" s="87">
        <f t="shared" ca="1" si="43"/>
        <v>1.1393781477022937E-4</v>
      </c>
      <c r="BI18" s="37">
        <f ca="1">INT(BH18) + _xll.RiskBinomial(1,BH18-INT(BH18))</f>
        <v>0</v>
      </c>
      <c r="BJ18" s="30">
        <f t="shared" ca="1" si="9"/>
        <v>0</v>
      </c>
      <c r="BK18" s="35">
        <f ca="1">_xll.RiskBinomial(1,BJ18)</f>
        <v>0</v>
      </c>
      <c r="BL18" s="88">
        <f ca="1">IF(BK18=1,_xll.RiskBinomial(1,Prob_Illness_Given_Infection),0)</f>
        <v>0</v>
      </c>
      <c r="BN18" s="87">
        <f t="shared" ca="1" si="44"/>
        <v>8.6713173740172549E-6</v>
      </c>
      <c r="BO18" s="37">
        <f ca="1">INT(BN18) + _xll.RiskBinomial(1,BN18-INT(BN18))</f>
        <v>0</v>
      </c>
      <c r="BP18" s="30">
        <f t="shared" ca="1" si="10"/>
        <v>0</v>
      </c>
      <c r="BQ18" s="35">
        <f ca="1">_xll.RiskBinomial(1,BP18)</f>
        <v>0</v>
      </c>
      <c r="BR18" s="88">
        <f ca="1">IF(BQ18=1,_xll.RiskBinomial(1,Prob_Illness_Given_Infection),0)</f>
        <v>0</v>
      </c>
      <c r="BT18" s="87">
        <f t="shared" ca="1" si="45"/>
        <v>2.6074559671606756E-5</v>
      </c>
      <c r="BU18" s="37">
        <f ca="1">INT(BT18) + _xll.RiskBinomial(1,BT18-INT(BT18))</f>
        <v>0</v>
      </c>
      <c r="BV18" s="30">
        <f t="shared" ca="1" si="11"/>
        <v>0</v>
      </c>
      <c r="BW18" s="35">
        <f ca="1">_xll.RiskBinomial(1,BV18)</f>
        <v>0</v>
      </c>
      <c r="BX18" s="88">
        <f ca="1">IF(BW18=1,_xll.RiskBinomial(1,Prob_Illness_Given_Infection),0)</f>
        <v>0</v>
      </c>
      <c r="BZ18" s="87">
        <f t="shared" ca="1" si="46"/>
        <v>7.1479157564217124E-5</v>
      </c>
      <c r="CA18" s="37">
        <f ca="1">INT(BZ18) + _xll.RiskBinomial(1,BZ18-INT(BZ18))</f>
        <v>0</v>
      </c>
      <c r="CB18" s="30">
        <f t="shared" ca="1" si="12"/>
        <v>0</v>
      </c>
      <c r="CC18" s="35">
        <f ca="1">_xll.RiskBinomial(1,CB18)</f>
        <v>0</v>
      </c>
      <c r="CD18" s="88">
        <f ca="1">IF(CC18=1,_xll.RiskBinomial(1,Prob_Illness_Given_Infection),0)</f>
        <v>0</v>
      </c>
      <c r="CF18" s="87">
        <f t="shared" ca="1" si="47"/>
        <v>1.3562454696384877E-5</v>
      </c>
      <c r="CG18" s="37">
        <f ca="1">INT(CF18) + _xll.RiskBinomial(1,CF18-INT(CF18))</f>
        <v>0</v>
      </c>
      <c r="CH18" s="30">
        <f t="shared" ca="1" si="13"/>
        <v>0</v>
      </c>
      <c r="CI18" s="35">
        <f ca="1">_xll.RiskBinomial(1,CH18)</f>
        <v>0</v>
      </c>
      <c r="CJ18" s="88">
        <f ca="1">IF(CI18=1,_xll.RiskBinomial(1,Prob_Illness_Given_Infection),0)</f>
        <v>0</v>
      </c>
      <c r="CL18" s="87">
        <f t="shared" ca="1" si="48"/>
        <v>2.6171740678545444E-5</v>
      </c>
      <c r="CM18" s="37">
        <f ca="1">INT(CL18) + _xll.RiskBinomial(1,CL18-INT(CL18))</f>
        <v>0</v>
      </c>
      <c r="CN18" s="30">
        <f t="shared" ca="1" si="14"/>
        <v>0</v>
      </c>
      <c r="CO18" s="35">
        <f ca="1">_xll.RiskBinomial(1,CN18)</f>
        <v>0</v>
      </c>
      <c r="CP18" s="88">
        <f ca="1">IF(CO18=1,_xll.RiskBinomial(1,Prob_Illness_Given_Infection),0)</f>
        <v>0</v>
      </c>
      <c r="CR18" s="87">
        <f t="shared" ca="1" si="49"/>
        <v>1.8036771538121228E-7</v>
      </c>
      <c r="CS18" s="37">
        <f ca="1">INT(CR18) + _xll.RiskBinomial(1,CR18-INT(CR18))</f>
        <v>0</v>
      </c>
      <c r="CT18" s="30">
        <f t="shared" ca="1" si="15"/>
        <v>0</v>
      </c>
      <c r="CU18" s="35">
        <f ca="1">_xll.RiskBinomial(1,CT18)</f>
        <v>0</v>
      </c>
      <c r="CV18" s="88">
        <f ca="1">IF(CU18=1,_xll.RiskBinomial(1,Prob_Illness_Given_Infection),0)</f>
        <v>0</v>
      </c>
      <c r="CX18" s="87">
        <f t="shared" ca="1" si="50"/>
        <v>1.8361228377557299E-9</v>
      </c>
      <c r="CY18" s="37">
        <f ca="1">INT(CX18) + _xll.RiskBinomial(1,CX18-INT(CX18))</f>
        <v>0</v>
      </c>
      <c r="CZ18" s="30">
        <f t="shared" ca="1" si="16"/>
        <v>0</v>
      </c>
      <c r="DA18" s="35">
        <f ca="1">_xll.RiskBinomial(1,CZ18)</f>
        <v>0</v>
      </c>
      <c r="DB18" s="88">
        <f ca="1">IF(DA18=1,_xll.RiskBinomial(1,Prob_Illness_Given_Infection),0)</f>
        <v>0</v>
      </c>
      <c r="DD18" s="87">
        <f t="shared" ca="1" si="51"/>
        <v>1.8361228377557299E-9</v>
      </c>
      <c r="DE18" s="37">
        <f ca="1">INT(DD18) + _xll.RiskBinomial(1,DD18-INT(DD18))</f>
        <v>0</v>
      </c>
      <c r="DF18" s="30">
        <f t="shared" ca="1" si="17"/>
        <v>0</v>
      </c>
      <c r="DG18" s="35">
        <f ca="1">_xll.RiskBinomial(1,DF18)</f>
        <v>0</v>
      </c>
      <c r="DH18" s="88">
        <f ca="1">IF(DG18=1,_xll.RiskBinomial(1,Prob_Illness_Given_Infection),0)</f>
        <v>0</v>
      </c>
      <c r="DJ18" s="87">
        <f t="shared" ca="1" si="52"/>
        <v>2.9981338267353176E-6</v>
      </c>
      <c r="DK18" s="37">
        <f ca="1">INT(DJ18) + _xll.RiskBinomial(1,DJ18-INT(DJ18))</f>
        <v>0</v>
      </c>
      <c r="DL18" s="30">
        <f t="shared" ca="1" si="18"/>
        <v>0</v>
      </c>
      <c r="DM18" s="35">
        <f ca="1">_xll.RiskBinomial(1,DL18)</f>
        <v>0</v>
      </c>
      <c r="DN18" s="88">
        <f ca="1">IF(DM18=1,_xll.RiskBinomial(1,Prob_Illness_Given_Infection),0)</f>
        <v>0</v>
      </c>
      <c r="DP18" s="87">
        <f t="shared" ca="1" si="53"/>
        <v>7.0874338482791206E-10</v>
      </c>
      <c r="DQ18" s="37">
        <f ca="1">INT(DP18) + _xll.RiskBinomial(1,DP18-INT(DP18))</f>
        <v>0</v>
      </c>
      <c r="DR18" s="30">
        <f t="shared" ca="1" si="19"/>
        <v>0</v>
      </c>
      <c r="DS18" s="35">
        <f ca="1">_xll.RiskBinomial(1,DR18)</f>
        <v>0</v>
      </c>
      <c r="DT18" s="88">
        <f ca="1">IF(DS18=1,_xll.RiskBinomial(1,Prob_Illness_Given_Infection),0)</f>
        <v>0</v>
      </c>
      <c r="DV18" s="87">
        <f t="shared" ca="1" si="54"/>
        <v>9.9777316633948017E-9</v>
      </c>
      <c r="DW18" s="37">
        <f ca="1">INT(DV18) + _xll.RiskBinomial(1,DV18-INT(DV18))</f>
        <v>0</v>
      </c>
      <c r="DX18" s="30">
        <f t="shared" ca="1" si="20"/>
        <v>0</v>
      </c>
      <c r="DY18" s="35">
        <f ca="1">_xll.RiskBinomial(1,DX18)</f>
        <v>0</v>
      </c>
      <c r="DZ18" s="88">
        <f ca="1">IF(DY18=1,_xll.RiskBinomial(1,Prob_Illness_Given_Infection),0)</f>
        <v>0</v>
      </c>
      <c r="EB18" s="87">
        <f t="shared" ca="1" si="55"/>
        <v>2.5037362718486651E-12</v>
      </c>
      <c r="EC18" s="37">
        <f ca="1">INT(EB18) + _xll.RiskBinomial(1,EB18-INT(EB18))</f>
        <v>0</v>
      </c>
      <c r="ED18" s="30">
        <f t="shared" ca="1" si="21"/>
        <v>0</v>
      </c>
      <c r="EE18" s="35">
        <f ca="1">_xll.RiskBinomial(1,ED18)</f>
        <v>0</v>
      </c>
      <c r="EF18" s="88">
        <f ca="1">IF(EE18=1,_xll.RiskBinomial(1,Prob_Illness_Given_Infection),0)</f>
        <v>0</v>
      </c>
      <c r="EH18" s="87">
        <f t="shared" ca="1" si="56"/>
        <v>2.5037362718460915E-12</v>
      </c>
      <c r="EI18" s="37">
        <f ca="1">INT(EH18) + _xll.RiskBinomial(1,EH18-INT(EH18))</f>
        <v>0</v>
      </c>
      <c r="EJ18" s="30">
        <f t="shared" ca="1" si="22"/>
        <v>0</v>
      </c>
      <c r="EK18" s="35">
        <f ca="1">_xll.RiskBinomial(1,EJ18)</f>
        <v>0</v>
      </c>
      <c r="EL18" s="88">
        <f ca="1">IF(EK18=1,_xll.RiskBinomial(1,Prob_Illness_Given_Infection),0)</f>
        <v>0</v>
      </c>
      <c r="EN18" s="87">
        <f t="shared" ca="1" si="57"/>
        <v>2.2845081901688941E-10</v>
      </c>
      <c r="EO18" s="37">
        <f ca="1">INT(EN18) + _xll.RiskBinomial(1,EN18-INT(EN18))</f>
        <v>0</v>
      </c>
      <c r="EP18" s="30">
        <f t="shared" ca="1" si="23"/>
        <v>0</v>
      </c>
      <c r="EQ18" s="35">
        <f ca="1">_xll.RiskBinomial(1,EP18)</f>
        <v>0</v>
      </c>
      <c r="ER18" s="88">
        <f ca="1">IF(EQ18=1,_xll.RiskBinomial(1,Prob_Illness_Given_Infection),0)</f>
        <v>0</v>
      </c>
      <c r="ET18" s="87">
        <f t="shared" ca="1" si="58"/>
        <v>2.5037362718437036E-12</v>
      </c>
      <c r="EU18" s="37">
        <f ca="1">INT(ET18) + _xll.RiskBinomial(1,ET18-INT(ET18))</f>
        <v>0</v>
      </c>
      <c r="EV18" s="30">
        <f t="shared" ca="1" si="24"/>
        <v>0</v>
      </c>
      <c r="EW18" s="35">
        <f ca="1">_xll.RiskBinomial(1,EV18)</f>
        <v>0</v>
      </c>
      <c r="EX18" s="88">
        <f ca="1">IF(EW18=1,_xll.RiskBinomial(1,Prob_Illness_Given_Infection),0)</f>
        <v>0</v>
      </c>
      <c r="EZ18" s="87">
        <f t="shared" ca="1" si="59"/>
        <v>1.8883688353040579E-5</v>
      </c>
      <c r="FA18" s="37">
        <f ca="1">INT(EZ18) + _xll.RiskBinomial(1,EZ18-INT(EZ18))</f>
        <v>0</v>
      </c>
      <c r="FB18" s="30">
        <f t="shared" ca="1" si="25"/>
        <v>0</v>
      </c>
      <c r="FC18" s="35">
        <f ca="1">_xll.RiskBinomial(1,FB18)</f>
        <v>0</v>
      </c>
      <c r="FD18" s="88">
        <f ca="1">IF(FC18=1,_xll.RiskBinomial(1,Prob_Illness_Given_Infection),0)</f>
        <v>0</v>
      </c>
      <c r="FF18" s="87">
        <f t="shared" ca="1" si="60"/>
        <v>1.3154165034831033E-4</v>
      </c>
      <c r="FG18" s="37">
        <f ca="1">INT(FF18) + _xll.RiskBinomial(1,FF18-INT(FF18))</f>
        <v>0</v>
      </c>
      <c r="FH18" s="30">
        <f t="shared" ca="1" si="26"/>
        <v>0</v>
      </c>
      <c r="FI18" s="35">
        <f ca="1">_xll.RiskBinomial(1,FH18)</f>
        <v>0</v>
      </c>
      <c r="FJ18" s="88">
        <f ca="1">IF(FI18=1,_xll.RiskBinomial(1,Prob_Illness_Given_Infection),0)</f>
        <v>0</v>
      </c>
      <c r="FL18" s="87" t="e">
        <f t="shared" ca="1" si="61"/>
        <v>#NAME?</v>
      </c>
      <c r="FM18" s="37" t="e">
        <f ca="1">INT(FL18) + _xll.RiskBinomial(1,FL18-INT(FL18))</f>
        <v>#NAME?</v>
      </c>
      <c r="FN18" s="30" t="e">
        <f t="shared" ca="1" si="27"/>
        <v>#NAME?</v>
      </c>
      <c r="FO18" s="35" t="e">
        <f ca="1">_xll.RiskBinomial(1,FN18)</f>
        <v>#VALUE!</v>
      </c>
      <c r="FP18" s="88" t="e">
        <f ca="1">IF(FO18=1,_xll.RiskBinomial(1,Prob_Illness_Given_Infection),0)</f>
        <v>#VALUE!</v>
      </c>
      <c r="FR18" s="87" t="e">
        <f t="shared" ca="1" si="62"/>
        <v>#NAME?</v>
      </c>
      <c r="FS18" s="37" t="e">
        <f ca="1">INT(FR18) + _xll.RiskBinomial(1,FR18-INT(FR18))</f>
        <v>#NAME?</v>
      </c>
      <c r="FT18" s="30" t="e">
        <f t="shared" ca="1" si="28"/>
        <v>#NAME?</v>
      </c>
      <c r="FU18" s="35" t="e">
        <f ca="1">_xll.RiskBinomial(1,FT18)</f>
        <v>#VALUE!</v>
      </c>
      <c r="FV18" s="88" t="e">
        <f ca="1">IF(FU18=1,_xll.RiskBinomial(1,Prob_Illness_Given_Infection),0)</f>
        <v>#VALUE!</v>
      </c>
      <c r="FX18" s="87">
        <f t="shared" ca="1" si="63"/>
        <v>2.6433622712137402E-7</v>
      </c>
      <c r="FY18" s="37">
        <f ca="1">INT(FX18) + _xll.RiskBinomial(1,FX18-INT(FX18))</f>
        <v>0</v>
      </c>
      <c r="FZ18" s="30">
        <f t="shared" ca="1" si="29"/>
        <v>0</v>
      </c>
      <c r="GA18" s="35">
        <f ca="1">_xll.RiskBinomial(1,FZ18)</f>
        <v>0</v>
      </c>
      <c r="GB18" s="88">
        <f ca="1">IF(GA18=1,_xll.RiskBinomial(1,Prob_Illness_Given_Infection),0)</f>
        <v>0</v>
      </c>
      <c r="GD18" s="87" t="e">
        <f t="shared" ca="1" si="64"/>
        <v>#NAME?</v>
      </c>
      <c r="GE18" s="37" t="e">
        <f ca="1">INT(GD18) + _xll.RiskBinomial(1,GD18-INT(GD18))</f>
        <v>#NAME?</v>
      </c>
      <c r="GF18" s="30" t="e">
        <f t="shared" ca="1" si="30"/>
        <v>#NAME?</v>
      </c>
      <c r="GG18" s="35" t="e">
        <f ca="1">_xll.RiskBinomial(1,GF18)</f>
        <v>#VALUE!</v>
      </c>
      <c r="GH18" s="88" t="e">
        <f ca="1">IF(GG18=1,_xll.RiskBinomial(1,Prob_Illness_Given_Infection),0)</f>
        <v>#VALUE!</v>
      </c>
      <c r="GJ18" s="87" t="e">
        <f t="shared" ca="1" si="65"/>
        <v>#NAME?</v>
      </c>
      <c r="GK18" s="37" t="e">
        <f ca="1">INT(GJ18) + _xll.RiskBinomial(1,GJ18-INT(GJ18))</f>
        <v>#NAME?</v>
      </c>
      <c r="GL18" s="30" t="e">
        <f t="shared" ca="1" si="31"/>
        <v>#NAME?</v>
      </c>
      <c r="GM18" s="35" t="e">
        <f ca="1">_xll.RiskBinomial(1,GL18)</f>
        <v>#VALUE!</v>
      </c>
      <c r="GN18" s="88" t="e">
        <f ca="1">IF(GM18=1,_xll.RiskBinomial(1,Prob_Illness_Given_Infection),0)</f>
        <v>#VALUE!</v>
      </c>
      <c r="GP18" s="87" t="e">
        <f t="shared" ca="1" si="66"/>
        <v>#NAME?</v>
      </c>
      <c r="GQ18" s="37" t="e">
        <f ca="1">INT(GP18) + _xll.RiskBinomial(1,GP18-INT(GP18))</f>
        <v>#NAME?</v>
      </c>
      <c r="GR18" s="30" t="e">
        <f t="shared" ca="1" si="32"/>
        <v>#NAME?</v>
      </c>
      <c r="GS18" s="35" t="e">
        <f ca="1">_xll.RiskBinomial(1,GR18)</f>
        <v>#VALUE!</v>
      </c>
      <c r="GT18" s="88" t="e">
        <f ca="1">IF(GS18=1,_xll.RiskBinomial(1,Prob_Illness_Given_Infection),0)</f>
        <v>#VALUE!</v>
      </c>
    </row>
    <row r="19" spans="2:202">
      <c r="B19" s="108">
        <v>11</v>
      </c>
      <c r="C19" s="87">
        <f ca="1">_xll.RiskLoglogistic(LogLogistic_gamma, LogLogistic_beta, LogLogistic_alpha, _xll.RiskTruncate(5,800))</f>
        <v>98.348154034871726</v>
      </c>
      <c r="D19" s="38">
        <f t="shared" ca="1" si="33"/>
        <v>6.3180464435191634</v>
      </c>
      <c r="E19" s="30"/>
      <c r="F19" s="87">
        <f t="shared" ca="1" si="34"/>
        <v>2.281062377199687E-9</v>
      </c>
      <c r="G19" s="37">
        <f ca="1">INT(F19) + _xll.RiskBinomial(1,F19-INT(F19))</f>
        <v>0</v>
      </c>
      <c r="H19" s="30">
        <f t="shared" ca="1" si="0"/>
        <v>0</v>
      </c>
      <c r="I19" s="35">
        <f ca="1">_xll.RiskBinomial(1,H19)</f>
        <v>0</v>
      </c>
      <c r="J19" s="88">
        <f ca="1">IF(I19=1,_xll.RiskBinomial(1,Prob_Illness_Given_Infection),0)</f>
        <v>0</v>
      </c>
      <c r="K19" s="30"/>
      <c r="L19" s="87">
        <f t="shared" ca="1" si="35"/>
        <v>1.165107226328495E-4</v>
      </c>
      <c r="M19" s="37">
        <f ca="1">INT(L19) + _xll.RiskBinomial(1,L19-INT(L19))</f>
        <v>0</v>
      </c>
      <c r="N19" s="30">
        <f t="shared" ca="1" si="1"/>
        <v>0</v>
      </c>
      <c r="O19" s="35">
        <f ca="1">_xll.RiskBinomial(1,N19)</f>
        <v>0</v>
      </c>
      <c r="P19" s="88">
        <f ca="1">IF(O19=1,_xll.RiskBinomial(1,Prob_Illness_Given_Infection),0)</f>
        <v>0</v>
      </c>
      <c r="Q19" s="30"/>
      <c r="R19" s="87">
        <f t="shared" ca="1" si="36"/>
        <v>1.2044385826834154E-5</v>
      </c>
      <c r="S19" s="37">
        <f ca="1">INT(R19) + _xll.RiskBinomial(1,R19-INT(R19))</f>
        <v>0</v>
      </c>
      <c r="T19" s="30">
        <f t="shared" ca="1" si="2"/>
        <v>0</v>
      </c>
      <c r="U19" s="35">
        <f ca="1">_xll.RiskBinomial(1,T19)</f>
        <v>0</v>
      </c>
      <c r="V19" s="88">
        <f ca="1">IF(U19=1,_xll.RiskBinomial(1,Prob_Illness_Given_Infection),0)</f>
        <v>0</v>
      </c>
      <c r="W19" s="30"/>
      <c r="X19" s="87">
        <f t="shared" ca="1" si="37"/>
        <v>4.9481475037112757E-12</v>
      </c>
      <c r="Y19" s="37">
        <f ca="1">INT(X19) + _xll.RiskBinomial(1,X19-INT(X19))</f>
        <v>0</v>
      </c>
      <c r="Z19" s="30">
        <f t="shared" ca="1" si="3"/>
        <v>0</v>
      </c>
      <c r="AA19" s="35">
        <f ca="1">_xll.RiskBinomial(1,Z19)</f>
        <v>0</v>
      </c>
      <c r="AB19" s="88">
        <f ca="1">IF(AA19=1,_xll.RiskBinomial(1,Prob_Illness_Given_Infection),0)</f>
        <v>0</v>
      </c>
      <c r="AC19" s="30"/>
      <c r="AD19" s="87">
        <f t="shared" ca="1" si="38"/>
        <v>2.4929643466703048E-12</v>
      </c>
      <c r="AE19" s="37">
        <f ca="1">INT(AD19) + _xll.RiskBinomial(1,AD19-INT(AD19))</f>
        <v>0</v>
      </c>
      <c r="AF19" s="30">
        <f t="shared" ca="1" si="4"/>
        <v>0</v>
      </c>
      <c r="AG19" s="35">
        <f ca="1">_xll.RiskBinomial(1,AF19)</f>
        <v>0</v>
      </c>
      <c r="AH19" s="88">
        <f ca="1">IF(AG19=1,_xll.RiskBinomial(1,Prob_Illness_Given_Infection),0)</f>
        <v>0</v>
      </c>
      <c r="AI19" s="30"/>
      <c r="AJ19" s="87">
        <f t="shared" ca="1" si="39"/>
        <v>1.1571698043443476E-4</v>
      </c>
      <c r="AK19" s="37">
        <f ca="1">INT(AJ19) + _xll.RiskBinomial(1,AJ19-INT(AJ19))</f>
        <v>0</v>
      </c>
      <c r="AL19" s="30">
        <f t="shared" ca="1" si="5"/>
        <v>0</v>
      </c>
      <c r="AM19" s="35">
        <f ca="1">_xll.RiskBinomial(1,AL19)</f>
        <v>0</v>
      </c>
      <c r="AN19" s="88">
        <f ca="1">IF(AM19=1,_xll.RiskBinomial(1,Prob_Illness_Given_Infection),0)</f>
        <v>0</v>
      </c>
      <c r="AO19" s="30"/>
      <c r="AP19" s="87">
        <f t="shared" ca="1" si="40"/>
        <v>2.8141251457592152E-9</v>
      </c>
      <c r="AQ19" s="37">
        <f ca="1">INT(AP19) + _xll.RiskBinomial(1,AP19-INT(AP19))</f>
        <v>0</v>
      </c>
      <c r="AR19" s="30">
        <f t="shared" ca="1" si="6"/>
        <v>0</v>
      </c>
      <c r="AS19" s="35">
        <f ca="1">_xll.RiskBinomial(1,AR19)</f>
        <v>0</v>
      </c>
      <c r="AT19" s="88">
        <f ca="1">IF(AS19=1,_xll.RiskBinomial(1,Prob_Illness_Given_Infection),0)</f>
        <v>0</v>
      </c>
      <c r="AU19" s="30"/>
      <c r="AV19" s="87">
        <f t="shared" ca="1" si="41"/>
        <v>6.5286238387358598E-5</v>
      </c>
      <c r="AW19" s="37">
        <f ca="1">INT(AV19) + _xll.RiskBinomial(1,AV19-INT(AV19))</f>
        <v>0</v>
      </c>
      <c r="AX19" s="30">
        <f t="shared" ca="1" si="7"/>
        <v>0</v>
      </c>
      <c r="AY19" s="35">
        <f ca="1">_xll.RiskBinomial(1,AX19)</f>
        <v>0</v>
      </c>
      <c r="AZ19" s="88">
        <f ca="1">IF(AY19=1,_xll.RiskBinomial(1,Prob_Illness_Given_Infection),0)</f>
        <v>0</v>
      </c>
      <c r="BB19" s="87">
        <f t="shared" ca="1" si="42"/>
        <v>8.9606007093032117E-5</v>
      </c>
      <c r="BC19" s="37">
        <f ca="1">INT(BB19) + _xll.RiskBinomial(1,BB19-INT(BB19))</f>
        <v>0</v>
      </c>
      <c r="BD19" s="30">
        <f t="shared" ca="1" si="8"/>
        <v>0</v>
      </c>
      <c r="BE19" s="35">
        <f ca="1">_xll.RiskBinomial(1,BD19)</f>
        <v>0</v>
      </c>
      <c r="BF19" s="88">
        <f ca="1">IF(BE19=1,_xll.RiskBinomial(1,Prob_Illness_Given_Infection),0)</f>
        <v>0</v>
      </c>
      <c r="BH19" s="87">
        <f t="shared" ca="1" si="43"/>
        <v>1.1344761553096206E-4</v>
      </c>
      <c r="BI19" s="37">
        <f ca="1">INT(BH19) + _xll.RiskBinomial(1,BH19-INT(BH19))</f>
        <v>0</v>
      </c>
      <c r="BJ19" s="30">
        <f t="shared" ca="1" si="9"/>
        <v>0</v>
      </c>
      <c r="BK19" s="35">
        <f ca="1">_xll.RiskBinomial(1,BJ19)</f>
        <v>0</v>
      </c>
      <c r="BL19" s="88">
        <f ca="1">IF(BK19=1,_xll.RiskBinomial(1,Prob_Illness_Given_Infection),0)</f>
        <v>0</v>
      </c>
      <c r="BN19" s="87">
        <f t="shared" ca="1" si="44"/>
        <v>8.6340104168076505E-6</v>
      </c>
      <c r="BO19" s="37">
        <f ca="1">INT(BN19) + _xll.RiskBinomial(1,BN19-INT(BN19))</f>
        <v>0</v>
      </c>
      <c r="BP19" s="30">
        <f t="shared" ca="1" si="10"/>
        <v>0</v>
      </c>
      <c r="BQ19" s="35">
        <f ca="1">_xll.RiskBinomial(1,BP19)</f>
        <v>0</v>
      </c>
      <c r="BR19" s="88">
        <f ca="1">IF(BQ19=1,_xll.RiskBinomial(1,Prob_Illness_Given_Infection),0)</f>
        <v>0</v>
      </c>
      <c r="BT19" s="87">
        <f t="shared" ca="1" si="45"/>
        <v>2.596237804568188E-5</v>
      </c>
      <c r="BU19" s="37">
        <f ca="1">INT(BT19) + _xll.RiskBinomial(1,BT19-INT(BT19))</f>
        <v>0</v>
      </c>
      <c r="BV19" s="30">
        <f t="shared" ca="1" si="11"/>
        <v>0</v>
      </c>
      <c r="BW19" s="35">
        <f ca="1">_xll.RiskBinomial(1,BV19)</f>
        <v>0</v>
      </c>
      <c r="BX19" s="88">
        <f ca="1">IF(BW19=1,_xll.RiskBinomial(1,Prob_Illness_Given_Infection),0)</f>
        <v>0</v>
      </c>
      <c r="BZ19" s="87">
        <f t="shared" ca="1" si="46"/>
        <v>7.1171629912119278E-5</v>
      </c>
      <c r="CA19" s="37">
        <f ca="1">INT(BZ19) + _xll.RiskBinomial(1,BZ19-INT(BZ19))</f>
        <v>0</v>
      </c>
      <c r="CB19" s="30">
        <f t="shared" ca="1" si="12"/>
        <v>0</v>
      </c>
      <c r="CC19" s="35">
        <f ca="1">_xll.RiskBinomial(1,CB19)</f>
        <v>0</v>
      </c>
      <c r="CD19" s="88">
        <f ca="1">IF(CC19=1,_xll.RiskBinomial(1,Prob_Illness_Given_Infection),0)</f>
        <v>0</v>
      </c>
      <c r="CF19" s="87">
        <f t="shared" ca="1" si="47"/>
        <v>1.350410440251473E-5</v>
      </c>
      <c r="CG19" s="37">
        <f ca="1">INT(CF19) + _xll.RiskBinomial(1,CF19-INT(CF19))</f>
        <v>0</v>
      </c>
      <c r="CH19" s="30">
        <f t="shared" ca="1" si="13"/>
        <v>0</v>
      </c>
      <c r="CI19" s="35">
        <f ca="1">_xll.RiskBinomial(1,CH19)</f>
        <v>0</v>
      </c>
      <c r="CJ19" s="88">
        <f ca="1">IF(CI19=1,_xll.RiskBinomial(1,Prob_Illness_Given_Infection),0)</f>
        <v>0</v>
      </c>
      <c r="CL19" s="87">
        <f t="shared" ca="1" si="48"/>
        <v>2.6059140946869033E-5</v>
      </c>
      <c r="CM19" s="37">
        <f ca="1">INT(CL19) + _xll.RiskBinomial(1,CL19-INT(CL19))</f>
        <v>0</v>
      </c>
      <c r="CN19" s="30">
        <f t="shared" ca="1" si="14"/>
        <v>0</v>
      </c>
      <c r="CO19" s="35">
        <f ca="1">_xll.RiskBinomial(1,CN19)</f>
        <v>0</v>
      </c>
      <c r="CP19" s="88">
        <f ca="1">IF(CO19=1,_xll.RiskBinomial(1,Prob_Illness_Given_Infection),0)</f>
        <v>0</v>
      </c>
      <c r="CR19" s="87">
        <f t="shared" ca="1" si="49"/>
        <v>1.7959171211094983E-7</v>
      </c>
      <c r="CS19" s="37">
        <f ca="1">INT(CR19) + _xll.RiskBinomial(1,CR19-INT(CR19))</f>
        <v>0</v>
      </c>
      <c r="CT19" s="30">
        <f t="shared" ca="1" si="15"/>
        <v>0</v>
      </c>
      <c r="CU19" s="35">
        <f ca="1">_xll.RiskBinomial(1,CT19)</f>
        <v>0</v>
      </c>
      <c r="CV19" s="88">
        <f ca="1">IF(CU19=1,_xll.RiskBinomial(1,Prob_Illness_Given_Infection),0)</f>
        <v>0</v>
      </c>
      <c r="CX19" s="87">
        <f t="shared" ca="1" si="50"/>
        <v>1.8282232126831908E-9</v>
      </c>
      <c r="CY19" s="37">
        <f ca="1">INT(CX19) + _xll.RiskBinomial(1,CX19-INT(CX19))</f>
        <v>0</v>
      </c>
      <c r="CZ19" s="30">
        <f t="shared" ca="1" si="16"/>
        <v>0</v>
      </c>
      <c r="DA19" s="35">
        <f ca="1">_xll.RiskBinomial(1,CZ19)</f>
        <v>0</v>
      </c>
      <c r="DB19" s="88">
        <f ca="1">IF(DA19=1,_xll.RiskBinomial(1,Prob_Illness_Given_Infection),0)</f>
        <v>0</v>
      </c>
      <c r="DD19" s="87">
        <f t="shared" ca="1" si="51"/>
        <v>1.8282232126831908E-9</v>
      </c>
      <c r="DE19" s="37">
        <f ca="1">INT(DD19) + _xll.RiskBinomial(1,DD19-INT(DD19))</f>
        <v>0</v>
      </c>
      <c r="DF19" s="30">
        <f t="shared" ca="1" si="17"/>
        <v>0</v>
      </c>
      <c r="DG19" s="35">
        <f ca="1">_xll.RiskBinomial(1,DF19)</f>
        <v>0</v>
      </c>
      <c r="DH19" s="88">
        <f ca="1">IF(DG19=1,_xll.RiskBinomial(1,Prob_Illness_Given_Infection),0)</f>
        <v>0</v>
      </c>
      <c r="DJ19" s="87">
        <f t="shared" ca="1" si="52"/>
        <v>2.9852348350875397E-6</v>
      </c>
      <c r="DK19" s="37">
        <f ca="1">INT(DJ19) + _xll.RiskBinomial(1,DJ19-INT(DJ19))</f>
        <v>0</v>
      </c>
      <c r="DL19" s="30">
        <f t="shared" ca="1" si="18"/>
        <v>0</v>
      </c>
      <c r="DM19" s="35">
        <f ca="1">_xll.RiskBinomial(1,DL19)</f>
        <v>0</v>
      </c>
      <c r="DN19" s="88">
        <f ca="1">IF(DM19=1,_xll.RiskBinomial(1,Prob_Illness_Given_Infection),0)</f>
        <v>0</v>
      </c>
      <c r="DP19" s="87">
        <f t="shared" ca="1" si="53"/>
        <v>7.0569412968133049E-10</v>
      </c>
      <c r="DQ19" s="37">
        <f ca="1">INT(DP19) + _xll.RiskBinomial(1,DP19-INT(DP19))</f>
        <v>0</v>
      </c>
      <c r="DR19" s="30">
        <f t="shared" ca="1" si="19"/>
        <v>0</v>
      </c>
      <c r="DS19" s="35">
        <f ca="1">_xll.RiskBinomial(1,DR19)</f>
        <v>0</v>
      </c>
      <c r="DT19" s="88">
        <f ca="1">IF(DS19=1,_xll.RiskBinomial(1,Prob_Illness_Given_Infection),0)</f>
        <v>0</v>
      </c>
      <c r="DV19" s="87">
        <f t="shared" ca="1" si="54"/>
        <v>9.9348040674875698E-9</v>
      </c>
      <c r="DW19" s="37">
        <f ca="1">INT(DV19) + _xll.RiskBinomial(1,DV19-INT(DV19))</f>
        <v>0</v>
      </c>
      <c r="DX19" s="30">
        <f t="shared" ca="1" si="20"/>
        <v>0</v>
      </c>
      <c r="DY19" s="35">
        <f ca="1">_xll.RiskBinomial(1,DX19)</f>
        <v>0</v>
      </c>
      <c r="DZ19" s="88">
        <f ca="1">IF(DY19=1,_xll.RiskBinomial(1,Prob_Illness_Given_Infection),0)</f>
        <v>0</v>
      </c>
      <c r="EB19" s="87">
        <f t="shared" ca="1" si="55"/>
        <v>2.4929643466694675E-12</v>
      </c>
      <c r="EC19" s="37">
        <f ca="1">INT(EB19) + _xll.RiskBinomial(1,EB19-INT(EB19))</f>
        <v>0</v>
      </c>
      <c r="ED19" s="30">
        <f t="shared" ca="1" si="21"/>
        <v>0</v>
      </c>
      <c r="EE19" s="35">
        <f ca="1">_xll.RiskBinomial(1,ED19)</f>
        <v>0</v>
      </c>
      <c r="EF19" s="88">
        <f ca="1">IF(EE19=1,_xll.RiskBinomial(1,Prob_Illness_Given_Infection),0)</f>
        <v>0</v>
      </c>
      <c r="EH19" s="87">
        <f t="shared" ca="1" si="56"/>
        <v>2.4929643466669048E-12</v>
      </c>
      <c r="EI19" s="37">
        <f ca="1">INT(EH19) + _xll.RiskBinomial(1,EH19-INT(EH19))</f>
        <v>0</v>
      </c>
      <c r="EJ19" s="30">
        <f t="shared" ca="1" si="22"/>
        <v>0</v>
      </c>
      <c r="EK19" s="35">
        <f ca="1">_xll.RiskBinomial(1,EJ19)</f>
        <v>0</v>
      </c>
      <c r="EL19" s="88">
        <f ca="1">IF(EK19=1,_xll.RiskBinomial(1,Prob_Illness_Given_Infection),0)</f>
        <v>0</v>
      </c>
      <c r="EN19" s="87">
        <f t="shared" ca="1" si="57"/>
        <v>2.2746794587755538E-10</v>
      </c>
      <c r="EO19" s="37">
        <f ca="1">INT(EN19) + _xll.RiskBinomial(1,EN19-INT(EN19))</f>
        <v>0</v>
      </c>
      <c r="EP19" s="30">
        <f t="shared" ca="1" si="23"/>
        <v>0</v>
      </c>
      <c r="EQ19" s="35">
        <f ca="1">_xll.RiskBinomial(1,EP19)</f>
        <v>0</v>
      </c>
      <c r="ER19" s="88">
        <f ca="1">IF(EQ19=1,_xll.RiskBinomial(1,Prob_Illness_Given_Infection),0)</f>
        <v>0</v>
      </c>
      <c r="ET19" s="87">
        <f t="shared" ca="1" si="58"/>
        <v>2.4929643466645275E-12</v>
      </c>
      <c r="EU19" s="37">
        <f ca="1">INT(ET19) + _xll.RiskBinomial(1,ET19-INT(ET19))</f>
        <v>0</v>
      </c>
      <c r="EV19" s="30">
        <f t="shared" ca="1" si="24"/>
        <v>0</v>
      </c>
      <c r="EW19" s="35">
        <f ca="1">_xll.RiskBinomial(1,EV19)</f>
        <v>0</v>
      </c>
      <c r="EX19" s="88">
        <f ca="1">IF(EW19=1,_xll.RiskBinomial(1,Prob_Illness_Given_Infection),0)</f>
        <v>0</v>
      </c>
      <c r="EZ19" s="87">
        <f t="shared" ca="1" si="59"/>
        <v>1.8802444301766741E-5</v>
      </c>
      <c r="FA19" s="37">
        <f ca="1">INT(EZ19) + _xll.RiskBinomial(1,EZ19-INT(EZ19))</f>
        <v>0</v>
      </c>
      <c r="FB19" s="30">
        <f t="shared" ca="1" si="25"/>
        <v>0</v>
      </c>
      <c r="FC19" s="35">
        <f ca="1">_xll.RiskBinomial(1,FB19)</f>
        <v>0</v>
      </c>
      <c r="FD19" s="88">
        <f ca="1">IF(FC19=1,_xll.RiskBinomial(1,Prob_Illness_Given_Infection),0)</f>
        <v>0</v>
      </c>
      <c r="FF19" s="87">
        <f t="shared" ca="1" si="60"/>
        <v>1.3097571341979589E-4</v>
      </c>
      <c r="FG19" s="37">
        <f ca="1">INT(FF19) + _xll.RiskBinomial(1,FF19-INT(FF19))</f>
        <v>0</v>
      </c>
      <c r="FH19" s="30">
        <f t="shared" ca="1" si="26"/>
        <v>0</v>
      </c>
      <c r="FI19" s="35">
        <f ca="1">_xll.RiskBinomial(1,FH19)</f>
        <v>0</v>
      </c>
      <c r="FJ19" s="88">
        <f ca="1">IF(FI19=1,_xll.RiskBinomial(1,Prob_Illness_Given_Infection),0)</f>
        <v>0</v>
      </c>
      <c r="FL19" s="87" t="e">
        <f t="shared" ca="1" si="61"/>
        <v>#NAME?</v>
      </c>
      <c r="FM19" s="37" t="e">
        <f ca="1">INT(FL19) + _xll.RiskBinomial(1,FL19-INT(FL19))</f>
        <v>#NAME?</v>
      </c>
      <c r="FN19" s="30" t="e">
        <f t="shared" ca="1" si="27"/>
        <v>#NAME?</v>
      </c>
      <c r="FO19" s="35" t="e">
        <f ca="1">_xll.RiskBinomial(1,FN19)</f>
        <v>#VALUE!</v>
      </c>
      <c r="FP19" s="88" t="e">
        <f ca="1">IF(FO19=1,_xll.RiskBinomial(1,Prob_Illness_Given_Infection),0)</f>
        <v>#VALUE!</v>
      </c>
      <c r="FR19" s="87" t="e">
        <f t="shared" ca="1" si="62"/>
        <v>#NAME?</v>
      </c>
      <c r="FS19" s="37" t="e">
        <f ca="1">INT(FR19) + _xll.RiskBinomial(1,FR19-INT(FR19))</f>
        <v>#NAME?</v>
      </c>
      <c r="FT19" s="30" t="e">
        <f t="shared" ca="1" si="28"/>
        <v>#NAME?</v>
      </c>
      <c r="FU19" s="35" t="e">
        <f ca="1">_xll.RiskBinomial(1,FT19)</f>
        <v>#VALUE!</v>
      </c>
      <c r="FV19" s="88" t="e">
        <f ca="1">IF(FU19=1,_xll.RiskBinomial(1,Prob_Illness_Given_Infection),0)</f>
        <v>#VALUE!</v>
      </c>
      <c r="FX19" s="87">
        <f t="shared" ca="1" si="63"/>
        <v>2.6319896274863702E-7</v>
      </c>
      <c r="FY19" s="37">
        <f ca="1">INT(FX19) + _xll.RiskBinomial(1,FX19-INT(FX19))</f>
        <v>0</v>
      </c>
      <c r="FZ19" s="30">
        <f t="shared" ca="1" si="29"/>
        <v>0</v>
      </c>
      <c r="GA19" s="35">
        <f ca="1">_xll.RiskBinomial(1,FZ19)</f>
        <v>0</v>
      </c>
      <c r="GB19" s="88">
        <f ca="1">IF(GA19=1,_xll.RiskBinomial(1,Prob_Illness_Given_Infection),0)</f>
        <v>0</v>
      </c>
      <c r="GD19" s="87" t="e">
        <f t="shared" ca="1" si="64"/>
        <v>#NAME?</v>
      </c>
      <c r="GE19" s="37" t="e">
        <f ca="1">INT(GD19) + _xll.RiskBinomial(1,GD19-INT(GD19))</f>
        <v>#NAME?</v>
      </c>
      <c r="GF19" s="30" t="e">
        <f t="shared" ca="1" si="30"/>
        <v>#NAME?</v>
      </c>
      <c r="GG19" s="35" t="e">
        <f ca="1">_xll.RiskBinomial(1,GF19)</f>
        <v>#VALUE!</v>
      </c>
      <c r="GH19" s="88" t="e">
        <f ca="1">IF(GG19=1,_xll.RiskBinomial(1,Prob_Illness_Given_Infection),0)</f>
        <v>#VALUE!</v>
      </c>
      <c r="GJ19" s="87" t="e">
        <f t="shared" ca="1" si="65"/>
        <v>#NAME?</v>
      </c>
      <c r="GK19" s="37" t="e">
        <f ca="1">INT(GJ19) + _xll.RiskBinomial(1,GJ19-INT(GJ19))</f>
        <v>#NAME?</v>
      </c>
      <c r="GL19" s="30" t="e">
        <f t="shared" ca="1" si="31"/>
        <v>#NAME?</v>
      </c>
      <c r="GM19" s="35" t="e">
        <f ca="1">_xll.RiskBinomial(1,GL19)</f>
        <v>#VALUE!</v>
      </c>
      <c r="GN19" s="88" t="e">
        <f ca="1">IF(GM19=1,_xll.RiskBinomial(1,Prob_Illness_Given_Infection),0)</f>
        <v>#VALUE!</v>
      </c>
      <c r="GP19" s="87" t="e">
        <f t="shared" ca="1" si="66"/>
        <v>#NAME?</v>
      </c>
      <c r="GQ19" s="37" t="e">
        <f ca="1">INT(GP19) + _xll.RiskBinomial(1,GP19-INT(GP19))</f>
        <v>#NAME?</v>
      </c>
      <c r="GR19" s="30" t="e">
        <f t="shared" ca="1" si="32"/>
        <v>#NAME?</v>
      </c>
      <c r="GS19" s="35" t="e">
        <f ca="1">_xll.RiskBinomial(1,GR19)</f>
        <v>#VALUE!</v>
      </c>
      <c r="GT19" s="88" t="e">
        <f ca="1">IF(GS19=1,_xll.RiskBinomial(1,Prob_Illness_Given_Infection),0)</f>
        <v>#VALUE!</v>
      </c>
    </row>
    <row r="20" spans="2:202">
      <c r="B20" s="108">
        <v>12</v>
      </c>
      <c r="C20" s="87">
        <f ca="1">_xll.RiskLoglogistic(LogLogistic_gamma, LogLogistic_beta, LogLogistic_alpha, _xll.RiskTruncate(5,800))</f>
        <v>176.55824538053849</v>
      </c>
      <c r="D20" s="38">
        <f t="shared" ca="1" si="33"/>
        <v>11.34239076724273</v>
      </c>
      <c r="E20" s="30"/>
      <c r="F20" s="87">
        <f t="shared" ca="1" si="34"/>
        <v>4.0950475875646364E-9</v>
      </c>
      <c r="G20" s="37">
        <f ca="1">INT(F20) + _xll.RiskBinomial(1,F20-INT(F20))</f>
        <v>0</v>
      </c>
      <c r="H20" s="30">
        <f t="shared" ca="1" si="0"/>
        <v>0</v>
      </c>
      <c r="I20" s="35">
        <f ca="1">_xll.RiskBinomial(1,H20)</f>
        <v>0</v>
      </c>
      <c r="J20" s="88">
        <f ca="1">IF(I20=1,_xll.RiskBinomial(1,Prob_Illness_Given_Infection),0)</f>
        <v>0</v>
      </c>
      <c r="K20" s="30"/>
      <c r="L20" s="87">
        <f t="shared" ca="1" si="35"/>
        <v>2.0916436061200067E-4</v>
      </c>
      <c r="M20" s="37">
        <f ca="1">INT(L20) + _xll.RiskBinomial(1,L20-INT(L20))</f>
        <v>0</v>
      </c>
      <c r="N20" s="30">
        <f t="shared" ca="1" si="1"/>
        <v>0</v>
      </c>
      <c r="O20" s="35">
        <f ca="1">_xll.RiskBinomial(1,N20)</f>
        <v>0</v>
      </c>
      <c r="P20" s="88">
        <f ca="1">IF(O20=1,_xll.RiskBinomial(1,Prob_Illness_Given_Infection),0)</f>
        <v>0</v>
      </c>
      <c r="Q20" s="30"/>
      <c r="R20" s="87">
        <f t="shared" ca="1" si="36"/>
        <v>2.1622527124586897E-5</v>
      </c>
      <c r="S20" s="37">
        <f ca="1">INT(R20) + _xll.RiskBinomial(1,R20-INT(R20))</f>
        <v>0</v>
      </c>
      <c r="T20" s="30">
        <f t="shared" ca="1" si="2"/>
        <v>0</v>
      </c>
      <c r="U20" s="35">
        <f ca="1">_xll.RiskBinomial(1,T20)</f>
        <v>0</v>
      </c>
      <c r="V20" s="88">
        <f ca="1">IF(U20=1,_xll.RiskBinomial(1,Prob_Illness_Given_Infection),0)</f>
        <v>0</v>
      </c>
      <c r="W20" s="30"/>
      <c r="X20" s="87">
        <f t="shared" ca="1" si="37"/>
        <v>8.8830974990093387E-12</v>
      </c>
      <c r="Y20" s="37">
        <f ca="1">INT(X20) + _xll.RiskBinomial(1,X20-INT(X20))</f>
        <v>0</v>
      </c>
      <c r="Z20" s="30">
        <f t="shared" ca="1" si="3"/>
        <v>0</v>
      </c>
      <c r="AA20" s="35">
        <f ca="1">_xll.RiskBinomial(1,Z20)</f>
        <v>0</v>
      </c>
      <c r="AB20" s="88">
        <f ca="1">IF(AA20=1,_xll.RiskBinomial(1,Prob_Illness_Given_Infection),0)</f>
        <v>0</v>
      </c>
      <c r="AC20" s="30"/>
      <c r="AD20" s="87">
        <f t="shared" ca="1" si="38"/>
        <v>4.4754618443400815E-12</v>
      </c>
      <c r="AE20" s="37">
        <f ca="1">INT(AD20) + _xll.RiskBinomial(1,AD20-INT(AD20))</f>
        <v>0</v>
      </c>
      <c r="AF20" s="30">
        <f t="shared" ca="1" si="4"/>
        <v>0</v>
      </c>
      <c r="AG20" s="35">
        <f ca="1">_xll.RiskBinomial(1,AF20)</f>
        <v>0</v>
      </c>
      <c r="AH20" s="88">
        <f ca="1">IF(AG20=1,_xll.RiskBinomial(1,Prob_Illness_Given_Infection),0)</f>
        <v>0</v>
      </c>
      <c r="AI20" s="30"/>
      <c r="AJ20" s="87">
        <f t="shared" ca="1" si="39"/>
        <v>2.0773940524591514E-4</v>
      </c>
      <c r="AK20" s="37">
        <f ca="1">INT(AJ20) + _xll.RiskBinomial(1,AJ20-INT(AJ20))</f>
        <v>0</v>
      </c>
      <c r="AL20" s="30">
        <f t="shared" ca="1" si="5"/>
        <v>0</v>
      </c>
      <c r="AM20" s="35">
        <f ca="1">_xll.RiskBinomial(1,AL20)</f>
        <v>0</v>
      </c>
      <c r="AN20" s="88">
        <f ca="1">IF(AM20=1,_xll.RiskBinomial(1,Prob_Illness_Given_Infection),0)</f>
        <v>0</v>
      </c>
      <c r="AO20" s="30"/>
      <c r="AP20" s="87">
        <f t="shared" ca="1" si="40"/>
        <v>5.0520215950400693E-9</v>
      </c>
      <c r="AQ20" s="37">
        <f ca="1">INT(AP20) + _xll.RiskBinomial(1,AP20-INT(AP20))</f>
        <v>0</v>
      </c>
      <c r="AR20" s="30">
        <f t="shared" ca="1" si="6"/>
        <v>0</v>
      </c>
      <c r="AS20" s="35">
        <f ca="1">_xll.RiskBinomial(1,AR20)</f>
        <v>0</v>
      </c>
      <c r="AT20" s="88">
        <f ca="1">IF(AS20=1,_xll.RiskBinomial(1,Prob_Illness_Given_Infection),0)</f>
        <v>0</v>
      </c>
      <c r="AU20" s="30"/>
      <c r="AV20" s="87">
        <f t="shared" ca="1" si="41"/>
        <v>1.1720427099303232E-4</v>
      </c>
      <c r="AW20" s="37">
        <f ca="1">INT(AV20) + _xll.RiskBinomial(1,AV20-INT(AV20))</f>
        <v>0</v>
      </c>
      <c r="AX20" s="30">
        <f t="shared" ca="1" si="7"/>
        <v>0</v>
      </c>
      <c r="AY20" s="35">
        <f ca="1">_xll.RiskBinomial(1,AX20)</f>
        <v>0</v>
      </c>
      <c r="AZ20" s="88">
        <f ca="1">IF(AY20=1,_xll.RiskBinomial(1,Prob_Illness_Given_Infection),0)</f>
        <v>0</v>
      </c>
      <c r="BB20" s="87">
        <f t="shared" ca="1" si="42"/>
        <v>1.6086401969773862E-4</v>
      </c>
      <c r="BC20" s="37">
        <f ca="1">INT(BB20) + _xll.RiskBinomial(1,BB20-INT(BB20))</f>
        <v>0</v>
      </c>
      <c r="BD20" s="30">
        <f t="shared" ca="1" si="8"/>
        <v>0</v>
      </c>
      <c r="BE20" s="35">
        <f ca="1">_xll.RiskBinomial(1,BD20)</f>
        <v>0</v>
      </c>
      <c r="BF20" s="88">
        <f ca="1">IF(BE20=1,_xll.RiskBinomial(1,Prob_Illness_Given_Infection),0)</f>
        <v>0</v>
      </c>
      <c r="BH20" s="87">
        <f t="shared" ca="1" si="43"/>
        <v>2.0366535739603639E-4</v>
      </c>
      <c r="BI20" s="37">
        <f ca="1">INT(BH20) + _xll.RiskBinomial(1,BH20-INT(BH20))</f>
        <v>0</v>
      </c>
      <c r="BJ20" s="30">
        <f t="shared" ca="1" si="9"/>
        <v>0</v>
      </c>
      <c r="BK20" s="35">
        <f ca="1">_xll.RiskBinomial(1,BJ20)</f>
        <v>0</v>
      </c>
      <c r="BL20" s="88">
        <f ca="1">IF(BK20=1,_xll.RiskBinomial(1,Prob_Illness_Given_Infection),0)</f>
        <v>0</v>
      </c>
      <c r="BN20" s="87">
        <f t="shared" ca="1" si="44"/>
        <v>1.5500094991598271E-5</v>
      </c>
      <c r="BO20" s="37">
        <f ca="1">INT(BN20) + _xll.RiskBinomial(1,BN20-INT(BN20))</f>
        <v>0</v>
      </c>
      <c r="BP20" s="30">
        <f t="shared" ca="1" si="10"/>
        <v>0</v>
      </c>
      <c r="BQ20" s="35">
        <f ca="1">_xll.RiskBinomial(1,BP20)</f>
        <v>0</v>
      </c>
      <c r="BR20" s="88">
        <f ca="1">IF(BQ20=1,_xll.RiskBinomial(1,Prob_Illness_Given_Infection),0)</f>
        <v>0</v>
      </c>
      <c r="BT20" s="87">
        <f t="shared" ca="1" si="45"/>
        <v>4.6608621774705431E-5</v>
      </c>
      <c r="BU20" s="37">
        <f ca="1">INT(BT20) + _xll.RiskBinomial(1,BT20-INT(BT20))</f>
        <v>0</v>
      </c>
      <c r="BV20" s="30">
        <f t="shared" ca="1" si="11"/>
        <v>0</v>
      </c>
      <c r="BW20" s="35">
        <f ca="1">_xll.RiskBinomial(1,BV20)</f>
        <v>0</v>
      </c>
      <c r="BX20" s="88">
        <f ca="1">IF(BW20=1,_xll.RiskBinomial(1,Prob_Illness_Given_Infection),0)</f>
        <v>0</v>
      </c>
      <c r="BZ20" s="87">
        <f t="shared" ca="1" si="46"/>
        <v>1.277699436402362E-4</v>
      </c>
      <c r="CA20" s="37">
        <f ca="1">INT(BZ20) + _xll.RiskBinomial(1,BZ20-INT(BZ20))</f>
        <v>0</v>
      </c>
      <c r="CB20" s="30">
        <f t="shared" ca="1" si="12"/>
        <v>0</v>
      </c>
      <c r="CC20" s="35">
        <f ca="1">_xll.RiskBinomial(1,CB20)</f>
        <v>0</v>
      </c>
      <c r="CD20" s="88">
        <f ca="1">IF(CC20=1,_xll.RiskBinomial(1,Prob_Illness_Given_Infection),0)</f>
        <v>0</v>
      </c>
      <c r="CF20" s="87">
        <f t="shared" ca="1" si="47"/>
        <v>2.4243067926808345E-5</v>
      </c>
      <c r="CG20" s="37">
        <f ca="1">INT(CF20) + _xll.RiskBinomial(1,CF20-INT(CF20))</f>
        <v>0</v>
      </c>
      <c r="CH20" s="30">
        <f t="shared" ca="1" si="13"/>
        <v>0</v>
      </c>
      <c r="CI20" s="35">
        <f ca="1">_xll.RiskBinomial(1,CH20)</f>
        <v>0</v>
      </c>
      <c r="CJ20" s="88">
        <f ca="1">IF(CI20=1,_xll.RiskBinomial(1,Prob_Illness_Given_Infection),0)</f>
        <v>0</v>
      </c>
      <c r="CL20" s="87">
        <f t="shared" ca="1" si="48"/>
        <v>4.678233411551334E-5</v>
      </c>
      <c r="CM20" s="37">
        <f ca="1">INT(CL20) + _xll.RiskBinomial(1,CL20-INT(CL20))</f>
        <v>0</v>
      </c>
      <c r="CN20" s="30">
        <f t="shared" ca="1" si="14"/>
        <v>0</v>
      </c>
      <c r="CO20" s="35">
        <f ca="1">_xll.RiskBinomial(1,CN20)</f>
        <v>0</v>
      </c>
      <c r="CP20" s="88">
        <f ca="1">IF(CO20=1,_xll.RiskBinomial(1,Prob_Illness_Given_Infection),0)</f>
        <v>0</v>
      </c>
      <c r="CR20" s="87">
        <f t="shared" ca="1" si="49"/>
        <v>3.2240968716050455E-7</v>
      </c>
      <c r="CS20" s="37">
        <f ca="1">INT(CR20) + _xll.RiskBinomial(1,CR20-INT(CR20))</f>
        <v>0</v>
      </c>
      <c r="CT20" s="30">
        <f t="shared" ca="1" si="15"/>
        <v>0</v>
      </c>
      <c r="CU20" s="35">
        <f ca="1">_xll.RiskBinomial(1,CT20)</f>
        <v>0</v>
      </c>
      <c r="CV20" s="88">
        <f ca="1">IF(CU20=1,_xll.RiskBinomial(1,Prob_Illness_Given_Infection),0)</f>
        <v>0</v>
      </c>
      <c r="CX20" s="87">
        <f t="shared" ca="1" si="50"/>
        <v>3.2820939626468527E-9</v>
      </c>
      <c r="CY20" s="37">
        <f ca="1">INT(CX20) + _xll.RiskBinomial(1,CX20-INT(CX20))</f>
        <v>0</v>
      </c>
      <c r="CZ20" s="30">
        <f t="shared" ca="1" si="16"/>
        <v>0</v>
      </c>
      <c r="DA20" s="35">
        <f ca="1">_xll.RiskBinomial(1,CZ20)</f>
        <v>0</v>
      </c>
      <c r="DB20" s="88">
        <f ca="1">IF(DA20=1,_xll.RiskBinomial(1,Prob_Illness_Given_Infection),0)</f>
        <v>0</v>
      </c>
      <c r="DD20" s="87">
        <f t="shared" ca="1" si="51"/>
        <v>3.2820939626468527E-9</v>
      </c>
      <c r="DE20" s="37">
        <f ca="1">INT(DD20) + _xll.RiskBinomial(1,DD20-INT(DD20))</f>
        <v>0</v>
      </c>
      <c r="DF20" s="30">
        <f t="shared" ca="1" si="17"/>
        <v>0</v>
      </c>
      <c r="DG20" s="35">
        <f ca="1">_xll.RiskBinomial(1,DF20)</f>
        <v>0</v>
      </c>
      <c r="DH20" s="88">
        <f ca="1">IF(DG20=1,_xll.RiskBinomial(1,Prob_Illness_Given_Infection),0)</f>
        <v>0</v>
      </c>
      <c r="DJ20" s="87">
        <f t="shared" ca="1" si="52"/>
        <v>5.3592040410339821E-6</v>
      </c>
      <c r="DK20" s="37">
        <f ca="1">INT(DJ20) + _xll.RiskBinomial(1,DJ20-INT(DJ20))</f>
        <v>0</v>
      </c>
      <c r="DL20" s="30">
        <f t="shared" ca="1" si="18"/>
        <v>0</v>
      </c>
      <c r="DM20" s="35">
        <f ca="1">_xll.RiskBinomial(1,DL20)</f>
        <v>0</v>
      </c>
      <c r="DN20" s="88">
        <f ca="1">IF(DM20=1,_xll.RiskBinomial(1,Prob_Illness_Given_Infection),0)</f>
        <v>0</v>
      </c>
      <c r="DP20" s="87">
        <f t="shared" ca="1" si="53"/>
        <v>1.2668882149806625E-9</v>
      </c>
      <c r="DQ20" s="37">
        <f ca="1">INT(DP20) + _xll.RiskBinomial(1,DP20-INT(DP20))</f>
        <v>0</v>
      </c>
      <c r="DR20" s="30">
        <f t="shared" ca="1" si="19"/>
        <v>0</v>
      </c>
      <c r="DS20" s="35">
        <f ca="1">_xll.RiskBinomial(1,DR20)</f>
        <v>0</v>
      </c>
      <c r="DT20" s="88">
        <f ca="1">IF(DS20=1,_xll.RiskBinomial(1,Prob_Illness_Given_Infection),0)</f>
        <v>0</v>
      </c>
      <c r="DV20" s="87">
        <f t="shared" ca="1" si="54"/>
        <v>1.7835327887629627E-8</v>
      </c>
      <c r="DW20" s="37">
        <f ca="1">INT(DV20) + _xll.RiskBinomial(1,DV20-INT(DV20))</f>
        <v>0</v>
      </c>
      <c r="DX20" s="30">
        <f t="shared" ca="1" si="20"/>
        <v>0</v>
      </c>
      <c r="DY20" s="35">
        <f ca="1">_xll.RiskBinomial(1,DX20)</f>
        <v>0</v>
      </c>
      <c r="DZ20" s="88">
        <f ca="1">IF(DY20=1,_xll.RiskBinomial(1,Prob_Illness_Given_Infection),0)</f>
        <v>0</v>
      </c>
      <c r="EB20" s="87">
        <f t="shared" ca="1" si="55"/>
        <v>4.4754618443385782E-12</v>
      </c>
      <c r="EC20" s="37">
        <f ca="1">INT(EB20) + _xll.RiskBinomial(1,EB20-INT(EB20))</f>
        <v>0</v>
      </c>
      <c r="ED20" s="30">
        <f t="shared" ca="1" si="21"/>
        <v>0</v>
      </c>
      <c r="EE20" s="35">
        <f ca="1">_xll.RiskBinomial(1,ED20)</f>
        <v>0</v>
      </c>
      <c r="EF20" s="88">
        <f ca="1">IF(EE20=1,_xll.RiskBinomial(1,Prob_Illness_Given_Infection),0)</f>
        <v>0</v>
      </c>
      <c r="EH20" s="87">
        <f t="shared" ca="1" si="56"/>
        <v>4.4754618443339778E-12</v>
      </c>
      <c r="EI20" s="37">
        <f ca="1">INT(EH20) + _xll.RiskBinomial(1,EH20-INT(EH20))</f>
        <v>0</v>
      </c>
      <c r="EJ20" s="30">
        <f t="shared" ca="1" si="22"/>
        <v>0</v>
      </c>
      <c r="EK20" s="35">
        <f ca="1">_xll.RiskBinomial(1,EJ20)</f>
        <v>0</v>
      </c>
      <c r="EL20" s="88">
        <f ca="1">IF(EK20=1,_xll.RiskBinomial(1,Prob_Illness_Given_Infection),0)</f>
        <v>0</v>
      </c>
      <c r="EN20" s="87">
        <f t="shared" ca="1" si="57"/>
        <v>4.0835887362172848E-10</v>
      </c>
      <c r="EO20" s="37">
        <f ca="1">INT(EN20) + _xll.RiskBinomial(1,EN20-INT(EN20))</f>
        <v>0</v>
      </c>
      <c r="EP20" s="30">
        <f t="shared" ca="1" si="23"/>
        <v>0</v>
      </c>
      <c r="EQ20" s="35">
        <f ca="1">_xll.RiskBinomial(1,EP20)</f>
        <v>0</v>
      </c>
      <c r="ER20" s="88">
        <f ca="1">IF(EQ20=1,_xll.RiskBinomial(1,Prob_Illness_Given_Infection),0)</f>
        <v>0</v>
      </c>
      <c r="ET20" s="87">
        <f t="shared" ca="1" si="58"/>
        <v>4.4754618443297095E-12</v>
      </c>
      <c r="EU20" s="37">
        <f ca="1">INT(ET20) + _xll.RiskBinomial(1,ET20-INT(ET20))</f>
        <v>0</v>
      </c>
      <c r="EV20" s="30">
        <f t="shared" ca="1" si="24"/>
        <v>0</v>
      </c>
      <c r="EW20" s="35">
        <f ca="1">_xll.RiskBinomial(1,EV20)</f>
        <v>0</v>
      </c>
      <c r="EX20" s="88">
        <f ca="1">IF(EW20=1,_xll.RiskBinomial(1,Prob_Illness_Given_Infection),0)</f>
        <v>0</v>
      </c>
      <c r="EZ20" s="87">
        <f t="shared" ca="1" si="59"/>
        <v>3.3754843772747882E-5</v>
      </c>
      <c r="FA20" s="37">
        <f ca="1">INT(EZ20) + _xll.RiskBinomial(1,EZ20-INT(EZ20))</f>
        <v>0</v>
      </c>
      <c r="FB20" s="30">
        <f t="shared" ca="1" si="25"/>
        <v>0</v>
      </c>
      <c r="FC20" s="35">
        <f ca="1">_xll.RiskBinomial(1,FB20)</f>
        <v>0</v>
      </c>
      <c r="FD20" s="88">
        <f ca="1">IF(FC20=1,_xll.RiskBinomial(1,Prob_Illness_Given_Infection),0)</f>
        <v>0</v>
      </c>
      <c r="FF20" s="87">
        <f t="shared" ca="1" si="60"/>
        <v>2.3513244733260511E-4</v>
      </c>
      <c r="FG20" s="37">
        <f ca="1">INT(FF20) + _xll.RiskBinomial(1,FF20-INT(FF20))</f>
        <v>0</v>
      </c>
      <c r="FH20" s="30">
        <f t="shared" ca="1" si="26"/>
        <v>0</v>
      </c>
      <c r="FI20" s="35">
        <f ca="1">_xll.RiskBinomial(1,FH20)</f>
        <v>0</v>
      </c>
      <c r="FJ20" s="88">
        <f ca="1">IF(FI20=1,_xll.RiskBinomial(1,Prob_Illness_Given_Infection),0)</f>
        <v>0</v>
      </c>
      <c r="FL20" s="87" t="e">
        <f t="shared" ca="1" si="61"/>
        <v>#NAME?</v>
      </c>
      <c r="FM20" s="37" t="e">
        <f ca="1">INT(FL20) + _xll.RiskBinomial(1,FL20-INT(FL20))</f>
        <v>#NAME?</v>
      </c>
      <c r="FN20" s="30" t="e">
        <f t="shared" ca="1" si="27"/>
        <v>#NAME?</v>
      </c>
      <c r="FO20" s="35" t="e">
        <f ca="1">_xll.RiskBinomial(1,FN20)</f>
        <v>#VALUE!</v>
      </c>
      <c r="FP20" s="88" t="e">
        <f ca="1">IF(FO20=1,_xll.RiskBinomial(1,Prob_Illness_Given_Infection),0)</f>
        <v>#VALUE!</v>
      </c>
      <c r="FR20" s="87" t="e">
        <f t="shared" ca="1" si="62"/>
        <v>#NAME?</v>
      </c>
      <c r="FS20" s="37" t="e">
        <f ca="1">INT(FR20) + _xll.RiskBinomial(1,FR20-INT(FR20))</f>
        <v>#NAME?</v>
      </c>
      <c r="FT20" s="30" t="e">
        <f t="shared" ca="1" si="28"/>
        <v>#NAME?</v>
      </c>
      <c r="FU20" s="35" t="e">
        <f ca="1">_xll.RiskBinomial(1,FT20)</f>
        <v>#VALUE!</v>
      </c>
      <c r="FV20" s="88" t="e">
        <f ca="1">IF(FU20=1,_xll.RiskBinomial(1,Prob_Illness_Given_Infection),0)</f>
        <v>#VALUE!</v>
      </c>
      <c r="FX20" s="87">
        <f t="shared" ca="1" si="63"/>
        <v>4.7250451729271924E-7</v>
      </c>
      <c r="FY20" s="37">
        <f ca="1">INT(FX20) + _xll.RiskBinomial(1,FX20-INT(FX20))</f>
        <v>0</v>
      </c>
      <c r="FZ20" s="30">
        <f t="shared" ca="1" si="29"/>
        <v>0</v>
      </c>
      <c r="GA20" s="35">
        <f ca="1">_xll.RiskBinomial(1,FZ20)</f>
        <v>0</v>
      </c>
      <c r="GB20" s="88">
        <f ca="1">IF(GA20=1,_xll.RiskBinomial(1,Prob_Illness_Given_Infection),0)</f>
        <v>0</v>
      </c>
      <c r="GD20" s="87" t="e">
        <f t="shared" ca="1" si="64"/>
        <v>#NAME?</v>
      </c>
      <c r="GE20" s="37" t="e">
        <f ca="1">INT(GD20) + _xll.RiskBinomial(1,GD20-INT(GD20))</f>
        <v>#NAME?</v>
      </c>
      <c r="GF20" s="30" t="e">
        <f t="shared" ca="1" si="30"/>
        <v>#NAME?</v>
      </c>
      <c r="GG20" s="35" t="e">
        <f ca="1">_xll.RiskBinomial(1,GF20)</f>
        <v>#VALUE!</v>
      </c>
      <c r="GH20" s="88" t="e">
        <f ca="1">IF(GG20=1,_xll.RiskBinomial(1,Prob_Illness_Given_Infection),0)</f>
        <v>#VALUE!</v>
      </c>
      <c r="GJ20" s="87" t="e">
        <f t="shared" ca="1" si="65"/>
        <v>#NAME?</v>
      </c>
      <c r="GK20" s="37" t="e">
        <f ca="1">INT(GJ20) + _xll.RiskBinomial(1,GJ20-INT(GJ20))</f>
        <v>#NAME?</v>
      </c>
      <c r="GL20" s="30" t="e">
        <f t="shared" ca="1" si="31"/>
        <v>#NAME?</v>
      </c>
      <c r="GM20" s="35" t="e">
        <f ca="1">_xll.RiskBinomial(1,GL20)</f>
        <v>#VALUE!</v>
      </c>
      <c r="GN20" s="88" t="e">
        <f ca="1">IF(GM20=1,_xll.RiskBinomial(1,Prob_Illness_Given_Infection),0)</f>
        <v>#VALUE!</v>
      </c>
      <c r="GP20" s="87" t="e">
        <f t="shared" ca="1" si="66"/>
        <v>#NAME?</v>
      </c>
      <c r="GQ20" s="37" t="e">
        <f ca="1">INT(GP20) + _xll.RiskBinomial(1,GP20-INT(GP20))</f>
        <v>#NAME?</v>
      </c>
      <c r="GR20" s="30" t="e">
        <f t="shared" ca="1" si="32"/>
        <v>#NAME?</v>
      </c>
      <c r="GS20" s="35" t="e">
        <f ca="1">_xll.RiskBinomial(1,GR20)</f>
        <v>#VALUE!</v>
      </c>
      <c r="GT20" s="88" t="e">
        <f ca="1">IF(GS20=1,_xll.RiskBinomial(1,Prob_Illness_Given_Infection),0)</f>
        <v>#VALUE!</v>
      </c>
    </row>
    <row r="21" spans="2:202">
      <c r="B21" s="108">
        <v>13</v>
      </c>
      <c r="C21" s="87">
        <f ca="1">_xll.RiskLoglogistic(LogLogistic_gamma, LogLogistic_beta, LogLogistic_alpha, _xll.RiskTruncate(5,800))</f>
        <v>335.66332547798498</v>
      </c>
      <c r="D21" s="38">
        <f t="shared" ca="1" si="33"/>
        <v>21.563561620119884</v>
      </c>
      <c r="E21" s="30"/>
      <c r="F21" s="87">
        <f t="shared" ca="1" si="34"/>
        <v>7.7852908442193864E-9</v>
      </c>
      <c r="G21" s="37">
        <f ca="1">INT(F21) + _xll.RiskBinomial(1,F21-INT(F21))</f>
        <v>0</v>
      </c>
      <c r="H21" s="30">
        <f t="shared" ca="1" si="0"/>
        <v>0</v>
      </c>
      <c r="I21" s="35">
        <f ca="1">_xll.RiskBinomial(1,H21)</f>
        <v>0</v>
      </c>
      <c r="J21" s="88">
        <f ca="1">IF(I21=1,_xll.RiskBinomial(1,Prob_Illness_Given_Infection),0)</f>
        <v>0</v>
      </c>
      <c r="K21" s="30"/>
      <c r="L21" s="87">
        <f t="shared" ca="1" si="35"/>
        <v>3.9765237076964932E-4</v>
      </c>
      <c r="M21" s="37">
        <f ca="1">INT(L21) + _xll.RiskBinomial(1,L21-INT(L21))</f>
        <v>0</v>
      </c>
      <c r="N21" s="30">
        <f t="shared" ca="1" si="1"/>
        <v>0</v>
      </c>
      <c r="O21" s="35">
        <f ca="1">_xll.RiskBinomial(1,N21)</f>
        <v>0</v>
      </c>
      <c r="P21" s="88">
        <f ca="1">IF(O21=1,_xll.RiskBinomial(1,Prob_Illness_Given_Infection),0)</f>
        <v>0</v>
      </c>
      <c r="Q21" s="30"/>
      <c r="R21" s="87">
        <f t="shared" ca="1" si="36"/>
        <v>4.1107620571521536E-5</v>
      </c>
      <c r="S21" s="37">
        <f ca="1">INT(R21) + _xll.RiskBinomial(1,R21-INT(R21))</f>
        <v>0</v>
      </c>
      <c r="T21" s="30">
        <f t="shared" ca="1" si="2"/>
        <v>0</v>
      </c>
      <c r="U21" s="35">
        <f ca="1">_xll.RiskBinomial(1,T21)</f>
        <v>0</v>
      </c>
      <c r="V21" s="88">
        <f ca="1">IF(U21=1,_xll.RiskBinomial(1,Prob_Illness_Given_Infection),0)</f>
        <v>0</v>
      </c>
      <c r="W21" s="30"/>
      <c r="X21" s="87">
        <f t="shared" ca="1" si="37"/>
        <v>1.6888081554254696E-11</v>
      </c>
      <c r="Y21" s="37">
        <f ca="1">INT(X21) + _xll.RiskBinomial(1,X21-INT(X21))</f>
        <v>0</v>
      </c>
      <c r="Z21" s="30">
        <f t="shared" ca="1" si="3"/>
        <v>0</v>
      </c>
      <c r="AA21" s="35">
        <f ca="1">_xll.RiskBinomial(1,Z21)</f>
        <v>0</v>
      </c>
      <c r="AB21" s="88">
        <f ca="1">IF(AA21=1,_xll.RiskBinomial(1,Prob_Illness_Given_Infection),0)</f>
        <v>0</v>
      </c>
      <c r="AC21" s="30"/>
      <c r="AD21" s="87">
        <f t="shared" ca="1" si="38"/>
        <v>8.5085145838599068E-12</v>
      </c>
      <c r="AE21" s="37">
        <f ca="1">INT(AD21) + _xll.RiskBinomial(1,AD21-INT(AD21))</f>
        <v>0</v>
      </c>
      <c r="AF21" s="30">
        <f t="shared" ca="1" si="4"/>
        <v>0</v>
      </c>
      <c r="AG21" s="35">
        <f ca="1">_xll.RiskBinomial(1,AF21)</f>
        <v>0</v>
      </c>
      <c r="AH21" s="88">
        <f ca="1">IF(AG21=1,_xll.RiskBinomial(1,Prob_Illness_Given_Infection),0)</f>
        <v>0</v>
      </c>
      <c r="AI21" s="30"/>
      <c r="AJ21" s="87">
        <f t="shared" ca="1" si="39"/>
        <v>3.9494331996430698E-4</v>
      </c>
      <c r="AK21" s="37">
        <f ca="1">INT(AJ21) + _xll.RiskBinomial(1,AJ21-INT(AJ21))</f>
        <v>0</v>
      </c>
      <c r="AL21" s="30">
        <f t="shared" ca="1" si="5"/>
        <v>0</v>
      </c>
      <c r="AM21" s="35">
        <f ca="1">_xll.RiskBinomial(1,AL21)</f>
        <v>0</v>
      </c>
      <c r="AN21" s="88">
        <f ca="1">IF(AM21=1,_xll.RiskBinomial(1,Prob_Illness_Given_Infection),0)</f>
        <v>0</v>
      </c>
      <c r="AO21" s="30"/>
      <c r="AP21" s="87">
        <f t="shared" ca="1" si="40"/>
        <v>9.6046399040883584E-9</v>
      </c>
      <c r="AQ21" s="37">
        <f ca="1">INT(AP21) + _xll.RiskBinomial(1,AP21-INT(AP21))</f>
        <v>0</v>
      </c>
      <c r="AR21" s="30">
        <f t="shared" ca="1" si="6"/>
        <v>0</v>
      </c>
      <c r="AS21" s="35">
        <f ca="1">_xll.RiskBinomial(1,AR21)</f>
        <v>0</v>
      </c>
      <c r="AT21" s="88">
        <f ca="1">IF(AS21=1,_xll.RiskBinomial(1,Prob_Illness_Given_Infection),0)</f>
        <v>0</v>
      </c>
      <c r="AU21" s="30"/>
      <c r="AV21" s="87">
        <f t="shared" ca="1" si="41"/>
        <v>2.2282264573343245E-4</v>
      </c>
      <c r="AW21" s="37">
        <f ca="1">INT(AV21) + _xll.RiskBinomial(1,AV21-INT(AV21))</f>
        <v>0</v>
      </c>
      <c r="AX21" s="30">
        <f t="shared" ca="1" si="7"/>
        <v>0</v>
      </c>
      <c r="AY21" s="35">
        <f ca="1">_xll.RiskBinomial(1,AX21)</f>
        <v>0</v>
      </c>
      <c r="AZ21" s="88">
        <f ca="1">IF(AY21=1,_xll.RiskBinomial(1,Prob_Illness_Given_Infection),0)</f>
        <v>0</v>
      </c>
      <c r="BB21" s="87">
        <f t="shared" ca="1" si="42"/>
        <v>3.0582628234167346E-4</v>
      </c>
      <c r="BC21" s="37">
        <f ca="1">INT(BB21) + _xll.RiskBinomial(1,BB21-INT(BB21))</f>
        <v>0</v>
      </c>
      <c r="BD21" s="30">
        <f t="shared" ca="1" si="8"/>
        <v>0</v>
      </c>
      <c r="BE21" s="35">
        <f ca="1">_xll.RiskBinomial(1,BD21)</f>
        <v>0</v>
      </c>
      <c r="BF21" s="88">
        <f ca="1">IF(BE21=1,_xll.RiskBinomial(1,Prob_Illness_Given_Infection),0)</f>
        <v>0</v>
      </c>
      <c r="BH21" s="87">
        <f t="shared" ca="1" si="43"/>
        <v>3.8719795272586775E-4</v>
      </c>
      <c r="BI21" s="37">
        <f ca="1">INT(BH21) + _xll.RiskBinomial(1,BH21-INT(BH21))</f>
        <v>0</v>
      </c>
      <c r="BJ21" s="30">
        <f t="shared" ca="1" si="9"/>
        <v>0</v>
      </c>
      <c r="BK21" s="35">
        <f ca="1">_xll.RiskBinomial(1,BJ21)</f>
        <v>0</v>
      </c>
      <c r="BL21" s="88">
        <f ca="1">IF(BK21=1,_xll.RiskBinomial(1,Prob_Illness_Given_Infection),0)</f>
        <v>0</v>
      </c>
      <c r="BN21" s="87">
        <f t="shared" ca="1" si="44"/>
        <v>2.9467971993552825E-5</v>
      </c>
      <c r="BO21" s="37">
        <f ca="1">INT(BN21) + _xll.RiskBinomial(1,BN21-INT(BN21))</f>
        <v>0</v>
      </c>
      <c r="BP21" s="30">
        <f t="shared" ca="1" si="10"/>
        <v>0</v>
      </c>
      <c r="BQ21" s="35">
        <f ca="1">_xll.RiskBinomial(1,BP21)</f>
        <v>0</v>
      </c>
      <c r="BR21" s="88">
        <f ca="1">IF(BQ21=1,_xll.RiskBinomial(1,Prob_Illness_Given_Infection),0)</f>
        <v>0</v>
      </c>
      <c r="BT21" s="87">
        <f t="shared" ca="1" si="45"/>
        <v>8.8609880252965697E-5</v>
      </c>
      <c r="BU21" s="37">
        <f ca="1">INT(BT21) + _xll.RiskBinomial(1,BT21-INT(BT21))</f>
        <v>0</v>
      </c>
      <c r="BV21" s="30">
        <f t="shared" ca="1" si="11"/>
        <v>0</v>
      </c>
      <c r="BW21" s="35">
        <f ca="1">_xll.RiskBinomial(1,BV21)</f>
        <v>0</v>
      </c>
      <c r="BX21" s="88">
        <f ca="1">IF(BW21=1,_xll.RiskBinomial(1,Prob_Illness_Given_Infection),0)</f>
        <v>0</v>
      </c>
      <c r="BZ21" s="87">
        <f t="shared" ca="1" si="46"/>
        <v>2.4290955138334079E-4</v>
      </c>
      <c r="CA21" s="37">
        <f ca="1">INT(BZ21) + _xll.RiskBinomial(1,BZ21-INT(BZ21))</f>
        <v>0</v>
      </c>
      <c r="CB21" s="30">
        <f t="shared" ca="1" si="12"/>
        <v>0</v>
      </c>
      <c r="CC21" s="35">
        <f ca="1">_xll.RiskBinomial(1,CB21)</f>
        <v>0</v>
      </c>
      <c r="CD21" s="88">
        <f ca="1">IF(CC21=1,_xll.RiskBinomial(1,Prob_Illness_Given_Infection),0)</f>
        <v>0</v>
      </c>
      <c r="CF21" s="87">
        <f t="shared" ca="1" si="47"/>
        <v>4.6089656037090089E-5</v>
      </c>
      <c r="CG21" s="37">
        <f ca="1">INT(CF21) + _xll.RiskBinomial(1,CF21-INT(CF21))</f>
        <v>0</v>
      </c>
      <c r="CH21" s="30">
        <f t="shared" ca="1" si="13"/>
        <v>0</v>
      </c>
      <c r="CI21" s="35">
        <f ca="1">_xll.RiskBinomial(1,CH21)</f>
        <v>0</v>
      </c>
      <c r="CJ21" s="88">
        <f ca="1">IF(CI21=1,_xll.RiskBinomial(1,Prob_Illness_Given_Infection),0)</f>
        <v>0</v>
      </c>
      <c r="CL21" s="87">
        <f t="shared" ca="1" si="48"/>
        <v>8.8940133093134521E-5</v>
      </c>
      <c r="CM21" s="37">
        <f ca="1">INT(CL21) + _xll.RiskBinomial(1,CL21-INT(CL21))</f>
        <v>0</v>
      </c>
      <c r="CN21" s="30">
        <f t="shared" ca="1" si="14"/>
        <v>0</v>
      </c>
      <c r="CO21" s="35">
        <f ca="1">_xll.RiskBinomial(1,CN21)</f>
        <v>0</v>
      </c>
      <c r="CP21" s="88">
        <f ca="1">IF(CO21=1,_xll.RiskBinomial(1,Prob_Illness_Given_Infection),0)</f>
        <v>0</v>
      </c>
      <c r="CR21" s="87">
        <f t="shared" ca="1" si="49"/>
        <v>6.1294847785421333E-7</v>
      </c>
      <c r="CS21" s="37">
        <f ca="1">INT(CR21) + _xll.RiskBinomial(1,CR21-INT(CR21))</f>
        <v>0</v>
      </c>
      <c r="CT21" s="30">
        <f t="shared" ca="1" si="15"/>
        <v>0</v>
      </c>
      <c r="CU21" s="35">
        <f ca="1">_xll.RiskBinomial(1,CT21)</f>
        <v>0</v>
      </c>
      <c r="CV21" s="88">
        <f ca="1">IF(CU21=1,_xll.RiskBinomial(1,Prob_Illness_Given_Infection),0)</f>
        <v>0</v>
      </c>
      <c r="CX21" s="87">
        <f t="shared" ca="1" si="50"/>
        <v>6.2397458224553414E-9</v>
      </c>
      <c r="CY21" s="37">
        <f ca="1">INT(CX21) + _xll.RiskBinomial(1,CX21-INT(CX21))</f>
        <v>0</v>
      </c>
      <c r="CZ21" s="30">
        <f t="shared" ca="1" si="16"/>
        <v>0</v>
      </c>
      <c r="DA21" s="35">
        <f ca="1">_xll.RiskBinomial(1,CZ21)</f>
        <v>0</v>
      </c>
      <c r="DB21" s="88">
        <f ca="1">IF(DA21=1,_xll.RiskBinomial(1,Prob_Illness_Given_Infection),0)</f>
        <v>0</v>
      </c>
      <c r="DD21" s="87">
        <f t="shared" ca="1" si="51"/>
        <v>6.2397458224553414E-9</v>
      </c>
      <c r="DE21" s="37">
        <f ca="1">INT(DD21) + _xll.RiskBinomial(1,DD21-INT(DD21))</f>
        <v>0</v>
      </c>
      <c r="DF21" s="30">
        <f t="shared" ca="1" si="17"/>
        <v>0</v>
      </c>
      <c r="DG21" s="35">
        <f ca="1">_xll.RiskBinomial(1,DF21)</f>
        <v>0</v>
      </c>
      <c r="DH21" s="88">
        <f ca="1">IF(DG21=1,_xll.RiskBinomial(1,Prob_Illness_Given_Infection),0)</f>
        <v>0</v>
      </c>
      <c r="DJ21" s="87">
        <f t="shared" ca="1" si="52"/>
        <v>1.0188639145406961E-5</v>
      </c>
      <c r="DK21" s="37">
        <f ca="1">INT(DJ21) + _xll.RiskBinomial(1,DJ21-INT(DJ21))</f>
        <v>0</v>
      </c>
      <c r="DL21" s="30">
        <f t="shared" ca="1" si="18"/>
        <v>0</v>
      </c>
      <c r="DM21" s="35">
        <f ca="1">_xll.RiskBinomial(1,DL21)</f>
        <v>0</v>
      </c>
      <c r="DN21" s="88">
        <f ca="1">IF(DM21=1,_xll.RiskBinomial(1,Prob_Illness_Given_Infection),0)</f>
        <v>0</v>
      </c>
      <c r="DP21" s="87">
        <f t="shared" ca="1" si="53"/>
        <v>2.4085417836631463E-9</v>
      </c>
      <c r="DQ21" s="37">
        <f ca="1">INT(DP21) + _xll.RiskBinomial(1,DP21-INT(DP21))</f>
        <v>0</v>
      </c>
      <c r="DR21" s="30">
        <f t="shared" ca="1" si="19"/>
        <v>0</v>
      </c>
      <c r="DS21" s="35">
        <f ca="1">_xll.RiskBinomial(1,DR21)</f>
        <v>0</v>
      </c>
      <c r="DT21" s="88">
        <f ca="1">IF(DS21=1,_xll.RiskBinomial(1,Prob_Illness_Given_Infection),0)</f>
        <v>0</v>
      </c>
      <c r="DV21" s="87">
        <f t="shared" ca="1" si="54"/>
        <v>3.3907594951733133E-8</v>
      </c>
      <c r="DW21" s="37">
        <f ca="1">INT(DV21) + _xll.RiskBinomial(1,DV21-INT(DV21))</f>
        <v>0</v>
      </c>
      <c r="DX21" s="30">
        <f t="shared" ca="1" si="20"/>
        <v>0</v>
      </c>
      <c r="DY21" s="35">
        <f ca="1">_xll.RiskBinomial(1,DX21)</f>
        <v>0</v>
      </c>
      <c r="DZ21" s="88">
        <f ca="1">IF(DY21=1,_xll.RiskBinomial(1,Prob_Illness_Given_Infection),0)</f>
        <v>0</v>
      </c>
      <c r="EB21" s="87">
        <f t="shared" ca="1" si="55"/>
        <v>8.5085145838570504E-12</v>
      </c>
      <c r="EC21" s="37">
        <f ca="1">INT(EB21) + _xll.RiskBinomial(1,EB21-INT(EB21))</f>
        <v>0</v>
      </c>
      <c r="ED21" s="30">
        <f t="shared" ca="1" si="21"/>
        <v>0</v>
      </c>
      <c r="EE21" s="35">
        <f ca="1">_xll.RiskBinomial(1,ED21)</f>
        <v>0</v>
      </c>
      <c r="EF21" s="88">
        <f ca="1">IF(EE21=1,_xll.RiskBinomial(1,Prob_Illness_Given_Infection),0)</f>
        <v>0</v>
      </c>
      <c r="EH21" s="87">
        <f t="shared" ca="1" si="56"/>
        <v>8.5085145838483036E-12</v>
      </c>
      <c r="EI21" s="37">
        <f ca="1">INT(EH21) + _xll.RiskBinomial(1,EH21-INT(EH21))</f>
        <v>0</v>
      </c>
      <c r="EJ21" s="30">
        <f t="shared" ca="1" si="22"/>
        <v>0</v>
      </c>
      <c r="EK21" s="35">
        <f ca="1">_xll.RiskBinomial(1,EJ21)</f>
        <v>0</v>
      </c>
      <c r="EL21" s="88">
        <f ca="1">IF(EK21=1,_xll.RiskBinomial(1,Prob_Illness_Given_Infection),0)</f>
        <v>0</v>
      </c>
      <c r="EN21" s="87">
        <f t="shared" ca="1" si="57"/>
        <v>7.7635058738198448E-10</v>
      </c>
      <c r="EO21" s="37">
        <f ca="1">INT(EN21) + _xll.RiskBinomial(1,EN21-INT(EN21))</f>
        <v>0</v>
      </c>
      <c r="EP21" s="30">
        <f t="shared" ca="1" si="23"/>
        <v>0</v>
      </c>
      <c r="EQ21" s="35">
        <f ca="1">_xll.RiskBinomial(1,EP21)</f>
        <v>0</v>
      </c>
      <c r="ER21" s="88">
        <f ca="1">IF(EQ21=1,_xll.RiskBinomial(1,Prob_Illness_Given_Infection),0)</f>
        <v>0</v>
      </c>
      <c r="ET21" s="87">
        <f t="shared" ca="1" si="58"/>
        <v>8.5085145838401885E-12</v>
      </c>
      <c r="EU21" s="37">
        <f ca="1">INT(ET21) + _xll.RiskBinomial(1,ET21-INT(ET21))</f>
        <v>0</v>
      </c>
      <c r="EV21" s="30">
        <f t="shared" ca="1" si="24"/>
        <v>0</v>
      </c>
      <c r="EW21" s="35">
        <f ca="1">_xll.RiskBinomial(1,EV21)</f>
        <v>0</v>
      </c>
      <c r="EX21" s="88">
        <f ca="1">IF(EW21=1,_xll.RiskBinomial(1,Prob_Illness_Given_Infection),0)</f>
        <v>0</v>
      </c>
      <c r="EZ21" s="87">
        <f t="shared" ca="1" si="59"/>
        <v>6.4172948067818257E-5</v>
      </c>
      <c r="FA21" s="37">
        <f ca="1">INT(EZ21) + _xll.RiskBinomial(1,EZ21-INT(EZ21))</f>
        <v>0</v>
      </c>
      <c r="FB21" s="30">
        <f t="shared" ca="1" si="25"/>
        <v>0</v>
      </c>
      <c r="FC21" s="35">
        <f ca="1">_xll.RiskBinomial(1,FB21)</f>
        <v>0</v>
      </c>
      <c r="FD21" s="88">
        <f ca="1">IF(FC21=1,_xll.RiskBinomial(1,Prob_Illness_Given_Infection),0)</f>
        <v>0</v>
      </c>
      <c r="FF21" s="87">
        <f t="shared" ca="1" si="60"/>
        <v>4.4702154254722283E-4</v>
      </c>
      <c r="FG21" s="37">
        <f ca="1">INT(FF21) + _xll.RiskBinomial(1,FF21-INT(FF21))</f>
        <v>0</v>
      </c>
      <c r="FH21" s="30">
        <f t="shared" ca="1" si="26"/>
        <v>0</v>
      </c>
      <c r="FI21" s="35">
        <f ca="1">_xll.RiskBinomial(1,FH21)</f>
        <v>0</v>
      </c>
      <c r="FJ21" s="88">
        <f ca="1">IF(FI21=1,_xll.RiskBinomial(1,Prob_Illness_Given_Infection),0)</f>
        <v>0</v>
      </c>
      <c r="FL21" s="87" t="e">
        <f t="shared" ca="1" si="61"/>
        <v>#NAME?</v>
      </c>
      <c r="FM21" s="37" t="e">
        <f ca="1">INT(FL21) + _xll.RiskBinomial(1,FL21-INT(FL21))</f>
        <v>#NAME?</v>
      </c>
      <c r="FN21" s="30" t="e">
        <f t="shared" ca="1" si="27"/>
        <v>#NAME?</v>
      </c>
      <c r="FO21" s="35" t="e">
        <f ca="1">_xll.RiskBinomial(1,FN21)</f>
        <v>#VALUE!</v>
      </c>
      <c r="FP21" s="88" t="e">
        <f ca="1">IF(FO21=1,_xll.RiskBinomial(1,Prob_Illness_Given_Infection),0)</f>
        <v>#VALUE!</v>
      </c>
      <c r="FR21" s="87" t="e">
        <f t="shared" ca="1" si="62"/>
        <v>#NAME?</v>
      </c>
      <c r="FS21" s="37" t="e">
        <f ca="1">INT(FR21) + _xll.RiskBinomial(1,FR21-INT(FR21))</f>
        <v>#NAME?</v>
      </c>
      <c r="FT21" s="30" t="e">
        <f t="shared" ca="1" si="28"/>
        <v>#NAME?</v>
      </c>
      <c r="FU21" s="35" t="e">
        <f ca="1">_xll.RiskBinomial(1,FT21)</f>
        <v>#VALUE!</v>
      </c>
      <c r="FV21" s="88" t="e">
        <f ca="1">IF(FU21=1,_xll.RiskBinomial(1,Prob_Illness_Given_Infection),0)</f>
        <v>#VALUE!</v>
      </c>
      <c r="FX21" s="87">
        <f t="shared" ca="1" si="63"/>
        <v>8.9830093879788011E-7</v>
      </c>
      <c r="FY21" s="37">
        <f ca="1">INT(FX21) + _xll.RiskBinomial(1,FX21-INT(FX21))</f>
        <v>0</v>
      </c>
      <c r="FZ21" s="30">
        <f t="shared" ca="1" si="29"/>
        <v>0</v>
      </c>
      <c r="GA21" s="35">
        <f ca="1">_xll.RiskBinomial(1,FZ21)</f>
        <v>0</v>
      </c>
      <c r="GB21" s="88">
        <f ca="1">IF(GA21=1,_xll.RiskBinomial(1,Prob_Illness_Given_Infection),0)</f>
        <v>0</v>
      </c>
      <c r="GD21" s="87" t="e">
        <f t="shared" ca="1" si="64"/>
        <v>#NAME?</v>
      </c>
      <c r="GE21" s="37" t="e">
        <f ca="1">INT(GD21) + _xll.RiskBinomial(1,GD21-INT(GD21))</f>
        <v>#NAME?</v>
      </c>
      <c r="GF21" s="30" t="e">
        <f t="shared" ca="1" si="30"/>
        <v>#NAME?</v>
      </c>
      <c r="GG21" s="35" t="e">
        <f ca="1">_xll.RiskBinomial(1,GF21)</f>
        <v>#VALUE!</v>
      </c>
      <c r="GH21" s="88" t="e">
        <f ca="1">IF(GG21=1,_xll.RiskBinomial(1,Prob_Illness_Given_Infection),0)</f>
        <v>#VALUE!</v>
      </c>
      <c r="GJ21" s="87" t="e">
        <f t="shared" ca="1" si="65"/>
        <v>#NAME?</v>
      </c>
      <c r="GK21" s="37" t="e">
        <f ca="1">INT(GJ21) + _xll.RiskBinomial(1,GJ21-INT(GJ21))</f>
        <v>#NAME?</v>
      </c>
      <c r="GL21" s="30" t="e">
        <f t="shared" ca="1" si="31"/>
        <v>#NAME?</v>
      </c>
      <c r="GM21" s="35" t="e">
        <f ca="1">_xll.RiskBinomial(1,GL21)</f>
        <v>#VALUE!</v>
      </c>
      <c r="GN21" s="88" t="e">
        <f ca="1">IF(GM21=1,_xll.RiskBinomial(1,Prob_Illness_Given_Infection),0)</f>
        <v>#VALUE!</v>
      </c>
      <c r="GP21" s="87" t="e">
        <f t="shared" ca="1" si="66"/>
        <v>#NAME?</v>
      </c>
      <c r="GQ21" s="37" t="e">
        <f ca="1">INT(GP21) + _xll.RiskBinomial(1,GP21-INT(GP21))</f>
        <v>#NAME?</v>
      </c>
      <c r="GR21" s="30" t="e">
        <f t="shared" ca="1" si="32"/>
        <v>#NAME?</v>
      </c>
      <c r="GS21" s="35" t="e">
        <f ca="1">_xll.RiskBinomial(1,GR21)</f>
        <v>#VALUE!</v>
      </c>
      <c r="GT21" s="88" t="e">
        <f ca="1">IF(GS21=1,_xll.RiskBinomial(1,Prob_Illness_Given_Infection),0)</f>
        <v>#VALUE!</v>
      </c>
    </row>
    <row r="22" spans="2:202">
      <c r="B22" s="108">
        <v>14</v>
      </c>
      <c r="C22" s="87">
        <f ca="1">_xll.RiskLoglogistic(LogLogistic_gamma, LogLogistic_beta, LogLogistic_alpha, _xll.RiskTruncate(5,800))</f>
        <v>94.961206844448881</v>
      </c>
      <c r="D22" s="38">
        <f t="shared" ca="1" si="33"/>
        <v>6.1004634104583619</v>
      </c>
      <c r="E22" s="30"/>
      <c r="F22" s="87">
        <f t="shared" ca="1" si="34"/>
        <v>2.202506374949799E-9</v>
      </c>
      <c r="G22" s="37">
        <f ca="1">INT(F22) + _xll.RiskBinomial(1,F22-INT(F22))</f>
        <v>0</v>
      </c>
      <c r="H22" s="30">
        <f t="shared" ca="1" si="0"/>
        <v>0</v>
      </c>
      <c r="I22" s="35">
        <f ca="1">_xll.RiskBinomial(1,H22)</f>
        <v>0</v>
      </c>
      <c r="J22" s="88">
        <f ca="1">IF(I22=1,_xll.RiskBinomial(1,Prob_Illness_Given_Infection),0)</f>
        <v>0</v>
      </c>
      <c r="K22" s="30"/>
      <c r="L22" s="87">
        <f t="shared" ca="1" si="35"/>
        <v>1.1249828672545519E-4</v>
      </c>
      <c r="M22" s="37">
        <f ca="1">INT(L22) + _xll.RiskBinomial(1,L22-INT(L22))</f>
        <v>0</v>
      </c>
      <c r="N22" s="30">
        <f t="shared" ca="1" si="1"/>
        <v>0</v>
      </c>
      <c r="O22" s="35">
        <f ca="1">_xll.RiskBinomial(1,N22)</f>
        <v>0</v>
      </c>
      <c r="P22" s="88">
        <f ca="1">IF(O22=1,_xll.RiskBinomial(1,Prob_Illness_Given_Infection),0)</f>
        <v>0</v>
      </c>
      <c r="Q22" s="30"/>
      <c r="R22" s="87">
        <f t="shared" ca="1" si="36"/>
        <v>1.1629597169773033E-5</v>
      </c>
      <c r="S22" s="37">
        <f ca="1">INT(R22) + _xll.RiskBinomial(1,R22-INT(R22))</f>
        <v>0</v>
      </c>
      <c r="T22" s="30">
        <f t="shared" ca="1" si="2"/>
        <v>0</v>
      </c>
      <c r="U22" s="35">
        <f ca="1">_xll.RiskBinomial(1,T22)</f>
        <v>0</v>
      </c>
      <c r="V22" s="88">
        <f ca="1">IF(U22=1,_xll.RiskBinomial(1,Prob_Illness_Given_Infection),0)</f>
        <v>0</v>
      </c>
      <c r="W22" s="30"/>
      <c r="X22" s="87">
        <f t="shared" ca="1" si="37"/>
        <v>4.777741516431124E-12</v>
      </c>
      <c r="Y22" s="37">
        <f ca="1">INT(X22) + _xll.RiskBinomial(1,X22-INT(X22))</f>
        <v>0</v>
      </c>
      <c r="Z22" s="30">
        <f t="shared" ca="1" si="3"/>
        <v>0</v>
      </c>
      <c r="AA22" s="35">
        <f ca="1">_xll.RiskBinomial(1,Z22)</f>
        <v>0</v>
      </c>
      <c r="AB22" s="88">
        <f ca="1">IF(AA22=1,_xll.RiskBinomial(1,Prob_Illness_Given_Infection),0)</f>
        <v>0</v>
      </c>
      <c r="AC22" s="30"/>
      <c r="AD22" s="87">
        <f t="shared" ca="1" si="38"/>
        <v>2.4071107922987048E-12</v>
      </c>
      <c r="AE22" s="37">
        <f ca="1">INT(AD22) + _xll.RiskBinomial(1,AD22-INT(AD22))</f>
        <v>0</v>
      </c>
      <c r="AF22" s="30">
        <f t="shared" ca="1" si="4"/>
        <v>0</v>
      </c>
      <c r="AG22" s="35">
        <f ca="1">_xll.RiskBinomial(1,AF22)</f>
        <v>0</v>
      </c>
      <c r="AH22" s="88">
        <f ca="1">IF(AG22=1,_xll.RiskBinomial(1,Prob_Illness_Given_Infection),0)</f>
        <v>0</v>
      </c>
      <c r="AI22" s="30"/>
      <c r="AJ22" s="87">
        <f t="shared" ca="1" si="39"/>
        <v>1.1173187969093063E-4</v>
      </c>
      <c r="AK22" s="37">
        <f ca="1">INT(AJ22) + _xll.RiskBinomial(1,AJ22-INT(AJ22))</f>
        <v>0</v>
      </c>
      <c r="AL22" s="30">
        <f t="shared" ca="1" si="5"/>
        <v>0</v>
      </c>
      <c r="AM22" s="35">
        <f ca="1">_xll.RiskBinomial(1,AL22)</f>
        <v>0</v>
      </c>
      <c r="AN22" s="88">
        <f ca="1">IF(AM22=1,_xll.RiskBinomial(1,Prob_Illness_Given_Infection),0)</f>
        <v>0</v>
      </c>
      <c r="AO22" s="30"/>
      <c r="AP22" s="87">
        <f t="shared" ca="1" si="40"/>
        <v>2.7172113465175142E-9</v>
      </c>
      <c r="AQ22" s="37">
        <f ca="1">INT(AP22) + _xll.RiskBinomial(1,AP22-INT(AP22))</f>
        <v>0</v>
      </c>
      <c r="AR22" s="30">
        <f t="shared" ca="1" si="6"/>
        <v>0</v>
      </c>
      <c r="AS22" s="35">
        <f ca="1">_xll.RiskBinomial(1,AR22)</f>
        <v>0</v>
      </c>
      <c r="AT22" s="88">
        <f ca="1">IF(AS22=1,_xll.RiskBinomial(1,Prob_Illness_Given_Infection),0)</f>
        <v>0</v>
      </c>
      <c r="AU22" s="30"/>
      <c r="AV22" s="87">
        <f t="shared" ca="1" si="41"/>
        <v>6.3037888696921743E-5</v>
      </c>
      <c r="AW22" s="37">
        <f ca="1">INT(AV22) + _xll.RiskBinomial(1,AV22-INT(AV22))</f>
        <v>0</v>
      </c>
      <c r="AX22" s="30">
        <f t="shared" ca="1" si="7"/>
        <v>0</v>
      </c>
      <c r="AY22" s="35">
        <f ca="1">_xll.RiskBinomial(1,AX22)</f>
        <v>0</v>
      </c>
      <c r="AZ22" s="88">
        <f ca="1">IF(AY22=1,_xll.RiskBinomial(1,Prob_Illness_Given_Infection),0)</f>
        <v>0</v>
      </c>
      <c r="BB22" s="87">
        <f t="shared" ca="1" si="42"/>
        <v>8.6520124933402116E-5</v>
      </c>
      <c r="BC22" s="37">
        <f ca="1">INT(BB22) + _xll.RiskBinomial(1,BB22-INT(BB22))</f>
        <v>0</v>
      </c>
      <c r="BD22" s="30">
        <f t="shared" ca="1" si="8"/>
        <v>0</v>
      </c>
      <c r="BE22" s="35">
        <f ca="1">_xll.RiskBinomial(1,BD22)</f>
        <v>0</v>
      </c>
      <c r="BF22" s="88">
        <f ca="1">IF(BE22=1,_xll.RiskBinomial(1,Prob_Illness_Given_Infection),0)</f>
        <v>0</v>
      </c>
      <c r="BH22" s="87">
        <f t="shared" ca="1" si="43"/>
        <v>1.095406679481277E-4</v>
      </c>
      <c r="BI22" s="37">
        <f ca="1">INT(BH22) + _xll.RiskBinomial(1,BH22-INT(BH22))</f>
        <v>0</v>
      </c>
      <c r="BJ22" s="30">
        <f t="shared" ca="1" si="9"/>
        <v>0</v>
      </c>
      <c r="BK22" s="35">
        <f ca="1">_xll.RiskBinomial(1,BJ22)</f>
        <v>0</v>
      </c>
      <c r="BL22" s="88">
        <f ca="1">IF(BK22=1,_xll.RiskBinomial(1,Prob_Illness_Given_Infection),0)</f>
        <v>0</v>
      </c>
      <c r="BN22" s="87">
        <f t="shared" ca="1" si="44"/>
        <v>8.3366694284560085E-6</v>
      </c>
      <c r="BO22" s="37">
        <f ca="1">INT(BN22) + _xll.RiskBinomial(1,BN22-INT(BN22))</f>
        <v>0</v>
      </c>
      <c r="BP22" s="30">
        <f t="shared" ca="1" si="10"/>
        <v>0</v>
      </c>
      <c r="BQ22" s="35">
        <f ca="1">_xll.RiskBinomial(1,BP22)</f>
        <v>0</v>
      </c>
      <c r="BR22" s="88">
        <f ca="1">IF(BQ22=1,_xll.RiskBinomial(1,Prob_Illness_Given_Infection),0)</f>
        <v>0</v>
      </c>
      <c r="BT22" s="87">
        <f t="shared" ca="1" si="45"/>
        <v>2.5068276837159561E-5</v>
      </c>
      <c r="BU22" s="37">
        <f ca="1">INT(BT22) + _xll.RiskBinomial(1,BT22-INT(BT22))</f>
        <v>0</v>
      </c>
      <c r="BV22" s="30">
        <f t="shared" ca="1" si="11"/>
        <v>0</v>
      </c>
      <c r="BW22" s="35">
        <f ca="1">_xll.RiskBinomial(1,BV22)</f>
        <v>0</v>
      </c>
      <c r="BX22" s="88">
        <f ca="1">IF(BW22=1,_xll.RiskBinomial(1,Prob_Illness_Given_Infection),0)</f>
        <v>0</v>
      </c>
      <c r="BZ22" s="87">
        <f t="shared" ca="1" si="46"/>
        <v>6.8720597105919429E-5</v>
      </c>
      <c r="CA22" s="37">
        <f ca="1">INT(BZ22) + _xll.RiskBinomial(1,BZ22-INT(BZ22))</f>
        <v>0</v>
      </c>
      <c r="CB22" s="30">
        <f t="shared" ca="1" si="12"/>
        <v>0</v>
      </c>
      <c r="CC22" s="35">
        <f ca="1">_xll.RiskBinomial(1,CB22)</f>
        <v>0</v>
      </c>
      <c r="CD22" s="88">
        <f ca="1">IF(CC22=1,_xll.RiskBinomial(1,Prob_Illness_Given_Infection),0)</f>
        <v>0</v>
      </c>
      <c r="CF22" s="87">
        <f t="shared" ca="1" si="47"/>
        <v>1.3039045460492731E-5</v>
      </c>
      <c r="CG22" s="37">
        <f ca="1">INT(CF22) + _xll.RiskBinomial(1,CF22-INT(CF22))</f>
        <v>0</v>
      </c>
      <c r="CH22" s="30">
        <f t="shared" ca="1" si="13"/>
        <v>0</v>
      </c>
      <c r="CI22" s="35">
        <f ca="1">_xll.RiskBinomial(1,CH22)</f>
        <v>0</v>
      </c>
      <c r="CJ22" s="88">
        <f ca="1">IF(CI22=1,_xll.RiskBinomial(1,Prob_Illness_Given_Infection),0)</f>
        <v>0</v>
      </c>
      <c r="CL22" s="87">
        <f t="shared" ca="1" si="48"/>
        <v>2.5161707384633225E-5</v>
      </c>
      <c r="CM22" s="37">
        <f ca="1">INT(CL22) + _xll.RiskBinomial(1,CL22-INT(CL22))</f>
        <v>0</v>
      </c>
      <c r="CN22" s="30">
        <f t="shared" ca="1" si="14"/>
        <v>0</v>
      </c>
      <c r="CO22" s="35">
        <f ca="1">_xll.RiskBinomial(1,CN22)</f>
        <v>0</v>
      </c>
      <c r="CP22" s="88">
        <f ca="1">IF(CO22=1,_xll.RiskBinomial(1,Prob_Illness_Given_Infection),0)</f>
        <v>0</v>
      </c>
      <c r="CR22" s="87">
        <f t="shared" ca="1" si="49"/>
        <v>1.7340687162536498E-7</v>
      </c>
      <c r="CS22" s="37">
        <f ca="1">INT(CR22) + _xll.RiskBinomial(1,CR22-INT(CR22))</f>
        <v>0</v>
      </c>
      <c r="CT22" s="30">
        <f t="shared" ca="1" si="15"/>
        <v>0</v>
      </c>
      <c r="CU22" s="35">
        <f ca="1">_xll.RiskBinomial(1,CT22)</f>
        <v>0</v>
      </c>
      <c r="CV22" s="88">
        <f ca="1">IF(CU22=1,_xll.RiskBinomial(1,Prob_Illness_Given_Infection),0)</f>
        <v>0</v>
      </c>
      <c r="CX22" s="87">
        <f t="shared" ca="1" si="50"/>
        <v>1.7652622396539705E-9</v>
      </c>
      <c r="CY22" s="37">
        <f ca="1">INT(CX22) + _xll.RiskBinomial(1,CX22-INT(CX22))</f>
        <v>0</v>
      </c>
      <c r="CZ22" s="30">
        <f t="shared" ca="1" si="16"/>
        <v>0</v>
      </c>
      <c r="DA22" s="35">
        <f ca="1">_xll.RiskBinomial(1,CZ22)</f>
        <v>0</v>
      </c>
      <c r="DB22" s="88">
        <f ca="1">IF(DA22=1,_xll.RiskBinomial(1,Prob_Illness_Given_Infection),0)</f>
        <v>0</v>
      </c>
      <c r="DD22" s="87">
        <f t="shared" ca="1" si="51"/>
        <v>1.7652622396539705E-9</v>
      </c>
      <c r="DE22" s="37">
        <f ca="1">INT(DD22) + _xll.RiskBinomial(1,DD22-INT(DD22))</f>
        <v>0</v>
      </c>
      <c r="DF22" s="30">
        <f t="shared" ca="1" si="17"/>
        <v>0</v>
      </c>
      <c r="DG22" s="35">
        <f ca="1">_xll.RiskBinomial(1,DF22)</f>
        <v>0</v>
      </c>
      <c r="DH22" s="88">
        <f ca="1">IF(DG22=1,_xll.RiskBinomial(1,Prob_Illness_Given_Infection),0)</f>
        <v>0</v>
      </c>
      <c r="DJ22" s="87">
        <f t="shared" ca="1" si="52"/>
        <v>2.8824283021467473E-6</v>
      </c>
      <c r="DK22" s="37">
        <f ca="1">INT(DJ22) + _xll.RiskBinomial(1,DJ22-INT(DJ22))</f>
        <v>0</v>
      </c>
      <c r="DL22" s="30">
        <f t="shared" ca="1" si="18"/>
        <v>0</v>
      </c>
      <c r="DM22" s="35">
        <f ca="1">_xll.RiskBinomial(1,DL22)</f>
        <v>0</v>
      </c>
      <c r="DN22" s="88">
        <f ca="1">IF(DM22=1,_xll.RiskBinomial(1,Prob_Illness_Given_Infection),0)</f>
        <v>0</v>
      </c>
      <c r="DP22" s="87">
        <f t="shared" ca="1" si="53"/>
        <v>6.8139119513947228E-10</v>
      </c>
      <c r="DQ22" s="37">
        <f ca="1">INT(DP22) + _xll.RiskBinomial(1,DP22-INT(DP22))</f>
        <v>0</v>
      </c>
      <c r="DR22" s="30">
        <f t="shared" ca="1" si="19"/>
        <v>0</v>
      </c>
      <c r="DS22" s="35">
        <f ca="1">_xll.RiskBinomial(1,DR22)</f>
        <v>0</v>
      </c>
      <c r="DT22" s="88">
        <f ca="1">IF(DS22=1,_xll.RiskBinomial(1,Prob_Illness_Given_Infection),0)</f>
        <v>0</v>
      </c>
      <c r="DV22" s="87">
        <f t="shared" ca="1" si="54"/>
        <v>9.5926659048145051E-9</v>
      </c>
      <c r="DW22" s="37">
        <f ca="1">INT(DV22) + _xll.RiskBinomial(1,DV22-INT(DV22))</f>
        <v>0</v>
      </c>
      <c r="DX22" s="30">
        <f t="shared" ca="1" si="20"/>
        <v>0</v>
      </c>
      <c r="DY22" s="35">
        <f ca="1">_xll.RiskBinomial(1,DX22)</f>
        <v>0</v>
      </c>
      <c r="DZ22" s="88">
        <f ca="1">IF(DY22=1,_xll.RiskBinomial(1,Prob_Illness_Given_Infection),0)</f>
        <v>0</v>
      </c>
      <c r="EB22" s="87">
        <f t="shared" ca="1" si="55"/>
        <v>2.4071107922978966E-12</v>
      </c>
      <c r="EC22" s="37">
        <f ca="1">INT(EB22) + _xll.RiskBinomial(1,EB22-INT(EB22))</f>
        <v>0</v>
      </c>
      <c r="ED22" s="30">
        <f t="shared" ca="1" si="21"/>
        <v>0</v>
      </c>
      <c r="EE22" s="35">
        <f ca="1">_xll.RiskBinomial(1,ED22)</f>
        <v>0</v>
      </c>
      <c r="EF22" s="88">
        <f ca="1">IF(EE22=1,_xll.RiskBinomial(1,Prob_Illness_Given_Infection),0)</f>
        <v>0</v>
      </c>
      <c r="EH22" s="87">
        <f t="shared" ca="1" si="56"/>
        <v>2.407110792295422E-12</v>
      </c>
      <c r="EI22" s="37">
        <f ca="1">INT(EH22) + _xll.RiskBinomial(1,EH22-INT(EH22))</f>
        <v>0</v>
      </c>
      <c r="EJ22" s="30">
        <f t="shared" ca="1" si="22"/>
        <v>0</v>
      </c>
      <c r="EK22" s="35">
        <f ca="1">_xll.RiskBinomial(1,EJ22)</f>
        <v>0</v>
      </c>
      <c r="EL22" s="88">
        <f ca="1">IF(EK22=1,_xll.RiskBinomial(1,Prob_Illness_Given_Infection),0)</f>
        <v>0</v>
      </c>
      <c r="EN22" s="87">
        <f t="shared" ca="1" si="57"/>
        <v>2.1963432736420666E-10</v>
      </c>
      <c r="EO22" s="37">
        <f ca="1">INT(EN22) + _xll.RiskBinomial(1,EN22-INT(EN22))</f>
        <v>0</v>
      </c>
      <c r="EP22" s="30">
        <f t="shared" ca="1" si="23"/>
        <v>0</v>
      </c>
      <c r="EQ22" s="35">
        <f ca="1">_xll.RiskBinomial(1,EP22)</f>
        <v>0</v>
      </c>
      <c r="ER22" s="88">
        <f ca="1">IF(EQ22=1,_xll.RiskBinomial(1,Prob_Illness_Given_Infection),0)</f>
        <v>0</v>
      </c>
      <c r="ET22" s="87">
        <f t="shared" ca="1" si="58"/>
        <v>2.4071107922931266E-12</v>
      </c>
      <c r="EU22" s="37">
        <f ca="1">INT(ET22) + _xll.RiskBinomial(1,ET22-INT(ET22))</f>
        <v>0</v>
      </c>
      <c r="EV22" s="30">
        <f t="shared" ca="1" si="24"/>
        <v>0</v>
      </c>
      <c r="EW22" s="35">
        <f ca="1">_xll.RiskBinomial(1,EV22)</f>
        <v>0</v>
      </c>
      <c r="EX22" s="88">
        <f ca="1">IF(EW22=1,_xll.RiskBinomial(1,Prob_Illness_Given_Infection),0)</f>
        <v>0</v>
      </c>
      <c r="EZ22" s="87">
        <f t="shared" ca="1" si="59"/>
        <v>1.8154919327598229E-5</v>
      </c>
      <c r="FA22" s="37">
        <f ca="1">INT(EZ22) + _xll.RiskBinomial(1,EZ22-INT(EZ22))</f>
        <v>0</v>
      </c>
      <c r="FB22" s="30">
        <f t="shared" ca="1" si="25"/>
        <v>0</v>
      </c>
      <c r="FC22" s="35">
        <f ca="1">_xll.RiskBinomial(1,FB22)</f>
        <v>0</v>
      </c>
      <c r="FD22" s="88">
        <f ca="1">IF(FC22=1,_xll.RiskBinomial(1,Prob_Illness_Given_Infection),0)</f>
        <v>0</v>
      </c>
      <c r="FF22" s="87">
        <f t="shared" ca="1" si="60"/>
        <v>1.2646512723814258E-4</v>
      </c>
      <c r="FG22" s="37">
        <f ca="1">INT(FF22) + _xll.RiskBinomial(1,FF22-INT(FF22))</f>
        <v>0</v>
      </c>
      <c r="FH22" s="30">
        <f t="shared" ca="1" si="26"/>
        <v>0</v>
      </c>
      <c r="FI22" s="35">
        <f ca="1">_xll.RiskBinomial(1,FH22)</f>
        <v>0</v>
      </c>
      <c r="FJ22" s="88">
        <f ca="1">IF(FI22=1,_xll.RiskBinomial(1,Prob_Illness_Given_Infection),0)</f>
        <v>0</v>
      </c>
      <c r="FL22" s="87" t="e">
        <f t="shared" ca="1" si="61"/>
        <v>#NAME?</v>
      </c>
      <c r="FM22" s="37" t="e">
        <f ca="1">INT(FL22) + _xll.RiskBinomial(1,FL22-INT(FL22))</f>
        <v>#NAME?</v>
      </c>
      <c r="FN22" s="30" t="e">
        <f t="shared" ca="1" si="27"/>
        <v>#NAME?</v>
      </c>
      <c r="FO22" s="35" t="e">
        <f ca="1">_xll.RiskBinomial(1,FN22)</f>
        <v>#VALUE!</v>
      </c>
      <c r="FP22" s="88" t="e">
        <f ca="1">IF(FO22=1,_xll.RiskBinomial(1,Prob_Illness_Given_Infection),0)</f>
        <v>#VALUE!</v>
      </c>
      <c r="FR22" s="87" t="e">
        <f t="shared" ca="1" si="62"/>
        <v>#NAME?</v>
      </c>
      <c r="FS22" s="37" t="e">
        <f ca="1">INT(FR22) + _xll.RiskBinomial(1,FR22-INT(FR22))</f>
        <v>#NAME?</v>
      </c>
      <c r="FT22" s="30" t="e">
        <f t="shared" ca="1" si="28"/>
        <v>#NAME?</v>
      </c>
      <c r="FU22" s="35" t="e">
        <f ca="1">_xll.RiskBinomial(1,FT22)</f>
        <v>#VALUE!</v>
      </c>
      <c r="FV22" s="88" t="e">
        <f ca="1">IF(FU22=1,_xll.RiskBinomial(1,Prob_Illness_Given_Infection),0)</f>
        <v>#VALUE!</v>
      </c>
      <c r="FX22" s="87">
        <f t="shared" ca="1" si="63"/>
        <v>2.5413482731923565E-7</v>
      </c>
      <c r="FY22" s="37">
        <f ca="1">INT(FX22) + _xll.RiskBinomial(1,FX22-INT(FX22))</f>
        <v>0</v>
      </c>
      <c r="FZ22" s="30">
        <f t="shared" ca="1" si="29"/>
        <v>0</v>
      </c>
      <c r="GA22" s="35">
        <f ca="1">_xll.RiskBinomial(1,FZ22)</f>
        <v>0</v>
      </c>
      <c r="GB22" s="88">
        <f ca="1">IF(GA22=1,_xll.RiskBinomial(1,Prob_Illness_Given_Infection),0)</f>
        <v>0</v>
      </c>
      <c r="GD22" s="87" t="e">
        <f t="shared" ca="1" si="64"/>
        <v>#NAME?</v>
      </c>
      <c r="GE22" s="37" t="e">
        <f ca="1">INT(GD22) + _xll.RiskBinomial(1,GD22-INT(GD22))</f>
        <v>#NAME?</v>
      </c>
      <c r="GF22" s="30" t="e">
        <f t="shared" ca="1" si="30"/>
        <v>#NAME?</v>
      </c>
      <c r="GG22" s="35" t="e">
        <f ca="1">_xll.RiskBinomial(1,GF22)</f>
        <v>#VALUE!</v>
      </c>
      <c r="GH22" s="88" t="e">
        <f ca="1">IF(GG22=1,_xll.RiskBinomial(1,Prob_Illness_Given_Infection),0)</f>
        <v>#VALUE!</v>
      </c>
      <c r="GJ22" s="87" t="e">
        <f t="shared" ca="1" si="65"/>
        <v>#NAME?</v>
      </c>
      <c r="GK22" s="37" t="e">
        <f ca="1">INT(GJ22) + _xll.RiskBinomial(1,GJ22-INT(GJ22))</f>
        <v>#NAME?</v>
      </c>
      <c r="GL22" s="30" t="e">
        <f t="shared" ca="1" si="31"/>
        <v>#NAME?</v>
      </c>
      <c r="GM22" s="35" t="e">
        <f ca="1">_xll.RiskBinomial(1,GL22)</f>
        <v>#VALUE!</v>
      </c>
      <c r="GN22" s="88" t="e">
        <f ca="1">IF(GM22=1,_xll.RiskBinomial(1,Prob_Illness_Given_Infection),0)</f>
        <v>#VALUE!</v>
      </c>
      <c r="GP22" s="87" t="e">
        <f t="shared" ca="1" si="66"/>
        <v>#NAME?</v>
      </c>
      <c r="GQ22" s="37" t="e">
        <f ca="1">INT(GP22) + _xll.RiskBinomial(1,GP22-INT(GP22))</f>
        <v>#NAME?</v>
      </c>
      <c r="GR22" s="30" t="e">
        <f t="shared" ca="1" si="32"/>
        <v>#NAME?</v>
      </c>
      <c r="GS22" s="35" t="e">
        <f ca="1">_xll.RiskBinomial(1,GR22)</f>
        <v>#VALUE!</v>
      </c>
      <c r="GT22" s="88" t="e">
        <f ca="1">IF(GS22=1,_xll.RiskBinomial(1,Prob_Illness_Given_Infection),0)</f>
        <v>#VALUE!</v>
      </c>
    </row>
    <row r="23" spans="2:202">
      <c r="B23" s="108">
        <v>15</v>
      </c>
      <c r="C23" s="87">
        <f ca="1">_xll.RiskLoglogistic(LogLogistic_gamma, LogLogistic_beta, LogLogistic_alpha, _xll.RiskTruncate(5,800))</f>
        <v>11.336894009418335</v>
      </c>
      <c r="D23" s="38">
        <f t="shared" ca="1" si="33"/>
        <v>0.72830063339431994</v>
      </c>
      <c r="E23" s="30"/>
      <c r="F23" s="87">
        <f t="shared" ca="1" si="34"/>
        <v>2.6294507154669454E-10</v>
      </c>
      <c r="G23" s="37">
        <f ca="1">INT(F23) + _xll.RiskBinomial(1,F23-INT(F23))</f>
        <v>0</v>
      </c>
      <c r="H23" s="30">
        <f t="shared" ca="1" si="0"/>
        <v>0</v>
      </c>
      <c r="I23" s="35">
        <f ca="1">_xll.RiskBinomial(1,H23)</f>
        <v>0</v>
      </c>
      <c r="J23" s="88">
        <f ca="1">IF(I23=1,_xll.RiskBinomial(1,Prob_Illness_Given_Infection),0)</f>
        <v>0</v>
      </c>
      <c r="K23" s="30"/>
      <c r="L23" s="87">
        <f t="shared" ca="1" si="35"/>
        <v>1.3430549118197036E-5</v>
      </c>
      <c r="M23" s="37">
        <f ca="1">INT(L23) + _xll.RiskBinomial(1,L23-INT(L23))</f>
        <v>0</v>
      </c>
      <c r="N23" s="30">
        <f t="shared" ca="1" si="1"/>
        <v>0</v>
      </c>
      <c r="O23" s="35">
        <f ca="1">_xll.RiskBinomial(1,N23)</f>
        <v>0</v>
      </c>
      <c r="P23" s="88">
        <f ca="1">IF(O23=1,_xll.RiskBinomial(1,Prob_Illness_Given_Infection),0)</f>
        <v>0</v>
      </c>
      <c r="Q23" s="30"/>
      <c r="R23" s="87">
        <f t="shared" ca="1" si="36"/>
        <v>1.3883933752223101E-6</v>
      </c>
      <c r="S23" s="37">
        <f ca="1">INT(R23) + _xll.RiskBinomial(1,R23-INT(R23))</f>
        <v>0</v>
      </c>
      <c r="T23" s="30">
        <f t="shared" ca="1" si="2"/>
        <v>0</v>
      </c>
      <c r="U23" s="35">
        <f ca="1">_xll.RiskBinomial(1,T23)</f>
        <v>0</v>
      </c>
      <c r="V23" s="88">
        <f ca="1">IF(U23=1,_xll.RiskBinomial(1,Prob_Illness_Given_Infection),0)</f>
        <v>0</v>
      </c>
      <c r="W23" s="30"/>
      <c r="X23" s="87">
        <f t="shared" ca="1" si="37"/>
        <v>5.7038817192900465E-13</v>
      </c>
      <c r="Y23" s="37">
        <f ca="1">INT(X23) + _xll.RiskBinomial(1,X23-INT(X23))</f>
        <v>0</v>
      </c>
      <c r="Z23" s="30">
        <f t="shared" ca="1" si="3"/>
        <v>0</v>
      </c>
      <c r="AA23" s="35">
        <f ca="1">_xll.RiskBinomial(1,Z23)</f>
        <v>0</v>
      </c>
      <c r="AB23" s="88">
        <f ca="1">IF(AA23=1,_xll.RiskBinomial(1,Prob_Illness_Given_Infection),0)</f>
        <v>0</v>
      </c>
      <c r="AC23" s="30"/>
      <c r="AD23" s="87">
        <f t="shared" ca="1" si="38"/>
        <v>2.8737166289302107E-13</v>
      </c>
      <c r="AE23" s="37">
        <f ca="1">INT(AD23) + _xll.RiskBinomial(1,AD23-INT(AD23))</f>
        <v>0</v>
      </c>
      <c r="AF23" s="30">
        <f t="shared" ca="1" si="4"/>
        <v>0</v>
      </c>
      <c r="AG23" s="35">
        <f ca="1">_xll.RiskBinomial(1,AF23)</f>
        <v>0</v>
      </c>
      <c r="AH23" s="88">
        <f ca="1">IF(AG23=1,_xll.RiskBinomial(1,Prob_Illness_Given_Infection),0)</f>
        <v>0</v>
      </c>
      <c r="AI23" s="30"/>
      <c r="AJ23" s="87">
        <f t="shared" ca="1" si="39"/>
        <v>1.3339052015251514E-5</v>
      </c>
      <c r="AK23" s="37">
        <f ca="1">INT(AJ23) + _xll.RiskBinomial(1,AJ23-INT(AJ23))</f>
        <v>0</v>
      </c>
      <c r="AL23" s="30">
        <f t="shared" ca="1" si="5"/>
        <v>0</v>
      </c>
      <c r="AM23" s="35">
        <f ca="1">_xll.RiskBinomial(1,AL23)</f>
        <v>0</v>
      </c>
      <c r="AN23" s="88">
        <f ca="1">IF(AM23=1,_xll.RiskBinomial(1,Prob_Illness_Given_Infection),0)</f>
        <v>0</v>
      </c>
      <c r="AO23" s="30"/>
      <c r="AP23" s="87">
        <f t="shared" ca="1" si="40"/>
        <v>3.243928553595323E-10</v>
      </c>
      <c r="AQ23" s="37">
        <f ca="1">INT(AP23) + _xll.RiskBinomial(1,AP23-INT(AP23))</f>
        <v>0</v>
      </c>
      <c r="AR23" s="30">
        <f t="shared" ca="1" si="6"/>
        <v>0</v>
      </c>
      <c r="AS23" s="35">
        <f ca="1">_xll.RiskBinomial(1,AR23)</f>
        <v>0</v>
      </c>
      <c r="AT23" s="88">
        <f ca="1">IF(AS23=1,_xll.RiskBinomial(1,Prob_Illness_Given_Infection),0)</f>
        <v>0</v>
      </c>
      <c r="AU23" s="30"/>
      <c r="AV23" s="87">
        <f t="shared" ca="1" si="41"/>
        <v>7.525745369950384E-6</v>
      </c>
      <c r="AW23" s="37">
        <f ca="1">INT(AV23) + _xll.RiskBinomial(1,AV23-INT(AV23))</f>
        <v>0</v>
      </c>
      <c r="AX23" s="30">
        <f t="shared" ca="1" si="7"/>
        <v>0</v>
      </c>
      <c r="AY23" s="35">
        <f ca="1">_xll.RiskBinomial(1,AX23)</f>
        <v>0</v>
      </c>
      <c r="AZ23" s="88">
        <f ca="1">IF(AY23=1,_xll.RiskBinomial(1,Prob_Illness_Given_Infection),0)</f>
        <v>0</v>
      </c>
      <c r="BB23" s="87">
        <f t="shared" ca="1" si="42"/>
        <v>1.0329159860597862E-5</v>
      </c>
      <c r="BC23" s="37">
        <f ca="1">INT(BB23) + _xll.RiskBinomial(1,BB23-INT(BB23))</f>
        <v>0</v>
      </c>
      <c r="BD23" s="30">
        <f t="shared" ca="1" si="8"/>
        <v>0</v>
      </c>
      <c r="BE23" s="35">
        <f ca="1">_xll.RiskBinomial(1,BD23)</f>
        <v>0</v>
      </c>
      <c r="BF23" s="88">
        <f ca="1">IF(BE23=1,_xll.RiskBinomial(1,Prob_Illness_Given_Infection),0)</f>
        <v>0</v>
      </c>
      <c r="BH23" s="87">
        <f t="shared" ca="1" si="43"/>
        <v>1.3077455347455986E-5</v>
      </c>
      <c r="BI23" s="37">
        <f ca="1">INT(BH23) + _xll.RiskBinomial(1,BH23-INT(BH23))</f>
        <v>0</v>
      </c>
      <c r="BJ23" s="30">
        <f t="shared" ca="1" si="9"/>
        <v>0</v>
      </c>
      <c r="BK23" s="35">
        <f ca="1">_xll.RiskBinomial(1,BJ23)</f>
        <v>0</v>
      </c>
      <c r="BL23" s="88">
        <f ca="1">IF(BK23=1,_xll.RiskBinomial(1,Prob_Illness_Given_Infection),0)</f>
        <v>0</v>
      </c>
      <c r="BN23" s="87">
        <f t="shared" ca="1" si="44"/>
        <v>9.9526891919959594E-7</v>
      </c>
      <c r="BO23" s="37">
        <f ca="1">INT(BN23) + _xll.RiskBinomial(1,BN23-INT(BN23))</f>
        <v>0</v>
      </c>
      <c r="BP23" s="30">
        <f t="shared" ca="1" si="10"/>
        <v>0</v>
      </c>
      <c r="BQ23" s="35">
        <f ca="1">_xll.RiskBinomial(1,BP23)</f>
        <v>0</v>
      </c>
      <c r="BR23" s="88">
        <f ca="1">IF(BQ23=1,_xll.RiskBinomial(1,Prob_Illness_Given_Infection),0)</f>
        <v>0</v>
      </c>
      <c r="BT23" s="87">
        <f t="shared" ca="1" si="45"/>
        <v>2.9927631181769022E-6</v>
      </c>
      <c r="BU23" s="37">
        <f ca="1">INT(BT23) + _xll.RiskBinomial(1,BT23-INT(BT23))</f>
        <v>0</v>
      </c>
      <c r="BV23" s="30">
        <f t="shared" ca="1" si="11"/>
        <v>0</v>
      </c>
      <c r="BW23" s="35">
        <f ca="1">_xll.RiskBinomial(1,BV23)</f>
        <v>0</v>
      </c>
      <c r="BX23" s="88">
        <f ca="1">IF(BW23=1,_xll.RiskBinomial(1,Prob_Illness_Given_Infection),0)</f>
        <v>0</v>
      </c>
      <c r="BZ23" s="87">
        <f t="shared" ca="1" si="46"/>
        <v>8.2041725410031607E-6</v>
      </c>
      <c r="CA23" s="37">
        <f ca="1">INT(BZ23) + _xll.RiskBinomial(1,BZ23-INT(BZ23))</f>
        <v>0</v>
      </c>
      <c r="CB23" s="30">
        <f t="shared" ca="1" si="12"/>
        <v>0</v>
      </c>
      <c r="CC23" s="35">
        <f ca="1">_xll.RiskBinomial(1,CB23)</f>
        <v>0</v>
      </c>
      <c r="CD23" s="88">
        <f ca="1">IF(CC23=1,_xll.RiskBinomial(1,Prob_Illness_Given_Infection),0)</f>
        <v>0</v>
      </c>
      <c r="CF23" s="87">
        <f t="shared" ca="1" si="47"/>
        <v>1.5566596221942875E-6</v>
      </c>
      <c r="CG23" s="37">
        <f ca="1">INT(CF23) + _xll.RiskBinomial(1,CF23-INT(CF23))</f>
        <v>0</v>
      </c>
      <c r="CH23" s="30">
        <f t="shared" ca="1" si="13"/>
        <v>0</v>
      </c>
      <c r="CI23" s="35">
        <f ca="1">_xll.RiskBinomial(1,CH23)</f>
        <v>0</v>
      </c>
      <c r="CJ23" s="88">
        <f ca="1">IF(CI23=1,_xll.RiskBinomial(1,Prob_Illness_Given_Infection),0)</f>
        <v>0</v>
      </c>
      <c r="CL23" s="87">
        <f t="shared" ca="1" si="48"/>
        <v>3.003917275217955E-6</v>
      </c>
      <c r="CM23" s="37">
        <f ca="1">INT(CL23) + _xll.RiskBinomial(1,CL23-INT(CL23))</f>
        <v>0</v>
      </c>
      <c r="CN23" s="30">
        <f t="shared" ca="1" si="14"/>
        <v>0</v>
      </c>
      <c r="CO23" s="35">
        <f ca="1">_xll.RiskBinomial(1,CN23)</f>
        <v>0</v>
      </c>
      <c r="CP23" s="88">
        <f ca="1">IF(CO23=1,_xll.RiskBinomial(1,Prob_Illness_Given_Infection),0)</f>
        <v>0</v>
      </c>
      <c r="CR23" s="87">
        <f t="shared" ca="1" si="49"/>
        <v>2.0702088668079036E-8</v>
      </c>
      <c r="CS23" s="37">
        <f ca="1">INT(CR23) + _xll.RiskBinomial(1,CR23-INT(CR23))</f>
        <v>0</v>
      </c>
      <c r="CT23" s="30">
        <f t="shared" ca="1" si="15"/>
        <v>0</v>
      </c>
      <c r="CU23" s="35">
        <f ca="1">_xll.RiskBinomial(1,CT23)</f>
        <v>0</v>
      </c>
      <c r="CV23" s="88">
        <f ca="1">IF(CU23=1,_xll.RiskBinomial(1,Prob_Illness_Given_Infection),0)</f>
        <v>0</v>
      </c>
      <c r="CX23" s="87">
        <f t="shared" ca="1" si="50"/>
        <v>2.1074490915608412E-10</v>
      </c>
      <c r="CY23" s="37">
        <f ca="1">INT(CX23) + _xll.RiskBinomial(1,CX23-INT(CX23))</f>
        <v>0</v>
      </c>
      <c r="CZ23" s="30">
        <f t="shared" ca="1" si="16"/>
        <v>0</v>
      </c>
      <c r="DA23" s="35">
        <f ca="1">_xll.RiskBinomial(1,CZ23)</f>
        <v>0</v>
      </c>
      <c r="DB23" s="88">
        <f ca="1">IF(DA23=1,_xll.RiskBinomial(1,Prob_Illness_Given_Infection),0)</f>
        <v>0</v>
      </c>
      <c r="DD23" s="87">
        <f t="shared" ca="1" si="51"/>
        <v>2.1074490915608412E-10</v>
      </c>
      <c r="DE23" s="37">
        <f ca="1">INT(DD23) + _xll.RiskBinomial(1,DD23-INT(DD23))</f>
        <v>0</v>
      </c>
      <c r="DF23" s="30">
        <f t="shared" ca="1" si="17"/>
        <v>0</v>
      </c>
      <c r="DG23" s="35">
        <f ca="1">_xll.RiskBinomial(1,DF23)</f>
        <v>0</v>
      </c>
      <c r="DH23" s="88">
        <f ca="1">IF(DG23=1,_xll.RiskBinomial(1,Prob_Illness_Given_Infection),0)</f>
        <v>0</v>
      </c>
      <c r="DJ23" s="87">
        <f t="shared" ca="1" si="52"/>
        <v>3.4411719519016999E-7</v>
      </c>
      <c r="DK23" s="37">
        <f ca="1">INT(DJ23) + _xll.RiskBinomial(1,DJ23-INT(DJ23))</f>
        <v>0</v>
      </c>
      <c r="DL23" s="30">
        <f t="shared" ca="1" si="18"/>
        <v>0</v>
      </c>
      <c r="DM23" s="35">
        <f ca="1">_xll.RiskBinomial(1,DL23)</f>
        <v>0</v>
      </c>
      <c r="DN23" s="88">
        <f ca="1">IF(DM23=1,_xll.RiskBinomial(1,Prob_Illness_Given_Infection),0)</f>
        <v>0</v>
      </c>
      <c r="DP23" s="87">
        <f t="shared" ca="1" si="53"/>
        <v>8.1347531428289266E-11</v>
      </c>
      <c r="DQ23" s="37">
        <f ca="1">INT(DP23) + _xll.RiskBinomial(1,DP23-INT(DP23))</f>
        <v>0</v>
      </c>
      <c r="DR23" s="30">
        <f t="shared" ca="1" si="19"/>
        <v>0</v>
      </c>
      <c r="DS23" s="35">
        <f ca="1">_xll.RiskBinomial(1,DR23)</f>
        <v>0</v>
      </c>
      <c r="DT23" s="88">
        <f ca="1">IF(DS23=1,_xll.RiskBinomial(1,Prob_Illness_Given_Infection),0)</f>
        <v>0</v>
      </c>
      <c r="DV23" s="87">
        <f t="shared" ca="1" si="54"/>
        <v>1.1452154015774317E-9</v>
      </c>
      <c r="DW23" s="37">
        <f ca="1">INT(DV23) + _xll.RiskBinomial(1,DV23-INT(DV23))</f>
        <v>0</v>
      </c>
      <c r="DX23" s="30">
        <f t="shared" ca="1" si="20"/>
        <v>0</v>
      </c>
      <c r="DY23" s="35">
        <f ca="1">_xll.RiskBinomial(1,DX23)</f>
        <v>0</v>
      </c>
      <c r="DZ23" s="88">
        <f ca="1">IF(DY23=1,_xll.RiskBinomial(1,Prob_Illness_Given_Infection),0)</f>
        <v>0</v>
      </c>
      <c r="EB23" s="87">
        <f t="shared" ca="1" si="55"/>
        <v>2.8737166289292459E-13</v>
      </c>
      <c r="EC23" s="37">
        <f ca="1">INT(EB23) + _xll.RiskBinomial(1,EB23-INT(EB23))</f>
        <v>0</v>
      </c>
      <c r="ED23" s="30">
        <f t="shared" ca="1" si="21"/>
        <v>0</v>
      </c>
      <c r="EE23" s="35">
        <f ca="1">_xll.RiskBinomial(1,ED23)</f>
        <v>0</v>
      </c>
      <c r="EF23" s="88">
        <f ca="1">IF(EE23=1,_xll.RiskBinomial(1,Prob_Illness_Given_Infection),0)</f>
        <v>0</v>
      </c>
      <c r="EH23" s="87">
        <f t="shared" ca="1" si="56"/>
        <v>2.8737166289262919E-13</v>
      </c>
      <c r="EI23" s="37">
        <f ca="1">INT(EH23) + _xll.RiskBinomial(1,EH23-INT(EH23))</f>
        <v>0</v>
      </c>
      <c r="EJ23" s="30">
        <f t="shared" ca="1" si="22"/>
        <v>0</v>
      </c>
      <c r="EK23" s="35">
        <f ca="1">_xll.RiskBinomial(1,EJ23)</f>
        <v>0</v>
      </c>
      <c r="EL23" s="88">
        <f ca="1">IF(EK23=1,_xll.RiskBinomial(1,Prob_Illness_Given_Infection),0)</f>
        <v>0</v>
      </c>
      <c r="EN23" s="87">
        <f t="shared" ca="1" si="57"/>
        <v>2.6220929292069707E-11</v>
      </c>
      <c r="EO23" s="37">
        <f ca="1">INT(EN23) + _xll.RiskBinomial(1,EN23-INT(EN23))</f>
        <v>0</v>
      </c>
      <c r="EP23" s="30">
        <f t="shared" ca="1" si="23"/>
        <v>0</v>
      </c>
      <c r="EQ23" s="35">
        <f ca="1">_xll.RiskBinomial(1,EP23)</f>
        <v>0</v>
      </c>
      <c r="ER23" s="88">
        <f ca="1">IF(EQ23=1,_xll.RiskBinomial(1,Prob_Illness_Given_Infection),0)</f>
        <v>0</v>
      </c>
      <c r="ET23" s="87">
        <f t="shared" ca="1" si="58"/>
        <v>2.873716628923551E-13</v>
      </c>
      <c r="EU23" s="37">
        <f ca="1">INT(ET23) + _xll.RiskBinomial(1,ET23-INT(ET23))</f>
        <v>0</v>
      </c>
      <c r="EV23" s="30">
        <f t="shared" ca="1" si="24"/>
        <v>0</v>
      </c>
      <c r="EW23" s="35">
        <f ca="1">_xll.RiskBinomial(1,EV23)</f>
        <v>0</v>
      </c>
      <c r="EX23" s="88">
        <f ca="1">IF(EW23=1,_xll.RiskBinomial(1,Prob_Illness_Given_Infection),0)</f>
        <v>0</v>
      </c>
      <c r="EZ23" s="87">
        <f t="shared" ca="1" si="59"/>
        <v>2.1674155479475469E-6</v>
      </c>
      <c r="FA23" s="37">
        <f ca="1">INT(EZ23) + _xll.RiskBinomial(1,EZ23-INT(EZ23))</f>
        <v>0</v>
      </c>
      <c r="FB23" s="30">
        <f t="shared" ca="1" si="25"/>
        <v>0</v>
      </c>
      <c r="FC23" s="35">
        <f ca="1">_xll.RiskBinomial(1,FB23)</f>
        <v>0</v>
      </c>
      <c r="FD23" s="88">
        <f ca="1">IF(FC23=1,_xll.RiskBinomial(1,Prob_Illness_Given_Infection),0)</f>
        <v>0</v>
      </c>
      <c r="FF23" s="87">
        <f t="shared" ca="1" si="60"/>
        <v>1.5097973067411965E-5</v>
      </c>
      <c r="FG23" s="37">
        <f ca="1">INT(FF23) + _xll.RiskBinomial(1,FF23-INT(FF23))</f>
        <v>0</v>
      </c>
      <c r="FH23" s="30">
        <f t="shared" ca="1" si="26"/>
        <v>0</v>
      </c>
      <c r="FI23" s="35">
        <f ca="1">_xll.RiskBinomial(1,FH23)</f>
        <v>0</v>
      </c>
      <c r="FJ23" s="88">
        <f ca="1">IF(FI23=1,_xll.RiskBinomial(1,Prob_Illness_Given_Infection),0)</f>
        <v>0</v>
      </c>
      <c r="FL23" s="87" t="e">
        <f t="shared" ca="1" si="61"/>
        <v>#NAME?</v>
      </c>
      <c r="FM23" s="37" t="e">
        <f ca="1">INT(FL23) + _xll.RiskBinomial(1,FL23-INT(FL23))</f>
        <v>#NAME?</v>
      </c>
      <c r="FN23" s="30" t="e">
        <f t="shared" ca="1" si="27"/>
        <v>#NAME?</v>
      </c>
      <c r="FO23" s="35" t="e">
        <f ca="1">_xll.RiskBinomial(1,FN23)</f>
        <v>#VALUE!</v>
      </c>
      <c r="FP23" s="88" t="e">
        <f ca="1">IF(FO23=1,_xll.RiskBinomial(1,Prob_Illness_Given_Infection),0)</f>
        <v>#VALUE!</v>
      </c>
      <c r="FR23" s="87" t="e">
        <f t="shared" ca="1" si="62"/>
        <v>#NAME?</v>
      </c>
      <c r="FS23" s="37" t="e">
        <f ca="1">INT(FR23) + _xll.RiskBinomial(1,FR23-INT(FR23))</f>
        <v>#NAME?</v>
      </c>
      <c r="FT23" s="30" t="e">
        <f t="shared" ca="1" si="28"/>
        <v>#NAME?</v>
      </c>
      <c r="FU23" s="35" t="e">
        <f ca="1">_xll.RiskBinomial(1,FT23)</f>
        <v>#VALUE!</v>
      </c>
      <c r="FV23" s="88" t="e">
        <f ca="1">IF(FU23=1,_xll.RiskBinomial(1,Prob_Illness_Given_Infection),0)</f>
        <v>#VALUE!</v>
      </c>
      <c r="FX23" s="87">
        <f t="shared" ca="1" si="63"/>
        <v>3.0339753433624624E-8</v>
      </c>
      <c r="FY23" s="37">
        <f ca="1">INT(FX23) + _xll.RiskBinomial(1,FX23-INT(FX23))</f>
        <v>0</v>
      </c>
      <c r="FZ23" s="30">
        <f t="shared" ca="1" si="29"/>
        <v>0</v>
      </c>
      <c r="GA23" s="35">
        <f ca="1">_xll.RiskBinomial(1,FZ23)</f>
        <v>0</v>
      </c>
      <c r="GB23" s="88">
        <f ca="1">IF(GA23=1,_xll.RiskBinomial(1,Prob_Illness_Given_Infection),0)</f>
        <v>0</v>
      </c>
      <c r="GD23" s="87" t="e">
        <f t="shared" ca="1" si="64"/>
        <v>#NAME?</v>
      </c>
      <c r="GE23" s="37" t="e">
        <f ca="1">INT(GD23) + _xll.RiskBinomial(1,GD23-INT(GD23))</f>
        <v>#NAME?</v>
      </c>
      <c r="GF23" s="30" t="e">
        <f t="shared" ca="1" si="30"/>
        <v>#NAME?</v>
      </c>
      <c r="GG23" s="35" t="e">
        <f ca="1">_xll.RiskBinomial(1,GF23)</f>
        <v>#VALUE!</v>
      </c>
      <c r="GH23" s="88" t="e">
        <f ca="1">IF(GG23=1,_xll.RiskBinomial(1,Prob_Illness_Given_Infection),0)</f>
        <v>#VALUE!</v>
      </c>
      <c r="GJ23" s="87" t="e">
        <f t="shared" ca="1" si="65"/>
        <v>#NAME?</v>
      </c>
      <c r="GK23" s="37" t="e">
        <f ca="1">INT(GJ23) + _xll.RiskBinomial(1,GJ23-INT(GJ23))</f>
        <v>#NAME?</v>
      </c>
      <c r="GL23" s="30" t="e">
        <f t="shared" ca="1" si="31"/>
        <v>#NAME?</v>
      </c>
      <c r="GM23" s="35" t="e">
        <f ca="1">_xll.RiskBinomial(1,GL23)</f>
        <v>#VALUE!</v>
      </c>
      <c r="GN23" s="88" t="e">
        <f ca="1">IF(GM23=1,_xll.RiskBinomial(1,Prob_Illness_Given_Infection),0)</f>
        <v>#VALUE!</v>
      </c>
      <c r="GP23" s="87" t="e">
        <f t="shared" ca="1" si="66"/>
        <v>#NAME?</v>
      </c>
      <c r="GQ23" s="37" t="e">
        <f ca="1">INT(GP23) + _xll.RiskBinomial(1,GP23-INT(GP23))</f>
        <v>#NAME?</v>
      </c>
      <c r="GR23" s="30" t="e">
        <f t="shared" ca="1" si="32"/>
        <v>#NAME?</v>
      </c>
      <c r="GS23" s="35" t="e">
        <f ca="1">_xll.RiskBinomial(1,GR23)</f>
        <v>#VALUE!</v>
      </c>
      <c r="GT23" s="88" t="e">
        <f ca="1">IF(GS23=1,_xll.RiskBinomial(1,Prob_Illness_Given_Infection),0)</f>
        <v>#VALUE!</v>
      </c>
    </row>
    <row r="24" spans="2:202">
      <c r="B24" s="108">
        <v>16</v>
      </c>
      <c r="C24" s="87">
        <f ca="1">_xll.RiskLoglogistic(LogLogistic_gamma, LogLogistic_beta, LogLogistic_alpha, _xll.RiskTruncate(5,800))</f>
        <v>80.431843729434107</v>
      </c>
      <c r="D24" s="38">
        <f t="shared" ca="1" si="33"/>
        <v>5.1670733345971644</v>
      </c>
      <c r="E24" s="30"/>
      <c r="F24" s="87">
        <f t="shared" ca="1" si="34"/>
        <v>1.8655159769949817E-9</v>
      </c>
      <c r="G24" s="37">
        <f ca="1">INT(F24) + _xll.RiskBinomial(1,F24-INT(F24))</f>
        <v>0</v>
      </c>
      <c r="H24" s="30">
        <f t="shared" ca="1" si="0"/>
        <v>0</v>
      </c>
      <c r="I24" s="35">
        <f ca="1">_xll.RiskBinomial(1,H24)</f>
        <v>0</v>
      </c>
      <c r="J24" s="88">
        <f ca="1">IF(I24=1,_xll.RiskBinomial(1,Prob_Illness_Given_Infection),0)</f>
        <v>0</v>
      </c>
      <c r="K24" s="30"/>
      <c r="L24" s="87">
        <f t="shared" ca="1" si="35"/>
        <v>9.5285695268728827E-5</v>
      </c>
      <c r="M24" s="37">
        <f ca="1">INT(L24) + _xll.RiskBinomial(1,L24-INT(L24))</f>
        <v>0</v>
      </c>
      <c r="N24" s="30">
        <f t="shared" ca="1" si="1"/>
        <v>0</v>
      </c>
      <c r="O24" s="35">
        <f ca="1">_xll.RiskBinomial(1,N24)</f>
        <v>0</v>
      </c>
      <c r="P24" s="88">
        <f ca="1">IF(O24=1,_xll.RiskBinomial(1,Prob_Illness_Given_Infection),0)</f>
        <v>0</v>
      </c>
      <c r="Q24" s="30"/>
      <c r="R24" s="87">
        <f t="shared" ca="1" si="36"/>
        <v>9.8502322503932393E-6</v>
      </c>
      <c r="S24" s="37">
        <f ca="1">INT(R24) + _xll.RiskBinomial(1,R24-INT(R24))</f>
        <v>0</v>
      </c>
      <c r="T24" s="30">
        <f t="shared" ca="1" si="2"/>
        <v>0</v>
      </c>
      <c r="U24" s="35">
        <f ca="1">_xll.RiskBinomial(1,T24)</f>
        <v>0</v>
      </c>
      <c r="V24" s="88">
        <f ca="1">IF(U24=1,_xll.RiskBinomial(1,Prob_Illness_Given_Infection),0)</f>
        <v>0</v>
      </c>
      <c r="W24" s="30"/>
      <c r="X24" s="87">
        <f t="shared" ca="1" si="37"/>
        <v>4.0467320477370443E-12</v>
      </c>
      <c r="Y24" s="37">
        <f ca="1">INT(X24) + _xll.RiskBinomial(1,X24-INT(X24))</f>
        <v>0</v>
      </c>
      <c r="Z24" s="30">
        <f t="shared" ca="1" si="3"/>
        <v>0</v>
      </c>
      <c r="AA24" s="35">
        <f ca="1">_xll.RiskBinomial(1,Z24)</f>
        <v>0</v>
      </c>
      <c r="AB24" s="88">
        <f ca="1">IF(AA24=1,_xll.RiskBinomial(1,Prob_Illness_Given_Infection),0)</f>
        <v>0</v>
      </c>
      <c r="AC24" s="30"/>
      <c r="AD24" s="87">
        <f t="shared" ca="1" si="38"/>
        <v>2.0388152754076067E-12</v>
      </c>
      <c r="AE24" s="37">
        <f ca="1">INT(AD24) + _xll.RiskBinomial(1,AD24-INT(AD24))</f>
        <v>0</v>
      </c>
      <c r="AF24" s="30">
        <f t="shared" ca="1" si="4"/>
        <v>0</v>
      </c>
      <c r="AG24" s="35">
        <f ca="1">_xll.RiskBinomial(1,AF24)</f>
        <v>0</v>
      </c>
      <c r="AH24" s="88">
        <f ca="1">IF(AG24=1,_xll.RiskBinomial(1,Prob_Illness_Given_Infection),0)</f>
        <v>0</v>
      </c>
      <c r="AI24" s="30"/>
      <c r="AJ24" s="87">
        <f t="shared" ca="1" si="39"/>
        <v>9.4636550919342108E-5</v>
      </c>
      <c r="AK24" s="37">
        <f ca="1">INT(AJ24) + _xll.RiskBinomial(1,AJ24-INT(AJ24))</f>
        <v>0</v>
      </c>
      <c r="AL24" s="30">
        <f t="shared" ca="1" si="5"/>
        <v>0</v>
      </c>
      <c r="AM24" s="35">
        <f ca="1">_xll.RiskBinomial(1,AL24)</f>
        <v>0</v>
      </c>
      <c r="AN24" s="88">
        <f ca="1">IF(AM24=1,_xll.RiskBinomial(1,Prob_Illness_Given_Infection),0)</f>
        <v>0</v>
      </c>
      <c r="AO24" s="30"/>
      <c r="AP24" s="87">
        <f t="shared" ca="1" si="40"/>
        <v>2.3014694701694139E-9</v>
      </c>
      <c r="AQ24" s="37">
        <f ca="1">INT(AP24) + _xll.RiskBinomial(1,AP24-INT(AP24))</f>
        <v>0</v>
      </c>
      <c r="AR24" s="30">
        <f t="shared" ca="1" si="6"/>
        <v>0</v>
      </c>
      <c r="AS24" s="35">
        <f ca="1">_xll.RiskBinomial(1,AR24)</f>
        <v>0</v>
      </c>
      <c r="AT24" s="88">
        <f ca="1">IF(AS24=1,_xll.RiskBinomial(1,Prob_Illness_Given_Infection),0)</f>
        <v>0</v>
      </c>
      <c r="AU24" s="30"/>
      <c r="AV24" s="87">
        <f t="shared" ca="1" si="41"/>
        <v>5.3392893595061336E-5</v>
      </c>
      <c r="AW24" s="37">
        <f ca="1">INT(AV24) + _xll.RiskBinomial(1,AV24-INT(AV24))</f>
        <v>0</v>
      </c>
      <c r="AX24" s="30">
        <f t="shared" ca="1" si="7"/>
        <v>0</v>
      </c>
      <c r="AY24" s="35">
        <f ca="1">_xll.RiskBinomial(1,AX24)</f>
        <v>0</v>
      </c>
      <c r="AZ24" s="88">
        <f ca="1">IF(AY24=1,_xll.RiskBinomial(1,Prob_Illness_Given_Infection),0)</f>
        <v>0</v>
      </c>
      <c r="BB24" s="87">
        <f t="shared" ca="1" si="42"/>
        <v>7.3282273881519359E-5</v>
      </c>
      <c r="BC24" s="37">
        <f ca="1">INT(BB24) + _xll.RiskBinomial(1,BB24-INT(BB24))</f>
        <v>0</v>
      </c>
      <c r="BD24" s="30">
        <f t="shared" ca="1" si="8"/>
        <v>0</v>
      </c>
      <c r="BE24" s="35">
        <f ca="1">_xll.RiskBinomial(1,BD24)</f>
        <v>0</v>
      </c>
      <c r="BF24" s="88">
        <f ca="1">IF(BE24=1,_xll.RiskBinomial(1,Prob_Illness_Given_Infection),0)</f>
        <v>0</v>
      </c>
      <c r="BH24" s="87">
        <f t="shared" ca="1" si="43"/>
        <v>9.2780601460275928E-5</v>
      </c>
      <c r="BI24" s="37">
        <f ca="1">INT(BH24) + _xll.RiskBinomial(1,BH24-INT(BH24))</f>
        <v>0</v>
      </c>
      <c r="BJ24" s="30">
        <f t="shared" ca="1" si="9"/>
        <v>0</v>
      </c>
      <c r="BK24" s="35">
        <f ca="1">_xll.RiskBinomial(1,BJ24)</f>
        <v>0</v>
      </c>
      <c r="BL24" s="88">
        <f ca="1">IF(BK24=1,_xll.RiskBinomial(1,Prob_Illness_Given_Infection),0)</f>
        <v>0</v>
      </c>
      <c r="BN24" s="87">
        <f t="shared" ca="1" si="44"/>
        <v>7.0611328033340127E-6</v>
      </c>
      <c r="BO24" s="37">
        <f ca="1">INT(BN24) + _xll.RiskBinomial(1,BN24-INT(BN24))</f>
        <v>0</v>
      </c>
      <c r="BP24" s="30">
        <f t="shared" ca="1" si="10"/>
        <v>0</v>
      </c>
      <c r="BQ24" s="35">
        <f ca="1">_xll.RiskBinomial(1,BP24)</f>
        <v>0</v>
      </c>
      <c r="BR24" s="88">
        <f ca="1">IF(BQ24=1,_xll.RiskBinomial(1,Prob_Illness_Given_Infection),0)</f>
        <v>0</v>
      </c>
      <c r="BT24" s="87">
        <f t="shared" ca="1" si="45"/>
        <v>2.1232751690228501E-5</v>
      </c>
      <c r="BU24" s="37">
        <f ca="1">INT(BT24) + _xll.RiskBinomial(1,BT24-INT(BT24))</f>
        <v>0</v>
      </c>
      <c r="BV24" s="30">
        <f t="shared" ca="1" si="11"/>
        <v>0</v>
      </c>
      <c r="BW24" s="35">
        <f ca="1">_xll.RiskBinomial(1,BV24)</f>
        <v>0</v>
      </c>
      <c r="BX24" s="88">
        <f ca="1">IF(BW24=1,_xll.RiskBinomial(1,Prob_Illness_Given_Infection),0)</f>
        <v>0</v>
      </c>
      <c r="BZ24" s="87">
        <f t="shared" ca="1" si="46"/>
        <v>5.8206129756446139E-5</v>
      </c>
      <c r="CA24" s="37">
        <f ca="1">INT(BZ24) + _xll.RiskBinomial(1,BZ24-INT(BZ24))</f>
        <v>0</v>
      </c>
      <c r="CB24" s="30">
        <f t="shared" ca="1" si="12"/>
        <v>0</v>
      </c>
      <c r="CC24" s="35">
        <f ca="1">_xll.RiskBinomial(1,CB24)</f>
        <v>0</v>
      </c>
      <c r="CD24" s="88">
        <f ca="1">IF(CC24=1,_xll.RiskBinomial(1,Prob_Illness_Given_Infection),0)</f>
        <v>0</v>
      </c>
      <c r="CF24" s="87">
        <f t="shared" ca="1" si="47"/>
        <v>1.1044030522666479E-5</v>
      </c>
      <c r="CG24" s="37">
        <f ca="1">INT(CF24) + _xll.RiskBinomial(1,CF24-INT(CF24))</f>
        <v>0</v>
      </c>
      <c r="CH24" s="30">
        <f t="shared" ca="1" si="13"/>
        <v>0</v>
      </c>
      <c r="CI24" s="35">
        <f ca="1">_xll.RiskBinomial(1,CH24)</f>
        <v>0</v>
      </c>
      <c r="CJ24" s="88">
        <f ca="1">IF(CI24=1,_xll.RiskBinomial(1,Prob_Illness_Given_Infection),0)</f>
        <v>0</v>
      </c>
      <c r="CL24" s="87">
        <f t="shared" ca="1" si="48"/>
        <v>2.131188707028182E-5</v>
      </c>
      <c r="CM24" s="37">
        <f ca="1">INT(CL24) + _xll.RiskBinomial(1,CL24-INT(CL24))</f>
        <v>0</v>
      </c>
      <c r="CN24" s="30">
        <f t="shared" ca="1" si="14"/>
        <v>0</v>
      </c>
      <c r="CO24" s="35">
        <f ca="1">_xll.RiskBinomial(1,CN24)</f>
        <v>0</v>
      </c>
      <c r="CP24" s="88">
        <f ca="1">IF(CO24=1,_xll.RiskBinomial(1,Prob_Illness_Given_Infection),0)</f>
        <v>0</v>
      </c>
      <c r="CR24" s="87">
        <f t="shared" ca="1" si="49"/>
        <v>1.4687507524022919E-7</v>
      </c>
      <c r="CS24" s="37">
        <f ca="1">INT(CR24) + _xll.RiskBinomial(1,CR24-INT(CR24))</f>
        <v>0</v>
      </c>
      <c r="CT24" s="30">
        <f t="shared" ca="1" si="15"/>
        <v>0</v>
      </c>
      <c r="CU24" s="35">
        <f ca="1">_xll.RiskBinomial(1,CT24)</f>
        <v>0</v>
      </c>
      <c r="CV24" s="88">
        <f ca="1">IF(CU24=1,_xll.RiskBinomial(1,Prob_Illness_Given_Infection),0)</f>
        <v>0</v>
      </c>
      <c r="CX24" s="87">
        <f t="shared" ca="1" si="50"/>
        <v>1.4951715686795622E-9</v>
      </c>
      <c r="CY24" s="37">
        <f ca="1">INT(CX24) + _xll.RiskBinomial(1,CX24-INT(CX24))</f>
        <v>0</v>
      </c>
      <c r="CZ24" s="30">
        <f t="shared" ca="1" si="16"/>
        <v>0</v>
      </c>
      <c r="DA24" s="35">
        <f ca="1">_xll.RiskBinomial(1,CZ24)</f>
        <v>0</v>
      </c>
      <c r="DB24" s="88">
        <f ca="1">IF(DA24=1,_xll.RiskBinomial(1,Prob_Illness_Given_Infection),0)</f>
        <v>0</v>
      </c>
      <c r="DD24" s="87">
        <f t="shared" ca="1" si="51"/>
        <v>1.4951715686795622E-9</v>
      </c>
      <c r="DE24" s="37">
        <f ca="1">INT(DD24) + _xll.RiskBinomial(1,DD24-INT(DD24))</f>
        <v>0</v>
      </c>
      <c r="DF24" s="30">
        <f t="shared" ca="1" si="17"/>
        <v>0</v>
      </c>
      <c r="DG24" s="35">
        <f ca="1">_xll.RiskBinomial(1,DF24)</f>
        <v>0</v>
      </c>
      <c r="DH24" s="88">
        <f ca="1">IF(DG24=1,_xll.RiskBinomial(1,Prob_Illness_Given_Infection),0)</f>
        <v>0</v>
      </c>
      <c r="DJ24" s="87">
        <f t="shared" ca="1" si="52"/>
        <v>2.4414077123022345E-6</v>
      </c>
      <c r="DK24" s="37">
        <f ca="1">INT(DJ24) + _xll.RiskBinomial(1,DJ24-INT(DJ24))</f>
        <v>0</v>
      </c>
      <c r="DL24" s="30">
        <f t="shared" ca="1" si="18"/>
        <v>0</v>
      </c>
      <c r="DM24" s="35">
        <f ca="1">_xll.RiskBinomial(1,DL24)</f>
        <v>0</v>
      </c>
      <c r="DN24" s="88">
        <f ca="1">IF(DM24=1,_xll.RiskBinomial(1,Prob_Illness_Given_Infection),0)</f>
        <v>0</v>
      </c>
      <c r="DP24" s="87">
        <f t="shared" ca="1" si="53"/>
        <v>5.7713620063658782E-10</v>
      </c>
      <c r="DQ24" s="37">
        <f ca="1">INT(DP24) + _xll.RiskBinomial(1,DP24-INT(DP24))</f>
        <v>0</v>
      </c>
      <c r="DR24" s="30">
        <f t="shared" ca="1" si="19"/>
        <v>0</v>
      </c>
      <c r="DS24" s="35">
        <f ca="1">_xll.RiskBinomial(1,DR24)</f>
        <v>0</v>
      </c>
      <c r="DT24" s="88">
        <f ca="1">IF(DS24=1,_xll.RiskBinomial(1,Prob_Illness_Given_Infection),0)</f>
        <v>0</v>
      </c>
      <c r="DV24" s="87">
        <f t="shared" ca="1" si="54"/>
        <v>8.1249578711500278E-9</v>
      </c>
      <c r="DW24" s="37">
        <f ca="1">INT(DV24) + _xll.RiskBinomial(1,DV24-INT(DV24))</f>
        <v>0</v>
      </c>
      <c r="DX24" s="30">
        <f t="shared" ca="1" si="20"/>
        <v>0</v>
      </c>
      <c r="DY24" s="35">
        <f ca="1">_xll.RiskBinomial(1,DX24)</f>
        <v>0</v>
      </c>
      <c r="DZ24" s="88">
        <f ca="1">IF(DY24=1,_xll.RiskBinomial(1,Prob_Illness_Given_Infection),0)</f>
        <v>0</v>
      </c>
      <c r="EB24" s="87">
        <f t="shared" ca="1" si="55"/>
        <v>2.0388152754069217E-12</v>
      </c>
      <c r="EC24" s="37">
        <f ca="1">INT(EB24) + _xll.RiskBinomial(1,EB24-INT(EB24))</f>
        <v>0</v>
      </c>
      <c r="ED24" s="30">
        <f t="shared" ca="1" si="21"/>
        <v>0</v>
      </c>
      <c r="EE24" s="35">
        <f ca="1">_xll.RiskBinomial(1,ED24)</f>
        <v>0</v>
      </c>
      <c r="EF24" s="88">
        <f ca="1">IF(EE24=1,_xll.RiskBinomial(1,Prob_Illness_Given_Infection),0)</f>
        <v>0</v>
      </c>
      <c r="EH24" s="87">
        <f t="shared" ca="1" si="56"/>
        <v>2.0388152754048258E-12</v>
      </c>
      <c r="EI24" s="37">
        <f ca="1">INT(EH24) + _xll.RiskBinomial(1,EH24-INT(EH24))</f>
        <v>0</v>
      </c>
      <c r="EJ24" s="30">
        <f t="shared" ca="1" si="22"/>
        <v>0</v>
      </c>
      <c r="EK24" s="35">
        <f ca="1">_xll.RiskBinomial(1,EJ24)</f>
        <v>0</v>
      </c>
      <c r="EL24" s="88">
        <f ca="1">IF(EK24=1,_xll.RiskBinomial(1,Prob_Illness_Given_Infection),0)</f>
        <v>0</v>
      </c>
      <c r="EN24" s="87">
        <f t="shared" ca="1" si="57"/>
        <v>1.8602958495582676E-10</v>
      </c>
      <c r="EO24" s="37">
        <f ca="1">INT(EN24) + _xll.RiskBinomial(1,EN24-INT(EN24))</f>
        <v>0</v>
      </c>
      <c r="EP24" s="30">
        <f t="shared" ca="1" si="23"/>
        <v>0</v>
      </c>
      <c r="EQ24" s="35">
        <f ca="1">_xll.RiskBinomial(1,EP24)</f>
        <v>0</v>
      </c>
      <c r="ER24" s="88">
        <f ca="1">IF(EQ24=1,_xll.RiskBinomial(1,Prob_Illness_Given_Infection),0)</f>
        <v>0</v>
      </c>
      <c r="ET24" s="87">
        <f t="shared" ca="1" si="58"/>
        <v>2.0388152754028819E-12</v>
      </c>
      <c r="EU24" s="37">
        <f ca="1">INT(ET24) + _xll.RiskBinomial(1,ET24-INT(ET24))</f>
        <v>0</v>
      </c>
      <c r="EV24" s="30">
        <f t="shared" ca="1" si="24"/>
        <v>0</v>
      </c>
      <c r="EW24" s="35">
        <f ca="1">_xll.RiskBinomial(1,EV24)</f>
        <v>0</v>
      </c>
      <c r="EX24" s="88">
        <f ca="1">IF(EW24=1,_xll.RiskBinomial(1,Prob_Illness_Given_Infection),0)</f>
        <v>0</v>
      </c>
      <c r="EZ24" s="87">
        <f t="shared" ca="1" si="59"/>
        <v>1.5377159608657859E-5</v>
      </c>
      <c r="FA24" s="37">
        <f ca="1">INT(EZ24) + _xll.RiskBinomial(1,EZ24-INT(EZ24))</f>
        <v>0</v>
      </c>
      <c r="FB24" s="30">
        <f t="shared" ca="1" si="25"/>
        <v>0</v>
      </c>
      <c r="FC24" s="35">
        <f ca="1">_xll.RiskBinomial(1,FB24)</f>
        <v>0</v>
      </c>
      <c r="FD24" s="88">
        <f ca="1">IF(FC24=1,_xll.RiskBinomial(1,Prob_Illness_Given_Infection),0)</f>
        <v>0</v>
      </c>
      <c r="FF24" s="87">
        <f t="shared" ca="1" si="60"/>
        <v>1.07115565284498E-4</v>
      </c>
      <c r="FG24" s="37">
        <f ca="1">INT(FF24) + _xll.RiskBinomial(1,FF24-INT(FF24))</f>
        <v>0</v>
      </c>
      <c r="FH24" s="30">
        <f t="shared" ca="1" si="26"/>
        <v>0</v>
      </c>
      <c r="FI24" s="35">
        <f ca="1">_xll.RiskBinomial(1,FH24)</f>
        <v>0</v>
      </c>
      <c r="FJ24" s="88">
        <f ca="1">IF(FI24=1,_xll.RiskBinomial(1,Prob_Illness_Given_Infection),0)</f>
        <v>0</v>
      </c>
      <c r="FL24" s="87" t="e">
        <f t="shared" ca="1" si="61"/>
        <v>#NAME?</v>
      </c>
      <c r="FM24" s="37" t="e">
        <f ca="1">INT(FL24) + _xll.RiskBinomial(1,FL24-INT(FL24))</f>
        <v>#NAME?</v>
      </c>
      <c r="FN24" s="30" t="e">
        <f t="shared" ca="1" si="27"/>
        <v>#NAME?</v>
      </c>
      <c r="FO24" s="35" t="e">
        <f ca="1">_xll.RiskBinomial(1,FN24)</f>
        <v>#VALUE!</v>
      </c>
      <c r="FP24" s="88" t="e">
        <f ca="1">IF(FO24=1,_xll.RiskBinomial(1,Prob_Illness_Given_Infection),0)</f>
        <v>#VALUE!</v>
      </c>
      <c r="FR24" s="87" t="e">
        <f t="shared" ca="1" si="62"/>
        <v>#NAME?</v>
      </c>
      <c r="FS24" s="37" t="e">
        <f ca="1">INT(FR24) + _xll.RiskBinomial(1,FR24-INT(FR24))</f>
        <v>#NAME?</v>
      </c>
      <c r="FT24" s="30" t="e">
        <f t="shared" ca="1" si="28"/>
        <v>#NAME?</v>
      </c>
      <c r="FU24" s="35" t="e">
        <f ca="1">_xll.RiskBinomial(1,FT24)</f>
        <v>#VALUE!</v>
      </c>
      <c r="FV24" s="88" t="e">
        <f ca="1">IF(FU24=1,_xll.RiskBinomial(1,Prob_Illness_Given_Infection),0)</f>
        <v>#VALUE!</v>
      </c>
      <c r="FX24" s="87">
        <f t="shared" ca="1" si="63"/>
        <v>2.1525139998094252E-7</v>
      </c>
      <c r="FY24" s="37">
        <f ca="1">INT(FX24) + _xll.RiskBinomial(1,FX24-INT(FX24))</f>
        <v>0</v>
      </c>
      <c r="FZ24" s="30">
        <f t="shared" ca="1" si="29"/>
        <v>0</v>
      </c>
      <c r="GA24" s="35">
        <f ca="1">_xll.RiskBinomial(1,FZ24)</f>
        <v>0</v>
      </c>
      <c r="GB24" s="88">
        <f ca="1">IF(GA24=1,_xll.RiskBinomial(1,Prob_Illness_Given_Infection),0)</f>
        <v>0</v>
      </c>
      <c r="GD24" s="87" t="e">
        <f t="shared" ca="1" si="64"/>
        <v>#NAME?</v>
      </c>
      <c r="GE24" s="37" t="e">
        <f ca="1">INT(GD24) + _xll.RiskBinomial(1,GD24-INT(GD24))</f>
        <v>#NAME?</v>
      </c>
      <c r="GF24" s="30" t="e">
        <f t="shared" ca="1" si="30"/>
        <v>#NAME?</v>
      </c>
      <c r="GG24" s="35" t="e">
        <f ca="1">_xll.RiskBinomial(1,GF24)</f>
        <v>#VALUE!</v>
      </c>
      <c r="GH24" s="88" t="e">
        <f ca="1">IF(GG24=1,_xll.RiskBinomial(1,Prob_Illness_Given_Infection),0)</f>
        <v>#VALUE!</v>
      </c>
      <c r="GJ24" s="87" t="e">
        <f t="shared" ca="1" si="65"/>
        <v>#NAME?</v>
      </c>
      <c r="GK24" s="37" t="e">
        <f ca="1">INT(GJ24) + _xll.RiskBinomial(1,GJ24-INT(GJ24))</f>
        <v>#NAME?</v>
      </c>
      <c r="GL24" s="30" t="e">
        <f t="shared" ca="1" si="31"/>
        <v>#NAME?</v>
      </c>
      <c r="GM24" s="35" t="e">
        <f ca="1">_xll.RiskBinomial(1,GL24)</f>
        <v>#VALUE!</v>
      </c>
      <c r="GN24" s="88" t="e">
        <f ca="1">IF(GM24=1,_xll.RiskBinomial(1,Prob_Illness_Given_Infection),0)</f>
        <v>#VALUE!</v>
      </c>
      <c r="GP24" s="87" t="e">
        <f t="shared" ca="1" si="66"/>
        <v>#NAME?</v>
      </c>
      <c r="GQ24" s="37" t="e">
        <f ca="1">INT(GP24) + _xll.RiskBinomial(1,GP24-INT(GP24))</f>
        <v>#NAME?</v>
      </c>
      <c r="GR24" s="30" t="e">
        <f t="shared" ca="1" si="32"/>
        <v>#NAME?</v>
      </c>
      <c r="GS24" s="35" t="e">
        <f ca="1">_xll.RiskBinomial(1,GR24)</f>
        <v>#VALUE!</v>
      </c>
      <c r="GT24" s="88" t="e">
        <f ca="1">IF(GS24=1,_xll.RiskBinomial(1,Prob_Illness_Given_Infection),0)</f>
        <v>#VALUE!</v>
      </c>
    </row>
    <row r="25" spans="2:202">
      <c r="B25" s="108">
        <v>17</v>
      </c>
      <c r="C25" s="87">
        <f ca="1">_xll.RiskLoglogistic(LogLogistic_gamma, LogLogistic_beta, LogLogistic_alpha, _xll.RiskTruncate(5,800))</f>
        <v>97.967739377350398</v>
      </c>
      <c r="D25" s="38">
        <f t="shared" ca="1" si="33"/>
        <v>6.2936079830559093</v>
      </c>
      <c r="E25" s="30"/>
      <c r="F25" s="87">
        <f t="shared" ca="1" si="34"/>
        <v>2.272239135202694E-9</v>
      </c>
      <c r="G25" s="37">
        <f ca="1">INT(F25) + _xll.RiskBinomial(1,F25-INT(F25))</f>
        <v>0</v>
      </c>
      <c r="H25" s="30">
        <f t="shared" ca="1" si="0"/>
        <v>0</v>
      </c>
      <c r="I25" s="35">
        <f ca="1">_xll.RiskBinomial(1,H25)</f>
        <v>0</v>
      </c>
      <c r="J25" s="88">
        <f ca="1">IF(I25=1,_xll.RiskBinomial(1,Prob_Illness_Given_Infection),0)</f>
        <v>0</v>
      </c>
      <c r="K25" s="30"/>
      <c r="L25" s="87">
        <f t="shared" ca="1" si="35"/>
        <v>1.1606005442170825E-4</v>
      </c>
      <c r="M25" s="37">
        <f ca="1">INT(L25) + _xll.RiskBinomial(1,L25-INT(L25))</f>
        <v>0</v>
      </c>
      <c r="N25" s="30">
        <f t="shared" ca="1" si="1"/>
        <v>0</v>
      </c>
      <c r="O25" s="35">
        <f ca="1">_xll.RiskBinomial(1,N25)</f>
        <v>0</v>
      </c>
      <c r="P25" s="88">
        <f ca="1">IF(O25=1,_xll.RiskBinomial(1,Prob_Illness_Given_Infection),0)</f>
        <v>0</v>
      </c>
      <c r="Q25" s="30"/>
      <c r="R25" s="87">
        <f t="shared" ca="1" si="36"/>
        <v>1.1997797652868576E-5</v>
      </c>
      <c r="S25" s="37">
        <f ca="1">INT(R25) + _xll.RiskBinomial(1,R25-INT(R25))</f>
        <v>0</v>
      </c>
      <c r="T25" s="30">
        <f t="shared" ca="1" si="2"/>
        <v>0</v>
      </c>
      <c r="U25" s="35">
        <f ca="1">_xll.RiskBinomial(1,T25)</f>
        <v>0</v>
      </c>
      <c r="V25" s="88">
        <f ca="1">IF(U25=1,_xll.RiskBinomial(1,Prob_Illness_Given_Infection),0)</f>
        <v>0</v>
      </c>
      <c r="W25" s="30"/>
      <c r="X25" s="87">
        <f t="shared" ca="1" si="37"/>
        <v>4.9290078680316675E-12</v>
      </c>
      <c r="Y25" s="37">
        <f ca="1">INT(X25) + _xll.RiskBinomial(1,X25-INT(X25))</f>
        <v>0</v>
      </c>
      <c r="Z25" s="30">
        <f t="shared" ca="1" si="3"/>
        <v>0</v>
      </c>
      <c r="AA25" s="35">
        <f ca="1">_xll.RiskBinomial(1,Z25)</f>
        <v>0</v>
      </c>
      <c r="AB25" s="88">
        <f ca="1">IF(AA25=1,_xll.RiskBinomial(1,Prob_Illness_Given_Infection),0)</f>
        <v>0</v>
      </c>
      <c r="AC25" s="30"/>
      <c r="AD25" s="87">
        <f t="shared" ca="1" si="38"/>
        <v>2.4833214592418814E-12</v>
      </c>
      <c r="AE25" s="37">
        <f ca="1">INT(AD25) + _xll.RiskBinomial(1,AD25-INT(AD25))</f>
        <v>0</v>
      </c>
      <c r="AF25" s="30">
        <f t="shared" ca="1" si="4"/>
        <v>0</v>
      </c>
      <c r="AG25" s="35">
        <f ca="1">_xll.RiskBinomial(1,AF25)</f>
        <v>0</v>
      </c>
      <c r="AH25" s="88">
        <f ca="1">IF(AG25=1,_xll.RiskBinomial(1,Prob_Illness_Given_Infection),0)</f>
        <v>0</v>
      </c>
      <c r="AI25" s="30"/>
      <c r="AJ25" s="87">
        <f t="shared" ca="1" si="39"/>
        <v>1.1526938245038149E-4</v>
      </c>
      <c r="AK25" s="37">
        <f ca="1">INT(AJ25) + _xll.RiskBinomial(1,AJ25-INT(AJ25))</f>
        <v>0</v>
      </c>
      <c r="AL25" s="30">
        <f t="shared" ca="1" si="5"/>
        <v>0</v>
      </c>
      <c r="AM25" s="35">
        <f ca="1">_xll.RiskBinomial(1,AL25)</f>
        <v>0</v>
      </c>
      <c r="AN25" s="88">
        <f ca="1">IF(AM25=1,_xll.RiskBinomial(1,Prob_Illness_Given_Infection),0)</f>
        <v>0</v>
      </c>
      <c r="AO25" s="30"/>
      <c r="AP25" s="87">
        <f t="shared" ca="1" si="40"/>
        <v>2.8032399953051804E-9</v>
      </c>
      <c r="AQ25" s="37">
        <f ca="1">INT(AP25) + _xll.RiskBinomial(1,AP25-INT(AP25))</f>
        <v>0</v>
      </c>
      <c r="AR25" s="30">
        <f t="shared" ca="1" si="6"/>
        <v>0</v>
      </c>
      <c r="AS25" s="35">
        <f ca="1">_xll.RiskBinomial(1,AR25)</f>
        <v>0</v>
      </c>
      <c r="AT25" s="88">
        <f ca="1">IF(AS25=1,_xll.RiskBinomial(1,Prob_Illness_Given_Infection),0)</f>
        <v>0</v>
      </c>
      <c r="AU25" s="30"/>
      <c r="AV25" s="87">
        <f t="shared" ca="1" si="41"/>
        <v>6.5033708563482328E-5</v>
      </c>
      <c r="AW25" s="37">
        <f ca="1">INT(AV25) + _xll.RiskBinomial(1,AV25-INT(AV25))</f>
        <v>0</v>
      </c>
      <c r="AX25" s="30">
        <f t="shared" ca="1" si="7"/>
        <v>0</v>
      </c>
      <c r="AY25" s="35">
        <f ca="1">_xll.RiskBinomial(1,AX25)</f>
        <v>0</v>
      </c>
      <c r="AZ25" s="88">
        <f ca="1">IF(AY25=1,_xll.RiskBinomial(1,Prob_Illness_Given_Infection),0)</f>
        <v>0</v>
      </c>
      <c r="BB25" s="87">
        <f t="shared" ca="1" si="42"/>
        <v>8.9259407415237825E-5</v>
      </c>
      <c r="BC25" s="37">
        <f ca="1">INT(BB25) + _xll.RiskBinomial(1,BB25-INT(BB25))</f>
        <v>0</v>
      </c>
      <c r="BD25" s="30">
        <f t="shared" ca="1" si="8"/>
        <v>0</v>
      </c>
      <c r="BE25" s="35">
        <f ca="1">_xll.RiskBinomial(1,BD25)</f>
        <v>0</v>
      </c>
      <c r="BF25" s="88">
        <f ca="1">IF(BE25=1,_xll.RiskBinomial(1,Prob_Illness_Given_Infection),0)</f>
        <v>0</v>
      </c>
      <c r="BH25" s="87">
        <f t="shared" ca="1" si="43"/>
        <v>1.1300879554260193E-4</v>
      </c>
      <c r="BI25" s="37">
        <f ca="1">INT(BH25) + _xll.RiskBinomial(1,BH25-INT(BH25))</f>
        <v>0</v>
      </c>
      <c r="BJ25" s="30">
        <f t="shared" ca="1" si="9"/>
        <v>0</v>
      </c>
      <c r="BK25" s="35">
        <f ca="1">_xll.RiskBinomial(1,BJ25)</f>
        <v>0</v>
      </c>
      <c r="BL25" s="88">
        <f ca="1">IF(BK25=1,_xll.RiskBinomial(1,Prob_Illness_Given_Infection),0)</f>
        <v>0</v>
      </c>
      <c r="BN25" s="87">
        <f t="shared" ca="1" si="44"/>
        <v>8.6006137135550314E-6</v>
      </c>
      <c r="BO25" s="37">
        <f ca="1">INT(BN25) + _xll.RiskBinomial(1,BN25-INT(BN25))</f>
        <v>0</v>
      </c>
      <c r="BP25" s="30">
        <f t="shared" ca="1" si="10"/>
        <v>0</v>
      </c>
      <c r="BQ25" s="35">
        <f ca="1">_xll.RiskBinomial(1,BP25)</f>
        <v>0</v>
      </c>
      <c r="BR25" s="88">
        <f ca="1">IF(BQ25=1,_xll.RiskBinomial(1,Prob_Illness_Given_Infection),0)</f>
        <v>0</v>
      </c>
      <c r="BT25" s="87">
        <f t="shared" ca="1" si="45"/>
        <v>2.5861954512066946E-5</v>
      </c>
      <c r="BU25" s="37">
        <f ca="1">INT(BT25) + _xll.RiskBinomial(1,BT25-INT(BT25))</f>
        <v>0</v>
      </c>
      <c r="BV25" s="30">
        <f t="shared" ca="1" si="11"/>
        <v>0</v>
      </c>
      <c r="BW25" s="35">
        <f ca="1">_xll.RiskBinomial(1,BV25)</f>
        <v>0</v>
      </c>
      <c r="BX25" s="88">
        <f ca="1">IF(BW25=1,_xll.RiskBinomial(1,Prob_Illness_Given_Infection),0)</f>
        <v>0</v>
      </c>
      <c r="BZ25" s="87">
        <f t="shared" ca="1" si="46"/>
        <v>7.0896335154592319E-5</v>
      </c>
      <c r="CA25" s="37">
        <f ca="1">INT(BZ25) + _xll.RiskBinomial(1,BZ25-INT(BZ25))</f>
        <v>0</v>
      </c>
      <c r="CB25" s="30">
        <f t="shared" ca="1" si="12"/>
        <v>0</v>
      </c>
      <c r="CC25" s="35">
        <f ca="1">_xll.RiskBinomial(1,CB25)</f>
        <v>0</v>
      </c>
      <c r="CD25" s="88">
        <f ca="1">IF(CC25=1,_xll.RiskBinomial(1,Prob_Illness_Given_Infection),0)</f>
        <v>0</v>
      </c>
      <c r="CF25" s="87">
        <f t="shared" ca="1" si="47"/>
        <v>1.3451869977762909E-5</v>
      </c>
      <c r="CG25" s="37">
        <f ca="1">INT(CF25) + _xll.RiskBinomial(1,CF25-INT(CF25))</f>
        <v>0</v>
      </c>
      <c r="CH25" s="30">
        <f t="shared" ca="1" si="13"/>
        <v>0</v>
      </c>
      <c r="CI25" s="35">
        <f ca="1">_xll.RiskBinomial(1,CH25)</f>
        <v>0</v>
      </c>
      <c r="CJ25" s="88">
        <f ca="1">IF(CI25=1,_xll.RiskBinomial(1,Prob_Illness_Given_Infection),0)</f>
        <v>0</v>
      </c>
      <c r="CL25" s="87">
        <f t="shared" ca="1" si="48"/>
        <v>2.5958343130419035E-5</v>
      </c>
      <c r="CM25" s="37">
        <f ca="1">INT(CL25) + _xll.RiskBinomial(1,CL25-INT(CL25))</f>
        <v>0</v>
      </c>
      <c r="CN25" s="30">
        <f t="shared" ca="1" si="14"/>
        <v>0</v>
      </c>
      <c r="CO25" s="35">
        <f ca="1">_xll.RiskBinomial(1,CN25)</f>
        <v>0</v>
      </c>
      <c r="CP25" s="88">
        <f ca="1">IF(CO25=1,_xll.RiskBinomial(1,Prob_Illness_Given_Infection),0)</f>
        <v>0</v>
      </c>
      <c r="CR25" s="87">
        <f t="shared" ca="1" si="49"/>
        <v>1.7889704406835359E-7</v>
      </c>
      <c r="CS25" s="37">
        <f ca="1">INT(CR25) + _xll.RiskBinomial(1,CR25-INT(CR25))</f>
        <v>0</v>
      </c>
      <c r="CT25" s="30">
        <f t="shared" ca="1" si="15"/>
        <v>0</v>
      </c>
      <c r="CU25" s="35">
        <f ca="1">_xll.RiskBinomial(1,CT25)</f>
        <v>0</v>
      </c>
      <c r="CV25" s="88">
        <f ca="1">IF(CU25=1,_xll.RiskBinomial(1,Prob_Illness_Given_Infection),0)</f>
        <v>0</v>
      </c>
      <c r="CX25" s="87">
        <f t="shared" ca="1" si="50"/>
        <v>1.8211515709818241E-9</v>
      </c>
      <c r="CY25" s="37">
        <f ca="1">INT(CX25) + _xll.RiskBinomial(1,CX25-INT(CX25))</f>
        <v>0</v>
      </c>
      <c r="CZ25" s="30">
        <f t="shared" ca="1" si="16"/>
        <v>0</v>
      </c>
      <c r="DA25" s="35">
        <f ca="1">_xll.RiskBinomial(1,CZ25)</f>
        <v>0</v>
      </c>
      <c r="DB25" s="88">
        <f ca="1">IF(DA25=1,_xll.RiskBinomial(1,Prob_Illness_Given_Infection),0)</f>
        <v>0</v>
      </c>
      <c r="DD25" s="87">
        <f t="shared" ca="1" si="51"/>
        <v>1.8211515709818241E-9</v>
      </c>
      <c r="DE25" s="37">
        <f ca="1">INT(DD25) + _xll.RiskBinomial(1,DD25-INT(DD25))</f>
        <v>0</v>
      </c>
      <c r="DF25" s="30">
        <f t="shared" ca="1" si="17"/>
        <v>0</v>
      </c>
      <c r="DG25" s="35">
        <f ca="1">_xll.RiskBinomial(1,DF25)</f>
        <v>0</v>
      </c>
      <c r="DH25" s="88">
        <f ca="1">IF(DG25=1,_xll.RiskBinomial(1,Prob_Illness_Given_Infection),0)</f>
        <v>0</v>
      </c>
      <c r="DJ25" s="87">
        <f t="shared" ca="1" si="52"/>
        <v>2.9736878253998142E-6</v>
      </c>
      <c r="DK25" s="37">
        <f ca="1">INT(DJ25) + _xll.RiskBinomial(1,DJ25-INT(DJ25))</f>
        <v>0</v>
      </c>
      <c r="DL25" s="30">
        <f t="shared" ca="1" si="18"/>
        <v>0</v>
      </c>
      <c r="DM25" s="35">
        <f ca="1">_xll.RiskBinomial(1,DL25)</f>
        <v>0</v>
      </c>
      <c r="DN25" s="88">
        <f ca="1">IF(DM25=1,_xll.RiskBinomial(1,Prob_Illness_Given_Infection),0)</f>
        <v>0</v>
      </c>
      <c r="DP25" s="87">
        <f t="shared" ca="1" si="53"/>
        <v>7.0296447610224701E-10</v>
      </c>
      <c r="DQ25" s="37">
        <f ca="1">INT(DP25) + _xll.RiskBinomial(1,DP25-INT(DP25))</f>
        <v>0</v>
      </c>
      <c r="DR25" s="30">
        <f t="shared" ca="1" si="19"/>
        <v>0</v>
      </c>
      <c r="DS25" s="35">
        <f ca="1">_xll.RiskBinomial(1,DR25)</f>
        <v>0</v>
      </c>
      <c r="DT25" s="88">
        <f ca="1">IF(DS25=1,_xll.RiskBinomial(1,Prob_Illness_Given_Infection),0)</f>
        <v>0</v>
      </c>
      <c r="DV25" s="87">
        <f t="shared" ca="1" si="54"/>
        <v>9.8963758415186835E-9</v>
      </c>
      <c r="DW25" s="37">
        <f ca="1">INT(DV25) + _xll.RiskBinomial(1,DV25-INT(DV25))</f>
        <v>0</v>
      </c>
      <c r="DX25" s="30">
        <f t="shared" ca="1" si="20"/>
        <v>0</v>
      </c>
      <c r="DY25" s="35">
        <f ca="1">_xll.RiskBinomial(1,DX25)</f>
        <v>0</v>
      </c>
      <c r="DZ25" s="88">
        <f ca="1">IF(DY25=1,_xll.RiskBinomial(1,Prob_Illness_Given_Infection),0)</f>
        <v>0</v>
      </c>
      <c r="EB25" s="87">
        <f t="shared" ca="1" si="55"/>
        <v>2.4833214592410473E-12</v>
      </c>
      <c r="EC25" s="37">
        <f ca="1">INT(EB25) + _xll.RiskBinomial(1,EB25-INT(EB25))</f>
        <v>0</v>
      </c>
      <c r="ED25" s="30">
        <f t="shared" ca="1" si="21"/>
        <v>0</v>
      </c>
      <c r="EE25" s="35">
        <f ca="1">_xll.RiskBinomial(1,ED25)</f>
        <v>0</v>
      </c>
      <c r="EF25" s="88">
        <f ca="1">IF(EE25=1,_xll.RiskBinomial(1,Prob_Illness_Given_Infection),0)</f>
        <v>0</v>
      </c>
      <c r="EH25" s="87">
        <f t="shared" ca="1" si="56"/>
        <v>2.4833214592384947E-12</v>
      </c>
      <c r="EI25" s="37">
        <f ca="1">INT(EH25) + _xll.RiskBinomial(1,EH25-INT(EH25))</f>
        <v>0</v>
      </c>
      <c r="EJ25" s="30">
        <f t="shared" ca="1" si="22"/>
        <v>0</v>
      </c>
      <c r="EK25" s="35">
        <f ca="1">_xll.RiskBinomial(1,EJ25)</f>
        <v>0</v>
      </c>
      <c r="EL25" s="88">
        <f ca="1">IF(EK25=1,_xll.RiskBinomial(1,Prob_Illness_Given_Infection),0)</f>
        <v>0</v>
      </c>
      <c r="EN25" s="87">
        <f t="shared" ca="1" si="57"/>
        <v>2.2658809061664819E-10</v>
      </c>
      <c r="EO25" s="37">
        <f ca="1">INT(EN25) + _xll.RiskBinomial(1,EN25-INT(EN25))</f>
        <v>0</v>
      </c>
      <c r="EP25" s="30">
        <f t="shared" ca="1" si="23"/>
        <v>0</v>
      </c>
      <c r="EQ25" s="35">
        <f ca="1">_xll.RiskBinomial(1,EP25)</f>
        <v>0</v>
      </c>
      <c r="ER25" s="88">
        <f ca="1">IF(EQ25=1,_xll.RiskBinomial(1,Prob_Illness_Given_Infection),0)</f>
        <v>0</v>
      </c>
      <c r="ET25" s="87">
        <f t="shared" ca="1" si="58"/>
        <v>2.4833214592361267E-12</v>
      </c>
      <c r="EU25" s="37">
        <f ca="1">INT(ET25) + _xll.RiskBinomial(1,ET25-INT(ET25))</f>
        <v>0</v>
      </c>
      <c r="EV25" s="30">
        <f t="shared" ca="1" si="24"/>
        <v>0</v>
      </c>
      <c r="EW25" s="35">
        <f ca="1">_xll.RiskBinomial(1,EV25)</f>
        <v>0</v>
      </c>
      <c r="EX25" s="88">
        <f ca="1">IF(EW25=1,_xll.RiskBinomial(1,Prob_Illness_Given_Infection),0)</f>
        <v>0</v>
      </c>
      <c r="EZ25" s="87">
        <f t="shared" ca="1" si="59"/>
        <v>1.8729715682914529E-5</v>
      </c>
      <c r="FA25" s="37">
        <f ca="1">INT(EZ25) + _xll.RiskBinomial(1,EZ25-INT(EZ25))</f>
        <v>0</v>
      </c>
      <c r="FB25" s="30">
        <f t="shared" ca="1" si="25"/>
        <v>0</v>
      </c>
      <c r="FC25" s="35">
        <f ca="1">_xll.RiskBinomial(1,FB25)</f>
        <v>0</v>
      </c>
      <c r="FD25" s="88">
        <f ca="1">IF(FC25=1,_xll.RiskBinomial(1,Prob_Illness_Given_Infection),0)</f>
        <v>0</v>
      </c>
      <c r="FF25" s="87">
        <f t="shared" ca="1" si="60"/>
        <v>1.3046909403630918E-4</v>
      </c>
      <c r="FG25" s="37">
        <f ca="1">INT(FF25) + _xll.RiskBinomial(1,FF25-INT(FF25))</f>
        <v>0</v>
      </c>
      <c r="FH25" s="30">
        <f t="shared" ca="1" si="26"/>
        <v>0</v>
      </c>
      <c r="FI25" s="35">
        <f ca="1">_xll.RiskBinomial(1,FH25)</f>
        <v>0</v>
      </c>
      <c r="FJ25" s="88">
        <f ca="1">IF(FI25=1,_xll.RiskBinomial(1,Prob_Illness_Given_Infection),0)</f>
        <v>0</v>
      </c>
      <c r="FL25" s="87" t="e">
        <f t="shared" ca="1" si="61"/>
        <v>#NAME?</v>
      </c>
      <c r="FM25" s="37" t="e">
        <f ca="1">INT(FL25) + _xll.RiskBinomial(1,FL25-INT(FL25))</f>
        <v>#NAME?</v>
      </c>
      <c r="FN25" s="30" t="e">
        <f t="shared" ca="1" si="27"/>
        <v>#NAME?</v>
      </c>
      <c r="FO25" s="35" t="e">
        <f ca="1">_xll.RiskBinomial(1,FN25)</f>
        <v>#VALUE!</v>
      </c>
      <c r="FP25" s="88" t="e">
        <f ca="1">IF(FO25=1,_xll.RiskBinomial(1,Prob_Illness_Given_Infection),0)</f>
        <v>#VALUE!</v>
      </c>
      <c r="FR25" s="87" t="e">
        <f t="shared" ca="1" si="62"/>
        <v>#NAME?</v>
      </c>
      <c r="FS25" s="37" t="e">
        <f ca="1">INT(FR25) + _xll.RiskBinomial(1,FR25-INT(FR25))</f>
        <v>#NAME?</v>
      </c>
      <c r="FT25" s="30" t="e">
        <f t="shared" ca="1" si="28"/>
        <v>#NAME?</v>
      </c>
      <c r="FU25" s="35" t="e">
        <f ca="1">_xll.RiskBinomial(1,FT25)</f>
        <v>#VALUE!</v>
      </c>
      <c r="FV25" s="88" t="e">
        <f ca="1">IF(FU25=1,_xll.RiskBinomial(1,Prob_Illness_Given_Infection),0)</f>
        <v>#VALUE!</v>
      </c>
      <c r="FX25" s="87">
        <f t="shared" ca="1" si="63"/>
        <v>2.621808984620568E-7</v>
      </c>
      <c r="FY25" s="37">
        <f ca="1">INT(FX25) + _xll.RiskBinomial(1,FX25-INT(FX25))</f>
        <v>0</v>
      </c>
      <c r="FZ25" s="30">
        <f t="shared" ca="1" si="29"/>
        <v>0</v>
      </c>
      <c r="GA25" s="35">
        <f ca="1">_xll.RiskBinomial(1,FZ25)</f>
        <v>0</v>
      </c>
      <c r="GB25" s="88">
        <f ca="1">IF(GA25=1,_xll.RiskBinomial(1,Prob_Illness_Given_Infection),0)</f>
        <v>0</v>
      </c>
      <c r="GD25" s="87" t="e">
        <f t="shared" ca="1" si="64"/>
        <v>#NAME?</v>
      </c>
      <c r="GE25" s="37" t="e">
        <f ca="1">INT(GD25) + _xll.RiskBinomial(1,GD25-INT(GD25))</f>
        <v>#NAME?</v>
      </c>
      <c r="GF25" s="30" t="e">
        <f t="shared" ca="1" si="30"/>
        <v>#NAME?</v>
      </c>
      <c r="GG25" s="35" t="e">
        <f ca="1">_xll.RiskBinomial(1,GF25)</f>
        <v>#VALUE!</v>
      </c>
      <c r="GH25" s="88" t="e">
        <f ca="1">IF(GG25=1,_xll.RiskBinomial(1,Prob_Illness_Given_Infection),0)</f>
        <v>#VALUE!</v>
      </c>
      <c r="GJ25" s="87" t="e">
        <f t="shared" ca="1" si="65"/>
        <v>#NAME?</v>
      </c>
      <c r="GK25" s="37" t="e">
        <f ca="1">INT(GJ25) + _xll.RiskBinomial(1,GJ25-INT(GJ25))</f>
        <v>#NAME?</v>
      </c>
      <c r="GL25" s="30" t="e">
        <f t="shared" ca="1" si="31"/>
        <v>#NAME?</v>
      </c>
      <c r="GM25" s="35" t="e">
        <f ca="1">_xll.RiskBinomial(1,GL25)</f>
        <v>#VALUE!</v>
      </c>
      <c r="GN25" s="88" t="e">
        <f ca="1">IF(GM25=1,_xll.RiskBinomial(1,Prob_Illness_Given_Infection),0)</f>
        <v>#VALUE!</v>
      </c>
      <c r="GP25" s="87" t="e">
        <f t="shared" ca="1" si="66"/>
        <v>#NAME?</v>
      </c>
      <c r="GQ25" s="37" t="e">
        <f ca="1">INT(GP25) + _xll.RiskBinomial(1,GP25-INT(GP25))</f>
        <v>#NAME?</v>
      </c>
      <c r="GR25" s="30" t="e">
        <f t="shared" ca="1" si="32"/>
        <v>#NAME?</v>
      </c>
      <c r="GS25" s="35" t="e">
        <f ca="1">_xll.RiskBinomial(1,GR25)</f>
        <v>#VALUE!</v>
      </c>
      <c r="GT25" s="88" t="e">
        <f ca="1">IF(GS25=1,_xll.RiskBinomial(1,Prob_Illness_Given_Infection),0)</f>
        <v>#VALUE!</v>
      </c>
    </row>
    <row r="26" spans="2:202">
      <c r="B26" s="108">
        <v>18</v>
      </c>
      <c r="C26" s="87">
        <f ca="1">_xll.RiskLoglogistic(LogLogistic_gamma, LogLogistic_beta, LogLogistic_alpha, _xll.RiskTruncate(5,800))</f>
        <v>83.881992257555183</v>
      </c>
      <c r="D26" s="38">
        <f t="shared" ca="1" si="33"/>
        <v>5.3887165250731055</v>
      </c>
      <c r="E26" s="30"/>
      <c r="F26" s="87">
        <f t="shared" ca="1" si="34"/>
        <v>1.9455378551937058E-9</v>
      </c>
      <c r="G26" s="37">
        <f ca="1">INT(F26) + _xll.RiskBinomial(1,F26-INT(F26))</f>
        <v>0</v>
      </c>
      <c r="H26" s="30">
        <f t="shared" ca="1" si="0"/>
        <v>0</v>
      </c>
      <c r="I26" s="35">
        <f ca="1">_xll.RiskBinomial(1,H26)</f>
        <v>0</v>
      </c>
      <c r="J26" s="88">
        <f ca="1">IF(I26=1,_xll.RiskBinomial(1,Prob_Illness_Given_Infection),0)</f>
        <v>0</v>
      </c>
      <c r="K26" s="30"/>
      <c r="L26" s="87">
        <f t="shared" ca="1" si="35"/>
        <v>9.9373004300065782E-5</v>
      </c>
      <c r="M26" s="37">
        <f ca="1">INT(L26) + _xll.RiskBinomial(1,L26-INT(L26))</f>
        <v>0</v>
      </c>
      <c r="N26" s="30">
        <f t="shared" ca="1" si="1"/>
        <v>0</v>
      </c>
      <c r="O26" s="35">
        <f ca="1">_xll.RiskBinomial(1,N26)</f>
        <v>0</v>
      </c>
      <c r="P26" s="88">
        <f ca="1">IF(O26=1,_xll.RiskBinomial(1,Prob_Illness_Given_Infection),0)</f>
        <v>0</v>
      </c>
      <c r="Q26" s="30"/>
      <c r="R26" s="87">
        <f t="shared" ca="1" si="36"/>
        <v>1.0272760974397963E-5</v>
      </c>
      <c r="S26" s="37">
        <f ca="1">INT(R26) + _xll.RiskBinomial(1,R26-INT(R26))</f>
        <v>0</v>
      </c>
      <c r="T26" s="30">
        <f t="shared" ca="1" si="2"/>
        <v>0</v>
      </c>
      <c r="U26" s="35">
        <f ca="1">_xll.RiskBinomial(1,T26)</f>
        <v>0</v>
      </c>
      <c r="V26" s="88">
        <f ca="1">IF(U26=1,_xll.RiskBinomial(1,Prob_Illness_Given_Infection),0)</f>
        <v>0</v>
      </c>
      <c r="W26" s="30"/>
      <c r="X26" s="87">
        <f t="shared" ca="1" si="37"/>
        <v>4.2203178561783722E-12</v>
      </c>
      <c r="Y26" s="37">
        <f ca="1">INT(X26) + _xll.RiskBinomial(1,X26-INT(X26))</f>
        <v>0</v>
      </c>
      <c r="Z26" s="30">
        <f t="shared" ca="1" si="3"/>
        <v>0</v>
      </c>
      <c r="AA26" s="35">
        <f ca="1">_xll.RiskBinomial(1,Z26)</f>
        <v>0</v>
      </c>
      <c r="AB26" s="88">
        <f ca="1">IF(AA26=1,_xll.RiskBinomial(1,Prob_Illness_Given_Infection),0)</f>
        <v>0</v>
      </c>
      <c r="AC26" s="30"/>
      <c r="AD26" s="87">
        <f t="shared" ca="1" si="38"/>
        <v>2.1262708799965159E-12</v>
      </c>
      <c r="AE26" s="37">
        <f ca="1">INT(AD26) + _xll.RiskBinomial(1,AD26-INT(AD26))</f>
        <v>0</v>
      </c>
      <c r="AF26" s="30">
        <f t="shared" ca="1" si="4"/>
        <v>0</v>
      </c>
      <c r="AG26" s="35">
        <f ca="1">_xll.RiskBinomial(1,AF26)</f>
        <v>0</v>
      </c>
      <c r="AH26" s="88">
        <f ca="1">IF(AG26=1,_xll.RiskBinomial(1,Prob_Illness_Given_Infection),0)</f>
        <v>0</v>
      </c>
      <c r="AI26" s="30"/>
      <c r="AJ26" s="87">
        <f t="shared" ca="1" si="39"/>
        <v>9.8696014705341794E-5</v>
      </c>
      <c r="AK26" s="37">
        <f ca="1">INT(AJ26) + _xll.RiskBinomial(1,AJ26-INT(AJ26))</f>
        <v>0</v>
      </c>
      <c r="AL26" s="30">
        <f t="shared" ca="1" si="5"/>
        <v>0</v>
      </c>
      <c r="AM26" s="35">
        <f ca="1">_xll.RiskBinomial(1,AL26)</f>
        <v>0</v>
      </c>
      <c r="AN26" s="88">
        <f ca="1">IF(AM26=1,_xll.RiskBinomial(1,Prob_Illness_Given_Infection),0)</f>
        <v>0</v>
      </c>
      <c r="AO26" s="30"/>
      <c r="AP26" s="87">
        <f t="shared" ca="1" si="40"/>
        <v>2.4001917067469002E-9</v>
      </c>
      <c r="AQ26" s="37">
        <f ca="1">INT(AP26) + _xll.RiskBinomial(1,AP26-INT(AP26))</f>
        <v>0</v>
      </c>
      <c r="AR26" s="30">
        <f t="shared" ca="1" si="6"/>
        <v>0</v>
      </c>
      <c r="AS26" s="35">
        <f ca="1">_xll.RiskBinomial(1,AR26)</f>
        <v>0</v>
      </c>
      <c r="AT26" s="88">
        <f ca="1">IF(AS26=1,_xll.RiskBinomial(1,Prob_Illness_Given_Infection),0)</f>
        <v>0</v>
      </c>
      <c r="AU26" s="30"/>
      <c r="AV26" s="87">
        <f t="shared" ca="1" si="41"/>
        <v>5.5683198090241193E-5</v>
      </c>
      <c r="AW26" s="37">
        <f ca="1">INT(AV26) + _xll.RiskBinomial(1,AV26-INT(AV26))</f>
        <v>0</v>
      </c>
      <c r="AX26" s="30">
        <f t="shared" ca="1" si="7"/>
        <v>0</v>
      </c>
      <c r="AY26" s="35">
        <f ca="1">_xll.RiskBinomial(1,AX26)</f>
        <v>0</v>
      </c>
      <c r="AZ26" s="88">
        <f ca="1">IF(AY26=1,_xll.RiskBinomial(1,Prob_Illness_Given_Infection),0)</f>
        <v>0</v>
      </c>
      <c r="BB26" s="87">
        <f t="shared" ca="1" si="42"/>
        <v>7.642573942509441E-5</v>
      </c>
      <c r="BC26" s="37">
        <f ca="1">INT(BB26) + _xll.RiskBinomial(1,BB26-INT(BB26))</f>
        <v>0</v>
      </c>
      <c r="BD26" s="30">
        <f t="shared" ca="1" si="8"/>
        <v>0</v>
      </c>
      <c r="BE26" s="35">
        <f ca="1">_xll.RiskBinomial(1,BD26)</f>
        <v>0</v>
      </c>
      <c r="BF26" s="88">
        <f ca="1">IF(BE26=1,_xll.RiskBinomial(1,Prob_Illness_Given_Infection),0)</f>
        <v>0</v>
      </c>
      <c r="BH26" s="87">
        <f t="shared" ca="1" si="43"/>
        <v>9.6760453726788321E-5</v>
      </c>
      <c r="BI26" s="37">
        <f ca="1">INT(BH26) + _xll.RiskBinomial(1,BH26-INT(BH26))</f>
        <v>0</v>
      </c>
      <c r="BJ26" s="30">
        <f t="shared" ca="1" si="9"/>
        <v>0</v>
      </c>
      <c r="BK26" s="35">
        <f ca="1">_xll.RiskBinomial(1,BJ26)</f>
        <v>0</v>
      </c>
      <c r="BL26" s="88">
        <f ca="1">IF(BK26=1,_xll.RiskBinomial(1,Prob_Illness_Given_Infection),0)</f>
        <v>0</v>
      </c>
      <c r="BN26" s="87">
        <f t="shared" ca="1" si="44"/>
        <v>7.3640222538138736E-6</v>
      </c>
      <c r="BO26" s="37">
        <f ca="1">INT(BN26) + _xll.RiskBinomial(1,BN26-INT(BN26))</f>
        <v>0</v>
      </c>
      <c r="BP26" s="30">
        <f t="shared" ca="1" si="10"/>
        <v>0</v>
      </c>
      <c r="BQ26" s="35">
        <f ca="1">_xll.RiskBinomial(1,BP26)</f>
        <v>0</v>
      </c>
      <c r="BR26" s="88">
        <f ca="1">IF(BQ26=1,_xll.RiskBinomial(1,Prob_Illness_Given_Infection),0)</f>
        <v>0</v>
      </c>
      <c r="BT26" s="87">
        <f t="shared" ca="1" si="45"/>
        <v>2.2143537065712738E-5</v>
      </c>
      <c r="BU26" s="37">
        <f ca="1">INT(BT26) + _xll.RiskBinomial(1,BT26-INT(BT26))</f>
        <v>0</v>
      </c>
      <c r="BV26" s="30">
        <f t="shared" ca="1" si="11"/>
        <v>0</v>
      </c>
      <c r="BW26" s="35">
        <f ca="1">_xll.RiskBinomial(1,BV26)</f>
        <v>0</v>
      </c>
      <c r="BX26" s="88">
        <f ca="1">IF(BW26=1,_xll.RiskBinomial(1,Prob_Illness_Given_Infection),0)</f>
        <v>0</v>
      </c>
      <c r="BZ26" s="87">
        <f t="shared" ca="1" si="46"/>
        <v>6.0702899488374303E-5</v>
      </c>
      <c r="CA26" s="37">
        <f ca="1">INT(BZ26) + _xll.RiskBinomial(1,BZ26-INT(BZ26))</f>
        <v>0</v>
      </c>
      <c r="CB26" s="30">
        <f t="shared" ca="1" si="12"/>
        <v>0</v>
      </c>
      <c r="CC26" s="35">
        <f ca="1">_xll.RiskBinomial(1,CB26)</f>
        <v>0</v>
      </c>
      <c r="CD26" s="88">
        <f ca="1">IF(CC26=1,_xll.RiskBinomial(1,Prob_Illness_Given_Infection),0)</f>
        <v>0</v>
      </c>
      <c r="CF26" s="87">
        <f t="shared" ca="1" si="47"/>
        <v>1.1517767588553953E-5</v>
      </c>
      <c r="CG26" s="37">
        <f ca="1">INT(CF26) + _xll.RiskBinomial(1,CF26-INT(CF26))</f>
        <v>0</v>
      </c>
      <c r="CH26" s="30">
        <f t="shared" ca="1" si="13"/>
        <v>0</v>
      </c>
      <c r="CI26" s="35">
        <f ca="1">_xll.RiskBinomial(1,CH26)</f>
        <v>0</v>
      </c>
      <c r="CJ26" s="88">
        <f ca="1">IF(CI26=1,_xll.RiskBinomial(1,Prob_Illness_Given_Infection),0)</f>
        <v>0</v>
      </c>
      <c r="CL26" s="87">
        <f t="shared" ca="1" si="48"/>
        <v>2.2226066982088408E-5</v>
      </c>
      <c r="CM26" s="37">
        <f ca="1">INT(CL26) + _xll.RiskBinomial(1,CL26-INT(CL26))</f>
        <v>0</v>
      </c>
      <c r="CN26" s="30">
        <f t="shared" ca="1" si="14"/>
        <v>0</v>
      </c>
      <c r="CO26" s="35">
        <f ca="1">_xll.RiskBinomial(1,CN26)</f>
        <v>0</v>
      </c>
      <c r="CP26" s="88">
        <f ca="1">IF(CO26=1,_xll.RiskBinomial(1,Prob_Illness_Given_Infection),0)</f>
        <v>0</v>
      </c>
      <c r="CR26" s="87">
        <f t="shared" ca="1" si="49"/>
        <v>1.531753264984545E-7</v>
      </c>
      <c r="CS26" s="37">
        <f ca="1">INT(CR26) + _xll.RiskBinomial(1,CR26-INT(CR26))</f>
        <v>0</v>
      </c>
      <c r="CT26" s="30">
        <f t="shared" ca="1" si="15"/>
        <v>0</v>
      </c>
      <c r="CU26" s="35">
        <f ca="1">_xll.RiskBinomial(1,CT26)</f>
        <v>0</v>
      </c>
      <c r="CV26" s="88">
        <f ca="1">IF(CU26=1,_xll.RiskBinomial(1,Prob_Illness_Given_Infection),0)</f>
        <v>0</v>
      </c>
      <c r="CX26" s="87">
        <f t="shared" ca="1" si="50"/>
        <v>1.5593074102539669E-9</v>
      </c>
      <c r="CY26" s="37">
        <f ca="1">INT(CX26) + _xll.RiskBinomial(1,CX26-INT(CX26))</f>
        <v>0</v>
      </c>
      <c r="CZ26" s="30">
        <f t="shared" ca="1" si="16"/>
        <v>0</v>
      </c>
      <c r="DA26" s="35">
        <f ca="1">_xll.RiskBinomial(1,CZ26)</f>
        <v>0</v>
      </c>
      <c r="DB26" s="88">
        <f ca="1">IF(DA26=1,_xll.RiskBinomial(1,Prob_Illness_Given_Infection),0)</f>
        <v>0</v>
      </c>
      <c r="DD26" s="87">
        <f t="shared" ca="1" si="51"/>
        <v>1.5593074102539669E-9</v>
      </c>
      <c r="DE26" s="37">
        <f ca="1">INT(DD26) + _xll.RiskBinomial(1,DD26-INT(DD26))</f>
        <v>0</v>
      </c>
      <c r="DF26" s="30">
        <f t="shared" ca="1" si="17"/>
        <v>0</v>
      </c>
      <c r="DG26" s="35">
        <f ca="1">_xll.RiskBinomial(1,DF26)</f>
        <v>0</v>
      </c>
      <c r="DH26" s="88">
        <f ca="1">IF(DG26=1,_xll.RiskBinomial(1,Prob_Illness_Given_Infection),0)</f>
        <v>0</v>
      </c>
      <c r="DJ26" s="87">
        <f t="shared" ca="1" si="52"/>
        <v>2.5461326425609265E-6</v>
      </c>
      <c r="DK26" s="37">
        <f ca="1">INT(DJ26) + _xll.RiskBinomial(1,DJ26-INT(DJ26))</f>
        <v>0</v>
      </c>
      <c r="DL26" s="30">
        <f t="shared" ca="1" si="18"/>
        <v>0</v>
      </c>
      <c r="DM26" s="35">
        <f ca="1">_xll.RiskBinomial(1,DL26)</f>
        <v>0</v>
      </c>
      <c r="DN26" s="88">
        <f ca="1">IF(DM26=1,_xll.RiskBinomial(1,Prob_Illness_Given_Infection),0)</f>
        <v>0</v>
      </c>
      <c r="DP26" s="87">
        <f t="shared" ca="1" si="53"/>
        <v>6.0189263441734218E-10</v>
      </c>
      <c r="DQ26" s="37">
        <f ca="1">INT(DP26) + _xll.RiskBinomial(1,DP26-INT(DP26))</f>
        <v>0</v>
      </c>
      <c r="DR26" s="30">
        <f t="shared" ca="1" si="19"/>
        <v>0</v>
      </c>
      <c r="DS26" s="35">
        <f ca="1">_xll.RiskBinomial(1,DR26)</f>
        <v>0</v>
      </c>
      <c r="DT26" s="88">
        <f ca="1">IF(DS26=1,_xll.RiskBinomial(1,Prob_Illness_Given_Infection),0)</f>
        <v>0</v>
      </c>
      <c r="DV26" s="87">
        <f t="shared" ca="1" si="54"/>
        <v>8.4734804231692563E-9</v>
      </c>
      <c r="DW26" s="37">
        <f ca="1">INT(DV26) + _xll.RiskBinomial(1,DV26-INT(DV26))</f>
        <v>0</v>
      </c>
      <c r="DX26" s="30">
        <f t="shared" ca="1" si="20"/>
        <v>0</v>
      </c>
      <c r="DY26" s="35">
        <f ca="1">_xll.RiskBinomial(1,DX26)</f>
        <v>0</v>
      </c>
      <c r="DZ26" s="88">
        <f ca="1">IF(DY26=1,_xll.RiskBinomial(1,Prob_Illness_Given_Infection),0)</f>
        <v>0</v>
      </c>
      <c r="EB26" s="87">
        <f t="shared" ca="1" si="55"/>
        <v>2.1262708799958018E-12</v>
      </c>
      <c r="EC26" s="37">
        <f ca="1">INT(EB26) + _xll.RiskBinomial(1,EB26-INT(EB26))</f>
        <v>0</v>
      </c>
      <c r="ED26" s="30">
        <f t="shared" ca="1" si="21"/>
        <v>0</v>
      </c>
      <c r="EE26" s="35">
        <f ca="1">_xll.RiskBinomial(1,ED26)</f>
        <v>0</v>
      </c>
      <c r="EF26" s="88">
        <f ca="1">IF(EE26=1,_xll.RiskBinomial(1,Prob_Illness_Given_Infection),0)</f>
        <v>0</v>
      </c>
      <c r="EH26" s="87">
        <f t="shared" ca="1" si="56"/>
        <v>2.1262708799936159E-12</v>
      </c>
      <c r="EI26" s="37">
        <f ca="1">INT(EH26) + _xll.RiskBinomial(1,EH26-INT(EH26))</f>
        <v>0</v>
      </c>
      <c r="EJ26" s="30">
        <f t="shared" ca="1" si="22"/>
        <v>0</v>
      </c>
      <c r="EK26" s="35">
        <f ca="1">_xll.RiskBinomial(1,EJ26)</f>
        <v>0</v>
      </c>
      <c r="EL26" s="88">
        <f ca="1">IF(EK26=1,_xll.RiskBinomial(1,Prob_Illness_Given_Infection),0)</f>
        <v>0</v>
      </c>
      <c r="EN26" s="87">
        <f t="shared" ca="1" si="57"/>
        <v>1.9400938087945849E-10</v>
      </c>
      <c r="EO26" s="37">
        <f ca="1">INT(EN26) + _xll.RiskBinomial(1,EN26-INT(EN26))</f>
        <v>0</v>
      </c>
      <c r="EP26" s="30">
        <f t="shared" ca="1" si="23"/>
        <v>0</v>
      </c>
      <c r="EQ26" s="35">
        <f ca="1">_xll.RiskBinomial(1,EP26)</f>
        <v>0</v>
      </c>
      <c r="ER26" s="88">
        <f ca="1">IF(EQ26=1,_xll.RiskBinomial(1,Prob_Illness_Given_Infection),0)</f>
        <v>0</v>
      </c>
      <c r="ET26" s="87">
        <f t="shared" ca="1" si="58"/>
        <v>2.1262708799915884E-12</v>
      </c>
      <c r="EU26" s="37">
        <f ca="1">INT(ET26) + _xll.RiskBinomial(1,ET26-INT(ET26))</f>
        <v>0</v>
      </c>
      <c r="EV26" s="30">
        <f t="shared" ca="1" si="24"/>
        <v>0</v>
      </c>
      <c r="EW26" s="35">
        <f ca="1">_xll.RiskBinomial(1,EV26)</f>
        <v>0</v>
      </c>
      <c r="EX26" s="88">
        <f ca="1">IF(EW26=1,_xll.RiskBinomial(1,Prob_Illness_Given_Infection),0)</f>
        <v>0</v>
      </c>
      <c r="EZ26" s="87">
        <f t="shared" ca="1" si="59"/>
        <v>1.6036767571506023E-5</v>
      </c>
      <c r="FA26" s="37">
        <f ca="1">INT(EZ26) + _xll.RiskBinomial(1,EZ26-INT(EZ26))</f>
        <v>0</v>
      </c>
      <c r="FB26" s="30">
        <f t="shared" ca="1" si="25"/>
        <v>0</v>
      </c>
      <c r="FC26" s="35">
        <f ca="1">_xll.RiskBinomial(1,FB26)</f>
        <v>0</v>
      </c>
      <c r="FD26" s="88">
        <f ca="1">IF(FC26=1,_xll.RiskBinomial(1,Prob_Illness_Given_Infection),0)</f>
        <v>0</v>
      </c>
      <c r="FF26" s="87">
        <f t="shared" ca="1" si="60"/>
        <v>1.1171032020704277E-4</v>
      </c>
      <c r="FG26" s="37">
        <f ca="1">INT(FF26) + _xll.RiskBinomial(1,FF26-INT(FF26))</f>
        <v>0</v>
      </c>
      <c r="FH26" s="30">
        <f t="shared" ca="1" si="26"/>
        <v>0</v>
      </c>
      <c r="FI26" s="35">
        <f ca="1">_xll.RiskBinomial(1,FH26)</f>
        <v>0</v>
      </c>
      <c r="FJ26" s="88">
        <f ca="1">IF(FI26=1,_xll.RiskBinomial(1,Prob_Illness_Given_Infection),0)</f>
        <v>0</v>
      </c>
      <c r="FL26" s="87" t="e">
        <f t="shared" ca="1" si="61"/>
        <v>#NAME?</v>
      </c>
      <c r="FM26" s="37" t="e">
        <f ca="1">INT(FL26) + _xll.RiskBinomial(1,FL26-INT(FL26))</f>
        <v>#NAME?</v>
      </c>
      <c r="FN26" s="30" t="e">
        <f t="shared" ca="1" si="27"/>
        <v>#NAME?</v>
      </c>
      <c r="FO26" s="35" t="e">
        <f ca="1">_xll.RiskBinomial(1,FN26)</f>
        <v>#VALUE!</v>
      </c>
      <c r="FP26" s="88" t="e">
        <f ca="1">IF(FO26=1,_xll.RiskBinomial(1,Prob_Illness_Given_Infection),0)</f>
        <v>#VALUE!</v>
      </c>
      <c r="FR26" s="87" t="e">
        <f t="shared" ca="1" si="62"/>
        <v>#NAME?</v>
      </c>
      <c r="FS26" s="37" t="e">
        <f ca="1">INT(FR26) + _xll.RiskBinomial(1,FR26-INT(FR26))</f>
        <v>#NAME?</v>
      </c>
      <c r="FT26" s="30" t="e">
        <f t="shared" ca="1" si="28"/>
        <v>#NAME?</v>
      </c>
      <c r="FU26" s="35" t="e">
        <f ca="1">_xll.RiskBinomial(1,FT26)</f>
        <v>#VALUE!</v>
      </c>
      <c r="FV26" s="88" t="e">
        <f ca="1">IF(FU26=1,_xll.RiskBinomial(1,Prob_Illness_Given_Infection),0)</f>
        <v>#VALUE!</v>
      </c>
      <c r="FX26" s="87">
        <f t="shared" ca="1" si="63"/>
        <v>2.244846745943961E-7</v>
      </c>
      <c r="FY26" s="37">
        <f ca="1">INT(FX26) + _xll.RiskBinomial(1,FX26-INT(FX26))</f>
        <v>0</v>
      </c>
      <c r="FZ26" s="30">
        <f t="shared" ca="1" si="29"/>
        <v>0</v>
      </c>
      <c r="GA26" s="35">
        <f ca="1">_xll.RiskBinomial(1,FZ26)</f>
        <v>0</v>
      </c>
      <c r="GB26" s="88">
        <f ca="1">IF(GA26=1,_xll.RiskBinomial(1,Prob_Illness_Given_Infection),0)</f>
        <v>0</v>
      </c>
      <c r="GD26" s="87" t="e">
        <f t="shared" ca="1" si="64"/>
        <v>#NAME?</v>
      </c>
      <c r="GE26" s="37" t="e">
        <f ca="1">INT(GD26) + _xll.RiskBinomial(1,GD26-INT(GD26))</f>
        <v>#NAME?</v>
      </c>
      <c r="GF26" s="30" t="e">
        <f t="shared" ca="1" si="30"/>
        <v>#NAME?</v>
      </c>
      <c r="GG26" s="35" t="e">
        <f ca="1">_xll.RiskBinomial(1,GF26)</f>
        <v>#VALUE!</v>
      </c>
      <c r="GH26" s="88" t="e">
        <f ca="1">IF(GG26=1,_xll.RiskBinomial(1,Prob_Illness_Given_Infection),0)</f>
        <v>#VALUE!</v>
      </c>
      <c r="GJ26" s="87" t="e">
        <f t="shared" ca="1" si="65"/>
        <v>#NAME?</v>
      </c>
      <c r="GK26" s="37" t="e">
        <f ca="1">INT(GJ26) + _xll.RiskBinomial(1,GJ26-INT(GJ26))</f>
        <v>#NAME?</v>
      </c>
      <c r="GL26" s="30" t="e">
        <f t="shared" ca="1" si="31"/>
        <v>#NAME?</v>
      </c>
      <c r="GM26" s="35" t="e">
        <f ca="1">_xll.RiskBinomial(1,GL26)</f>
        <v>#VALUE!</v>
      </c>
      <c r="GN26" s="88" t="e">
        <f ca="1">IF(GM26=1,_xll.RiskBinomial(1,Prob_Illness_Given_Infection),0)</f>
        <v>#VALUE!</v>
      </c>
      <c r="GP26" s="87" t="e">
        <f t="shared" ca="1" si="66"/>
        <v>#NAME?</v>
      </c>
      <c r="GQ26" s="37" t="e">
        <f ca="1">INT(GP26) + _xll.RiskBinomial(1,GP26-INT(GP26))</f>
        <v>#NAME?</v>
      </c>
      <c r="GR26" s="30" t="e">
        <f t="shared" ca="1" si="32"/>
        <v>#NAME?</v>
      </c>
      <c r="GS26" s="35" t="e">
        <f ca="1">_xll.RiskBinomial(1,GR26)</f>
        <v>#VALUE!</v>
      </c>
      <c r="GT26" s="88" t="e">
        <f ca="1">IF(GS26=1,_xll.RiskBinomial(1,Prob_Illness_Given_Infection),0)</f>
        <v>#VALUE!</v>
      </c>
    </row>
    <row r="27" spans="2:202">
      <c r="B27" s="108">
        <v>19</v>
      </c>
      <c r="C27" s="87">
        <f ca="1">_xll.RiskLoglogistic(LogLogistic_gamma, LogLogistic_beta, LogLogistic_alpha, _xll.RiskTruncate(5,800))</f>
        <v>69.665600587553953</v>
      </c>
      <c r="D27" s="38">
        <f t="shared" ca="1" si="33"/>
        <v>4.4754322472769106</v>
      </c>
      <c r="E27" s="30"/>
      <c r="F27" s="87">
        <f t="shared" ca="1" si="34"/>
        <v>1.6158064383083769E-9</v>
      </c>
      <c r="G27" s="37">
        <f ca="1">INT(F27) + _xll.RiskBinomial(1,F27-INT(F27))</f>
        <v>0</v>
      </c>
      <c r="H27" s="30">
        <f t="shared" ca="1" si="0"/>
        <v>0</v>
      </c>
      <c r="I27" s="35">
        <f ca="1">_xll.RiskBinomial(1,H27)</f>
        <v>0</v>
      </c>
      <c r="J27" s="88">
        <f ca="1">IF(I27=1,_xll.RiskBinomial(1,Prob_Illness_Given_Infection),0)</f>
        <v>0</v>
      </c>
      <c r="K27" s="30"/>
      <c r="L27" s="87">
        <f t="shared" ca="1" si="35"/>
        <v>8.2531182682182017E-5</v>
      </c>
      <c r="M27" s="37">
        <f ca="1">INT(L27) + _xll.RiskBinomial(1,L27-INT(L27))</f>
        <v>0</v>
      </c>
      <c r="N27" s="30">
        <f t="shared" ca="1" si="1"/>
        <v>0</v>
      </c>
      <c r="O27" s="35">
        <f ca="1">_xll.RiskBinomial(1,N27)</f>
        <v>0</v>
      </c>
      <c r="P27" s="88">
        <f ca="1">IF(O27=1,_xll.RiskBinomial(1,Prob_Illness_Given_Infection),0)</f>
        <v>0</v>
      </c>
      <c r="Q27" s="30"/>
      <c r="R27" s="87">
        <f t="shared" ca="1" si="36"/>
        <v>8.5317246731149407E-6</v>
      </c>
      <c r="S27" s="37">
        <f ca="1">INT(R27) + _xll.RiskBinomial(1,R27-INT(R27))</f>
        <v>0</v>
      </c>
      <c r="T27" s="30">
        <f t="shared" ca="1" si="2"/>
        <v>0</v>
      </c>
      <c r="U27" s="35">
        <f ca="1">_xll.RiskBinomial(1,T27)</f>
        <v>0</v>
      </c>
      <c r="V27" s="88">
        <f ca="1">IF(U27=1,_xll.RiskBinomial(1,Prob_Illness_Given_Infection),0)</f>
        <v>0</v>
      </c>
      <c r="W27" s="30"/>
      <c r="X27" s="87">
        <f t="shared" ca="1" si="37"/>
        <v>3.5050547824174156E-12</v>
      </c>
      <c r="Y27" s="37">
        <f ca="1">INT(X27) + _xll.RiskBinomial(1,X27-INT(X27))</f>
        <v>0</v>
      </c>
      <c r="Z27" s="30">
        <f t="shared" ca="1" si="3"/>
        <v>0</v>
      </c>
      <c r="AA27" s="35">
        <f ca="1">_xll.RiskBinomial(1,Z27)</f>
        <v>0</v>
      </c>
      <c r="AB27" s="88">
        <f ca="1">IF(AA27=1,_xll.RiskBinomial(1,Prob_Illness_Given_Infection),0)</f>
        <v>0</v>
      </c>
      <c r="AC27" s="30"/>
      <c r="AD27" s="87">
        <f t="shared" ca="1" si="38"/>
        <v>1.7659086757496792E-12</v>
      </c>
      <c r="AE27" s="37">
        <f ca="1">INT(AD27) + _xll.RiskBinomial(1,AD27-INT(AD27))</f>
        <v>0</v>
      </c>
      <c r="AF27" s="30">
        <f t="shared" ca="1" si="4"/>
        <v>0</v>
      </c>
      <c r="AG27" s="35">
        <f ca="1">_xll.RiskBinomial(1,AF27)</f>
        <v>0</v>
      </c>
      <c r="AH27" s="88">
        <f ca="1">IF(AG27=1,_xll.RiskBinomial(1,Prob_Illness_Given_Infection),0)</f>
        <v>0</v>
      </c>
      <c r="AI27" s="30"/>
      <c r="AJ27" s="87">
        <f t="shared" ca="1" si="39"/>
        <v>8.1968929862015794E-5</v>
      </c>
      <c r="AK27" s="37">
        <f ca="1">INT(AJ27) + _xll.RiskBinomial(1,AJ27-INT(AJ27))</f>
        <v>0</v>
      </c>
      <c r="AL27" s="30">
        <f t="shared" ca="1" si="5"/>
        <v>0</v>
      </c>
      <c r="AM27" s="35">
        <f ca="1">_xll.RiskBinomial(1,AL27)</f>
        <v>0</v>
      </c>
      <c r="AN27" s="88">
        <f ca="1">IF(AM27=1,_xll.RiskBinomial(1,Prob_Illness_Given_Infection),0)</f>
        <v>0</v>
      </c>
      <c r="AO27" s="30"/>
      <c r="AP27" s="87">
        <f t="shared" ca="1" si="40"/>
        <v>1.9934051668965745E-9</v>
      </c>
      <c r="AQ27" s="37">
        <f ca="1">INT(AP27) + _xll.RiskBinomial(1,AP27-INT(AP27))</f>
        <v>0</v>
      </c>
      <c r="AR27" s="30">
        <f t="shared" ca="1" si="6"/>
        <v>0</v>
      </c>
      <c r="AS27" s="35">
        <f ca="1">_xll.RiskBinomial(1,AR27)</f>
        <v>0</v>
      </c>
      <c r="AT27" s="88">
        <f ca="1">IF(AS27=1,_xll.RiskBinomial(1,Prob_Illness_Given_Infection),0)</f>
        <v>0</v>
      </c>
      <c r="AU27" s="30"/>
      <c r="AV27" s="87">
        <f t="shared" ca="1" si="41"/>
        <v>4.6245962133106024E-5</v>
      </c>
      <c r="AW27" s="37">
        <f ca="1">INT(AV27) + _xll.RiskBinomial(1,AV27-INT(AV27))</f>
        <v>0</v>
      </c>
      <c r="AX27" s="30">
        <f t="shared" ca="1" si="7"/>
        <v>0</v>
      </c>
      <c r="AY27" s="35">
        <f ca="1">_xll.RiskBinomial(1,AX27)</f>
        <v>0</v>
      </c>
      <c r="AZ27" s="88">
        <f ca="1">IF(AY27=1,_xll.RiskBinomial(1,Prob_Illness_Given_Infection),0)</f>
        <v>0</v>
      </c>
      <c r="BB27" s="87">
        <f t="shared" ca="1" si="42"/>
        <v>6.3473039851620261E-5</v>
      </c>
      <c r="BC27" s="37">
        <f ca="1">INT(BB27) + _xll.RiskBinomial(1,BB27-INT(BB27))</f>
        <v>0</v>
      </c>
      <c r="BD27" s="30">
        <f t="shared" ca="1" si="8"/>
        <v>0</v>
      </c>
      <c r="BE27" s="35">
        <f ca="1">_xll.RiskBinomial(1,BD27)</f>
        <v>0</v>
      </c>
      <c r="BF27" s="88">
        <f ca="1">IF(BE27=1,_xll.RiskBinomial(1,Prob_Illness_Given_Infection),0)</f>
        <v>0</v>
      </c>
      <c r="BH27" s="87">
        <f t="shared" ca="1" si="43"/>
        <v>8.0361409410775964E-5</v>
      </c>
      <c r="BI27" s="37">
        <f ca="1">INT(BH27) + _xll.RiskBinomial(1,BH27-INT(BH27))</f>
        <v>0</v>
      </c>
      <c r="BJ27" s="30">
        <f t="shared" ca="1" si="9"/>
        <v>0</v>
      </c>
      <c r="BK27" s="35">
        <f ca="1">_xll.RiskBinomial(1,BJ27)</f>
        <v>0</v>
      </c>
      <c r="BL27" s="88">
        <f ca="1">IF(BK27=1,_xll.RiskBinomial(1,Prob_Illness_Given_Infection),0)</f>
        <v>0</v>
      </c>
      <c r="BN27" s="87">
        <f t="shared" ca="1" si="44"/>
        <v>6.1159614745064539E-6</v>
      </c>
      <c r="BO27" s="37">
        <f ca="1">INT(BN27) + _xll.RiskBinomial(1,BN27-INT(BN27))</f>
        <v>0</v>
      </c>
      <c r="BP27" s="30">
        <f t="shared" ca="1" si="10"/>
        <v>0</v>
      </c>
      <c r="BQ27" s="35">
        <f ca="1">_xll.RiskBinomial(1,BP27)</f>
        <v>0</v>
      </c>
      <c r="BR27" s="88">
        <f ca="1">IF(BQ27=1,_xll.RiskBinomial(1,Prob_Illness_Given_Infection),0)</f>
        <v>0</v>
      </c>
      <c r="BT27" s="87">
        <f t="shared" ca="1" si="45"/>
        <v>1.8390631496674968E-5</v>
      </c>
      <c r="BU27" s="37">
        <f ca="1">INT(BT27) + _xll.RiskBinomial(1,BT27-INT(BT27))</f>
        <v>0</v>
      </c>
      <c r="BV27" s="30">
        <f t="shared" ca="1" si="11"/>
        <v>0</v>
      </c>
      <c r="BW27" s="35">
        <f ca="1">_xll.RiskBinomial(1,BV27)</f>
        <v>0</v>
      </c>
      <c r="BX27" s="88">
        <f ca="1">IF(BW27=1,_xll.RiskBinomial(1,Prob_Illness_Given_Infection),0)</f>
        <v>0</v>
      </c>
      <c r="BZ27" s="87">
        <f t="shared" ca="1" si="46"/>
        <v>5.0414920252238326E-5</v>
      </c>
      <c r="CA27" s="37">
        <f ca="1">INT(BZ27) + _xll.RiskBinomial(1,BZ27-INT(BZ27))</f>
        <v>0</v>
      </c>
      <c r="CB27" s="30">
        <f t="shared" ca="1" si="12"/>
        <v>0</v>
      </c>
      <c r="CC27" s="35">
        <f ca="1">_xll.RiskBinomial(1,CB27)</f>
        <v>0</v>
      </c>
      <c r="CD27" s="88">
        <f ca="1">IF(CC27=1,_xll.RiskBinomial(1,Prob_Illness_Given_Infection),0)</f>
        <v>0</v>
      </c>
      <c r="CF27" s="87">
        <f t="shared" ca="1" si="47"/>
        <v>9.5657265032615306E-6</v>
      </c>
      <c r="CG27" s="37">
        <f ca="1">INT(CF27) + _xll.RiskBinomial(1,CF27-INT(CF27))</f>
        <v>0</v>
      </c>
      <c r="CH27" s="30">
        <f t="shared" ca="1" si="13"/>
        <v>0</v>
      </c>
      <c r="CI27" s="35">
        <f ca="1">_xll.RiskBinomial(1,CH27)</f>
        <v>0</v>
      </c>
      <c r="CJ27" s="88">
        <f ca="1">IF(CI27=1,_xll.RiskBinomial(1,Prob_Illness_Given_Infection),0)</f>
        <v>0</v>
      </c>
      <c r="CL27" s="87">
        <f t="shared" ca="1" si="48"/>
        <v>1.8459174172355558E-5</v>
      </c>
      <c r="CM27" s="37">
        <f ca="1">INT(CL27) + _xll.RiskBinomial(1,CL27-INT(CL27))</f>
        <v>0</v>
      </c>
      <c r="CN27" s="30">
        <f t="shared" ca="1" si="14"/>
        <v>0</v>
      </c>
      <c r="CO27" s="35">
        <f ca="1">_xll.RiskBinomial(1,CN27)</f>
        <v>0</v>
      </c>
      <c r="CP27" s="88">
        <f ca="1">IF(CO27=1,_xll.RiskBinomial(1,Prob_Illness_Given_Infection),0)</f>
        <v>0</v>
      </c>
      <c r="CR27" s="87">
        <f t="shared" ca="1" si="49"/>
        <v>1.2721504137556256E-7</v>
      </c>
      <c r="CS27" s="37">
        <f ca="1">INT(CR27) + _xll.RiskBinomial(1,CR27-INT(CR27))</f>
        <v>0</v>
      </c>
      <c r="CT27" s="30">
        <f t="shared" ca="1" si="15"/>
        <v>0</v>
      </c>
      <c r="CU27" s="35">
        <f ca="1">_xll.RiskBinomial(1,CT27)</f>
        <v>0</v>
      </c>
      <c r="CV27" s="88">
        <f ca="1">IF(CU27=1,_xll.RiskBinomial(1,Prob_Illness_Given_Infection),0)</f>
        <v>0</v>
      </c>
      <c r="CX27" s="87">
        <f t="shared" ca="1" si="50"/>
        <v>1.2950346589578262E-9</v>
      </c>
      <c r="CY27" s="37">
        <f ca="1">INT(CX27) + _xll.RiskBinomial(1,CX27-INT(CX27))</f>
        <v>0</v>
      </c>
      <c r="CZ27" s="30">
        <f t="shared" ca="1" si="16"/>
        <v>0</v>
      </c>
      <c r="DA27" s="35">
        <f ca="1">_xll.RiskBinomial(1,CZ27)</f>
        <v>0</v>
      </c>
      <c r="DB27" s="88">
        <f ca="1">IF(DA27=1,_xll.RiskBinomial(1,Prob_Illness_Given_Infection),0)</f>
        <v>0</v>
      </c>
      <c r="DD27" s="87">
        <f t="shared" ca="1" si="51"/>
        <v>1.2950346589578262E-9</v>
      </c>
      <c r="DE27" s="37">
        <f ca="1">INT(DD27) + _xll.RiskBinomial(1,DD27-INT(DD27))</f>
        <v>0</v>
      </c>
      <c r="DF27" s="30">
        <f t="shared" ca="1" si="17"/>
        <v>0</v>
      </c>
      <c r="DG27" s="35">
        <f ca="1">_xll.RiskBinomial(1,DF27)</f>
        <v>0</v>
      </c>
      <c r="DH27" s="88">
        <f ca="1">IF(DG27=1,_xll.RiskBinomial(1,Prob_Illness_Given_Infection),0)</f>
        <v>0</v>
      </c>
      <c r="DJ27" s="87">
        <f t="shared" ca="1" si="52"/>
        <v>2.1146119082979515E-6</v>
      </c>
      <c r="DK27" s="37">
        <f ca="1">INT(DJ27) + _xll.RiskBinomial(1,DJ27-INT(DJ27))</f>
        <v>0</v>
      </c>
      <c r="DL27" s="30">
        <f t="shared" ca="1" si="18"/>
        <v>0</v>
      </c>
      <c r="DM27" s="35">
        <f ca="1">_xll.RiskBinomial(1,DL27)</f>
        <v>0</v>
      </c>
      <c r="DN27" s="88">
        <f ca="1">IF(DM27=1,_xll.RiskBinomial(1,Prob_Illness_Given_Infection),0)</f>
        <v>0</v>
      </c>
      <c r="DP27" s="87">
        <f t="shared" ca="1" si="53"/>
        <v>4.9988335681348192E-10</v>
      </c>
      <c r="DQ27" s="37">
        <f ca="1">INT(DP27) + _xll.RiskBinomial(1,DP27-INT(DP27))</f>
        <v>0</v>
      </c>
      <c r="DR27" s="30">
        <f t="shared" ca="1" si="19"/>
        <v>0</v>
      </c>
      <c r="DS27" s="35">
        <f ca="1">_xll.RiskBinomial(1,DR27)</f>
        <v>0</v>
      </c>
      <c r="DT27" s="88">
        <f ca="1">IF(DS27=1,_xll.RiskBinomial(1,Prob_Illness_Given_Infection),0)</f>
        <v>0</v>
      </c>
      <c r="DV27" s="87">
        <f t="shared" ca="1" si="54"/>
        <v>7.0373877260145572E-9</v>
      </c>
      <c r="DW27" s="37">
        <f ca="1">INT(DV27) + _xll.RiskBinomial(1,DV27-INT(DV27))</f>
        <v>0</v>
      </c>
      <c r="DX27" s="30">
        <f t="shared" ca="1" si="20"/>
        <v>0</v>
      </c>
      <c r="DY27" s="35">
        <f ca="1">_xll.RiskBinomial(1,DX27)</f>
        <v>0</v>
      </c>
      <c r="DZ27" s="88">
        <f ca="1">IF(DY27=1,_xll.RiskBinomial(1,Prob_Illness_Given_Infection),0)</f>
        <v>0</v>
      </c>
      <c r="EB27" s="87">
        <f t="shared" ca="1" si="55"/>
        <v>1.7659086757490861E-12</v>
      </c>
      <c r="EC27" s="37">
        <f ca="1">INT(EB27) + _xll.RiskBinomial(1,EB27-INT(EB27))</f>
        <v>0</v>
      </c>
      <c r="ED27" s="30">
        <f t="shared" ca="1" si="21"/>
        <v>0</v>
      </c>
      <c r="EE27" s="35">
        <f ca="1">_xll.RiskBinomial(1,ED27)</f>
        <v>0</v>
      </c>
      <c r="EF27" s="88">
        <f ca="1">IF(EE27=1,_xll.RiskBinomial(1,Prob_Illness_Given_Infection),0)</f>
        <v>0</v>
      </c>
      <c r="EH27" s="87">
        <f t="shared" ca="1" si="56"/>
        <v>1.7659086757472708E-12</v>
      </c>
      <c r="EI27" s="37">
        <f ca="1">INT(EH27) + _xll.RiskBinomial(1,EH27-INT(EH27))</f>
        <v>0</v>
      </c>
      <c r="EJ27" s="30">
        <f t="shared" ca="1" si="22"/>
        <v>0</v>
      </c>
      <c r="EK27" s="35">
        <f ca="1">_xll.RiskBinomial(1,EJ27)</f>
        <v>0</v>
      </c>
      <c r="EL27" s="88">
        <f ca="1">IF(EK27=1,_xll.RiskBinomial(1,Prob_Illness_Given_Infection),0)</f>
        <v>0</v>
      </c>
      <c r="EN27" s="87">
        <f t="shared" ca="1" si="57"/>
        <v>1.6112850535413489E-10</v>
      </c>
      <c r="EO27" s="37">
        <f ca="1">INT(EN27) + _xll.RiskBinomial(1,EN27-INT(EN27))</f>
        <v>0</v>
      </c>
      <c r="EP27" s="30">
        <f t="shared" ca="1" si="23"/>
        <v>0</v>
      </c>
      <c r="EQ27" s="35">
        <f ca="1">_xll.RiskBinomial(1,EP27)</f>
        <v>0</v>
      </c>
      <c r="ER27" s="88">
        <f ca="1">IF(EQ27=1,_xll.RiskBinomial(1,Prob_Illness_Given_Infection),0)</f>
        <v>0</v>
      </c>
      <c r="ET27" s="87">
        <f t="shared" ca="1" si="58"/>
        <v>1.7659086757455869E-12</v>
      </c>
      <c r="EU27" s="37">
        <f ca="1">INT(ET27) + _xll.RiskBinomial(1,ET27-INT(ET27))</f>
        <v>0</v>
      </c>
      <c r="EV27" s="30">
        <f t="shared" ca="1" si="24"/>
        <v>0</v>
      </c>
      <c r="EW27" s="35">
        <f ca="1">_xll.RiskBinomial(1,EV27)</f>
        <v>0</v>
      </c>
      <c r="EX27" s="88">
        <f ca="1">IF(EW27=1,_xll.RiskBinomial(1,Prob_Illness_Given_Infection),0)</f>
        <v>0</v>
      </c>
      <c r="EZ27" s="87">
        <f t="shared" ca="1" si="59"/>
        <v>1.3318842510578899E-5</v>
      </c>
      <c r="FA27" s="37">
        <f ca="1">INT(EZ27) + _xll.RiskBinomial(1,EZ27-INT(EZ27))</f>
        <v>0</v>
      </c>
      <c r="FB27" s="30">
        <f t="shared" ca="1" si="25"/>
        <v>0</v>
      </c>
      <c r="FC27" s="35">
        <f ca="1">_xll.RiskBinomial(1,FB27)</f>
        <v>0</v>
      </c>
      <c r="FD27" s="88">
        <f ca="1">IF(FC27=1,_xll.RiskBinomial(1,Prob_Illness_Given_Infection),0)</f>
        <v>0</v>
      </c>
      <c r="FF27" s="87">
        <f t="shared" ca="1" si="60"/>
        <v>9.2777559755093279E-5</v>
      </c>
      <c r="FG27" s="37">
        <f ca="1">INT(FF27) + _xll.RiskBinomial(1,FF27-INT(FF27))</f>
        <v>0</v>
      </c>
      <c r="FH27" s="30">
        <f t="shared" ca="1" si="26"/>
        <v>0</v>
      </c>
      <c r="FI27" s="35">
        <f ca="1">_xll.RiskBinomial(1,FH27)</f>
        <v>0</v>
      </c>
      <c r="FJ27" s="88">
        <f ca="1">IF(FI27=1,_xll.RiskBinomial(1,Prob_Illness_Given_Infection),0)</f>
        <v>0</v>
      </c>
      <c r="FL27" s="87" t="e">
        <f t="shared" ca="1" si="61"/>
        <v>#NAME?</v>
      </c>
      <c r="FM27" s="37" t="e">
        <f ca="1">INT(FL27) + _xll.RiskBinomial(1,FL27-INT(FL27))</f>
        <v>#NAME?</v>
      </c>
      <c r="FN27" s="30" t="e">
        <f t="shared" ca="1" si="27"/>
        <v>#NAME?</v>
      </c>
      <c r="FO27" s="35" t="e">
        <f ca="1">_xll.RiskBinomial(1,FN27)</f>
        <v>#VALUE!</v>
      </c>
      <c r="FP27" s="88" t="e">
        <f ca="1">IF(FO27=1,_xll.RiskBinomial(1,Prob_Illness_Given_Infection),0)</f>
        <v>#VALUE!</v>
      </c>
      <c r="FR27" s="87" t="e">
        <f t="shared" ca="1" si="62"/>
        <v>#NAME?</v>
      </c>
      <c r="FS27" s="37" t="e">
        <f ca="1">INT(FR27) + _xll.RiskBinomial(1,FR27-INT(FR27))</f>
        <v>#NAME?</v>
      </c>
      <c r="FT27" s="30" t="e">
        <f t="shared" ca="1" si="28"/>
        <v>#NAME?</v>
      </c>
      <c r="FU27" s="35" t="e">
        <f ca="1">_xll.RiskBinomial(1,FT27)</f>
        <v>#VALUE!</v>
      </c>
      <c r="FV27" s="88" t="e">
        <f ca="1">IF(FU27=1,_xll.RiskBinomial(1,Prob_Illness_Given_Infection),0)</f>
        <v>#VALUE!</v>
      </c>
      <c r="FX27" s="87">
        <f t="shared" ca="1" si="63"/>
        <v>1.8643882026909821E-7</v>
      </c>
      <c r="FY27" s="37">
        <f ca="1">INT(FX27) + _xll.RiskBinomial(1,FX27-INT(FX27))</f>
        <v>0</v>
      </c>
      <c r="FZ27" s="30">
        <f t="shared" ca="1" si="29"/>
        <v>0</v>
      </c>
      <c r="GA27" s="35">
        <f ca="1">_xll.RiskBinomial(1,FZ27)</f>
        <v>0</v>
      </c>
      <c r="GB27" s="88">
        <f ca="1">IF(GA27=1,_xll.RiskBinomial(1,Prob_Illness_Given_Infection),0)</f>
        <v>0</v>
      </c>
      <c r="GD27" s="87" t="e">
        <f t="shared" ca="1" si="64"/>
        <v>#NAME?</v>
      </c>
      <c r="GE27" s="37" t="e">
        <f ca="1">INT(GD27) + _xll.RiskBinomial(1,GD27-INT(GD27))</f>
        <v>#NAME?</v>
      </c>
      <c r="GF27" s="30" t="e">
        <f t="shared" ca="1" si="30"/>
        <v>#NAME?</v>
      </c>
      <c r="GG27" s="35" t="e">
        <f ca="1">_xll.RiskBinomial(1,GF27)</f>
        <v>#VALUE!</v>
      </c>
      <c r="GH27" s="88" t="e">
        <f ca="1">IF(GG27=1,_xll.RiskBinomial(1,Prob_Illness_Given_Infection),0)</f>
        <v>#VALUE!</v>
      </c>
      <c r="GJ27" s="87" t="e">
        <f t="shared" ca="1" si="65"/>
        <v>#NAME?</v>
      </c>
      <c r="GK27" s="37" t="e">
        <f ca="1">INT(GJ27) + _xll.RiskBinomial(1,GJ27-INT(GJ27))</f>
        <v>#NAME?</v>
      </c>
      <c r="GL27" s="30" t="e">
        <f t="shared" ca="1" si="31"/>
        <v>#NAME?</v>
      </c>
      <c r="GM27" s="35" t="e">
        <f ca="1">_xll.RiskBinomial(1,GL27)</f>
        <v>#VALUE!</v>
      </c>
      <c r="GN27" s="88" t="e">
        <f ca="1">IF(GM27=1,_xll.RiskBinomial(1,Prob_Illness_Given_Infection),0)</f>
        <v>#VALUE!</v>
      </c>
      <c r="GP27" s="87" t="e">
        <f t="shared" ca="1" si="66"/>
        <v>#NAME?</v>
      </c>
      <c r="GQ27" s="37" t="e">
        <f ca="1">INT(GP27) + _xll.RiskBinomial(1,GP27-INT(GP27))</f>
        <v>#NAME?</v>
      </c>
      <c r="GR27" s="30" t="e">
        <f t="shared" ca="1" si="32"/>
        <v>#NAME?</v>
      </c>
      <c r="GS27" s="35" t="e">
        <f ca="1">_xll.RiskBinomial(1,GR27)</f>
        <v>#VALUE!</v>
      </c>
      <c r="GT27" s="88" t="e">
        <f ca="1">IF(GS27=1,_xll.RiskBinomial(1,Prob_Illness_Given_Infection),0)</f>
        <v>#VALUE!</v>
      </c>
    </row>
    <row r="28" spans="2:202">
      <c r="B28" s="108">
        <v>20</v>
      </c>
      <c r="C28" s="87">
        <f ca="1">_xll.RiskLoglogistic(LogLogistic_gamma, LogLogistic_beta, LogLogistic_alpha, _xll.RiskTruncate(5,800))</f>
        <v>43.51445782273823</v>
      </c>
      <c r="D28" s="38">
        <f t="shared" ca="1" si="33"/>
        <v>2.795440018031595</v>
      </c>
      <c r="E28" s="30"/>
      <c r="F28" s="87">
        <f t="shared" ca="1" si="34"/>
        <v>1.0092634028341399E-9</v>
      </c>
      <c r="G28" s="37">
        <f ca="1">INT(F28) + _xll.RiskBinomial(1,F28-INT(F28))</f>
        <v>0</v>
      </c>
      <c r="H28" s="30">
        <f t="shared" ca="1" si="0"/>
        <v>0</v>
      </c>
      <c r="I28" s="35">
        <f ca="1">_xll.RiskBinomial(1,H28)</f>
        <v>0</v>
      </c>
      <c r="J28" s="88">
        <f ca="1">IF(I28=1,_xll.RiskBinomial(1,Prob_Illness_Given_Infection),0)</f>
        <v>0</v>
      </c>
      <c r="K28" s="30"/>
      <c r="L28" s="87">
        <f t="shared" ca="1" si="35"/>
        <v>5.1550544854214805E-5</v>
      </c>
      <c r="M28" s="37">
        <f ca="1">INT(L28) + _xll.RiskBinomial(1,L28-INT(L28))</f>
        <v>0</v>
      </c>
      <c r="N28" s="30">
        <f t="shared" ca="1" si="1"/>
        <v>0</v>
      </c>
      <c r="O28" s="35">
        <f ca="1">_xll.RiskBinomial(1,N28)</f>
        <v>0</v>
      </c>
      <c r="P28" s="88">
        <f ca="1">IF(O28=1,_xll.RiskBinomial(1,Prob_Illness_Given_Infection),0)</f>
        <v>0</v>
      </c>
      <c r="Q28" s="30"/>
      <c r="R28" s="87">
        <f t="shared" ca="1" si="36"/>
        <v>5.3290773396390012E-6</v>
      </c>
      <c r="S28" s="37">
        <f ca="1">INT(R28) + _xll.RiskBinomial(1,R28-INT(R28))</f>
        <v>0</v>
      </c>
      <c r="T28" s="30">
        <f t="shared" ca="1" si="2"/>
        <v>0</v>
      </c>
      <c r="U28" s="35">
        <f ca="1">_xll.RiskBinomial(1,T28)</f>
        <v>0</v>
      </c>
      <c r="V28" s="88">
        <f ca="1">IF(U28=1,_xll.RiskBinomial(1,Prob_Illness_Given_Infection),0)</f>
        <v>0</v>
      </c>
      <c r="W28" s="30"/>
      <c r="X28" s="87">
        <f t="shared" ca="1" si="37"/>
        <v>2.1893238156212493E-12</v>
      </c>
      <c r="Y28" s="37">
        <f ca="1">INT(X28) + _xll.RiskBinomial(1,X28-INT(X28))</f>
        <v>0</v>
      </c>
      <c r="Z28" s="30">
        <f t="shared" ca="1" si="3"/>
        <v>0</v>
      </c>
      <c r="AA28" s="35">
        <f ca="1">_xll.RiskBinomial(1,Z28)</f>
        <v>0</v>
      </c>
      <c r="AB28" s="88">
        <f ca="1">IF(AA28=1,_xll.RiskBinomial(1,Prob_Illness_Given_Infection),0)</f>
        <v>0</v>
      </c>
      <c r="AC28" s="30"/>
      <c r="AD28" s="87">
        <f t="shared" ca="1" si="38"/>
        <v>1.1030201123887991E-12</v>
      </c>
      <c r="AE28" s="37">
        <f ca="1">INT(AD28) + _xll.RiskBinomial(1,AD28-INT(AD28))</f>
        <v>0</v>
      </c>
      <c r="AF28" s="30">
        <f t="shared" ca="1" si="4"/>
        <v>0</v>
      </c>
      <c r="AG28" s="35">
        <f ca="1">_xll.RiskBinomial(1,AF28)</f>
        <v>0</v>
      </c>
      <c r="AH28" s="88">
        <f ca="1">IF(AG28=1,_xll.RiskBinomial(1,Prob_Illness_Given_Infection),0)</f>
        <v>0</v>
      </c>
      <c r="AI28" s="30"/>
      <c r="AJ28" s="87">
        <f t="shared" ca="1" si="39"/>
        <v>5.1199351059537183E-5</v>
      </c>
      <c r="AK28" s="37">
        <f ca="1">INT(AJ28) + _xll.RiskBinomial(1,AJ28-INT(AJ28))</f>
        <v>0</v>
      </c>
      <c r="AL28" s="30">
        <f t="shared" ca="1" si="5"/>
        <v>0</v>
      </c>
      <c r="AM28" s="35">
        <f ca="1">_xll.RiskBinomial(1,AL28)</f>
        <v>0</v>
      </c>
      <c r="AN28" s="88">
        <f ca="1">IF(AM28=1,_xll.RiskBinomial(1,Prob_Illness_Given_Infection),0)</f>
        <v>0</v>
      </c>
      <c r="AO28" s="30"/>
      <c r="AP28" s="87">
        <f t="shared" ca="1" si="40"/>
        <v>1.2451187433536068E-9</v>
      </c>
      <c r="AQ28" s="37">
        <f ca="1">INT(AP28) + _xll.RiskBinomial(1,AP28-INT(AP28))</f>
        <v>0</v>
      </c>
      <c r="AR28" s="30">
        <f t="shared" ca="1" si="6"/>
        <v>0</v>
      </c>
      <c r="AS28" s="35">
        <f ca="1">_xll.RiskBinomial(1,AR28)</f>
        <v>0</v>
      </c>
      <c r="AT28" s="88">
        <f ca="1">IF(AS28=1,_xll.RiskBinomial(1,Prob_Illness_Given_Infection),0)</f>
        <v>0</v>
      </c>
      <c r="AU28" s="30"/>
      <c r="AV28" s="87">
        <f t="shared" ca="1" si="41"/>
        <v>2.8886106654372394E-5</v>
      </c>
      <c r="AW28" s="37">
        <f ca="1">INT(AV28) + _xll.RiskBinomial(1,AV28-INT(AV28))</f>
        <v>0</v>
      </c>
      <c r="AX28" s="30">
        <f t="shared" ca="1" si="7"/>
        <v>0</v>
      </c>
      <c r="AY28" s="35">
        <f ca="1">_xll.RiskBinomial(1,AX28)</f>
        <v>0</v>
      </c>
      <c r="AZ28" s="88">
        <f ca="1">IF(AY28=1,_xll.RiskBinomial(1,Prob_Illness_Given_Infection),0)</f>
        <v>0</v>
      </c>
      <c r="BB28" s="87">
        <f t="shared" ca="1" si="42"/>
        <v>3.9646466724034169E-5</v>
      </c>
      <c r="BC28" s="37">
        <f ca="1">INT(BB28) + _xll.RiskBinomial(1,BB28-INT(BB28))</f>
        <v>0</v>
      </c>
      <c r="BD28" s="30">
        <f t="shared" ca="1" si="8"/>
        <v>0</v>
      </c>
      <c r="BE28" s="35">
        <f ca="1">_xll.RiskBinomial(1,BD28)</f>
        <v>0</v>
      </c>
      <c r="BF28" s="88">
        <f ca="1">IF(BE28=1,_xll.RiskBinomial(1,Prob_Illness_Given_Infection),0)</f>
        <v>0</v>
      </c>
      <c r="BH28" s="87">
        <f t="shared" ca="1" si="43"/>
        <v>5.0195263241665678E-5</v>
      </c>
      <c r="BI28" s="37">
        <f ca="1">INT(BH28) + _xll.RiskBinomial(1,BH28-INT(BH28))</f>
        <v>0</v>
      </c>
      <c r="BJ28" s="30">
        <f t="shared" ca="1" si="9"/>
        <v>0</v>
      </c>
      <c r="BK28" s="35">
        <f ca="1">_xll.RiskBinomial(1,BJ28)</f>
        <v>0</v>
      </c>
      <c r="BL28" s="88">
        <f ca="1">IF(BK28=1,_xll.RiskBinomial(1,Prob_Illness_Given_Infection),0)</f>
        <v>0</v>
      </c>
      <c r="BN28" s="87">
        <f t="shared" ca="1" si="44"/>
        <v>3.8201457445763949E-6</v>
      </c>
      <c r="BO28" s="37">
        <f ca="1">INT(BN28) + _xll.RiskBinomial(1,BN28-INT(BN28))</f>
        <v>0</v>
      </c>
      <c r="BP28" s="30">
        <f t="shared" ca="1" si="10"/>
        <v>0</v>
      </c>
      <c r="BQ28" s="35">
        <f ca="1">_xll.RiskBinomial(1,BP28)</f>
        <v>0</v>
      </c>
      <c r="BR28" s="88">
        <f ca="1">IF(BQ28=1,_xll.RiskBinomial(1,Prob_Illness_Given_Infection),0)</f>
        <v>0</v>
      </c>
      <c r="BT28" s="87">
        <f t="shared" ca="1" si="45"/>
        <v>1.1487137867846841E-5</v>
      </c>
      <c r="BU28" s="37">
        <f ca="1">INT(BT28) + _xll.RiskBinomial(1,BT28-INT(BT28))</f>
        <v>0</v>
      </c>
      <c r="BV28" s="30">
        <f t="shared" ca="1" si="11"/>
        <v>0</v>
      </c>
      <c r="BW28" s="35">
        <f ca="1">_xll.RiskBinomial(1,BV28)</f>
        <v>0</v>
      </c>
      <c r="BX28" s="88">
        <f ca="1">IF(BW28=1,_xll.RiskBinomial(1,Prob_Illness_Given_Infection),0)</f>
        <v>0</v>
      </c>
      <c r="BZ28" s="87">
        <f t="shared" ca="1" si="46"/>
        <v>3.1490117108739371E-5</v>
      </c>
      <c r="CA28" s="37">
        <f ca="1">INT(BZ28) + _xll.RiskBinomial(1,BZ28-INT(BZ28))</f>
        <v>0</v>
      </c>
      <c r="CB28" s="30">
        <f t="shared" ca="1" si="12"/>
        <v>0</v>
      </c>
      <c r="CC28" s="35">
        <f ca="1">_xll.RiskBinomial(1,CB28)</f>
        <v>0</v>
      </c>
      <c r="CD28" s="88">
        <f ca="1">IF(CC28=1,_xll.RiskBinomial(1,Prob_Illness_Given_Infection),0)</f>
        <v>0</v>
      </c>
      <c r="CF28" s="87">
        <f t="shared" ca="1" si="47"/>
        <v>5.974934529515669E-6</v>
      </c>
      <c r="CG28" s="37">
        <f ca="1">INT(CF28) + _xll.RiskBinomial(1,CF28-INT(CF28))</f>
        <v>0</v>
      </c>
      <c r="CH28" s="30">
        <f t="shared" ca="1" si="13"/>
        <v>0</v>
      </c>
      <c r="CI28" s="35">
        <f ca="1">_xll.RiskBinomial(1,CH28)</f>
        <v>0</v>
      </c>
      <c r="CJ28" s="88">
        <f ca="1">IF(CI28=1,_xll.RiskBinomial(1,Prob_Illness_Given_Infection),0)</f>
        <v>0</v>
      </c>
      <c r="CL28" s="87">
        <f t="shared" ca="1" si="48"/>
        <v>1.1529950925436324E-5</v>
      </c>
      <c r="CM28" s="37">
        <f ca="1">INT(CL28) + _xll.RiskBinomial(1,CL28-INT(CL28))</f>
        <v>0</v>
      </c>
      <c r="CN28" s="30">
        <f t="shared" ca="1" si="14"/>
        <v>0</v>
      </c>
      <c r="CO28" s="35">
        <f ca="1">_xll.RiskBinomial(1,CN28)</f>
        <v>0</v>
      </c>
      <c r="CP28" s="88">
        <f ca="1">IF(CO28=1,_xll.RiskBinomial(1,Prob_Illness_Given_Infection),0)</f>
        <v>0</v>
      </c>
      <c r="CR28" s="87">
        <f t="shared" ca="1" si="49"/>
        <v>7.9460932019062944E-8</v>
      </c>
      <c r="CS28" s="37">
        <f ca="1">INT(CR28) + _xll.RiskBinomial(1,CR28-INT(CR28))</f>
        <v>0</v>
      </c>
      <c r="CT28" s="30">
        <f t="shared" ca="1" si="15"/>
        <v>0</v>
      </c>
      <c r="CU28" s="35">
        <f ca="1">_xll.RiskBinomial(1,CT28)</f>
        <v>0</v>
      </c>
      <c r="CV28" s="88">
        <f ca="1">IF(CU28=1,_xll.RiskBinomial(1,Prob_Illness_Given_Infection),0)</f>
        <v>0</v>
      </c>
      <c r="CX28" s="87">
        <f t="shared" ca="1" si="50"/>
        <v>8.0890325456079056E-10</v>
      </c>
      <c r="CY28" s="37">
        <f ca="1">INT(CX28) + _xll.RiskBinomial(1,CX28-INT(CX28))</f>
        <v>0</v>
      </c>
      <c r="CZ28" s="30">
        <f t="shared" ca="1" si="16"/>
        <v>0</v>
      </c>
      <c r="DA28" s="35">
        <f ca="1">_xll.RiskBinomial(1,CZ28)</f>
        <v>0</v>
      </c>
      <c r="DB28" s="88">
        <f ca="1">IF(DA28=1,_xll.RiskBinomial(1,Prob_Illness_Given_Infection),0)</f>
        <v>0</v>
      </c>
      <c r="DD28" s="87">
        <f t="shared" ca="1" si="51"/>
        <v>8.0890325456079056E-10</v>
      </c>
      <c r="DE28" s="37">
        <f ca="1">INT(DD28) + _xll.RiskBinomial(1,DD28-INT(DD28))</f>
        <v>0</v>
      </c>
      <c r="DF28" s="30">
        <f t="shared" ca="1" si="17"/>
        <v>0</v>
      </c>
      <c r="DG28" s="35">
        <f ca="1">_xll.RiskBinomial(1,DF28)</f>
        <v>0</v>
      </c>
      <c r="DH28" s="88">
        <f ca="1">IF(DG28=1,_xll.RiskBinomial(1,Prob_Illness_Given_Infection),0)</f>
        <v>0</v>
      </c>
      <c r="DJ28" s="87">
        <f t="shared" ca="1" si="52"/>
        <v>1.3208267770468386E-6</v>
      </c>
      <c r="DK28" s="37">
        <f ca="1">INT(DJ28) + _xll.RiskBinomial(1,DJ28-INT(DJ28))</f>
        <v>0</v>
      </c>
      <c r="DL28" s="30">
        <f t="shared" ca="1" si="18"/>
        <v>0</v>
      </c>
      <c r="DM28" s="35">
        <f ca="1">_xll.RiskBinomial(1,DL28)</f>
        <v>0</v>
      </c>
      <c r="DN28" s="88">
        <f ca="1">IF(DM28=1,_xll.RiskBinomial(1,Prob_Illness_Given_Infection),0)</f>
        <v>0</v>
      </c>
      <c r="DP28" s="87">
        <f t="shared" ca="1" si="53"/>
        <v>3.1223664280352419E-10</v>
      </c>
      <c r="DQ28" s="37">
        <f ca="1">INT(DP28) + _xll.RiskBinomial(1,DP28-INT(DP28))</f>
        <v>0</v>
      </c>
      <c r="DR28" s="30">
        <f t="shared" ca="1" si="19"/>
        <v>0</v>
      </c>
      <c r="DS28" s="35">
        <f ca="1">_xll.RiskBinomial(1,DR28)</f>
        <v>0</v>
      </c>
      <c r="DT28" s="88">
        <f ca="1">IF(DS28=1,_xll.RiskBinomial(1,Prob_Illness_Given_Infection),0)</f>
        <v>0</v>
      </c>
      <c r="DV28" s="87">
        <f t="shared" ca="1" si="54"/>
        <v>4.3956860890197375E-9</v>
      </c>
      <c r="DW28" s="37">
        <f ca="1">INT(DV28) + _xll.RiskBinomial(1,DV28-INT(DV28))</f>
        <v>0</v>
      </c>
      <c r="DX28" s="30">
        <f t="shared" ca="1" si="20"/>
        <v>0</v>
      </c>
      <c r="DY28" s="35">
        <f ca="1">_xll.RiskBinomial(1,DX28)</f>
        <v>0</v>
      </c>
      <c r="DZ28" s="88">
        <f ca="1">IF(DY28=1,_xll.RiskBinomial(1,Prob_Illness_Given_Infection),0)</f>
        <v>0</v>
      </c>
      <c r="EB28" s="87">
        <f t="shared" ca="1" si="55"/>
        <v>1.1030201123884287E-12</v>
      </c>
      <c r="EC28" s="37">
        <f ca="1">INT(EB28) + _xll.RiskBinomial(1,EB28-INT(EB28))</f>
        <v>0</v>
      </c>
      <c r="ED28" s="30">
        <f t="shared" ca="1" si="21"/>
        <v>0</v>
      </c>
      <c r="EE28" s="35">
        <f ca="1">_xll.RiskBinomial(1,ED28)</f>
        <v>0</v>
      </c>
      <c r="EF28" s="88">
        <f ca="1">IF(EE28=1,_xll.RiskBinomial(1,Prob_Illness_Given_Infection),0)</f>
        <v>0</v>
      </c>
      <c r="EH28" s="87">
        <f t="shared" ca="1" si="56"/>
        <v>1.1030201123872948E-12</v>
      </c>
      <c r="EI28" s="37">
        <f ca="1">INT(EH28) + _xll.RiskBinomial(1,EH28-INT(EH28))</f>
        <v>0</v>
      </c>
      <c r="EJ28" s="30">
        <f t="shared" ca="1" si="22"/>
        <v>0</v>
      </c>
      <c r="EK28" s="35">
        <f ca="1">_xll.RiskBinomial(1,EJ28)</f>
        <v>0</v>
      </c>
      <c r="EL28" s="88">
        <f ca="1">IF(EK28=1,_xll.RiskBinomial(1,Prob_Illness_Given_Infection),0)</f>
        <v>0</v>
      </c>
      <c r="EN28" s="87">
        <f t="shared" ca="1" si="57"/>
        <v>1.0064392599991412E-10</v>
      </c>
      <c r="EO28" s="37">
        <f ca="1">INT(EN28) + _xll.RiskBinomial(1,EN28-INT(EN28))</f>
        <v>0</v>
      </c>
      <c r="EP28" s="30">
        <f t="shared" ca="1" si="23"/>
        <v>0</v>
      </c>
      <c r="EQ28" s="35">
        <f ca="1">_xll.RiskBinomial(1,EP28)</f>
        <v>0</v>
      </c>
      <c r="ER28" s="88">
        <f ca="1">IF(EQ28=1,_xll.RiskBinomial(1,Prob_Illness_Given_Infection),0)</f>
        <v>0</v>
      </c>
      <c r="ET28" s="87">
        <f t="shared" ca="1" si="58"/>
        <v>1.1030201123862428E-12</v>
      </c>
      <c r="EU28" s="37">
        <f ca="1">INT(ET28) + _xll.RiskBinomial(1,ET28-INT(ET28))</f>
        <v>0</v>
      </c>
      <c r="EV28" s="30">
        <f t="shared" ca="1" si="24"/>
        <v>0</v>
      </c>
      <c r="EW28" s="35">
        <f ca="1">_xll.RiskBinomial(1,EV28)</f>
        <v>0</v>
      </c>
      <c r="EX28" s="88">
        <f ca="1">IF(EW28=1,_xll.RiskBinomial(1,Prob_Illness_Given_Infection),0)</f>
        <v>0</v>
      </c>
      <c r="EZ28" s="87">
        <f t="shared" ca="1" si="59"/>
        <v>8.3192020995483928E-6</v>
      </c>
      <c r="FA28" s="37">
        <f ca="1">INT(EZ28) + _xll.RiskBinomial(1,EZ28-INT(EZ28))</f>
        <v>0</v>
      </c>
      <c r="FB28" s="30">
        <f t="shared" ca="1" si="25"/>
        <v>0</v>
      </c>
      <c r="FC28" s="35">
        <f ca="1">_xll.RiskBinomial(1,FB28)</f>
        <v>0</v>
      </c>
      <c r="FD28" s="88">
        <f ca="1">IF(FC28=1,_xll.RiskBinomial(1,Prob_Illness_Given_Infection),0)</f>
        <v>0</v>
      </c>
      <c r="FF28" s="87">
        <f t="shared" ca="1" si="60"/>
        <v>5.7950626662376598E-5</v>
      </c>
      <c r="FG28" s="37">
        <f ca="1">INT(FF28) + _xll.RiskBinomial(1,FF28-INT(FF28))</f>
        <v>0</v>
      </c>
      <c r="FH28" s="30">
        <f t="shared" ca="1" si="26"/>
        <v>0</v>
      </c>
      <c r="FI28" s="35">
        <f ca="1">_xll.RiskBinomial(1,FH28)</f>
        <v>0</v>
      </c>
      <c r="FJ28" s="88">
        <f ca="1">IF(FI28=1,_xll.RiskBinomial(1,Prob_Illness_Given_Infection),0)</f>
        <v>0</v>
      </c>
      <c r="FL28" s="87" t="e">
        <f t="shared" ca="1" si="61"/>
        <v>#NAME?</v>
      </c>
      <c r="FM28" s="37" t="e">
        <f ca="1">INT(FL28) + _xll.RiskBinomial(1,FL28-INT(FL28))</f>
        <v>#NAME?</v>
      </c>
      <c r="FN28" s="30" t="e">
        <f t="shared" ca="1" si="27"/>
        <v>#NAME?</v>
      </c>
      <c r="FO28" s="35" t="e">
        <f ca="1">_xll.RiskBinomial(1,FN28)</f>
        <v>#VALUE!</v>
      </c>
      <c r="FP28" s="88" t="e">
        <f ca="1">IF(FO28=1,_xll.RiskBinomial(1,Prob_Illness_Given_Infection),0)</f>
        <v>#VALUE!</v>
      </c>
      <c r="FR28" s="87" t="e">
        <f t="shared" ca="1" si="62"/>
        <v>#NAME?</v>
      </c>
      <c r="FS28" s="37" t="e">
        <f ca="1">INT(FR28) + _xll.RiskBinomial(1,FR28-INT(FR28))</f>
        <v>#NAME?</v>
      </c>
      <c r="FT28" s="30" t="e">
        <f t="shared" ca="1" si="28"/>
        <v>#NAME?</v>
      </c>
      <c r="FU28" s="35" t="e">
        <f ca="1">_xll.RiskBinomial(1,FT28)</f>
        <v>#VALUE!</v>
      </c>
      <c r="FV28" s="88" t="e">
        <f ca="1">IF(FU28=1,_xll.RiskBinomial(1,Prob_Illness_Given_Infection),0)</f>
        <v>#VALUE!</v>
      </c>
      <c r="FX28" s="87">
        <f t="shared" ca="1" si="63"/>
        <v>1.1645322960970971E-7</v>
      </c>
      <c r="FY28" s="37">
        <f ca="1">INT(FX28) + _xll.RiskBinomial(1,FX28-INT(FX28))</f>
        <v>0</v>
      </c>
      <c r="FZ28" s="30">
        <f t="shared" ca="1" si="29"/>
        <v>0</v>
      </c>
      <c r="GA28" s="35">
        <f ca="1">_xll.RiskBinomial(1,FZ28)</f>
        <v>0</v>
      </c>
      <c r="GB28" s="88">
        <f ca="1">IF(GA28=1,_xll.RiskBinomial(1,Prob_Illness_Given_Infection),0)</f>
        <v>0</v>
      </c>
      <c r="GD28" s="87" t="e">
        <f t="shared" ca="1" si="64"/>
        <v>#NAME?</v>
      </c>
      <c r="GE28" s="37" t="e">
        <f ca="1">INT(GD28) + _xll.RiskBinomial(1,GD28-INT(GD28))</f>
        <v>#NAME?</v>
      </c>
      <c r="GF28" s="30" t="e">
        <f t="shared" ca="1" si="30"/>
        <v>#NAME?</v>
      </c>
      <c r="GG28" s="35" t="e">
        <f ca="1">_xll.RiskBinomial(1,GF28)</f>
        <v>#VALUE!</v>
      </c>
      <c r="GH28" s="88" t="e">
        <f ca="1">IF(GG28=1,_xll.RiskBinomial(1,Prob_Illness_Given_Infection),0)</f>
        <v>#VALUE!</v>
      </c>
      <c r="GJ28" s="87" t="e">
        <f t="shared" ca="1" si="65"/>
        <v>#NAME?</v>
      </c>
      <c r="GK28" s="37" t="e">
        <f ca="1">INT(GJ28) + _xll.RiskBinomial(1,GJ28-INT(GJ28))</f>
        <v>#NAME?</v>
      </c>
      <c r="GL28" s="30" t="e">
        <f t="shared" ca="1" si="31"/>
        <v>#NAME?</v>
      </c>
      <c r="GM28" s="35" t="e">
        <f ca="1">_xll.RiskBinomial(1,GL28)</f>
        <v>#VALUE!</v>
      </c>
      <c r="GN28" s="88" t="e">
        <f ca="1">IF(GM28=1,_xll.RiskBinomial(1,Prob_Illness_Given_Infection),0)</f>
        <v>#VALUE!</v>
      </c>
      <c r="GP28" s="87" t="e">
        <f t="shared" ca="1" si="66"/>
        <v>#NAME?</v>
      </c>
      <c r="GQ28" s="37" t="e">
        <f ca="1">INT(GP28) + _xll.RiskBinomial(1,GP28-INT(GP28))</f>
        <v>#NAME?</v>
      </c>
      <c r="GR28" s="30" t="e">
        <f t="shared" ca="1" si="32"/>
        <v>#NAME?</v>
      </c>
      <c r="GS28" s="35" t="e">
        <f ca="1">_xll.RiskBinomial(1,GR28)</f>
        <v>#VALUE!</v>
      </c>
      <c r="GT28" s="88" t="e">
        <f ca="1">IF(GS28=1,_xll.RiskBinomial(1,Prob_Illness_Given_Infection),0)</f>
        <v>#VALUE!</v>
      </c>
    </row>
    <row r="29" spans="2:202">
      <c r="B29" s="108">
        <v>21</v>
      </c>
      <c r="C29" s="87">
        <f ca="1">_xll.RiskLoglogistic(LogLogistic_gamma, LogLogistic_beta, LogLogistic_alpha, _xll.RiskTruncate(5,800))</f>
        <v>142.34095799957822</v>
      </c>
      <c r="D29" s="38">
        <f t="shared" ca="1" si="33"/>
        <v>9.1442162009209778</v>
      </c>
      <c r="E29" s="30"/>
      <c r="F29" s="87">
        <f t="shared" ca="1" si="34"/>
        <v>3.3014204202782749E-9</v>
      </c>
      <c r="G29" s="37">
        <f ca="1">INT(F29) + _xll.RiskBinomial(1,F29-INT(F29))</f>
        <v>0</v>
      </c>
      <c r="H29" s="30">
        <f t="shared" ca="1" si="0"/>
        <v>0</v>
      </c>
      <c r="I29" s="35">
        <f ca="1">_xll.RiskBinomial(1,H29)</f>
        <v>0</v>
      </c>
      <c r="J29" s="88">
        <f ca="1">IF(I29=1,_xll.RiskBinomial(1,Prob_Illness_Given_Infection),0)</f>
        <v>0</v>
      </c>
      <c r="K29" s="30"/>
      <c r="L29" s="87">
        <f t="shared" ca="1" si="35"/>
        <v>1.6862795280227214E-4</v>
      </c>
      <c r="M29" s="37">
        <f ca="1">INT(L29) + _xll.RiskBinomial(1,L29-INT(L29))</f>
        <v>0</v>
      </c>
      <c r="N29" s="30">
        <f t="shared" ca="1" si="1"/>
        <v>0</v>
      </c>
      <c r="O29" s="35">
        <f ca="1">_xll.RiskBinomial(1,N29)</f>
        <v>0</v>
      </c>
      <c r="P29" s="88">
        <f ca="1">IF(O29=1,_xll.RiskBinomial(1,Prob_Illness_Given_Infection),0)</f>
        <v>0</v>
      </c>
      <c r="Q29" s="30"/>
      <c r="R29" s="87">
        <f t="shared" ca="1" si="36"/>
        <v>1.7432044698065509E-5</v>
      </c>
      <c r="S29" s="37">
        <f ca="1">INT(R29) + _xll.RiskBinomial(1,R29-INT(R29))</f>
        <v>0</v>
      </c>
      <c r="T29" s="30">
        <f t="shared" ca="1" si="2"/>
        <v>0</v>
      </c>
      <c r="U29" s="35">
        <f ca="1">_xll.RiskBinomial(1,T29)</f>
        <v>0</v>
      </c>
      <c r="V29" s="88">
        <f ca="1">IF(U29=1,_xll.RiskBinomial(1,Prob_Illness_Given_Infection),0)</f>
        <v>0</v>
      </c>
      <c r="W29" s="30"/>
      <c r="X29" s="87">
        <f t="shared" ca="1" si="37"/>
        <v>7.1615381388017649E-12</v>
      </c>
      <c r="Y29" s="37">
        <f ca="1">INT(X29) + _xll.RiskBinomial(1,X29-INT(X29))</f>
        <v>0</v>
      </c>
      <c r="Z29" s="30">
        <f t="shared" ca="1" si="3"/>
        <v>0</v>
      </c>
      <c r="AA29" s="35">
        <f ca="1">_xll.RiskBinomial(1,Z29)</f>
        <v>0</v>
      </c>
      <c r="AB29" s="88">
        <f ca="1">IF(AA29=1,_xll.RiskBinomial(1,Prob_Illness_Given_Infection),0)</f>
        <v>0</v>
      </c>
      <c r="AC29" s="30"/>
      <c r="AD29" s="87">
        <f t="shared" ca="1" si="38"/>
        <v>3.6081097489437658E-12</v>
      </c>
      <c r="AE29" s="37">
        <f ca="1">INT(AD29) + _xll.RiskBinomial(1,AD29-INT(AD29))</f>
        <v>0</v>
      </c>
      <c r="AF29" s="30">
        <f t="shared" ca="1" si="4"/>
        <v>0</v>
      </c>
      <c r="AG29" s="35">
        <f ca="1">_xll.RiskBinomial(1,AF29)</f>
        <v>0</v>
      </c>
      <c r="AH29" s="88">
        <f ca="1">IF(AG29=1,_xll.RiskBinomial(1,Prob_Illness_Given_Infection),0)</f>
        <v>0</v>
      </c>
      <c r="AI29" s="30"/>
      <c r="AJ29" s="87">
        <f t="shared" ca="1" si="39"/>
        <v>1.674791562027245E-4</v>
      </c>
      <c r="AK29" s="37">
        <f ca="1">INT(AJ29) + _xll.RiskBinomial(1,AJ29-INT(AJ29))</f>
        <v>0</v>
      </c>
      <c r="AL29" s="30">
        <f t="shared" ca="1" si="5"/>
        <v>0</v>
      </c>
      <c r="AM29" s="35">
        <f ca="1">_xll.RiskBinomial(1,AL29)</f>
        <v>0</v>
      </c>
      <c r="AN29" s="88">
        <f ca="1">IF(AM29=1,_xll.RiskBinomial(1,Prob_Illness_Given_Infection),0)</f>
        <v>0</v>
      </c>
      <c r="AO29" s="30"/>
      <c r="AP29" s="87">
        <f t="shared" ca="1" si="40"/>
        <v>4.0729312421668766E-9</v>
      </c>
      <c r="AQ29" s="37">
        <f ca="1">INT(AP29) + _xll.RiskBinomial(1,AP29-INT(AP29))</f>
        <v>0</v>
      </c>
      <c r="AR29" s="30">
        <f t="shared" ca="1" si="6"/>
        <v>0</v>
      </c>
      <c r="AS29" s="35">
        <f ca="1">_xll.RiskBinomial(1,AR29)</f>
        <v>0</v>
      </c>
      <c r="AT29" s="88">
        <f ca="1">IF(AS29=1,_xll.RiskBinomial(1,Prob_Illness_Given_Infection),0)</f>
        <v>0</v>
      </c>
      <c r="AU29" s="30"/>
      <c r="AV29" s="87">
        <f t="shared" ca="1" si="41"/>
        <v>9.4489884507140189E-5</v>
      </c>
      <c r="AW29" s="37">
        <f ca="1">INT(AV29) + _xll.RiskBinomial(1,AV29-INT(AV29))</f>
        <v>0</v>
      </c>
      <c r="AX29" s="30">
        <f t="shared" ca="1" si="7"/>
        <v>0</v>
      </c>
      <c r="AY29" s="35">
        <f ca="1">_xll.RiskBinomial(1,AX29)</f>
        <v>0</v>
      </c>
      <c r="AZ29" s="88">
        <f ca="1">IF(AY29=1,_xll.RiskBinomial(1,Prob_Illness_Given_Infection),0)</f>
        <v>0</v>
      </c>
      <c r="BB29" s="87">
        <f t="shared" ca="1" si="42"/>
        <v>1.2968829987003864E-4</v>
      </c>
      <c r="BC29" s="37">
        <f ca="1">INT(BB29) + _xll.RiskBinomial(1,BB29-INT(BB29))</f>
        <v>0</v>
      </c>
      <c r="BD29" s="30">
        <f t="shared" ca="1" si="8"/>
        <v>0</v>
      </c>
      <c r="BE29" s="35">
        <f ca="1">_xll.RiskBinomial(1,BD29)</f>
        <v>0</v>
      </c>
      <c r="BF29" s="88">
        <f ca="1">IF(BE29=1,_xll.RiskBinomial(1,Prob_Illness_Given_Infection),0)</f>
        <v>0</v>
      </c>
      <c r="BH29" s="87">
        <f t="shared" ca="1" si="43"/>
        <v>1.6419466573535502E-4</v>
      </c>
      <c r="BI29" s="37">
        <f ca="1">INT(BH29) + _xll.RiskBinomial(1,BH29-INT(BH29))</f>
        <v>0</v>
      </c>
      <c r="BJ29" s="30">
        <f t="shared" ca="1" si="9"/>
        <v>0</v>
      </c>
      <c r="BK29" s="35">
        <f ca="1">_xll.RiskBinomial(1,BJ29)</f>
        <v>0</v>
      </c>
      <c r="BL29" s="88">
        <f ca="1">IF(BK29=1,_xll.RiskBinomial(1,Prob_Illness_Given_Infection),0)</f>
        <v>0</v>
      </c>
      <c r="BN29" s="87">
        <f t="shared" ca="1" si="44"/>
        <v>1.2496150295520304E-5</v>
      </c>
      <c r="BO29" s="37">
        <f ca="1">INT(BN29) + _xll.RiskBinomial(1,BN29-INT(BN29))</f>
        <v>0</v>
      </c>
      <c r="BP29" s="30">
        <f t="shared" ca="1" si="10"/>
        <v>0</v>
      </c>
      <c r="BQ29" s="35">
        <f ca="1">_xll.RiskBinomial(1,BP29)</f>
        <v>0</v>
      </c>
      <c r="BR29" s="88">
        <f ca="1">IF(BQ29=1,_xll.RiskBinomial(1,Prob_Illness_Given_Infection),0)</f>
        <v>0</v>
      </c>
      <c r="BT29" s="87">
        <f t="shared" ca="1" si="45"/>
        <v>3.7575791830919815E-5</v>
      </c>
      <c r="BU29" s="37">
        <f ca="1">INT(BT29) + _xll.RiskBinomial(1,BT29-INT(BT29))</f>
        <v>0</v>
      </c>
      <c r="BV29" s="30">
        <f t="shared" ca="1" si="11"/>
        <v>0</v>
      </c>
      <c r="BW29" s="35">
        <f ca="1">_xll.RiskBinomial(1,BV29)</f>
        <v>0</v>
      </c>
      <c r="BX29" s="88">
        <f ca="1">IF(BW29=1,_xll.RiskBinomial(1,Prob_Illness_Given_Infection),0)</f>
        <v>0</v>
      </c>
      <c r="BZ29" s="87">
        <f t="shared" ca="1" si="46"/>
        <v>1.0300791187692687E-4</v>
      </c>
      <c r="CA29" s="37">
        <f ca="1">INT(BZ29) + _xll.RiskBinomial(1,BZ29-INT(BZ29))</f>
        <v>0</v>
      </c>
      <c r="CB29" s="30">
        <f t="shared" ca="1" si="12"/>
        <v>0</v>
      </c>
      <c r="CC29" s="35">
        <f ca="1">_xll.RiskBinomial(1,CB29)</f>
        <v>0</v>
      </c>
      <c r="CD29" s="88">
        <f ca="1">IF(CC29=1,_xll.RiskBinomial(1,Prob_Illness_Given_Infection),0)</f>
        <v>0</v>
      </c>
      <c r="CF29" s="87">
        <f t="shared" ca="1" si="47"/>
        <v>1.9544720248625211E-5</v>
      </c>
      <c r="CG29" s="37">
        <f ca="1">INT(CF29) + _xll.RiskBinomial(1,CF29-INT(CF29))</f>
        <v>0</v>
      </c>
      <c r="CH29" s="30">
        <f t="shared" ca="1" si="13"/>
        <v>0</v>
      </c>
      <c r="CI29" s="35">
        <f ca="1">_xll.RiskBinomial(1,CH29)</f>
        <v>0</v>
      </c>
      <c r="CJ29" s="88">
        <f ca="1">IF(CI29=1,_xll.RiskBinomial(1,Prob_Illness_Given_Infection),0)</f>
        <v>0</v>
      </c>
      <c r="CL29" s="87">
        <f t="shared" ca="1" si="48"/>
        <v>3.7715838425479326E-5</v>
      </c>
      <c r="CM29" s="37">
        <f ca="1">INT(CL29) + _xll.RiskBinomial(1,CL29-INT(CL29))</f>
        <v>0</v>
      </c>
      <c r="CN29" s="30">
        <f t="shared" ca="1" si="14"/>
        <v>0</v>
      </c>
      <c r="CO29" s="35">
        <f ca="1">_xll.RiskBinomial(1,CN29)</f>
        <v>0</v>
      </c>
      <c r="CP29" s="88">
        <f ca="1">IF(CO29=1,_xll.RiskBinomial(1,Prob_Illness_Given_Infection),0)</f>
        <v>0</v>
      </c>
      <c r="CR29" s="87">
        <f t="shared" ca="1" si="49"/>
        <v>2.5992614301223164E-7</v>
      </c>
      <c r="CS29" s="37">
        <f ca="1">INT(CR29) + _xll.RiskBinomial(1,CR29-INT(CR29))</f>
        <v>0</v>
      </c>
      <c r="CT29" s="30">
        <f t="shared" ca="1" si="15"/>
        <v>0</v>
      </c>
      <c r="CU29" s="35">
        <f ca="1">_xll.RiskBinomial(1,CT29)</f>
        <v>0</v>
      </c>
      <c r="CV29" s="88">
        <f ca="1">IF(CU29=1,_xll.RiskBinomial(1,Prob_Illness_Given_Infection),0)</f>
        <v>0</v>
      </c>
      <c r="CX29" s="87">
        <f t="shared" ca="1" si="50"/>
        <v>2.6460185865625989E-9</v>
      </c>
      <c r="CY29" s="37">
        <f ca="1">INT(CX29) + _xll.RiskBinomial(1,CX29-INT(CX29))</f>
        <v>0</v>
      </c>
      <c r="CZ29" s="30">
        <f t="shared" ca="1" si="16"/>
        <v>0</v>
      </c>
      <c r="DA29" s="35">
        <f ca="1">_xll.RiskBinomial(1,CZ29)</f>
        <v>0</v>
      </c>
      <c r="DB29" s="88">
        <f ca="1">IF(DA29=1,_xll.RiskBinomial(1,Prob_Illness_Given_Infection),0)</f>
        <v>0</v>
      </c>
      <c r="DD29" s="87">
        <f t="shared" ca="1" si="51"/>
        <v>2.6460185865625989E-9</v>
      </c>
      <c r="DE29" s="37">
        <f ca="1">INT(DD29) + _xll.RiskBinomial(1,DD29-INT(DD29))</f>
        <v>0</v>
      </c>
      <c r="DF29" s="30">
        <f t="shared" ca="1" si="17"/>
        <v>0</v>
      </c>
      <c r="DG29" s="35">
        <f ca="1">_xll.RiskBinomial(1,DF29)</f>
        <v>0</v>
      </c>
      <c r="DH29" s="88">
        <f ca="1">IF(DG29=1,_xll.RiskBinomial(1,Prob_Illness_Given_Infection),0)</f>
        <v>0</v>
      </c>
      <c r="DJ29" s="87">
        <f t="shared" ca="1" si="52"/>
        <v>4.320581209174574E-6</v>
      </c>
      <c r="DK29" s="37">
        <f ca="1">INT(DJ29) + _xll.RiskBinomial(1,DJ29-INT(DJ29))</f>
        <v>0</v>
      </c>
      <c r="DL29" s="30">
        <f t="shared" ca="1" si="18"/>
        <v>0</v>
      </c>
      <c r="DM29" s="35">
        <f ca="1">_xll.RiskBinomial(1,DL29)</f>
        <v>0</v>
      </c>
      <c r="DN29" s="88">
        <f ca="1">IF(DM29=1,_xll.RiskBinomial(1,Prob_Illness_Given_Infection),0)</f>
        <v>0</v>
      </c>
      <c r="DP29" s="87">
        <f t="shared" ca="1" si="53"/>
        <v>1.0213631303939114E-9</v>
      </c>
      <c r="DQ29" s="37">
        <f ca="1">INT(DP29) + _xll.RiskBinomial(1,DP29-INT(DP29))</f>
        <v>0</v>
      </c>
      <c r="DR29" s="30">
        <f t="shared" ca="1" si="19"/>
        <v>0</v>
      </c>
      <c r="DS29" s="35">
        <f ca="1">_xll.RiskBinomial(1,DR29)</f>
        <v>0</v>
      </c>
      <c r="DT29" s="88">
        <f ca="1">IF(DS29=1,_xll.RiskBinomial(1,Prob_Illness_Given_Infection),0)</f>
        <v>0</v>
      </c>
      <c r="DV29" s="87">
        <f t="shared" ca="1" si="54"/>
        <v>1.4378811095964985E-8</v>
      </c>
      <c r="DW29" s="37">
        <f ca="1">INT(DV29) + _xll.RiskBinomial(1,DV29-INT(DV29))</f>
        <v>0</v>
      </c>
      <c r="DX29" s="30">
        <f t="shared" ca="1" si="20"/>
        <v>0</v>
      </c>
      <c r="DY29" s="35">
        <f ca="1">_xll.RiskBinomial(1,DX29)</f>
        <v>0</v>
      </c>
      <c r="DZ29" s="88">
        <f ca="1">IF(DY29=1,_xll.RiskBinomial(1,Prob_Illness_Given_Infection),0)</f>
        <v>0</v>
      </c>
      <c r="EB29" s="87">
        <f t="shared" ca="1" si="55"/>
        <v>3.6081097489425537E-12</v>
      </c>
      <c r="EC29" s="37">
        <f ca="1">INT(EB29) + _xll.RiskBinomial(1,EB29-INT(EB29))</f>
        <v>0</v>
      </c>
      <c r="ED29" s="30">
        <f t="shared" ca="1" si="21"/>
        <v>0</v>
      </c>
      <c r="EE29" s="35">
        <f ca="1">_xll.RiskBinomial(1,ED29)</f>
        <v>0</v>
      </c>
      <c r="EF29" s="88">
        <f ca="1">IF(EE29=1,_xll.RiskBinomial(1,Prob_Illness_Given_Infection),0)</f>
        <v>0</v>
      </c>
      <c r="EH29" s="87">
        <f t="shared" ca="1" si="56"/>
        <v>3.6081097489388447E-12</v>
      </c>
      <c r="EI29" s="37">
        <f ca="1">INT(EH29) + _xll.RiskBinomial(1,EH29-INT(EH29))</f>
        <v>0</v>
      </c>
      <c r="EJ29" s="30">
        <f t="shared" ca="1" si="22"/>
        <v>0</v>
      </c>
      <c r="EK29" s="35">
        <f ca="1">_xll.RiskBinomial(1,EJ29)</f>
        <v>0</v>
      </c>
      <c r="EL29" s="88">
        <f ca="1">IF(EK29=1,_xll.RiskBinomial(1,Prob_Illness_Given_Infection),0)</f>
        <v>0</v>
      </c>
      <c r="EN29" s="87">
        <f t="shared" ca="1" si="57"/>
        <v>3.2921823137551761E-10</v>
      </c>
      <c r="EO29" s="37">
        <f ca="1">INT(EN29) + _xll.RiskBinomial(1,EN29-INT(EN29))</f>
        <v>0</v>
      </c>
      <c r="EP29" s="30">
        <f t="shared" ca="1" si="23"/>
        <v>0</v>
      </c>
      <c r="EQ29" s="35">
        <f ca="1">_xll.RiskBinomial(1,EP29)</f>
        <v>0</v>
      </c>
      <c r="ER29" s="88">
        <f ca="1">IF(EQ29=1,_xll.RiskBinomial(1,Prob_Illness_Given_Infection),0)</f>
        <v>0</v>
      </c>
      <c r="ET29" s="87">
        <f t="shared" ca="1" si="58"/>
        <v>3.6081097489354039E-12</v>
      </c>
      <c r="EU29" s="37">
        <f ca="1">INT(ET29) + _xll.RiskBinomial(1,ET29-INT(ET29))</f>
        <v>0</v>
      </c>
      <c r="EV29" s="30">
        <f t="shared" ca="1" si="24"/>
        <v>0</v>
      </c>
      <c r="EW29" s="35">
        <f ca="1">_xll.RiskBinomial(1,EV29)</f>
        <v>0</v>
      </c>
      <c r="EX29" s="88">
        <f ca="1">IF(EW29=1,_xll.RiskBinomial(1,Prob_Illness_Given_Infection),0)</f>
        <v>0</v>
      </c>
      <c r="EZ29" s="87">
        <f t="shared" ca="1" si="59"/>
        <v>2.7213097804542634E-5</v>
      </c>
      <c r="FA29" s="37">
        <f ca="1">INT(EZ29) + _xll.RiskBinomial(1,EZ29-INT(EZ29))</f>
        <v>0</v>
      </c>
      <c r="FB29" s="30">
        <f t="shared" ca="1" si="25"/>
        <v>0</v>
      </c>
      <c r="FC29" s="35">
        <f ca="1">_xll.RiskBinomial(1,FB29)</f>
        <v>0</v>
      </c>
      <c r="FD29" s="88">
        <f ca="1">IF(FC29=1,_xll.RiskBinomial(1,Prob_Illness_Given_Infection),0)</f>
        <v>0</v>
      </c>
      <c r="FF29" s="87">
        <f t="shared" ca="1" si="60"/>
        <v>1.8956338027698578E-4</v>
      </c>
      <c r="FG29" s="37">
        <f ca="1">INT(FF29) + _xll.RiskBinomial(1,FF29-INT(FF29))</f>
        <v>0</v>
      </c>
      <c r="FH29" s="30">
        <f t="shared" ca="1" si="26"/>
        <v>0</v>
      </c>
      <c r="FI29" s="35">
        <f ca="1">_xll.RiskBinomial(1,FH29)</f>
        <v>0</v>
      </c>
      <c r="FJ29" s="88">
        <f ca="1">IF(FI29=1,_xll.RiskBinomial(1,Prob_Illness_Given_Infection),0)</f>
        <v>0</v>
      </c>
      <c r="FL29" s="87" t="e">
        <f t="shared" ca="1" si="61"/>
        <v>#NAME?</v>
      </c>
      <c r="FM29" s="37" t="e">
        <f ca="1">INT(FL29) + _xll.RiskBinomial(1,FL29-INT(FL29))</f>
        <v>#NAME?</v>
      </c>
      <c r="FN29" s="30" t="e">
        <f t="shared" ca="1" si="27"/>
        <v>#NAME?</v>
      </c>
      <c r="FO29" s="35" t="e">
        <f ca="1">_xll.RiskBinomial(1,FN29)</f>
        <v>#VALUE!</v>
      </c>
      <c r="FP29" s="88" t="e">
        <f ca="1">IF(FO29=1,_xll.RiskBinomial(1,Prob_Illness_Given_Infection),0)</f>
        <v>#VALUE!</v>
      </c>
      <c r="FR29" s="87" t="e">
        <f t="shared" ca="1" si="62"/>
        <v>#NAME?</v>
      </c>
      <c r="FS29" s="37" t="e">
        <f ca="1">INT(FR29) + _xll.RiskBinomial(1,FR29-INT(FR29))</f>
        <v>#NAME?</v>
      </c>
      <c r="FT29" s="30" t="e">
        <f t="shared" ca="1" si="28"/>
        <v>#NAME?</v>
      </c>
      <c r="FU29" s="35" t="e">
        <f ca="1">_xll.RiskBinomial(1,FT29)</f>
        <v>#VALUE!</v>
      </c>
      <c r="FV29" s="88" t="e">
        <f ca="1">IF(FU29=1,_xll.RiskBinomial(1,Prob_Illness_Given_Infection),0)</f>
        <v>#VALUE!</v>
      </c>
      <c r="FX29" s="87">
        <f t="shared" ca="1" si="63"/>
        <v>3.8093234051807958E-7</v>
      </c>
      <c r="FY29" s="37">
        <f ca="1">INT(FX29) + _xll.RiskBinomial(1,FX29-INT(FX29))</f>
        <v>0</v>
      </c>
      <c r="FZ29" s="30">
        <f t="shared" ca="1" si="29"/>
        <v>0</v>
      </c>
      <c r="GA29" s="35">
        <f ca="1">_xll.RiskBinomial(1,FZ29)</f>
        <v>0</v>
      </c>
      <c r="GB29" s="88">
        <f ca="1">IF(GA29=1,_xll.RiskBinomial(1,Prob_Illness_Given_Infection),0)</f>
        <v>0</v>
      </c>
      <c r="GD29" s="87" t="e">
        <f t="shared" ca="1" si="64"/>
        <v>#NAME?</v>
      </c>
      <c r="GE29" s="37" t="e">
        <f ca="1">INT(GD29) + _xll.RiskBinomial(1,GD29-INT(GD29))</f>
        <v>#NAME?</v>
      </c>
      <c r="GF29" s="30" t="e">
        <f t="shared" ca="1" si="30"/>
        <v>#NAME?</v>
      </c>
      <c r="GG29" s="35" t="e">
        <f ca="1">_xll.RiskBinomial(1,GF29)</f>
        <v>#VALUE!</v>
      </c>
      <c r="GH29" s="88" t="e">
        <f ca="1">IF(GG29=1,_xll.RiskBinomial(1,Prob_Illness_Given_Infection),0)</f>
        <v>#VALUE!</v>
      </c>
      <c r="GJ29" s="87" t="e">
        <f t="shared" ca="1" si="65"/>
        <v>#NAME?</v>
      </c>
      <c r="GK29" s="37" t="e">
        <f ca="1">INT(GJ29) + _xll.RiskBinomial(1,GJ29-INT(GJ29))</f>
        <v>#NAME?</v>
      </c>
      <c r="GL29" s="30" t="e">
        <f t="shared" ca="1" si="31"/>
        <v>#NAME?</v>
      </c>
      <c r="GM29" s="35" t="e">
        <f ca="1">_xll.RiskBinomial(1,GL29)</f>
        <v>#VALUE!</v>
      </c>
      <c r="GN29" s="88" t="e">
        <f ca="1">IF(GM29=1,_xll.RiskBinomial(1,Prob_Illness_Given_Infection),0)</f>
        <v>#VALUE!</v>
      </c>
      <c r="GP29" s="87" t="e">
        <f t="shared" ca="1" si="66"/>
        <v>#NAME?</v>
      </c>
      <c r="GQ29" s="37" t="e">
        <f ca="1">INT(GP29) + _xll.RiskBinomial(1,GP29-INT(GP29))</f>
        <v>#NAME?</v>
      </c>
      <c r="GR29" s="30" t="e">
        <f t="shared" ca="1" si="32"/>
        <v>#NAME?</v>
      </c>
      <c r="GS29" s="35" t="e">
        <f ca="1">_xll.RiskBinomial(1,GR29)</f>
        <v>#VALUE!</v>
      </c>
      <c r="GT29" s="88" t="e">
        <f ca="1">IF(GS29=1,_xll.RiskBinomial(1,Prob_Illness_Given_Infection),0)</f>
        <v>#VALUE!</v>
      </c>
    </row>
    <row r="30" spans="2:202">
      <c r="B30" s="108">
        <v>22</v>
      </c>
      <c r="C30" s="87">
        <f ca="1">_xll.RiskLoglogistic(LogLogistic_gamma, LogLogistic_beta, LogLogistic_alpha, _xll.RiskTruncate(5,800))</f>
        <v>154.69865365323381</v>
      </c>
      <c r="D30" s="38">
        <f t="shared" ca="1" si="33"/>
        <v>9.9380948033295873</v>
      </c>
      <c r="E30" s="30"/>
      <c r="F30" s="87">
        <f t="shared" ca="1" si="34"/>
        <v>3.588041708710824E-9</v>
      </c>
      <c r="G30" s="37">
        <f ca="1">INT(F30) + _xll.RiskBinomial(1,F30-INT(F30))</f>
        <v>0</v>
      </c>
      <c r="H30" s="30">
        <f t="shared" ca="1" si="0"/>
        <v>0</v>
      </c>
      <c r="I30" s="35">
        <f ca="1">_xll.RiskBinomial(1,H30)</f>
        <v>0</v>
      </c>
      <c r="J30" s="88">
        <f ca="1">IF(I30=1,_xll.RiskBinomial(1,Prob_Illness_Given_Infection),0)</f>
        <v>0</v>
      </c>
      <c r="K30" s="30"/>
      <c r="L30" s="87">
        <f t="shared" ca="1" si="35"/>
        <v>1.8326782138764196E-4</v>
      </c>
      <c r="M30" s="37">
        <f ca="1">INT(L30) + _xll.RiskBinomial(1,L30-INT(L30))</f>
        <v>0</v>
      </c>
      <c r="N30" s="30">
        <f t="shared" ca="1" si="1"/>
        <v>0</v>
      </c>
      <c r="O30" s="35">
        <f ca="1">_xll.RiskBinomial(1,N30)</f>
        <v>0</v>
      </c>
      <c r="P30" s="88">
        <f ca="1">IF(O30=1,_xll.RiskBinomial(1,Prob_Illness_Given_Infection),0)</f>
        <v>0</v>
      </c>
      <c r="Q30" s="30"/>
      <c r="R30" s="87">
        <f t="shared" ca="1" si="36"/>
        <v>1.8945452406058114E-5</v>
      </c>
      <c r="S30" s="37">
        <f ca="1">INT(R30) + _xll.RiskBinomial(1,R30-INT(R30))</f>
        <v>0</v>
      </c>
      <c r="T30" s="30">
        <f t="shared" ca="1" si="2"/>
        <v>0</v>
      </c>
      <c r="U30" s="35">
        <f ca="1">_xll.RiskBinomial(1,T30)</f>
        <v>0</v>
      </c>
      <c r="V30" s="88">
        <f ca="1">IF(U30=1,_xll.RiskBinomial(1,Prob_Illness_Given_Infection),0)</f>
        <v>0</v>
      </c>
      <c r="W30" s="30"/>
      <c r="X30" s="87">
        <f t="shared" ca="1" si="37"/>
        <v>7.7832854557730416E-12</v>
      </c>
      <c r="Y30" s="37">
        <f ca="1">INT(X30) + _xll.RiskBinomial(1,X30-INT(X30))</f>
        <v>0</v>
      </c>
      <c r="Z30" s="30">
        <f t="shared" ca="1" si="3"/>
        <v>0</v>
      </c>
      <c r="AA30" s="35">
        <f ca="1">_xll.RiskBinomial(1,Z30)</f>
        <v>0</v>
      </c>
      <c r="AB30" s="88">
        <f ca="1">IF(AA30=1,_xll.RiskBinomial(1,Prob_Illness_Given_Infection),0)</f>
        <v>0</v>
      </c>
      <c r="AC30" s="30"/>
      <c r="AD30" s="87">
        <f t="shared" ca="1" si="38"/>
        <v>3.9213570587066148E-12</v>
      </c>
      <c r="AE30" s="37">
        <f ca="1">INT(AD30) + _xll.RiskBinomial(1,AD30-INT(AD30))</f>
        <v>0</v>
      </c>
      <c r="AF30" s="30">
        <f t="shared" ca="1" si="4"/>
        <v>0</v>
      </c>
      <c r="AG30" s="35">
        <f ca="1">_xll.RiskBinomial(1,AF30)</f>
        <v>0</v>
      </c>
      <c r="AH30" s="88">
        <f ca="1">IF(AG30=1,_xll.RiskBinomial(1,Prob_Illness_Given_Infection),0)</f>
        <v>0</v>
      </c>
      <c r="AI30" s="30"/>
      <c r="AJ30" s="87">
        <f t="shared" ca="1" si="39"/>
        <v>1.8201928906237859E-4</v>
      </c>
      <c r="AK30" s="37">
        <f ca="1">INT(AJ30) + _xll.RiskBinomial(1,AJ30-INT(AJ30))</f>
        <v>0</v>
      </c>
      <c r="AL30" s="30">
        <f t="shared" ca="1" si="5"/>
        <v>0</v>
      </c>
      <c r="AM30" s="35">
        <f ca="1">_xll.RiskBinomial(1,AL30)</f>
        <v>0</v>
      </c>
      <c r="AN30" s="88">
        <f ca="1">IF(AM30=1,_xll.RiskBinomial(1,Prob_Illness_Given_Infection),0)</f>
        <v>0</v>
      </c>
      <c r="AO30" s="30"/>
      <c r="AP30" s="87">
        <f t="shared" ca="1" si="40"/>
        <v>4.4265332230465652E-9</v>
      </c>
      <c r="AQ30" s="37">
        <f ca="1">INT(AP30) + _xll.RiskBinomial(1,AP30-INT(AP30))</f>
        <v>0</v>
      </c>
      <c r="AR30" s="30">
        <f t="shared" ca="1" si="6"/>
        <v>0</v>
      </c>
      <c r="AS30" s="35">
        <f ca="1">_xll.RiskBinomial(1,AR30)</f>
        <v>0</v>
      </c>
      <c r="AT30" s="88">
        <f ca="1">IF(AS30=1,_xll.RiskBinomial(1,Prob_Illness_Given_Infection),0)</f>
        <v>0</v>
      </c>
      <c r="AU30" s="30"/>
      <c r="AV30" s="87">
        <f t="shared" ca="1" si="41"/>
        <v>1.0269326638329533E-4</v>
      </c>
      <c r="AW30" s="37">
        <f ca="1">INT(AV30) + _xll.RiskBinomial(1,AV30-INT(AV30))</f>
        <v>0</v>
      </c>
      <c r="AX30" s="30">
        <f t="shared" ca="1" si="7"/>
        <v>0</v>
      </c>
      <c r="AY30" s="35">
        <f ca="1">_xll.RiskBinomial(1,AX30)</f>
        <v>0</v>
      </c>
      <c r="AZ30" s="88">
        <f ca="1">IF(AY30=1,_xll.RiskBinomial(1,Prob_Illness_Given_Infection),0)</f>
        <v>0</v>
      </c>
      <c r="BB30" s="87">
        <f t="shared" ca="1" si="42"/>
        <v>1.409475225291885E-4</v>
      </c>
      <c r="BC30" s="37">
        <f ca="1">INT(BB30) + _xll.RiskBinomial(1,BB30-INT(BB30))</f>
        <v>0</v>
      </c>
      <c r="BD30" s="30">
        <f t="shared" ca="1" si="8"/>
        <v>0</v>
      </c>
      <c r="BE30" s="35">
        <f ca="1">_xll.RiskBinomial(1,BD30)</f>
        <v>0</v>
      </c>
      <c r="BF30" s="88">
        <f ca="1">IF(BE30=1,_xll.RiskBinomial(1,Prob_Illness_Given_Infection),0)</f>
        <v>0</v>
      </c>
      <c r="BH30" s="87">
        <f t="shared" ca="1" si="43"/>
        <v>1.7844964712389699E-4</v>
      </c>
      <c r="BI30" s="37">
        <f ca="1">INT(BH30) + _xll.RiskBinomial(1,BH30-INT(BH30))</f>
        <v>0</v>
      </c>
      <c r="BJ30" s="30">
        <f t="shared" ca="1" si="9"/>
        <v>0</v>
      </c>
      <c r="BK30" s="35">
        <f ca="1">_xll.RiskBinomial(1,BJ30)</f>
        <v>0</v>
      </c>
      <c r="BL30" s="88">
        <f ca="1">IF(BK30=1,_xll.RiskBinomial(1,Prob_Illness_Given_Infection),0)</f>
        <v>0</v>
      </c>
      <c r="BN30" s="87">
        <f t="shared" ca="1" si="44"/>
        <v>1.3581035660664714E-5</v>
      </c>
      <c r="BO30" s="37">
        <f ca="1">INT(BN30) + _xll.RiskBinomial(1,BN30-INT(BN30))</f>
        <v>0</v>
      </c>
      <c r="BP30" s="30">
        <f t="shared" ca="1" si="10"/>
        <v>0</v>
      </c>
      <c r="BQ30" s="35">
        <f ca="1">_xll.RiskBinomial(1,BP30)</f>
        <v>0</v>
      </c>
      <c r="BR30" s="88">
        <f ca="1">IF(BQ30=1,_xll.RiskBinomial(1,Prob_Illness_Given_Infection),0)</f>
        <v>0</v>
      </c>
      <c r="BT30" s="87">
        <f t="shared" ca="1" si="45"/>
        <v>4.0838030654639117E-5</v>
      </c>
      <c r="BU30" s="37">
        <f ca="1">INT(BT30) + _xll.RiskBinomial(1,BT30-INT(BT30))</f>
        <v>0</v>
      </c>
      <c r="BV30" s="30">
        <f t="shared" ca="1" si="11"/>
        <v>0</v>
      </c>
      <c r="BW30" s="35">
        <f ca="1">_xll.RiskBinomial(1,BV30)</f>
        <v>0</v>
      </c>
      <c r="BX30" s="88">
        <f ca="1">IF(BW30=1,_xll.RiskBinomial(1,Prob_Illness_Given_Infection),0)</f>
        <v>0</v>
      </c>
      <c r="BZ30" s="87">
        <f t="shared" ca="1" si="46"/>
        <v>1.1195080816470796E-4</v>
      </c>
      <c r="CA30" s="37">
        <f ca="1">INT(BZ30) + _xll.RiskBinomial(1,BZ30-INT(BZ30))</f>
        <v>0</v>
      </c>
      <c r="CB30" s="30">
        <f t="shared" ca="1" si="12"/>
        <v>0</v>
      </c>
      <c r="CC30" s="35">
        <f ca="1">_xll.RiskBinomial(1,CB30)</f>
        <v>0</v>
      </c>
      <c r="CD30" s="88">
        <f ca="1">IF(CC30=1,_xll.RiskBinomial(1,Prob_Illness_Given_Infection),0)</f>
        <v>0</v>
      </c>
      <c r="CF30" s="87">
        <f t="shared" ca="1" si="47"/>
        <v>2.124154530771372E-5</v>
      </c>
      <c r="CG30" s="37">
        <f ca="1">INT(CF30) + _xll.RiskBinomial(1,CF30-INT(CF30))</f>
        <v>0</v>
      </c>
      <c r="CH30" s="30">
        <f t="shared" ca="1" si="13"/>
        <v>0</v>
      </c>
      <c r="CI30" s="35">
        <f ca="1">_xll.RiskBinomial(1,CH30)</f>
        <v>0</v>
      </c>
      <c r="CJ30" s="88">
        <f ca="1">IF(CI30=1,_xll.RiskBinomial(1,Prob_Illness_Given_Infection),0)</f>
        <v>0</v>
      </c>
      <c r="CL30" s="87">
        <f t="shared" ca="1" si="48"/>
        <v>4.0990235753800676E-5</v>
      </c>
      <c r="CM30" s="37">
        <f ca="1">INT(CL30) + _xll.RiskBinomial(1,CL30-INT(CL30))</f>
        <v>0</v>
      </c>
      <c r="CN30" s="30">
        <f t="shared" ca="1" si="14"/>
        <v>0</v>
      </c>
      <c r="CO30" s="35">
        <f ca="1">_xll.RiskBinomial(1,CN30)</f>
        <v>0</v>
      </c>
      <c r="CP30" s="88">
        <f ca="1">IF(CO30=1,_xll.RiskBinomial(1,Prob_Illness_Given_Infection),0)</f>
        <v>0</v>
      </c>
      <c r="CR30" s="87">
        <f t="shared" ca="1" si="49"/>
        <v>2.8249229834036442E-7</v>
      </c>
      <c r="CS30" s="37">
        <f ca="1">INT(CR30) + _xll.RiskBinomial(1,CR30-INT(CR30))</f>
        <v>0</v>
      </c>
      <c r="CT30" s="30">
        <f t="shared" ca="1" si="15"/>
        <v>0</v>
      </c>
      <c r="CU30" s="35">
        <f ca="1">_xll.RiskBinomial(1,CT30)</f>
        <v>0</v>
      </c>
      <c r="CV30" s="88">
        <f ca="1">IF(CU30=1,_xll.RiskBinomial(1,Prob_Illness_Given_Infection),0)</f>
        <v>0</v>
      </c>
      <c r="CX30" s="87">
        <f t="shared" ca="1" si="50"/>
        <v>2.875739482404492E-9</v>
      </c>
      <c r="CY30" s="37">
        <f ca="1">INT(CX30) + _xll.RiskBinomial(1,CX30-INT(CX30))</f>
        <v>0</v>
      </c>
      <c r="CZ30" s="30">
        <f t="shared" ca="1" si="16"/>
        <v>0</v>
      </c>
      <c r="DA30" s="35">
        <f ca="1">_xll.RiskBinomial(1,CZ30)</f>
        <v>0</v>
      </c>
      <c r="DB30" s="88">
        <f ca="1">IF(DA30=1,_xll.RiskBinomial(1,Prob_Illness_Given_Infection),0)</f>
        <v>0</v>
      </c>
      <c r="DD30" s="87">
        <f t="shared" ca="1" si="51"/>
        <v>2.875739482404492E-9</v>
      </c>
      <c r="DE30" s="37">
        <f ca="1">INT(DD30) + _xll.RiskBinomial(1,DD30-INT(DD30))</f>
        <v>0</v>
      </c>
      <c r="DF30" s="30">
        <f t="shared" ca="1" si="17"/>
        <v>0</v>
      </c>
      <c r="DG30" s="35">
        <f ca="1">_xll.RiskBinomial(1,DF30)</f>
        <v>0</v>
      </c>
      <c r="DH30" s="88">
        <f ca="1">IF(DG30=1,_xll.RiskBinomial(1,Prob_Illness_Given_Infection),0)</f>
        <v>0</v>
      </c>
      <c r="DJ30" s="87">
        <f t="shared" ca="1" si="52"/>
        <v>4.6956835576499904E-6</v>
      </c>
      <c r="DK30" s="37">
        <f ca="1">INT(DJ30) + _xll.RiskBinomial(1,DJ30-INT(DJ30))</f>
        <v>0</v>
      </c>
      <c r="DL30" s="30">
        <f t="shared" ca="1" si="18"/>
        <v>0</v>
      </c>
      <c r="DM30" s="35">
        <f ca="1">_xll.RiskBinomial(1,DL30)</f>
        <v>0</v>
      </c>
      <c r="DN30" s="88">
        <f ca="1">IF(DM30=1,_xll.RiskBinomial(1,Prob_Illness_Given_Infection),0)</f>
        <v>0</v>
      </c>
      <c r="DP30" s="87">
        <f t="shared" ca="1" si="53"/>
        <v>1.1100353923672378E-9</v>
      </c>
      <c r="DQ30" s="37">
        <f ca="1">INT(DP30) + _xll.RiskBinomial(1,DP30-INT(DP30))</f>
        <v>0</v>
      </c>
      <c r="DR30" s="30">
        <f t="shared" ca="1" si="19"/>
        <v>0</v>
      </c>
      <c r="DS30" s="35">
        <f ca="1">_xll.RiskBinomial(1,DR30)</f>
        <v>0</v>
      </c>
      <c r="DT30" s="88">
        <f ca="1">IF(DS30=1,_xll.RiskBinomial(1,Prob_Illness_Given_Infection),0)</f>
        <v>0</v>
      </c>
      <c r="DV30" s="87">
        <f t="shared" ca="1" si="54"/>
        <v>1.5627144491233179E-8</v>
      </c>
      <c r="DW30" s="37">
        <f ca="1">INT(DV30) + _xll.RiskBinomial(1,DV30-INT(DV30))</f>
        <v>0</v>
      </c>
      <c r="DX30" s="30">
        <f t="shared" ca="1" si="20"/>
        <v>0</v>
      </c>
      <c r="DY30" s="35">
        <f ca="1">_xll.RiskBinomial(1,DX30)</f>
        <v>0</v>
      </c>
      <c r="DZ30" s="88">
        <f ca="1">IF(DY30=1,_xll.RiskBinomial(1,Prob_Illness_Given_Infection),0)</f>
        <v>0</v>
      </c>
      <c r="EB30" s="87">
        <f t="shared" ca="1" si="55"/>
        <v>3.9213570587052973E-12</v>
      </c>
      <c r="EC30" s="37">
        <f ca="1">INT(EB30) + _xll.RiskBinomial(1,EB30-INT(EB30))</f>
        <v>0</v>
      </c>
      <c r="ED30" s="30">
        <f t="shared" ca="1" si="21"/>
        <v>0</v>
      </c>
      <c r="EE30" s="35">
        <f ca="1">_xll.RiskBinomial(1,ED30)</f>
        <v>0</v>
      </c>
      <c r="EF30" s="88">
        <f ca="1">IF(EE30=1,_xll.RiskBinomial(1,Prob_Illness_Given_Infection),0)</f>
        <v>0</v>
      </c>
      <c r="EH30" s="87">
        <f t="shared" ca="1" si="56"/>
        <v>3.9213570587012664E-12</v>
      </c>
      <c r="EI30" s="37">
        <f ca="1">INT(EH30) + _xll.RiskBinomial(1,EH30-INT(EH30))</f>
        <v>0</v>
      </c>
      <c r="EJ30" s="30">
        <f t="shared" ca="1" si="22"/>
        <v>0</v>
      </c>
      <c r="EK30" s="35">
        <f ca="1">_xll.RiskBinomial(1,EJ30)</f>
        <v>0</v>
      </c>
      <c r="EL30" s="88">
        <f ca="1">IF(EK30=1,_xll.RiskBinomial(1,Prob_Illness_Given_Infection),0)</f>
        <v>0</v>
      </c>
      <c r="EN30" s="87">
        <f t="shared" ca="1" si="57"/>
        <v>3.5780015722559831E-10</v>
      </c>
      <c r="EO30" s="37">
        <f ca="1">INT(EN30) + _xll.RiskBinomial(1,EN30-INT(EN30))</f>
        <v>0</v>
      </c>
      <c r="EP30" s="30">
        <f t="shared" ca="1" si="23"/>
        <v>0</v>
      </c>
      <c r="EQ30" s="35">
        <f ca="1">_xll.RiskBinomial(1,EP30)</f>
        <v>0</v>
      </c>
      <c r="ER30" s="88">
        <f ca="1">IF(EQ30=1,_xll.RiskBinomial(1,Prob_Illness_Given_Infection),0)</f>
        <v>0</v>
      </c>
      <c r="ET30" s="87">
        <f t="shared" ca="1" si="58"/>
        <v>3.9213570586975271E-12</v>
      </c>
      <c r="EU30" s="37">
        <f ca="1">INT(ET30) + _xll.RiskBinomial(1,ET30-INT(ET30))</f>
        <v>0</v>
      </c>
      <c r="EV30" s="30">
        <f t="shared" ca="1" si="24"/>
        <v>0</v>
      </c>
      <c r="EW30" s="35">
        <f ca="1">_xll.RiskBinomial(1,EV30)</f>
        <v>0</v>
      </c>
      <c r="EX30" s="88">
        <f ca="1">IF(EW30=1,_xll.RiskBinomial(1,Prob_Illness_Given_Infection),0)</f>
        <v>0</v>
      </c>
      <c r="EZ30" s="87">
        <f t="shared" ca="1" si="59"/>
        <v>2.9575672745640727E-5</v>
      </c>
      <c r="FA30" s="37">
        <f ca="1">INT(EZ30) + _xll.RiskBinomial(1,EZ30-INT(EZ30))</f>
        <v>0</v>
      </c>
      <c r="FB30" s="30">
        <f t="shared" ca="1" si="25"/>
        <v>0</v>
      </c>
      <c r="FC30" s="35">
        <f ca="1">_xll.RiskBinomial(1,FB30)</f>
        <v>0</v>
      </c>
      <c r="FD30" s="88">
        <f ca="1">IF(FC30=1,_xll.RiskBinomial(1,Prob_Illness_Given_Infection),0)</f>
        <v>0</v>
      </c>
      <c r="FF30" s="87">
        <f t="shared" ca="1" si="60"/>
        <v>2.0602081173918025E-4</v>
      </c>
      <c r="FG30" s="37">
        <f ca="1">INT(FF30) + _xll.RiskBinomial(1,FF30-INT(FF30))</f>
        <v>0</v>
      </c>
      <c r="FH30" s="30">
        <f t="shared" ca="1" si="26"/>
        <v>0</v>
      </c>
      <c r="FI30" s="35">
        <f ca="1">_xll.RiskBinomial(1,FH30)</f>
        <v>0</v>
      </c>
      <c r="FJ30" s="88">
        <f ca="1">IF(FI30=1,_xll.RiskBinomial(1,Prob_Illness_Given_Infection),0)</f>
        <v>0</v>
      </c>
      <c r="FL30" s="87" t="e">
        <f t="shared" ca="1" si="61"/>
        <v>#NAME?</v>
      </c>
      <c r="FM30" s="37" t="e">
        <f ca="1">INT(FL30) + _xll.RiskBinomial(1,FL30-INT(FL30))</f>
        <v>#NAME?</v>
      </c>
      <c r="FN30" s="30" t="e">
        <f t="shared" ca="1" si="27"/>
        <v>#NAME?</v>
      </c>
      <c r="FO30" s="35" t="e">
        <f ca="1">_xll.RiskBinomial(1,FN30)</f>
        <v>#VALUE!</v>
      </c>
      <c r="FP30" s="88" t="e">
        <f ca="1">IF(FO30=1,_xll.RiskBinomial(1,Prob_Illness_Given_Infection),0)</f>
        <v>#VALUE!</v>
      </c>
      <c r="FR30" s="87" t="e">
        <f t="shared" ca="1" si="62"/>
        <v>#NAME?</v>
      </c>
      <c r="FS30" s="37" t="e">
        <f ca="1">INT(FR30) + _xll.RiskBinomial(1,FR30-INT(FR30))</f>
        <v>#NAME?</v>
      </c>
      <c r="FT30" s="30" t="e">
        <f t="shared" ca="1" si="28"/>
        <v>#NAME?</v>
      </c>
      <c r="FU30" s="35" t="e">
        <f ca="1">_xll.RiskBinomial(1,FT30)</f>
        <v>#VALUE!</v>
      </c>
      <c r="FV30" s="88" t="e">
        <f ca="1">IF(FU30=1,_xll.RiskBinomial(1,Prob_Illness_Given_Infection),0)</f>
        <v>#VALUE!</v>
      </c>
      <c r="FX30" s="87">
        <f t="shared" ca="1" si="63"/>
        <v>4.1400395950192154E-7</v>
      </c>
      <c r="FY30" s="37">
        <f ca="1">INT(FX30) + _xll.RiskBinomial(1,FX30-INT(FX30))</f>
        <v>0</v>
      </c>
      <c r="FZ30" s="30">
        <f t="shared" ca="1" si="29"/>
        <v>0</v>
      </c>
      <c r="GA30" s="35">
        <f ca="1">_xll.RiskBinomial(1,FZ30)</f>
        <v>0</v>
      </c>
      <c r="GB30" s="88">
        <f ca="1">IF(GA30=1,_xll.RiskBinomial(1,Prob_Illness_Given_Infection),0)</f>
        <v>0</v>
      </c>
      <c r="GD30" s="87" t="e">
        <f t="shared" ca="1" si="64"/>
        <v>#NAME?</v>
      </c>
      <c r="GE30" s="37" t="e">
        <f ca="1">INT(GD30) + _xll.RiskBinomial(1,GD30-INT(GD30))</f>
        <v>#NAME?</v>
      </c>
      <c r="GF30" s="30" t="e">
        <f t="shared" ca="1" si="30"/>
        <v>#NAME?</v>
      </c>
      <c r="GG30" s="35" t="e">
        <f ca="1">_xll.RiskBinomial(1,GF30)</f>
        <v>#VALUE!</v>
      </c>
      <c r="GH30" s="88" t="e">
        <f ca="1">IF(GG30=1,_xll.RiskBinomial(1,Prob_Illness_Given_Infection),0)</f>
        <v>#VALUE!</v>
      </c>
      <c r="GJ30" s="87" t="e">
        <f t="shared" ca="1" si="65"/>
        <v>#NAME?</v>
      </c>
      <c r="GK30" s="37" t="e">
        <f ca="1">INT(GJ30) + _xll.RiskBinomial(1,GJ30-INT(GJ30))</f>
        <v>#NAME?</v>
      </c>
      <c r="GL30" s="30" t="e">
        <f t="shared" ca="1" si="31"/>
        <v>#NAME?</v>
      </c>
      <c r="GM30" s="35" t="e">
        <f ca="1">_xll.RiskBinomial(1,GL30)</f>
        <v>#VALUE!</v>
      </c>
      <c r="GN30" s="88" t="e">
        <f ca="1">IF(GM30=1,_xll.RiskBinomial(1,Prob_Illness_Given_Infection),0)</f>
        <v>#VALUE!</v>
      </c>
      <c r="GP30" s="87" t="e">
        <f t="shared" ca="1" si="66"/>
        <v>#NAME?</v>
      </c>
      <c r="GQ30" s="37" t="e">
        <f ca="1">INT(GP30) + _xll.RiskBinomial(1,GP30-INT(GP30))</f>
        <v>#NAME?</v>
      </c>
      <c r="GR30" s="30" t="e">
        <f t="shared" ca="1" si="32"/>
        <v>#NAME?</v>
      </c>
      <c r="GS30" s="35" t="e">
        <f ca="1">_xll.RiskBinomial(1,GR30)</f>
        <v>#VALUE!</v>
      </c>
      <c r="GT30" s="88" t="e">
        <f ca="1">IF(GS30=1,_xll.RiskBinomial(1,Prob_Illness_Given_Infection),0)</f>
        <v>#VALUE!</v>
      </c>
    </row>
    <row r="31" spans="2:202">
      <c r="B31" s="108">
        <v>23</v>
      </c>
      <c r="C31" s="87">
        <f ca="1">_xll.RiskLoglogistic(LogLogistic_gamma, LogLogistic_beta, LogLogistic_alpha, _xll.RiskTruncate(5,800))</f>
        <v>159.88693753625171</v>
      </c>
      <c r="D31" s="38">
        <f t="shared" ca="1" si="33"/>
        <v>10.271398654904131</v>
      </c>
      <c r="E31" s="30"/>
      <c r="F31" s="87">
        <f t="shared" ca="1" si="34"/>
        <v>3.7083774616684992E-9</v>
      </c>
      <c r="G31" s="37">
        <f ca="1">INT(F31) + _xll.RiskBinomial(1,F31-INT(F31))</f>
        <v>0</v>
      </c>
      <c r="H31" s="30">
        <f t="shared" ca="1" si="0"/>
        <v>0</v>
      </c>
      <c r="I31" s="35">
        <f ca="1">_xll.RiskBinomial(1,H31)</f>
        <v>0</v>
      </c>
      <c r="J31" s="88">
        <f ca="1">IF(I31=1,_xll.RiskBinomial(1,Prob_Illness_Given_Infection),0)</f>
        <v>0</v>
      </c>
      <c r="K31" s="30"/>
      <c r="L31" s="87">
        <f t="shared" ca="1" si="35"/>
        <v>1.8941425809880226E-4</v>
      </c>
      <c r="M31" s="37">
        <f ca="1">INT(L31) + _xll.RiskBinomial(1,L31-INT(L31))</f>
        <v>0</v>
      </c>
      <c r="N31" s="30">
        <f t="shared" ca="1" si="1"/>
        <v>0</v>
      </c>
      <c r="O31" s="35">
        <f ca="1">_xll.RiskBinomial(1,N31)</f>
        <v>0</v>
      </c>
      <c r="P31" s="88">
        <f ca="1">IF(O31=1,_xll.RiskBinomial(1,Prob_Illness_Given_Infection),0)</f>
        <v>0</v>
      </c>
      <c r="Q31" s="30"/>
      <c r="R31" s="87">
        <f t="shared" ca="1" si="36"/>
        <v>1.9580845042345478E-5</v>
      </c>
      <c r="S31" s="37">
        <f ca="1">INT(R31) + _xll.RiskBinomial(1,R31-INT(R31))</f>
        <v>0</v>
      </c>
      <c r="T31" s="30">
        <f t="shared" ca="1" si="2"/>
        <v>0</v>
      </c>
      <c r="U31" s="35">
        <f ca="1">_xll.RiskBinomial(1,T31)</f>
        <v>0</v>
      </c>
      <c r="V31" s="88">
        <f ca="1">IF(U31=1,_xll.RiskBinomial(1,Prob_Illness_Given_Infection),0)</f>
        <v>0</v>
      </c>
      <c r="W31" s="30"/>
      <c r="X31" s="87">
        <f t="shared" ca="1" si="37"/>
        <v>8.0443213053650714E-12</v>
      </c>
      <c r="Y31" s="37">
        <f ca="1">INT(X31) + _xll.RiskBinomial(1,X31-INT(X31))</f>
        <v>0</v>
      </c>
      <c r="Z31" s="30">
        <f t="shared" ca="1" si="3"/>
        <v>0</v>
      </c>
      <c r="AA31" s="35">
        <f ca="1">_xll.RiskBinomial(1,Z31)</f>
        <v>0</v>
      </c>
      <c r="AB31" s="88">
        <f ca="1">IF(AA31=1,_xll.RiskBinomial(1,Prob_Illness_Given_Infection),0)</f>
        <v>0</v>
      </c>
      <c r="AC31" s="30"/>
      <c r="AD31" s="87">
        <f t="shared" ca="1" si="38"/>
        <v>4.0528715428135735E-12</v>
      </c>
      <c r="AE31" s="37">
        <f ca="1">INT(AD31) + _xll.RiskBinomial(1,AD31-INT(AD31))</f>
        <v>0</v>
      </c>
      <c r="AF31" s="30">
        <f t="shared" ca="1" si="4"/>
        <v>0</v>
      </c>
      <c r="AG31" s="35">
        <f ca="1">_xll.RiskBinomial(1,AF31)</f>
        <v>0</v>
      </c>
      <c r="AH31" s="88">
        <f ca="1">IF(AG31=1,_xll.RiskBinomial(1,Prob_Illness_Given_Infection),0)</f>
        <v>0</v>
      </c>
      <c r="AI31" s="30"/>
      <c r="AJ31" s="87">
        <f t="shared" ca="1" si="39"/>
        <v>1.8812385249288894E-4</v>
      </c>
      <c r="AK31" s="37">
        <f ca="1">INT(AJ31) + _xll.RiskBinomial(1,AJ31-INT(AJ31))</f>
        <v>0</v>
      </c>
      <c r="AL31" s="30">
        <f t="shared" ca="1" si="5"/>
        <v>0</v>
      </c>
      <c r="AM31" s="35">
        <f ca="1">_xll.RiskBinomial(1,AL31)</f>
        <v>0</v>
      </c>
      <c r="AN31" s="88">
        <f ca="1">IF(AM31=1,_xll.RiskBinomial(1,Prob_Illness_Given_Infection),0)</f>
        <v>0</v>
      </c>
      <c r="AO31" s="30"/>
      <c r="AP31" s="87">
        <f t="shared" ca="1" si="40"/>
        <v>4.5749903067795357E-9</v>
      </c>
      <c r="AQ31" s="37">
        <f ca="1">INT(AP31) + _xll.RiskBinomial(1,AP31-INT(AP31))</f>
        <v>0</v>
      </c>
      <c r="AR31" s="30">
        <f t="shared" ca="1" si="6"/>
        <v>0</v>
      </c>
      <c r="AS31" s="35">
        <f ca="1">_xll.RiskBinomial(1,AR31)</f>
        <v>0</v>
      </c>
      <c r="AT31" s="88">
        <f ca="1">IF(AS31=1,_xll.RiskBinomial(1,Prob_Illness_Given_Infection),0)</f>
        <v>0</v>
      </c>
      <c r="AU31" s="30"/>
      <c r="AV31" s="87">
        <f t="shared" ca="1" si="41"/>
        <v>1.0613739344121547E-4</v>
      </c>
      <c r="AW31" s="37">
        <f ca="1">INT(AV31) + _xll.RiskBinomial(1,AV31-INT(AV31))</f>
        <v>0</v>
      </c>
      <c r="AX31" s="30">
        <f t="shared" ca="1" si="7"/>
        <v>0</v>
      </c>
      <c r="AY31" s="35">
        <f ca="1">_xll.RiskBinomial(1,AX31)</f>
        <v>0</v>
      </c>
      <c r="AZ31" s="88">
        <f ca="1">IF(AY31=1,_xll.RiskBinomial(1,Prob_Illness_Given_Infection),0)</f>
        <v>0</v>
      </c>
      <c r="BB31" s="87">
        <f t="shared" ca="1" si="42"/>
        <v>1.4567462093774153E-4</v>
      </c>
      <c r="BC31" s="37">
        <f ca="1">INT(BB31) + _xll.RiskBinomial(1,BB31-INT(BB31))</f>
        <v>0</v>
      </c>
      <c r="BD31" s="30">
        <f t="shared" ca="1" si="8"/>
        <v>0</v>
      </c>
      <c r="BE31" s="35">
        <f ca="1">_xll.RiskBinomial(1,BD31)</f>
        <v>0</v>
      </c>
      <c r="BF31" s="88">
        <f ca="1">IF(BE31=1,_xll.RiskBinomial(1,Prob_Illness_Given_Infection),0)</f>
        <v>0</v>
      </c>
      <c r="BH31" s="87">
        <f t="shared" ca="1" si="43"/>
        <v>1.8443449189299558E-4</v>
      </c>
      <c r="BI31" s="37">
        <f ca="1">INT(BH31) + _xll.RiskBinomial(1,BH31-INT(BH31))</f>
        <v>0</v>
      </c>
      <c r="BJ31" s="30">
        <f t="shared" ca="1" si="9"/>
        <v>0</v>
      </c>
      <c r="BK31" s="35">
        <f ca="1">_xll.RiskBinomial(1,BJ31)</f>
        <v>0</v>
      </c>
      <c r="BL31" s="88">
        <f ca="1">IF(BK31=1,_xll.RiskBinomial(1,Prob_Illness_Given_Infection),0)</f>
        <v>0</v>
      </c>
      <c r="BN31" s="87">
        <f t="shared" ca="1" si="44"/>
        <v>1.4036516472998504E-5</v>
      </c>
      <c r="BO31" s="37">
        <f ca="1">INT(BN31) + _xll.RiskBinomial(1,BN31-INT(BN31))</f>
        <v>0</v>
      </c>
      <c r="BP31" s="30">
        <f t="shared" ca="1" si="10"/>
        <v>0</v>
      </c>
      <c r="BQ31" s="35">
        <f ca="1">_xll.RiskBinomial(1,BP31)</f>
        <v>0</v>
      </c>
      <c r="BR31" s="88">
        <f ca="1">IF(BQ31=1,_xll.RiskBinomial(1,Prob_Illness_Given_Infection),0)</f>
        <v>0</v>
      </c>
      <c r="BT31" s="87">
        <f t="shared" ca="1" si="45"/>
        <v>4.2207656642041676E-5</v>
      </c>
      <c r="BU31" s="37">
        <f ca="1">INT(BT31) + _xll.RiskBinomial(1,BT31-INT(BT31))</f>
        <v>0</v>
      </c>
      <c r="BV31" s="30">
        <f t="shared" ca="1" si="11"/>
        <v>0</v>
      </c>
      <c r="BW31" s="35">
        <f ca="1">_xll.RiskBinomial(1,BV31)</f>
        <v>0</v>
      </c>
      <c r="BX31" s="88">
        <f ca="1">IF(BW31=1,_xll.RiskBinomial(1,Prob_Illness_Given_Infection),0)</f>
        <v>0</v>
      </c>
      <c r="BZ31" s="87">
        <f t="shared" ca="1" si="46"/>
        <v>1.1570541468503203E-4</v>
      </c>
      <c r="CA31" s="37">
        <f ca="1">INT(BZ31) + _xll.RiskBinomial(1,BZ31-INT(BZ31))</f>
        <v>0</v>
      </c>
      <c r="CB31" s="30">
        <f t="shared" ca="1" si="12"/>
        <v>0</v>
      </c>
      <c r="CC31" s="35">
        <f ca="1">_xll.RiskBinomial(1,CB31)</f>
        <v>0</v>
      </c>
      <c r="CD31" s="88">
        <f ca="1">IF(CC31=1,_xll.RiskBinomial(1,Prob_Illness_Given_Infection),0)</f>
        <v>0</v>
      </c>
      <c r="CF31" s="87">
        <f t="shared" ca="1" si="47"/>
        <v>2.1953944314219893E-5</v>
      </c>
      <c r="CG31" s="37">
        <f ca="1">INT(CF31) + _xll.RiskBinomial(1,CF31-INT(CF31))</f>
        <v>0</v>
      </c>
      <c r="CH31" s="30">
        <f t="shared" ca="1" si="13"/>
        <v>0</v>
      </c>
      <c r="CI31" s="35">
        <f ca="1">_xll.RiskBinomial(1,CH31)</f>
        <v>0</v>
      </c>
      <c r="CJ31" s="88">
        <f ca="1">IF(CI31=1,_xll.RiskBinomial(1,Prob_Illness_Given_Infection),0)</f>
        <v>0</v>
      </c>
      <c r="CL31" s="87">
        <f t="shared" ca="1" si="48"/>
        <v>4.2364966396248666E-5</v>
      </c>
      <c r="CM31" s="37">
        <f ca="1">INT(CL31) + _xll.RiskBinomial(1,CL31-INT(CL31))</f>
        <v>0</v>
      </c>
      <c r="CN31" s="30">
        <f t="shared" ca="1" si="14"/>
        <v>0</v>
      </c>
      <c r="CO31" s="35">
        <f ca="1">_xll.RiskBinomial(1,CN31)</f>
        <v>0</v>
      </c>
      <c r="CP31" s="88">
        <f ca="1">IF(CO31=1,_xll.RiskBinomial(1,Prob_Illness_Given_Infection),0)</f>
        <v>0</v>
      </c>
      <c r="CR31" s="87">
        <f t="shared" ca="1" si="49"/>
        <v>2.9196652583972812E-7</v>
      </c>
      <c r="CS31" s="37">
        <f ca="1">INT(CR31) + _xll.RiskBinomial(1,CR31-INT(CR31))</f>
        <v>0</v>
      </c>
      <c r="CT31" s="30">
        <f t="shared" ca="1" si="15"/>
        <v>0</v>
      </c>
      <c r="CU31" s="35">
        <f ca="1">_xll.RiskBinomial(1,CT31)</f>
        <v>0</v>
      </c>
      <c r="CV31" s="88">
        <f ca="1">IF(CU31=1,_xll.RiskBinomial(1,Prob_Illness_Given_Infection),0)</f>
        <v>0</v>
      </c>
      <c r="CX31" s="87">
        <f t="shared" ca="1" si="50"/>
        <v>2.9721860412851012E-9</v>
      </c>
      <c r="CY31" s="37">
        <f ca="1">INT(CX31) + _xll.RiskBinomial(1,CX31-INT(CX31))</f>
        <v>0</v>
      </c>
      <c r="CZ31" s="30">
        <f t="shared" ca="1" si="16"/>
        <v>0</v>
      </c>
      <c r="DA31" s="35">
        <f ca="1">_xll.RiskBinomial(1,CZ31)</f>
        <v>0</v>
      </c>
      <c r="DB31" s="88">
        <f ca="1">IF(DA31=1,_xll.RiskBinomial(1,Prob_Illness_Given_Infection),0)</f>
        <v>0</v>
      </c>
      <c r="DD31" s="87">
        <f t="shared" ca="1" si="51"/>
        <v>2.9721860412851012E-9</v>
      </c>
      <c r="DE31" s="37">
        <f ca="1">INT(DD31) + _xll.RiskBinomial(1,DD31-INT(DD31))</f>
        <v>0</v>
      </c>
      <c r="DF31" s="30">
        <f t="shared" ca="1" si="17"/>
        <v>0</v>
      </c>
      <c r="DG31" s="35">
        <f ca="1">_xll.RiskBinomial(1,DF31)</f>
        <v>0</v>
      </c>
      <c r="DH31" s="88">
        <f ca="1">IF(DG31=1,_xll.RiskBinomial(1,Prob_Illness_Given_Infection),0)</f>
        <v>0</v>
      </c>
      <c r="DJ31" s="87">
        <f t="shared" ca="1" si="52"/>
        <v>4.853167406064843E-6</v>
      </c>
      <c r="DK31" s="37">
        <f ca="1">INT(DJ31) + _xll.RiskBinomial(1,DJ31-INT(DJ31))</f>
        <v>0</v>
      </c>
      <c r="DL31" s="30">
        <f t="shared" ca="1" si="18"/>
        <v>0</v>
      </c>
      <c r="DM31" s="35">
        <f ca="1">_xll.RiskBinomial(1,DL31)</f>
        <v>0</v>
      </c>
      <c r="DN31" s="88">
        <f ca="1">IF(DM31=1,_xll.RiskBinomial(1,Prob_Illness_Given_Infection),0)</f>
        <v>0</v>
      </c>
      <c r="DP31" s="87">
        <f t="shared" ca="1" si="53"/>
        <v>1.1472637624906648E-9</v>
      </c>
      <c r="DQ31" s="37">
        <f ca="1">INT(DP31) + _xll.RiskBinomial(1,DP31-INT(DP31))</f>
        <v>0</v>
      </c>
      <c r="DR31" s="30">
        <f t="shared" ca="1" si="19"/>
        <v>0</v>
      </c>
      <c r="DS31" s="35">
        <f ca="1">_xll.RiskBinomial(1,DR31)</f>
        <v>0</v>
      </c>
      <c r="DT31" s="88">
        <f ca="1">IF(DS31=1,_xll.RiskBinomial(1,Prob_Illness_Given_Infection),0)</f>
        <v>0</v>
      </c>
      <c r="DV31" s="87">
        <f t="shared" ca="1" si="54"/>
        <v>1.6151247707303814E-8</v>
      </c>
      <c r="DW31" s="37">
        <f ca="1">INT(DV31) + _xll.RiskBinomial(1,DV31-INT(DV31))</f>
        <v>0</v>
      </c>
      <c r="DX31" s="30">
        <f t="shared" ca="1" si="20"/>
        <v>0</v>
      </c>
      <c r="DY31" s="35">
        <f ca="1">_xll.RiskBinomial(1,DX31)</f>
        <v>0</v>
      </c>
      <c r="DZ31" s="88">
        <f ca="1">IF(DY31=1,_xll.RiskBinomial(1,Prob_Illness_Given_Infection),0)</f>
        <v>0</v>
      </c>
      <c r="EB31" s="87">
        <f t="shared" ca="1" si="55"/>
        <v>4.0528715428122124E-12</v>
      </c>
      <c r="EC31" s="37">
        <f ca="1">INT(EB31) + _xll.RiskBinomial(1,EB31-INT(EB31))</f>
        <v>0</v>
      </c>
      <c r="ED31" s="30">
        <f t="shared" ca="1" si="21"/>
        <v>0</v>
      </c>
      <c r="EE31" s="35">
        <f ca="1">_xll.RiskBinomial(1,ED31)</f>
        <v>0</v>
      </c>
      <c r="EF31" s="88">
        <f ca="1">IF(EE31=1,_xll.RiskBinomial(1,Prob_Illness_Given_Infection),0)</f>
        <v>0</v>
      </c>
      <c r="EH31" s="87">
        <f t="shared" ca="1" si="56"/>
        <v>4.0528715428080458E-12</v>
      </c>
      <c r="EI31" s="37">
        <f ca="1">INT(EH31) + _xll.RiskBinomial(1,EH31-INT(EH31))</f>
        <v>0</v>
      </c>
      <c r="EJ31" s="30">
        <f t="shared" ca="1" si="22"/>
        <v>0</v>
      </c>
      <c r="EK31" s="35">
        <f ca="1">_xll.RiskBinomial(1,EJ31)</f>
        <v>0</v>
      </c>
      <c r="EL31" s="88">
        <f ca="1">IF(EK31=1,_xll.RiskBinomial(1,Prob_Illness_Given_Infection),0)</f>
        <v>0</v>
      </c>
      <c r="EN31" s="87">
        <f t="shared" ca="1" si="57"/>
        <v>3.6980005990888871E-10</v>
      </c>
      <c r="EO31" s="37">
        <f ca="1">INT(EN31) + _xll.RiskBinomial(1,EN31-INT(EN31))</f>
        <v>0</v>
      </c>
      <c r="EP31" s="30">
        <f t="shared" ca="1" si="23"/>
        <v>0</v>
      </c>
      <c r="EQ31" s="35">
        <f ca="1">_xll.RiskBinomial(1,EP31)</f>
        <v>0</v>
      </c>
      <c r="ER31" s="88">
        <f ca="1">IF(EQ31=1,_xll.RiskBinomial(1,Prob_Illness_Given_Infection),0)</f>
        <v>0</v>
      </c>
      <c r="ET31" s="87">
        <f t="shared" ca="1" si="58"/>
        <v>4.0528715428041805E-12</v>
      </c>
      <c r="EU31" s="37">
        <f ca="1">INT(ET31) + _xll.RiskBinomial(1,ET31-INT(ET31))</f>
        <v>0</v>
      </c>
      <c r="EV31" s="30">
        <f t="shared" ca="1" si="24"/>
        <v>0</v>
      </c>
      <c r="EW31" s="35">
        <f ca="1">_xll.RiskBinomial(1,EV31)</f>
        <v>0</v>
      </c>
      <c r="EX31" s="88">
        <f ca="1">IF(EW31=1,_xll.RiskBinomial(1,Prob_Illness_Given_Infection),0)</f>
        <v>0</v>
      </c>
      <c r="EZ31" s="87">
        <f t="shared" ca="1" si="59"/>
        <v>3.0567581741691725E-5</v>
      </c>
      <c r="FA31" s="37">
        <f ca="1">INT(EZ31) + _xll.RiskBinomial(1,EZ31-INT(EZ31))</f>
        <v>0</v>
      </c>
      <c r="FB31" s="30">
        <f t="shared" ca="1" si="25"/>
        <v>0</v>
      </c>
      <c r="FC31" s="35">
        <f ca="1">_xll.RiskBinomial(1,FB31)</f>
        <v>0</v>
      </c>
      <c r="FD31" s="88">
        <f ca="1">IF(FC31=1,_xll.RiskBinomial(1,Prob_Illness_Given_Infection),0)</f>
        <v>0</v>
      </c>
      <c r="FF31" s="87">
        <f t="shared" ca="1" si="60"/>
        <v>2.1293033830499414E-4</v>
      </c>
      <c r="FG31" s="37">
        <f ca="1">INT(FF31) + _xll.RiskBinomial(1,FF31-INT(FF31))</f>
        <v>0</v>
      </c>
      <c r="FH31" s="30">
        <f t="shared" ca="1" si="26"/>
        <v>0</v>
      </c>
      <c r="FI31" s="35">
        <f ca="1">_xll.RiskBinomial(1,FH31)</f>
        <v>0</v>
      </c>
      <c r="FJ31" s="88">
        <f ca="1">IF(FI31=1,_xll.RiskBinomial(1,Prob_Illness_Given_Infection),0)</f>
        <v>0</v>
      </c>
      <c r="FL31" s="87" t="e">
        <f t="shared" ca="1" si="61"/>
        <v>#NAME?</v>
      </c>
      <c r="FM31" s="37" t="e">
        <f ca="1">INT(FL31) + _xll.RiskBinomial(1,FL31-INT(FL31))</f>
        <v>#NAME?</v>
      </c>
      <c r="FN31" s="30" t="e">
        <f t="shared" ca="1" si="27"/>
        <v>#NAME?</v>
      </c>
      <c r="FO31" s="35" t="e">
        <f ca="1">_xll.RiskBinomial(1,FN31)</f>
        <v>#VALUE!</v>
      </c>
      <c r="FP31" s="88" t="e">
        <f ca="1">IF(FO31=1,_xll.RiskBinomial(1,Prob_Illness_Given_Infection),0)</f>
        <v>#VALUE!</v>
      </c>
      <c r="FR31" s="87" t="e">
        <f t="shared" ca="1" si="62"/>
        <v>#NAME?</v>
      </c>
      <c r="FS31" s="37" t="e">
        <f ca="1">INT(FR31) + _xll.RiskBinomial(1,FR31-INT(FR31))</f>
        <v>#NAME?</v>
      </c>
      <c r="FT31" s="30" t="e">
        <f t="shared" ca="1" si="28"/>
        <v>#NAME?</v>
      </c>
      <c r="FU31" s="35" t="e">
        <f ca="1">_xll.RiskBinomial(1,FT31)</f>
        <v>#VALUE!</v>
      </c>
      <c r="FV31" s="88" t="e">
        <f ca="1">IF(FU31=1,_xll.RiskBinomial(1,Prob_Illness_Given_Infection),0)</f>
        <v>#VALUE!</v>
      </c>
      <c r="FX31" s="87">
        <f t="shared" ca="1" si="63"/>
        <v>4.2788882546464821E-7</v>
      </c>
      <c r="FY31" s="37">
        <f ca="1">INT(FX31) + _xll.RiskBinomial(1,FX31-INT(FX31))</f>
        <v>0</v>
      </c>
      <c r="FZ31" s="30">
        <f t="shared" ca="1" si="29"/>
        <v>0</v>
      </c>
      <c r="GA31" s="35">
        <f ca="1">_xll.RiskBinomial(1,FZ31)</f>
        <v>0</v>
      </c>
      <c r="GB31" s="88">
        <f ca="1">IF(GA31=1,_xll.RiskBinomial(1,Prob_Illness_Given_Infection),0)</f>
        <v>0</v>
      </c>
      <c r="GD31" s="87" t="e">
        <f t="shared" ca="1" si="64"/>
        <v>#NAME?</v>
      </c>
      <c r="GE31" s="37" t="e">
        <f ca="1">INT(GD31) + _xll.RiskBinomial(1,GD31-INT(GD31))</f>
        <v>#NAME?</v>
      </c>
      <c r="GF31" s="30" t="e">
        <f t="shared" ca="1" si="30"/>
        <v>#NAME?</v>
      </c>
      <c r="GG31" s="35" t="e">
        <f ca="1">_xll.RiskBinomial(1,GF31)</f>
        <v>#VALUE!</v>
      </c>
      <c r="GH31" s="88" t="e">
        <f ca="1">IF(GG31=1,_xll.RiskBinomial(1,Prob_Illness_Given_Infection),0)</f>
        <v>#VALUE!</v>
      </c>
      <c r="GJ31" s="87" t="e">
        <f t="shared" ca="1" si="65"/>
        <v>#NAME?</v>
      </c>
      <c r="GK31" s="37" t="e">
        <f ca="1">INT(GJ31) + _xll.RiskBinomial(1,GJ31-INT(GJ31))</f>
        <v>#NAME?</v>
      </c>
      <c r="GL31" s="30" t="e">
        <f t="shared" ca="1" si="31"/>
        <v>#NAME?</v>
      </c>
      <c r="GM31" s="35" t="e">
        <f ca="1">_xll.RiskBinomial(1,GL31)</f>
        <v>#VALUE!</v>
      </c>
      <c r="GN31" s="88" t="e">
        <f ca="1">IF(GM31=1,_xll.RiskBinomial(1,Prob_Illness_Given_Infection),0)</f>
        <v>#VALUE!</v>
      </c>
      <c r="GP31" s="87" t="e">
        <f t="shared" ca="1" si="66"/>
        <v>#NAME?</v>
      </c>
      <c r="GQ31" s="37" t="e">
        <f ca="1">INT(GP31) + _xll.RiskBinomial(1,GP31-INT(GP31))</f>
        <v>#NAME?</v>
      </c>
      <c r="GR31" s="30" t="e">
        <f t="shared" ca="1" si="32"/>
        <v>#NAME?</v>
      </c>
      <c r="GS31" s="35" t="e">
        <f ca="1">_xll.RiskBinomial(1,GR31)</f>
        <v>#VALUE!</v>
      </c>
      <c r="GT31" s="88" t="e">
        <f ca="1">IF(GS31=1,_xll.RiskBinomial(1,Prob_Illness_Given_Infection),0)</f>
        <v>#VALUE!</v>
      </c>
    </row>
    <row r="32" spans="2:202">
      <c r="B32" s="108">
        <v>24</v>
      </c>
      <c r="C32" s="87">
        <f ca="1">_xll.RiskLoglogistic(LogLogistic_gamma, LogLogistic_beta, LogLogistic_alpha, _xll.RiskTruncate(5,800))</f>
        <v>57.109700510041854</v>
      </c>
      <c r="D32" s="38">
        <f t="shared" ca="1" si="33"/>
        <v>3.668820668153836</v>
      </c>
      <c r="E32" s="30"/>
      <c r="F32" s="87">
        <f t="shared" ca="1" si="34"/>
        <v>1.3245880462627451E-9</v>
      </c>
      <c r="G32" s="37">
        <f ca="1">INT(F32) + _xll.RiskBinomial(1,F32-INT(F32))</f>
        <v>0</v>
      </c>
      <c r="H32" s="30">
        <f t="shared" ca="1" si="0"/>
        <v>0</v>
      </c>
      <c r="I32" s="35">
        <f ca="1">_xll.RiskBinomial(1,H32)</f>
        <v>0</v>
      </c>
      <c r="J32" s="88">
        <f ca="1">IF(I32=1,_xll.RiskBinomial(1,Prob_Illness_Given_Infection),0)</f>
        <v>0</v>
      </c>
      <c r="K32" s="30"/>
      <c r="L32" s="87">
        <f t="shared" ca="1" si="35"/>
        <v>6.7656506022586765E-5</v>
      </c>
      <c r="M32" s="37">
        <f ca="1">INT(L32) + _xll.RiskBinomial(1,L32-INT(L32))</f>
        <v>0</v>
      </c>
      <c r="N32" s="30">
        <f t="shared" ca="1" si="1"/>
        <v>0</v>
      </c>
      <c r="O32" s="35">
        <f ca="1">_xll.RiskBinomial(1,N32)</f>
        <v>0</v>
      </c>
      <c r="P32" s="88">
        <f ca="1">IF(O32=1,_xll.RiskBinomial(1,Prob_Illness_Given_Infection),0)</f>
        <v>0</v>
      </c>
      <c r="Q32" s="30"/>
      <c r="R32" s="87">
        <f t="shared" ca="1" si="36"/>
        <v>6.9940434993217758E-6</v>
      </c>
      <c r="S32" s="37">
        <f ca="1">INT(R32) + _xll.RiskBinomial(1,R32-INT(R32))</f>
        <v>0</v>
      </c>
      <c r="T32" s="30">
        <f t="shared" ca="1" si="2"/>
        <v>0</v>
      </c>
      <c r="U32" s="35">
        <f ca="1">_xll.RiskBinomial(1,T32)</f>
        <v>0</v>
      </c>
      <c r="V32" s="88">
        <f ca="1">IF(U32=1,_xll.RiskBinomial(1,Prob_Illness_Given_Infection),0)</f>
        <v>0</v>
      </c>
      <c r="W32" s="30"/>
      <c r="X32" s="87">
        <f t="shared" ca="1" si="37"/>
        <v>2.8733352932711273E-12</v>
      </c>
      <c r="Y32" s="37">
        <f ca="1">INT(X32) + _xll.RiskBinomial(1,X32-INT(X32))</f>
        <v>0</v>
      </c>
      <c r="Z32" s="30">
        <f t="shared" ca="1" si="3"/>
        <v>0</v>
      </c>
      <c r="AA32" s="35">
        <f ca="1">_xll.RiskBinomial(1,Z32)</f>
        <v>0</v>
      </c>
      <c r="AB32" s="88">
        <f ca="1">IF(AA32=1,_xll.RiskBinomial(1,Prob_Illness_Given_Infection),0)</f>
        <v>0</v>
      </c>
      <c r="AC32" s="30"/>
      <c r="AD32" s="87">
        <f t="shared" ca="1" si="38"/>
        <v>1.4476372090326336E-12</v>
      </c>
      <c r="AE32" s="37">
        <f ca="1">INT(AD32) + _xll.RiskBinomial(1,AD32-INT(AD32))</f>
        <v>0</v>
      </c>
      <c r="AF32" s="30">
        <f t="shared" ca="1" si="4"/>
        <v>0</v>
      </c>
      <c r="AG32" s="35">
        <f ca="1">_xll.RiskBinomial(1,AF32)</f>
        <v>0</v>
      </c>
      <c r="AH32" s="88">
        <f ca="1">IF(AG32=1,_xll.RiskBinomial(1,Prob_Illness_Given_Infection),0)</f>
        <v>0</v>
      </c>
      <c r="AI32" s="30"/>
      <c r="AJ32" s="87">
        <f t="shared" ca="1" si="39"/>
        <v>6.7195588584140732E-5</v>
      </c>
      <c r="AK32" s="37">
        <f ca="1">INT(AJ32) + _xll.RiskBinomial(1,AJ32-INT(AJ32))</f>
        <v>0</v>
      </c>
      <c r="AL32" s="30">
        <f t="shared" ca="1" si="5"/>
        <v>0</v>
      </c>
      <c r="AM32" s="35">
        <f ca="1">_xll.RiskBinomial(1,AL32)</f>
        <v>0</v>
      </c>
      <c r="AN32" s="88">
        <f ca="1">IF(AM32=1,_xll.RiskBinomial(1,Prob_Illness_Given_Infection),0)</f>
        <v>0</v>
      </c>
      <c r="AO32" s="30"/>
      <c r="AP32" s="87">
        <f t="shared" ca="1" si="40"/>
        <v>1.6341317826372384E-9</v>
      </c>
      <c r="AQ32" s="37">
        <f ca="1">INT(AP32) + _xll.RiskBinomial(1,AP32-INT(AP32))</f>
        <v>0</v>
      </c>
      <c r="AR32" s="30">
        <f t="shared" ca="1" si="6"/>
        <v>0</v>
      </c>
      <c r="AS32" s="35">
        <f ca="1">_xll.RiskBinomial(1,AR32)</f>
        <v>0</v>
      </c>
      <c r="AT32" s="88">
        <f ca="1">IF(AS32=1,_xll.RiskBinomial(1,Prob_Illness_Given_Infection),0)</f>
        <v>0</v>
      </c>
      <c r="AU32" s="30"/>
      <c r="AV32" s="87">
        <f t="shared" ca="1" si="41"/>
        <v>3.7911006650996468E-5</v>
      </c>
      <c r="AW32" s="37">
        <f ca="1">INT(AV32) + _xll.RiskBinomial(1,AV32-INT(AV32))</f>
        <v>0</v>
      </c>
      <c r="AX32" s="30">
        <f t="shared" ca="1" si="7"/>
        <v>0</v>
      </c>
      <c r="AY32" s="35">
        <f ca="1">_xll.RiskBinomial(1,AX32)</f>
        <v>0</v>
      </c>
      <c r="AZ32" s="88">
        <f ca="1">IF(AY32=1,_xll.RiskBinomial(1,Prob_Illness_Given_Infection),0)</f>
        <v>0</v>
      </c>
      <c r="BB32" s="87">
        <f t="shared" ca="1" si="42"/>
        <v>5.2033231118595895E-5</v>
      </c>
      <c r="BC32" s="37">
        <f ca="1">INT(BB32) + _xll.RiskBinomial(1,BB32-INT(BB32))</f>
        <v>0</v>
      </c>
      <c r="BD32" s="30">
        <f t="shared" ca="1" si="8"/>
        <v>0</v>
      </c>
      <c r="BE32" s="35">
        <f ca="1">_xll.RiskBinomial(1,BD32)</f>
        <v>0</v>
      </c>
      <c r="BF32" s="88">
        <f ca="1">IF(BE32=1,_xll.RiskBinomial(1,Prob_Illness_Given_Infection),0)</f>
        <v>0</v>
      </c>
      <c r="BH32" s="87">
        <f t="shared" ca="1" si="43"/>
        <v>6.5877793133304198E-5</v>
      </c>
      <c r="BI32" s="37">
        <f ca="1">INT(BH32) + _xll.RiskBinomial(1,BH32-INT(BH32))</f>
        <v>0</v>
      </c>
      <c r="BJ32" s="30">
        <f t="shared" ca="1" si="9"/>
        <v>0</v>
      </c>
      <c r="BK32" s="35">
        <f ca="1">_xll.RiskBinomial(1,BJ32)</f>
        <v>0</v>
      </c>
      <c r="BL32" s="88">
        <f ca="1">IF(BK32=1,_xll.RiskBinomial(1,Prob_Illness_Given_Infection),0)</f>
        <v>0</v>
      </c>
      <c r="BN32" s="87">
        <f t="shared" ca="1" si="44"/>
        <v>5.013675690645205E-6</v>
      </c>
      <c r="BO32" s="37">
        <f ca="1">INT(BN32) + _xll.RiskBinomial(1,BN32-INT(BN32))</f>
        <v>0</v>
      </c>
      <c r="BP32" s="30">
        <f t="shared" ca="1" si="10"/>
        <v>0</v>
      </c>
      <c r="BQ32" s="35">
        <f ca="1">_xll.RiskBinomial(1,BP32)</f>
        <v>0</v>
      </c>
      <c r="BR32" s="88">
        <f ca="1">IF(BQ32=1,_xll.RiskBinomial(1,Prob_Illness_Given_Infection),0)</f>
        <v>0</v>
      </c>
      <c r="BT32" s="87">
        <f t="shared" ca="1" si="45"/>
        <v>1.5076069797829142E-5</v>
      </c>
      <c r="BU32" s="37">
        <f ca="1">INT(BT32) + _xll.RiskBinomial(1,BT32-INT(BT32))</f>
        <v>0</v>
      </c>
      <c r="BV32" s="30">
        <f t="shared" ca="1" si="11"/>
        <v>0</v>
      </c>
      <c r="BW32" s="35">
        <f ca="1">_xll.RiskBinomial(1,BV32)</f>
        <v>0</v>
      </c>
      <c r="BX32" s="88">
        <f ca="1">IF(BW32=1,_xll.RiskBinomial(1,Prob_Illness_Given_Infection),0)</f>
        <v>0</v>
      </c>
      <c r="BZ32" s="87">
        <f t="shared" ca="1" si="46"/>
        <v>4.1328589326155213E-5</v>
      </c>
      <c r="CA32" s="37">
        <f ca="1">INT(BZ32) + _xll.RiskBinomial(1,BZ32-INT(BZ32))</f>
        <v>0</v>
      </c>
      <c r="CB32" s="30">
        <f t="shared" ca="1" si="12"/>
        <v>0</v>
      </c>
      <c r="CC32" s="35">
        <f ca="1">_xll.RiskBinomial(1,CB32)</f>
        <v>0</v>
      </c>
      <c r="CD32" s="88">
        <f ca="1">IF(CC32=1,_xll.RiskBinomial(1,Prob_Illness_Given_Infection),0)</f>
        <v>0</v>
      </c>
      <c r="CF32" s="87">
        <f t="shared" ca="1" si="47"/>
        <v>7.8416861572256931E-6</v>
      </c>
      <c r="CG32" s="37">
        <f ca="1">INT(CF32) + _xll.RiskBinomial(1,CF32-INT(CF32))</f>
        <v>0</v>
      </c>
      <c r="CH32" s="30">
        <f t="shared" ca="1" si="13"/>
        <v>0</v>
      </c>
      <c r="CI32" s="35">
        <f ca="1">_xll.RiskBinomial(1,CH32)</f>
        <v>0</v>
      </c>
      <c r="CJ32" s="88">
        <f ca="1">IF(CI32=1,_xll.RiskBinomial(1,Prob_Illness_Given_Infection),0)</f>
        <v>0</v>
      </c>
      <c r="CL32" s="87">
        <f t="shared" ca="1" si="48"/>
        <v>1.5132258959298524E-5</v>
      </c>
      <c r="CM32" s="37">
        <f ca="1">INT(CL32) + _xll.RiskBinomial(1,CL32-INT(CL32))</f>
        <v>0</v>
      </c>
      <c r="CN32" s="30">
        <f t="shared" ca="1" si="14"/>
        <v>0</v>
      </c>
      <c r="CO32" s="35">
        <f ca="1">_xll.RiskBinomial(1,CN32)</f>
        <v>0</v>
      </c>
      <c r="CP32" s="88">
        <f ca="1">IF(CO32=1,_xll.RiskBinomial(1,Prob_Illness_Given_Infection),0)</f>
        <v>0</v>
      </c>
      <c r="CR32" s="87">
        <f t="shared" ca="1" si="49"/>
        <v>1.0428694868136859E-7</v>
      </c>
      <c r="CS32" s="37">
        <f ca="1">INT(CR32) + _xll.RiskBinomial(1,CR32-INT(CR32))</f>
        <v>0</v>
      </c>
      <c r="CT32" s="30">
        <f t="shared" ca="1" si="15"/>
        <v>0</v>
      </c>
      <c r="CU32" s="35">
        <f ca="1">_xll.RiskBinomial(1,CT32)</f>
        <v>0</v>
      </c>
      <c r="CV32" s="88">
        <f ca="1">IF(CU32=1,_xll.RiskBinomial(1,Prob_Illness_Given_Infection),0)</f>
        <v>0</v>
      </c>
      <c r="CX32" s="87">
        <f t="shared" ca="1" si="50"/>
        <v>1.06162928187572E-9</v>
      </c>
      <c r="CY32" s="37">
        <f ca="1">INT(CX32) + _xll.RiskBinomial(1,CX32-INT(CX32))</f>
        <v>0</v>
      </c>
      <c r="CZ32" s="30">
        <f t="shared" ca="1" si="16"/>
        <v>0</v>
      </c>
      <c r="DA32" s="35">
        <f ca="1">_xll.RiskBinomial(1,CZ32)</f>
        <v>0</v>
      </c>
      <c r="DB32" s="88">
        <f ca="1">IF(DA32=1,_xll.RiskBinomial(1,Prob_Illness_Given_Infection),0)</f>
        <v>0</v>
      </c>
      <c r="DD32" s="87">
        <f t="shared" ca="1" si="51"/>
        <v>1.06162928187572E-9</v>
      </c>
      <c r="DE32" s="37">
        <f ca="1">INT(DD32) + _xll.RiskBinomial(1,DD32-INT(DD32))</f>
        <v>0</v>
      </c>
      <c r="DF32" s="30">
        <f t="shared" ca="1" si="17"/>
        <v>0</v>
      </c>
      <c r="DG32" s="35">
        <f ca="1">_xll.RiskBinomial(1,DF32)</f>
        <v>0</v>
      </c>
      <c r="DH32" s="88">
        <f ca="1">IF(DG32=1,_xll.RiskBinomial(1,Prob_Illness_Given_Infection),0)</f>
        <v>0</v>
      </c>
      <c r="DJ32" s="87">
        <f t="shared" ca="1" si="52"/>
        <v>1.7334933131896267E-6</v>
      </c>
      <c r="DK32" s="37">
        <f ca="1">INT(DJ32) + _xll.RiskBinomial(1,DJ32-INT(DJ32))</f>
        <v>0</v>
      </c>
      <c r="DL32" s="30">
        <f t="shared" ca="1" si="18"/>
        <v>0</v>
      </c>
      <c r="DM32" s="35">
        <f ca="1">_xll.RiskBinomial(1,DL32)</f>
        <v>0</v>
      </c>
      <c r="DN32" s="88">
        <f ca="1">IF(DM32=1,_xll.RiskBinomial(1,Prob_Illness_Given_Infection),0)</f>
        <v>0</v>
      </c>
      <c r="DP32" s="87">
        <f t="shared" ca="1" si="53"/>
        <v>4.097888851427285E-10</v>
      </c>
      <c r="DQ32" s="37">
        <f ca="1">INT(DP32) + _xll.RiskBinomial(1,DP32-INT(DP32))</f>
        <v>0</v>
      </c>
      <c r="DR32" s="30">
        <f t="shared" ca="1" si="19"/>
        <v>0</v>
      </c>
      <c r="DS32" s="35">
        <f ca="1">_xll.RiskBinomial(1,DR32)</f>
        <v>0</v>
      </c>
      <c r="DT32" s="88">
        <f ca="1">IF(DS32=1,_xll.RiskBinomial(1,Prob_Illness_Given_Infection),0)</f>
        <v>0</v>
      </c>
      <c r="DV32" s="87">
        <f t="shared" ca="1" si="54"/>
        <v>5.769032377760589E-9</v>
      </c>
      <c r="DW32" s="37">
        <f ca="1">INT(DV32) + _xll.RiskBinomial(1,DV32-INT(DV32))</f>
        <v>0</v>
      </c>
      <c r="DX32" s="30">
        <f t="shared" ca="1" si="20"/>
        <v>0</v>
      </c>
      <c r="DY32" s="35">
        <f ca="1">_xll.RiskBinomial(1,DX32)</f>
        <v>0</v>
      </c>
      <c r="DZ32" s="88">
        <f ca="1">IF(DY32=1,_xll.RiskBinomial(1,Prob_Illness_Given_Infection),0)</f>
        <v>0</v>
      </c>
      <c r="EB32" s="87">
        <f t="shared" ca="1" si="55"/>
        <v>1.4476372090321474E-12</v>
      </c>
      <c r="EC32" s="37">
        <f ca="1">INT(EB32) + _xll.RiskBinomial(1,EB32-INT(EB32))</f>
        <v>0</v>
      </c>
      <c r="ED32" s="30">
        <f t="shared" ca="1" si="21"/>
        <v>0</v>
      </c>
      <c r="EE32" s="35">
        <f ca="1">_xll.RiskBinomial(1,ED32)</f>
        <v>0</v>
      </c>
      <c r="EF32" s="88">
        <f ca="1">IF(EE32=1,_xll.RiskBinomial(1,Prob_Illness_Given_Infection),0)</f>
        <v>0</v>
      </c>
      <c r="EH32" s="87">
        <f t="shared" ca="1" si="56"/>
        <v>1.4476372090306592E-12</v>
      </c>
      <c r="EI32" s="37">
        <f ca="1">INT(EH32) + _xll.RiskBinomial(1,EH32-INT(EH32))</f>
        <v>0</v>
      </c>
      <c r="EJ32" s="30">
        <f t="shared" ca="1" si="22"/>
        <v>0</v>
      </c>
      <c r="EK32" s="35">
        <f ca="1">_xll.RiskBinomial(1,EJ32)</f>
        <v>0</v>
      </c>
      <c r="EL32" s="88">
        <f ca="1">IF(EK32=1,_xll.RiskBinomial(1,Prob_Illness_Given_Infection),0)</f>
        <v>0</v>
      </c>
      <c r="EN32" s="87">
        <f t="shared" ca="1" si="57"/>
        <v>1.3208815551429115E-10</v>
      </c>
      <c r="EO32" s="37">
        <f ca="1">INT(EN32) + _xll.RiskBinomial(1,EN32-INT(EN32))</f>
        <v>0</v>
      </c>
      <c r="EP32" s="30">
        <f t="shared" ca="1" si="23"/>
        <v>0</v>
      </c>
      <c r="EQ32" s="35">
        <f ca="1">_xll.RiskBinomial(1,EP32)</f>
        <v>0</v>
      </c>
      <c r="ER32" s="88">
        <f ca="1">IF(EQ32=1,_xll.RiskBinomial(1,Prob_Illness_Given_Infection),0)</f>
        <v>0</v>
      </c>
      <c r="ET32" s="87">
        <f t="shared" ca="1" si="58"/>
        <v>1.4476372090292787E-12</v>
      </c>
      <c r="EU32" s="37">
        <f ca="1">INT(ET32) + _xll.RiskBinomial(1,ET32-INT(ET32))</f>
        <v>0</v>
      </c>
      <c r="EV32" s="30">
        <f t="shared" ca="1" si="24"/>
        <v>0</v>
      </c>
      <c r="EW32" s="35">
        <f ca="1">_xll.RiskBinomial(1,EV32)</f>
        <v>0</v>
      </c>
      <c r="EX32" s="88">
        <f ca="1">IF(EW32=1,_xll.RiskBinomial(1,Prob_Illness_Given_Infection),0)</f>
        <v>0</v>
      </c>
      <c r="EZ32" s="87">
        <f t="shared" ca="1" si="59"/>
        <v>1.0918374355556272E-5</v>
      </c>
      <c r="FA32" s="37">
        <f ca="1">INT(EZ32) + _xll.RiskBinomial(1,EZ32-INT(EZ32))</f>
        <v>0</v>
      </c>
      <c r="FB32" s="30">
        <f t="shared" ca="1" si="25"/>
        <v>0</v>
      </c>
      <c r="FC32" s="35">
        <f ca="1">_xll.RiskBinomial(1,FB32)</f>
        <v>0</v>
      </c>
      <c r="FD32" s="88">
        <f ca="1">IF(FC32=1,_xll.RiskBinomial(1,Prob_Illness_Given_Infection),0)</f>
        <v>0</v>
      </c>
      <c r="FF32" s="87">
        <f t="shared" ca="1" si="60"/>
        <v>7.6056168424283829E-5</v>
      </c>
      <c r="FG32" s="37">
        <f ca="1">INT(FF32) + _xll.RiskBinomial(1,FF32-INT(FF32))</f>
        <v>0</v>
      </c>
      <c r="FH32" s="30">
        <f t="shared" ca="1" si="26"/>
        <v>0</v>
      </c>
      <c r="FI32" s="35">
        <f ca="1">_xll.RiskBinomial(1,FH32)</f>
        <v>0</v>
      </c>
      <c r="FJ32" s="88">
        <f ca="1">IF(FI32=1,_xll.RiskBinomial(1,Prob_Illness_Given_Infection),0)</f>
        <v>0</v>
      </c>
      <c r="FL32" s="87" t="e">
        <f t="shared" ca="1" si="61"/>
        <v>#NAME?</v>
      </c>
      <c r="FM32" s="37" t="e">
        <f ca="1">INT(FL32) + _xll.RiskBinomial(1,FL32-INT(FL32))</f>
        <v>#NAME?</v>
      </c>
      <c r="FN32" s="30" t="e">
        <f t="shared" ca="1" si="27"/>
        <v>#NAME?</v>
      </c>
      <c r="FO32" s="35" t="e">
        <f ca="1">_xll.RiskBinomial(1,FN32)</f>
        <v>#VALUE!</v>
      </c>
      <c r="FP32" s="88" t="e">
        <f ca="1">IF(FO32=1,_xll.RiskBinomial(1,Prob_Illness_Given_Infection),0)</f>
        <v>#VALUE!</v>
      </c>
      <c r="FR32" s="87" t="e">
        <f t="shared" ca="1" si="62"/>
        <v>#NAME?</v>
      </c>
      <c r="FS32" s="37" t="e">
        <f ca="1">INT(FR32) + _xll.RiskBinomial(1,FR32-INT(FR32))</f>
        <v>#NAME?</v>
      </c>
      <c r="FT32" s="30" t="e">
        <f t="shared" ca="1" si="28"/>
        <v>#NAME?</v>
      </c>
      <c r="FU32" s="35" t="e">
        <f ca="1">_xll.RiskBinomial(1,FT32)</f>
        <v>#VALUE!</v>
      </c>
      <c r="FV32" s="88" t="e">
        <f ca="1">IF(FU32=1,_xll.RiskBinomial(1,Prob_Illness_Given_Infection),0)</f>
        <v>#VALUE!</v>
      </c>
      <c r="FX32" s="87">
        <f t="shared" ca="1" si="63"/>
        <v>1.5283676734591927E-7</v>
      </c>
      <c r="FY32" s="37">
        <f ca="1">INT(FX32) + _xll.RiskBinomial(1,FX32-INT(FX32))</f>
        <v>0</v>
      </c>
      <c r="FZ32" s="30">
        <f t="shared" ca="1" si="29"/>
        <v>0</v>
      </c>
      <c r="GA32" s="35">
        <f ca="1">_xll.RiskBinomial(1,FZ32)</f>
        <v>0</v>
      </c>
      <c r="GB32" s="88">
        <f ca="1">IF(GA32=1,_xll.RiskBinomial(1,Prob_Illness_Given_Infection),0)</f>
        <v>0</v>
      </c>
      <c r="GD32" s="87" t="e">
        <f t="shared" ca="1" si="64"/>
        <v>#NAME?</v>
      </c>
      <c r="GE32" s="37" t="e">
        <f ca="1">INT(GD32) + _xll.RiskBinomial(1,GD32-INT(GD32))</f>
        <v>#NAME?</v>
      </c>
      <c r="GF32" s="30" t="e">
        <f t="shared" ca="1" si="30"/>
        <v>#NAME?</v>
      </c>
      <c r="GG32" s="35" t="e">
        <f ca="1">_xll.RiskBinomial(1,GF32)</f>
        <v>#VALUE!</v>
      </c>
      <c r="GH32" s="88" t="e">
        <f ca="1">IF(GG32=1,_xll.RiskBinomial(1,Prob_Illness_Given_Infection),0)</f>
        <v>#VALUE!</v>
      </c>
      <c r="GJ32" s="87" t="e">
        <f t="shared" ca="1" si="65"/>
        <v>#NAME?</v>
      </c>
      <c r="GK32" s="37" t="e">
        <f ca="1">INT(GJ32) + _xll.RiskBinomial(1,GJ32-INT(GJ32))</f>
        <v>#NAME?</v>
      </c>
      <c r="GL32" s="30" t="e">
        <f t="shared" ca="1" si="31"/>
        <v>#NAME?</v>
      </c>
      <c r="GM32" s="35" t="e">
        <f ca="1">_xll.RiskBinomial(1,GL32)</f>
        <v>#VALUE!</v>
      </c>
      <c r="GN32" s="88" t="e">
        <f ca="1">IF(GM32=1,_xll.RiskBinomial(1,Prob_Illness_Given_Infection),0)</f>
        <v>#VALUE!</v>
      </c>
      <c r="GP32" s="87" t="e">
        <f t="shared" ca="1" si="66"/>
        <v>#NAME?</v>
      </c>
      <c r="GQ32" s="37" t="e">
        <f ca="1">INT(GP32) + _xll.RiskBinomial(1,GP32-INT(GP32))</f>
        <v>#NAME?</v>
      </c>
      <c r="GR32" s="30" t="e">
        <f t="shared" ca="1" si="32"/>
        <v>#NAME?</v>
      </c>
      <c r="GS32" s="35" t="e">
        <f ca="1">_xll.RiskBinomial(1,GR32)</f>
        <v>#VALUE!</v>
      </c>
      <c r="GT32" s="88" t="e">
        <f ca="1">IF(GS32=1,_xll.RiskBinomial(1,Prob_Illness_Given_Infection),0)</f>
        <v>#VALUE!</v>
      </c>
    </row>
    <row r="33" spans="2:202">
      <c r="B33" s="108">
        <v>25</v>
      </c>
      <c r="C33" s="87">
        <f ca="1">_xll.RiskLoglogistic(LogLogistic_gamma, LogLogistic_beta, LogLogistic_alpha, _xll.RiskTruncate(5,800))</f>
        <v>75.172579673863908</v>
      </c>
      <c r="D33" s="38">
        <f t="shared" ca="1" si="33"/>
        <v>4.8292096005199436</v>
      </c>
      <c r="E33" s="30"/>
      <c r="F33" s="87">
        <f t="shared" ca="1" si="34"/>
        <v>1.7435339277471016E-9</v>
      </c>
      <c r="G33" s="37">
        <f ca="1">INT(F33) + _xll.RiskBinomial(1,F33-INT(F33))</f>
        <v>0</v>
      </c>
      <c r="H33" s="30">
        <f t="shared" ca="1" si="0"/>
        <v>0</v>
      </c>
      <c r="I33" s="35">
        <f ca="1">_xll.RiskBinomial(1,H33)</f>
        <v>0</v>
      </c>
      <c r="J33" s="88">
        <f ca="1">IF(I33=1,_xll.RiskBinomial(1,Prob_Illness_Given_Infection),0)</f>
        <v>0</v>
      </c>
      <c r="K33" s="30"/>
      <c r="L33" s="87">
        <f t="shared" ca="1" si="35"/>
        <v>8.9055170032696589E-5</v>
      </c>
      <c r="M33" s="37">
        <f ca="1">INT(L33) + _xll.RiskBinomial(1,L33-INT(L33))</f>
        <v>0</v>
      </c>
      <c r="N33" s="30">
        <f t="shared" ca="1" si="1"/>
        <v>0</v>
      </c>
      <c r="O33" s="35">
        <f ca="1">_xll.RiskBinomial(1,N33)</f>
        <v>0</v>
      </c>
      <c r="P33" s="88">
        <f ca="1">IF(O33=1,_xll.RiskBinomial(1,Prob_Illness_Given_Infection),0)</f>
        <v>0</v>
      </c>
      <c r="Q33" s="30"/>
      <c r="R33" s="87">
        <f t="shared" ca="1" si="36"/>
        <v>9.2061468979825828E-6</v>
      </c>
      <c r="S33" s="37">
        <f ca="1">INT(R33) + _xll.RiskBinomial(1,R33-INT(R33))</f>
        <v>0</v>
      </c>
      <c r="T33" s="30">
        <f t="shared" ca="1" si="2"/>
        <v>0</v>
      </c>
      <c r="U33" s="35">
        <f ca="1">_xll.RiskBinomial(1,T33)</f>
        <v>0</v>
      </c>
      <c r="V33" s="88">
        <f ca="1">IF(U33=1,_xll.RiskBinomial(1,Prob_Illness_Given_Infection),0)</f>
        <v>0</v>
      </c>
      <c r="W33" s="30"/>
      <c r="X33" s="87">
        <f t="shared" ca="1" si="37"/>
        <v>3.7821250038803714E-12</v>
      </c>
      <c r="Y33" s="37">
        <f ca="1">INT(X33) + _xll.RiskBinomial(1,X33-INT(X33))</f>
        <v>0</v>
      </c>
      <c r="Z33" s="30">
        <f t="shared" ca="1" si="3"/>
        <v>0</v>
      </c>
      <c r="AA33" s="35">
        <f ca="1">_xll.RiskBinomial(1,Z33)</f>
        <v>0</v>
      </c>
      <c r="AB33" s="88">
        <f ca="1">IF(AA33=1,_xll.RiskBinomial(1,Prob_Illness_Given_Infection),0)</f>
        <v>0</v>
      </c>
      <c r="AC33" s="30"/>
      <c r="AD33" s="87">
        <f t="shared" ca="1" si="38"/>
        <v>1.9055015603823881E-12</v>
      </c>
      <c r="AE33" s="37">
        <f ca="1">INT(AD33) + _xll.RiskBinomial(1,AD33-INT(AD33))</f>
        <v>0</v>
      </c>
      <c r="AF33" s="30">
        <f t="shared" ca="1" si="4"/>
        <v>0</v>
      </c>
      <c r="AG33" s="35">
        <f ca="1">_xll.RiskBinomial(1,AF33)</f>
        <v>0</v>
      </c>
      <c r="AH33" s="88">
        <f ca="1">IF(AG33=1,_xll.RiskBinomial(1,Prob_Illness_Given_Infection),0)</f>
        <v>0</v>
      </c>
      <c r="AI33" s="30"/>
      <c r="AJ33" s="87">
        <f t="shared" ca="1" si="39"/>
        <v>8.8448471826346078E-5</v>
      </c>
      <c r="AK33" s="37">
        <f ca="1">INT(AJ33) + _xll.RiskBinomial(1,AJ33-INT(AJ33))</f>
        <v>0</v>
      </c>
      <c r="AL33" s="30">
        <f t="shared" ca="1" si="5"/>
        <v>0</v>
      </c>
      <c r="AM33" s="35">
        <f ca="1">_xll.RiskBinomial(1,AL33)</f>
        <v>0</v>
      </c>
      <c r="AN33" s="88">
        <f ca="1">IF(AM33=1,_xll.RiskBinomial(1,Prob_Illness_Given_Infection),0)</f>
        <v>0</v>
      </c>
      <c r="AO33" s="30"/>
      <c r="AP33" s="87">
        <f t="shared" ca="1" si="40"/>
        <v>2.1509813662267623E-9</v>
      </c>
      <c r="AQ33" s="37">
        <f ca="1">INT(AP33) + _xll.RiskBinomial(1,AP33-INT(AP33))</f>
        <v>0</v>
      </c>
      <c r="AR33" s="30">
        <f t="shared" ca="1" si="6"/>
        <v>0</v>
      </c>
      <c r="AS33" s="35">
        <f ca="1">_xll.RiskBinomial(1,AR33)</f>
        <v>0</v>
      </c>
      <c r="AT33" s="88">
        <f ca="1">IF(AS33=1,_xll.RiskBinomial(1,Prob_Illness_Given_Infection),0)</f>
        <v>0</v>
      </c>
      <c r="AU33" s="30"/>
      <c r="AV33" s="87">
        <f t="shared" ca="1" si="41"/>
        <v>4.9901647925597359E-5</v>
      </c>
      <c r="AW33" s="37">
        <f ca="1">INT(AV33) + _xll.RiskBinomial(1,AV33-INT(AV33))</f>
        <v>0</v>
      </c>
      <c r="AX33" s="30">
        <f t="shared" ca="1" si="7"/>
        <v>0</v>
      </c>
      <c r="AY33" s="35">
        <f ca="1">_xll.RiskBinomial(1,AX33)</f>
        <v>0</v>
      </c>
      <c r="AZ33" s="88">
        <f ca="1">IF(AY33=1,_xll.RiskBinomial(1,Prob_Illness_Given_Infection),0)</f>
        <v>0</v>
      </c>
      <c r="BB33" s="87">
        <f t="shared" ca="1" si="42"/>
        <v>6.8490504713178332E-5</v>
      </c>
      <c r="BC33" s="37">
        <f ca="1">INT(BB33) + _xll.RiskBinomial(1,BB33-INT(BB33))</f>
        <v>0</v>
      </c>
      <c r="BD33" s="30">
        <f t="shared" ca="1" si="8"/>
        <v>0</v>
      </c>
      <c r="BE33" s="35">
        <f ca="1">_xll.RiskBinomial(1,BD33)</f>
        <v>0</v>
      </c>
      <c r="BF33" s="88">
        <f ca="1">IF(BE33=1,_xll.RiskBinomial(1,Prob_Illness_Given_Infection),0)</f>
        <v>0</v>
      </c>
      <c r="BH33" s="87">
        <f t="shared" ca="1" si="43"/>
        <v>8.6713878882640366E-5</v>
      </c>
      <c r="BI33" s="37">
        <f ca="1">INT(BH33) + _xll.RiskBinomial(1,BH33-INT(BH33))</f>
        <v>0</v>
      </c>
      <c r="BJ33" s="30">
        <f t="shared" ca="1" si="9"/>
        <v>0</v>
      </c>
      <c r="BK33" s="35">
        <f ca="1">_xll.RiskBinomial(1,BJ33)</f>
        <v>0</v>
      </c>
      <c r="BL33" s="88">
        <f ca="1">IF(BK33=1,_xll.RiskBinomial(1,Prob_Illness_Given_Infection),0)</f>
        <v>0</v>
      </c>
      <c r="BN33" s="87">
        <f t="shared" ca="1" si="44"/>
        <v>6.5994206229057513E-6</v>
      </c>
      <c r="BO33" s="37">
        <f ca="1">INT(BN33) + _xll.RiskBinomial(1,BN33-INT(BN33))</f>
        <v>0</v>
      </c>
      <c r="BP33" s="30">
        <f t="shared" ca="1" si="10"/>
        <v>0</v>
      </c>
      <c r="BQ33" s="35">
        <f ca="1">_xll.RiskBinomial(1,BP33)</f>
        <v>0</v>
      </c>
      <c r="BR33" s="88">
        <f ca="1">IF(BQ33=1,_xll.RiskBinomial(1,Prob_Illness_Given_Infection),0)</f>
        <v>0</v>
      </c>
      <c r="BT33" s="87">
        <f t="shared" ca="1" si="45"/>
        <v>1.98443880448431E-5</v>
      </c>
      <c r="BU33" s="37">
        <f ca="1">INT(BT33) + _xll.RiskBinomial(1,BT33-INT(BT33))</f>
        <v>0</v>
      </c>
      <c r="BV33" s="30">
        <f t="shared" ca="1" si="11"/>
        <v>0</v>
      </c>
      <c r="BW33" s="35">
        <f ca="1">_xll.RiskBinomial(1,BV33)</f>
        <v>0</v>
      </c>
      <c r="BX33" s="88">
        <f ca="1">IF(BW33=1,_xll.RiskBinomial(1,Prob_Illness_Given_Infection),0)</f>
        <v>0</v>
      </c>
      <c r="BZ33" s="87">
        <f t="shared" ca="1" si="46"/>
        <v>5.4400156999291667E-5</v>
      </c>
      <c r="CA33" s="37">
        <f ca="1">INT(BZ33) + _xll.RiskBinomial(1,BZ33-INT(BZ33))</f>
        <v>0</v>
      </c>
      <c r="CB33" s="30">
        <f t="shared" ca="1" si="12"/>
        <v>0</v>
      </c>
      <c r="CC33" s="35">
        <f ca="1">_xll.RiskBinomial(1,CB33)</f>
        <v>0</v>
      </c>
      <c r="CD33" s="88">
        <f ca="1">IF(CC33=1,_xll.RiskBinomial(1,Prob_Illness_Given_Infection),0)</f>
        <v>0</v>
      </c>
      <c r="CF33" s="87">
        <f t="shared" ca="1" si="47"/>
        <v>1.0321885286858286E-5</v>
      </c>
      <c r="CG33" s="37">
        <f ca="1">INT(CF33) + _xll.RiskBinomial(1,CF33-INT(CF33))</f>
        <v>0</v>
      </c>
      <c r="CH33" s="30">
        <f t="shared" ca="1" si="13"/>
        <v>0</v>
      </c>
      <c r="CI33" s="35">
        <f ca="1">_xll.RiskBinomial(1,CH33)</f>
        <v>0</v>
      </c>
      <c r="CJ33" s="88">
        <f ca="1">IF(CI33=1,_xll.RiskBinomial(1,Prob_Illness_Given_Infection),0)</f>
        <v>0</v>
      </c>
      <c r="CL33" s="87">
        <f t="shared" ca="1" si="48"/>
        <v>1.9918348933792641E-5</v>
      </c>
      <c r="CM33" s="37">
        <f ca="1">INT(CL33) + _xll.RiskBinomial(1,CL33-INT(CL33))</f>
        <v>0</v>
      </c>
      <c r="CN33" s="30">
        <f t="shared" ca="1" si="14"/>
        <v>0</v>
      </c>
      <c r="CO33" s="35">
        <f ca="1">_xll.RiskBinomial(1,CN33)</f>
        <v>0</v>
      </c>
      <c r="CP33" s="88">
        <f ca="1">IF(CO33=1,_xll.RiskBinomial(1,Prob_Illness_Given_Infection),0)</f>
        <v>0</v>
      </c>
      <c r="CR33" s="87">
        <f t="shared" ca="1" si="49"/>
        <v>1.372712321843796E-7</v>
      </c>
      <c r="CS33" s="37">
        <f ca="1">INT(CR33) + _xll.RiskBinomial(1,CR33-INT(CR33))</f>
        <v>0</v>
      </c>
      <c r="CT33" s="30">
        <f t="shared" ca="1" si="15"/>
        <v>0</v>
      </c>
      <c r="CU33" s="35">
        <f ca="1">_xll.RiskBinomial(1,CT33)</f>
        <v>0</v>
      </c>
      <c r="CV33" s="88">
        <f ca="1">IF(CU33=1,_xll.RiskBinomial(1,Prob_Illness_Given_Infection),0)</f>
        <v>0</v>
      </c>
      <c r="CX33" s="87">
        <f t="shared" ca="1" si="50"/>
        <v>1.3974055381690707E-9</v>
      </c>
      <c r="CY33" s="37">
        <f ca="1">INT(CX33) + _xll.RiskBinomial(1,CX33-INT(CX33))</f>
        <v>0</v>
      </c>
      <c r="CZ33" s="30">
        <f t="shared" ca="1" si="16"/>
        <v>0</v>
      </c>
      <c r="DA33" s="35">
        <f ca="1">_xll.RiskBinomial(1,CZ33)</f>
        <v>0</v>
      </c>
      <c r="DB33" s="88">
        <f ca="1">IF(DA33=1,_xll.RiskBinomial(1,Prob_Illness_Given_Infection),0)</f>
        <v>0</v>
      </c>
      <c r="DD33" s="87">
        <f t="shared" ca="1" si="51"/>
        <v>1.3974055381690707E-9</v>
      </c>
      <c r="DE33" s="37">
        <f ca="1">INT(DD33) + _xll.RiskBinomial(1,DD33-INT(DD33))</f>
        <v>0</v>
      </c>
      <c r="DF33" s="30">
        <f t="shared" ca="1" si="17"/>
        <v>0</v>
      </c>
      <c r="DG33" s="35">
        <f ca="1">_xll.RiskBinomial(1,DF33)</f>
        <v>0</v>
      </c>
      <c r="DH33" s="88">
        <f ca="1">IF(DG33=1,_xll.RiskBinomial(1,Prob_Illness_Given_Infection),0)</f>
        <v>0</v>
      </c>
      <c r="DJ33" s="87">
        <f t="shared" ca="1" si="52"/>
        <v>2.2817693497962635E-6</v>
      </c>
      <c r="DK33" s="37">
        <f ca="1">INT(DJ33) + _xll.RiskBinomial(1,DJ33-INT(DJ33))</f>
        <v>0</v>
      </c>
      <c r="DL33" s="30">
        <f t="shared" ca="1" si="18"/>
        <v>0</v>
      </c>
      <c r="DM33" s="35">
        <f ca="1">_xll.RiskBinomial(1,DL33)</f>
        <v>0</v>
      </c>
      <c r="DN33" s="88">
        <f ca="1">IF(DM33=1,_xll.RiskBinomial(1,Prob_Illness_Given_Infection),0)</f>
        <v>0</v>
      </c>
      <c r="DP33" s="87">
        <f t="shared" ca="1" si="53"/>
        <v>5.3939851448597706E-10</v>
      </c>
      <c r="DQ33" s="37">
        <f ca="1">INT(DP33) + _xll.RiskBinomial(1,DP33-INT(DP33))</f>
        <v>0</v>
      </c>
      <c r="DR33" s="30">
        <f t="shared" ca="1" si="19"/>
        <v>0</v>
      </c>
      <c r="DS33" s="35">
        <f ca="1">_xll.RiskBinomial(1,DR33)</f>
        <v>0</v>
      </c>
      <c r="DT33" s="88">
        <f ca="1">IF(DS33=1,_xll.RiskBinomial(1,Prob_Illness_Given_Infection),0)</f>
        <v>0</v>
      </c>
      <c r="DV33" s="87">
        <f t="shared" ca="1" si="54"/>
        <v>7.5936844736570408E-9</v>
      </c>
      <c r="DW33" s="37">
        <f ca="1">INT(DV33) + _xll.RiskBinomial(1,DV33-INT(DV33))</f>
        <v>0</v>
      </c>
      <c r="DX33" s="30">
        <f t="shared" ca="1" si="20"/>
        <v>0</v>
      </c>
      <c r="DY33" s="35">
        <f ca="1">_xll.RiskBinomial(1,DX33)</f>
        <v>0</v>
      </c>
      <c r="DZ33" s="88">
        <f ca="1">IF(DY33=1,_xll.RiskBinomial(1,Prob_Illness_Given_Infection),0)</f>
        <v>0</v>
      </c>
      <c r="EB33" s="87">
        <f t="shared" ca="1" si="55"/>
        <v>1.9055015603817484E-12</v>
      </c>
      <c r="EC33" s="37">
        <f ca="1">INT(EB33) + _xll.RiskBinomial(1,EB33-INT(EB33))</f>
        <v>0</v>
      </c>
      <c r="ED33" s="30">
        <f t="shared" ca="1" si="21"/>
        <v>0</v>
      </c>
      <c r="EE33" s="35">
        <f ca="1">_xll.RiskBinomial(1,ED33)</f>
        <v>0</v>
      </c>
      <c r="EF33" s="88">
        <f ca="1">IF(EE33=1,_xll.RiskBinomial(1,Prob_Illness_Given_Infection),0)</f>
        <v>0</v>
      </c>
      <c r="EH33" s="87">
        <f t="shared" ca="1" si="56"/>
        <v>1.9055015603797895E-12</v>
      </c>
      <c r="EI33" s="37">
        <f ca="1">INT(EH33) + _xll.RiskBinomial(1,EH33-INT(EH33))</f>
        <v>0</v>
      </c>
      <c r="EJ33" s="30">
        <f t="shared" ca="1" si="22"/>
        <v>0</v>
      </c>
      <c r="EK33" s="35">
        <f ca="1">_xll.RiskBinomial(1,EJ33)</f>
        <v>0</v>
      </c>
      <c r="EL33" s="88">
        <f ca="1">IF(EK33=1,_xll.RiskBinomial(1,Prob_Illness_Given_Infection),0)</f>
        <v>0</v>
      </c>
      <c r="EN33" s="87">
        <f t="shared" ca="1" si="57"/>
        <v>1.7386551331372934E-10</v>
      </c>
      <c r="EO33" s="37">
        <f ca="1">INT(EN33) + _xll.RiskBinomial(1,EN33-INT(EN33))</f>
        <v>0</v>
      </c>
      <c r="EP33" s="30">
        <f t="shared" ca="1" si="23"/>
        <v>0</v>
      </c>
      <c r="EQ33" s="35">
        <f ca="1">_xll.RiskBinomial(1,EP33)</f>
        <v>0</v>
      </c>
      <c r="ER33" s="88">
        <f ca="1">IF(EQ33=1,_xll.RiskBinomial(1,Prob_Illness_Given_Infection),0)</f>
        <v>0</v>
      </c>
      <c r="ET33" s="87">
        <f t="shared" ca="1" si="58"/>
        <v>1.9055015603779723E-12</v>
      </c>
      <c r="EU33" s="37">
        <f ca="1">INT(ET33) + _xll.RiskBinomial(1,ET33-INT(ET33))</f>
        <v>0</v>
      </c>
      <c r="EV33" s="30">
        <f t="shared" ca="1" si="24"/>
        <v>0</v>
      </c>
      <c r="EW33" s="35">
        <f ca="1">_xll.RiskBinomial(1,EV33)</f>
        <v>0</v>
      </c>
      <c r="EX33" s="88">
        <f ca="1">IF(EW33=1,_xll.RiskBinomial(1,Prob_Illness_Given_Infection),0)</f>
        <v>0</v>
      </c>
      <c r="EZ33" s="87">
        <f t="shared" ca="1" si="59"/>
        <v>1.4371680446963786E-5</v>
      </c>
      <c r="FA33" s="37">
        <f ca="1">INT(EZ33) + _xll.RiskBinomial(1,EZ33-INT(EZ33))</f>
        <v>0</v>
      </c>
      <c r="FB33" s="30">
        <f t="shared" ca="1" si="25"/>
        <v>0</v>
      </c>
      <c r="FC33" s="35">
        <f ca="1">_xll.RiskBinomial(1,FB33)</f>
        <v>0</v>
      </c>
      <c r="FD33" s="88">
        <f ca="1">IF(FC33=1,_xll.RiskBinomial(1,Prob_Illness_Given_Infection),0)</f>
        <v>0</v>
      </c>
      <c r="FF33" s="87">
        <f t="shared" ca="1" si="60"/>
        <v>1.0011151047023934E-4</v>
      </c>
      <c r="FG33" s="37">
        <f ca="1">INT(FF33) + _xll.RiskBinomial(1,FF33-INT(FF33))</f>
        <v>0</v>
      </c>
      <c r="FH33" s="30">
        <f t="shared" ca="1" si="26"/>
        <v>0</v>
      </c>
      <c r="FI33" s="35">
        <f ca="1">_xll.RiskBinomial(1,FH33)</f>
        <v>0</v>
      </c>
      <c r="FJ33" s="88">
        <f ca="1">IF(FI33=1,_xll.RiskBinomial(1,Prob_Illness_Given_Infection),0)</f>
        <v>0</v>
      </c>
      <c r="FL33" s="87" t="e">
        <f t="shared" ca="1" si="61"/>
        <v>#NAME?</v>
      </c>
      <c r="FM33" s="37" t="e">
        <f ca="1">INT(FL33) + _xll.RiskBinomial(1,FL33-INT(FL33))</f>
        <v>#NAME?</v>
      </c>
      <c r="FN33" s="30" t="e">
        <f t="shared" ca="1" si="27"/>
        <v>#NAME?</v>
      </c>
      <c r="FO33" s="35" t="e">
        <f ca="1">_xll.RiskBinomial(1,FN33)</f>
        <v>#VALUE!</v>
      </c>
      <c r="FP33" s="88" t="e">
        <f ca="1">IF(FO33=1,_xll.RiskBinomial(1,Prob_Illness_Given_Infection),0)</f>
        <v>#VALUE!</v>
      </c>
      <c r="FR33" s="87" t="e">
        <f t="shared" ca="1" si="62"/>
        <v>#NAME?</v>
      </c>
      <c r="FS33" s="37" t="e">
        <f ca="1">INT(FR33) + _xll.RiskBinomial(1,FR33-INT(FR33))</f>
        <v>#NAME?</v>
      </c>
      <c r="FT33" s="30" t="e">
        <f t="shared" ca="1" si="28"/>
        <v>#NAME?</v>
      </c>
      <c r="FU33" s="35" t="e">
        <f ca="1">_xll.RiskBinomial(1,FT33)</f>
        <v>#VALUE!</v>
      </c>
      <c r="FV33" s="88" t="e">
        <f ca="1">IF(FU33=1,_xll.RiskBinomial(1,Prob_Illness_Given_Infection),0)</f>
        <v>#VALUE!</v>
      </c>
      <c r="FX33" s="87">
        <f t="shared" ca="1" si="63"/>
        <v>2.0117657714536137E-7</v>
      </c>
      <c r="FY33" s="37">
        <f ca="1">INT(FX33) + _xll.RiskBinomial(1,FX33-INT(FX33))</f>
        <v>0</v>
      </c>
      <c r="FZ33" s="30">
        <f t="shared" ca="1" si="29"/>
        <v>0</v>
      </c>
      <c r="GA33" s="35">
        <f ca="1">_xll.RiskBinomial(1,FZ33)</f>
        <v>0</v>
      </c>
      <c r="GB33" s="88">
        <f ca="1">IF(GA33=1,_xll.RiskBinomial(1,Prob_Illness_Given_Infection),0)</f>
        <v>0</v>
      </c>
      <c r="GD33" s="87" t="e">
        <f t="shared" ca="1" si="64"/>
        <v>#NAME?</v>
      </c>
      <c r="GE33" s="37" t="e">
        <f ca="1">INT(GD33) + _xll.RiskBinomial(1,GD33-INT(GD33))</f>
        <v>#NAME?</v>
      </c>
      <c r="GF33" s="30" t="e">
        <f t="shared" ca="1" si="30"/>
        <v>#NAME?</v>
      </c>
      <c r="GG33" s="35" t="e">
        <f ca="1">_xll.RiskBinomial(1,GF33)</f>
        <v>#VALUE!</v>
      </c>
      <c r="GH33" s="88" t="e">
        <f ca="1">IF(GG33=1,_xll.RiskBinomial(1,Prob_Illness_Given_Infection),0)</f>
        <v>#VALUE!</v>
      </c>
      <c r="GJ33" s="87" t="e">
        <f t="shared" ca="1" si="65"/>
        <v>#NAME?</v>
      </c>
      <c r="GK33" s="37" t="e">
        <f ca="1">INT(GJ33) + _xll.RiskBinomial(1,GJ33-INT(GJ33))</f>
        <v>#NAME?</v>
      </c>
      <c r="GL33" s="30" t="e">
        <f t="shared" ca="1" si="31"/>
        <v>#NAME?</v>
      </c>
      <c r="GM33" s="35" t="e">
        <f ca="1">_xll.RiskBinomial(1,GL33)</f>
        <v>#VALUE!</v>
      </c>
      <c r="GN33" s="88" t="e">
        <f ca="1">IF(GM33=1,_xll.RiskBinomial(1,Prob_Illness_Given_Infection),0)</f>
        <v>#VALUE!</v>
      </c>
      <c r="GP33" s="87" t="e">
        <f t="shared" ca="1" si="66"/>
        <v>#NAME?</v>
      </c>
      <c r="GQ33" s="37" t="e">
        <f ca="1">INT(GP33) + _xll.RiskBinomial(1,GP33-INT(GP33))</f>
        <v>#NAME?</v>
      </c>
      <c r="GR33" s="30" t="e">
        <f t="shared" ca="1" si="32"/>
        <v>#NAME?</v>
      </c>
      <c r="GS33" s="35" t="e">
        <f ca="1">_xll.RiskBinomial(1,GR33)</f>
        <v>#VALUE!</v>
      </c>
      <c r="GT33" s="88" t="e">
        <f ca="1">IF(GS33=1,_xll.RiskBinomial(1,Prob_Illness_Given_Infection),0)</f>
        <v>#VALUE!</v>
      </c>
    </row>
    <row r="34" spans="2:202">
      <c r="B34" s="108">
        <v>26</v>
      </c>
      <c r="C34" s="87">
        <f ca="1">_xll.RiskLoglogistic(LogLogistic_gamma, LogLogistic_beta, LogLogistic_alpha, _xll.RiskTruncate(5,800))</f>
        <v>76.59707765108972</v>
      </c>
      <c r="D34" s="38">
        <f t="shared" ca="1" si="33"/>
        <v>4.9207216829492753</v>
      </c>
      <c r="E34" s="30"/>
      <c r="F34" s="87">
        <f t="shared" ca="1" si="34"/>
        <v>1.7765733759618055E-9</v>
      </c>
      <c r="G34" s="37">
        <f ca="1">INT(F34) + _xll.RiskBinomial(1,F34-INT(F34))</f>
        <v>0</v>
      </c>
      <c r="H34" s="30">
        <f t="shared" ca="1" si="0"/>
        <v>0</v>
      </c>
      <c r="I34" s="35">
        <f ca="1">_xll.RiskBinomial(1,H34)</f>
        <v>0</v>
      </c>
      <c r="J34" s="88">
        <f ca="1">IF(I34=1,_xll.RiskBinomial(1,Prob_Illness_Given_Infection),0)</f>
        <v>0</v>
      </c>
      <c r="K34" s="30"/>
      <c r="L34" s="87">
        <f t="shared" ca="1" si="35"/>
        <v>9.0742738959071796E-5</v>
      </c>
      <c r="M34" s="37">
        <f ca="1">INT(L34) + _xll.RiskBinomial(1,L34-INT(L34))</f>
        <v>0</v>
      </c>
      <c r="N34" s="30">
        <f t="shared" ca="1" si="1"/>
        <v>0</v>
      </c>
      <c r="O34" s="35">
        <f ca="1">_xll.RiskBinomial(1,N34)</f>
        <v>0</v>
      </c>
      <c r="P34" s="88">
        <f ca="1">IF(O34=1,_xll.RiskBinomial(1,Prob_Illness_Given_Infection),0)</f>
        <v>0</v>
      </c>
      <c r="Q34" s="30"/>
      <c r="R34" s="87">
        <f t="shared" ca="1" si="36"/>
        <v>9.3806006375125491E-6</v>
      </c>
      <c r="S34" s="37">
        <f ca="1">INT(R34) + _xll.RiskBinomial(1,R34-INT(R34))</f>
        <v>0</v>
      </c>
      <c r="T34" s="30">
        <f t="shared" ca="1" si="2"/>
        <v>0</v>
      </c>
      <c r="U34" s="35">
        <f ca="1">_xll.RiskBinomial(1,T34)</f>
        <v>0</v>
      </c>
      <c r="V34" s="88">
        <f ca="1">IF(U34=1,_xll.RiskBinomial(1,Prob_Illness_Given_Infection),0)</f>
        <v>0</v>
      </c>
      <c r="W34" s="30"/>
      <c r="X34" s="87">
        <f t="shared" ca="1" si="37"/>
        <v>3.853795145320468E-12</v>
      </c>
      <c r="Y34" s="37">
        <f ca="1">INT(X34) + _xll.RiskBinomial(1,X34-INT(X34))</f>
        <v>0</v>
      </c>
      <c r="Z34" s="30">
        <f t="shared" ca="1" si="3"/>
        <v>0</v>
      </c>
      <c r="AA34" s="35">
        <f ca="1">_xll.RiskBinomial(1,Z34)</f>
        <v>0</v>
      </c>
      <c r="AB34" s="88">
        <f ca="1">IF(AA34=1,_xll.RiskBinomial(1,Prob_Illness_Given_Infection),0)</f>
        <v>0</v>
      </c>
      <c r="AC34" s="30"/>
      <c r="AD34" s="87">
        <f t="shared" ca="1" si="38"/>
        <v>1.9416102469558925E-12</v>
      </c>
      <c r="AE34" s="37">
        <f ca="1">INT(AD34) + _xll.RiskBinomial(1,AD34-INT(AD34))</f>
        <v>0</v>
      </c>
      <c r="AF34" s="30">
        <f t="shared" ca="1" si="4"/>
        <v>0</v>
      </c>
      <c r="AG34" s="35">
        <f ca="1">_xll.RiskBinomial(1,AF34)</f>
        <v>0</v>
      </c>
      <c r="AH34" s="88">
        <f ca="1">IF(AG34=1,_xll.RiskBinomial(1,Prob_Illness_Given_Infection),0)</f>
        <v>0</v>
      </c>
      <c r="AI34" s="30"/>
      <c r="AJ34" s="87">
        <f t="shared" ca="1" si="39"/>
        <v>9.0124544002556767E-5</v>
      </c>
      <c r="AK34" s="37">
        <f ca="1">INT(AJ34) + _xll.RiskBinomial(1,AJ34-INT(AJ34))</f>
        <v>0</v>
      </c>
      <c r="AL34" s="30">
        <f t="shared" ca="1" si="5"/>
        <v>0</v>
      </c>
      <c r="AM34" s="35">
        <f ca="1">_xll.RiskBinomial(1,AL34)</f>
        <v>0</v>
      </c>
      <c r="AN34" s="88">
        <f ca="1">IF(AM34=1,_xll.RiskBinomial(1,Prob_Illness_Given_Infection),0)</f>
        <v>0</v>
      </c>
      <c r="AO34" s="30"/>
      <c r="AP34" s="87">
        <f t="shared" ca="1" si="40"/>
        <v>2.1917418219479028E-9</v>
      </c>
      <c r="AQ34" s="37">
        <f ca="1">INT(AP34) + _xll.RiskBinomial(1,AP34-INT(AP34))</f>
        <v>0</v>
      </c>
      <c r="AR34" s="30">
        <f t="shared" ca="1" si="6"/>
        <v>0</v>
      </c>
      <c r="AS34" s="35">
        <f ca="1">_xll.RiskBinomial(1,AR34)</f>
        <v>0</v>
      </c>
      <c r="AT34" s="88">
        <f ca="1">IF(AS34=1,_xll.RiskBinomial(1,Prob_Illness_Given_Infection),0)</f>
        <v>0</v>
      </c>
      <c r="AU34" s="30"/>
      <c r="AV34" s="87">
        <f t="shared" ca="1" si="41"/>
        <v>5.0847269279003741E-5</v>
      </c>
      <c r="AW34" s="37">
        <f ca="1">INT(AV34) + _xll.RiskBinomial(1,AV34-INT(AV34))</f>
        <v>0</v>
      </c>
      <c r="AX34" s="30">
        <f t="shared" ca="1" si="7"/>
        <v>0</v>
      </c>
      <c r="AY34" s="35">
        <f ca="1">_xll.RiskBinomial(1,AX34)</f>
        <v>0</v>
      </c>
      <c r="AZ34" s="88">
        <f ca="1">IF(AY34=1,_xll.RiskBinomial(1,Prob_Illness_Given_Infection),0)</f>
        <v>0</v>
      </c>
      <c r="BB34" s="87">
        <f t="shared" ca="1" si="42"/>
        <v>6.9788379361705518E-5</v>
      </c>
      <c r="BC34" s="37">
        <f ca="1">INT(BB34) + _xll.RiskBinomial(1,BB34-INT(BB34))</f>
        <v>0</v>
      </c>
      <c r="BD34" s="30">
        <f t="shared" ca="1" si="8"/>
        <v>0</v>
      </c>
      <c r="BE34" s="35">
        <f ca="1">_xll.RiskBinomial(1,BD34)</f>
        <v>0</v>
      </c>
      <c r="BF34" s="88">
        <f ca="1">IF(BE34=1,_xll.RiskBinomial(1,Prob_Illness_Given_Infection),0)</f>
        <v>0</v>
      </c>
      <c r="BH34" s="87">
        <f t="shared" ca="1" si="43"/>
        <v>8.835708103961879E-5</v>
      </c>
      <c r="BI34" s="37">
        <f ca="1">INT(BH34) + _xll.RiskBinomial(1,BH34-INT(BH34))</f>
        <v>0</v>
      </c>
      <c r="BJ34" s="30">
        <f t="shared" ca="1" si="9"/>
        <v>0</v>
      </c>
      <c r="BK34" s="35">
        <f ca="1">_xll.RiskBinomial(1,BJ34)</f>
        <v>0</v>
      </c>
      <c r="BL34" s="88">
        <f ca="1">IF(BK34=1,_xll.RiskBinomial(1,Prob_Illness_Given_Infection),0)</f>
        <v>0</v>
      </c>
      <c r="BN34" s="87">
        <f t="shared" ca="1" si="44"/>
        <v>6.7244776765412283E-6</v>
      </c>
      <c r="BO34" s="37">
        <f ca="1">INT(BN34) + _xll.RiskBinomial(1,BN34-INT(BN34))</f>
        <v>0</v>
      </c>
      <c r="BP34" s="30">
        <f t="shared" ca="1" si="10"/>
        <v>0</v>
      </c>
      <c r="BQ34" s="35">
        <f ca="1">_xll.RiskBinomial(1,BP34)</f>
        <v>0</v>
      </c>
      <c r="BR34" s="88">
        <f ca="1">IF(BQ34=1,_xll.RiskBinomial(1,Prob_Illness_Given_Infection),0)</f>
        <v>0</v>
      </c>
      <c r="BT34" s="87">
        <f t="shared" ca="1" si="45"/>
        <v>2.022043328303773E-5</v>
      </c>
      <c r="BU34" s="37">
        <f ca="1">INT(BT34) + _xll.RiskBinomial(1,BT34-INT(BT34))</f>
        <v>0</v>
      </c>
      <c r="BV34" s="30">
        <f t="shared" ca="1" si="11"/>
        <v>0</v>
      </c>
      <c r="BW34" s="35">
        <f ca="1">_xll.RiskBinomial(1,BV34)</f>
        <v>0</v>
      </c>
      <c r="BX34" s="88">
        <f ca="1">IF(BW34=1,_xll.RiskBinomial(1,Prob_Illness_Given_Infection),0)</f>
        <v>0</v>
      </c>
      <c r="BZ34" s="87">
        <f t="shared" ca="1" si="46"/>
        <v>5.5431023758719911E-5</v>
      </c>
      <c r="CA34" s="37">
        <f ca="1">INT(BZ34) + _xll.RiskBinomial(1,BZ34-INT(BZ34))</f>
        <v>0</v>
      </c>
      <c r="CB34" s="30">
        <f t="shared" ca="1" si="12"/>
        <v>0</v>
      </c>
      <c r="CC34" s="35">
        <f ca="1">_xll.RiskBinomial(1,CB34)</f>
        <v>0</v>
      </c>
      <c r="CD34" s="88">
        <f ca="1">IF(CC34=1,_xll.RiskBinomial(1,Prob_Illness_Given_Infection),0)</f>
        <v>0</v>
      </c>
      <c r="CF34" s="87">
        <f t="shared" ca="1" si="47"/>
        <v>1.05174819362759E-5</v>
      </c>
      <c r="CG34" s="37">
        <f ca="1">INT(CF34) + _xll.RiskBinomial(1,CF34-INT(CF34))</f>
        <v>0</v>
      </c>
      <c r="CH34" s="30">
        <f t="shared" ca="1" si="13"/>
        <v>0</v>
      </c>
      <c r="CI34" s="35">
        <f ca="1">_xll.RiskBinomial(1,CH34)</f>
        <v>0</v>
      </c>
      <c r="CJ34" s="88">
        <f ca="1">IF(CI34=1,_xll.RiskBinomial(1,Prob_Illness_Given_Infection),0)</f>
        <v>0</v>
      </c>
      <c r="CL34" s="87">
        <f t="shared" ca="1" si="48"/>
        <v>2.0295795708786456E-5</v>
      </c>
      <c r="CM34" s="37">
        <f ca="1">INT(CL34) + _xll.RiskBinomial(1,CL34-INT(CL34))</f>
        <v>0</v>
      </c>
      <c r="CN34" s="30">
        <f t="shared" ca="1" si="14"/>
        <v>0</v>
      </c>
      <c r="CO34" s="35">
        <f ca="1">_xll.RiskBinomial(1,CN34)</f>
        <v>0</v>
      </c>
      <c r="CP34" s="88">
        <f ca="1">IF(CO34=1,_xll.RiskBinomial(1,Prob_Illness_Given_Infection),0)</f>
        <v>0</v>
      </c>
      <c r="CR34" s="87">
        <f t="shared" ca="1" si="49"/>
        <v>1.398724811161883E-7</v>
      </c>
      <c r="CS34" s="37">
        <f ca="1">INT(CR34) + _xll.RiskBinomial(1,CR34-INT(CR34))</f>
        <v>0</v>
      </c>
      <c r="CT34" s="30">
        <f t="shared" ca="1" si="15"/>
        <v>0</v>
      </c>
      <c r="CU34" s="35">
        <f ca="1">_xll.RiskBinomial(1,CT34)</f>
        <v>0</v>
      </c>
      <c r="CV34" s="88">
        <f ca="1">IF(CU34=1,_xll.RiskBinomial(1,Prob_Illness_Given_Infection),0)</f>
        <v>0</v>
      </c>
      <c r="CX34" s="87">
        <f t="shared" ca="1" si="50"/>
        <v>1.423885956575918E-9</v>
      </c>
      <c r="CY34" s="37">
        <f ca="1">INT(CX34) + _xll.RiskBinomial(1,CX34-INT(CX34))</f>
        <v>0</v>
      </c>
      <c r="CZ34" s="30">
        <f t="shared" ca="1" si="16"/>
        <v>0</v>
      </c>
      <c r="DA34" s="35">
        <f ca="1">_xll.RiskBinomial(1,CZ34)</f>
        <v>0</v>
      </c>
      <c r="DB34" s="88">
        <f ca="1">IF(DA34=1,_xll.RiskBinomial(1,Prob_Illness_Given_Infection),0)</f>
        <v>0</v>
      </c>
      <c r="DD34" s="87">
        <f t="shared" ca="1" si="51"/>
        <v>1.423885956575918E-9</v>
      </c>
      <c r="DE34" s="37">
        <f ca="1">INT(DD34) + _xll.RiskBinomial(1,DD34-INT(DD34))</f>
        <v>0</v>
      </c>
      <c r="DF34" s="30">
        <f t="shared" ca="1" si="17"/>
        <v>0</v>
      </c>
      <c r="DG34" s="35">
        <f ca="1">_xll.RiskBinomial(1,DF34)</f>
        <v>0</v>
      </c>
      <c r="DH34" s="88">
        <f ca="1">IF(DG34=1,_xll.RiskBinomial(1,Prob_Illness_Given_Infection),0)</f>
        <v>0</v>
      </c>
      <c r="DJ34" s="87">
        <f t="shared" ca="1" si="52"/>
        <v>2.3250081988205006E-6</v>
      </c>
      <c r="DK34" s="37">
        <f ca="1">INT(DJ34) + _xll.RiskBinomial(1,DJ34-INT(DJ34))</f>
        <v>0</v>
      </c>
      <c r="DL34" s="30">
        <f t="shared" ca="1" si="18"/>
        <v>0</v>
      </c>
      <c r="DM34" s="35">
        <f ca="1">_xll.RiskBinomial(1,DL34)</f>
        <v>0</v>
      </c>
      <c r="DN34" s="88">
        <f ca="1">IF(DM34=1,_xll.RiskBinomial(1,Prob_Illness_Given_Infection),0)</f>
        <v>0</v>
      </c>
      <c r="DP34" s="87">
        <f t="shared" ca="1" si="53"/>
        <v>5.4961995555049109E-10</v>
      </c>
      <c r="DQ34" s="37">
        <f ca="1">INT(DP34) + _xll.RiskBinomial(1,DP34-INT(DP34))</f>
        <v>0</v>
      </c>
      <c r="DR34" s="30">
        <f t="shared" ca="1" si="19"/>
        <v>0</v>
      </c>
      <c r="DS34" s="35">
        <f ca="1">_xll.RiskBinomial(1,DR34)</f>
        <v>0</v>
      </c>
      <c r="DT34" s="88">
        <f ca="1">IF(DS34=1,_xll.RiskBinomial(1,Prob_Illness_Given_Infection),0)</f>
        <v>0</v>
      </c>
      <c r="DV34" s="87">
        <f t="shared" ca="1" si="54"/>
        <v>7.7375825308920845E-9</v>
      </c>
      <c r="DW34" s="37">
        <f ca="1">INT(DV34) + _xll.RiskBinomial(1,DV34-INT(DV34))</f>
        <v>0</v>
      </c>
      <c r="DX34" s="30">
        <f t="shared" ca="1" si="20"/>
        <v>0</v>
      </c>
      <c r="DY34" s="35">
        <f ca="1">_xll.RiskBinomial(1,DX34)</f>
        <v>0</v>
      </c>
      <c r="DZ34" s="88">
        <f ca="1">IF(DY34=1,_xll.RiskBinomial(1,Prob_Illness_Given_Infection),0)</f>
        <v>0</v>
      </c>
      <c r="EB34" s="87">
        <f t="shared" ca="1" si="55"/>
        <v>1.9416102469552406E-12</v>
      </c>
      <c r="EC34" s="37">
        <f ca="1">INT(EB34) + _xll.RiskBinomial(1,EB34-INT(EB34))</f>
        <v>0</v>
      </c>
      <c r="ED34" s="30">
        <f t="shared" ca="1" si="21"/>
        <v>0</v>
      </c>
      <c r="EE34" s="35">
        <f ca="1">_xll.RiskBinomial(1,ED34)</f>
        <v>0</v>
      </c>
      <c r="EF34" s="88">
        <f ca="1">IF(EE34=1,_xll.RiskBinomial(1,Prob_Illness_Given_Infection),0)</f>
        <v>0</v>
      </c>
      <c r="EH34" s="87">
        <f t="shared" ca="1" si="56"/>
        <v>1.9416102469532446E-12</v>
      </c>
      <c r="EI34" s="37">
        <f ca="1">INT(EH34) + _xll.RiskBinomial(1,EH34-INT(EH34))</f>
        <v>0</v>
      </c>
      <c r="EJ34" s="30">
        <f t="shared" ca="1" si="22"/>
        <v>0</v>
      </c>
      <c r="EK34" s="35">
        <f ca="1">_xll.RiskBinomial(1,EJ34)</f>
        <v>0</v>
      </c>
      <c r="EL34" s="88">
        <f ca="1">IF(EK34=1,_xll.RiskBinomial(1,Prob_Illness_Given_Infection),0)</f>
        <v>0</v>
      </c>
      <c r="EN34" s="87">
        <f t="shared" ca="1" si="57"/>
        <v>1.7716021296484221E-10</v>
      </c>
      <c r="EO34" s="37">
        <f ca="1">INT(EN34) + _xll.RiskBinomial(1,EN34-INT(EN34))</f>
        <v>0</v>
      </c>
      <c r="EP34" s="30">
        <f t="shared" ca="1" si="23"/>
        <v>0</v>
      </c>
      <c r="EQ34" s="35">
        <f ca="1">_xll.RiskBinomial(1,EP34)</f>
        <v>0</v>
      </c>
      <c r="ER34" s="88">
        <f ca="1">IF(EQ34=1,_xll.RiskBinomial(1,Prob_Illness_Given_Infection),0)</f>
        <v>0</v>
      </c>
      <c r="ET34" s="87">
        <f t="shared" ca="1" si="58"/>
        <v>1.9416102469513931E-12</v>
      </c>
      <c r="EU34" s="37">
        <f ca="1">INT(ET34) + _xll.RiskBinomial(1,ET34-INT(ET34))</f>
        <v>0</v>
      </c>
      <c r="EV34" s="30">
        <f t="shared" ca="1" si="24"/>
        <v>0</v>
      </c>
      <c r="EW34" s="35">
        <f ca="1">_xll.RiskBinomial(1,EV34)</f>
        <v>0</v>
      </c>
      <c r="EX34" s="88">
        <f ca="1">IF(EW34=1,_xll.RiskBinomial(1,Prob_Illness_Given_Infection),0)</f>
        <v>0</v>
      </c>
      <c r="EZ34" s="87">
        <f t="shared" ca="1" si="59"/>
        <v>1.4644019507494304E-5</v>
      </c>
      <c r="FA34" s="37">
        <f ca="1">INT(EZ34) + _xll.RiskBinomial(1,EZ34-INT(EZ34))</f>
        <v>0</v>
      </c>
      <c r="FB34" s="30">
        <f t="shared" ca="1" si="25"/>
        <v>0</v>
      </c>
      <c r="FC34" s="35">
        <f ca="1">_xll.RiskBinomial(1,FB34)</f>
        <v>0</v>
      </c>
      <c r="FD34" s="88">
        <f ca="1">IF(FC34=1,_xll.RiskBinomial(1,Prob_Illness_Given_Infection),0)</f>
        <v>0</v>
      </c>
      <c r="FF34" s="87">
        <f t="shared" ca="1" si="60"/>
        <v>1.0200859375220976E-4</v>
      </c>
      <c r="FG34" s="37">
        <f ca="1">INT(FF34) + _xll.RiskBinomial(1,FF34-INT(FF34))</f>
        <v>0</v>
      </c>
      <c r="FH34" s="30">
        <f t="shared" ca="1" si="26"/>
        <v>0</v>
      </c>
      <c r="FI34" s="35">
        <f ca="1">_xll.RiskBinomial(1,FH34)</f>
        <v>0</v>
      </c>
      <c r="FJ34" s="88">
        <f ca="1">IF(FI34=1,_xll.RiskBinomial(1,Prob_Illness_Given_Infection),0)</f>
        <v>0</v>
      </c>
      <c r="FL34" s="87" t="e">
        <f t="shared" ca="1" si="61"/>
        <v>#NAME?</v>
      </c>
      <c r="FM34" s="37" t="e">
        <f ca="1">INT(FL34) + _xll.RiskBinomial(1,FL34-INT(FL34))</f>
        <v>#NAME?</v>
      </c>
      <c r="FN34" s="30" t="e">
        <f t="shared" ca="1" si="27"/>
        <v>#NAME?</v>
      </c>
      <c r="FO34" s="35" t="e">
        <f ca="1">_xll.RiskBinomial(1,FN34)</f>
        <v>#VALUE!</v>
      </c>
      <c r="FP34" s="88" t="e">
        <f ca="1">IF(FO34=1,_xll.RiskBinomial(1,Prob_Illness_Given_Infection),0)</f>
        <v>#VALUE!</v>
      </c>
      <c r="FR34" s="87" t="e">
        <f t="shared" ca="1" si="62"/>
        <v>#NAME?</v>
      </c>
      <c r="FS34" s="37" t="e">
        <f ca="1">INT(FR34) + _xll.RiskBinomial(1,FR34-INT(FR34))</f>
        <v>#NAME?</v>
      </c>
      <c r="FT34" s="30" t="e">
        <f t="shared" ca="1" si="28"/>
        <v>#NAME?</v>
      </c>
      <c r="FU34" s="35" t="e">
        <f ca="1">_xll.RiskBinomial(1,FT34)</f>
        <v>#VALUE!</v>
      </c>
      <c r="FV34" s="88" t="e">
        <f ca="1">IF(FU34=1,_xll.RiskBinomial(1,Prob_Illness_Given_Infection),0)</f>
        <v>#VALUE!</v>
      </c>
      <c r="FX34" s="87">
        <f t="shared" ca="1" si="63"/>
        <v>2.0498881331514675E-7</v>
      </c>
      <c r="FY34" s="37">
        <f ca="1">INT(FX34) + _xll.RiskBinomial(1,FX34-INT(FX34))</f>
        <v>0</v>
      </c>
      <c r="FZ34" s="30">
        <f t="shared" ca="1" si="29"/>
        <v>0</v>
      </c>
      <c r="GA34" s="35">
        <f ca="1">_xll.RiskBinomial(1,FZ34)</f>
        <v>0</v>
      </c>
      <c r="GB34" s="88">
        <f ca="1">IF(GA34=1,_xll.RiskBinomial(1,Prob_Illness_Given_Infection),0)</f>
        <v>0</v>
      </c>
      <c r="GD34" s="87" t="e">
        <f t="shared" ca="1" si="64"/>
        <v>#NAME?</v>
      </c>
      <c r="GE34" s="37" t="e">
        <f ca="1">INT(GD34) + _xll.RiskBinomial(1,GD34-INT(GD34))</f>
        <v>#NAME?</v>
      </c>
      <c r="GF34" s="30" t="e">
        <f t="shared" ca="1" si="30"/>
        <v>#NAME?</v>
      </c>
      <c r="GG34" s="35" t="e">
        <f ca="1">_xll.RiskBinomial(1,GF34)</f>
        <v>#VALUE!</v>
      </c>
      <c r="GH34" s="88" t="e">
        <f ca="1">IF(GG34=1,_xll.RiskBinomial(1,Prob_Illness_Given_Infection),0)</f>
        <v>#VALUE!</v>
      </c>
      <c r="GJ34" s="87" t="e">
        <f t="shared" ca="1" si="65"/>
        <v>#NAME?</v>
      </c>
      <c r="GK34" s="37" t="e">
        <f ca="1">INT(GJ34) + _xll.RiskBinomial(1,GJ34-INT(GJ34))</f>
        <v>#NAME?</v>
      </c>
      <c r="GL34" s="30" t="e">
        <f t="shared" ca="1" si="31"/>
        <v>#NAME?</v>
      </c>
      <c r="GM34" s="35" t="e">
        <f ca="1">_xll.RiskBinomial(1,GL34)</f>
        <v>#VALUE!</v>
      </c>
      <c r="GN34" s="88" t="e">
        <f ca="1">IF(GM34=1,_xll.RiskBinomial(1,Prob_Illness_Given_Infection),0)</f>
        <v>#VALUE!</v>
      </c>
      <c r="GP34" s="87" t="e">
        <f t="shared" ca="1" si="66"/>
        <v>#NAME?</v>
      </c>
      <c r="GQ34" s="37" t="e">
        <f ca="1">INT(GP34) + _xll.RiskBinomial(1,GP34-INT(GP34))</f>
        <v>#NAME?</v>
      </c>
      <c r="GR34" s="30" t="e">
        <f t="shared" ca="1" si="32"/>
        <v>#NAME?</v>
      </c>
      <c r="GS34" s="35" t="e">
        <f ca="1">_xll.RiskBinomial(1,GR34)</f>
        <v>#VALUE!</v>
      </c>
      <c r="GT34" s="88" t="e">
        <f ca="1">IF(GS34=1,_xll.RiskBinomial(1,Prob_Illness_Given_Infection),0)</f>
        <v>#VALUE!</v>
      </c>
    </row>
    <row r="35" spans="2:202">
      <c r="B35" s="108">
        <v>27</v>
      </c>
      <c r="C35" s="87">
        <f ca="1">_xll.RiskLoglogistic(LogLogistic_gamma, LogLogistic_beta, LogLogistic_alpha, _xll.RiskTruncate(5,800))</f>
        <v>69.73397745707058</v>
      </c>
      <c r="D35" s="38">
        <f t="shared" ca="1" si="33"/>
        <v>4.4798248893301142</v>
      </c>
      <c r="E35" s="30"/>
      <c r="F35" s="87">
        <f t="shared" ca="1" si="34"/>
        <v>1.6173923542419874E-9</v>
      </c>
      <c r="G35" s="37">
        <f ca="1">INT(F35) + _xll.RiskBinomial(1,F35-INT(F35))</f>
        <v>0</v>
      </c>
      <c r="H35" s="30">
        <f t="shared" ca="1" si="0"/>
        <v>0</v>
      </c>
      <c r="I35" s="35">
        <f ca="1">_xll.RiskBinomial(1,H35)</f>
        <v>0</v>
      </c>
      <c r="J35" s="88">
        <f ca="1">IF(I35=1,_xll.RiskBinomial(1,Prob_Illness_Given_Infection),0)</f>
        <v>0</v>
      </c>
      <c r="K35" s="30"/>
      <c r="L35" s="87">
        <f t="shared" ca="1" si="35"/>
        <v>8.2612187135767685E-5</v>
      </c>
      <c r="M35" s="37">
        <f ca="1">INT(L35) + _xll.RiskBinomial(1,L35-INT(L35))</f>
        <v>0</v>
      </c>
      <c r="N35" s="30">
        <f t="shared" ca="1" si="1"/>
        <v>0</v>
      </c>
      <c r="O35" s="35">
        <f ca="1">_xll.RiskBinomial(1,N35)</f>
        <v>0</v>
      </c>
      <c r="P35" s="88">
        <f ca="1">IF(O35=1,_xll.RiskBinomial(1,Prob_Illness_Given_Infection),0)</f>
        <v>0</v>
      </c>
      <c r="Q35" s="30"/>
      <c r="R35" s="87">
        <f t="shared" ca="1" si="36"/>
        <v>8.5400985709900082E-6</v>
      </c>
      <c r="S35" s="37">
        <f ca="1">INT(R35) + _xll.RiskBinomial(1,R35-INT(R35))</f>
        <v>0</v>
      </c>
      <c r="T35" s="30">
        <f t="shared" ca="1" si="2"/>
        <v>0</v>
      </c>
      <c r="U35" s="35">
        <f ca="1">_xll.RiskBinomial(1,T35)</f>
        <v>0</v>
      </c>
      <c r="V35" s="88">
        <f ca="1">IF(U35=1,_xll.RiskBinomial(1,Prob_Illness_Given_Infection),0)</f>
        <v>0</v>
      </c>
      <c r="W35" s="30"/>
      <c r="X35" s="87">
        <f t="shared" ca="1" si="37"/>
        <v>3.5084949978391548E-12</v>
      </c>
      <c r="Y35" s="37">
        <f ca="1">INT(X35) + _xll.RiskBinomial(1,X35-INT(X35))</f>
        <v>0</v>
      </c>
      <c r="Z35" s="30">
        <f t="shared" ca="1" si="3"/>
        <v>0</v>
      </c>
      <c r="AA35" s="35">
        <f ca="1">_xll.RiskBinomial(1,Z35)</f>
        <v>0</v>
      </c>
      <c r="AB35" s="88">
        <f ca="1">IF(AA35=1,_xll.RiskBinomial(1,Prob_Illness_Given_Infection),0)</f>
        <v>0</v>
      </c>
      <c r="AC35" s="30"/>
      <c r="AD35" s="87">
        <f t="shared" ca="1" si="38"/>
        <v>1.7676419172071797E-12</v>
      </c>
      <c r="AE35" s="37">
        <f ca="1">INT(AD35) + _xll.RiskBinomial(1,AD35-INT(AD35))</f>
        <v>0</v>
      </c>
      <c r="AF35" s="30">
        <f t="shared" ca="1" si="4"/>
        <v>0</v>
      </c>
      <c r="AG35" s="35">
        <f ca="1">_xll.RiskBinomial(1,AF35)</f>
        <v>0</v>
      </c>
      <c r="AH35" s="88">
        <f ca="1">IF(AG35=1,_xll.RiskBinomial(1,Prob_Illness_Given_Infection),0)</f>
        <v>0</v>
      </c>
      <c r="AI35" s="30"/>
      <c r="AJ35" s="87">
        <f t="shared" ca="1" si="39"/>
        <v>8.2049382463792313E-5</v>
      </c>
      <c r="AK35" s="37">
        <f ca="1">INT(AJ35) + _xll.RiskBinomial(1,AJ35-INT(AJ35))</f>
        <v>0</v>
      </c>
      <c r="AL35" s="30">
        <f t="shared" ca="1" si="5"/>
        <v>0</v>
      </c>
      <c r="AM35" s="35">
        <f ca="1">_xll.RiskBinomial(1,AL35)</f>
        <v>0</v>
      </c>
      <c r="AN35" s="88">
        <f ca="1">IF(AM35=1,_xll.RiskBinomial(1,Prob_Illness_Given_Infection),0)</f>
        <v>0</v>
      </c>
      <c r="AO35" s="30"/>
      <c r="AP35" s="87">
        <f t="shared" ca="1" si="40"/>
        <v>1.9953616964296744E-9</v>
      </c>
      <c r="AQ35" s="37">
        <f ca="1">INT(AP35) + _xll.RiskBinomial(1,AP35-INT(AP35))</f>
        <v>0</v>
      </c>
      <c r="AR35" s="30">
        <f t="shared" ca="1" si="6"/>
        <v>0</v>
      </c>
      <c r="AS35" s="35">
        <f ca="1">_xll.RiskBinomial(1,AR35)</f>
        <v>0</v>
      </c>
      <c r="AT35" s="88">
        <f ca="1">IF(AS35=1,_xll.RiskBinomial(1,Prob_Illness_Given_Infection),0)</f>
        <v>0</v>
      </c>
      <c r="AU35" s="30"/>
      <c r="AV35" s="87">
        <f t="shared" ca="1" si="41"/>
        <v>4.6291352599731979E-5</v>
      </c>
      <c r="AW35" s="37">
        <f ca="1">INT(AV35) + _xll.RiskBinomial(1,AV35-INT(AV35))</f>
        <v>0</v>
      </c>
      <c r="AX35" s="30">
        <f t="shared" ca="1" si="7"/>
        <v>0</v>
      </c>
      <c r="AY35" s="35">
        <f ca="1">_xll.RiskBinomial(1,AX35)</f>
        <v>0</v>
      </c>
      <c r="AZ35" s="88">
        <f ca="1">IF(AY35=1,_xll.RiskBinomial(1,Prob_Illness_Given_Infection),0)</f>
        <v>0</v>
      </c>
      <c r="BB35" s="87">
        <f t="shared" ca="1" si="42"/>
        <v>6.3535338715437623E-5</v>
      </c>
      <c r="BC35" s="37">
        <f ca="1">INT(BB35) + _xll.RiskBinomial(1,BB35-INT(BB35))</f>
        <v>0</v>
      </c>
      <c r="BD35" s="30">
        <f t="shared" ca="1" si="8"/>
        <v>0</v>
      </c>
      <c r="BE35" s="35">
        <f ca="1">_xll.RiskBinomial(1,BD35)</f>
        <v>0</v>
      </c>
      <c r="BF35" s="88">
        <f ca="1">IF(BE35=1,_xll.RiskBinomial(1,Prob_Illness_Given_Infection),0)</f>
        <v>0</v>
      </c>
      <c r="BH35" s="87">
        <f t="shared" ca="1" si="43"/>
        <v>8.0440284229324995E-5</v>
      </c>
      <c r="BI35" s="37">
        <f ca="1">INT(BH35) + _xll.RiskBinomial(1,BH35-INT(BH35))</f>
        <v>0</v>
      </c>
      <c r="BJ35" s="30">
        <f t="shared" ca="1" si="9"/>
        <v>0</v>
      </c>
      <c r="BK35" s="35">
        <f ca="1">_xll.RiskBinomial(1,BJ35)</f>
        <v>0</v>
      </c>
      <c r="BL35" s="88">
        <f ca="1">IF(BK35=1,_xll.RiskBinomial(1,Prob_Illness_Given_Infection),0)</f>
        <v>0</v>
      </c>
      <c r="BN35" s="87">
        <f t="shared" ca="1" si="44"/>
        <v>6.1219642979398859E-6</v>
      </c>
      <c r="BO35" s="37">
        <f ca="1">INT(BN35) + _xll.RiskBinomial(1,BN35-INT(BN35))</f>
        <v>0</v>
      </c>
      <c r="BP35" s="30">
        <f t="shared" ca="1" si="10"/>
        <v>0</v>
      </c>
      <c r="BQ35" s="35">
        <f ca="1">_xll.RiskBinomial(1,BP35)</f>
        <v>0</v>
      </c>
      <c r="BR35" s="88">
        <f ca="1">IF(BQ35=1,_xll.RiskBinomial(1,Prob_Illness_Given_Infection),0)</f>
        <v>0</v>
      </c>
      <c r="BT35" s="87">
        <f t="shared" ca="1" si="45"/>
        <v>1.8408681923278212E-5</v>
      </c>
      <c r="BU35" s="37">
        <f ca="1">INT(BT35) + _xll.RiskBinomial(1,BT35-INT(BT35))</f>
        <v>0</v>
      </c>
      <c r="BV35" s="30">
        <f t="shared" ca="1" si="11"/>
        <v>0</v>
      </c>
      <c r="BW35" s="35">
        <f ca="1">_xll.RiskBinomial(1,BV35)</f>
        <v>0</v>
      </c>
      <c r="BX35" s="88">
        <f ca="1">IF(BW35=1,_xll.RiskBinomial(1,Prob_Illness_Given_Infection),0)</f>
        <v>0</v>
      </c>
      <c r="BZ35" s="87">
        <f t="shared" ca="1" si="46"/>
        <v>5.0464402556197595E-5</v>
      </c>
      <c r="CA35" s="37">
        <f ca="1">INT(BZ35) + _xll.RiskBinomial(1,BZ35-INT(BZ35))</f>
        <v>0</v>
      </c>
      <c r="CB35" s="30">
        <f t="shared" ca="1" si="12"/>
        <v>0</v>
      </c>
      <c r="CC35" s="35">
        <f ca="1">_xll.RiskBinomial(1,CB35)</f>
        <v>0</v>
      </c>
      <c r="CD35" s="88">
        <f ca="1">IF(CC35=1,_xll.RiskBinomial(1,Prob_Illness_Given_Infection),0)</f>
        <v>0</v>
      </c>
      <c r="CF35" s="87">
        <f t="shared" ca="1" si="47"/>
        <v>9.5751152751579755E-6</v>
      </c>
      <c r="CG35" s="37">
        <f ca="1">INT(CF35) + _xll.RiskBinomial(1,CF35-INT(CF35))</f>
        <v>0</v>
      </c>
      <c r="CH35" s="30">
        <f t="shared" ca="1" si="13"/>
        <v>0</v>
      </c>
      <c r="CI35" s="35">
        <f ca="1">_xll.RiskBinomial(1,CH35)</f>
        <v>0</v>
      </c>
      <c r="CJ35" s="88">
        <f ca="1">IF(CI35=1,_xll.RiskBinomial(1,Prob_Illness_Given_Infection),0)</f>
        <v>0</v>
      </c>
      <c r="CL35" s="87">
        <f t="shared" ca="1" si="48"/>
        <v>1.8477291873676195E-5</v>
      </c>
      <c r="CM35" s="37">
        <f ca="1">INT(CL35) + _xll.RiskBinomial(1,CL35-INT(CL35))</f>
        <v>0</v>
      </c>
      <c r="CN35" s="30">
        <f t="shared" ca="1" si="14"/>
        <v>0</v>
      </c>
      <c r="CO35" s="35">
        <f ca="1">_xll.RiskBinomial(1,CN35)</f>
        <v>0</v>
      </c>
      <c r="CP35" s="88">
        <f ca="1">IF(CO35=1,_xll.RiskBinomial(1,Prob_Illness_Given_Infection),0)</f>
        <v>0</v>
      </c>
      <c r="CR35" s="87">
        <f t="shared" ca="1" si="49"/>
        <v>1.2733990308939731E-7</v>
      </c>
      <c r="CS35" s="37">
        <f ca="1">INT(CR35) + _xll.RiskBinomial(1,CR35-INT(CR35))</f>
        <v>0</v>
      </c>
      <c r="CT35" s="30">
        <f t="shared" ca="1" si="15"/>
        <v>0</v>
      </c>
      <c r="CU35" s="35">
        <f ca="1">_xll.RiskBinomial(1,CT35)</f>
        <v>0</v>
      </c>
      <c r="CV35" s="88">
        <f ca="1">IF(CU35=1,_xll.RiskBinomial(1,Prob_Illness_Given_Infection),0)</f>
        <v>0</v>
      </c>
      <c r="CX35" s="87">
        <f t="shared" ca="1" si="50"/>
        <v>1.2963057370099529E-9</v>
      </c>
      <c r="CY35" s="37">
        <f ca="1">INT(CX35) + _xll.RiskBinomial(1,CX35-INT(CX35))</f>
        <v>0</v>
      </c>
      <c r="CZ35" s="30">
        <f t="shared" ca="1" si="16"/>
        <v>0</v>
      </c>
      <c r="DA35" s="35">
        <f ca="1">_xll.RiskBinomial(1,CZ35)</f>
        <v>0</v>
      </c>
      <c r="DB35" s="88">
        <f ca="1">IF(DA35=1,_xll.RiskBinomial(1,Prob_Illness_Given_Infection),0)</f>
        <v>0</v>
      </c>
      <c r="DD35" s="87">
        <f t="shared" ca="1" si="51"/>
        <v>1.2963057370099529E-9</v>
      </c>
      <c r="DE35" s="37">
        <f ca="1">INT(DD35) + _xll.RiskBinomial(1,DD35-INT(DD35))</f>
        <v>0</v>
      </c>
      <c r="DF35" s="30">
        <f t="shared" ca="1" si="17"/>
        <v>0</v>
      </c>
      <c r="DG35" s="35">
        <f ca="1">_xll.RiskBinomial(1,DF35)</f>
        <v>0</v>
      </c>
      <c r="DH35" s="88">
        <f ca="1">IF(DG35=1,_xll.RiskBinomial(1,Prob_Illness_Given_Infection),0)</f>
        <v>0</v>
      </c>
      <c r="DJ35" s="87">
        <f t="shared" ca="1" si="52"/>
        <v>2.1166874023913426E-6</v>
      </c>
      <c r="DK35" s="37">
        <f ca="1">INT(DJ35) + _xll.RiskBinomial(1,DJ35-INT(DJ35))</f>
        <v>0</v>
      </c>
      <c r="DL35" s="30">
        <f t="shared" ca="1" si="18"/>
        <v>0</v>
      </c>
      <c r="DM35" s="35">
        <f ca="1">_xll.RiskBinomial(1,DL35)</f>
        <v>0</v>
      </c>
      <c r="DN35" s="88">
        <f ca="1">IF(DM35=1,_xll.RiskBinomial(1,Prob_Illness_Given_Infection),0)</f>
        <v>0</v>
      </c>
      <c r="DP35" s="87">
        <f t="shared" ca="1" si="53"/>
        <v>5.003739929204572E-10</v>
      </c>
      <c r="DQ35" s="37">
        <f ca="1">INT(DP35) + _xll.RiskBinomial(1,DP35-INT(DP35))</f>
        <v>0</v>
      </c>
      <c r="DR35" s="30">
        <f t="shared" ca="1" si="19"/>
        <v>0</v>
      </c>
      <c r="DS35" s="35">
        <f ca="1">_xll.RiskBinomial(1,DR35)</f>
        <v>0</v>
      </c>
      <c r="DT35" s="88">
        <f ca="1">IF(DS35=1,_xll.RiskBinomial(1,Prob_Illness_Given_Infection),0)</f>
        <v>0</v>
      </c>
      <c r="DV35" s="87">
        <f t="shared" ca="1" si="54"/>
        <v>7.0442949304055519E-9</v>
      </c>
      <c r="DW35" s="37">
        <f ca="1">INT(DV35) + _xll.RiskBinomial(1,DV35-INT(DV35))</f>
        <v>0</v>
      </c>
      <c r="DX35" s="30">
        <f t="shared" ca="1" si="20"/>
        <v>0</v>
      </c>
      <c r="DY35" s="35">
        <f ca="1">_xll.RiskBinomial(1,DX35)</f>
        <v>0</v>
      </c>
      <c r="DZ35" s="88">
        <f ca="1">IF(DY35=1,_xll.RiskBinomial(1,Prob_Illness_Given_Infection),0)</f>
        <v>0</v>
      </c>
      <c r="EB35" s="87">
        <f t="shared" ca="1" si="55"/>
        <v>1.7676419172065862E-12</v>
      </c>
      <c r="EC35" s="37">
        <f ca="1">INT(EB35) + _xll.RiskBinomial(1,EB35-INT(EB35))</f>
        <v>0</v>
      </c>
      <c r="ED35" s="30">
        <f t="shared" ca="1" si="21"/>
        <v>0</v>
      </c>
      <c r="EE35" s="35">
        <f ca="1">_xll.RiskBinomial(1,ED35)</f>
        <v>0</v>
      </c>
      <c r="EF35" s="88">
        <f ca="1">IF(EE35=1,_xll.RiskBinomial(1,Prob_Illness_Given_Infection),0)</f>
        <v>0</v>
      </c>
      <c r="EH35" s="87">
        <f t="shared" ca="1" si="56"/>
        <v>1.7676419172047691E-12</v>
      </c>
      <c r="EI35" s="37">
        <f ca="1">INT(EH35) + _xll.RiskBinomial(1,EH35-INT(EH35))</f>
        <v>0</v>
      </c>
      <c r="EJ35" s="30">
        <f t="shared" ca="1" si="22"/>
        <v>0</v>
      </c>
      <c r="EK35" s="35">
        <f ca="1">_xll.RiskBinomial(1,EJ35)</f>
        <v>0</v>
      </c>
      <c r="EL35" s="88">
        <f ca="1">IF(EK35=1,_xll.RiskBinomial(1,Prob_Illness_Given_Infection),0)</f>
        <v>0</v>
      </c>
      <c r="EN35" s="87">
        <f t="shared" ca="1" si="57"/>
        <v>1.6128665317304535E-10</v>
      </c>
      <c r="EO35" s="37">
        <f ca="1">INT(EN35) + _xll.RiskBinomial(1,EN35-INT(EN35))</f>
        <v>0</v>
      </c>
      <c r="EP35" s="30">
        <f t="shared" ca="1" si="23"/>
        <v>0</v>
      </c>
      <c r="EQ35" s="35">
        <f ca="1">_xll.RiskBinomial(1,EP35)</f>
        <v>0</v>
      </c>
      <c r="ER35" s="88">
        <f ca="1">IF(EQ35=1,_xll.RiskBinomial(1,Prob_Illness_Given_Infection),0)</f>
        <v>0</v>
      </c>
      <c r="ET35" s="87">
        <f t="shared" ca="1" si="58"/>
        <v>1.7676419172030834E-12</v>
      </c>
      <c r="EU35" s="37">
        <f ca="1">INT(ET35) + _xll.RiskBinomial(1,ET35-INT(ET35))</f>
        <v>0</v>
      </c>
      <c r="EV35" s="30">
        <f t="shared" ca="1" si="24"/>
        <v>0</v>
      </c>
      <c r="EW35" s="35">
        <f ca="1">_xll.RiskBinomial(1,EV35)</f>
        <v>0</v>
      </c>
      <c r="EX35" s="88">
        <f ca="1">IF(EW35=1,_xll.RiskBinomial(1,Prob_Illness_Given_Infection),0)</f>
        <v>0</v>
      </c>
      <c r="EZ35" s="87">
        <f t="shared" ca="1" si="59"/>
        <v>1.3331914970283226E-5</v>
      </c>
      <c r="FA35" s="37">
        <f ca="1">INT(EZ35) + _xll.RiskBinomial(1,EZ35-INT(EZ35))</f>
        <v>0</v>
      </c>
      <c r="FB35" s="30">
        <f t="shared" ca="1" si="25"/>
        <v>0</v>
      </c>
      <c r="FC35" s="35">
        <f ca="1">_xll.RiskBinomial(1,FB35)</f>
        <v>0</v>
      </c>
      <c r="FD35" s="88">
        <f ca="1">IF(FC35=1,_xll.RiskBinomial(1,Prob_Illness_Given_Infection),0)</f>
        <v>0</v>
      </c>
      <c r="FF35" s="87">
        <f t="shared" ca="1" si="60"/>
        <v>9.2868621039915951E-5</v>
      </c>
      <c r="FG35" s="37">
        <f ca="1">INT(FF35) + _xll.RiskBinomial(1,FF35-INT(FF35))</f>
        <v>0</v>
      </c>
      <c r="FH35" s="30">
        <f t="shared" ca="1" si="26"/>
        <v>0</v>
      </c>
      <c r="FI35" s="35">
        <f ca="1">_xll.RiskBinomial(1,FH35)</f>
        <v>0</v>
      </c>
      <c r="FJ35" s="88">
        <f ca="1">IF(FI35=1,_xll.RiskBinomial(1,Prob_Illness_Given_Infection),0)</f>
        <v>0</v>
      </c>
      <c r="FL35" s="87" t="e">
        <f t="shared" ca="1" si="61"/>
        <v>#NAME?</v>
      </c>
      <c r="FM35" s="37" t="e">
        <f ca="1">INT(FL35) + _xll.RiskBinomial(1,FL35-INT(FL35))</f>
        <v>#NAME?</v>
      </c>
      <c r="FN35" s="30" t="e">
        <f t="shared" ca="1" si="27"/>
        <v>#NAME?</v>
      </c>
      <c r="FO35" s="35" t="e">
        <f ca="1">_xll.RiskBinomial(1,FN35)</f>
        <v>#VALUE!</v>
      </c>
      <c r="FP35" s="88" t="e">
        <f ca="1">IF(FO35=1,_xll.RiskBinomial(1,Prob_Illness_Given_Infection),0)</f>
        <v>#VALUE!</v>
      </c>
      <c r="FR35" s="87" t="e">
        <f t="shared" ca="1" si="62"/>
        <v>#NAME?</v>
      </c>
      <c r="FS35" s="37" t="e">
        <f ca="1">INT(FR35) + _xll.RiskBinomial(1,FR35-INT(FR35))</f>
        <v>#NAME?</v>
      </c>
      <c r="FT35" s="30" t="e">
        <f t="shared" ca="1" si="28"/>
        <v>#NAME?</v>
      </c>
      <c r="FU35" s="35" t="e">
        <f ca="1">_xll.RiskBinomial(1,FT35)</f>
        <v>#VALUE!</v>
      </c>
      <c r="FV35" s="88" t="e">
        <f ca="1">IF(FU35=1,_xll.RiskBinomial(1,Prob_Illness_Given_Infection),0)</f>
        <v>#VALUE!</v>
      </c>
      <c r="FX35" s="87">
        <f t="shared" ca="1" si="63"/>
        <v>1.8662181019208543E-7</v>
      </c>
      <c r="FY35" s="37">
        <f ca="1">INT(FX35) + _xll.RiskBinomial(1,FX35-INT(FX35))</f>
        <v>0</v>
      </c>
      <c r="FZ35" s="30">
        <f t="shared" ca="1" si="29"/>
        <v>0</v>
      </c>
      <c r="GA35" s="35">
        <f ca="1">_xll.RiskBinomial(1,FZ35)</f>
        <v>0</v>
      </c>
      <c r="GB35" s="88">
        <f ca="1">IF(GA35=1,_xll.RiskBinomial(1,Prob_Illness_Given_Infection),0)</f>
        <v>0</v>
      </c>
      <c r="GD35" s="87" t="e">
        <f t="shared" ca="1" si="64"/>
        <v>#NAME?</v>
      </c>
      <c r="GE35" s="37" t="e">
        <f ca="1">INT(GD35) + _xll.RiskBinomial(1,GD35-INT(GD35))</f>
        <v>#NAME?</v>
      </c>
      <c r="GF35" s="30" t="e">
        <f t="shared" ca="1" si="30"/>
        <v>#NAME?</v>
      </c>
      <c r="GG35" s="35" t="e">
        <f ca="1">_xll.RiskBinomial(1,GF35)</f>
        <v>#VALUE!</v>
      </c>
      <c r="GH35" s="88" t="e">
        <f ca="1">IF(GG35=1,_xll.RiskBinomial(1,Prob_Illness_Given_Infection),0)</f>
        <v>#VALUE!</v>
      </c>
      <c r="GJ35" s="87" t="e">
        <f t="shared" ca="1" si="65"/>
        <v>#NAME?</v>
      </c>
      <c r="GK35" s="37" t="e">
        <f ca="1">INT(GJ35) + _xll.RiskBinomial(1,GJ35-INT(GJ35))</f>
        <v>#NAME?</v>
      </c>
      <c r="GL35" s="30" t="e">
        <f t="shared" ca="1" si="31"/>
        <v>#NAME?</v>
      </c>
      <c r="GM35" s="35" t="e">
        <f ca="1">_xll.RiskBinomial(1,GL35)</f>
        <v>#VALUE!</v>
      </c>
      <c r="GN35" s="88" t="e">
        <f ca="1">IF(GM35=1,_xll.RiskBinomial(1,Prob_Illness_Given_Infection),0)</f>
        <v>#VALUE!</v>
      </c>
      <c r="GP35" s="87" t="e">
        <f t="shared" ca="1" si="66"/>
        <v>#NAME?</v>
      </c>
      <c r="GQ35" s="37" t="e">
        <f ca="1">INT(GP35) + _xll.RiskBinomial(1,GP35-INT(GP35))</f>
        <v>#NAME?</v>
      </c>
      <c r="GR35" s="30" t="e">
        <f t="shared" ca="1" si="32"/>
        <v>#NAME?</v>
      </c>
      <c r="GS35" s="35" t="e">
        <f ca="1">_xll.RiskBinomial(1,GR35)</f>
        <v>#VALUE!</v>
      </c>
      <c r="GT35" s="88" t="e">
        <f ca="1">IF(GS35=1,_xll.RiskBinomial(1,Prob_Illness_Given_Infection),0)</f>
        <v>#VALUE!</v>
      </c>
    </row>
    <row r="36" spans="2:202">
      <c r="B36" s="108">
        <v>28</v>
      </c>
      <c r="C36" s="87">
        <f ca="1">_xll.RiskLoglogistic(LogLogistic_gamma, LogLogistic_beta, LogLogistic_alpha, _xll.RiskTruncate(5,800))</f>
        <v>37.281032695462834</v>
      </c>
      <c r="D36" s="38">
        <f t="shared" ca="1" si="33"/>
        <v>2.3949945816855189</v>
      </c>
      <c r="E36" s="30"/>
      <c r="F36" s="87">
        <f t="shared" ca="1" si="34"/>
        <v>8.6468690642244874E-10</v>
      </c>
      <c r="G36" s="37">
        <f ca="1">INT(F36) + _xll.RiskBinomial(1,F36-INT(F36))</f>
        <v>0</v>
      </c>
      <c r="H36" s="30">
        <f t="shared" ca="1" si="0"/>
        <v>0</v>
      </c>
      <c r="I36" s="35">
        <f ca="1">_xll.RiskBinomial(1,H36)</f>
        <v>0</v>
      </c>
      <c r="J36" s="88">
        <f ca="1">IF(I36=1,_xll.RiskBinomial(1,Prob_Illness_Given_Infection),0)</f>
        <v>0</v>
      </c>
      <c r="K36" s="30"/>
      <c r="L36" s="87">
        <f t="shared" ca="1" si="35"/>
        <v>4.4165954129724896E-5</v>
      </c>
      <c r="M36" s="37">
        <f ca="1">INT(L36) + _xll.RiskBinomial(1,L36-INT(L36))</f>
        <v>0</v>
      </c>
      <c r="N36" s="30">
        <f t="shared" ca="1" si="1"/>
        <v>0</v>
      </c>
      <c r="O36" s="35">
        <f ca="1">_xll.RiskBinomial(1,N36)</f>
        <v>0</v>
      </c>
      <c r="P36" s="88">
        <f ca="1">IF(O36=1,_xll.RiskBinomial(1,Prob_Illness_Given_Infection),0)</f>
        <v>0</v>
      </c>
      <c r="Q36" s="30"/>
      <c r="R36" s="87">
        <f t="shared" ca="1" si="36"/>
        <v>4.5656895771298332E-6</v>
      </c>
      <c r="S36" s="37">
        <f ca="1">INT(R36) + _xll.RiskBinomial(1,R36-INT(R36))</f>
        <v>0</v>
      </c>
      <c r="T36" s="30">
        <f t="shared" ca="1" si="2"/>
        <v>0</v>
      </c>
      <c r="U36" s="35">
        <f ca="1">_xll.RiskBinomial(1,T36)</f>
        <v>0</v>
      </c>
      <c r="V36" s="88">
        <f ca="1">IF(U36=1,_xll.RiskBinomial(1,Prob_Illness_Given_Infection),0)</f>
        <v>0</v>
      </c>
      <c r="W36" s="30"/>
      <c r="X36" s="87">
        <f t="shared" ca="1" si="37"/>
        <v>1.8757042333750751E-12</v>
      </c>
      <c r="Y36" s="37">
        <f ca="1">INT(X36) + _xll.RiskBinomial(1,X36-INT(X36))</f>
        <v>0</v>
      </c>
      <c r="Z36" s="30">
        <f t="shared" ca="1" si="3"/>
        <v>0</v>
      </c>
      <c r="AA36" s="35">
        <f ca="1">_xll.RiskBinomial(1,Z36)</f>
        <v>0</v>
      </c>
      <c r="AB36" s="88">
        <f ca="1">IF(AA36=1,_xll.RiskBinomial(1,Prob_Illness_Given_Infection),0)</f>
        <v>0</v>
      </c>
      <c r="AC36" s="30"/>
      <c r="AD36" s="87">
        <f t="shared" ca="1" si="38"/>
        <v>9.450130124850592E-13</v>
      </c>
      <c r="AE36" s="37">
        <f ca="1">INT(AD36) + _xll.RiskBinomial(1,AD36-INT(AD36))</f>
        <v>0</v>
      </c>
      <c r="AF36" s="30">
        <f t="shared" ca="1" si="4"/>
        <v>0</v>
      </c>
      <c r="AG36" s="35">
        <f ca="1">_xll.RiskBinomial(1,AF36)</f>
        <v>0</v>
      </c>
      <c r="AH36" s="88">
        <f ca="1">IF(AG36=1,_xll.RiskBinomial(1,Prob_Illness_Given_Infection),0)</f>
        <v>0</v>
      </c>
      <c r="AI36" s="30"/>
      <c r="AJ36" s="87">
        <f t="shared" ca="1" si="39"/>
        <v>4.3865068677005815E-5</v>
      </c>
      <c r="AK36" s="37">
        <f ca="1">INT(AJ36) + _xll.RiskBinomial(1,AJ36-INT(AJ36))</f>
        <v>0</v>
      </c>
      <c r="AL36" s="30">
        <f t="shared" ca="1" si="5"/>
        <v>0</v>
      </c>
      <c r="AM36" s="35">
        <f ca="1">_xll.RiskBinomial(1,AL36)</f>
        <v>0</v>
      </c>
      <c r="AN36" s="88">
        <f ca="1">IF(AM36=1,_xll.RiskBinomial(1,Prob_Illness_Given_Infection),0)</f>
        <v>0</v>
      </c>
      <c r="AO36" s="30"/>
      <c r="AP36" s="87">
        <f t="shared" ca="1" si="40"/>
        <v>1.0667560829964718E-9</v>
      </c>
      <c r="AQ36" s="37">
        <f ca="1">INT(AP36) + _xll.RiskBinomial(1,AP36-INT(AP36))</f>
        <v>0</v>
      </c>
      <c r="AR36" s="30">
        <f t="shared" ca="1" si="6"/>
        <v>0</v>
      </c>
      <c r="AS36" s="35">
        <f ca="1">_xll.RiskBinomial(1,AR36)</f>
        <v>0</v>
      </c>
      <c r="AT36" s="88">
        <f ca="1">IF(AS36=1,_xll.RiskBinomial(1,Prob_Illness_Given_Infection),0)</f>
        <v>0</v>
      </c>
      <c r="AU36" s="30"/>
      <c r="AV36" s="87">
        <f t="shared" ca="1" si="41"/>
        <v>2.4748185787197232E-5</v>
      </c>
      <c r="AW36" s="37">
        <f ca="1">INT(AV36) + _xll.RiskBinomial(1,AV36-INT(AV36))</f>
        <v>0</v>
      </c>
      <c r="AX36" s="30">
        <f t="shared" ca="1" si="7"/>
        <v>0</v>
      </c>
      <c r="AY36" s="35">
        <f ca="1">_xll.RiskBinomial(1,AX36)</f>
        <v>0</v>
      </c>
      <c r="AZ36" s="88">
        <f ca="1">IF(AY36=1,_xll.RiskBinomial(1,Prob_Illness_Given_Infection),0)</f>
        <v>0</v>
      </c>
      <c r="BB36" s="87">
        <f t="shared" ca="1" si="42"/>
        <v>3.3967129458888598E-5</v>
      </c>
      <c r="BC36" s="37">
        <f ca="1">INT(BB36) + _xll.RiskBinomial(1,BB36-INT(BB36))</f>
        <v>0</v>
      </c>
      <c r="BD36" s="30">
        <f t="shared" ca="1" si="8"/>
        <v>0</v>
      </c>
      <c r="BE36" s="35">
        <f ca="1">_xll.RiskBinomial(1,BD36)</f>
        <v>0</v>
      </c>
      <c r="BF36" s="88">
        <f ca="1">IF(BE36=1,_xll.RiskBinomial(1,Prob_Illness_Given_Infection),0)</f>
        <v>0</v>
      </c>
      <c r="BH36" s="87">
        <f t="shared" ca="1" si="43"/>
        <v>4.3004815955492582E-5</v>
      </c>
      <c r="BI36" s="37">
        <f ca="1">INT(BH36) + _xll.RiskBinomial(1,BH36-INT(BH36))</f>
        <v>0</v>
      </c>
      <c r="BJ36" s="30">
        <f t="shared" ca="1" si="9"/>
        <v>0</v>
      </c>
      <c r="BK36" s="35">
        <f ca="1">_xll.RiskBinomial(1,BJ36)</f>
        <v>0</v>
      </c>
      <c r="BL36" s="88">
        <f ca="1">IF(BK36=1,_xll.RiskBinomial(1,Prob_Illness_Given_Infection),0)</f>
        <v>0</v>
      </c>
      <c r="BN36" s="87">
        <f t="shared" ca="1" si="44"/>
        <v>3.2729117063838393E-6</v>
      </c>
      <c r="BO36" s="37">
        <f ca="1">INT(BN36) + _xll.RiskBinomial(1,BN36-INT(BN36))</f>
        <v>0</v>
      </c>
      <c r="BP36" s="30">
        <f t="shared" ca="1" si="10"/>
        <v>0</v>
      </c>
      <c r="BQ36" s="35">
        <f ca="1">_xll.RiskBinomial(1,BP36)</f>
        <v>0</v>
      </c>
      <c r="BR36" s="88">
        <f ca="1">IF(BQ36=1,_xll.RiskBinomial(1,Prob_Illness_Given_Infection),0)</f>
        <v>0</v>
      </c>
      <c r="BT36" s="87">
        <f t="shared" ca="1" si="45"/>
        <v>9.8416109002903977E-6</v>
      </c>
      <c r="BU36" s="37">
        <f ca="1">INT(BT36) + _xll.RiskBinomial(1,BT36-INT(BT36))</f>
        <v>0</v>
      </c>
      <c r="BV36" s="30">
        <f t="shared" ca="1" si="11"/>
        <v>0</v>
      </c>
      <c r="BW36" s="35">
        <f ca="1">_xll.RiskBinomial(1,BV36)</f>
        <v>0</v>
      </c>
      <c r="BX36" s="88">
        <f ca="1">IF(BW36=1,_xll.RiskBinomial(1,Prob_Illness_Given_Infection),0)</f>
        <v>0</v>
      </c>
      <c r="BZ36" s="87">
        <f t="shared" ca="1" si="46"/>
        <v>2.6979172998023828E-5</v>
      </c>
      <c r="CA36" s="37">
        <f ca="1">INT(BZ36) + _xll.RiskBinomial(1,BZ36-INT(BZ36))</f>
        <v>0</v>
      </c>
      <c r="CB36" s="30">
        <f t="shared" ca="1" si="12"/>
        <v>0</v>
      </c>
      <c r="CC36" s="35">
        <f ca="1">_xll.RiskBinomial(1,CB36)</f>
        <v>0</v>
      </c>
      <c r="CD36" s="88">
        <f ca="1">IF(CC36=1,_xll.RiskBinomial(1,Prob_Illness_Given_Infection),0)</f>
        <v>0</v>
      </c>
      <c r="CF36" s="87">
        <f t="shared" ca="1" si="47"/>
        <v>5.1190280355906409E-6</v>
      </c>
      <c r="CG36" s="37">
        <f ca="1">INT(CF36) + _xll.RiskBinomial(1,CF36-INT(CF36))</f>
        <v>0</v>
      </c>
      <c r="CH36" s="30">
        <f t="shared" ca="1" si="13"/>
        <v>0</v>
      </c>
      <c r="CI36" s="35">
        <f ca="1">_xll.RiskBinomial(1,CH36)</f>
        <v>0</v>
      </c>
      <c r="CJ36" s="88">
        <f ca="1">IF(CI36=1,_xll.RiskBinomial(1,Prob_Illness_Given_Infection),0)</f>
        <v>0</v>
      </c>
      <c r="CL36" s="87">
        <f t="shared" ca="1" si="48"/>
        <v>9.8782910079982343E-6</v>
      </c>
      <c r="CM36" s="37">
        <f ca="1">INT(CL36) + _xll.RiskBinomial(1,CL36-INT(CL36))</f>
        <v>0</v>
      </c>
      <c r="CN36" s="30">
        <f t="shared" ca="1" si="14"/>
        <v>0</v>
      </c>
      <c r="CO36" s="35">
        <f ca="1">_xll.RiskBinomial(1,CN36)</f>
        <v>0</v>
      </c>
      <c r="CP36" s="88">
        <f ca="1">IF(CO36=1,_xll.RiskBinomial(1,Prob_Illness_Given_Infection),0)</f>
        <v>0</v>
      </c>
      <c r="CR36" s="87">
        <f t="shared" ca="1" si="49"/>
        <v>6.8078191774382111E-8</v>
      </c>
      <c r="CS36" s="37">
        <f ca="1">INT(CR36) + _xll.RiskBinomial(1,CR36-INT(CR36))</f>
        <v>0</v>
      </c>
      <c r="CT36" s="30">
        <f t="shared" ca="1" si="15"/>
        <v>0</v>
      </c>
      <c r="CU36" s="35">
        <f ca="1">_xll.RiskBinomial(1,CT36)</f>
        <v>0</v>
      </c>
      <c r="CV36" s="88">
        <f ca="1">IF(CU36=1,_xll.RiskBinomial(1,Prob_Illness_Given_Infection),0)</f>
        <v>0</v>
      </c>
      <c r="CX36" s="87">
        <f t="shared" ca="1" si="50"/>
        <v>6.9302825289917529E-10</v>
      </c>
      <c r="CY36" s="37">
        <f ca="1">INT(CX36) + _xll.RiskBinomial(1,CX36-INT(CX36))</f>
        <v>0</v>
      </c>
      <c r="CZ36" s="30">
        <f t="shared" ca="1" si="16"/>
        <v>0</v>
      </c>
      <c r="DA36" s="35">
        <f ca="1">_xll.RiskBinomial(1,CZ36)</f>
        <v>0</v>
      </c>
      <c r="DB36" s="88">
        <f ca="1">IF(DA36=1,_xll.RiskBinomial(1,Prob_Illness_Given_Infection),0)</f>
        <v>0</v>
      </c>
      <c r="DD36" s="87">
        <f t="shared" ca="1" si="51"/>
        <v>6.9302825289917529E-10</v>
      </c>
      <c r="DE36" s="37">
        <f ca="1">INT(DD36) + _xll.RiskBinomial(1,DD36-INT(DD36))</f>
        <v>0</v>
      </c>
      <c r="DF36" s="30">
        <f t="shared" ca="1" si="17"/>
        <v>0</v>
      </c>
      <c r="DG36" s="35">
        <f ca="1">_xll.RiskBinomial(1,DF36)</f>
        <v>0</v>
      </c>
      <c r="DH36" s="88">
        <f ca="1">IF(DG36=1,_xll.RiskBinomial(1,Prob_Illness_Given_Infection),0)</f>
        <v>0</v>
      </c>
      <c r="DJ36" s="87">
        <f t="shared" ca="1" si="52"/>
        <v>1.131618977322865E-6</v>
      </c>
      <c r="DK36" s="37">
        <f ca="1">INT(DJ36) + _xll.RiskBinomial(1,DJ36-INT(DJ36))</f>
        <v>0</v>
      </c>
      <c r="DL36" s="30">
        <f t="shared" ca="1" si="18"/>
        <v>0</v>
      </c>
      <c r="DM36" s="35">
        <f ca="1">_xll.RiskBinomial(1,DL36)</f>
        <v>0</v>
      </c>
      <c r="DN36" s="88">
        <f ca="1">IF(DM36=1,_xll.RiskBinomial(1,Prob_Illness_Given_Infection),0)</f>
        <v>0</v>
      </c>
      <c r="DP36" s="87">
        <f t="shared" ca="1" si="53"/>
        <v>2.67508894089841E-10</v>
      </c>
      <c r="DQ36" s="37">
        <f ca="1">INT(DP36) + _xll.RiskBinomial(1,DP36-INT(DP36))</f>
        <v>0</v>
      </c>
      <c r="DR36" s="30">
        <f t="shared" ca="1" si="19"/>
        <v>0</v>
      </c>
      <c r="DS36" s="35">
        <f ca="1">_xll.RiskBinomial(1,DR36)</f>
        <v>0</v>
      </c>
      <c r="DT36" s="88">
        <f ca="1">IF(DS36=1,_xll.RiskBinomial(1,Prob_Illness_Given_Infection),0)</f>
        <v>0</v>
      </c>
      <c r="DV36" s="87">
        <f t="shared" ca="1" si="54"/>
        <v>3.7660061736562347E-9</v>
      </c>
      <c r="DW36" s="37">
        <f ca="1">INT(DV36) + _xll.RiskBinomial(1,DV36-INT(DV36))</f>
        <v>0</v>
      </c>
      <c r="DX36" s="30">
        <f t="shared" ca="1" si="20"/>
        <v>0</v>
      </c>
      <c r="DY36" s="35">
        <f ca="1">_xll.RiskBinomial(1,DX36)</f>
        <v>0</v>
      </c>
      <c r="DZ36" s="88">
        <f ca="1">IF(DY36=1,_xll.RiskBinomial(1,Prob_Illness_Given_Infection),0)</f>
        <v>0</v>
      </c>
      <c r="EB36" s="87">
        <f t="shared" ca="1" si="55"/>
        <v>9.4501301248474174E-13</v>
      </c>
      <c r="EC36" s="37">
        <f ca="1">INT(EB36) + _xll.RiskBinomial(1,EB36-INT(EB36))</f>
        <v>0</v>
      </c>
      <c r="ED36" s="30">
        <f t="shared" ca="1" si="21"/>
        <v>0</v>
      </c>
      <c r="EE36" s="35">
        <f ca="1">_xll.RiskBinomial(1,ED36)</f>
        <v>0</v>
      </c>
      <c r="EF36" s="88">
        <f ca="1">IF(EE36=1,_xll.RiskBinomial(1,Prob_Illness_Given_Infection),0)</f>
        <v>0</v>
      </c>
      <c r="EH36" s="87">
        <f t="shared" ca="1" si="56"/>
        <v>9.4501301248377037E-13</v>
      </c>
      <c r="EI36" s="37">
        <f ca="1">INT(EH36) + _xll.RiskBinomial(1,EH36-INT(EH36))</f>
        <v>0</v>
      </c>
      <c r="EJ36" s="30">
        <f t="shared" ca="1" si="22"/>
        <v>0</v>
      </c>
      <c r="EK36" s="35">
        <f ca="1">_xll.RiskBinomial(1,EJ36)</f>
        <v>0</v>
      </c>
      <c r="EL36" s="88">
        <f ca="1">IF(EK36=1,_xll.RiskBinomial(1,Prob_Illness_Given_Infection),0)</f>
        <v>0</v>
      </c>
      <c r="EN36" s="87">
        <f t="shared" ca="1" si="57"/>
        <v>8.6226732068850388E-11</v>
      </c>
      <c r="EO36" s="37">
        <f ca="1">INT(EN36) + _xll.RiskBinomial(1,EN36-INT(EN36))</f>
        <v>0</v>
      </c>
      <c r="EP36" s="30">
        <f t="shared" ca="1" si="23"/>
        <v>0</v>
      </c>
      <c r="EQ36" s="35">
        <f ca="1">_xll.RiskBinomial(1,EP36)</f>
        <v>0</v>
      </c>
      <c r="ER36" s="88">
        <f ca="1">IF(EQ36=1,_xll.RiskBinomial(1,Prob_Illness_Given_Infection),0)</f>
        <v>0</v>
      </c>
      <c r="ET36" s="87">
        <f t="shared" ca="1" si="58"/>
        <v>9.4501301248286927E-13</v>
      </c>
      <c r="EU36" s="37">
        <f ca="1">INT(ET36) + _xll.RiskBinomial(1,ET36-INT(ET36))</f>
        <v>0</v>
      </c>
      <c r="EV36" s="30">
        <f t="shared" ca="1" si="24"/>
        <v>0</v>
      </c>
      <c r="EW36" s="35">
        <f ca="1">_xll.RiskBinomial(1,EV36)</f>
        <v>0</v>
      </c>
      <c r="EX36" s="88">
        <f ca="1">IF(EW36=1,_xll.RiskBinomial(1,Prob_Illness_Given_Infection),0)</f>
        <v>0</v>
      </c>
      <c r="EZ36" s="87">
        <f t="shared" ca="1" si="59"/>
        <v>7.1274804051760557E-6</v>
      </c>
      <c r="FA36" s="37">
        <f ca="1">INT(EZ36) + _xll.RiskBinomial(1,EZ36-INT(EZ36))</f>
        <v>0</v>
      </c>
      <c r="FB36" s="30">
        <f t="shared" ca="1" si="25"/>
        <v>0</v>
      </c>
      <c r="FC36" s="35">
        <f ca="1">_xll.RiskBinomial(1,FB36)</f>
        <v>0</v>
      </c>
      <c r="FD36" s="88">
        <f ca="1">IF(FC36=1,_xll.RiskBinomial(1,Prob_Illness_Given_Infection),0)</f>
        <v>0</v>
      </c>
      <c r="FF36" s="87">
        <f t="shared" ca="1" si="60"/>
        <v>4.9649227301039392E-5</v>
      </c>
      <c r="FG36" s="37">
        <f ca="1">INT(FF36) + _xll.RiskBinomial(1,FF36-INT(FF36))</f>
        <v>0</v>
      </c>
      <c r="FH36" s="30">
        <f t="shared" ca="1" si="26"/>
        <v>0</v>
      </c>
      <c r="FI36" s="35">
        <f ca="1">_xll.RiskBinomial(1,FH36)</f>
        <v>0</v>
      </c>
      <c r="FJ36" s="88">
        <f ca="1">IF(FI36=1,_xll.RiskBinomial(1,Prob_Illness_Given_Infection),0)</f>
        <v>0</v>
      </c>
      <c r="FL36" s="87" t="e">
        <f t="shared" ca="1" si="61"/>
        <v>#NAME?</v>
      </c>
      <c r="FM36" s="37" t="e">
        <f ca="1">INT(FL36) + _xll.RiskBinomial(1,FL36-INT(FL36))</f>
        <v>#NAME?</v>
      </c>
      <c r="FN36" s="30" t="e">
        <f t="shared" ca="1" si="27"/>
        <v>#NAME?</v>
      </c>
      <c r="FO36" s="35" t="e">
        <f ca="1">_xll.RiskBinomial(1,FN36)</f>
        <v>#VALUE!</v>
      </c>
      <c r="FP36" s="88" t="e">
        <f ca="1">IF(FO36=1,_xll.RiskBinomial(1,Prob_Illness_Given_Infection),0)</f>
        <v>#VALUE!</v>
      </c>
      <c r="FR36" s="87" t="e">
        <f t="shared" ca="1" si="62"/>
        <v>#NAME?</v>
      </c>
      <c r="FS36" s="37" t="e">
        <f ca="1">INT(FR36) + _xll.RiskBinomial(1,FR36-INT(FR36))</f>
        <v>#NAME?</v>
      </c>
      <c r="FT36" s="30" t="e">
        <f t="shared" ca="1" si="28"/>
        <v>#NAME?</v>
      </c>
      <c r="FU36" s="35" t="e">
        <f ca="1">_xll.RiskBinomial(1,FT36)</f>
        <v>#VALUE!</v>
      </c>
      <c r="FV36" s="88" t="e">
        <f ca="1">IF(FU36=1,_xll.RiskBinomial(1,Prob_Illness_Given_Infection),0)</f>
        <v>#VALUE!</v>
      </c>
      <c r="FX36" s="87">
        <f t="shared" ca="1" si="63"/>
        <v>9.9771360550037781E-8</v>
      </c>
      <c r="FY36" s="37">
        <f ca="1">INT(FX36) + _xll.RiskBinomial(1,FX36-INT(FX36))</f>
        <v>0</v>
      </c>
      <c r="FZ36" s="30">
        <f t="shared" ca="1" si="29"/>
        <v>0</v>
      </c>
      <c r="GA36" s="35">
        <f ca="1">_xll.RiskBinomial(1,FZ36)</f>
        <v>0</v>
      </c>
      <c r="GB36" s="88">
        <f ca="1">IF(GA36=1,_xll.RiskBinomial(1,Prob_Illness_Given_Infection),0)</f>
        <v>0</v>
      </c>
      <c r="GD36" s="87" t="e">
        <f t="shared" ca="1" si="64"/>
        <v>#NAME?</v>
      </c>
      <c r="GE36" s="37" t="e">
        <f ca="1">INT(GD36) + _xll.RiskBinomial(1,GD36-INT(GD36))</f>
        <v>#NAME?</v>
      </c>
      <c r="GF36" s="30" t="e">
        <f t="shared" ca="1" si="30"/>
        <v>#NAME?</v>
      </c>
      <c r="GG36" s="35" t="e">
        <f ca="1">_xll.RiskBinomial(1,GF36)</f>
        <v>#VALUE!</v>
      </c>
      <c r="GH36" s="88" t="e">
        <f ca="1">IF(GG36=1,_xll.RiskBinomial(1,Prob_Illness_Given_Infection),0)</f>
        <v>#VALUE!</v>
      </c>
      <c r="GJ36" s="87" t="e">
        <f t="shared" ca="1" si="65"/>
        <v>#NAME?</v>
      </c>
      <c r="GK36" s="37" t="e">
        <f ca="1">INT(GJ36) + _xll.RiskBinomial(1,GJ36-INT(GJ36))</f>
        <v>#NAME?</v>
      </c>
      <c r="GL36" s="30" t="e">
        <f t="shared" ca="1" si="31"/>
        <v>#NAME?</v>
      </c>
      <c r="GM36" s="35" t="e">
        <f ca="1">_xll.RiskBinomial(1,GL36)</f>
        <v>#VALUE!</v>
      </c>
      <c r="GN36" s="88" t="e">
        <f ca="1">IF(GM36=1,_xll.RiskBinomial(1,Prob_Illness_Given_Infection),0)</f>
        <v>#VALUE!</v>
      </c>
      <c r="GP36" s="87" t="e">
        <f t="shared" ca="1" si="66"/>
        <v>#NAME?</v>
      </c>
      <c r="GQ36" s="37" t="e">
        <f ca="1">INT(GP36) + _xll.RiskBinomial(1,GP36-INT(GP36))</f>
        <v>#NAME?</v>
      </c>
      <c r="GR36" s="30" t="e">
        <f t="shared" ca="1" si="32"/>
        <v>#NAME?</v>
      </c>
      <c r="GS36" s="35" t="e">
        <f ca="1">_xll.RiskBinomial(1,GR36)</f>
        <v>#VALUE!</v>
      </c>
      <c r="GT36" s="88" t="e">
        <f ca="1">IF(GS36=1,_xll.RiskBinomial(1,Prob_Illness_Given_Infection),0)</f>
        <v>#VALUE!</v>
      </c>
    </row>
    <row r="37" spans="2:202">
      <c r="B37" s="108">
        <v>29</v>
      </c>
      <c r="C37" s="87">
        <f ca="1">_xll.RiskLoglogistic(LogLogistic_gamma, LogLogistic_beta, LogLogistic_alpha, _xll.RiskTruncate(5,800))</f>
        <v>81.207537527571716</v>
      </c>
      <c r="D37" s="38">
        <f t="shared" ca="1" si="33"/>
        <v>5.2169051742557464</v>
      </c>
      <c r="E37" s="30"/>
      <c r="F37" s="87">
        <f t="shared" ca="1" si="34"/>
        <v>1.8835072240755469E-9</v>
      </c>
      <c r="G37" s="37">
        <f ca="1">INT(F37) + _xll.RiskBinomial(1,F37-INT(F37))</f>
        <v>0</v>
      </c>
      <c r="H37" s="30">
        <f t="shared" ca="1" si="0"/>
        <v>0</v>
      </c>
      <c r="I37" s="35">
        <f ca="1">_xll.RiskBinomial(1,H37)</f>
        <v>0</v>
      </c>
      <c r="J37" s="88">
        <f ca="1">IF(I37=1,_xll.RiskBinomial(1,Prob_Illness_Given_Infection),0)</f>
        <v>0</v>
      </c>
      <c r="K37" s="30"/>
      <c r="L37" s="87">
        <f t="shared" ca="1" si="35"/>
        <v>9.6204641291150245E-5</v>
      </c>
      <c r="M37" s="37">
        <f ca="1">INT(L37) + _xll.RiskBinomial(1,L37-INT(L37))</f>
        <v>0</v>
      </c>
      <c r="N37" s="30">
        <f t="shared" ca="1" si="1"/>
        <v>0</v>
      </c>
      <c r="O37" s="35">
        <f ca="1">_xll.RiskBinomial(1,N37)</f>
        <v>0</v>
      </c>
      <c r="P37" s="88">
        <f ca="1">IF(O37=1,_xll.RiskBinomial(1,Prob_Illness_Given_Infection),0)</f>
        <v>0</v>
      </c>
      <c r="Q37" s="30"/>
      <c r="R37" s="87">
        <f t="shared" ca="1" si="36"/>
        <v>9.9452290043225432E-6</v>
      </c>
      <c r="S37" s="37">
        <f ca="1">INT(R37) + _xll.RiskBinomial(1,R37-INT(R37))</f>
        <v>0</v>
      </c>
      <c r="T37" s="30">
        <f t="shared" ca="1" si="2"/>
        <v>0</v>
      </c>
      <c r="U37" s="35">
        <f ca="1">_xll.RiskBinomial(1,T37)</f>
        <v>0</v>
      </c>
      <c r="V37" s="88">
        <f ca="1">IF(U37=1,_xll.RiskBinomial(1,Prob_Illness_Given_Infection),0)</f>
        <v>0</v>
      </c>
      <c r="W37" s="30"/>
      <c r="X37" s="87">
        <f t="shared" ca="1" si="37"/>
        <v>4.0857591893094023E-12</v>
      </c>
      <c r="Y37" s="37">
        <f ca="1">INT(X37) + _xll.RiskBinomial(1,X37-INT(X37))</f>
        <v>0</v>
      </c>
      <c r="Z37" s="30">
        <f t="shared" ca="1" si="3"/>
        <v>0</v>
      </c>
      <c r="AA37" s="35">
        <f ca="1">_xll.RiskBinomial(1,Z37)</f>
        <v>0</v>
      </c>
      <c r="AB37" s="88">
        <f ca="1">IF(AA37=1,_xll.RiskBinomial(1,Prob_Illness_Given_Infection),0)</f>
        <v>0</v>
      </c>
      <c r="AC37" s="30"/>
      <c r="AD37" s="87">
        <f t="shared" ca="1" si="38"/>
        <v>2.0584778405230098E-12</v>
      </c>
      <c r="AE37" s="37">
        <f ca="1">INT(AD37) + _xll.RiskBinomial(1,AD37-INT(AD37))</f>
        <v>0</v>
      </c>
      <c r="AF37" s="30">
        <f t="shared" ca="1" si="4"/>
        <v>0</v>
      </c>
      <c r="AG37" s="35">
        <f ca="1">_xll.RiskBinomial(1,AF37)</f>
        <v>0</v>
      </c>
      <c r="AH37" s="88">
        <f ca="1">IF(AG37=1,_xll.RiskBinomial(1,Prob_Illness_Given_Infection),0)</f>
        <v>0</v>
      </c>
      <c r="AI37" s="30"/>
      <c r="AJ37" s="87">
        <f t="shared" ca="1" si="39"/>
        <v>9.5549236520236816E-5</v>
      </c>
      <c r="AK37" s="37">
        <f ca="1">INT(AJ37) + _xll.RiskBinomial(1,AJ37-INT(AJ37))</f>
        <v>0</v>
      </c>
      <c r="AL37" s="30">
        <f t="shared" ca="1" si="5"/>
        <v>0</v>
      </c>
      <c r="AM37" s="35">
        <f ca="1">_xll.RiskBinomial(1,AL37)</f>
        <v>0</v>
      </c>
      <c r="AN37" s="88">
        <f ca="1">IF(AM37=1,_xll.RiskBinomial(1,Prob_Illness_Given_Infection),0)</f>
        <v>0</v>
      </c>
      <c r="AO37" s="30"/>
      <c r="AP37" s="87">
        <f t="shared" ca="1" si="40"/>
        <v>2.3236651020464959E-9</v>
      </c>
      <c r="AQ37" s="37">
        <f ca="1">INT(AP37) + _xll.RiskBinomial(1,AP37-INT(AP37))</f>
        <v>0</v>
      </c>
      <c r="AR37" s="30">
        <f t="shared" ca="1" si="6"/>
        <v>0</v>
      </c>
      <c r="AS37" s="35">
        <f ca="1">_xll.RiskBinomial(1,AR37)</f>
        <v>0</v>
      </c>
      <c r="AT37" s="88">
        <f ca="1">IF(AS37=1,_xll.RiskBinomial(1,Prob_Illness_Given_Infection),0)</f>
        <v>0</v>
      </c>
      <c r="AU37" s="30"/>
      <c r="AV37" s="87">
        <f t="shared" ca="1" si="41"/>
        <v>5.3907820699873611E-5</v>
      </c>
      <c r="AW37" s="37">
        <f ca="1">INT(AV37) + _xll.RiskBinomial(1,AV37-INT(AV37))</f>
        <v>0</v>
      </c>
      <c r="AX37" s="30">
        <f t="shared" ca="1" si="7"/>
        <v>0</v>
      </c>
      <c r="AY37" s="35">
        <f ca="1">_xll.RiskBinomial(1,AX37)</f>
        <v>0</v>
      </c>
      <c r="AZ37" s="88">
        <f ca="1">IF(AY37=1,_xll.RiskBinomial(1,Prob_Illness_Given_Infection),0)</f>
        <v>0</v>
      </c>
      <c r="BB37" s="87">
        <f t="shared" ca="1" si="42"/>
        <v>7.3989016419394503E-5</v>
      </c>
      <c r="BC37" s="37">
        <f ca="1">INT(BB37) + _xll.RiskBinomial(1,BB37-INT(BB37))</f>
        <v>0</v>
      </c>
      <c r="BD37" s="30">
        <f t="shared" ca="1" si="8"/>
        <v>0</v>
      </c>
      <c r="BE37" s="35">
        <f ca="1">_xll.RiskBinomial(1,BD37)</f>
        <v>0</v>
      </c>
      <c r="BF37" s="88">
        <f ca="1">IF(BE37=1,_xll.RiskBinomial(1,Prob_Illness_Given_Infection),0)</f>
        <v>0</v>
      </c>
      <c r="BH37" s="87">
        <f t="shared" ca="1" si="43"/>
        <v>9.3675388074671004E-5</v>
      </c>
      <c r="BI37" s="37">
        <f ca="1">INT(BH37) + _xll.RiskBinomial(1,BH37-INT(BH37))</f>
        <v>0</v>
      </c>
      <c r="BJ37" s="30">
        <f t="shared" ca="1" si="9"/>
        <v>0</v>
      </c>
      <c r="BK37" s="35">
        <f ca="1">_xll.RiskBinomial(1,BJ37)</f>
        <v>0</v>
      </c>
      <c r="BL37" s="88">
        <f ca="1">IF(BK37=1,_xll.RiskBinomial(1,Prob_Illness_Given_Infection),0)</f>
        <v>0</v>
      </c>
      <c r="BN37" s="87">
        <f t="shared" ca="1" si="44"/>
        <v>7.1292311667359184E-6</v>
      </c>
      <c r="BO37" s="37">
        <f ca="1">INT(BN37) + _xll.RiskBinomial(1,BN37-INT(BN37))</f>
        <v>0</v>
      </c>
      <c r="BP37" s="30">
        <f t="shared" ca="1" si="10"/>
        <v>0</v>
      </c>
      <c r="BQ37" s="35">
        <f ca="1">_xll.RiskBinomial(1,BP37)</f>
        <v>0</v>
      </c>
      <c r="BR37" s="88">
        <f ca="1">IF(BQ37=1,_xll.RiskBinomial(1,Prob_Illness_Given_Infection),0)</f>
        <v>0</v>
      </c>
      <c r="BT37" s="87">
        <f t="shared" ca="1" si="45"/>
        <v>2.1437522749050805E-5</v>
      </c>
      <c r="BU37" s="37">
        <f ca="1">INT(BT37) + _xll.RiskBinomial(1,BT37-INT(BT37))</f>
        <v>0</v>
      </c>
      <c r="BV37" s="30">
        <f t="shared" ca="1" si="11"/>
        <v>0</v>
      </c>
      <c r="BW37" s="35">
        <f ca="1">_xll.RiskBinomial(1,BV37)</f>
        <v>0</v>
      </c>
      <c r="BX37" s="88">
        <f ca="1">IF(BW37=1,_xll.RiskBinomial(1,Prob_Illness_Given_Infection),0)</f>
        <v>0</v>
      </c>
      <c r="BZ37" s="87">
        <f t="shared" ca="1" si="46"/>
        <v>5.8767476255197925E-5</v>
      </c>
      <c r="CA37" s="37">
        <f ca="1">INT(BZ37) + _xll.RiskBinomial(1,BZ37-INT(BZ37))</f>
        <v>0</v>
      </c>
      <c r="CB37" s="30">
        <f t="shared" ca="1" si="12"/>
        <v>0</v>
      </c>
      <c r="CC37" s="35">
        <f ca="1">_xll.RiskBinomial(1,CB37)</f>
        <v>0</v>
      </c>
      <c r="CD37" s="88">
        <f ca="1">IF(CC37=1,_xll.RiskBinomial(1,Prob_Illness_Given_Infection),0)</f>
        <v>0</v>
      </c>
      <c r="CF37" s="87">
        <f t="shared" ca="1" si="47"/>
        <v>1.1150540402157652E-5</v>
      </c>
      <c r="CG37" s="37">
        <f ca="1">INT(CF37) + _xll.RiskBinomial(1,CF37-INT(CF37))</f>
        <v>0</v>
      </c>
      <c r="CH37" s="30">
        <f t="shared" ca="1" si="13"/>
        <v>0</v>
      </c>
      <c r="CI37" s="35">
        <f ca="1">_xll.RiskBinomial(1,CH37)</f>
        <v>0</v>
      </c>
      <c r="CJ37" s="88">
        <f ca="1">IF(CI37=1,_xll.RiskBinomial(1,Prob_Illness_Given_Infection),0)</f>
        <v>0</v>
      </c>
      <c r="CL37" s="87">
        <f t="shared" ca="1" si="48"/>
        <v>2.151742131965993E-5</v>
      </c>
      <c r="CM37" s="37">
        <f ca="1">INT(CL37) + _xll.RiskBinomial(1,CL37-INT(CL37))</f>
        <v>0</v>
      </c>
      <c r="CN37" s="30">
        <f t="shared" ca="1" si="14"/>
        <v>0</v>
      </c>
      <c r="CO37" s="35">
        <f ca="1">_xll.RiskBinomial(1,CN37)</f>
        <v>0</v>
      </c>
      <c r="CP37" s="88">
        <f ca="1">IF(CO37=1,_xll.RiskBinomial(1,Prob_Illness_Given_Infection),0)</f>
        <v>0</v>
      </c>
      <c r="CR37" s="87">
        <f t="shared" ca="1" si="49"/>
        <v>1.4829155507809158E-7</v>
      </c>
      <c r="CS37" s="37">
        <f ca="1">INT(CR37) + _xll.RiskBinomial(1,CR37-INT(CR37))</f>
        <v>0</v>
      </c>
      <c r="CT37" s="30">
        <f t="shared" ca="1" si="15"/>
        <v>0</v>
      </c>
      <c r="CU37" s="35">
        <f ca="1">_xll.RiskBinomial(1,CT37)</f>
        <v>0</v>
      </c>
      <c r="CV37" s="88">
        <f ca="1">IF(CU37=1,_xll.RiskBinomial(1,Prob_Illness_Given_Infection),0)</f>
        <v>0</v>
      </c>
      <c r="CX37" s="87">
        <f t="shared" ca="1" si="50"/>
        <v>1.5095911723986796E-9</v>
      </c>
      <c r="CY37" s="37">
        <f ca="1">INT(CX37) + _xll.RiskBinomial(1,CX37-INT(CX37))</f>
        <v>0</v>
      </c>
      <c r="CZ37" s="30">
        <f t="shared" ca="1" si="16"/>
        <v>0</v>
      </c>
      <c r="DA37" s="35">
        <f ca="1">_xll.RiskBinomial(1,CZ37)</f>
        <v>0</v>
      </c>
      <c r="DB37" s="88">
        <f ca="1">IF(DA37=1,_xll.RiskBinomial(1,Prob_Illness_Given_Infection),0)</f>
        <v>0</v>
      </c>
      <c r="DD37" s="87">
        <f t="shared" ca="1" si="51"/>
        <v>1.5095911723986796E-9</v>
      </c>
      <c r="DE37" s="37">
        <f ca="1">INT(DD37) + _xll.RiskBinomial(1,DD37-INT(DD37))</f>
        <v>0</v>
      </c>
      <c r="DF37" s="30">
        <f t="shared" ca="1" si="17"/>
        <v>0</v>
      </c>
      <c r="DG37" s="35">
        <f ca="1">_xll.RiskBinomial(1,DF37)</f>
        <v>0</v>
      </c>
      <c r="DH37" s="88">
        <f ca="1">IF(DG37=1,_xll.RiskBinomial(1,Prob_Illness_Given_Infection),0)</f>
        <v>0</v>
      </c>
      <c r="DJ37" s="87">
        <f t="shared" ca="1" si="52"/>
        <v>2.464952924414103E-6</v>
      </c>
      <c r="DK37" s="37">
        <f ca="1">INT(DJ37) + _xll.RiskBinomial(1,DJ37-INT(DJ37))</f>
        <v>0</v>
      </c>
      <c r="DL37" s="30">
        <f t="shared" ca="1" si="18"/>
        <v>0</v>
      </c>
      <c r="DM37" s="35">
        <f ca="1">_xll.RiskBinomial(1,DL37)</f>
        <v>0</v>
      </c>
      <c r="DN37" s="88">
        <f ca="1">IF(DM37=1,_xll.RiskBinomial(1,Prob_Illness_Given_Infection),0)</f>
        <v>0</v>
      </c>
      <c r="DP37" s="87">
        <f t="shared" ca="1" si="53"/>
        <v>5.8270216743228219E-10</v>
      </c>
      <c r="DQ37" s="37">
        <f ca="1">INT(DP37) + _xll.RiskBinomial(1,DP37-INT(DP37))</f>
        <v>0</v>
      </c>
      <c r="DR37" s="30">
        <f t="shared" ca="1" si="19"/>
        <v>0</v>
      </c>
      <c r="DS37" s="35">
        <f ca="1">_xll.RiskBinomial(1,DR37)</f>
        <v>0</v>
      </c>
      <c r="DT37" s="88">
        <f ca="1">IF(DS37=1,_xll.RiskBinomial(1,Prob_Illness_Given_Infection),0)</f>
        <v>0</v>
      </c>
      <c r="DV37" s="87">
        <f t="shared" ca="1" si="54"/>
        <v>8.2033158838294533E-9</v>
      </c>
      <c r="DW37" s="37">
        <f ca="1">INT(DV37) + _xll.RiskBinomial(1,DV37-INT(DV37))</f>
        <v>0</v>
      </c>
      <c r="DX37" s="30">
        <f t="shared" ca="1" si="20"/>
        <v>0</v>
      </c>
      <c r="DY37" s="35">
        <f ca="1">_xll.RiskBinomial(1,DX37)</f>
        <v>0</v>
      </c>
      <c r="DZ37" s="88">
        <f ca="1">IF(DY37=1,_xll.RiskBinomial(1,Prob_Illness_Given_Infection),0)</f>
        <v>0</v>
      </c>
      <c r="EB37" s="87">
        <f t="shared" ca="1" si="55"/>
        <v>2.0584778405223183E-12</v>
      </c>
      <c r="EC37" s="37">
        <f ca="1">INT(EB37) + _xll.RiskBinomial(1,EB37-INT(EB37))</f>
        <v>0</v>
      </c>
      <c r="ED37" s="30">
        <f t="shared" ca="1" si="21"/>
        <v>0</v>
      </c>
      <c r="EE37" s="35">
        <f ca="1">_xll.RiskBinomial(1,ED37)</f>
        <v>0</v>
      </c>
      <c r="EF37" s="88">
        <f ca="1">IF(EE37=1,_xll.RiskBinomial(1,Prob_Illness_Given_Infection),0)</f>
        <v>0</v>
      </c>
      <c r="EH37" s="87">
        <f t="shared" ca="1" si="56"/>
        <v>2.0584778405202023E-12</v>
      </c>
      <c r="EI37" s="37">
        <f ca="1">INT(EH37) + _xll.RiskBinomial(1,EH37-INT(EH37))</f>
        <v>0</v>
      </c>
      <c r="EJ37" s="30">
        <f t="shared" ca="1" si="22"/>
        <v>0</v>
      </c>
      <c r="EK37" s="35">
        <f ca="1">_xll.RiskBinomial(1,EJ37)</f>
        <v>0</v>
      </c>
      <c r="EL37" s="88">
        <f ca="1">IF(EK37=1,_xll.RiskBinomial(1,Prob_Illness_Given_Infection),0)</f>
        <v>0</v>
      </c>
      <c r="EN37" s="87">
        <f t="shared" ca="1" si="57"/>
        <v>1.8782367531394127E-10</v>
      </c>
      <c r="EO37" s="37">
        <f ca="1">INT(EN37) + _xll.RiskBinomial(1,EN37-INT(EN37))</f>
        <v>0</v>
      </c>
      <c r="EP37" s="30">
        <f t="shared" ca="1" si="23"/>
        <v>0</v>
      </c>
      <c r="EQ37" s="35">
        <f ca="1">_xll.RiskBinomial(1,EP37)</f>
        <v>0</v>
      </c>
      <c r="ER37" s="88">
        <f ca="1">IF(EQ37=1,_xll.RiskBinomial(1,Prob_Illness_Given_Infection),0)</f>
        <v>0</v>
      </c>
      <c r="ET37" s="87">
        <f t="shared" ca="1" si="58"/>
        <v>2.0584778405182394E-12</v>
      </c>
      <c r="EU37" s="37">
        <f ca="1">INT(ET37) + _xll.RiskBinomial(1,ET37-INT(ET37))</f>
        <v>0</v>
      </c>
      <c r="EV37" s="30">
        <f t="shared" ca="1" si="24"/>
        <v>0</v>
      </c>
      <c r="EW37" s="35">
        <f ca="1">_xll.RiskBinomial(1,EV37)</f>
        <v>0</v>
      </c>
      <c r="EX37" s="88">
        <f ca="1">IF(EW37=1,_xll.RiskBinomial(1,Prob_Illness_Given_Infection),0)</f>
        <v>0</v>
      </c>
      <c r="EZ37" s="87">
        <f t="shared" ca="1" si="59"/>
        <v>1.5525458675151135E-5</v>
      </c>
      <c r="FA37" s="37">
        <f ca="1">INT(EZ37) + _xll.RiskBinomial(1,EZ37-INT(EZ37))</f>
        <v>0</v>
      </c>
      <c r="FB37" s="30">
        <f t="shared" ca="1" si="25"/>
        <v>0</v>
      </c>
      <c r="FC37" s="35">
        <f ca="1">_xll.RiskBinomial(1,FB37)</f>
        <v>0</v>
      </c>
      <c r="FD37" s="88">
        <f ca="1">IF(FC37=1,_xll.RiskBinomial(1,Prob_Illness_Given_Infection),0)</f>
        <v>0</v>
      </c>
      <c r="FF37" s="87">
        <f t="shared" ca="1" si="60"/>
        <v>1.0814859991136412E-4</v>
      </c>
      <c r="FG37" s="37">
        <f ca="1">INT(FF37) + _xll.RiskBinomial(1,FF37-INT(FF37))</f>
        <v>0</v>
      </c>
      <c r="FH37" s="30">
        <f t="shared" ca="1" si="26"/>
        <v>0</v>
      </c>
      <c r="FI37" s="35">
        <f ca="1">_xll.RiskBinomial(1,FH37)</f>
        <v>0</v>
      </c>
      <c r="FJ37" s="88">
        <f ca="1">IF(FI37=1,_xll.RiskBinomial(1,Prob_Illness_Given_Infection),0)</f>
        <v>0</v>
      </c>
      <c r="FL37" s="87" t="e">
        <f t="shared" ca="1" si="61"/>
        <v>#NAME?</v>
      </c>
      <c r="FM37" s="37" t="e">
        <f ca="1">INT(FL37) + _xll.RiskBinomial(1,FL37-INT(FL37))</f>
        <v>#NAME?</v>
      </c>
      <c r="FN37" s="30" t="e">
        <f t="shared" ca="1" si="27"/>
        <v>#NAME?</v>
      </c>
      <c r="FO37" s="35" t="e">
        <f ca="1">_xll.RiskBinomial(1,FN37)</f>
        <v>#VALUE!</v>
      </c>
      <c r="FP37" s="88" t="e">
        <f ca="1">IF(FO37=1,_xll.RiskBinomial(1,Prob_Illness_Given_Infection),0)</f>
        <v>#VALUE!</v>
      </c>
      <c r="FR37" s="87" t="e">
        <f t="shared" ca="1" si="62"/>
        <v>#NAME?</v>
      </c>
      <c r="FS37" s="37" t="e">
        <f ca="1">INT(FR37) + _xll.RiskBinomial(1,FR37-INT(FR37))</f>
        <v>#NAME?</v>
      </c>
      <c r="FT37" s="30" t="e">
        <f t="shared" ca="1" si="28"/>
        <v>#NAME?</v>
      </c>
      <c r="FU37" s="35" t="e">
        <f ca="1">_xll.RiskBinomial(1,FT37)</f>
        <v>#VALUE!</v>
      </c>
      <c r="FV37" s="88" t="e">
        <f ca="1">IF(FU37=1,_xll.RiskBinomial(1,Prob_Illness_Given_Infection),0)</f>
        <v>#VALUE!</v>
      </c>
      <c r="FX37" s="87">
        <f t="shared" ca="1" si="63"/>
        <v>2.1732730882828073E-7</v>
      </c>
      <c r="FY37" s="37">
        <f ca="1">INT(FX37) + _xll.RiskBinomial(1,FX37-INT(FX37))</f>
        <v>0</v>
      </c>
      <c r="FZ37" s="30">
        <f t="shared" ca="1" si="29"/>
        <v>0</v>
      </c>
      <c r="GA37" s="35">
        <f ca="1">_xll.RiskBinomial(1,FZ37)</f>
        <v>0</v>
      </c>
      <c r="GB37" s="88">
        <f ca="1">IF(GA37=1,_xll.RiskBinomial(1,Prob_Illness_Given_Infection),0)</f>
        <v>0</v>
      </c>
      <c r="GD37" s="87" t="e">
        <f t="shared" ca="1" si="64"/>
        <v>#NAME?</v>
      </c>
      <c r="GE37" s="37" t="e">
        <f ca="1">INT(GD37) + _xll.RiskBinomial(1,GD37-INT(GD37))</f>
        <v>#NAME?</v>
      </c>
      <c r="GF37" s="30" t="e">
        <f t="shared" ca="1" si="30"/>
        <v>#NAME?</v>
      </c>
      <c r="GG37" s="35" t="e">
        <f ca="1">_xll.RiskBinomial(1,GF37)</f>
        <v>#VALUE!</v>
      </c>
      <c r="GH37" s="88" t="e">
        <f ca="1">IF(GG37=1,_xll.RiskBinomial(1,Prob_Illness_Given_Infection),0)</f>
        <v>#VALUE!</v>
      </c>
      <c r="GJ37" s="87" t="e">
        <f t="shared" ca="1" si="65"/>
        <v>#NAME?</v>
      </c>
      <c r="GK37" s="37" t="e">
        <f ca="1">INT(GJ37) + _xll.RiskBinomial(1,GJ37-INT(GJ37))</f>
        <v>#NAME?</v>
      </c>
      <c r="GL37" s="30" t="e">
        <f t="shared" ca="1" si="31"/>
        <v>#NAME?</v>
      </c>
      <c r="GM37" s="35" t="e">
        <f ca="1">_xll.RiskBinomial(1,GL37)</f>
        <v>#VALUE!</v>
      </c>
      <c r="GN37" s="88" t="e">
        <f ca="1">IF(GM37=1,_xll.RiskBinomial(1,Prob_Illness_Given_Infection),0)</f>
        <v>#VALUE!</v>
      </c>
      <c r="GP37" s="87" t="e">
        <f t="shared" ca="1" si="66"/>
        <v>#NAME?</v>
      </c>
      <c r="GQ37" s="37" t="e">
        <f ca="1">INT(GP37) + _xll.RiskBinomial(1,GP37-INT(GP37))</f>
        <v>#NAME?</v>
      </c>
      <c r="GR37" s="30" t="e">
        <f t="shared" ca="1" si="32"/>
        <v>#NAME?</v>
      </c>
      <c r="GS37" s="35" t="e">
        <f ca="1">_xll.RiskBinomial(1,GR37)</f>
        <v>#VALUE!</v>
      </c>
      <c r="GT37" s="88" t="e">
        <f ca="1">IF(GS37=1,_xll.RiskBinomial(1,Prob_Illness_Given_Infection),0)</f>
        <v>#VALUE!</v>
      </c>
    </row>
    <row r="38" spans="2:202">
      <c r="B38" s="108">
        <v>30</v>
      </c>
      <c r="C38" s="87">
        <f ca="1">_xll.RiskLoglogistic(LogLogistic_gamma, LogLogistic_beta, LogLogistic_alpha, _xll.RiskTruncate(5,800))</f>
        <v>49.087102124508561</v>
      </c>
      <c r="D38" s="38">
        <f t="shared" ca="1" si="33"/>
        <v>3.153435812231387</v>
      </c>
      <c r="E38" s="30"/>
      <c r="F38" s="87">
        <f t="shared" ca="1" si="34"/>
        <v>1.1385139147835287E-9</v>
      </c>
      <c r="G38" s="37">
        <f ca="1">INT(F38) + _xll.RiskBinomial(1,F38-INT(F38))</f>
        <v>0</v>
      </c>
      <c r="H38" s="30">
        <f t="shared" ca="1" si="0"/>
        <v>0</v>
      </c>
      <c r="I38" s="35">
        <f ca="1">_xll.RiskBinomial(1,H38)</f>
        <v>0</v>
      </c>
      <c r="J38" s="88">
        <f ca="1">IF(I38=1,_xll.RiskBinomial(1,Prob_Illness_Given_Infection),0)</f>
        <v>0</v>
      </c>
      <c r="K38" s="30"/>
      <c r="L38" s="87">
        <f t="shared" ca="1" si="35"/>
        <v>5.8152324226147674E-5</v>
      </c>
      <c r="M38" s="37">
        <f ca="1">INT(L38) + _xll.RiskBinomial(1,L38-INT(L38))</f>
        <v>0</v>
      </c>
      <c r="N38" s="30">
        <f t="shared" ca="1" si="1"/>
        <v>0</v>
      </c>
      <c r="O38" s="35">
        <f ca="1">_xll.RiskBinomial(1,N38)</f>
        <v>0</v>
      </c>
      <c r="P38" s="88">
        <f ca="1">IF(O38=1,_xll.RiskBinomial(1,Prob_Illness_Given_Infection),0)</f>
        <v>0</v>
      </c>
      <c r="Q38" s="30"/>
      <c r="R38" s="87">
        <f t="shared" ca="1" si="36"/>
        <v>6.0115413747283834E-6</v>
      </c>
      <c r="S38" s="37">
        <f ca="1">INT(R38) + _xll.RiskBinomial(1,R38-INT(R38))</f>
        <v>0</v>
      </c>
      <c r="T38" s="30">
        <f t="shared" ca="1" si="2"/>
        <v>0</v>
      </c>
      <c r="U38" s="35">
        <f ca="1">_xll.RiskBinomial(1,T38)</f>
        <v>0</v>
      </c>
      <c r="V38" s="88">
        <f ca="1">IF(U38=1,_xll.RiskBinomial(1,Prob_Illness_Given_Infection),0)</f>
        <v>0</v>
      </c>
      <c r="W38" s="30"/>
      <c r="X38" s="87">
        <f t="shared" ca="1" si="37"/>
        <v>2.4696978222457012E-12</v>
      </c>
      <c r="Y38" s="37">
        <f ca="1">INT(X38) + _xll.RiskBinomial(1,X38-INT(X38))</f>
        <v>0</v>
      </c>
      <c r="Z38" s="30">
        <f t="shared" ca="1" si="3"/>
        <v>0</v>
      </c>
      <c r="AA38" s="35">
        <f ca="1">_xll.RiskBinomial(1,Z38)</f>
        <v>0</v>
      </c>
      <c r="AB38" s="88">
        <f ca="1">IF(AA38=1,_xll.RiskBinomial(1,Prob_Illness_Given_Infection),0)</f>
        <v>0</v>
      </c>
      <c r="AC38" s="30"/>
      <c r="AD38" s="87">
        <f t="shared" ca="1" si="38"/>
        <v>1.2442775024976464E-12</v>
      </c>
      <c r="AE38" s="37">
        <f ca="1">INT(AD38) + _xll.RiskBinomial(1,AD38-INT(AD38))</f>
        <v>0</v>
      </c>
      <c r="AF38" s="30">
        <f t="shared" ca="1" si="4"/>
        <v>0</v>
      </c>
      <c r="AG38" s="35">
        <f ca="1">_xll.RiskBinomial(1,AF38)</f>
        <v>0</v>
      </c>
      <c r="AH38" s="88">
        <f ca="1">IF(AG38=1,_xll.RiskBinomial(1,Prob_Illness_Given_Infection),0)</f>
        <v>0</v>
      </c>
      <c r="AI38" s="30"/>
      <c r="AJ38" s="87">
        <f t="shared" ca="1" si="39"/>
        <v>5.7756155078526444E-5</v>
      </c>
      <c r="AK38" s="37">
        <f ca="1">INT(AJ38) + _xll.RiskBinomial(1,AJ38-INT(AJ38))</f>
        <v>0</v>
      </c>
      <c r="AL38" s="30">
        <f t="shared" ca="1" si="5"/>
        <v>0</v>
      </c>
      <c r="AM38" s="35">
        <f ca="1">_xll.RiskBinomial(1,AL38)</f>
        <v>0</v>
      </c>
      <c r="AN38" s="88">
        <f ca="1">IF(AM38=1,_xll.RiskBinomial(1,Prob_Illness_Given_Infection),0)</f>
        <v>0</v>
      </c>
      <c r="AO38" s="30"/>
      <c r="AP38" s="87">
        <f t="shared" ca="1" si="40"/>
        <v>1.4045738811940509E-9</v>
      </c>
      <c r="AQ38" s="37">
        <f ca="1">INT(AP38) + _xll.RiskBinomial(1,AP38-INT(AP38))</f>
        <v>0</v>
      </c>
      <c r="AR38" s="30">
        <f t="shared" ca="1" si="6"/>
        <v>0</v>
      </c>
      <c r="AS38" s="35">
        <f ca="1">_xll.RiskBinomial(1,AR38)</f>
        <v>0</v>
      </c>
      <c r="AT38" s="88">
        <f ca="1">IF(AS38=1,_xll.RiskBinomial(1,Prob_Illness_Given_Infection),0)</f>
        <v>0</v>
      </c>
      <c r="AU38" s="30"/>
      <c r="AV38" s="87">
        <f t="shared" ca="1" si="41"/>
        <v>3.2585382842152525E-5</v>
      </c>
      <c r="AW38" s="37">
        <f ca="1">INT(AV38) + _xll.RiskBinomial(1,AV38-INT(AV38))</f>
        <v>0</v>
      </c>
      <c r="AX38" s="30">
        <f t="shared" ca="1" si="7"/>
        <v>0</v>
      </c>
      <c r="AY38" s="35">
        <f ca="1">_xll.RiskBinomial(1,AX38)</f>
        <v>0</v>
      </c>
      <c r="AZ38" s="88">
        <f ca="1">IF(AY38=1,_xll.RiskBinomial(1,Prob_Illness_Given_Infection),0)</f>
        <v>0</v>
      </c>
      <c r="BB38" s="87">
        <f t="shared" ca="1" si="42"/>
        <v>4.4723759833717991E-5</v>
      </c>
      <c r="BC38" s="37">
        <f ca="1">INT(BB38) + _xll.RiskBinomial(1,BB38-INT(BB38))</f>
        <v>0</v>
      </c>
      <c r="BD38" s="30">
        <f t="shared" ca="1" si="8"/>
        <v>0</v>
      </c>
      <c r="BE38" s="35">
        <f ca="1">_xll.RiskBinomial(1,BD38)</f>
        <v>0</v>
      </c>
      <c r="BF38" s="88">
        <f ca="1">IF(BE38=1,_xll.RiskBinomial(1,Prob_Illness_Given_Infection),0)</f>
        <v>0</v>
      </c>
      <c r="BH38" s="87">
        <f t="shared" ca="1" si="43"/>
        <v>5.6623479555861923E-5</v>
      </c>
      <c r="BI38" s="37">
        <f ca="1">INT(BH38) + _xll.RiskBinomial(1,BH38-INT(BH38))</f>
        <v>0</v>
      </c>
      <c r="BJ38" s="30">
        <f t="shared" ca="1" si="9"/>
        <v>0</v>
      </c>
      <c r="BK38" s="35">
        <f ca="1">_xll.RiskBinomial(1,BJ38)</f>
        <v>0</v>
      </c>
      <c r="BL38" s="88">
        <f ca="1">IF(BK38=1,_xll.RiskBinomial(1,Prob_Illness_Given_Infection),0)</f>
        <v>0</v>
      </c>
      <c r="BN38" s="87">
        <f t="shared" ca="1" si="44"/>
        <v>4.3093696595833685E-6</v>
      </c>
      <c r="BO38" s="37">
        <f ca="1">INT(BN38) + _xll.RiskBinomial(1,BN38-INT(BN38))</f>
        <v>0</v>
      </c>
      <c r="BP38" s="30">
        <f t="shared" ca="1" si="10"/>
        <v>0</v>
      </c>
      <c r="BQ38" s="35">
        <f ca="1">_xll.RiskBinomial(1,BP38)</f>
        <v>0</v>
      </c>
      <c r="BR38" s="88">
        <f ca="1">IF(BQ38=1,_xll.RiskBinomial(1,Prob_Illness_Given_Infection),0)</f>
        <v>0</v>
      </c>
      <c r="BT38" s="87">
        <f t="shared" ca="1" si="45"/>
        <v>1.2958229008259877E-5</v>
      </c>
      <c r="BU38" s="37">
        <f ca="1">INT(BT38) + _xll.RiskBinomial(1,BT38-INT(BT38))</f>
        <v>0</v>
      </c>
      <c r="BV38" s="30">
        <f t="shared" ca="1" si="11"/>
        <v>0</v>
      </c>
      <c r="BW38" s="35">
        <f ca="1">_xll.RiskBinomial(1,BV38)</f>
        <v>0</v>
      </c>
      <c r="BX38" s="88">
        <f ca="1">IF(BW38=1,_xll.RiskBinomial(1,Prob_Illness_Given_Infection),0)</f>
        <v>0</v>
      </c>
      <c r="BZ38" s="87">
        <f t="shared" ca="1" si="46"/>
        <v>3.5522873816474314E-5</v>
      </c>
      <c r="CA38" s="37">
        <f ca="1">INT(BZ38) + _xll.RiskBinomial(1,BZ38-INT(BZ38))</f>
        <v>0</v>
      </c>
      <c r="CB38" s="30">
        <f t="shared" ca="1" si="12"/>
        <v>0</v>
      </c>
      <c r="CC38" s="35">
        <f ca="1">_xll.RiskBinomial(1,CB38)</f>
        <v>0</v>
      </c>
      <c r="CD38" s="88">
        <f ca="1">IF(CC38=1,_xll.RiskBinomial(1,Prob_Illness_Given_Infection),0)</f>
        <v>0</v>
      </c>
      <c r="CF38" s="87">
        <f t="shared" ca="1" si="47"/>
        <v>6.7401097500134772E-6</v>
      </c>
      <c r="CG38" s="37">
        <f ca="1">INT(CF38) + _xll.RiskBinomial(1,CF38-INT(CF38))</f>
        <v>0</v>
      </c>
      <c r="CH38" s="30">
        <f t="shared" ca="1" si="13"/>
        <v>0</v>
      </c>
      <c r="CI38" s="35">
        <f ca="1">_xll.RiskBinomial(1,CH38)</f>
        <v>0</v>
      </c>
      <c r="CJ38" s="88">
        <f ca="1">IF(CI38=1,_xll.RiskBinomial(1,Prob_Illness_Given_Infection),0)</f>
        <v>0</v>
      </c>
      <c r="CL38" s="87">
        <f t="shared" ca="1" si="48"/>
        <v>1.3006524885890212E-5</v>
      </c>
      <c r="CM38" s="37">
        <f ca="1">INT(CL38) + _xll.RiskBinomial(1,CL38-INT(CL38))</f>
        <v>0</v>
      </c>
      <c r="CN38" s="30">
        <f t="shared" ca="1" si="14"/>
        <v>0</v>
      </c>
      <c r="CO38" s="35">
        <f ca="1">_xll.RiskBinomial(1,CN38)</f>
        <v>0</v>
      </c>
      <c r="CP38" s="88">
        <f ca="1">IF(CO38=1,_xll.RiskBinomial(1,Prob_Illness_Given_Infection),0)</f>
        <v>0</v>
      </c>
      <c r="CR38" s="87">
        <f t="shared" ca="1" si="49"/>
        <v>8.9637032841305159E-8</v>
      </c>
      <c r="CS38" s="37">
        <f ca="1">INT(CR38) + _xll.RiskBinomial(1,CR38-INT(CR38))</f>
        <v>0</v>
      </c>
      <c r="CT38" s="30">
        <f t="shared" ca="1" si="15"/>
        <v>0</v>
      </c>
      <c r="CU38" s="35">
        <f ca="1">_xll.RiskBinomial(1,CT38)</f>
        <v>0</v>
      </c>
      <c r="CV38" s="88">
        <f ca="1">IF(CU38=1,_xll.RiskBinomial(1,Prob_Illness_Given_Infection),0)</f>
        <v>0</v>
      </c>
      <c r="CX38" s="87">
        <f t="shared" ca="1" si="50"/>
        <v>9.1249480407691898E-10</v>
      </c>
      <c r="CY38" s="37">
        <f ca="1">INT(CX38) + _xll.RiskBinomial(1,CX38-INT(CX38))</f>
        <v>0</v>
      </c>
      <c r="CZ38" s="30">
        <f t="shared" ca="1" si="16"/>
        <v>0</v>
      </c>
      <c r="DA38" s="35">
        <f ca="1">_xll.RiskBinomial(1,CZ38)</f>
        <v>0</v>
      </c>
      <c r="DB38" s="88">
        <f ca="1">IF(DA38=1,_xll.RiskBinomial(1,Prob_Illness_Given_Infection),0)</f>
        <v>0</v>
      </c>
      <c r="DD38" s="87">
        <f t="shared" ca="1" si="51"/>
        <v>9.1249480407691898E-10</v>
      </c>
      <c r="DE38" s="37">
        <f ca="1">INT(DD38) + _xll.RiskBinomial(1,DD38-INT(DD38))</f>
        <v>0</v>
      </c>
      <c r="DF38" s="30">
        <f t="shared" ca="1" si="17"/>
        <v>0</v>
      </c>
      <c r="DG38" s="35">
        <f ca="1">_xll.RiskBinomial(1,DF38)</f>
        <v>0</v>
      </c>
      <c r="DH38" s="88">
        <f ca="1">IF(DG38=1,_xll.RiskBinomial(1,Prob_Illness_Given_Infection),0)</f>
        <v>0</v>
      </c>
      <c r="DJ38" s="87">
        <f t="shared" ca="1" si="52"/>
        <v>1.4899774037815133E-6</v>
      </c>
      <c r="DK38" s="37">
        <f ca="1">INT(DJ38) + _xll.RiskBinomial(1,DJ38-INT(DJ38))</f>
        <v>0</v>
      </c>
      <c r="DL38" s="30">
        <f t="shared" ca="1" si="18"/>
        <v>0</v>
      </c>
      <c r="DM38" s="35">
        <f ca="1">_xll.RiskBinomial(1,DL38)</f>
        <v>0</v>
      </c>
      <c r="DN38" s="88">
        <f ca="1">IF(DM38=1,_xll.RiskBinomial(1,Prob_Illness_Given_Infection),0)</f>
        <v>0</v>
      </c>
      <c r="DP38" s="87">
        <f t="shared" ca="1" si="53"/>
        <v>3.522229791933973E-10</v>
      </c>
      <c r="DQ38" s="37">
        <f ca="1">INT(DP38) + _xll.RiskBinomial(1,DP38-INT(DP38))</f>
        <v>0</v>
      </c>
      <c r="DR38" s="30">
        <f t="shared" ca="1" si="19"/>
        <v>0</v>
      </c>
      <c r="DS38" s="35">
        <f ca="1">_xll.RiskBinomial(1,DR38)</f>
        <v>0</v>
      </c>
      <c r="DT38" s="88">
        <f ca="1">IF(DS38=1,_xll.RiskBinomial(1,Prob_Illness_Given_Infection),0)</f>
        <v>0</v>
      </c>
      <c r="DV38" s="87">
        <f t="shared" ca="1" si="54"/>
        <v>4.9586161187614142E-9</v>
      </c>
      <c r="DW38" s="37">
        <f ca="1">INT(DV38) + _xll.RiskBinomial(1,DV38-INT(DV38))</f>
        <v>0</v>
      </c>
      <c r="DX38" s="30">
        <f t="shared" ca="1" si="20"/>
        <v>0</v>
      </c>
      <c r="DY38" s="35">
        <f ca="1">_xll.RiskBinomial(1,DX38)</f>
        <v>0</v>
      </c>
      <c r="DZ38" s="88">
        <f ca="1">IF(DY38=1,_xll.RiskBinomial(1,Prob_Illness_Given_Infection),0)</f>
        <v>0</v>
      </c>
      <c r="EB38" s="87">
        <f t="shared" ca="1" si="55"/>
        <v>1.2442775024972284E-12</v>
      </c>
      <c r="EC38" s="37">
        <f ca="1">INT(EB38) + _xll.RiskBinomial(1,EB38-INT(EB38))</f>
        <v>0</v>
      </c>
      <c r="ED38" s="30">
        <f t="shared" ca="1" si="21"/>
        <v>0</v>
      </c>
      <c r="EE38" s="35">
        <f ca="1">_xll.RiskBinomial(1,ED38)</f>
        <v>0</v>
      </c>
      <c r="EF38" s="88">
        <f ca="1">IF(EE38=1,_xll.RiskBinomial(1,Prob_Illness_Given_Infection),0)</f>
        <v>0</v>
      </c>
      <c r="EH38" s="87">
        <f t="shared" ca="1" si="56"/>
        <v>1.2442775024959492E-12</v>
      </c>
      <c r="EI38" s="37">
        <f ca="1">INT(EH38) + _xll.RiskBinomial(1,EH38-INT(EH38))</f>
        <v>0</v>
      </c>
      <c r="EJ38" s="30">
        <f t="shared" ca="1" si="22"/>
        <v>0</v>
      </c>
      <c r="EK38" s="35">
        <f ca="1">_xll.RiskBinomial(1,EJ38)</f>
        <v>0</v>
      </c>
      <c r="EL38" s="88">
        <f ca="1">IF(EK38=1,_xll.RiskBinomial(1,Prob_Illness_Given_Infection),0)</f>
        <v>0</v>
      </c>
      <c r="EN38" s="87">
        <f t="shared" ca="1" si="57"/>
        <v>1.1353281003509901E-10</v>
      </c>
      <c r="EO38" s="37">
        <f ca="1">INT(EN38) + _xll.RiskBinomial(1,EN38-INT(EN38))</f>
        <v>0</v>
      </c>
      <c r="EP38" s="30">
        <f t="shared" ca="1" si="23"/>
        <v>0</v>
      </c>
      <c r="EQ38" s="35">
        <f ca="1">_xll.RiskBinomial(1,EP38)</f>
        <v>0</v>
      </c>
      <c r="ER38" s="88">
        <f ca="1">IF(EQ38=1,_xll.RiskBinomial(1,Prob_Illness_Given_Infection),0)</f>
        <v>0</v>
      </c>
      <c r="ET38" s="87">
        <f t="shared" ca="1" si="58"/>
        <v>1.2442775024947628E-12</v>
      </c>
      <c r="EU38" s="37">
        <f ca="1">INT(ET38) + _xll.RiskBinomial(1,ET38-INT(ET38))</f>
        <v>0</v>
      </c>
      <c r="EV38" s="30">
        <f t="shared" ca="1" si="24"/>
        <v>0</v>
      </c>
      <c r="EW38" s="35">
        <f ca="1">_xll.RiskBinomial(1,EV38)</f>
        <v>0</v>
      </c>
      <c r="EX38" s="88">
        <f ca="1">IF(EW38=1,_xll.RiskBinomial(1,Prob_Illness_Given_Infection),0)</f>
        <v>0</v>
      </c>
      <c r="EZ38" s="87">
        <f t="shared" ca="1" si="59"/>
        <v>9.3845940748816802E-6</v>
      </c>
      <c r="FA38" s="37">
        <f ca="1">INT(EZ38) + _xll.RiskBinomial(1,EZ38-INT(EZ38))</f>
        <v>0</v>
      </c>
      <c r="FB38" s="30">
        <f t="shared" ca="1" si="25"/>
        <v>0</v>
      </c>
      <c r="FC38" s="35">
        <f ca="1">_xll.RiskBinomial(1,FB38)</f>
        <v>0</v>
      </c>
      <c r="FD38" s="88">
        <f ca="1">IF(FC38=1,_xll.RiskBinomial(1,Prob_Illness_Given_Infection),0)</f>
        <v>0</v>
      </c>
      <c r="FF38" s="87">
        <f t="shared" ca="1" si="60"/>
        <v>6.5372027401635333E-5</v>
      </c>
      <c r="FG38" s="37">
        <f ca="1">INT(FF38) + _xll.RiskBinomial(1,FF38-INT(FF38))</f>
        <v>0</v>
      </c>
      <c r="FH38" s="30">
        <f t="shared" ca="1" si="26"/>
        <v>0</v>
      </c>
      <c r="FI38" s="35">
        <f ca="1">_xll.RiskBinomial(1,FH38)</f>
        <v>0</v>
      </c>
      <c r="FJ38" s="88">
        <f ca="1">IF(FI38=1,_xll.RiskBinomial(1,Prob_Illness_Given_Infection),0)</f>
        <v>0</v>
      </c>
      <c r="FL38" s="87" t="e">
        <f t="shared" ca="1" si="61"/>
        <v>#NAME?</v>
      </c>
      <c r="FM38" s="37" t="e">
        <f ca="1">INT(FL38) + _xll.RiskBinomial(1,FL38-INT(FL38))</f>
        <v>#NAME?</v>
      </c>
      <c r="FN38" s="30" t="e">
        <f t="shared" ca="1" si="27"/>
        <v>#NAME?</v>
      </c>
      <c r="FO38" s="35" t="e">
        <f ca="1">_xll.RiskBinomial(1,FN38)</f>
        <v>#VALUE!</v>
      </c>
      <c r="FP38" s="88" t="e">
        <f ca="1">IF(FO38=1,_xll.RiskBinomial(1,Prob_Illness_Given_Infection),0)</f>
        <v>#VALUE!</v>
      </c>
      <c r="FR38" s="87" t="e">
        <f t="shared" ca="1" si="62"/>
        <v>#NAME?</v>
      </c>
      <c r="FS38" s="37" t="e">
        <f ca="1">INT(FR38) + _xll.RiskBinomial(1,FR38-INT(FR38))</f>
        <v>#NAME?</v>
      </c>
      <c r="FT38" s="30" t="e">
        <f t="shared" ca="1" si="28"/>
        <v>#NAME?</v>
      </c>
      <c r="FU38" s="35" t="e">
        <f ca="1">_xll.RiskBinomial(1,FT38)</f>
        <v>#VALUE!</v>
      </c>
      <c r="FV38" s="88" t="e">
        <f ca="1">IF(FU38=1,_xll.RiskBinomial(1,Prob_Illness_Given_Infection),0)</f>
        <v>#VALUE!</v>
      </c>
      <c r="FX38" s="87">
        <f t="shared" ca="1" si="63"/>
        <v>1.3136671949049584E-7</v>
      </c>
      <c r="FY38" s="37">
        <f ca="1">INT(FX38) + _xll.RiskBinomial(1,FX38-INT(FX38))</f>
        <v>0</v>
      </c>
      <c r="FZ38" s="30">
        <f t="shared" ca="1" si="29"/>
        <v>0</v>
      </c>
      <c r="GA38" s="35">
        <f ca="1">_xll.RiskBinomial(1,FZ38)</f>
        <v>0</v>
      </c>
      <c r="GB38" s="88">
        <f ca="1">IF(GA38=1,_xll.RiskBinomial(1,Prob_Illness_Given_Infection),0)</f>
        <v>0</v>
      </c>
      <c r="GD38" s="87" t="e">
        <f t="shared" ca="1" si="64"/>
        <v>#NAME?</v>
      </c>
      <c r="GE38" s="37" t="e">
        <f ca="1">INT(GD38) + _xll.RiskBinomial(1,GD38-INT(GD38))</f>
        <v>#NAME?</v>
      </c>
      <c r="GF38" s="30" t="e">
        <f t="shared" ca="1" si="30"/>
        <v>#NAME?</v>
      </c>
      <c r="GG38" s="35" t="e">
        <f ca="1">_xll.RiskBinomial(1,GF38)</f>
        <v>#VALUE!</v>
      </c>
      <c r="GH38" s="88" t="e">
        <f ca="1">IF(GG38=1,_xll.RiskBinomial(1,Prob_Illness_Given_Infection),0)</f>
        <v>#VALUE!</v>
      </c>
      <c r="GJ38" s="87" t="e">
        <f t="shared" ca="1" si="65"/>
        <v>#NAME?</v>
      </c>
      <c r="GK38" s="37" t="e">
        <f ca="1">INT(GJ38) + _xll.RiskBinomial(1,GJ38-INT(GJ38))</f>
        <v>#NAME?</v>
      </c>
      <c r="GL38" s="30" t="e">
        <f t="shared" ca="1" si="31"/>
        <v>#NAME?</v>
      </c>
      <c r="GM38" s="35" t="e">
        <f ca="1">_xll.RiskBinomial(1,GL38)</f>
        <v>#VALUE!</v>
      </c>
      <c r="GN38" s="88" t="e">
        <f ca="1">IF(GM38=1,_xll.RiskBinomial(1,Prob_Illness_Given_Infection),0)</f>
        <v>#VALUE!</v>
      </c>
      <c r="GP38" s="87" t="e">
        <f t="shared" ca="1" si="66"/>
        <v>#NAME?</v>
      </c>
      <c r="GQ38" s="37" t="e">
        <f ca="1">INT(GP38) + _xll.RiskBinomial(1,GP38-INT(GP38))</f>
        <v>#NAME?</v>
      </c>
      <c r="GR38" s="30" t="e">
        <f t="shared" ca="1" si="32"/>
        <v>#NAME?</v>
      </c>
      <c r="GS38" s="35" t="e">
        <f ca="1">_xll.RiskBinomial(1,GR38)</f>
        <v>#VALUE!</v>
      </c>
      <c r="GT38" s="88" t="e">
        <f ca="1">IF(GS38=1,_xll.RiskBinomial(1,Prob_Illness_Given_Infection),0)</f>
        <v>#VALUE!</v>
      </c>
    </row>
    <row r="39" spans="2:202">
      <c r="B39" s="108">
        <v>31</v>
      </c>
      <c r="C39" s="87">
        <f ca="1">_xll.RiskLoglogistic(LogLogistic_gamma, LogLogistic_beta, LogLogistic_alpha, _xll.RiskTruncate(5,800))</f>
        <v>57.292145703283779</v>
      </c>
      <c r="D39" s="38">
        <f t="shared" ca="1" si="33"/>
        <v>3.6805412460905669</v>
      </c>
      <c r="E39" s="30"/>
      <c r="F39" s="87">
        <f t="shared" ca="1" si="34"/>
        <v>1.32881963424006E-9</v>
      </c>
      <c r="G39" s="37">
        <f ca="1">INT(F39) + _xll.RiskBinomial(1,F39-INT(F39))</f>
        <v>0</v>
      </c>
      <c r="H39" s="30">
        <f t="shared" ca="1" si="0"/>
        <v>0</v>
      </c>
      <c r="I39" s="35">
        <f ca="1">_xll.RiskBinomial(1,H39)</f>
        <v>0</v>
      </c>
      <c r="J39" s="88">
        <f ca="1">IF(I39=1,_xll.RiskBinomial(1,Prob_Illness_Given_Infection),0)</f>
        <v>0</v>
      </c>
      <c r="K39" s="30"/>
      <c r="L39" s="87">
        <f t="shared" ca="1" si="35"/>
        <v>6.7872644510534071E-5</v>
      </c>
      <c r="M39" s="37">
        <f ca="1">INT(L39) + _xll.RiskBinomial(1,L39-INT(L39))</f>
        <v>0</v>
      </c>
      <c r="N39" s="30">
        <f t="shared" ca="1" si="1"/>
        <v>0</v>
      </c>
      <c r="O39" s="35">
        <f ca="1">_xll.RiskBinomial(1,N39)</f>
        <v>0</v>
      </c>
      <c r="P39" s="88">
        <f ca="1">IF(O39=1,_xll.RiskBinomial(1,Prob_Illness_Given_Infection),0)</f>
        <v>0</v>
      </c>
      <c r="Q39" s="30"/>
      <c r="R39" s="87">
        <f t="shared" ca="1" si="36"/>
        <v>7.0163869822393908E-6</v>
      </c>
      <c r="S39" s="37">
        <f ca="1">INT(R39) + _xll.RiskBinomial(1,R39-INT(R39))</f>
        <v>0</v>
      </c>
      <c r="T39" s="30">
        <f t="shared" ca="1" si="2"/>
        <v>0</v>
      </c>
      <c r="U39" s="35">
        <f ca="1">_xll.RiskBinomial(1,T39)</f>
        <v>0</v>
      </c>
      <c r="V39" s="88">
        <f ca="1">IF(U39=1,_xll.RiskBinomial(1,Prob_Illness_Given_Infection),0)</f>
        <v>0</v>
      </c>
      <c r="W39" s="30"/>
      <c r="X39" s="87">
        <f t="shared" ca="1" si="37"/>
        <v>2.8825145781937914E-12</v>
      </c>
      <c r="Y39" s="37">
        <f ca="1">INT(X39) + _xll.RiskBinomial(1,X39-INT(X39))</f>
        <v>0</v>
      </c>
      <c r="Z39" s="30">
        <f t="shared" ca="1" si="3"/>
        <v>0</v>
      </c>
      <c r="AA39" s="35">
        <f ca="1">_xll.RiskBinomial(1,Z39)</f>
        <v>0</v>
      </c>
      <c r="AB39" s="88">
        <f ca="1">IF(AA39=1,_xll.RiskBinomial(1,Prob_Illness_Given_Infection),0)</f>
        <v>0</v>
      </c>
      <c r="AC39" s="30"/>
      <c r="AD39" s="87">
        <f t="shared" ca="1" si="38"/>
        <v>1.4522618953466464E-12</v>
      </c>
      <c r="AE39" s="37">
        <f ca="1">INT(AD39) + _xll.RiskBinomial(1,AD39-INT(AD39))</f>
        <v>0</v>
      </c>
      <c r="AF39" s="30">
        <f t="shared" ca="1" si="4"/>
        <v>0</v>
      </c>
      <c r="AG39" s="35">
        <f ca="1">_xll.RiskBinomial(1,AF39)</f>
        <v>0</v>
      </c>
      <c r="AH39" s="88">
        <f ca="1">IF(AG39=1,_xll.RiskBinomial(1,Prob_Illness_Given_Infection),0)</f>
        <v>0</v>
      </c>
      <c r="AI39" s="30"/>
      <c r="AJ39" s="87">
        <f t="shared" ca="1" si="39"/>
        <v>6.7410254604707292E-5</v>
      </c>
      <c r="AK39" s="37">
        <f ca="1">INT(AJ39) + _xll.RiskBinomial(1,AJ39-INT(AJ39))</f>
        <v>0</v>
      </c>
      <c r="AL39" s="30">
        <f t="shared" ca="1" si="5"/>
        <v>0</v>
      </c>
      <c r="AM39" s="35">
        <f ca="1">_xll.RiskBinomial(1,AL39)</f>
        <v>0</v>
      </c>
      <c r="AN39" s="88">
        <f ca="1">IF(AM39=1,_xll.RiskBinomial(1,Prob_Illness_Given_Infection),0)</f>
        <v>0</v>
      </c>
      <c r="AO39" s="30"/>
      <c r="AP39" s="87">
        <f t="shared" ca="1" si="40"/>
        <v>1.639352252823623E-9</v>
      </c>
      <c r="AQ39" s="37">
        <f ca="1">INT(AP39) + _xll.RiskBinomial(1,AP39-INT(AP39))</f>
        <v>0</v>
      </c>
      <c r="AR39" s="30">
        <f t="shared" ca="1" si="6"/>
        <v>0</v>
      </c>
      <c r="AS39" s="35">
        <f ca="1">_xll.RiskBinomial(1,AR39)</f>
        <v>0</v>
      </c>
      <c r="AT39" s="88">
        <f ca="1">IF(AS39=1,_xll.RiskBinomial(1,Prob_Illness_Given_Infection),0)</f>
        <v>0</v>
      </c>
      <c r="AU39" s="30"/>
      <c r="AV39" s="87">
        <f t="shared" ca="1" si="41"/>
        <v>3.8032118841616714E-5</v>
      </c>
      <c r="AW39" s="37">
        <f ca="1">INT(AV39) + _xll.RiskBinomial(1,AV39-INT(AV39))</f>
        <v>0</v>
      </c>
      <c r="AX39" s="30">
        <f t="shared" ca="1" si="7"/>
        <v>0</v>
      </c>
      <c r="AY39" s="35">
        <f ca="1">_xll.RiskBinomial(1,AX39)</f>
        <v>0</v>
      </c>
      <c r="AZ39" s="88">
        <f ca="1">IF(AY39=1,_xll.RiskBinomial(1,Prob_Illness_Given_Infection),0)</f>
        <v>0</v>
      </c>
      <c r="BB39" s="87">
        <f t="shared" ca="1" si="42"/>
        <v>5.2199458796584945E-5</v>
      </c>
      <c r="BC39" s="37">
        <f ca="1">INT(BB39) + _xll.RiskBinomial(1,BB39-INT(BB39))</f>
        <v>0</v>
      </c>
      <c r="BD39" s="30">
        <f t="shared" ca="1" si="8"/>
        <v>0</v>
      </c>
      <c r="BE39" s="35">
        <f ca="1">_xll.RiskBinomial(1,BD39)</f>
        <v>0</v>
      </c>
      <c r="BF39" s="88">
        <f ca="1">IF(BE39=1,_xll.RiskBinomial(1,Prob_Illness_Given_Infection),0)</f>
        <v>0</v>
      </c>
      <c r="BH39" s="87">
        <f t="shared" ca="1" si="43"/>
        <v>6.6088249265821371E-5</v>
      </c>
      <c r="BI39" s="37">
        <f ca="1">INT(BH39) + _xll.RiskBinomial(1,BH39-INT(BH39))</f>
        <v>0</v>
      </c>
      <c r="BJ39" s="30">
        <f t="shared" ca="1" si="9"/>
        <v>0</v>
      </c>
      <c r="BK39" s="35">
        <f ca="1">_xll.RiskBinomial(1,BJ39)</f>
        <v>0</v>
      </c>
      <c r="BL39" s="88">
        <f ca="1">IF(BK39=1,_xll.RiskBinomial(1,Prob_Illness_Given_Infection),0)</f>
        <v>0</v>
      </c>
      <c r="BN39" s="87">
        <f t="shared" ca="1" si="44"/>
        <v>5.0296926023443184E-6</v>
      </c>
      <c r="BO39" s="37">
        <f ca="1">INT(BN39) + _xll.RiskBinomial(1,BN39-INT(BN39))</f>
        <v>0</v>
      </c>
      <c r="BP39" s="30">
        <f t="shared" ca="1" si="10"/>
        <v>0</v>
      </c>
      <c r="BQ39" s="35">
        <f ca="1">_xll.RiskBinomial(1,BP39)</f>
        <v>0</v>
      </c>
      <c r="BR39" s="88">
        <f ca="1">IF(BQ39=1,_xll.RiskBinomial(1,Prob_Illness_Given_Infection),0)</f>
        <v>0</v>
      </c>
      <c r="BT39" s="87">
        <f t="shared" ca="1" si="45"/>
        <v>1.5124232481979622E-5</v>
      </c>
      <c r="BU39" s="37">
        <f ca="1">INT(BT39) + _xll.RiskBinomial(1,BT39-INT(BT39))</f>
        <v>0</v>
      </c>
      <c r="BV39" s="30">
        <f t="shared" ca="1" si="11"/>
        <v>0</v>
      </c>
      <c r="BW39" s="35">
        <f ca="1">_xll.RiskBinomial(1,BV39)</f>
        <v>0</v>
      </c>
      <c r="BX39" s="88">
        <f ca="1">IF(BW39=1,_xll.RiskBinomial(1,Prob_Illness_Given_Infection),0)</f>
        <v>0</v>
      </c>
      <c r="BZ39" s="87">
        <f t="shared" ca="1" si="46"/>
        <v>4.1460619478628184E-5</v>
      </c>
      <c r="CA39" s="37">
        <f ca="1">INT(BZ39) + _xll.RiskBinomial(1,BZ39-INT(BZ39))</f>
        <v>0</v>
      </c>
      <c r="CB39" s="30">
        <f t="shared" ca="1" si="12"/>
        <v>0</v>
      </c>
      <c r="CC39" s="35">
        <f ca="1">_xll.RiskBinomial(1,CB39)</f>
        <v>0</v>
      </c>
      <c r="CD39" s="88">
        <f ca="1">IF(CC39=1,_xll.RiskBinomial(1,Prob_Illness_Given_Infection),0)</f>
        <v>0</v>
      </c>
      <c r="CF39" s="87">
        <f t="shared" ca="1" si="47"/>
        <v>7.8667375571370984E-6</v>
      </c>
      <c r="CG39" s="37">
        <f ca="1">INT(CF39) + _xll.RiskBinomial(1,CF39-INT(CF39))</f>
        <v>0</v>
      </c>
      <c r="CH39" s="30">
        <f t="shared" ca="1" si="13"/>
        <v>0</v>
      </c>
      <c r="CI39" s="35">
        <f ca="1">_xll.RiskBinomial(1,CH39)</f>
        <v>0</v>
      </c>
      <c r="CJ39" s="88">
        <f ca="1">IF(CI39=1,_xll.RiskBinomial(1,Prob_Illness_Given_Infection),0)</f>
        <v>0</v>
      </c>
      <c r="CL39" s="87">
        <f t="shared" ca="1" si="48"/>
        <v>1.5180601147847222E-5</v>
      </c>
      <c r="CM39" s="37">
        <f ca="1">INT(CL39) + _xll.RiskBinomial(1,CL39-INT(CL39))</f>
        <v>0</v>
      </c>
      <c r="CN39" s="30">
        <f t="shared" ca="1" si="14"/>
        <v>0</v>
      </c>
      <c r="CO39" s="35">
        <f ca="1">_xll.RiskBinomial(1,CN39)</f>
        <v>0</v>
      </c>
      <c r="CP39" s="88">
        <f ca="1">IF(CO39=1,_xll.RiskBinomial(1,Prob_Illness_Given_Infection),0)</f>
        <v>0</v>
      </c>
      <c r="CR39" s="87">
        <f t="shared" ca="1" si="49"/>
        <v>1.0462010841316298E-7</v>
      </c>
      <c r="CS39" s="37">
        <f ca="1">INT(CR39) + _xll.RiskBinomial(1,CR39-INT(CR39))</f>
        <v>0</v>
      </c>
      <c r="CT39" s="30">
        <f t="shared" ca="1" si="15"/>
        <v>0</v>
      </c>
      <c r="CU39" s="35">
        <f ca="1">_xll.RiskBinomial(1,CT39)</f>
        <v>0</v>
      </c>
      <c r="CV39" s="88">
        <f ca="1">IF(CU39=1,_xll.RiskBinomial(1,Prob_Illness_Given_Infection),0)</f>
        <v>0</v>
      </c>
      <c r="CX39" s="87">
        <f t="shared" ca="1" si="50"/>
        <v>1.0650208100706377E-9</v>
      </c>
      <c r="CY39" s="37">
        <f ca="1">INT(CX39) + _xll.RiskBinomial(1,CX39-INT(CX39))</f>
        <v>0</v>
      </c>
      <c r="CZ39" s="30">
        <f t="shared" ca="1" si="16"/>
        <v>0</v>
      </c>
      <c r="DA39" s="35">
        <f ca="1">_xll.RiskBinomial(1,CZ39)</f>
        <v>0</v>
      </c>
      <c r="DB39" s="88">
        <f ca="1">IF(DA39=1,_xll.RiskBinomial(1,Prob_Illness_Given_Infection),0)</f>
        <v>0</v>
      </c>
      <c r="DD39" s="87">
        <f t="shared" ca="1" si="51"/>
        <v>1.0650208100706377E-9</v>
      </c>
      <c r="DE39" s="37">
        <f ca="1">INT(DD39) + _xll.RiskBinomial(1,DD39-INT(DD39))</f>
        <v>0</v>
      </c>
      <c r="DF39" s="30">
        <f t="shared" ca="1" si="17"/>
        <v>0</v>
      </c>
      <c r="DG39" s="35">
        <f ca="1">_xll.RiskBinomial(1,DF39)</f>
        <v>0</v>
      </c>
      <c r="DH39" s="88">
        <f ca="1">IF(DG39=1,_xll.RiskBinomial(1,Prob_Illness_Given_Infection),0)</f>
        <v>0</v>
      </c>
      <c r="DJ39" s="87">
        <f t="shared" ca="1" si="52"/>
        <v>1.7390312081476447E-6</v>
      </c>
      <c r="DK39" s="37">
        <f ca="1">INT(DJ39) + _xll.RiskBinomial(1,DJ39-INT(DJ39))</f>
        <v>0</v>
      </c>
      <c r="DL39" s="30">
        <f t="shared" ca="1" si="18"/>
        <v>0</v>
      </c>
      <c r="DM39" s="35">
        <f ca="1">_xll.RiskBinomial(1,DL39)</f>
        <v>0</v>
      </c>
      <c r="DN39" s="88">
        <f ca="1">IF(DM39=1,_xll.RiskBinomial(1,Prob_Illness_Given_Infection),0)</f>
        <v>0</v>
      </c>
      <c r="DP39" s="87">
        <f t="shared" ca="1" si="53"/>
        <v>4.1109801496954508E-10</v>
      </c>
      <c r="DQ39" s="37">
        <f ca="1">INT(DP39) + _xll.RiskBinomial(1,DP39-INT(DP39))</f>
        <v>0</v>
      </c>
      <c r="DR39" s="30">
        <f t="shared" ca="1" si="19"/>
        <v>0</v>
      </c>
      <c r="DS39" s="35">
        <f ca="1">_xll.RiskBinomial(1,DR39)</f>
        <v>0</v>
      </c>
      <c r="DT39" s="88">
        <f ca="1">IF(DS39=1,_xll.RiskBinomial(1,Prob_Illness_Given_Infection),0)</f>
        <v>0</v>
      </c>
      <c r="DV39" s="87">
        <f t="shared" ca="1" si="54"/>
        <v>5.7874623855802659E-9</v>
      </c>
      <c r="DW39" s="37">
        <f ca="1">INT(DV39) + _xll.RiskBinomial(1,DV39-INT(DV39))</f>
        <v>0</v>
      </c>
      <c r="DX39" s="30">
        <f t="shared" ca="1" si="20"/>
        <v>0</v>
      </c>
      <c r="DY39" s="35">
        <f ca="1">_xll.RiskBinomial(1,DX39)</f>
        <v>0</v>
      </c>
      <c r="DZ39" s="88">
        <f ca="1">IF(DY39=1,_xll.RiskBinomial(1,Prob_Illness_Given_Infection),0)</f>
        <v>0</v>
      </c>
      <c r="EB39" s="87">
        <f t="shared" ca="1" si="55"/>
        <v>1.4522618953461587E-12</v>
      </c>
      <c r="EC39" s="37">
        <f ca="1">INT(EB39) + _xll.RiskBinomial(1,EB39-INT(EB39))</f>
        <v>0</v>
      </c>
      <c r="ED39" s="30">
        <f t="shared" ca="1" si="21"/>
        <v>0</v>
      </c>
      <c r="EE39" s="35">
        <f ca="1">_xll.RiskBinomial(1,ED39)</f>
        <v>0</v>
      </c>
      <c r="EF39" s="88">
        <f ca="1">IF(EE39=1,_xll.RiskBinomial(1,Prob_Illness_Given_Infection),0)</f>
        <v>0</v>
      </c>
      <c r="EH39" s="87">
        <f t="shared" ca="1" si="56"/>
        <v>1.4522618953446659E-12</v>
      </c>
      <c r="EI39" s="37">
        <f ca="1">INT(EH39) + _xll.RiskBinomial(1,EH39-INT(EH39))</f>
        <v>0</v>
      </c>
      <c r="EJ39" s="30">
        <f t="shared" ca="1" si="22"/>
        <v>0</v>
      </c>
      <c r="EK39" s="35">
        <f ca="1">_xll.RiskBinomial(1,EJ39)</f>
        <v>0</v>
      </c>
      <c r="EL39" s="88">
        <f ca="1">IF(EK39=1,_xll.RiskBinomial(1,Prob_Illness_Given_Infection),0)</f>
        <v>0</v>
      </c>
      <c r="EN39" s="87">
        <f t="shared" ca="1" si="57"/>
        <v>1.3251013021985866E-10</v>
      </c>
      <c r="EO39" s="37">
        <f ca="1">INT(EN39) + _xll.RiskBinomial(1,EN39-INT(EN39))</f>
        <v>0</v>
      </c>
      <c r="EP39" s="30">
        <f t="shared" ca="1" si="23"/>
        <v>0</v>
      </c>
      <c r="EQ39" s="35">
        <f ca="1">_xll.RiskBinomial(1,EP39)</f>
        <v>0</v>
      </c>
      <c r="ER39" s="88">
        <f ca="1">IF(EQ39=1,_xll.RiskBinomial(1,Prob_Illness_Given_Infection),0)</f>
        <v>0</v>
      </c>
      <c r="ET39" s="87">
        <f t="shared" ca="1" si="58"/>
        <v>1.4522618953432809E-12</v>
      </c>
      <c r="EU39" s="37">
        <f ca="1">INT(ET39) + _xll.RiskBinomial(1,ET39-INT(ET39))</f>
        <v>0</v>
      </c>
      <c r="EV39" s="30">
        <f t="shared" ca="1" si="24"/>
        <v>0</v>
      </c>
      <c r="EW39" s="35">
        <f ca="1">_xll.RiskBinomial(1,EV39)</f>
        <v>0</v>
      </c>
      <c r="EX39" s="88">
        <f ca="1">IF(EW39=1,_xll.RiskBinomial(1,Prob_Illness_Given_Infection),0)</f>
        <v>0</v>
      </c>
      <c r="EZ39" s="87">
        <f t="shared" ca="1" si="59"/>
        <v>1.0953254680639344E-5</v>
      </c>
      <c r="FA39" s="37">
        <f ca="1">INT(EZ39) + _xll.RiskBinomial(1,EZ39-INT(EZ39))</f>
        <v>0</v>
      </c>
      <c r="FB39" s="30">
        <f t="shared" ca="1" si="25"/>
        <v>0</v>
      </c>
      <c r="FC39" s="35">
        <f ca="1">_xll.RiskBinomial(1,FB39)</f>
        <v>0</v>
      </c>
      <c r="FD39" s="88">
        <f ca="1">IF(FC39=1,_xll.RiskBinomial(1,Prob_Illness_Given_Infection),0)</f>
        <v>0</v>
      </c>
      <c r="FF39" s="87">
        <f t="shared" ca="1" si="60"/>
        <v>7.6299140847908582E-5</v>
      </c>
      <c r="FG39" s="37">
        <f ca="1">INT(FF39) + _xll.RiskBinomial(1,FF39-INT(FF39))</f>
        <v>0</v>
      </c>
      <c r="FH39" s="30">
        <f t="shared" ca="1" si="26"/>
        <v>0</v>
      </c>
      <c r="FI39" s="35">
        <f ca="1">_xll.RiskBinomial(1,FH39)</f>
        <v>0</v>
      </c>
      <c r="FJ39" s="88">
        <f ca="1">IF(FI39=1,_xll.RiskBinomial(1,Prob_Illness_Given_Infection),0)</f>
        <v>0</v>
      </c>
      <c r="FL39" s="87" t="e">
        <f t="shared" ca="1" si="61"/>
        <v>#NAME?</v>
      </c>
      <c r="FM39" s="37" t="e">
        <f ca="1">INT(FL39) + _xll.RiskBinomial(1,FL39-INT(FL39))</f>
        <v>#NAME?</v>
      </c>
      <c r="FN39" s="30" t="e">
        <f t="shared" ca="1" si="27"/>
        <v>#NAME?</v>
      </c>
      <c r="FO39" s="35" t="e">
        <f ca="1">_xll.RiskBinomial(1,FN39)</f>
        <v>#VALUE!</v>
      </c>
      <c r="FP39" s="88" t="e">
        <f ca="1">IF(FO39=1,_xll.RiskBinomial(1,Prob_Illness_Given_Infection),0)</f>
        <v>#VALUE!</v>
      </c>
      <c r="FR39" s="87" t="e">
        <f t="shared" ca="1" si="62"/>
        <v>#NAME?</v>
      </c>
      <c r="FS39" s="37" t="e">
        <f ca="1">INT(FR39) + _xll.RiskBinomial(1,FR39-INT(FR39))</f>
        <v>#NAME?</v>
      </c>
      <c r="FT39" s="30" t="e">
        <f t="shared" ca="1" si="28"/>
        <v>#NAME?</v>
      </c>
      <c r="FU39" s="35" t="e">
        <f ca="1">_xll.RiskBinomial(1,FT39)</f>
        <v>#VALUE!</v>
      </c>
      <c r="FV39" s="88" t="e">
        <f ca="1">IF(FU39=1,_xll.RiskBinomial(1,Prob_Illness_Given_Infection),0)</f>
        <v>#VALUE!</v>
      </c>
      <c r="FX39" s="87">
        <f t="shared" ca="1" si="63"/>
        <v>1.5332502649110591E-7</v>
      </c>
      <c r="FY39" s="37">
        <f ca="1">INT(FX39) + _xll.RiskBinomial(1,FX39-INT(FX39))</f>
        <v>0</v>
      </c>
      <c r="FZ39" s="30">
        <f t="shared" ca="1" si="29"/>
        <v>0</v>
      </c>
      <c r="GA39" s="35">
        <f ca="1">_xll.RiskBinomial(1,FZ39)</f>
        <v>0</v>
      </c>
      <c r="GB39" s="88">
        <f ca="1">IF(GA39=1,_xll.RiskBinomial(1,Prob_Illness_Given_Infection),0)</f>
        <v>0</v>
      </c>
      <c r="GD39" s="87" t="e">
        <f t="shared" ca="1" si="64"/>
        <v>#NAME?</v>
      </c>
      <c r="GE39" s="37" t="e">
        <f ca="1">INT(GD39) + _xll.RiskBinomial(1,GD39-INT(GD39))</f>
        <v>#NAME?</v>
      </c>
      <c r="GF39" s="30" t="e">
        <f t="shared" ca="1" si="30"/>
        <v>#NAME?</v>
      </c>
      <c r="GG39" s="35" t="e">
        <f ca="1">_xll.RiskBinomial(1,GF39)</f>
        <v>#VALUE!</v>
      </c>
      <c r="GH39" s="88" t="e">
        <f ca="1">IF(GG39=1,_xll.RiskBinomial(1,Prob_Illness_Given_Infection),0)</f>
        <v>#VALUE!</v>
      </c>
      <c r="GJ39" s="87" t="e">
        <f t="shared" ca="1" si="65"/>
        <v>#NAME?</v>
      </c>
      <c r="GK39" s="37" t="e">
        <f ca="1">INT(GJ39) + _xll.RiskBinomial(1,GJ39-INT(GJ39))</f>
        <v>#NAME?</v>
      </c>
      <c r="GL39" s="30" t="e">
        <f t="shared" ca="1" si="31"/>
        <v>#NAME?</v>
      </c>
      <c r="GM39" s="35" t="e">
        <f ca="1">_xll.RiskBinomial(1,GL39)</f>
        <v>#VALUE!</v>
      </c>
      <c r="GN39" s="88" t="e">
        <f ca="1">IF(GM39=1,_xll.RiskBinomial(1,Prob_Illness_Given_Infection),0)</f>
        <v>#VALUE!</v>
      </c>
      <c r="GP39" s="87" t="e">
        <f t="shared" ca="1" si="66"/>
        <v>#NAME?</v>
      </c>
      <c r="GQ39" s="37" t="e">
        <f ca="1">INT(GP39) + _xll.RiskBinomial(1,GP39-INT(GP39))</f>
        <v>#NAME?</v>
      </c>
      <c r="GR39" s="30" t="e">
        <f t="shared" ca="1" si="32"/>
        <v>#NAME?</v>
      </c>
      <c r="GS39" s="35" t="e">
        <f ca="1">_xll.RiskBinomial(1,GR39)</f>
        <v>#VALUE!</v>
      </c>
      <c r="GT39" s="88" t="e">
        <f ca="1">IF(GS39=1,_xll.RiskBinomial(1,Prob_Illness_Given_Infection),0)</f>
        <v>#VALUE!</v>
      </c>
    </row>
    <row r="40" spans="2:202">
      <c r="B40" s="108">
        <v>32</v>
      </c>
      <c r="C40" s="87">
        <f ca="1">_xll.RiskLoglogistic(LogLogistic_gamma, LogLogistic_beta, LogLogistic_alpha, _xll.RiskTruncate(5,800))</f>
        <v>61.045284930218891</v>
      </c>
      <c r="D40" s="38">
        <f t="shared" ca="1" si="33"/>
        <v>3.921649055153885</v>
      </c>
      <c r="E40" s="30"/>
      <c r="F40" s="87">
        <f t="shared" ca="1" si="34"/>
        <v>1.4158690025883305E-9</v>
      </c>
      <c r="G40" s="37">
        <f ca="1">INT(F40) + _xll.RiskBinomial(1,F40-INT(F40))</f>
        <v>0</v>
      </c>
      <c r="H40" s="30">
        <f t="shared" ca="1" si="0"/>
        <v>0</v>
      </c>
      <c r="I40" s="35">
        <f ca="1">_xll.RiskBinomial(1,H40)</f>
        <v>0</v>
      </c>
      <c r="J40" s="88">
        <f ca="1">IF(I40=1,_xll.RiskBinomial(1,Prob_Illness_Given_Infection),0)</f>
        <v>0</v>
      </c>
      <c r="K40" s="30"/>
      <c r="L40" s="87">
        <f t="shared" ca="1" si="35"/>
        <v>7.2318899427701664E-5</v>
      </c>
      <c r="M40" s="37">
        <f ca="1">INT(L40) + _xll.RiskBinomial(1,L40-INT(L40))</f>
        <v>0</v>
      </c>
      <c r="N40" s="30">
        <f t="shared" ca="1" si="1"/>
        <v>0</v>
      </c>
      <c r="O40" s="35">
        <f ca="1">_xll.RiskBinomial(1,N40)</f>
        <v>0</v>
      </c>
      <c r="P40" s="88">
        <f ca="1">IF(O40=1,_xll.RiskBinomial(1,Prob_Illness_Given_Infection),0)</f>
        <v>0</v>
      </c>
      <c r="Q40" s="30"/>
      <c r="R40" s="87">
        <f t="shared" ca="1" si="36"/>
        <v>7.476022014077449E-6</v>
      </c>
      <c r="S40" s="37">
        <f ca="1">INT(R40) + _xll.RiskBinomial(1,R40-INT(R40))</f>
        <v>0</v>
      </c>
      <c r="T40" s="30">
        <f t="shared" ca="1" si="2"/>
        <v>0</v>
      </c>
      <c r="U40" s="35">
        <f ca="1">_xll.RiskBinomial(1,T40)</f>
        <v>0</v>
      </c>
      <c r="V40" s="88">
        <f ca="1">IF(U40=1,_xll.RiskBinomial(1,Prob_Illness_Given_Infection),0)</f>
        <v>0</v>
      </c>
      <c r="W40" s="30"/>
      <c r="X40" s="87">
        <f t="shared" ca="1" si="37"/>
        <v>3.0713446246657875E-12</v>
      </c>
      <c r="Y40" s="37">
        <f ca="1">INT(X40) + _xll.RiskBinomial(1,X40-INT(X40))</f>
        <v>0</v>
      </c>
      <c r="Z40" s="30">
        <f t="shared" ca="1" si="3"/>
        <v>0</v>
      </c>
      <c r="AA40" s="35">
        <f ca="1">_xll.RiskBinomial(1,Z40)</f>
        <v>0</v>
      </c>
      <c r="AB40" s="88">
        <f ca="1">IF(AA40=1,_xll.RiskBinomial(1,Prob_Illness_Given_Infection),0)</f>
        <v>0</v>
      </c>
      <c r="AC40" s="30"/>
      <c r="AD40" s="87">
        <f t="shared" ca="1" si="38"/>
        <v>1.5473978170388973E-12</v>
      </c>
      <c r="AE40" s="37">
        <f ca="1">INT(AD40) + _xll.RiskBinomial(1,AD40-INT(AD40))</f>
        <v>0</v>
      </c>
      <c r="AF40" s="30">
        <f t="shared" ca="1" si="4"/>
        <v>0</v>
      </c>
      <c r="AG40" s="35">
        <f ca="1">_xll.RiskBinomial(1,AF40)</f>
        <v>0</v>
      </c>
      <c r="AH40" s="88">
        <f ca="1">IF(AG40=1,_xll.RiskBinomial(1,Prob_Illness_Given_Infection),0)</f>
        <v>0</v>
      </c>
      <c r="AI40" s="30"/>
      <c r="AJ40" s="87">
        <f t="shared" ca="1" si="39"/>
        <v>7.1826218917946637E-5</v>
      </c>
      <c r="AK40" s="37">
        <f ca="1">INT(AJ40) + _xll.RiskBinomial(1,AJ40-INT(AJ40))</f>
        <v>0</v>
      </c>
      <c r="AL40" s="30">
        <f t="shared" ca="1" si="5"/>
        <v>0</v>
      </c>
      <c r="AM40" s="35">
        <f ca="1">_xll.RiskBinomial(1,AL40)</f>
        <v>0</v>
      </c>
      <c r="AN40" s="88">
        <f ca="1">IF(AM40=1,_xll.RiskBinomial(1,Prob_Illness_Given_Infection),0)</f>
        <v>0</v>
      </c>
      <c r="AO40" s="30"/>
      <c r="AP40" s="87">
        <f t="shared" ca="1" si="40"/>
        <v>1.7467442377337664E-9</v>
      </c>
      <c r="AQ40" s="37">
        <f ca="1">INT(AP40) + _xll.RiskBinomial(1,AP40-INT(AP40))</f>
        <v>0</v>
      </c>
      <c r="AR40" s="30">
        <f t="shared" ca="1" si="6"/>
        <v>0</v>
      </c>
      <c r="AS40" s="35">
        <f ca="1">_xll.RiskBinomial(1,AR40)</f>
        <v>0</v>
      </c>
      <c r="AT40" s="88">
        <f ca="1">IF(AS40=1,_xll.RiskBinomial(1,Prob_Illness_Given_Infection),0)</f>
        <v>0</v>
      </c>
      <c r="AU40" s="30"/>
      <c r="AV40" s="87">
        <f t="shared" ca="1" si="41"/>
        <v>4.0523556984764285E-5</v>
      </c>
      <c r="AW40" s="37">
        <f ca="1">INT(AV40) + _xll.RiskBinomial(1,AV40-INT(AV40))</f>
        <v>0</v>
      </c>
      <c r="AX40" s="30">
        <f t="shared" ca="1" si="7"/>
        <v>0</v>
      </c>
      <c r="AY40" s="35">
        <f ca="1">_xll.RiskBinomial(1,AX40)</f>
        <v>0</v>
      </c>
      <c r="AZ40" s="88">
        <f ca="1">IF(AY40=1,_xll.RiskBinomial(1,Prob_Illness_Given_Infection),0)</f>
        <v>0</v>
      </c>
      <c r="BB40" s="87">
        <f t="shared" ca="1" si="42"/>
        <v>5.5618982258821361E-5</v>
      </c>
      <c r="BC40" s="37">
        <f ca="1">INT(BB40) + _xll.RiskBinomial(1,BB40-INT(BB40))</f>
        <v>0</v>
      </c>
      <c r="BD40" s="30">
        <f t="shared" ca="1" si="8"/>
        <v>0</v>
      </c>
      <c r="BE40" s="35">
        <f ca="1">_xll.RiskBinomial(1,BD40)</f>
        <v>0</v>
      </c>
      <c r="BF40" s="88">
        <f ca="1">IF(BE40=1,_xll.RiskBinomial(1,Prob_Illness_Given_Infection),0)</f>
        <v>0</v>
      </c>
      <c r="BH40" s="87">
        <f t="shared" ca="1" si="43"/>
        <v>7.041761060696595E-5</v>
      </c>
      <c r="BI40" s="37">
        <f ca="1">INT(BH40) + _xll.RiskBinomial(1,BH40-INT(BH40))</f>
        <v>0</v>
      </c>
      <c r="BJ40" s="30">
        <f t="shared" ca="1" si="9"/>
        <v>0</v>
      </c>
      <c r="BK40" s="35">
        <f ca="1">_xll.RiskBinomial(1,BJ40)</f>
        <v>0</v>
      </c>
      <c r="BL40" s="88">
        <f ca="1">IF(BK40=1,_xll.RiskBinomial(1,Prob_Illness_Given_Infection),0)</f>
        <v>0</v>
      </c>
      <c r="BN40" s="87">
        <f t="shared" ca="1" si="44"/>
        <v>5.3591816862939502E-6</v>
      </c>
      <c r="BO40" s="37">
        <f ca="1">INT(BN40) + _xll.RiskBinomial(1,BN40-INT(BN40))</f>
        <v>0</v>
      </c>
      <c r="BP40" s="30">
        <f t="shared" ca="1" si="10"/>
        <v>0</v>
      </c>
      <c r="BQ40" s="35">
        <f ca="1">_xll.RiskBinomial(1,BP40)</f>
        <v>0</v>
      </c>
      <c r="BR40" s="88">
        <f ca="1">IF(BQ40=1,_xll.RiskBinomial(1,Prob_Illness_Given_Infection),0)</f>
        <v>0</v>
      </c>
      <c r="BT40" s="87">
        <f t="shared" ca="1" si="45"/>
        <v>1.6115002674099526E-5</v>
      </c>
      <c r="BU40" s="37">
        <f ca="1">INT(BT40) + _xll.RiskBinomial(1,BT40-INT(BT40))</f>
        <v>0</v>
      </c>
      <c r="BV40" s="30">
        <f t="shared" ca="1" si="11"/>
        <v>0</v>
      </c>
      <c r="BW40" s="35">
        <f ca="1">_xll.RiskBinomial(1,BV40)</f>
        <v>0</v>
      </c>
      <c r="BX40" s="88">
        <f ca="1">IF(BW40=1,_xll.RiskBinomial(1,Prob_Illness_Given_Infection),0)</f>
        <v>0</v>
      </c>
      <c r="BZ40" s="87">
        <f t="shared" ca="1" si="46"/>
        <v>4.4176654555131713E-5</v>
      </c>
      <c r="CA40" s="37">
        <f ca="1">INT(BZ40) + _xll.RiskBinomial(1,BZ40-INT(BZ40))</f>
        <v>0</v>
      </c>
      <c r="CB40" s="30">
        <f t="shared" ca="1" si="12"/>
        <v>0</v>
      </c>
      <c r="CC40" s="35">
        <f ca="1">_xll.RiskBinomial(1,CB40)</f>
        <v>0</v>
      </c>
      <c r="CD40" s="88">
        <f ca="1">IF(CC40=1,_xll.RiskBinomial(1,Prob_Illness_Given_Infection),0)</f>
        <v>0</v>
      </c>
      <c r="CF40" s="87">
        <f t="shared" ca="1" si="47"/>
        <v>8.3820780274801853E-6</v>
      </c>
      <c r="CG40" s="37">
        <f ca="1">INT(CF40) + _xll.RiskBinomial(1,CF40-INT(CF40))</f>
        <v>0</v>
      </c>
      <c r="CH40" s="30">
        <f t="shared" ca="1" si="13"/>
        <v>0</v>
      </c>
      <c r="CI40" s="35">
        <f ca="1">_xll.RiskBinomial(1,CH40)</f>
        <v>0</v>
      </c>
      <c r="CJ40" s="88">
        <f ca="1">IF(CI40=1,_xll.RiskBinomial(1,Prob_Illness_Given_Infection),0)</f>
        <v>0</v>
      </c>
      <c r="CL40" s="87">
        <f t="shared" ca="1" si="48"/>
        <v>1.6175063983146059E-5</v>
      </c>
      <c r="CM40" s="37">
        <f ca="1">INT(CL40) + _xll.RiskBinomial(1,CL40-INT(CL40))</f>
        <v>0</v>
      </c>
      <c r="CN40" s="30">
        <f t="shared" ca="1" si="14"/>
        <v>0</v>
      </c>
      <c r="CO40" s="35">
        <f ca="1">_xll.RiskBinomial(1,CN40)</f>
        <v>0</v>
      </c>
      <c r="CP40" s="88">
        <f ca="1">IF(CO40=1,_xll.RiskBinomial(1,Prob_Illness_Given_Infection),0)</f>
        <v>0</v>
      </c>
      <c r="CR40" s="87">
        <f t="shared" ca="1" si="49"/>
        <v>1.1147364528094241E-7</v>
      </c>
      <c r="CS40" s="37">
        <f ca="1">INT(CR40) + _xll.RiskBinomial(1,CR40-INT(CR40))</f>
        <v>0</v>
      </c>
      <c r="CT40" s="30">
        <f t="shared" ca="1" si="15"/>
        <v>0</v>
      </c>
      <c r="CU40" s="35">
        <f ca="1">_xll.RiskBinomial(1,CT40)</f>
        <v>0</v>
      </c>
      <c r="CV40" s="88">
        <f ca="1">IF(CU40=1,_xll.RiskBinomial(1,Prob_Illness_Given_Infection),0)</f>
        <v>0</v>
      </c>
      <c r="CX40" s="87">
        <f t="shared" ca="1" si="50"/>
        <v>1.1347890362508837E-9</v>
      </c>
      <c r="CY40" s="37">
        <f ca="1">INT(CX40) + _xll.RiskBinomial(1,CX40-INT(CX40))</f>
        <v>0</v>
      </c>
      <c r="CZ40" s="30">
        <f t="shared" ca="1" si="16"/>
        <v>0</v>
      </c>
      <c r="DA40" s="35">
        <f ca="1">_xll.RiskBinomial(1,CZ40)</f>
        <v>0</v>
      </c>
      <c r="DB40" s="88">
        <f ca="1">IF(DA40=1,_xll.RiskBinomial(1,Prob_Illness_Given_Infection),0)</f>
        <v>0</v>
      </c>
      <c r="DD40" s="87">
        <f t="shared" ca="1" si="51"/>
        <v>1.1347890362508837E-9</v>
      </c>
      <c r="DE40" s="37">
        <f ca="1">INT(DD40) + _xll.RiskBinomial(1,DD40-INT(DD40))</f>
        <v>0</v>
      </c>
      <c r="DF40" s="30">
        <f t="shared" ca="1" si="17"/>
        <v>0</v>
      </c>
      <c r="DG40" s="35">
        <f ca="1">_xll.RiskBinomial(1,DF40)</f>
        <v>0</v>
      </c>
      <c r="DH40" s="88">
        <f ca="1">IF(DG40=1,_xll.RiskBinomial(1,Prob_Illness_Given_Infection),0)</f>
        <v>0</v>
      </c>
      <c r="DJ40" s="87">
        <f t="shared" ca="1" si="52"/>
        <v>1.852953040958127E-6</v>
      </c>
      <c r="DK40" s="37">
        <f ca="1">INT(DJ40) + _xll.RiskBinomial(1,DJ40-INT(DJ40))</f>
        <v>0</v>
      </c>
      <c r="DL40" s="30">
        <f t="shared" ca="1" si="18"/>
        <v>0</v>
      </c>
      <c r="DM40" s="35">
        <f ca="1">_xll.RiskBinomial(1,DL40)</f>
        <v>0</v>
      </c>
      <c r="DN40" s="88">
        <f ca="1">IF(DM40=1,_xll.RiskBinomial(1,Prob_Illness_Given_Infection),0)</f>
        <v>0</v>
      </c>
      <c r="DP40" s="87">
        <f t="shared" ca="1" si="53"/>
        <v>4.3802854911445362E-10</v>
      </c>
      <c r="DQ40" s="37">
        <f ca="1">INT(DP40) + _xll.RiskBinomial(1,DP40-INT(DP40))</f>
        <v>0</v>
      </c>
      <c r="DR40" s="30">
        <f t="shared" ca="1" si="19"/>
        <v>0</v>
      </c>
      <c r="DS40" s="35">
        <f ca="1">_xll.RiskBinomial(1,DR40)</f>
        <v>0</v>
      </c>
      <c r="DT40" s="88">
        <f ca="1">IF(DS40=1,_xll.RiskBinomial(1,Prob_Illness_Given_Infection),0)</f>
        <v>0</v>
      </c>
      <c r="DV40" s="87">
        <f t="shared" ca="1" si="54"/>
        <v>6.1665920522579058E-9</v>
      </c>
      <c r="DW40" s="37">
        <f ca="1">INT(DV40) + _xll.RiskBinomial(1,DV40-INT(DV40))</f>
        <v>0</v>
      </c>
      <c r="DX40" s="30">
        <f t="shared" ca="1" si="20"/>
        <v>0</v>
      </c>
      <c r="DY40" s="35">
        <f ca="1">_xll.RiskBinomial(1,DX40)</f>
        <v>0</v>
      </c>
      <c r="DZ40" s="88">
        <f ca="1">IF(DY40=1,_xll.RiskBinomial(1,Prob_Illness_Given_Infection),0)</f>
        <v>0</v>
      </c>
      <c r="EB40" s="87">
        <f t="shared" ca="1" si="55"/>
        <v>1.5473978170383775E-12</v>
      </c>
      <c r="EC40" s="37">
        <f ca="1">INT(EB40) + _xll.RiskBinomial(1,EB40-INT(EB40))</f>
        <v>0</v>
      </c>
      <c r="ED40" s="30">
        <f t="shared" ca="1" si="21"/>
        <v>0</v>
      </c>
      <c r="EE40" s="35">
        <f ca="1">_xll.RiskBinomial(1,ED40)</f>
        <v>0</v>
      </c>
      <c r="EF40" s="88">
        <f ca="1">IF(EE40=1,_xll.RiskBinomial(1,Prob_Illness_Given_Infection),0)</f>
        <v>0</v>
      </c>
      <c r="EH40" s="87">
        <f t="shared" ca="1" si="56"/>
        <v>1.547397817036787E-12</v>
      </c>
      <c r="EI40" s="37">
        <f ca="1">INT(EH40) + _xll.RiskBinomial(1,EH40-INT(EH40))</f>
        <v>0</v>
      </c>
      <c r="EJ40" s="30">
        <f t="shared" ca="1" si="22"/>
        <v>0</v>
      </c>
      <c r="EK40" s="35">
        <f ca="1">_xll.RiskBinomial(1,EJ40)</f>
        <v>0</v>
      </c>
      <c r="EL40" s="88">
        <f ca="1">IF(EK40=1,_xll.RiskBinomial(1,Prob_Illness_Given_Infection),0)</f>
        <v>0</v>
      </c>
      <c r="EN40" s="87">
        <f t="shared" ca="1" si="57"/>
        <v>1.4119070871084591E-10</v>
      </c>
      <c r="EO40" s="37">
        <f ca="1">INT(EN40) + _xll.RiskBinomial(1,EN40-INT(EN40))</f>
        <v>0</v>
      </c>
      <c r="EP40" s="30">
        <f t="shared" ca="1" si="23"/>
        <v>0</v>
      </c>
      <c r="EQ40" s="35">
        <f ca="1">_xll.RiskBinomial(1,EP40)</f>
        <v>0</v>
      </c>
      <c r="ER40" s="88">
        <f ca="1">IF(EQ40=1,_xll.RiskBinomial(1,Prob_Illness_Given_Infection),0)</f>
        <v>0</v>
      </c>
      <c r="ET40" s="87">
        <f t="shared" ca="1" si="58"/>
        <v>1.5473978170353113E-12</v>
      </c>
      <c r="EU40" s="37">
        <f ca="1">INT(ET40) + _xll.RiskBinomial(1,ET40-INT(ET40))</f>
        <v>0</v>
      </c>
      <c r="EV40" s="30">
        <f t="shared" ca="1" si="24"/>
        <v>0</v>
      </c>
      <c r="EW40" s="35">
        <f ca="1">_xll.RiskBinomial(1,EV40)</f>
        <v>0</v>
      </c>
      <c r="EX40" s="88">
        <f ca="1">IF(EW40=1,_xll.RiskBinomial(1,Prob_Illness_Given_Infection),0)</f>
        <v>0</v>
      </c>
      <c r="EZ40" s="87">
        <f t="shared" ca="1" si="59"/>
        <v>1.1670789157658624E-5</v>
      </c>
      <c r="FA40" s="37">
        <f ca="1">INT(EZ40) + _xll.RiskBinomial(1,EZ40-INT(EZ40))</f>
        <v>0</v>
      </c>
      <c r="FB40" s="30">
        <f t="shared" ca="1" si="25"/>
        <v>0</v>
      </c>
      <c r="FC40" s="35">
        <f ca="1">_xll.RiskBinomial(1,FB40)</f>
        <v>0</v>
      </c>
      <c r="FD40" s="88">
        <f ca="1">IF(FC40=1,_xll.RiskBinomial(1,Prob_Illness_Given_Infection),0)</f>
        <v>0</v>
      </c>
      <c r="FF40" s="87">
        <f t="shared" ca="1" si="60"/>
        <v>8.1297405356638966E-5</v>
      </c>
      <c r="FG40" s="37">
        <f ca="1">INT(FF40) + _xll.RiskBinomial(1,FF40-INT(FF40))</f>
        <v>0</v>
      </c>
      <c r="FH40" s="30">
        <f t="shared" ca="1" si="26"/>
        <v>0</v>
      </c>
      <c r="FI40" s="35">
        <f ca="1">_xll.RiskBinomial(1,FH40)</f>
        <v>0</v>
      </c>
      <c r="FJ40" s="88">
        <f ca="1">IF(FI40=1,_xll.RiskBinomial(1,Prob_Illness_Given_Infection),0)</f>
        <v>0</v>
      </c>
      <c r="FL40" s="87" t="e">
        <f t="shared" ca="1" si="61"/>
        <v>#NAME?</v>
      </c>
      <c r="FM40" s="37" t="e">
        <f ca="1">INT(FL40) + _xll.RiskBinomial(1,FL40-INT(FL40))</f>
        <v>#NAME?</v>
      </c>
      <c r="FN40" s="30" t="e">
        <f t="shared" ca="1" si="27"/>
        <v>#NAME?</v>
      </c>
      <c r="FO40" s="35" t="e">
        <f ca="1">_xll.RiskBinomial(1,FN40)</f>
        <v>#VALUE!</v>
      </c>
      <c r="FP40" s="88" t="e">
        <f ca="1">IF(FO40=1,_xll.RiskBinomial(1,Prob_Illness_Given_Infection),0)</f>
        <v>#VALUE!</v>
      </c>
      <c r="FR40" s="87" t="e">
        <f t="shared" ca="1" si="62"/>
        <v>#NAME?</v>
      </c>
      <c r="FS40" s="37" t="e">
        <f ca="1">INT(FR40) + _xll.RiskBinomial(1,FR40-INT(FR40))</f>
        <v>#NAME?</v>
      </c>
      <c r="FT40" s="30" t="e">
        <f t="shared" ca="1" si="28"/>
        <v>#NAME?</v>
      </c>
      <c r="FU40" s="35" t="e">
        <f ca="1">_xll.RiskBinomial(1,FT40)</f>
        <v>#VALUE!</v>
      </c>
      <c r="FV40" s="88" t="e">
        <f ca="1">IF(FU40=1,_xll.RiskBinomial(1,Prob_Illness_Given_Infection),0)</f>
        <v>#VALUE!</v>
      </c>
      <c r="FX40" s="87">
        <f t="shared" ca="1" si="63"/>
        <v>1.6336916368182824E-7</v>
      </c>
      <c r="FY40" s="37">
        <f ca="1">INT(FX40) + _xll.RiskBinomial(1,FX40-INT(FX40))</f>
        <v>0</v>
      </c>
      <c r="FZ40" s="30">
        <f t="shared" ca="1" si="29"/>
        <v>0</v>
      </c>
      <c r="GA40" s="35">
        <f ca="1">_xll.RiskBinomial(1,FZ40)</f>
        <v>0</v>
      </c>
      <c r="GB40" s="88">
        <f ca="1">IF(GA40=1,_xll.RiskBinomial(1,Prob_Illness_Given_Infection),0)</f>
        <v>0</v>
      </c>
      <c r="GD40" s="87" t="e">
        <f t="shared" ca="1" si="64"/>
        <v>#NAME?</v>
      </c>
      <c r="GE40" s="37" t="e">
        <f ca="1">INT(GD40) + _xll.RiskBinomial(1,GD40-INT(GD40))</f>
        <v>#NAME?</v>
      </c>
      <c r="GF40" s="30" t="e">
        <f t="shared" ca="1" si="30"/>
        <v>#NAME?</v>
      </c>
      <c r="GG40" s="35" t="e">
        <f ca="1">_xll.RiskBinomial(1,GF40)</f>
        <v>#VALUE!</v>
      </c>
      <c r="GH40" s="88" t="e">
        <f ca="1">IF(GG40=1,_xll.RiskBinomial(1,Prob_Illness_Given_Infection),0)</f>
        <v>#VALUE!</v>
      </c>
      <c r="GJ40" s="87" t="e">
        <f t="shared" ca="1" si="65"/>
        <v>#NAME?</v>
      </c>
      <c r="GK40" s="37" t="e">
        <f ca="1">INT(GJ40) + _xll.RiskBinomial(1,GJ40-INT(GJ40))</f>
        <v>#NAME?</v>
      </c>
      <c r="GL40" s="30" t="e">
        <f t="shared" ca="1" si="31"/>
        <v>#NAME?</v>
      </c>
      <c r="GM40" s="35" t="e">
        <f ca="1">_xll.RiskBinomial(1,GL40)</f>
        <v>#VALUE!</v>
      </c>
      <c r="GN40" s="88" t="e">
        <f ca="1">IF(GM40=1,_xll.RiskBinomial(1,Prob_Illness_Given_Infection),0)</f>
        <v>#VALUE!</v>
      </c>
      <c r="GP40" s="87" t="e">
        <f t="shared" ca="1" si="66"/>
        <v>#NAME?</v>
      </c>
      <c r="GQ40" s="37" t="e">
        <f ca="1">INT(GP40) + _xll.RiskBinomial(1,GP40-INT(GP40))</f>
        <v>#NAME?</v>
      </c>
      <c r="GR40" s="30" t="e">
        <f t="shared" ca="1" si="32"/>
        <v>#NAME?</v>
      </c>
      <c r="GS40" s="35" t="e">
        <f ca="1">_xll.RiskBinomial(1,GR40)</f>
        <v>#VALUE!</v>
      </c>
      <c r="GT40" s="88" t="e">
        <f ca="1">IF(GS40=1,_xll.RiskBinomial(1,Prob_Illness_Given_Infection),0)</f>
        <v>#VALUE!</v>
      </c>
    </row>
    <row r="41" spans="2:202">
      <c r="B41" s="108">
        <v>33</v>
      </c>
      <c r="C41" s="87">
        <f ca="1">_xll.RiskLoglogistic(LogLogistic_gamma, LogLogistic_beta, LogLogistic_alpha, _xll.RiskTruncate(5,800))</f>
        <v>48.747593064867523</v>
      </c>
      <c r="D41" s="38">
        <f t="shared" ref="D41:D72" ca="1" si="67" xml:space="preserve"> C41*BAF/V</f>
        <v>3.1316251943518991</v>
      </c>
      <c r="E41" s="30"/>
      <c r="F41" s="87">
        <f t="shared" ca="1" si="34"/>
        <v>1.1306394269472749E-9</v>
      </c>
      <c r="G41" s="37">
        <f ca="1">INT(F41) + _xll.RiskBinomial(1,F41-INT(F41))</f>
        <v>0</v>
      </c>
      <c r="H41" s="30">
        <f t="shared" ref="H41:H72" ca="1" si="68" xml:space="preserve"> MAX(1-EXP((GAMMALN(beta+G41)+GAMMALN(alpha+beta)-GAMMALN(alpha+beta+G41)-GAMMALN(beta))),0)</f>
        <v>0</v>
      </c>
      <c r="I41" s="35">
        <f ca="1">_xll.RiskBinomial(1,H41)</f>
        <v>0</v>
      </c>
      <c r="J41" s="88">
        <f ca="1">IF(I41=1,_xll.RiskBinomial(1,Prob_Illness_Given_Infection),0)</f>
        <v>0</v>
      </c>
      <c r="K41" s="30"/>
      <c r="L41" s="87">
        <f t="shared" ca="1" si="35"/>
        <v>5.7750115905438866E-5</v>
      </c>
      <c r="M41" s="37">
        <f ca="1">INT(L41) + _xll.RiskBinomial(1,L41-INT(L41))</f>
        <v>0</v>
      </c>
      <c r="N41" s="30">
        <f t="shared" ca="1" si="1"/>
        <v>0</v>
      </c>
      <c r="O41" s="35">
        <f ca="1">_xll.RiskBinomial(1,N41)</f>
        <v>0</v>
      </c>
      <c r="P41" s="88">
        <f ca="1">IF(O41=1,_xll.RiskBinomial(1,Prob_Illness_Given_Infection),0)</f>
        <v>0</v>
      </c>
      <c r="Q41" s="30"/>
      <c r="R41" s="87">
        <f t="shared" ca="1" si="36"/>
        <v>5.9699627793175088E-6</v>
      </c>
      <c r="S41" s="37">
        <f ca="1">INT(R41) + _xll.RiskBinomial(1,R41-INT(R41))</f>
        <v>0</v>
      </c>
      <c r="T41" s="30">
        <f t="shared" ca="1" si="2"/>
        <v>0</v>
      </c>
      <c r="U41" s="35">
        <f ca="1">_xll.RiskBinomial(1,T41)</f>
        <v>0</v>
      </c>
      <c r="V41" s="88">
        <f ca="1">IF(U41=1,_xll.RiskBinomial(1,Prob_Illness_Given_Infection),0)</f>
        <v>0</v>
      </c>
      <c r="W41" s="30"/>
      <c r="X41" s="87">
        <f t="shared" ca="1" si="37"/>
        <v>2.4526162519565984E-12</v>
      </c>
      <c r="Y41" s="37">
        <f ca="1">INT(X41) + _xll.RiskBinomial(1,X41-INT(X41))</f>
        <v>0</v>
      </c>
      <c r="Z41" s="30">
        <f t="shared" ca="1" si="3"/>
        <v>0</v>
      </c>
      <c r="AA41" s="35">
        <f ca="1">_xll.RiskBinomial(1,Z41)</f>
        <v>0</v>
      </c>
      <c r="AB41" s="88">
        <f ca="1">IF(AA41=1,_xll.RiskBinomial(1,Prob_Illness_Given_Infection),0)</f>
        <v>0</v>
      </c>
      <c r="AC41" s="30"/>
      <c r="AD41" s="87">
        <f t="shared" ca="1" si="38"/>
        <v>1.2356715048623825E-12</v>
      </c>
      <c r="AE41" s="37">
        <f ca="1">INT(AD41) + _xll.RiskBinomial(1,AD41-INT(AD41))</f>
        <v>0</v>
      </c>
      <c r="AF41" s="30">
        <f t="shared" ca="1" si="4"/>
        <v>0</v>
      </c>
      <c r="AG41" s="35">
        <f ca="1">_xll.RiskBinomial(1,AF41)</f>
        <v>0</v>
      </c>
      <c r="AH41" s="88">
        <f ca="1">IF(AG41=1,_xll.RiskBinomial(1,Prob_Illness_Given_Infection),0)</f>
        <v>0</v>
      </c>
      <c r="AI41" s="30"/>
      <c r="AJ41" s="87">
        <f t="shared" ca="1" si="39"/>
        <v>5.735668684653639E-5</v>
      </c>
      <c r="AK41" s="37">
        <f ca="1">INT(AJ41) + _xll.RiskBinomial(1,AJ41-INT(AJ41))</f>
        <v>0</v>
      </c>
      <c r="AL41" s="30">
        <f t="shared" ca="1" si="5"/>
        <v>0</v>
      </c>
      <c r="AM41" s="35">
        <f ca="1">_xll.RiskBinomial(1,AL41)</f>
        <v>0</v>
      </c>
      <c r="AN41" s="88">
        <f ca="1">IF(AM41=1,_xll.RiskBinomial(1,Prob_Illness_Given_Infection),0)</f>
        <v>0</v>
      </c>
      <c r="AO41" s="30"/>
      <c r="AP41" s="87">
        <f t="shared" ca="1" si="40"/>
        <v>1.3948591998019614E-9</v>
      </c>
      <c r="AQ41" s="37">
        <f ca="1">INT(AP41) + _xll.RiskBinomial(1,AP41-INT(AP41))</f>
        <v>0</v>
      </c>
      <c r="AR41" s="30">
        <f t="shared" ca="1" si="6"/>
        <v>0</v>
      </c>
      <c r="AS41" s="35">
        <f ca="1">_xll.RiskBinomial(1,AR41)</f>
        <v>0</v>
      </c>
      <c r="AT41" s="88">
        <f ca="1">IF(AS41=1,_xll.RiskBinomial(1,Prob_Illness_Given_Infection),0)</f>
        <v>0</v>
      </c>
      <c r="AU41" s="30"/>
      <c r="AV41" s="87">
        <f t="shared" ca="1" si="41"/>
        <v>3.2360007291183528E-5</v>
      </c>
      <c r="AW41" s="37">
        <f ca="1">INT(AV41) + _xll.RiskBinomial(1,AV41-INT(AV41))</f>
        <v>0</v>
      </c>
      <c r="AX41" s="30">
        <f t="shared" ca="1" si="7"/>
        <v>0</v>
      </c>
      <c r="AY41" s="35">
        <f ca="1">_xll.RiskBinomial(1,AX41)</f>
        <v>0</v>
      </c>
      <c r="AZ41" s="88">
        <f ca="1">IF(AY41=1,_xll.RiskBinomial(1,Prob_Illness_Given_Infection),0)</f>
        <v>0</v>
      </c>
      <c r="BB41" s="87">
        <f t="shared" ca="1" si="42"/>
        <v>4.4414429663722562E-5</v>
      </c>
      <c r="BC41" s="37">
        <f ca="1">INT(BB41) + _xll.RiskBinomial(1,BB41-INT(BB41))</f>
        <v>0</v>
      </c>
      <c r="BD41" s="30">
        <f t="shared" ca="1" si="8"/>
        <v>0</v>
      </c>
      <c r="BE41" s="35">
        <f ca="1">_xll.RiskBinomial(1,BD41)</f>
        <v>0</v>
      </c>
      <c r="BF41" s="88">
        <f ca="1">IF(BE41=1,_xll.RiskBinomial(1,Prob_Illness_Given_Infection),0)</f>
        <v>0</v>
      </c>
      <c r="BH41" s="87">
        <f t="shared" ca="1" si="43"/>
        <v>5.6231845430692898E-5</v>
      </c>
      <c r="BI41" s="37">
        <f ca="1">INT(BH41) + _xll.RiskBinomial(1,BH41-INT(BH41))</f>
        <v>0</v>
      </c>
      <c r="BJ41" s="30">
        <f t="shared" ca="1" si="9"/>
        <v>0</v>
      </c>
      <c r="BK41" s="35">
        <f ca="1">_xll.RiskBinomial(1,BJ41)</f>
        <v>0</v>
      </c>
      <c r="BL41" s="88">
        <f ca="1">IF(BK41=1,_xll.RiskBinomial(1,Prob_Illness_Given_Infection),0)</f>
        <v>0</v>
      </c>
      <c r="BN41" s="87">
        <f t="shared" ca="1" si="44"/>
        <v>4.2795640695719697E-6</v>
      </c>
      <c r="BO41" s="37">
        <f ca="1">INT(BN41) + _xll.RiskBinomial(1,BN41-INT(BN41))</f>
        <v>0</v>
      </c>
      <c r="BP41" s="30">
        <f t="shared" ca="1" si="10"/>
        <v>0</v>
      </c>
      <c r="BQ41" s="35">
        <f ca="1">_xll.RiskBinomial(1,BP41)</f>
        <v>0</v>
      </c>
      <c r="BR41" s="88">
        <f ca="1">IF(BQ41=1,_xll.RiskBinomial(1,Prob_Illness_Given_Infection),0)</f>
        <v>0</v>
      </c>
      <c r="BT41" s="87">
        <f t="shared" ca="1" si="45"/>
        <v>1.2868603914196503E-5</v>
      </c>
      <c r="BU41" s="37">
        <f ca="1">INT(BT41) + _xll.RiskBinomial(1,BT41-INT(BT41))</f>
        <v>0</v>
      </c>
      <c r="BV41" s="30">
        <f t="shared" ca="1" si="11"/>
        <v>0</v>
      </c>
      <c r="BW41" s="35">
        <f ca="1">_xll.RiskBinomial(1,BV41)</f>
        <v>0</v>
      </c>
      <c r="BX41" s="88">
        <f ca="1">IF(BW41=1,_xll.RiskBinomial(1,Prob_Illness_Given_Infection),0)</f>
        <v>0</v>
      </c>
      <c r="BZ41" s="87">
        <f t="shared" ca="1" si="46"/>
        <v>3.5277181221817014E-5</v>
      </c>
      <c r="CA41" s="37">
        <f ca="1">INT(BZ41) + _xll.RiskBinomial(1,BZ41-INT(BZ41))</f>
        <v>0</v>
      </c>
      <c r="CB41" s="30">
        <f t="shared" ca="1" si="12"/>
        <v>0</v>
      </c>
      <c r="CC41" s="35">
        <f ca="1">_xll.RiskBinomial(1,CB41)</f>
        <v>0</v>
      </c>
      <c r="CD41" s="88">
        <f ca="1">IF(CC41=1,_xll.RiskBinomial(1,Prob_Illness_Given_Infection),0)</f>
        <v>0</v>
      </c>
      <c r="CF41" s="87">
        <f t="shared" ca="1" si="47"/>
        <v>6.6934920393712765E-6</v>
      </c>
      <c r="CG41" s="37">
        <f ca="1">INT(CF41) + _xll.RiskBinomial(1,CF41-INT(CF41))</f>
        <v>0</v>
      </c>
      <c r="CH41" s="30">
        <f t="shared" ca="1" si="13"/>
        <v>0</v>
      </c>
      <c r="CI41" s="35">
        <f ca="1">_xll.RiskBinomial(1,CH41)</f>
        <v>0</v>
      </c>
      <c r="CJ41" s="88">
        <f ca="1">IF(CI41=1,_xll.RiskBinomial(1,Prob_Illness_Given_Infection),0)</f>
        <v>0</v>
      </c>
      <c r="CL41" s="87">
        <f t="shared" ca="1" si="48"/>
        <v>1.2916565755241071E-5</v>
      </c>
      <c r="CM41" s="37">
        <f ca="1">INT(CL41) + _xll.RiskBinomial(1,CL41-INT(CL41))</f>
        <v>0</v>
      </c>
      <c r="CN41" s="30">
        <f t="shared" ca="1" si="14"/>
        <v>0</v>
      </c>
      <c r="CO41" s="35">
        <f ca="1">_xll.RiskBinomial(1,CN41)</f>
        <v>0</v>
      </c>
      <c r="CP41" s="88">
        <f ca="1">IF(CO41=1,_xll.RiskBinomial(1,Prob_Illness_Given_Infection),0)</f>
        <v>0</v>
      </c>
      <c r="CR41" s="87">
        <f t="shared" ca="1" si="49"/>
        <v>8.9017061740713959E-8</v>
      </c>
      <c r="CS41" s="37">
        <f ca="1">INT(CR41) + _xll.RiskBinomial(1,CR41-INT(CR41))</f>
        <v>0</v>
      </c>
      <c r="CT41" s="30">
        <f t="shared" ca="1" si="15"/>
        <v>0</v>
      </c>
      <c r="CU41" s="35">
        <f ca="1">_xll.RiskBinomial(1,CT41)</f>
        <v>0</v>
      </c>
      <c r="CV41" s="88">
        <f ca="1">IF(CU41=1,_xll.RiskBinomial(1,Prob_Illness_Given_Infection),0)</f>
        <v>0</v>
      </c>
      <c r="CX41" s="87">
        <f t="shared" ca="1" si="50"/>
        <v>9.0618356875335708E-10</v>
      </c>
      <c r="CY41" s="37">
        <f ca="1">INT(CX41) + _xll.RiskBinomial(1,CX41-INT(CX41))</f>
        <v>0</v>
      </c>
      <c r="CZ41" s="30">
        <f t="shared" ca="1" si="16"/>
        <v>0</v>
      </c>
      <c r="DA41" s="35">
        <f ca="1">_xll.RiskBinomial(1,CZ41)</f>
        <v>0</v>
      </c>
      <c r="DB41" s="88">
        <f ca="1">IF(DA41=1,_xll.RiskBinomial(1,Prob_Illness_Given_Infection),0)</f>
        <v>0</v>
      </c>
      <c r="DD41" s="87">
        <f t="shared" ca="1" si="51"/>
        <v>9.0618356875335708E-10</v>
      </c>
      <c r="DE41" s="37">
        <f ca="1">INT(DD41) + _xll.RiskBinomial(1,DD41-INT(DD41))</f>
        <v>0</v>
      </c>
      <c r="DF41" s="30">
        <f t="shared" ca="1" si="17"/>
        <v>0</v>
      </c>
      <c r="DG41" s="35">
        <f ca="1">_xll.RiskBinomial(1,DF41)</f>
        <v>0</v>
      </c>
      <c r="DH41" s="88">
        <f ca="1">IF(DG41=1,_xll.RiskBinomial(1,Prob_Illness_Given_Infection),0)</f>
        <v>0</v>
      </c>
      <c r="DJ41" s="87">
        <f t="shared" ca="1" si="52"/>
        <v>1.4796720322001729E-6</v>
      </c>
      <c r="DK41" s="37">
        <f ca="1">INT(DJ41) + _xll.RiskBinomial(1,DJ41-INT(DJ41))</f>
        <v>0</v>
      </c>
      <c r="DL41" s="30">
        <f t="shared" ca="1" si="18"/>
        <v>0</v>
      </c>
      <c r="DM41" s="35">
        <f ca="1">_xll.RiskBinomial(1,DL41)</f>
        <v>0</v>
      </c>
      <c r="DN41" s="88">
        <f ca="1">IF(DM41=1,_xll.RiskBinomial(1,Prob_Illness_Given_Infection),0)</f>
        <v>0</v>
      </c>
      <c r="DP41" s="87">
        <f t="shared" ca="1" si="53"/>
        <v>3.4978684246349635E-10</v>
      </c>
      <c r="DQ41" s="37">
        <f ca="1">INT(DP41) + _xll.RiskBinomial(1,DP41-INT(DP41))</f>
        <v>0</v>
      </c>
      <c r="DR41" s="30">
        <f t="shared" ca="1" si="19"/>
        <v>0</v>
      </c>
      <c r="DS41" s="35">
        <f ca="1">_xll.RiskBinomial(1,DR41)</f>
        <v>0</v>
      </c>
      <c r="DT41" s="88">
        <f ca="1">IF(DS41=1,_xll.RiskBinomial(1,Prob_Illness_Given_Infection),0)</f>
        <v>0</v>
      </c>
      <c r="DV41" s="87">
        <f t="shared" ca="1" si="54"/>
        <v>4.9243200405099126E-9</v>
      </c>
      <c r="DW41" s="37">
        <f ca="1">INT(DV41) + _xll.RiskBinomial(1,DV41-INT(DV41))</f>
        <v>0</v>
      </c>
      <c r="DX41" s="30">
        <f t="shared" ca="1" si="20"/>
        <v>0</v>
      </c>
      <c r="DY41" s="35">
        <f ca="1">_xll.RiskBinomial(1,DX41)</f>
        <v>0</v>
      </c>
      <c r="DZ41" s="88">
        <f ca="1">IF(DY41=1,_xll.RiskBinomial(1,Prob_Illness_Given_Infection),0)</f>
        <v>0</v>
      </c>
      <c r="EB41" s="87">
        <f t="shared" ca="1" si="55"/>
        <v>1.2356715048619675E-12</v>
      </c>
      <c r="EC41" s="37">
        <f ca="1">INT(EB41) + _xll.RiskBinomial(1,EB41-INT(EB41))</f>
        <v>0</v>
      </c>
      <c r="ED41" s="30">
        <f t="shared" ca="1" si="21"/>
        <v>0</v>
      </c>
      <c r="EE41" s="35">
        <f ca="1">_xll.RiskBinomial(1,ED41)</f>
        <v>0</v>
      </c>
      <c r="EF41" s="88">
        <f ca="1">IF(EE41=1,_xll.RiskBinomial(1,Prob_Illness_Given_Infection),0)</f>
        <v>0</v>
      </c>
      <c r="EH41" s="87">
        <f t="shared" ca="1" si="56"/>
        <v>1.2356715048606972E-12</v>
      </c>
      <c r="EI41" s="37">
        <f ca="1">INT(EH41) + _xll.RiskBinomial(1,EH41-INT(EH41))</f>
        <v>0</v>
      </c>
      <c r="EJ41" s="30">
        <f t="shared" ca="1" si="22"/>
        <v>0</v>
      </c>
      <c r="EK41" s="35">
        <f ca="1">_xll.RiskBinomial(1,EJ41)</f>
        <v>0</v>
      </c>
      <c r="EL41" s="88">
        <f ca="1">IF(EK41=1,_xll.RiskBinomial(1,Prob_Illness_Given_Infection),0)</f>
        <v>0</v>
      </c>
      <c r="EN41" s="87">
        <f t="shared" ca="1" si="57"/>
        <v>1.1274756470781014E-10</v>
      </c>
      <c r="EO41" s="37">
        <f ca="1">INT(EN41) + _xll.RiskBinomial(1,EN41-INT(EN41))</f>
        <v>0</v>
      </c>
      <c r="EP41" s="30">
        <f t="shared" ca="1" si="23"/>
        <v>0</v>
      </c>
      <c r="EQ41" s="35">
        <f ca="1">_xll.RiskBinomial(1,EP41)</f>
        <v>0</v>
      </c>
      <c r="ER41" s="88">
        <f ca="1">IF(EQ41=1,_xll.RiskBinomial(1,Prob_Illness_Given_Infection),0)</f>
        <v>0</v>
      </c>
      <c r="ET41" s="87">
        <f t="shared" ca="1" si="58"/>
        <v>1.2356715048595189E-12</v>
      </c>
      <c r="EU41" s="37">
        <f ca="1">INT(ET41) + _xll.RiskBinomial(1,ET41-INT(ET41))</f>
        <v>0</v>
      </c>
      <c r="EV41" s="30">
        <f t="shared" ca="1" si="24"/>
        <v>0</v>
      </c>
      <c r="EW41" s="35">
        <f ca="1">_xll.RiskBinomial(1,EV41)</f>
        <v>0</v>
      </c>
      <c r="EX41" s="88">
        <f ca="1">IF(EW41=1,_xll.RiskBinomial(1,Prob_Illness_Given_Infection),0)</f>
        <v>0</v>
      </c>
      <c r="EZ41" s="87">
        <f t="shared" ca="1" si="59"/>
        <v>9.3196858898070291E-6</v>
      </c>
      <c r="FA41" s="37">
        <f ca="1">INT(EZ41) + _xll.RiskBinomial(1,EZ41-INT(EZ41))</f>
        <v>0</v>
      </c>
      <c r="FB41" s="30">
        <f t="shared" ca="1" si="25"/>
        <v>0</v>
      </c>
      <c r="FC41" s="35">
        <f ca="1">_xll.RiskBinomial(1,FB41)</f>
        <v>0</v>
      </c>
      <c r="FD41" s="88">
        <f ca="1">IF(FC41=1,_xll.RiskBinomial(1,Prob_Illness_Given_Infection),0)</f>
        <v>0</v>
      </c>
      <c r="FF41" s="87">
        <f t="shared" ca="1" si="60"/>
        <v>6.4919884280746642E-5</v>
      </c>
      <c r="FG41" s="37">
        <f ca="1">INT(FF41) + _xll.RiskBinomial(1,FF41-INT(FF41))</f>
        <v>0</v>
      </c>
      <c r="FH41" s="30">
        <f t="shared" ca="1" si="26"/>
        <v>0</v>
      </c>
      <c r="FI41" s="35">
        <f ca="1">_xll.RiskBinomial(1,FH41)</f>
        <v>0</v>
      </c>
      <c r="FJ41" s="88">
        <f ca="1">IF(FI41=1,_xll.RiskBinomial(1,Prob_Illness_Given_Infection),0)</f>
        <v>0</v>
      </c>
      <c r="FL41" s="87" t="e">
        <f t="shared" ca="1" si="61"/>
        <v>#NAME?</v>
      </c>
      <c r="FM41" s="37" t="e">
        <f ca="1">INT(FL41) + _xll.RiskBinomial(1,FL41-INT(FL41))</f>
        <v>#NAME?</v>
      </c>
      <c r="FN41" s="30" t="e">
        <f t="shared" ca="1" si="27"/>
        <v>#NAME?</v>
      </c>
      <c r="FO41" s="35" t="e">
        <f ca="1">_xll.RiskBinomial(1,FN41)</f>
        <v>#VALUE!</v>
      </c>
      <c r="FP41" s="88" t="e">
        <f ca="1">IF(FO41=1,_xll.RiskBinomial(1,Prob_Illness_Given_Infection),0)</f>
        <v>#VALUE!</v>
      </c>
      <c r="FR41" s="87" t="e">
        <f t="shared" ca="1" si="62"/>
        <v>#NAME?</v>
      </c>
      <c r="FS41" s="37" t="e">
        <f ca="1">INT(FR41) + _xll.RiskBinomial(1,FR41-INT(FR41))</f>
        <v>#NAME?</v>
      </c>
      <c r="FT41" s="30" t="e">
        <f t="shared" ca="1" si="28"/>
        <v>#NAME?</v>
      </c>
      <c r="FU41" s="35" t="e">
        <f ca="1">_xll.RiskBinomial(1,FT41)</f>
        <v>#VALUE!</v>
      </c>
      <c r="FV41" s="88" t="e">
        <f ca="1">IF(FU41=1,_xll.RiskBinomial(1,Prob_Illness_Given_Infection),0)</f>
        <v>#VALUE!</v>
      </c>
      <c r="FX41" s="87">
        <f t="shared" ca="1" si="63"/>
        <v>1.304581266122848E-7</v>
      </c>
      <c r="FY41" s="37">
        <f ca="1">INT(FX41) + _xll.RiskBinomial(1,FX41-INT(FX41))</f>
        <v>0</v>
      </c>
      <c r="FZ41" s="30">
        <f t="shared" ca="1" si="29"/>
        <v>0</v>
      </c>
      <c r="GA41" s="35">
        <f ca="1">_xll.RiskBinomial(1,FZ41)</f>
        <v>0</v>
      </c>
      <c r="GB41" s="88">
        <f ca="1">IF(GA41=1,_xll.RiskBinomial(1,Prob_Illness_Given_Infection),0)</f>
        <v>0</v>
      </c>
      <c r="GD41" s="87" t="e">
        <f t="shared" ca="1" si="64"/>
        <v>#NAME?</v>
      </c>
      <c r="GE41" s="37" t="e">
        <f ca="1">INT(GD41) + _xll.RiskBinomial(1,GD41-INT(GD41))</f>
        <v>#NAME?</v>
      </c>
      <c r="GF41" s="30" t="e">
        <f t="shared" ca="1" si="30"/>
        <v>#NAME?</v>
      </c>
      <c r="GG41" s="35" t="e">
        <f ca="1">_xll.RiskBinomial(1,GF41)</f>
        <v>#VALUE!</v>
      </c>
      <c r="GH41" s="88" t="e">
        <f ca="1">IF(GG41=1,_xll.RiskBinomial(1,Prob_Illness_Given_Infection),0)</f>
        <v>#VALUE!</v>
      </c>
      <c r="GJ41" s="87" t="e">
        <f t="shared" ca="1" si="65"/>
        <v>#NAME?</v>
      </c>
      <c r="GK41" s="37" t="e">
        <f ca="1">INT(GJ41) + _xll.RiskBinomial(1,GJ41-INT(GJ41))</f>
        <v>#NAME?</v>
      </c>
      <c r="GL41" s="30" t="e">
        <f t="shared" ca="1" si="31"/>
        <v>#NAME?</v>
      </c>
      <c r="GM41" s="35" t="e">
        <f ca="1">_xll.RiskBinomial(1,GL41)</f>
        <v>#VALUE!</v>
      </c>
      <c r="GN41" s="88" t="e">
        <f ca="1">IF(GM41=1,_xll.RiskBinomial(1,Prob_Illness_Given_Infection),0)</f>
        <v>#VALUE!</v>
      </c>
      <c r="GP41" s="87" t="e">
        <f t="shared" ca="1" si="66"/>
        <v>#NAME?</v>
      </c>
      <c r="GQ41" s="37" t="e">
        <f ca="1">INT(GP41) + _xll.RiskBinomial(1,GP41-INT(GP41))</f>
        <v>#NAME?</v>
      </c>
      <c r="GR41" s="30" t="e">
        <f t="shared" ca="1" si="32"/>
        <v>#NAME?</v>
      </c>
      <c r="GS41" s="35" t="e">
        <f ca="1">_xll.RiskBinomial(1,GR41)</f>
        <v>#VALUE!</v>
      </c>
      <c r="GT41" s="88" t="e">
        <f ca="1">IF(GS41=1,_xll.RiskBinomial(1,Prob_Illness_Given_Infection),0)</f>
        <v>#VALUE!</v>
      </c>
    </row>
    <row r="42" spans="2:202">
      <c r="B42" s="108">
        <v>34</v>
      </c>
      <c r="C42" s="87">
        <f ca="1">_xll.RiskLoglogistic(LogLogistic_gamma, LogLogistic_beta, LogLogistic_alpha, _xll.RiskTruncate(5,800))</f>
        <v>65.361389566962117</v>
      </c>
      <c r="D42" s="38">
        <f t="shared" ca="1" si="67"/>
        <v>4.1989226839030644</v>
      </c>
      <c r="E42" s="30"/>
      <c r="F42" s="87">
        <f t="shared" ca="1" si="34"/>
        <v>1.5159756492208765E-9</v>
      </c>
      <c r="G42" s="37">
        <f ca="1">INT(F42) + _xll.RiskBinomial(1,F42-INT(F42))</f>
        <v>0</v>
      </c>
      <c r="H42" s="30">
        <f t="shared" ca="1" si="68"/>
        <v>0</v>
      </c>
      <c r="I42" s="35">
        <f ca="1">_xll.RiskBinomial(1,H42)</f>
        <v>0</v>
      </c>
      <c r="J42" s="88">
        <f ca="1">IF(I42=1,_xll.RiskBinomial(1,Prob_Illness_Given_Infection),0)</f>
        <v>0</v>
      </c>
      <c r="K42" s="30"/>
      <c r="L42" s="87">
        <f t="shared" ca="1" si="35"/>
        <v>7.7432086097251561E-5</v>
      </c>
      <c r="M42" s="37">
        <f ca="1">INT(L42) + _xll.RiskBinomial(1,L42-INT(L42))</f>
        <v>0</v>
      </c>
      <c r="N42" s="30">
        <f t="shared" ca="1" si="1"/>
        <v>0</v>
      </c>
      <c r="O42" s="35">
        <f ca="1">_xll.RiskBinomial(1,N42)</f>
        <v>0</v>
      </c>
      <c r="P42" s="88">
        <f ca="1">IF(O42=1,_xll.RiskBinomial(1,Prob_Illness_Given_Infection),0)</f>
        <v>0</v>
      </c>
      <c r="Q42" s="30"/>
      <c r="R42" s="87">
        <f t="shared" ca="1" si="36"/>
        <v>8.0046016302794054E-6</v>
      </c>
      <c r="S42" s="37">
        <f ca="1">INT(R42) + _xll.RiskBinomial(1,R42-INT(R42))</f>
        <v>0</v>
      </c>
      <c r="T42" s="30">
        <f t="shared" ca="1" si="2"/>
        <v>0</v>
      </c>
      <c r="U42" s="35">
        <f ca="1">_xll.RiskBinomial(1,T42)</f>
        <v>0</v>
      </c>
      <c r="V42" s="88">
        <f ca="1">IF(U42=1,_xll.RiskBinomial(1,Prob_Illness_Given_Infection),0)</f>
        <v>0</v>
      </c>
      <c r="W42" s="30"/>
      <c r="X42" s="87">
        <f t="shared" ca="1" si="37"/>
        <v>3.2884989026859436E-12</v>
      </c>
      <c r="Y42" s="37">
        <f ca="1">INT(X42) + _xll.RiskBinomial(1,X42-INT(X42))</f>
        <v>0</v>
      </c>
      <c r="Z42" s="30">
        <f t="shared" ca="1" si="3"/>
        <v>0</v>
      </c>
      <c r="AA42" s="35">
        <f ca="1">_xll.RiskBinomial(1,Z42)</f>
        <v>0</v>
      </c>
      <c r="AB42" s="88">
        <f ca="1">IF(AA42=1,_xll.RiskBinomial(1,Prob_Illness_Given_Infection),0)</f>
        <v>0</v>
      </c>
      <c r="AC42" s="30"/>
      <c r="AD42" s="87">
        <f t="shared" ca="1" si="38"/>
        <v>1.6568039882221824E-12</v>
      </c>
      <c r="AE42" s="37">
        <f ca="1">INT(AD42) + _xll.RiskBinomial(1,AD42-INT(AD42))</f>
        <v>0</v>
      </c>
      <c r="AF42" s="30">
        <f t="shared" ca="1" si="4"/>
        <v>0</v>
      </c>
      <c r="AG42" s="35">
        <f ca="1">_xll.RiskBinomial(1,AF42)</f>
        <v>0</v>
      </c>
      <c r="AH42" s="88">
        <f ca="1">IF(AG42=1,_xll.RiskBinomial(1,Prob_Illness_Given_Infection),0)</f>
        <v>0</v>
      </c>
      <c r="AI42" s="30"/>
      <c r="AJ42" s="87">
        <f t="shared" ca="1" si="39"/>
        <v>7.6904571437160158E-5</v>
      </c>
      <c r="AK42" s="37">
        <f ca="1">INT(AJ42) + _xll.RiskBinomial(1,AJ42-INT(AJ42))</f>
        <v>0</v>
      </c>
      <c r="AL42" s="30">
        <f t="shared" ca="1" si="5"/>
        <v>0</v>
      </c>
      <c r="AM42" s="35">
        <f ca="1">_xll.RiskBinomial(1,AL42)</f>
        <v>0</v>
      </c>
      <c r="AN42" s="88">
        <f ca="1">IF(AM42=1,_xll.RiskBinomial(1,Prob_Illness_Given_Infection),0)</f>
        <v>0</v>
      </c>
      <c r="AO42" s="30"/>
      <c r="AP42" s="87">
        <f t="shared" ca="1" si="40"/>
        <v>1.8702448637412499E-9</v>
      </c>
      <c r="AQ42" s="37">
        <f ca="1">INT(AP42) + _xll.RiskBinomial(1,AP42-INT(AP42))</f>
        <v>0</v>
      </c>
      <c r="AR42" s="30">
        <f t="shared" ca="1" si="6"/>
        <v>0</v>
      </c>
      <c r="AS42" s="35">
        <f ca="1">_xll.RiskBinomial(1,AR42)</f>
        <v>0</v>
      </c>
      <c r="AT42" s="88">
        <f ca="1">IF(AS42=1,_xll.RiskBinomial(1,Prob_Illness_Given_Infection),0)</f>
        <v>0</v>
      </c>
      <c r="AU42" s="30"/>
      <c r="AV42" s="87">
        <f t="shared" ca="1" si="41"/>
        <v>4.3388707215436534E-5</v>
      </c>
      <c r="AW42" s="37">
        <f ca="1">INT(AV42) + _xll.RiskBinomial(1,AV42-INT(AV42))</f>
        <v>0</v>
      </c>
      <c r="AX42" s="30">
        <f t="shared" ca="1" si="7"/>
        <v>0</v>
      </c>
      <c r="AY42" s="35">
        <f ca="1">_xll.RiskBinomial(1,AX42)</f>
        <v>0</v>
      </c>
      <c r="AZ42" s="88">
        <f ca="1">IF(AY42=1,_xll.RiskBinomial(1,Prob_Illness_Given_Infection),0)</f>
        <v>0</v>
      </c>
      <c r="BB42" s="87">
        <f t="shared" ca="1" si="42"/>
        <v>5.9551429252764443E-5</v>
      </c>
      <c r="BC42" s="37">
        <f ca="1">INT(BB42) + _xll.RiskBinomial(1,BB42-INT(BB42))</f>
        <v>0</v>
      </c>
      <c r="BD42" s="30">
        <f t="shared" ca="1" si="8"/>
        <v>0</v>
      </c>
      <c r="BE42" s="35">
        <f ca="1">_xll.RiskBinomial(1,BD42)</f>
        <v>0</v>
      </c>
      <c r="BF42" s="88">
        <f ca="1">IF(BE42=1,_xll.RiskBinomial(1,Prob_Illness_Given_Infection),0)</f>
        <v>0</v>
      </c>
      <c r="BH42" s="87">
        <f t="shared" ca="1" si="43"/>
        <v>7.5396369834587361E-5</v>
      </c>
      <c r="BI42" s="37">
        <f ca="1">INT(BH42) + _xll.RiskBinomial(1,BH42-INT(BH42))</f>
        <v>0</v>
      </c>
      <c r="BJ42" s="30">
        <f t="shared" ca="1" si="9"/>
        <v>0</v>
      </c>
      <c r="BK42" s="35">
        <f ca="1">_xll.RiskBinomial(1,BJ42)</f>
        <v>0</v>
      </c>
      <c r="BL42" s="88">
        <f ca="1">IF(BK42=1,_xll.RiskBinomial(1,Prob_Illness_Given_Infection),0)</f>
        <v>0</v>
      </c>
      <c r="BN42" s="87">
        <f t="shared" ca="1" si="44"/>
        <v>5.7380936522517403E-6</v>
      </c>
      <c r="BO42" s="37">
        <f ca="1">INT(BN42) + _xll.RiskBinomial(1,BN42-INT(BN42))</f>
        <v>0</v>
      </c>
      <c r="BP42" s="30">
        <f t="shared" ca="1" si="10"/>
        <v>0</v>
      </c>
      <c r="BQ42" s="35">
        <f ca="1">_xll.RiskBinomial(1,BP42)</f>
        <v>0</v>
      </c>
      <c r="BR42" s="88">
        <f ca="1">IF(BQ42=1,_xll.RiskBinomial(1,Prob_Illness_Given_Infection),0)</f>
        <v>0</v>
      </c>
      <c r="BT42" s="87">
        <f t="shared" ca="1" si="45"/>
        <v>1.7254386949925546E-5</v>
      </c>
      <c r="BU42" s="37">
        <f ca="1">INT(BT42) + _xll.RiskBinomial(1,BT42-INT(BT42))</f>
        <v>0</v>
      </c>
      <c r="BV42" s="30">
        <f t="shared" ca="1" si="11"/>
        <v>0</v>
      </c>
      <c r="BW42" s="35">
        <f ca="1">_xll.RiskBinomial(1,BV42)</f>
        <v>0</v>
      </c>
      <c r="BX42" s="88">
        <f ca="1">IF(BW42=1,_xll.RiskBinomial(1,Prob_Illness_Given_Infection),0)</f>
        <v>0</v>
      </c>
      <c r="BZ42" s="87">
        <f t="shared" ca="1" si="46"/>
        <v>4.7300090931572003E-5</v>
      </c>
      <c r="CA42" s="37">
        <f ca="1">INT(BZ42) + _xll.RiskBinomial(1,BZ42-INT(BZ42))</f>
        <v>0</v>
      </c>
      <c r="CB42" s="30">
        <f t="shared" ca="1" si="12"/>
        <v>0</v>
      </c>
      <c r="CC42" s="35">
        <f ca="1">_xll.RiskBinomial(1,CB42)</f>
        <v>0</v>
      </c>
      <c r="CD42" s="88">
        <f ca="1">IF(CC42=1,_xll.RiskBinomial(1,Prob_Illness_Given_Infection),0)</f>
        <v>0</v>
      </c>
      <c r="CF42" s="87">
        <f t="shared" ca="1" si="47"/>
        <v>8.9747188167124067E-6</v>
      </c>
      <c r="CG42" s="37">
        <f ca="1">INT(CF42) + _xll.RiskBinomial(1,CF42-INT(CF42))</f>
        <v>0</v>
      </c>
      <c r="CH42" s="30">
        <f t="shared" ca="1" si="13"/>
        <v>0</v>
      </c>
      <c r="CI42" s="35">
        <f ca="1">_xll.RiskBinomial(1,CH42)</f>
        <v>0</v>
      </c>
      <c r="CJ42" s="88">
        <f ca="1">IF(CI42=1,_xll.RiskBinomial(1,Prob_Illness_Given_Infection),0)</f>
        <v>0</v>
      </c>
      <c r="CL42" s="87">
        <f t="shared" ca="1" si="48"/>
        <v>1.7318694793241857E-5</v>
      </c>
      <c r="CM42" s="37">
        <f ca="1">INT(CL42) + _xll.RiskBinomial(1,CL42-INT(CL42))</f>
        <v>0</v>
      </c>
      <c r="CN42" s="30">
        <f t="shared" ca="1" si="14"/>
        <v>0</v>
      </c>
      <c r="CO42" s="35">
        <f ca="1">_xll.RiskBinomial(1,CN42)</f>
        <v>0</v>
      </c>
      <c r="CP42" s="88">
        <f ca="1">IF(CO42=1,_xll.RiskBinomial(1,Prob_Illness_Given_Infection),0)</f>
        <v>0</v>
      </c>
      <c r="CR42" s="87">
        <f t="shared" ca="1" si="49"/>
        <v>1.193552026824965E-7</v>
      </c>
      <c r="CS42" s="37">
        <f ca="1">INT(CR42) + _xll.RiskBinomial(1,CR42-INT(CR42))</f>
        <v>0</v>
      </c>
      <c r="CT42" s="30">
        <f t="shared" ca="1" si="15"/>
        <v>0</v>
      </c>
      <c r="CU42" s="35">
        <f ca="1">_xll.RiskBinomial(1,CT42)</f>
        <v>0</v>
      </c>
      <c r="CV42" s="88">
        <f ca="1">IF(CU42=1,_xll.RiskBinomial(1,Prob_Illness_Given_Infection),0)</f>
        <v>0</v>
      </c>
      <c r="CX42" s="87">
        <f t="shared" ca="1" si="50"/>
        <v>1.2150223945960302E-9</v>
      </c>
      <c r="CY42" s="37">
        <f ca="1">INT(CX42) + _xll.RiskBinomial(1,CX42-INT(CX42))</f>
        <v>0</v>
      </c>
      <c r="CZ42" s="30">
        <f t="shared" ca="1" si="16"/>
        <v>0</v>
      </c>
      <c r="DA42" s="35">
        <f ca="1">_xll.RiskBinomial(1,CZ42)</f>
        <v>0</v>
      </c>
      <c r="DB42" s="88">
        <f ca="1">IF(DA42=1,_xll.RiskBinomial(1,Prob_Illness_Given_Infection),0)</f>
        <v>0</v>
      </c>
      <c r="DD42" s="87">
        <f t="shared" ca="1" si="51"/>
        <v>1.2150223945960302E-9</v>
      </c>
      <c r="DE42" s="37">
        <f ca="1">INT(DD42) + _xll.RiskBinomial(1,DD42-INT(DD42))</f>
        <v>0</v>
      </c>
      <c r="DF42" s="30">
        <f t="shared" ca="1" si="17"/>
        <v>0</v>
      </c>
      <c r="DG42" s="35">
        <f ca="1">_xll.RiskBinomial(1,DF42)</f>
        <v>0</v>
      </c>
      <c r="DH42" s="88">
        <f ca="1">IF(DG42=1,_xll.RiskBinomial(1,Prob_Illness_Given_Infection),0)</f>
        <v>0</v>
      </c>
      <c r="DJ42" s="87">
        <f t="shared" ca="1" si="52"/>
        <v>1.9839629825267323E-6</v>
      </c>
      <c r="DK42" s="37">
        <f ca="1">INT(DJ42) + _xll.RiskBinomial(1,DJ42-INT(DJ42))</f>
        <v>0</v>
      </c>
      <c r="DL42" s="30">
        <f t="shared" ca="1" si="18"/>
        <v>0</v>
      </c>
      <c r="DM42" s="35">
        <f ca="1">_xll.RiskBinomial(1,DL42)</f>
        <v>0</v>
      </c>
      <c r="DN42" s="88">
        <f ca="1">IF(DM42=1,_xll.RiskBinomial(1,Prob_Illness_Given_Infection),0)</f>
        <v>0</v>
      </c>
      <c r="DP42" s="87">
        <f t="shared" ca="1" si="53"/>
        <v>4.6899862410091538E-10</v>
      </c>
      <c r="DQ42" s="37">
        <f ca="1">INT(DP42) + _xll.RiskBinomial(1,DP42-INT(DP42))</f>
        <v>0</v>
      </c>
      <c r="DR42" s="30">
        <f t="shared" ca="1" si="19"/>
        <v>0</v>
      </c>
      <c r="DS42" s="35">
        <f ca="1">_xll.RiskBinomial(1,DR42)</f>
        <v>0</v>
      </c>
      <c r="DT42" s="88">
        <f ca="1">IF(DS42=1,_xll.RiskBinomial(1,Prob_Illness_Given_Infection),0)</f>
        <v>0</v>
      </c>
      <c r="DV42" s="87">
        <f t="shared" ca="1" si="54"/>
        <v>6.6025906159484308E-9</v>
      </c>
      <c r="DW42" s="37">
        <f ca="1">INT(DV42) + _xll.RiskBinomial(1,DV42-INT(DV42))</f>
        <v>0</v>
      </c>
      <c r="DX42" s="30">
        <f t="shared" ca="1" si="20"/>
        <v>0</v>
      </c>
      <c r="DY42" s="35">
        <f ca="1">_xll.RiskBinomial(1,DX42)</f>
        <v>0</v>
      </c>
      <c r="DZ42" s="88">
        <f ca="1">IF(DY42=1,_xll.RiskBinomial(1,Prob_Illness_Given_Infection),0)</f>
        <v>0</v>
      </c>
      <c r="EB42" s="87">
        <f t="shared" ca="1" si="55"/>
        <v>1.6568039882216259E-12</v>
      </c>
      <c r="EC42" s="37">
        <f ca="1">INT(EB42) + _xll.RiskBinomial(1,EB42-INT(EB42))</f>
        <v>0</v>
      </c>
      <c r="ED42" s="30">
        <f t="shared" ca="1" si="21"/>
        <v>0</v>
      </c>
      <c r="EE42" s="35">
        <f ca="1">_xll.RiskBinomial(1,ED42)</f>
        <v>0</v>
      </c>
      <c r="EF42" s="88">
        <f ca="1">IF(EE42=1,_xll.RiskBinomial(1,Prob_Illness_Given_Infection),0)</f>
        <v>0</v>
      </c>
      <c r="EH42" s="87">
        <f t="shared" ca="1" si="56"/>
        <v>1.6568039882199228E-12</v>
      </c>
      <c r="EI42" s="37">
        <f ca="1">INT(EH42) + _xll.RiskBinomial(1,EH42-INT(EH42))</f>
        <v>0</v>
      </c>
      <c r="EJ42" s="30">
        <f t="shared" ca="1" si="22"/>
        <v>0</v>
      </c>
      <c r="EK42" s="35">
        <f ca="1">_xll.RiskBinomial(1,EJ42)</f>
        <v>0</v>
      </c>
      <c r="EL42" s="88">
        <f ca="1">IF(EK42=1,_xll.RiskBinomial(1,Prob_Illness_Given_Infection),0)</f>
        <v>0</v>
      </c>
      <c r="EN42" s="87">
        <f t="shared" ca="1" si="57"/>
        <v>1.5117336131421314E-10</v>
      </c>
      <c r="EO42" s="37">
        <f ca="1">INT(EN42) + _xll.RiskBinomial(1,EN42-INT(EN42))</f>
        <v>0</v>
      </c>
      <c r="EP42" s="30">
        <f t="shared" ca="1" si="23"/>
        <v>0</v>
      </c>
      <c r="EQ42" s="35">
        <f ca="1">_xll.RiskBinomial(1,EP42)</f>
        <v>0</v>
      </c>
      <c r="ER42" s="88">
        <f ca="1">IF(EQ42=1,_xll.RiskBinomial(1,Prob_Illness_Given_Infection),0)</f>
        <v>0</v>
      </c>
      <c r="ET42" s="87">
        <f t="shared" ca="1" si="58"/>
        <v>1.6568039882183428E-12</v>
      </c>
      <c r="EU42" s="37">
        <f ca="1">INT(ET42) + _xll.RiskBinomial(1,ET42-INT(ET42))</f>
        <v>0</v>
      </c>
      <c r="EV42" s="30">
        <f t="shared" ca="1" si="24"/>
        <v>0</v>
      </c>
      <c r="EW42" s="35">
        <f ca="1">_xll.RiskBinomial(1,EV42)</f>
        <v>0</v>
      </c>
      <c r="EX42" s="88">
        <f ca="1">IF(EW42=1,_xll.RiskBinomial(1,Prob_Illness_Given_Infection),0)</f>
        <v>0</v>
      </c>
      <c r="EZ42" s="87">
        <f t="shared" ca="1" si="59"/>
        <v>1.2495952759653502E-5</v>
      </c>
      <c r="FA42" s="37">
        <f ca="1">INT(EZ42) + _xll.RiskBinomial(1,EZ42-INT(EZ42))</f>
        <v>0</v>
      </c>
      <c r="FB42" s="30">
        <f t="shared" ca="1" si="25"/>
        <v>0</v>
      </c>
      <c r="FC42" s="35">
        <f ca="1">_xll.RiskBinomial(1,FB42)</f>
        <v>0</v>
      </c>
      <c r="FD42" s="88">
        <f ca="1">IF(FC42=1,_xll.RiskBinomial(1,Prob_Illness_Given_Infection),0)</f>
        <v>0</v>
      </c>
      <c r="FF42" s="87">
        <f t="shared" ca="1" si="60"/>
        <v>8.7045402251339108E-5</v>
      </c>
      <c r="FG42" s="37">
        <f ca="1">INT(FF42) + _xll.RiskBinomial(1,FF42-INT(FF42))</f>
        <v>0</v>
      </c>
      <c r="FH42" s="30">
        <f t="shared" ca="1" si="26"/>
        <v>0</v>
      </c>
      <c r="FI42" s="35">
        <f ca="1">_xll.RiskBinomial(1,FH42)</f>
        <v>0</v>
      </c>
      <c r="FJ42" s="88">
        <f ca="1">IF(FI42=1,_xll.RiskBinomial(1,Prob_Illness_Given_Infection),0)</f>
        <v>0</v>
      </c>
      <c r="FL42" s="87" t="e">
        <f t="shared" ca="1" si="61"/>
        <v>#NAME?</v>
      </c>
      <c r="FM42" s="37" t="e">
        <f ca="1">INT(FL42) + _xll.RiskBinomial(1,FL42-INT(FL42))</f>
        <v>#NAME?</v>
      </c>
      <c r="FN42" s="30" t="e">
        <f t="shared" ca="1" si="27"/>
        <v>#NAME?</v>
      </c>
      <c r="FO42" s="35" t="e">
        <f ca="1">_xll.RiskBinomial(1,FN42)</f>
        <v>#VALUE!</v>
      </c>
      <c r="FP42" s="88" t="e">
        <f ca="1">IF(FO42=1,_xll.RiskBinomial(1,Prob_Illness_Given_Infection),0)</f>
        <v>#VALUE!</v>
      </c>
      <c r="FR42" s="87" t="e">
        <f t="shared" ca="1" si="62"/>
        <v>#NAME?</v>
      </c>
      <c r="FS42" s="37" t="e">
        <f ca="1">INT(FR42) + _xll.RiskBinomial(1,FR42-INT(FR42))</f>
        <v>#NAME?</v>
      </c>
      <c r="FT42" s="30" t="e">
        <f t="shared" ca="1" si="28"/>
        <v>#NAME?</v>
      </c>
      <c r="FU42" s="35" t="e">
        <f ca="1">_xll.RiskBinomial(1,FT42)</f>
        <v>#VALUE!</v>
      </c>
      <c r="FV42" s="88" t="e">
        <f ca="1">IF(FU42=1,_xll.RiskBinomial(1,Prob_Illness_Given_Infection),0)</f>
        <v>#VALUE!</v>
      </c>
      <c r="FX42" s="87">
        <f t="shared" ca="1" si="63"/>
        <v>1.7491990680103925E-7</v>
      </c>
      <c r="FY42" s="37">
        <f ca="1">INT(FX42) + _xll.RiskBinomial(1,FX42-INT(FX42))</f>
        <v>0</v>
      </c>
      <c r="FZ42" s="30">
        <f t="shared" ca="1" si="29"/>
        <v>0</v>
      </c>
      <c r="GA42" s="35">
        <f ca="1">_xll.RiskBinomial(1,FZ42)</f>
        <v>0</v>
      </c>
      <c r="GB42" s="88">
        <f ca="1">IF(GA42=1,_xll.RiskBinomial(1,Prob_Illness_Given_Infection),0)</f>
        <v>0</v>
      </c>
      <c r="GD42" s="87" t="e">
        <f t="shared" ca="1" si="64"/>
        <v>#NAME?</v>
      </c>
      <c r="GE42" s="37" t="e">
        <f ca="1">INT(GD42) + _xll.RiskBinomial(1,GD42-INT(GD42))</f>
        <v>#NAME?</v>
      </c>
      <c r="GF42" s="30" t="e">
        <f t="shared" ca="1" si="30"/>
        <v>#NAME?</v>
      </c>
      <c r="GG42" s="35" t="e">
        <f ca="1">_xll.RiskBinomial(1,GF42)</f>
        <v>#VALUE!</v>
      </c>
      <c r="GH42" s="88" t="e">
        <f ca="1">IF(GG42=1,_xll.RiskBinomial(1,Prob_Illness_Given_Infection),0)</f>
        <v>#VALUE!</v>
      </c>
      <c r="GJ42" s="87" t="e">
        <f t="shared" ca="1" si="65"/>
        <v>#NAME?</v>
      </c>
      <c r="GK42" s="37" t="e">
        <f ca="1">INT(GJ42) + _xll.RiskBinomial(1,GJ42-INT(GJ42))</f>
        <v>#NAME?</v>
      </c>
      <c r="GL42" s="30" t="e">
        <f t="shared" ca="1" si="31"/>
        <v>#NAME?</v>
      </c>
      <c r="GM42" s="35" t="e">
        <f ca="1">_xll.RiskBinomial(1,GL42)</f>
        <v>#VALUE!</v>
      </c>
      <c r="GN42" s="88" t="e">
        <f ca="1">IF(GM42=1,_xll.RiskBinomial(1,Prob_Illness_Given_Infection),0)</f>
        <v>#VALUE!</v>
      </c>
      <c r="GP42" s="87" t="e">
        <f t="shared" ca="1" si="66"/>
        <v>#NAME?</v>
      </c>
      <c r="GQ42" s="37" t="e">
        <f ca="1">INT(GP42) + _xll.RiskBinomial(1,GP42-INT(GP42))</f>
        <v>#NAME?</v>
      </c>
      <c r="GR42" s="30" t="e">
        <f t="shared" ca="1" si="32"/>
        <v>#NAME?</v>
      </c>
      <c r="GS42" s="35" t="e">
        <f ca="1">_xll.RiskBinomial(1,GR42)</f>
        <v>#VALUE!</v>
      </c>
      <c r="GT42" s="88" t="e">
        <f ca="1">IF(GS42=1,_xll.RiskBinomial(1,Prob_Illness_Given_Infection),0)</f>
        <v>#VALUE!</v>
      </c>
    </row>
    <row r="43" spans="2:202">
      <c r="B43" s="108">
        <v>35</v>
      </c>
      <c r="C43" s="87">
        <f ca="1">_xll.RiskLoglogistic(LogLogistic_gamma, LogLogistic_beta, LogLogistic_alpha, _xll.RiskTruncate(5,800))</f>
        <v>51.034000064960281</v>
      </c>
      <c r="D43" s="38">
        <f t="shared" ca="1" si="67"/>
        <v>3.2785077236391427</v>
      </c>
      <c r="E43" s="30"/>
      <c r="F43" s="87">
        <f t="shared" ca="1" si="34"/>
        <v>1.1836697765055221E-9</v>
      </c>
      <c r="G43" s="37">
        <f ca="1">INT(F43) + _xll.RiskBinomial(1,F43-INT(F43))</f>
        <v>0</v>
      </c>
      <c r="H43" s="30">
        <f t="shared" ca="1" si="68"/>
        <v>0</v>
      </c>
      <c r="I43" s="35">
        <f ca="1">_xll.RiskBinomial(1,H43)</f>
        <v>0</v>
      </c>
      <c r="J43" s="88">
        <f ca="1">IF(I43=1,_xll.RiskBinomial(1,Prob_Illness_Given_Infection),0)</f>
        <v>0</v>
      </c>
      <c r="K43" s="30"/>
      <c r="L43" s="87">
        <f t="shared" ca="1" si="35"/>
        <v>6.0458767983638099E-5</v>
      </c>
      <c r="M43" s="37">
        <f ca="1">INT(L43) + _xll.RiskBinomial(1,L43-INT(L43))</f>
        <v>0</v>
      </c>
      <c r="N43" s="30">
        <f t="shared" ca="1" si="1"/>
        <v>0</v>
      </c>
      <c r="O43" s="35">
        <f ca="1">_xll.RiskBinomial(1,N43)</f>
        <v>0</v>
      </c>
      <c r="P43" s="88">
        <f ca="1">IF(O43=1,_xll.RiskBinomial(1,Prob_Illness_Given_Infection),0)</f>
        <v>0</v>
      </c>
      <c r="Q43" s="30"/>
      <c r="R43" s="87">
        <f t="shared" ca="1" si="36"/>
        <v>6.2499717773158568E-6</v>
      </c>
      <c r="S43" s="37">
        <f ca="1">INT(R43) + _xll.RiskBinomial(1,R43-INT(R43))</f>
        <v>0</v>
      </c>
      <c r="T43" s="30">
        <f t="shared" ca="1" si="2"/>
        <v>0</v>
      </c>
      <c r="U43" s="35">
        <f ca="1">_xll.RiskBinomial(1,T43)</f>
        <v>0</v>
      </c>
      <c r="V43" s="88">
        <f ca="1">IF(U43=1,_xll.RiskBinomial(1,Prob_Illness_Given_Infection),0)</f>
        <v>0</v>
      </c>
      <c r="W43" s="30"/>
      <c r="X43" s="87">
        <f t="shared" ca="1" si="37"/>
        <v>2.5676512437264035E-12</v>
      </c>
      <c r="Y43" s="37">
        <f ca="1">INT(X43) + _xll.RiskBinomial(1,X43-INT(X43))</f>
        <v>0</v>
      </c>
      <c r="Z43" s="30">
        <f t="shared" ca="1" si="3"/>
        <v>0</v>
      </c>
      <c r="AA43" s="35">
        <f ca="1">_xll.RiskBinomial(1,Z43)</f>
        <v>0</v>
      </c>
      <c r="AB43" s="88">
        <f ca="1">IF(AA43=1,_xll.RiskBinomial(1,Prob_Illness_Given_Infection),0)</f>
        <v>0</v>
      </c>
      <c r="AC43" s="30"/>
      <c r="AD43" s="87">
        <f t="shared" ca="1" si="38"/>
        <v>1.2936281710463519E-12</v>
      </c>
      <c r="AE43" s="37">
        <f ca="1">INT(AD43) + _xll.RiskBinomial(1,AD43-INT(AD43))</f>
        <v>0</v>
      </c>
      <c r="AF43" s="30">
        <f t="shared" ca="1" si="4"/>
        <v>0</v>
      </c>
      <c r="AG43" s="35">
        <f ca="1">_xll.RiskBinomial(1,AF43)</f>
        <v>0</v>
      </c>
      <c r="AH43" s="88">
        <f ca="1">IF(AG43=1,_xll.RiskBinomial(1,Prob_Illness_Given_Infection),0)</f>
        <v>0</v>
      </c>
      <c r="AI43" s="30"/>
      <c r="AJ43" s="87">
        <f t="shared" ca="1" si="39"/>
        <v>6.0046885932541372E-5</v>
      </c>
      <c r="AK43" s="37">
        <f ca="1">INT(AJ43) + _xll.RiskBinomial(1,AJ43-INT(AJ43))</f>
        <v>0</v>
      </c>
      <c r="AL43" s="30">
        <f t="shared" ca="1" si="5"/>
        <v>0</v>
      </c>
      <c r="AM43" s="35">
        <f ca="1">_xll.RiskBinomial(1,AL43)</f>
        <v>0</v>
      </c>
      <c r="AN43" s="88">
        <f ca="1">IF(AM43=1,_xll.RiskBinomial(1,Prob_Illness_Given_Infection),0)</f>
        <v>0</v>
      </c>
      <c r="AO43" s="30"/>
      <c r="AP43" s="87">
        <f t="shared" ca="1" si="40"/>
        <v>1.4602822420089306E-9</v>
      </c>
      <c r="AQ43" s="37">
        <f ca="1">INT(AP43) + _xll.RiskBinomial(1,AP43-INT(AP43))</f>
        <v>0</v>
      </c>
      <c r="AR43" s="30">
        <f t="shared" ca="1" si="6"/>
        <v>0</v>
      </c>
      <c r="AS43" s="35">
        <f ca="1">_xll.RiskBinomial(1,AR43)</f>
        <v>0</v>
      </c>
      <c r="AT43" s="88">
        <f ca="1">IF(AS43=1,_xll.RiskBinomial(1,Prob_Illness_Given_Infection),0)</f>
        <v>0</v>
      </c>
      <c r="AU43" s="30"/>
      <c r="AV43" s="87">
        <f t="shared" ca="1" si="41"/>
        <v>3.3877787812062996E-5</v>
      </c>
      <c r="AW43" s="37">
        <f ca="1">INT(AV43) + _xll.RiskBinomial(1,AV43-INT(AV43))</f>
        <v>0</v>
      </c>
      <c r="AX43" s="30">
        <f t="shared" ca="1" si="7"/>
        <v>0</v>
      </c>
      <c r="AY43" s="35">
        <f ca="1">_xll.RiskBinomial(1,AX43)</f>
        <v>0</v>
      </c>
      <c r="AZ43" s="88">
        <f ca="1">IF(AY43=1,_xll.RiskBinomial(1,Prob_Illness_Given_Infection),0)</f>
        <v>0</v>
      </c>
      <c r="BB43" s="87">
        <f t="shared" ca="1" si="42"/>
        <v>4.6497598421472978E-5</v>
      </c>
      <c r="BC43" s="37">
        <f ca="1">INT(BB43) + _xll.RiskBinomial(1,BB43-INT(BB43))</f>
        <v>0</v>
      </c>
      <c r="BD43" s="30">
        <f t="shared" ca="1" si="8"/>
        <v>0</v>
      </c>
      <c r="BE43" s="35">
        <f ca="1">_xll.RiskBinomial(1,BD43)</f>
        <v>0</v>
      </c>
      <c r="BF43" s="88">
        <f ca="1">IF(BE43=1,_xll.RiskBinomial(1,Prob_Illness_Given_Infection),0)</f>
        <v>0</v>
      </c>
      <c r="BH43" s="87">
        <f t="shared" ca="1" si="43"/>
        <v>5.8869286111092976E-5</v>
      </c>
      <c r="BI43" s="37">
        <f ca="1">INT(BH43) + _xll.RiskBinomial(1,BH43-INT(BH43))</f>
        <v>0</v>
      </c>
      <c r="BJ43" s="30">
        <f t="shared" ca="1" si="9"/>
        <v>0</v>
      </c>
      <c r="BK43" s="35">
        <f ca="1">_xll.RiskBinomial(1,BJ43)</f>
        <v>0</v>
      </c>
      <c r="BL43" s="88">
        <f ca="1">IF(BK43=1,_xll.RiskBinomial(1,Prob_Illness_Given_Infection),0)</f>
        <v>0</v>
      </c>
      <c r="BN43" s="87">
        <f t="shared" ca="1" si="44"/>
        <v>4.480288343958078E-6</v>
      </c>
      <c r="BO43" s="37">
        <f ca="1">INT(BN43) + _xll.RiskBinomial(1,BN43-INT(BN43))</f>
        <v>0</v>
      </c>
      <c r="BP43" s="30">
        <f t="shared" ca="1" si="10"/>
        <v>0</v>
      </c>
      <c r="BQ43" s="35">
        <f ca="1">_xll.RiskBinomial(1,BP43)</f>
        <v>0</v>
      </c>
      <c r="BR43" s="88">
        <f ca="1">IF(BQ43=1,_xll.RiskBinomial(1,Prob_Illness_Given_Infection),0)</f>
        <v>0</v>
      </c>
      <c r="BT43" s="87">
        <f t="shared" ca="1" si="45"/>
        <v>1.3472179685244059E-5</v>
      </c>
      <c r="BU43" s="37">
        <f ca="1">INT(BT43) + _xll.RiskBinomial(1,BT43-INT(BT43))</f>
        <v>0</v>
      </c>
      <c r="BV43" s="30">
        <f t="shared" ca="1" si="11"/>
        <v>0</v>
      </c>
      <c r="BW43" s="35">
        <f ca="1">_xll.RiskBinomial(1,BV43)</f>
        <v>0</v>
      </c>
      <c r="BX43" s="88">
        <f ca="1">IF(BW43=1,_xll.RiskBinomial(1,Prob_Illness_Given_Infection),0)</f>
        <v>0</v>
      </c>
      <c r="BZ43" s="87">
        <f t="shared" ca="1" si="46"/>
        <v>3.693178587033316E-5</v>
      </c>
      <c r="CA43" s="37">
        <f ca="1">INT(BZ43) + _xll.RiskBinomial(1,BZ43-INT(BZ43))</f>
        <v>0</v>
      </c>
      <c r="CB43" s="30">
        <f t="shared" ca="1" si="12"/>
        <v>0</v>
      </c>
      <c r="CC43" s="35">
        <f ca="1">_xll.RiskBinomial(1,CB43)</f>
        <v>0</v>
      </c>
      <c r="CD43" s="88">
        <f ca="1">IF(CC43=1,_xll.RiskBinomial(1,Prob_Illness_Given_Infection),0)</f>
        <v>0</v>
      </c>
      <c r="CF43" s="87">
        <f t="shared" ca="1" si="47"/>
        <v>7.0074367101064826E-6</v>
      </c>
      <c r="CG43" s="37">
        <f ca="1">INT(CF43) + _xll.RiskBinomial(1,CF43-INT(CF43))</f>
        <v>0</v>
      </c>
      <c r="CH43" s="30">
        <f t="shared" ca="1" si="13"/>
        <v>0</v>
      </c>
      <c r="CI43" s="35">
        <f ca="1">_xll.RiskBinomial(1,CH43)</f>
        <v>0</v>
      </c>
      <c r="CJ43" s="88">
        <f ca="1">IF(CI43=1,_xll.RiskBinomial(1,Prob_Illness_Given_Infection),0)</f>
        <v>0</v>
      </c>
      <c r="CL43" s="87">
        <f t="shared" ca="1" si="48"/>
        <v>1.3522391079183594E-5</v>
      </c>
      <c r="CM43" s="37">
        <f ca="1">INT(CL43) + _xll.RiskBinomial(1,CL43-INT(CL43))</f>
        <v>0</v>
      </c>
      <c r="CN43" s="30">
        <f t="shared" ca="1" si="14"/>
        <v>0</v>
      </c>
      <c r="CO43" s="35">
        <f ca="1">_xll.RiskBinomial(1,CN43)</f>
        <v>0</v>
      </c>
      <c r="CP43" s="88">
        <f ca="1">IF(CO43=1,_xll.RiskBinomial(1,Prob_Illness_Given_Infection),0)</f>
        <v>0</v>
      </c>
      <c r="CR43" s="87">
        <f t="shared" ca="1" si="49"/>
        <v>9.3192226508763634E-8</v>
      </c>
      <c r="CS43" s="37">
        <f ca="1">INT(CR43) + _xll.RiskBinomial(1,CR43-INT(CR43))</f>
        <v>0</v>
      </c>
      <c r="CT43" s="30">
        <f t="shared" ca="1" si="15"/>
        <v>0</v>
      </c>
      <c r="CU43" s="35">
        <f ca="1">_xll.RiskBinomial(1,CT43)</f>
        <v>0</v>
      </c>
      <c r="CV43" s="88">
        <f ca="1">IF(CU43=1,_xll.RiskBinomial(1,Prob_Illness_Given_Infection),0)</f>
        <v>0</v>
      </c>
      <c r="CX43" s="87">
        <f t="shared" ca="1" si="50"/>
        <v>9.4868627144494772E-10</v>
      </c>
      <c r="CY43" s="37">
        <f ca="1">INT(CX43) + _xll.RiskBinomial(1,CX43-INT(CX43))</f>
        <v>0</v>
      </c>
      <c r="CZ43" s="30">
        <f t="shared" ca="1" si="16"/>
        <v>0</v>
      </c>
      <c r="DA43" s="35">
        <f ca="1">_xll.RiskBinomial(1,CZ43)</f>
        <v>0</v>
      </c>
      <c r="DB43" s="88">
        <f ca="1">IF(DA43=1,_xll.RiskBinomial(1,Prob_Illness_Given_Infection),0)</f>
        <v>0</v>
      </c>
      <c r="DD43" s="87">
        <f t="shared" ca="1" si="51"/>
        <v>9.4868627144494772E-10</v>
      </c>
      <c r="DE43" s="37">
        <f ca="1">INT(DD43) + _xll.RiskBinomial(1,DD43-INT(DD43))</f>
        <v>0</v>
      </c>
      <c r="DF43" s="30">
        <f t="shared" ca="1" si="17"/>
        <v>0</v>
      </c>
      <c r="DG43" s="35">
        <f ca="1">_xll.RiskBinomial(1,DF43)</f>
        <v>0</v>
      </c>
      <c r="DH43" s="88">
        <f ca="1">IF(DG43=1,_xll.RiskBinomial(1,Prob_Illness_Given_Infection),0)</f>
        <v>0</v>
      </c>
      <c r="DJ43" s="87">
        <f t="shared" ca="1" si="52"/>
        <v>1.5490730483234118E-6</v>
      </c>
      <c r="DK43" s="37">
        <f ca="1">INT(DJ43) + _xll.RiskBinomial(1,DJ43-INT(DJ43))</f>
        <v>0</v>
      </c>
      <c r="DL43" s="30">
        <f t="shared" ca="1" si="18"/>
        <v>0</v>
      </c>
      <c r="DM43" s="35">
        <f ca="1">_xll.RiskBinomial(1,DL43)</f>
        <v>0</v>
      </c>
      <c r="DN43" s="88">
        <f ca="1">IF(DM43=1,_xll.RiskBinomial(1,Prob_Illness_Given_Infection),0)</f>
        <v>0</v>
      </c>
      <c r="DP43" s="87">
        <f t="shared" ca="1" si="53"/>
        <v>3.6619288499537403E-10</v>
      </c>
      <c r="DQ43" s="37">
        <f ca="1">INT(DP43) + _xll.RiskBinomial(1,DP43-INT(DP43))</f>
        <v>0</v>
      </c>
      <c r="DR43" s="30">
        <f t="shared" ca="1" si="19"/>
        <v>0</v>
      </c>
      <c r="DS43" s="35">
        <f ca="1">_xll.RiskBinomial(1,DR43)</f>
        <v>0</v>
      </c>
      <c r="DT43" s="88">
        <f ca="1">IF(DS43=1,_xll.RiskBinomial(1,Prob_Illness_Given_Infection),0)</f>
        <v>0</v>
      </c>
      <c r="DV43" s="87">
        <f t="shared" ca="1" si="54"/>
        <v>5.1552852862470061E-9</v>
      </c>
      <c r="DW43" s="37">
        <f ca="1">INT(DV43) + _xll.RiskBinomial(1,DV43-INT(DV43))</f>
        <v>0</v>
      </c>
      <c r="DX43" s="30">
        <f t="shared" ca="1" si="20"/>
        <v>0</v>
      </c>
      <c r="DY43" s="35">
        <f ca="1">_xll.RiskBinomial(1,DX43)</f>
        <v>0</v>
      </c>
      <c r="DZ43" s="88">
        <f ca="1">IF(DY43=1,_xll.RiskBinomial(1,Prob_Illness_Given_Infection),0)</f>
        <v>0</v>
      </c>
      <c r="EB43" s="87">
        <f t="shared" ca="1" si="55"/>
        <v>1.2936281710459173E-12</v>
      </c>
      <c r="EC43" s="37">
        <f ca="1">INT(EB43) + _xll.RiskBinomial(1,EB43-INT(EB43))</f>
        <v>0</v>
      </c>
      <c r="ED43" s="30">
        <f t="shared" ca="1" si="21"/>
        <v>0</v>
      </c>
      <c r="EE43" s="35">
        <f ca="1">_xll.RiskBinomial(1,ED43)</f>
        <v>0</v>
      </c>
      <c r="EF43" s="88">
        <f ca="1">IF(EE43=1,_xll.RiskBinomial(1,Prob_Illness_Given_Infection),0)</f>
        <v>0</v>
      </c>
      <c r="EH43" s="87">
        <f t="shared" ca="1" si="56"/>
        <v>1.2936281710445875E-12</v>
      </c>
      <c r="EI43" s="37">
        <f ca="1">INT(EH43) + _xll.RiskBinomial(1,EH43-INT(EH43))</f>
        <v>0</v>
      </c>
      <c r="EJ43" s="30">
        <f t="shared" ca="1" si="22"/>
        <v>0</v>
      </c>
      <c r="EK43" s="35">
        <f ca="1">_xll.RiskBinomial(1,EJ43)</f>
        <v>0</v>
      </c>
      <c r="EL43" s="88">
        <f ca="1">IF(EK43=1,_xll.RiskBinomial(1,Prob_Illness_Given_Infection),0)</f>
        <v>0</v>
      </c>
      <c r="EN43" s="87">
        <f t="shared" ca="1" si="57"/>
        <v>1.1803576059572438E-10</v>
      </c>
      <c r="EO43" s="37">
        <f ca="1">INT(EN43) + _xll.RiskBinomial(1,EN43-INT(EN43))</f>
        <v>0</v>
      </c>
      <c r="EP43" s="30">
        <f t="shared" ca="1" si="23"/>
        <v>0</v>
      </c>
      <c r="EQ43" s="35">
        <f ca="1">_xll.RiskBinomial(1,EP43)</f>
        <v>0</v>
      </c>
      <c r="ER43" s="88">
        <f ca="1">IF(EQ43=1,_xll.RiskBinomial(1,Prob_Illness_Given_Infection),0)</f>
        <v>0</v>
      </c>
      <c r="ET43" s="87">
        <f t="shared" ca="1" si="58"/>
        <v>1.2936281710433538E-12</v>
      </c>
      <c r="EU43" s="37">
        <f ca="1">INT(ET43) + _xll.RiskBinomial(1,ET43-INT(ET43))</f>
        <v>0</v>
      </c>
      <c r="EV43" s="30">
        <f t="shared" ca="1" si="24"/>
        <v>0</v>
      </c>
      <c r="EW43" s="35">
        <f ca="1">_xll.RiskBinomial(1,EV43)</f>
        <v>0</v>
      </c>
      <c r="EX43" s="88">
        <f ca="1">IF(EW43=1,_xll.RiskBinomial(1,Prob_Illness_Given_Infection),0)</f>
        <v>0</v>
      </c>
      <c r="EZ43" s="87">
        <f t="shared" ca="1" si="59"/>
        <v>9.7568068575800534E-6</v>
      </c>
      <c r="FA43" s="37">
        <f ca="1">INT(EZ43) + _xll.RiskBinomial(1,EZ43-INT(EZ43))</f>
        <v>0</v>
      </c>
      <c r="FB43" s="30">
        <f t="shared" ca="1" si="25"/>
        <v>0</v>
      </c>
      <c r="FC43" s="35">
        <f ca="1">_xll.RiskBinomial(1,FB43)</f>
        <v>0</v>
      </c>
      <c r="FD43" s="88">
        <f ca="1">IF(FC43=1,_xll.RiskBinomial(1,Prob_Illness_Given_Infection),0)</f>
        <v>0</v>
      </c>
      <c r="FF43" s="87">
        <f t="shared" ca="1" si="60"/>
        <v>6.7964819805403089E-5</v>
      </c>
      <c r="FG43" s="37">
        <f ca="1">INT(FF43) + _xll.RiskBinomial(1,FF43-INT(FF43))</f>
        <v>0</v>
      </c>
      <c r="FH43" s="30">
        <f t="shared" ca="1" si="26"/>
        <v>0</v>
      </c>
      <c r="FI43" s="35">
        <f ca="1">_xll.RiskBinomial(1,FH43)</f>
        <v>0</v>
      </c>
      <c r="FJ43" s="88">
        <f ca="1">IF(FI43=1,_xll.RiskBinomial(1,Prob_Illness_Given_Infection),0)</f>
        <v>0</v>
      </c>
      <c r="FL43" s="87" t="e">
        <f t="shared" ca="1" si="61"/>
        <v>#NAME?</v>
      </c>
      <c r="FM43" s="37" t="e">
        <f ca="1">INT(FL43) + _xll.RiskBinomial(1,FL43-INT(FL43))</f>
        <v>#NAME?</v>
      </c>
      <c r="FN43" s="30" t="e">
        <f t="shared" ca="1" si="27"/>
        <v>#NAME?</v>
      </c>
      <c r="FO43" s="35" t="e">
        <f ca="1">_xll.RiskBinomial(1,FN43)</f>
        <v>#VALUE!</v>
      </c>
      <c r="FP43" s="88" t="e">
        <f ca="1">IF(FO43=1,_xll.RiskBinomial(1,Prob_Illness_Given_Infection),0)</f>
        <v>#VALUE!</v>
      </c>
      <c r="FR43" s="87" t="e">
        <f t="shared" ca="1" si="62"/>
        <v>#NAME?</v>
      </c>
      <c r="FS43" s="37" t="e">
        <f ca="1">INT(FR43) + _xll.RiskBinomial(1,FR43-INT(FR43))</f>
        <v>#NAME?</v>
      </c>
      <c r="FT43" s="30" t="e">
        <f t="shared" ca="1" si="28"/>
        <v>#NAME?</v>
      </c>
      <c r="FU43" s="35" t="e">
        <f ca="1">_xll.RiskBinomial(1,FT43)</f>
        <v>#VALUE!</v>
      </c>
      <c r="FV43" s="88" t="e">
        <f ca="1">IF(FU43=1,_xll.RiskBinomial(1,Prob_Illness_Given_Infection),0)</f>
        <v>#VALUE!</v>
      </c>
      <c r="FX43" s="87">
        <f t="shared" ca="1" si="63"/>
        <v>1.3657700049203511E-7</v>
      </c>
      <c r="FY43" s="37">
        <f ca="1">INT(FX43) + _xll.RiskBinomial(1,FX43-INT(FX43))</f>
        <v>0</v>
      </c>
      <c r="FZ43" s="30">
        <f t="shared" ca="1" si="29"/>
        <v>0</v>
      </c>
      <c r="GA43" s="35">
        <f ca="1">_xll.RiskBinomial(1,FZ43)</f>
        <v>0</v>
      </c>
      <c r="GB43" s="88">
        <f ca="1">IF(GA43=1,_xll.RiskBinomial(1,Prob_Illness_Given_Infection),0)</f>
        <v>0</v>
      </c>
      <c r="GD43" s="87" t="e">
        <f t="shared" ca="1" si="64"/>
        <v>#NAME?</v>
      </c>
      <c r="GE43" s="37" t="e">
        <f ca="1">INT(GD43) + _xll.RiskBinomial(1,GD43-INT(GD43))</f>
        <v>#NAME?</v>
      </c>
      <c r="GF43" s="30" t="e">
        <f t="shared" ca="1" si="30"/>
        <v>#NAME?</v>
      </c>
      <c r="GG43" s="35" t="e">
        <f ca="1">_xll.RiskBinomial(1,GF43)</f>
        <v>#VALUE!</v>
      </c>
      <c r="GH43" s="88" t="e">
        <f ca="1">IF(GG43=1,_xll.RiskBinomial(1,Prob_Illness_Given_Infection),0)</f>
        <v>#VALUE!</v>
      </c>
      <c r="GJ43" s="87" t="e">
        <f t="shared" ca="1" si="65"/>
        <v>#NAME?</v>
      </c>
      <c r="GK43" s="37" t="e">
        <f ca="1">INT(GJ43) + _xll.RiskBinomial(1,GJ43-INT(GJ43))</f>
        <v>#NAME?</v>
      </c>
      <c r="GL43" s="30" t="e">
        <f t="shared" ca="1" si="31"/>
        <v>#NAME?</v>
      </c>
      <c r="GM43" s="35" t="e">
        <f ca="1">_xll.RiskBinomial(1,GL43)</f>
        <v>#VALUE!</v>
      </c>
      <c r="GN43" s="88" t="e">
        <f ca="1">IF(GM43=1,_xll.RiskBinomial(1,Prob_Illness_Given_Infection),0)</f>
        <v>#VALUE!</v>
      </c>
      <c r="GP43" s="87" t="e">
        <f t="shared" ca="1" si="66"/>
        <v>#NAME?</v>
      </c>
      <c r="GQ43" s="37" t="e">
        <f ca="1">INT(GP43) + _xll.RiskBinomial(1,GP43-INT(GP43))</f>
        <v>#NAME?</v>
      </c>
      <c r="GR43" s="30" t="e">
        <f t="shared" ca="1" si="32"/>
        <v>#NAME?</v>
      </c>
      <c r="GS43" s="35" t="e">
        <f ca="1">_xll.RiskBinomial(1,GR43)</f>
        <v>#VALUE!</v>
      </c>
      <c r="GT43" s="88" t="e">
        <f ca="1">IF(GS43=1,_xll.RiskBinomial(1,Prob_Illness_Given_Infection),0)</f>
        <v>#VALUE!</v>
      </c>
    </row>
    <row r="44" spans="2:202">
      <c r="B44" s="108">
        <v>36</v>
      </c>
      <c r="C44" s="87">
        <f ca="1">_xll.RiskLoglogistic(LogLogistic_gamma, LogLogistic_beta, LogLogistic_alpha, _xll.RiskTruncate(5,800))</f>
        <v>123.62654380157396</v>
      </c>
      <c r="D44" s="38">
        <f t="shared" ca="1" si="67"/>
        <v>7.94197159118157</v>
      </c>
      <c r="E44" s="30"/>
      <c r="F44" s="87">
        <f t="shared" ca="1" si="34"/>
        <v>2.8673629988927865E-9</v>
      </c>
      <c r="G44" s="37">
        <f ca="1">INT(F44) + _xll.RiskBinomial(1,F44-INT(F44))</f>
        <v>0</v>
      </c>
      <c r="H44" s="30">
        <f t="shared" ca="1" si="68"/>
        <v>0</v>
      </c>
      <c r="I44" s="35">
        <f ca="1">_xll.RiskBinomial(1,H44)</f>
        <v>0</v>
      </c>
      <c r="J44" s="88">
        <f ca="1">IF(I44=1,_xll.RiskBinomial(1,Prob_Illness_Given_Infection),0)</f>
        <v>0</v>
      </c>
      <c r="K44" s="30"/>
      <c r="L44" s="87">
        <f t="shared" ca="1" si="35"/>
        <v>1.4645743070902762E-4</v>
      </c>
      <c r="M44" s="37">
        <f ca="1">INT(L44) + _xll.RiskBinomial(1,L44-INT(L44))</f>
        <v>0</v>
      </c>
      <c r="N44" s="30">
        <f t="shared" ca="1" si="1"/>
        <v>0</v>
      </c>
      <c r="O44" s="35">
        <f ca="1">_xll.RiskBinomial(1,N44)</f>
        <v>0</v>
      </c>
      <c r="P44" s="88">
        <f ca="1">IF(O44=1,_xll.RiskBinomial(1,Prob_Illness_Given_Infection),0)</f>
        <v>0</v>
      </c>
      <c r="Q44" s="30"/>
      <c r="R44" s="87">
        <f t="shared" ca="1" si="36"/>
        <v>1.5140149874660645E-5</v>
      </c>
      <c r="S44" s="37">
        <f ca="1">INT(R44) + _xll.RiskBinomial(1,R44-INT(R44))</f>
        <v>0</v>
      </c>
      <c r="T44" s="30">
        <f t="shared" ca="1" si="2"/>
        <v>0</v>
      </c>
      <c r="U44" s="35">
        <f ca="1">_xll.RiskBinomial(1,T44)</f>
        <v>0</v>
      </c>
      <c r="V44" s="88">
        <f ca="1">IF(U44=1,_xll.RiskBinomial(1,Prob_Illness_Given_Infection),0)</f>
        <v>0</v>
      </c>
      <c r="W44" s="30"/>
      <c r="X44" s="87">
        <f t="shared" ca="1" si="37"/>
        <v>6.2199680320111529E-12</v>
      </c>
      <c r="Y44" s="37">
        <f ca="1">INT(X44) + _xll.RiskBinomial(1,X44-INT(X44))</f>
        <v>0</v>
      </c>
      <c r="Z44" s="30">
        <f t="shared" ca="1" si="3"/>
        <v>0</v>
      </c>
      <c r="AA44" s="35">
        <f ca="1">_xll.RiskBinomial(1,Z44)</f>
        <v>0</v>
      </c>
      <c r="AB44" s="88">
        <f ca="1">IF(AA44=1,_xll.RiskBinomial(1,Prob_Illness_Given_Infection),0)</f>
        <v>0</v>
      </c>
      <c r="AC44" s="30"/>
      <c r="AD44" s="87">
        <f t="shared" ca="1" si="38"/>
        <v>3.1337300534397424E-12</v>
      </c>
      <c r="AE44" s="37">
        <f ca="1">INT(AD44) + _xll.RiskBinomial(1,AD44-INT(AD44))</f>
        <v>0</v>
      </c>
      <c r="AF44" s="30">
        <f t="shared" ca="1" si="4"/>
        <v>0</v>
      </c>
      <c r="AG44" s="35">
        <f ca="1">_xll.RiskBinomial(1,AF44)</f>
        <v>0</v>
      </c>
      <c r="AH44" s="88">
        <f ca="1">IF(AG44=1,_xll.RiskBinomial(1,Prob_Illness_Given_Infection),0)</f>
        <v>0</v>
      </c>
      <c r="AI44" s="30"/>
      <c r="AJ44" s="87">
        <f t="shared" ca="1" si="39"/>
        <v>1.4545967324603869E-4</v>
      </c>
      <c r="AK44" s="37">
        <f ca="1">INT(AJ44) + _xll.RiskBinomial(1,AJ44-INT(AJ44))</f>
        <v>0</v>
      </c>
      <c r="AL44" s="30">
        <f t="shared" ca="1" si="5"/>
        <v>0</v>
      </c>
      <c r="AM44" s="35">
        <f ca="1">_xll.RiskBinomial(1,AL44)</f>
        <v>0</v>
      </c>
      <c r="AN44" s="88">
        <f ca="1">IF(AM44=1,_xll.RiskBinomial(1,Prob_Illness_Given_Infection),0)</f>
        <v>0</v>
      </c>
      <c r="AO44" s="30"/>
      <c r="AP44" s="87">
        <f t="shared" ca="1" si="40"/>
        <v>3.5374386942936996E-9</v>
      </c>
      <c r="AQ44" s="37">
        <f ca="1">INT(AP44) + _xll.RiskBinomial(1,AP44-INT(AP44))</f>
        <v>0</v>
      </c>
      <c r="AR44" s="30">
        <f t="shared" ca="1" si="6"/>
        <v>0</v>
      </c>
      <c r="AS44" s="35">
        <f ca="1">_xll.RiskBinomial(1,AR44)</f>
        <v>0</v>
      </c>
      <c r="AT44" s="88">
        <f ca="1">IF(AS44=1,_xll.RiskBinomial(1,Prob_Illness_Given_Infection),0)</f>
        <v>0</v>
      </c>
      <c r="AU44" s="30"/>
      <c r="AV44" s="87">
        <f t="shared" ca="1" si="41"/>
        <v>8.2066736166425437E-5</v>
      </c>
      <c r="AW44" s="37">
        <f ca="1">INT(AV44) + _xll.RiskBinomial(1,AV44-INT(AV44))</f>
        <v>0</v>
      </c>
      <c r="AX44" s="30">
        <f t="shared" ca="1" si="7"/>
        <v>0</v>
      </c>
      <c r="AY44" s="35">
        <f ca="1">_xll.RiskBinomial(1,AX44)</f>
        <v>0</v>
      </c>
      <c r="AZ44" s="88">
        <f ca="1">IF(AY44=1,_xll.RiskBinomial(1,Prob_Illness_Given_Infection),0)</f>
        <v>0</v>
      </c>
      <c r="BB44" s="87">
        <f t="shared" ca="1" si="42"/>
        <v>1.1263740605485102E-4</v>
      </c>
      <c r="BC44" s="37">
        <f ca="1">INT(BB44) + _xll.RiskBinomial(1,BB44-INT(BB44))</f>
        <v>0</v>
      </c>
      <c r="BD44" s="30">
        <f t="shared" ca="1" si="8"/>
        <v>0</v>
      </c>
      <c r="BE44" s="35">
        <f ca="1">_xll.RiskBinomial(1,BD44)</f>
        <v>0</v>
      </c>
      <c r="BF44" s="88">
        <f ca="1">IF(BE44=1,_xll.RiskBinomial(1,Prob_Illness_Given_Infection),0)</f>
        <v>0</v>
      </c>
      <c r="BH44" s="87">
        <f t="shared" ca="1" si="43"/>
        <v>1.4260701431823163E-4</v>
      </c>
      <c r="BI44" s="37">
        <f ca="1">INT(BH44) + _xll.RiskBinomial(1,BH44-INT(BH44))</f>
        <v>0</v>
      </c>
      <c r="BJ44" s="30">
        <f t="shared" ca="1" si="9"/>
        <v>0</v>
      </c>
      <c r="BK44" s="35">
        <f ca="1">_xll.RiskBinomial(1,BJ44)</f>
        <v>0</v>
      </c>
      <c r="BL44" s="88">
        <f ca="1">IF(BK44=1,_xll.RiskBinomial(1,Prob_Illness_Given_Infection),0)</f>
        <v>0</v>
      </c>
      <c r="BN44" s="87">
        <f t="shared" ca="1" si="44"/>
        <v>1.0853206930536253E-5</v>
      </c>
      <c r="BO44" s="37">
        <f ca="1">INT(BN44) + _xll.RiskBinomial(1,BN44-INT(BN44))</f>
        <v>0</v>
      </c>
      <c r="BP44" s="30">
        <f t="shared" ca="1" si="10"/>
        <v>0</v>
      </c>
      <c r="BQ44" s="35">
        <f ca="1">_xll.RiskBinomial(1,BP44)</f>
        <v>0</v>
      </c>
      <c r="BR44" s="88">
        <f ca="1">IF(BQ44=1,_xll.RiskBinomial(1,Prob_Illness_Given_Infection),0)</f>
        <v>0</v>
      </c>
      <c r="BT44" s="87">
        <f t="shared" ca="1" si="45"/>
        <v>3.2635478501400824E-5</v>
      </c>
      <c r="BU44" s="37">
        <f ca="1">INT(BT44) + _xll.RiskBinomial(1,BT44-INT(BT44))</f>
        <v>0</v>
      </c>
      <c r="BV44" s="30">
        <f t="shared" ca="1" si="11"/>
        <v>0</v>
      </c>
      <c r="BW44" s="35">
        <f ca="1">_xll.RiskBinomial(1,BV44)</f>
        <v>0</v>
      </c>
      <c r="BX44" s="88">
        <f ca="1">IF(BW44=1,_xll.RiskBinomial(1,Prob_Illness_Given_Infection),0)</f>
        <v>0</v>
      </c>
      <c r="BZ44" s="87">
        <f t="shared" ca="1" si="46"/>
        <v>8.9464847704617123E-5</v>
      </c>
      <c r="CA44" s="37">
        <f ca="1">INT(BZ44) + _xll.RiskBinomial(1,BZ44-INT(BZ44))</f>
        <v>0</v>
      </c>
      <c r="CB44" s="30">
        <f t="shared" ca="1" si="12"/>
        <v>0</v>
      </c>
      <c r="CC44" s="35">
        <f ca="1">_xll.RiskBinomial(1,CB44)</f>
        <v>0</v>
      </c>
      <c r="CD44" s="88">
        <f ca="1">IF(CC44=1,_xll.RiskBinomial(1,Prob_Illness_Given_Infection),0)</f>
        <v>0</v>
      </c>
      <c r="CF44" s="87">
        <f t="shared" ca="1" si="47"/>
        <v>1.6975059377592032E-5</v>
      </c>
      <c r="CG44" s="37">
        <f ca="1">INT(CF44) + _xll.RiskBinomial(1,CF44-INT(CF44))</f>
        <v>0</v>
      </c>
      <c r="CH44" s="30">
        <f t="shared" ca="1" si="13"/>
        <v>0</v>
      </c>
      <c r="CI44" s="35">
        <f ca="1">_xll.RiskBinomial(1,CH44)</f>
        <v>0</v>
      </c>
      <c r="CJ44" s="88">
        <f ca="1">IF(CI44=1,_xll.RiskBinomial(1,Prob_Illness_Given_Infection),0)</f>
        <v>0</v>
      </c>
      <c r="CL44" s="87">
        <f t="shared" ca="1" si="48"/>
        <v>3.2757112335399776E-5</v>
      </c>
      <c r="CM44" s="37">
        <f ca="1">INT(CL44) + _xll.RiskBinomial(1,CL44-INT(CL44))</f>
        <v>0</v>
      </c>
      <c r="CN44" s="30">
        <f t="shared" ca="1" si="14"/>
        <v>0</v>
      </c>
      <c r="CO44" s="35">
        <f ca="1">_xll.RiskBinomial(1,CN44)</f>
        <v>0</v>
      </c>
      <c r="CP44" s="88">
        <f ca="1">IF(CO44=1,_xll.RiskBinomial(1,Prob_Illness_Given_Infection),0)</f>
        <v>0</v>
      </c>
      <c r="CR44" s="87">
        <f t="shared" ca="1" si="49"/>
        <v>2.2575210365221124E-7</v>
      </c>
      <c r="CS44" s="37">
        <f ca="1">INT(CR44) + _xll.RiskBinomial(1,CR44-INT(CR44))</f>
        <v>0</v>
      </c>
      <c r="CT44" s="30">
        <f t="shared" ca="1" si="15"/>
        <v>0</v>
      </c>
      <c r="CU44" s="35">
        <f ca="1">_xll.RiskBinomial(1,CT44)</f>
        <v>0</v>
      </c>
      <c r="CV44" s="88">
        <f ca="1">IF(CU44=1,_xll.RiskBinomial(1,Prob_Illness_Given_Infection),0)</f>
        <v>0</v>
      </c>
      <c r="CX44" s="87">
        <f t="shared" ca="1" si="50"/>
        <v>2.2981307509004486E-9</v>
      </c>
      <c r="CY44" s="37">
        <f ca="1">INT(CX44) + _xll.RiskBinomial(1,CX44-INT(CX44))</f>
        <v>0</v>
      </c>
      <c r="CZ44" s="30">
        <f t="shared" ca="1" si="16"/>
        <v>0</v>
      </c>
      <c r="DA44" s="35">
        <f ca="1">_xll.RiskBinomial(1,CZ44)</f>
        <v>0</v>
      </c>
      <c r="DB44" s="88">
        <f ca="1">IF(DA44=1,_xll.RiskBinomial(1,Prob_Illness_Given_Infection),0)</f>
        <v>0</v>
      </c>
      <c r="DD44" s="87">
        <f t="shared" ca="1" si="51"/>
        <v>2.2981307509004486E-9</v>
      </c>
      <c r="DE44" s="37">
        <f ca="1">INT(DD44) + _xll.RiskBinomial(1,DD44-INT(DD44))</f>
        <v>0</v>
      </c>
      <c r="DF44" s="30">
        <f t="shared" ca="1" si="17"/>
        <v>0</v>
      </c>
      <c r="DG44" s="35">
        <f ca="1">_xll.RiskBinomial(1,DF44)</f>
        <v>0</v>
      </c>
      <c r="DH44" s="88">
        <f ca="1">IF(DG44=1,_xll.RiskBinomial(1,Prob_Illness_Given_Infection),0)</f>
        <v>0</v>
      </c>
      <c r="DJ44" s="87">
        <f t="shared" ca="1" si="52"/>
        <v>3.7525286439751267E-6</v>
      </c>
      <c r="DK44" s="37">
        <f ca="1">INT(DJ44) + _xll.RiskBinomial(1,DJ44-INT(DJ44))</f>
        <v>0</v>
      </c>
      <c r="DL44" s="30">
        <f t="shared" ca="1" si="18"/>
        <v>0</v>
      </c>
      <c r="DM44" s="35">
        <f ca="1">_xll.RiskBinomial(1,DL44)</f>
        <v>0</v>
      </c>
      <c r="DN44" s="88">
        <f ca="1">IF(DM44=1,_xll.RiskBinomial(1,Prob_Illness_Given_Infection),0)</f>
        <v>0</v>
      </c>
      <c r="DP44" s="87">
        <f t="shared" ca="1" si="53"/>
        <v>8.8707843161579479E-10</v>
      </c>
      <c r="DQ44" s="37">
        <f ca="1">INT(DP44) + _xll.RiskBinomial(1,DP44-INT(DP44))</f>
        <v>0</v>
      </c>
      <c r="DR44" s="30">
        <f t="shared" ca="1" si="19"/>
        <v>0</v>
      </c>
      <c r="DS44" s="35">
        <f ca="1">_xll.RiskBinomial(1,DR44)</f>
        <v>0</v>
      </c>
      <c r="DT44" s="88">
        <f ca="1">IF(DS44=1,_xll.RiskBinomial(1,Prob_Illness_Given_Infection),0)</f>
        <v>0</v>
      </c>
      <c r="DV44" s="87">
        <f t="shared" ca="1" si="54"/>
        <v>1.2488343093596012E-8</v>
      </c>
      <c r="DW44" s="37">
        <f ca="1">INT(DV44) + _xll.RiskBinomial(1,DV44-INT(DV44))</f>
        <v>0</v>
      </c>
      <c r="DX44" s="30">
        <f t="shared" ca="1" si="20"/>
        <v>0</v>
      </c>
      <c r="DY44" s="35">
        <f ca="1">_xll.RiskBinomial(1,DX44)</f>
        <v>0</v>
      </c>
      <c r="DZ44" s="88">
        <f ca="1">IF(DY44=1,_xll.RiskBinomial(1,Prob_Illness_Given_Infection),0)</f>
        <v>0</v>
      </c>
      <c r="EB44" s="87">
        <f t="shared" ca="1" si="55"/>
        <v>3.1337300534386898E-12</v>
      </c>
      <c r="EC44" s="37">
        <f ca="1">INT(EB44) + _xll.RiskBinomial(1,EB44-INT(EB44))</f>
        <v>0</v>
      </c>
      <c r="ED44" s="30">
        <f t="shared" ca="1" si="21"/>
        <v>0</v>
      </c>
      <c r="EE44" s="35">
        <f ca="1">_xll.RiskBinomial(1,ED44)</f>
        <v>0</v>
      </c>
      <c r="EF44" s="88">
        <f ca="1">IF(EE44=1,_xll.RiskBinomial(1,Prob_Illness_Given_Infection),0)</f>
        <v>0</v>
      </c>
      <c r="EH44" s="87">
        <f t="shared" ca="1" si="56"/>
        <v>3.1337300534354683E-12</v>
      </c>
      <c r="EI44" s="37">
        <f ca="1">INT(EH44) + _xll.RiskBinomial(1,EH44-INT(EH44))</f>
        <v>0</v>
      </c>
      <c r="EJ44" s="30">
        <f t="shared" ca="1" si="22"/>
        <v>0</v>
      </c>
      <c r="EK44" s="35">
        <f ca="1">_xll.RiskBinomial(1,EJ44)</f>
        <v>0</v>
      </c>
      <c r="EL44" s="88">
        <f ca="1">IF(EK44=1,_xll.RiskBinomial(1,Prob_Illness_Given_Infection),0)</f>
        <v>0</v>
      </c>
      <c r="EN44" s="87">
        <f t="shared" ca="1" si="57"/>
        <v>2.8593394812997344E-10</v>
      </c>
      <c r="EO44" s="37">
        <f ca="1">INT(EN44) + _xll.RiskBinomial(1,EN44-INT(EN44))</f>
        <v>0</v>
      </c>
      <c r="EP44" s="30">
        <f t="shared" ca="1" si="23"/>
        <v>0</v>
      </c>
      <c r="EQ44" s="35">
        <f ca="1">_xll.RiskBinomial(1,EP44)</f>
        <v>0</v>
      </c>
      <c r="ER44" s="88">
        <f ca="1">IF(EQ44=1,_xll.RiskBinomial(1,Prob_Illness_Given_Infection),0)</f>
        <v>0</v>
      </c>
      <c r="ET44" s="87">
        <f t="shared" ca="1" si="58"/>
        <v>3.1337300534324803E-12</v>
      </c>
      <c r="EU44" s="37">
        <f ca="1">INT(ET44) + _xll.RiskBinomial(1,ET44-INT(ET44))</f>
        <v>0</v>
      </c>
      <c r="EV44" s="30">
        <f t="shared" ca="1" si="24"/>
        <v>0</v>
      </c>
      <c r="EW44" s="35">
        <f ca="1">_xll.RiskBinomial(1,EV44)</f>
        <v>0</v>
      </c>
      <c r="EX44" s="88">
        <f ca="1">IF(EW44=1,_xll.RiskBinomial(1,Prob_Illness_Given_Infection),0)</f>
        <v>0</v>
      </c>
      <c r="EZ44" s="87">
        <f t="shared" ca="1" si="59"/>
        <v>2.3635229627439872E-5</v>
      </c>
      <c r="FA44" s="37">
        <f ca="1">INT(EZ44) + _xll.RiskBinomial(1,EZ44-INT(EZ44))</f>
        <v>0</v>
      </c>
      <c r="FB44" s="30">
        <f t="shared" ca="1" si="25"/>
        <v>0</v>
      </c>
      <c r="FC44" s="35">
        <f ca="1">_xll.RiskBinomial(1,FB44)</f>
        <v>0</v>
      </c>
      <c r="FD44" s="88">
        <f ca="1">IF(FC44=1,_xll.RiskBinomial(1,Prob_Illness_Given_Infection),0)</f>
        <v>0</v>
      </c>
      <c r="FF44" s="87">
        <f t="shared" ca="1" si="60"/>
        <v>1.6464035274412473E-4</v>
      </c>
      <c r="FG44" s="37">
        <f ca="1">INT(FF44) + _xll.RiskBinomial(1,FF44-INT(FF44))</f>
        <v>0</v>
      </c>
      <c r="FH44" s="30">
        <f t="shared" ca="1" si="26"/>
        <v>0</v>
      </c>
      <c r="FI44" s="35">
        <f ca="1">_xll.RiskBinomial(1,FH44)</f>
        <v>0</v>
      </c>
      <c r="FJ44" s="88">
        <f ca="1">IF(FI44=1,_xll.RiskBinomial(1,Prob_Illness_Given_Infection),0)</f>
        <v>0</v>
      </c>
      <c r="FL44" s="87" t="e">
        <f t="shared" ca="1" si="61"/>
        <v>#NAME?</v>
      </c>
      <c r="FM44" s="37" t="e">
        <f ca="1">INT(FL44) + _xll.RiskBinomial(1,FL44-INT(FL44))</f>
        <v>#NAME?</v>
      </c>
      <c r="FN44" s="30" t="e">
        <f t="shared" ca="1" si="27"/>
        <v>#NAME?</v>
      </c>
      <c r="FO44" s="35" t="e">
        <f ca="1">_xll.RiskBinomial(1,FN44)</f>
        <v>#VALUE!</v>
      </c>
      <c r="FP44" s="88" t="e">
        <f ca="1">IF(FO44=1,_xll.RiskBinomial(1,Prob_Illness_Given_Infection),0)</f>
        <v>#VALUE!</v>
      </c>
      <c r="FR44" s="87" t="e">
        <f t="shared" ca="1" si="62"/>
        <v>#NAME?</v>
      </c>
      <c r="FS44" s="37" t="e">
        <f ca="1">INT(FR44) + _xll.RiskBinomial(1,FR44-INT(FR44))</f>
        <v>#NAME?</v>
      </c>
      <c r="FT44" s="30" t="e">
        <f t="shared" ca="1" si="28"/>
        <v>#NAME?</v>
      </c>
      <c r="FU44" s="35" t="e">
        <f ca="1">_xll.RiskBinomial(1,FT44)</f>
        <v>#VALUE!</v>
      </c>
      <c r="FV44" s="88" t="e">
        <f ca="1">IF(FU44=1,_xll.RiskBinomial(1,Prob_Illness_Given_Infection),0)</f>
        <v>#VALUE!</v>
      </c>
      <c r="FX44" s="87">
        <f t="shared" ca="1" si="63"/>
        <v>3.3084889509198041E-7</v>
      </c>
      <c r="FY44" s="37">
        <f ca="1">INT(FX44) + _xll.RiskBinomial(1,FX44-INT(FX44))</f>
        <v>0</v>
      </c>
      <c r="FZ44" s="30">
        <f t="shared" ca="1" si="29"/>
        <v>0</v>
      </c>
      <c r="GA44" s="35">
        <f ca="1">_xll.RiskBinomial(1,FZ44)</f>
        <v>0</v>
      </c>
      <c r="GB44" s="88">
        <f ca="1">IF(GA44=1,_xll.RiskBinomial(1,Prob_Illness_Given_Infection),0)</f>
        <v>0</v>
      </c>
      <c r="GD44" s="87" t="e">
        <f t="shared" ca="1" si="64"/>
        <v>#NAME?</v>
      </c>
      <c r="GE44" s="37" t="e">
        <f ca="1">INT(GD44) + _xll.RiskBinomial(1,GD44-INT(GD44))</f>
        <v>#NAME?</v>
      </c>
      <c r="GF44" s="30" t="e">
        <f t="shared" ca="1" si="30"/>
        <v>#NAME?</v>
      </c>
      <c r="GG44" s="35" t="e">
        <f ca="1">_xll.RiskBinomial(1,GF44)</f>
        <v>#VALUE!</v>
      </c>
      <c r="GH44" s="88" t="e">
        <f ca="1">IF(GG44=1,_xll.RiskBinomial(1,Prob_Illness_Given_Infection),0)</f>
        <v>#VALUE!</v>
      </c>
      <c r="GJ44" s="87" t="e">
        <f t="shared" ca="1" si="65"/>
        <v>#NAME?</v>
      </c>
      <c r="GK44" s="37" t="e">
        <f ca="1">INT(GJ44) + _xll.RiskBinomial(1,GJ44-INT(GJ44))</f>
        <v>#NAME?</v>
      </c>
      <c r="GL44" s="30" t="e">
        <f t="shared" ca="1" si="31"/>
        <v>#NAME?</v>
      </c>
      <c r="GM44" s="35" t="e">
        <f ca="1">_xll.RiskBinomial(1,GL44)</f>
        <v>#VALUE!</v>
      </c>
      <c r="GN44" s="88" t="e">
        <f ca="1">IF(GM44=1,_xll.RiskBinomial(1,Prob_Illness_Given_Infection),0)</f>
        <v>#VALUE!</v>
      </c>
      <c r="GP44" s="87" t="e">
        <f t="shared" ca="1" si="66"/>
        <v>#NAME?</v>
      </c>
      <c r="GQ44" s="37" t="e">
        <f ca="1">INT(GP44) + _xll.RiskBinomial(1,GP44-INT(GP44))</f>
        <v>#NAME?</v>
      </c>
      <c r="GR44" s="30" t="e">
        <f t="shared" ca="1" si="32"/>
        <v>#NAME?</v>
      </c>
      <c r="GS44" s="35" t="e">
        <f ca="1">_xll.RiskBinomial(1,GR44)</f>
        <v>#VALUE!</v>
      </c>
      <c r="GT44" s="88" t="e">
        <f ca="1">IF(GS44=1,_xll.RiskBinomial(1,Prob_Illness_Given_Infection),0)</f>
        <v>#VALUE!</v>
      </c>
    </row>
    <row r="45" spans="2:202">
      <c r="B45" s="108">
        <v>37</v>
      </c>
      <c r="C45" s="87">
        <f ca="1">_xll.RiskLoglogistic(LogLogistic_gamma, LogLogistic_beta, LogLogistic_alpha, _xll.RiskTruncate(5,800))</f>
        <v>55.865944216383056</v>
      </c>
      <c r="D45" s="38">
        <f t="shared" ca="1" si="67"/>
        <v>3.5889197274105125</v>
      </c>
      <c r="E45" s="30"/>
      <c r="F45" s="87">
        <f t="shared" ca="1" si="34"/>
        <v>1.2957406752499199E-9</v>
      </c>
      <c r="G45" s="37">
        <f ca="1">INT(F45) + _xll.RiskBinomial(1,F45-INT(F45))</f>
        <v>0</v>
      </c>
      <c r="H45" s="30">
        <f t="shared" ca="1" si="68"/>
        <v>0</v>
      </c>
      <c r="I45" s="35">
        <f ca="1">_xll.RiskBinomial(1,H45)</f>
        <v>0</v>
      </c>
      <c r="J45" s="88">
        <f ca="1">IF(I45=1,_xll.RiskBinomial(1,Prob_Illness_Given_Infection),0)</f>
        <v>0</v>
      </c>
      <c r="K45" s="30"/>
      <c r="L45" s="87">
        <f t="shared" ca="1" si="35"/>
        <v>6.6183057476699872E-5</v>
      </c>
      <c r="M45" s="37">
        <f ca="1">INT(L45) + _xll.RiskBinomial(1,L45-INT(L45))</f>
        <v>0</v>
      </c>
      <c r="N45" s="30">
        <f t="shared" ca="1" si="1"/>
        <v>0</v>
      </c>
      <c r="O45" s="35">
        <f ca="1">_xll.RiskBinomial(1,N45)</f>
        <v>0</v>
      </c>
      <c r="P45" s="88">
        <f ca="1">IF(O45=1,_xll.RiskBinomial(1,Prob_Illness_Given_Infection),0)</f>
        <v>0</v>
      </c>
      <c r="Q45" s="30"/>
      <c r="R45" s="87">
        <f t="shared" ca="1" si="36"/>
        <v>6.8417246192941124E-6</v>
      </c>
      <c r="S45" s="37">
        <f ca="1">INT(R45) + _xll.RiskBinomial(1,R45-INT(R45))</f>
        <v>0</v>
      </c>
      <c r="T45" s="30">
        <f t="shared" ca="1" si="2"/>
        <v>0</v>
      </c>
      <c r="U45" s="35">
        <f ca="1">_xll.RiskBinomial(1,T45)</f>
        <v>0</v>
      </c>
      <c r="V45" s="88">
        <f ca="1">IF(U45=1,_xll.RiskBinomial(1,Prob_Illness_Given_Infection),0)</f>
        <v>0</v>
      </c>
      <c r="W45" s="30"/>
      <c r="X45" s="87">
        <f t="shared" ca="1" si="37"/>
        <v>2.8107587288191823E-12</v>
      </c>
      <c r="Y45" s="37">
        <f ca="1">INT(X45) + _xll.RiskBinomial(1,X45-INT(X45))</f>
        <v>0</v>
      </c>
      <c r="Z45" s="30">
        <f t="shared" ca="1" si="3"/>
        <v>0</v>
      </c>
      <c r="AA45" s="35">
        <f ca="1">_xll.RiskBinomial(1,Z45)</f>
        <v>0</v>
      </c>
      <c r="AB45" s="88">
        <f ca="1">IF(AA45=1,_xll.RiskBinomial(1,Prob_Illness_Given_Infection),0)</f>
        <v>0</v>
      </c>
      <c r="AC45" s="30"/>
      <c r="AD45" s="87">
        <f t="shared" ca="1" si="38"/>
        <v>1.4161100275978018E-12</v>
      </c>
      <c r="AE45" s="37">
        <f ca="1">INT(AD45) + _xll.RiskBinomial(1,AD45-INT(AD45))</f>
        <v>0</v>
      </c>
      <c r="AF45" s="30">
        <f t="shared" ca="1" si="4"/>
        <v>0</v>
      </c>
      <c r="AG45" s="35">
        <f ca="1">_xll.RiskBinomial(1,AF45)</f>
        <v>0</v>
      </c>
      <c r="AH45" s="88">
        <f ca="1">IF(AG45=1,_xll.RiskBinomial(1,Prob_Illness_Given_Infection),0)</f>
        <v>0</v>
      </c>
      <c r="AI45" s="30"/>
      <c r="AJ45" s="87">
        <f t="shared" ca="1" si="39"/>
        <v>6.5732178069618133E-5</v>
      </c>
      <c r="AK45" s="37">
        <f ca="1">INT(AJ45) + _xll.RiskBinomial(1,AJ45-INT(AJ45))</f>
        <v>0</v>
      </c>
      <c r="AL45" s="30">
        <f t="shared" ca="1" si="5"/>
        <v>0</v>
      </c>
      <c r="AM45" s="35">
        <f ca="1">_xll.RiskBinomial(1,AL45)</f>
        <v>0</v>
      </c>
      <c r="AN45" s="88">
        <f ca="1">IF(AM45=1,_xll.RiskBinomial(1,Prob_Illness_Given_Infection),0)</f>
        <v>0</v>
      </c>
      <c r="AO45" s="30"/>
      <c r="AP45" s="87">
        <f t="shared" ca="1" si="40"/>
        <v>1.5985430530313887E-9</v>
      </c>
      <c r="AQ45" s="37">
        <f ca="1">INT(AP45) + _xll.RiskBinomial(1,AP45-INT(AP45))</f>
        <v>0</v>
      </c>
      <c r="AR45" s="30">
        <f t="shared" ca="1" si="6"/>
        <v>0</v>
      </c>
      <c r="AS45" s="35">
        <f ca="1">_xll.RiskBinomial(1,AR45)</f>
        <v>0</v>
      </c>
      <c r="AT45" s="88">
        <f ca="1">IF(AS45=1,_xll.RiskBinomial(1,Prob_Illness_Given_Infection),0)</f>
        <v>0</v>
      </c>
      <c r="AU45" s="30"/>
      <c r="AV45" s="87">
        <f t="shared" ca="1" si="41"/>
        <v>3.7085366651136442E-5</v>
      </c>
      <c r="AW45" s="37">
        <f ca="1">INT(AV45) + _xll.RiskBinomial(1,AV45-INT(AV45))</f>
        <v>0</v>
      </c>
      <c r="AX45" s="30">
        <f t="shared" ca="1" si="7"/>
        <v>0</v>
      </c>
      <c r="AY45" s="35">
        <f ca="1">_xll.RiskBinomial(1,AX45)</f>
        <v>0</v>
      </c>
      <c r="AZ45" s="88">
        <f ca="1">IF(AY45=1,_xll.RiskBinomial(1,Prob_Illness_Given_Infection),0)</f>
        <v>0</v>
      </c>
      <c r="BB45" s="87">
        <f t="shared" ca="1" si="42"/>
        <v>5.0900032063003284E-5</v>
      </c>
      <c r="BC45" s="37">
        <f ca="1">INT(BB45) + _xll.RiskBinomial(1,BB45-INT(BB45))</f>
        <v>0</v>
      </c>
      <c r="BD45" s="30">
        <f t="shared" ca="1" si="8"/>
        <v>0</v>
      </c>
      <c r="BE45" s="35">
        <f ca="1">_xll.RiskBinomial(1,BD45)</f>
        <v>0</v>
      </c>
      <c r="BF45" s="88">
        <f ca="1">IF(BE45=1,_xll.RiskBinomial(1,Prob_Illness_Given_Infection),0)</f>
        <v>0</v>
      </c>
      <c r="BH45" s="87">
        <f t="shared" ca="1" si="43"/>
        <v>6.4443082058125424E-5</v>
      </c>
      <c r="BI45" s="37">
        <f ca="1">INT(BH45) + _xll.RiskBinomial(1,BH45-INT(BH45))</f>
        <v>0</v>
      </c>
      <c r="BJ45" s="30">
        <f t="shared" ca="1" si="9"/>
        <v>0</v>
      </c>
      <c r="BK45" s="35">
        <f ca="1">_xll.RiskBinomial(1,BJ45)</f>
        <v>0</v>
      </c>
      <c r="BL45" s="88">
        <f ca="1">IF(BK45=1,_xll.RiskBinomial(1,Prob_Illness_Given_Infection),0)</f>
        <v>0</v>
      </c>
      <c r="BN45" s="87">
        <f t="shared" ca="1" si="44"/>
        <v>4.9044859971445777E-6</v>
      </c>
      <c r="BO45" s="37">
        <f ca="1">INT(BN45) + _xll.RiskBinomial(1,BN45-INT(BN45))</f>
        <v>0</v>
      </c>
      <c r="BP45" s="30">
        <f t="shared" ca="1" si="10"/>
        <v>0</v>
      </c>
      <c r="BQ45" s="35">
        <f ca="1">_xll.RiskBinomial(1,BP45)</f>
        <v>0</v>
      </c>
      <c r="BR45" s="88">
        <f ca="1">IF(BQ45=1,_xll.RiskBinomial(1,Prob_Illness_Given_Infection),0)</f>
        <v>0</v>
      </c>
      <c r="BT45" s="87">
        <f t="shared" ca="1" si="45"/>
        <v>1.4747737543812292E-5</v>
      </c>
      <c r="BU45" s="37">
        <f ca="1">INT(BT45) + _xll.RiskBinomial(1,BT45-INT(BT45))</f>
        <v>0</v>
      </c>
      <c r="BV45" s="30">
        <f t="shared" ca="1" si="11"/>
        <v>0</v>
      </c>
      <c r="BW45" s="35">
        <f ca="1">_xll.RiskBinomial(1,BV45)</f>
        <v>0</v>
      </c>
      <c r="BX45" s="88">
        <f ca="1">IF(BW45=1,_xll.RiskBinomial(1,Prob_Illness_Given_Infection),0)</f>
        <v>0</v>
      </c>
      <c r="BZ45" s="87">
        <f t="shared" ca="1" si="46"/>
        <v>4.0428519939984872E-5</v>
      </c>
      <c r="CA45" s="37">
        <f ca="1">INT(BZ45) + _xll.RiskBinomial(1,BZ45-INT(BZ45))</f>
        <v>0</v>
      </c>
      <c r="CB45" s="30">
        <f t="shared" ca="1" si="12"/>
        <v>0</v>
      </c>
      <c r="CC45" s="35">
        <f ca="1">_xll.RiskBinomial(1,CB45)</f>
        <v>0</v>
      </c>
      <c r="CD45" s="88">
        <f ca="1">IF(CC45=1,_xll.RiskBinomial(1,Prob_Illness_Given_Infection),0)</f>
        <v>0</v>
      </c>
      <c r="CF45" s="87">
        <f t="shared" ca="1" si="47"/>
        <v>7.6709070002025956E-6</v>
      </c>
      <c r="CG45" s="37">
        <f ca="1">INT(CF45) + _xll.RiskBinomial(1,CF45-INT(CF45))</f>
        <v>0</v>
      </c>
      <c r="CH45" s="30">
        <f t="shared" ca="1" si="13"/>
        <v>0</v>
      </c>
      <c r="CI45" s="35">
        <f ca="1">_xll.RiskBinomial(1,CH45)</f>
        <v>0</v>
      </c>
      <c r="CJ45" s="88">
        <f ca="1">IF(CI45=1,_xll.RiskBinomial(1,Prob_Illness_Given_Infection),0)</f>
        <v>0</v>
      </c>
      <c r="CL45" s="87">
        <f t="shared" ca="1" si="48"/>
        <v>1.480270299682954E-5</v>
      </c>
      <c r="CM45" s="37">
        <f ca="1">INT(CL45) + _xll.RiskBinomial(1,CL45-INT(CL45))</f>
        <v>0</v>
      </c>
      <c r="CN45" s="30">
        <f t="shared" ca="1" si="14"/>
        <v>0</v>
      </c>
      <c r="CO45" s="35">
        <f ca="1">_xll.RiskBinomial(1,CN45)</f>
        <v>0</v>
      </c>
      <c r="CP45" s="88">
        <f ca="1">IF(CO45=1,_xll.RiskBinomial(1,Prob_Illness_Given_Infection),0)</f>
        <v>0</v>
      </c>
      <c r="CR45" s="87">
        <f t="shared" ca="1" si="49"/>
        <v>1.0201574873441532E-7</v>
      </c>
      <c r="CS45" s="37">
        <f ca="1">INT(CR45) + _xll.RiskBinomial(1,CR45-INT(CR45))</f>
        <v>0</v>
      </c>
      <c r="CT45" s="30">
        <f t="shared" ca="1" si="15"/>
        <v>0</v>
      </c>
      <c r="CU45" s="35">
        <f ca="1">_xll.RiskBinomial(1,CT45)</f>
        <v>0</v>
      </c>
      <c r="CV45" s="88">
        <f ca="1">IF(CU45=1,_xll.RiskBinomial(1,Prob_Illness_Given_Infection),0)</f>
        <v>0</v>
      </c>
      <c r="CX45" s="87">
        <f t="shared" ca="1" si="50"/>
        <v>1.0385087246135923E-9</v>
      </c>
      <c r="CY45" s="37">
        <f ca="1">INT(CX45) + _xll.RiskBinomial(1,CX45-INT(CX45))</f>
        <v>0</v>
      </c>
      <c r="CZ45" s="30">
        <f t="shared" ca="1" si="16"/>
        <v>0</v>
      </c>
      <c r="DA45" s="35">
        <f ca="1">_xll.RiskBinomial(1,CZ45)</f>
        <v>0</v>
      </c>
      <c r="DB45" s="88">
        <f ca="1">IF(DA45=1,_xll.RiskBinomial(1,Prob_Illness_Given_Infection),0)</f>
        <v>0</v>
      </c>
      <c r="DD45" s="87">
        <f t="shared" ca="1" si="51"/>
        <v>1.0385087246135923E-9</v>
      </c>
      <c r="DE45" s="37">
        <f ca="1">INT(DD45) + _xll.RiskBinomial(1,DD45-INT(DD45))</f>
        <v>0</v>
      </c>
      <c r="DF45" s="30">
        <f t="shared" ca="1" si="17"/>
        <v>0</v>
      </c>
      <c r="DG45" s="35">
        <f ca="1">_xll.RiskBinomial(1,DF45)</f>
        <v>0</v>
      </c>
      <c r="DH45" s="88">
        <f ca="1">IF(DG45=1,_xll.RiskBinomial(1,Prob_Illness_Given_Infection),0)</f>
        <v>0</v>
      </c>
      <c r="DJ45" s="87">
        <f t="shared" ca="1" si="52"/>
        <v>1.6957406512243285E-6</v>
      </c>
      <c r="DK45" s="37">
        <f ca="1">INT(DJ45) + _xll.RiskBinomial(1,DJ45-INT(DJ45))</f>
        <v>0</v>
      </c>
      <c r="DL45" s="30">
        <f t="shared" ca="1" si="18"/>
        <v>0</v>
      </c>
      <c r="DM45" s="35">
        <f ca="1">_xll.RiskBinomial(1,DL45)</f>
        <v>0</v>
      </c>
      <c r="DN45" s="88">
        <f ca="1">IF(DM45=1,_xll.RiskBinomial(1,Prob_Illness_Given_Infection),0)</f>
        <v>0</v>
      </c>
      <c r="DP45" s="87">
        <f t="shared" ca="1" si="53"/>
        <v>4.0086435042418147E-10</v>
      </c>
      <c r="DQ45" s="37">
        <f ca="1">INT(DP45) + _xll.RiskBinomial(1,DP45-INT(DP45))</f>
        <v>0</v>
      </c>
      <c r="DR45" s="30">
        <f t="shared" ca="1" si="19"/>
        <v>0</v>
      </c>
      <c r="DS45" s="35">
        <f ca="1">_xll.RiskBinomial(1,DR45)</f>
        <v>0</v>
      </c>
      <c r="DT45" s="88">
        <f ca="1">IF(DS45=1,_xll.RiskBinomial(1,Prob_Illness_Given_Infection),0)</f>
        <v>0</v>
      </c>
      <c r="DV45" s="87">
        <f t="shared" ca="1" si="54"/>
        <v>5.6433922454524279E-9</v>
      </c>
      <c r="DW45" s="37">
        <f ca="1">INT(DV45) + _xll.RiskBinomial(1,DV45-INT(DV45))</f>
        <v>0</v>
      </c>
      <c r="DX45" s="30">
        <f t="shared" ca="1" si="20"/>
        <v>0</v>
      </c>
      <c r="DY45" s="35">
        <f ca="1">_xll.RiskBinomial(1,DX45)</f>
        <v>0</v>
      </c>
      <c r="DZ45" s="88">
        <f ca="1">IF(DY45=1,_xll.RiskBinomial(1,Prob_Illness_Given_Infection),0)</f>
        <v>0</v>
      </c>
      <c r="EB45" s="87">
        <f t="shared" ca="1" si="55"/>
        <v>1.4161100275973262E-12</v>
      </c>
      <c r="EC45" s="37">
        <f ca="1">INT(EB45) + _xll.RiskBinomial(1,EB45-INT(EB45))</f>
        <v>0</v>
      </c>
      <c r="ED45" s="30">
        <f t="shared" ca="1" si="21"/>
        <v>0</v>
      </c>
      <c r="EE45" s="35">
        <f ca="1">_xll.RiskBinomial(1,ED45)</f>
        <v>0</v>
      </c>
      <c r="EF45" s="88">
        <f ca="1">IF(EE45=1,_xll.RiskBinomial(1,Prob_Illness_Given_Infection),0)</f>
        <v>0</v>
      </c>
      <c r="EH45" s="87">
        <f t="shared" ca="1" si="56"/>
        <v>1.4161100275958704E-12</v>
      </c>
      <c r="EI45" s="37">
        <f ca="1">INT(EH45) + _xll.RiskBinomial(1,EH45-INT(EH45))</f>
        <v>0</v>
      </c>
      <c r="EJ45" s="30">
        <f t="shared" ca="1" si="22"/>
        <v>0</v>
      </c>
      <c r="EK45" s="35">
        <f ca="1">_xll.RiskBinomial(1,EJ45)</f>
        <v>0</v>
      </c>
      <c r="EL45" s="88">
        <f ca="1">IF(EK45=1,_xll.RiskBinomial(1,Prob_Illness_Given_Infection),0)</f>
        <v>0</v>
      </c>
      <c r="EN45" s="87">
        <f t="shared" ca="1" si="57"/>
        <v>1.292114905471934E-10</v>
      </c>
      <c r="EO45" s="37">
        <f ca="1">INT(EN45) + _xll.RiskBinomial(1,EN45-INT(EN45))</f>
        <v>0</v>
      </c>
      <c r="EP45" s="30">
        <f t="shared" ca="1" si="23"/>
        <v>0</v>
      </c>
      <c r="EQ45" s="35">
        <f ca="1">_xll.RiskBinomial(1,EP45)</f>
        <v>0</v>
      </c>
      <c r="ER45" s="88">
        <f ca="1">IF(EQ45=1,_xll.RiskBinomial(1,Prob_Illness_Given_Infection),0)</f>
        <v>0</v>
      </c>
      <c r="ET45" s="87">
        <f t="shared" ca="1" si="58"/>
        <v>1.41611002759452E-12</v>
      </c>
      <c r="EU45" s="37">
        <f ca="1">INT(ET45) + _xll.RiskBinomial(1,ET45-INT(ET45))</f>
        <v>0</v>
      </c>
      <c r="EV45" s="30">
        <f t="shared" ca="1" si="24"/>
        <v>0</v>
      </c>
      <c r="EW45" s="35">
        <f ca="1">_xll.RiskBinomial(1,EV45)</f>
        <v>0</v>
      </c>
      <c r="EX45" s="88">
        <f ca="1">IF(EW45=1,_xll.RiskBinomial(1,Prob_Illness_Given_Infection),0)</f>
        <v>0</v>
      </c>
      <c r="EZ45" s="87">
        <f t="shared" ca="1" si="59"/>
        <v>1.0680589938899102E-5</v>
      </c>
      <c r="FA45" s="37">
        <f ca="1">INT(EZ45) + _xll.RiskBinomial(1,EZ45-INT(EZ45))</f>
        <v>0</v>
      </c>
      <c r="FB45" s="30">
        <f t="shared" ca="1" si="25"/>
        <v>0</v>
      </c>
      <c r="FC45" s="35">
        <f ca="1">_xll.RiskBinomial(1,FB45)</f>
        <v>0</v>
      </c>
      <c r="FD45" s="88">
        <f ca="1">IF(FC45=1,_xll.RiskBinomial(1,Prob_Illness_Given_Infection),0)</f>
        <v>0</v>
      </c>
      <c r="FF45" s="87">
        <f t="shared" ca="1" si="60"/>
        <v>7.4399788907241119E-5</v>
      </c>
      <c r="FG45" s="37">
        <f ca="1">INT(FF45) + _xll.RiskBinomial(1,FF45-INT(FF45))</f>
        <v>0</v>
      </c>
      <c r="FH45" s="30">
        <f t="shared" ca="1" si="26"/>
        <v>0</v>
      </c>
      <c r="FI45" s="35">
        <f ca="1">_xll.RiskBinomial(1,FH45)</f>
        <v>0</v>
      </c>
      <c r="FJ45" s="88">
        <f ca="1">IF(FI45=1,_xll.RiskBinomial(1,Prob_Illness_Given_Infection),0)</f>
        <v>0</v>
      </c>
      <c r="FL45" s="87" t="e">
        <f t="shared" ca="1" si="61"/>
        <v>#NAME?</v>
      </c>
      <c r="FM45" s="37" t="e">
        <f ca="1">INT(FL45) + _xll.RiskBinomial(1,FL45-INT(FL45))</f>
        <v>#NAME?</v>
      </c>
      <c r="FN45" s="30" t="e">
        <f t="shared" ca="1" si="27"/>
        <v>#NAME?</v>
      </c>
      <c r="FO45" s="35" t="e">
        <f ca="1">_xll.RiskBinomial(1,FN45)</f>
        <v>#VALUE!</v>
      </c>
      <c r="FP45" s="88" t="e">
        <f ca="1">IF(FO45=1,_xll.RiskBinomial(1,Prob_Illness_Given_Infection),0)</f>
        <v>#VALUE!</v>
      </c>
      <c r="FR45" s="87" t="e">
        <f t="shared" ca="1" si="62"/>
        <v>#NAME?</v>
      </c>
      <c r="FS45" s="37" t="e">
        <f ca="1">INT(FR45) + _xll.RiskBinomial(1,FR45-INT(FR45))</f>
        <v>#NAME?</v>
      </c>
      <c r="FT45" s="30" t="e">
        <f t="shared" ca="1" si="28"/>
        <v>#NAME?</v>
      </c>
      <c r="FU45" s="35" t="e">
        <f ca="1">_xll.RiskBinomial(1,FT45)</f>
        <v>#VALUE!</v>
      </c>
      <c r="FV45" s="88" t="e">
        <f ca="1">IF(FU45=1,_xll.RiskBinomial(1,Prob_Illness_Given_Infection),0)</f>
        <v>#VALUE!</v>
      </c>
      <c r="FX45" s="87">
        <f t="shared" ca="1" si="63"/>
        <v>1.4950823139508675E-7</v>
      </c>
      <c r="FY45" s="37">
        <f ca="1">INT(FX45) + _xll.RiskBinomial(1,FX45-INT(FX45))</f>
        <v>0</v>
      </c>
      <c r="FZ45" s="30">
        <f t="shared" ca="1" si="29"/>
        <v>0</v>
      </c>
      <c r="GA45" s="35">
        <f ca="1">_xll.RiskBinomial(1,FZ45)</f>
        <v>0</v>
      </c>
      <c r="GB45" s="88">
        <f ca="1">IF(GA45=1,_xll.RiskBinomial(1,Prob_Illness_Given_Infection),0)</f>
        <v>0</v>
      </c>
      <c r="GD45" s="87" t="e">
        <f t="shared" ca="1" si="64"/>
        <v>#NAME?</v>
      </c>
      <c r="GE45" s="37" t="e">
        <f ca="1">INT(GD45) + _xll.RiskBinomial(1,GD45-INT(GD45))</f>
        <v>#NAME?</v>
      </c>
      <c r="GF45" s="30" t="e">
        <f t="shared" ca="1" si="30"/>
        <v>#NAME?</v>
      </c>
      <c r="GG45" s="35" t="e">
        <f ca="1">_xll.RiskBinomial(1,GF45)</f>
        <v>#VALUE!</v>
      </c>
      <c r="GH45" s="88" t="e">
        <f ca="1">IF(GG45=1,_xll.RiskBinomial(1,Prob_Illness_Given_Infection),0)</f>
        <v>#VALUE!</v>
      </c>
      <c r="GJ45" s="87" t="e">
        <f t="shared" ca="1" si="65"/>
        <v>#NAME?</v>
      </c>
      <c r="GK45" s="37" t="e">
        <f ca="1">INT(GJ45) + _xll.RiskBinomial(1,GJ45-INT(GJ45))</f>
        <v>#NAME?</v>
      </c>
      <c r="GL45" s="30" t="e">
        <f t="shared" ca="1" si="31"/>
        <v>#NAME?</v>
      </c>
      <c r="GM45" s="35" t="e">
        <f ca="1">_xll.RiskBinomial(1,GL45)</f>
        <v>#VALUE!</v>
      </c>
      <c r="GN45" s="88" t="e">
        <f ca="1">IF(GM45=1,_xll.RiskBinomial(1,Prob_Illness_Given_Infection),0)</f>
        <v>#VALUE!</v>
      </c>
      <c r="GP45" s="87" t="e">
        <f t="shared" ca="1" si="66"/>
        <v>#NAME?</v>
      </c>
      <c r="GQ45" s="37" t="e">
        <f ca="1">INT(GP45) + _xll.RiskBinomial(1,GP45-INT(GP45))</f>
        <v>#NAME?</v>
      </c>
      <c r="GR45" s="30" t="e">
        <f t="shared" ca="1" si="32"/>
        <v>#NAME?</v>
      </c>
      <c r="GS45" s="35" t="e">
        <f ca="1">_xll.RiskBinomial(1,GR45)</f>
        <v>#VALUE!</v>
      </c>
      <c r="GT45" s="88" t="e">
        <f ca="1">IF(GS45=1,_xll.RiskBinomial(1,Prob_Illness_Given_Infection),0)</f>
        <v>#VALUE!</v>
      </c>
    </row>
    <row r="46" spans="2:202">
      <c r="B46" s="108">
        <v>38</v>
      </c>
      <c r="C46" s="87">
        <f ca="1">_xll.RiskLoglogistic(LogLogistic_gamma, LogLogistic_beta, LogLogistic_alpha, _xll.RiskTruncate(5,800))</f>
        <v>128.89406734112825</v>
      </c>
      <c r="D46" s="38">
        <f t="shared" ca="1" si="67"/>
        <v>8.2803659280334259</v>
      </c>
      <c r="E46" s="30"/>
      <c r="F46" s="87">
        <f t="shared" ca="1" si="34"/>
        <v>2.989536616537208E-9</v>
      </c>
      <c r="G46" s="37">
        <f ca="1">INT(F46) + _xll.RiskBinomial(1,F46-INT(F46))</f>
        <v>0</v>
      </c>
      <c r="H46" s="30">
        <f t="shared" ca="1" si="68"/>
        <v>0</v>
      </c>
      <c r="I46" s="35">
        <f ca="1">_xll.RiskBinomial(1,H46)</f>
        <v>0</v>
      </c>
      <c r="J46" s="88">
        <f ca="1">IF(I46=1,_xll.RiskBinomial(1,Prob_Illness_Given_Infection),0)</f>
        <v>0</v>
      </c>
      <c r="K46" s="30"/>
      <c r="L46" s="87">
        <f t="shared" ca="1" si="35"/>
        <v>1.5269774075959966E-4</v>
      </c>
      <c r="M46" s="37">
        <f ca="1">INT(L46) + _xll.RiskBinomial(1,L46-INT(L46))</f>
        <v>0</v>
      </c>
      <c r="N46" s="30">
        <f t="shared" ca="1" si="1"/>
        <v>0</v>
      </c>
      <c r="O46" s="35">
        <f ca="1">_xll.RiskBinomial(1,N46)</f>
        <v>0</v>
      </c>
      <c r="P46" s="88">
        <f ca="1">IF(O46=1,_xll.RiskBinomial(1,Prob_Illness_Given_Infection),0)</f>
        <v>0</v>
      </c>
      <c r="Q46" s="30"/>
      <c r="R46" s="87">
        <f t="shared" ca="1" si="36"/>
        <v>1.5785246739822217E-5</v>
      </c>
      <c r="S46" s="37">
        <f ca="1">INT(R46) + _xll.RiskBinomial(1,R46-INT(R46))</f>
        <v>0</v>
      </c>
      <c r="T46" s="30">
        <f t="shared" ca="1" si="2"/>
        <v>0</v>
      </c>
      <c r="U46" s="35">
        <f ca="1">_xll.RiskBinomial(1,T46)</f>
        <v>0</v>
      </c>
      <c r="V46" s="88">
        <f ca="1">IF(U46=1,_xll.RiskBinomial(1,Prob_Illness_Given_Infection),0)</f>
        <v>0</v>
      </c>
      <c r="W46" s="30"/>
      <c r="X46" s="87">
        <f t="shared" ca="1" si="37"/>
        <v>6.4849906316599908E-12</v>
      </c>
      <c r="Y46" s="37">
        <f ca="1">INT(X46) + _xll.RiskBinomial(1,X46-INT(X46))</f>
        <v>0</v>
      </c>
      <c r="Z46" s="30">
        <f t="shared" ca="1" si="3"/>
        <v>0</v>
      </c>
      <c r="AA46" s="35">
        <f ca="1">_xll.RiskBinomial(1,Z46)</f>
        <v>0</v>
      </c>
      <c r="AB46" s="88">
        <f ca="1">IF(AA46=1,_xll.RiskBinomial(1,Prob_Illness_Given_Infection),0)</f>
        <v>0</v>
      </c>
      <c r="AC46" s="30"/>
      <c r="AD46" s="87">
        <f t="shared" ca="1" si="38"/>
        <v>3.2672531328327659E-12</v>
      </c>
      <c r="AE46" s="37">
        <f ca="1">INT(AD46) + _xll.RiskBinomial(1,AD46-INT(AD46))</f>
        <v>0</v>
      </c>
      <c r="AF46" s="30">
        <f t="shared" ca="1" si="4"/>
        <v>0</v>
      </c>
      <c r="AG46" s="35">
        <f ca="1">_xll.RiskBinomial(1,AF46)</f>
        <v>0</v>
      </c>
      <c r="AH46" s="88">
        <f ca="1">IF(AG46=1,_xll.RiskBinomial(1,Prob_Illness_Given_Infection),0)</f>
        <v>0</v>
      </c>
      <c r="AI46" s="30"/>
      <c r="AJ46" s="87">
        <f t="shared" ca="1" si="39"/>
        <v>1.5165747049344206E-4</v>
      </c>
      <c r="AK46" s="37">
        <f ca="1">INT(AJ46) + _xll.RiskBinomial(1,AJ46-INT(AJ46))</f>
        <v>0</v>
      </c>
      <c r="AL46" s="30">
        <f t="shared" ca="1" si="5"/>
        <v>0</v>
      </c>
      <c r="AM46" s="35">
        <f ca="1">_xll.RiskBinomial(1,AL46)</f>
        <v>0</v>
      </c>
      <c r="AN46" s="88">
        <f ca="1">IF(AM46=1,_xll.RiskBinomial(1,Prob_Illness_Given_Infection),0)</f>
        <v>0</v>
      </c>
      <c r="AO46" s="30"/>
      <c r="AP46" s="87">
        <f t="shared" ca="1" si="40"/>
        <v>3.6881631343607939E-9</v>
      </c>
      <c r="AQ46" s="37">
        <f ca="1">INT(AP46) + _xll.RiskBinomial(1,AP46-INT(AP46))</f>
        <v>0</v>
      </c>
      <c r="AR46" s="30">
        <f t="shared" ca="1" si="6"/>
        <v>0</v>
      </c>
      <c r="AS46" s="35">
        <f ca="1">_xll.RiskBinomial(1,AR46)</f>
        <v>0</v>
      </c>
      <c r="AT46" s="88">
        <f ca="1">IF(AS46=1,_xll.RiskBinomial(1,Prob_Illness_Given_Infection),0)</f>
        <v>0</v>
      </c>
      <c r="AU46" s="30"/>
      <c r="AV46" s="87">
        <f t="shared" ca="1" si="41"/>
        <v>8.5563464710943196E-5</v>
      </c>
      <c r="AW46" s="37">
        <f ca="1">INT(AV46) + _xll.RiskBinomial(1,AV46-INT(AV46))</f>
        <v>0</v>
      </c>
      <c r="AX46" s="30">
        <f t="shared" ca="1" si="7"/>
        <v>0</v>
      </c>
      <c r="AY46" s="35">
        <f ca="1">_xll.RiskBinomial(1,AX46)</f>
        <v>0</v>
      </c>
      <c r="AZ46" s="88">
        <f ca="1">IF(AY46=1,_xll.RiskBinomial(1,Prob_Illness_Given_Infection),0)</f>
        <v>0</v>
      </c>
      <c r="BB46" s="87">
        <f t="shared" ca="1" si="42"/>
        <v>1.1743670052336394E-4</v>
      </c>
      <c r="BC46" s="37">
        <f ca="1">INT(BB46) + _xll.RiskBinomial(1,BB46-INT(BB46))</f>
        <v>0</v>
      </c>
      <c r="BD46" s="30">
        <f t="shared" ca="1" si="8"/>
        <v>0</v>
      </c>
      <c r="BE46" s="35">
        <f ca="1">_xll.RiskBinomial(1,BD46)</f>
        <v>0</v>
      </c>
      <c r="BF46" s="88">
        <f ca="1">IF(BE46=1,_xll.RiskBinomial(1,Prob_Illness_Given_Infection),0)</f>
        <v>0</v>
      </c>
      <c r="BH46" s="87">
        <f t="shared" ca="1" si="43"/>
        <v>1.4868326446425633E-4</v>
      </c>
      <c r="BI46" s="37">
        <f ca="1">INT(BH46) + _xll.RiskBinomial(1,BH46-INT(BH46))</f>
        <v>0</v>
      </c>
      <c r="BJ46" s="30">
        <f t="shared" ca="1" si="9"/>
        <v>0</v>
      </c>
      <c r="BK46" s="35">
        <f ca="1">_xll.RiskBinomial(1,BJ46)</f>
        <v>0</v>
      </c>
      <c r="BL46" s="88">
        <f ca="1">IF(BK46=1,_xll.RiskBinomial(1,Prob_Illness_Given_Infection),0)</f>
        <v>0</v>
      </c>
      <c r="BN46" s="87">
        <f t="shared" ca="1" si="44"/>
        <v>1.1315644213244838E-5</v>
      </c>
      <c r="BO46" s="37">
        <f ca="1">INT(BN46) + _xll.RiskBinomial(1,BN46-INT(BN46))</f>
        <v>0</v>
      </c>
      <c r="BP46" s="30">
        <f t="shared" ca="1" si="10"/>
        <v>0</v>
      </c>
      <c r="BQ46" s="35">
        <f ca="1">_xll.RiskBinomial(1,BP46)</f>
        <v>0</v>
      </c>
      <c r="BR46" s="88">
        <f ca="1">IF(BQ46=1,_xll.RiskBinomial(1,Prob_Illness_Given_Infection),0)</f>
        <v>0</v>
      </c>
      <c r="BT46" s="87">
        <f t="shared" ca="1" si="45"/>
        <v>3.4026022521677471E-5</v>
      </c>
      <c r="BU46" s="37">
        <f ca="1">INT(BT46) + _xll.RiskBinomial(1,BT46-INT(BT46))</f>
        <v>0</v>
      </c>
      <c r="BV46" s="30">
        <f t="shared" ca="1" si="11"/>
        <v>0</v>
      </c>
      <c r="BW46" s="35">
        <f ca="1">_xll.RiskBinomial(1,BV46)</f>
        <v>0</v>
      </c>
      <c r="BX46" s="88">
        <f ca="1">IF(BW46=1,_xll.RiskBinomial(1,Prob_Illness_Given_Infection),0)</f>
        <v>0</v>
      </c>
      <c r="BZ46" s="87">
        <f t="shared" ca="1" si="46"/>
        <v>9.327679760433366E-5</v>
      </c>
      <c r="CA46" s="37">
        <f ca="1">INT(BZ46) + _xll.RiskBinomial(1,BZ46-INT(BZ46))</f>
        <v>0</v>
      </c>
      <c r="CB46" s="30">
        <f t="shared" ca="1" si="12"/>
        <v>0</v>
      </c>
      <c r="CC46" s="35">
        <f ca="1">_xll.RiskBinomial(1,CB46)</f>
        <v>0</v>
      </c>
      <c r="CD46" s="88">
        <f ca="1">IF(CC46=1,_xll.RiskBinomial(1,Prob_Illness_Given_Infection),0)</f>
        <v>0</v>
      </c>
      <c r="CF46" s="87">
        <f t="shared" ca="1" si="47"/>
        <v>1.7698338716374775E-5</v>
      </c>
      <c r="CG46" s="37">
        <f ca="1">INT(CF46) + _xll.RiskBinomial(1,CF46-INT(CF46))</f>
        <v>0</v>
      </c>
      <c r="CH46" s="30">
        <f t="shared" ca="1" si="13"/>
        <v>0</v>
      </c>
      <c r="CI46" s="35">
        <f ca="1">_xll.RiskBinomial(1,CH46)</f>
        <v>0</v>
      </c>
      <c r="CJ46" s="88">
        <f ca="1">IF(CI46=1,_xll.RiskBinomial(1,Prob_Illness_Given_Infection),0)</f>
        <v>0</v>
      </c>
      <c r="CL46" s="87">
        <f t="shared" ca="1" si="48"/>
        <v>3.4152838973131325E-5</v>
      </c>
      <c r="CM46" s="37">
        <f ca="1">INT(CL46) + _xll.RiskBinomial(1,CL46-INT(CL46))</f>
        <v>0</v>
      </c>
      <c r="CN46" s="30">
        <f t="shared" ca="1" si="14"/>
        <v>0</v>
      </c>
      <c r="CO46" s="35">
        <f ca="1">_xll.RiskBinomial(1,CN46)</f>
        <v>0</v>
      </c>
      <c r="CP46" s="88">
        <f ca="1">IF(CO46=1,_xll.RiskBinomial(1,Prob_Illness_Given_Infection),0)</f>
        <v>0</v>
      </c>
      <c r="CR46" s="87">
        <f t="shared" ca="1" si="49"/>
        <v>2.3537102919623172E-7</v>
      </c>
      <c r="CS46" s="37">
        <f ca="1">INT(CR46) + _xll.RiskBinomial(1,CR46-INT(CR46))</f>
        <v>0</v>
      </c>
      <c r="CT46" s="30">
        <f t="shared" ca="1" si="15"/>
        <v>0</v>
      </c>
      <c r="CU46" s="35">
        <f ca="1">_xll.RiskBinomial(1,CT46)</f>
        <v>0</v>
      </c>
      <c r="CV46" s="88">
        <f ca="1">IF(CU46=1,_xll.RiskBinomial(1,Prob_Illness_Given_Infection),0)</f>
        <v>0</v>
      </c>
      <c r="CX46" s="87">
        <f t="shared" ca="1" si="50"/>
        <v>2.3960503194258903E-9</v>
      </c>
      <c r="CY46" s="37">
        <f ca="1">INT(CX46) + _xll.RiskBinomial(1,CX46-INT(CX46))</f>
        <v>0</v>
      </c>
      <c r="CZ46" s="30">
        <f t="shared" ca="1" si="16"/>
        <v>0</v>
      </c>
      <c r="DA46" s="35">
        <f ca="1">_xll.RiskBinomial(1,CZ46)</f>
        <v>0</v>
      </c>
      <c r="DB46" s="88">
        <f ca="1">IF(DA46=1,_xll.RiskBinomial(1,Prob_Illness_Given_Infection),0)</f>
        <v>0</v>
      </c>
      <c r="DD46" s="87">
        <f t="shared" ca="1" si="51"/>
        <v>2.3960503194258903E-9</v>
      </c>
      <c r="DE46" s="37">
        <f ca="1">INT(DD46) + _xll.RiskBinomial(1,DD46-INT(DD46))</f>
        <v>0</v>
      </c>
      <c r="DF46" s="30">
        <f t="shared" ca="1" si="17"/>
        <v>0</v>
      </c>
      <c r="DG46" s="35">
        <f ca="1">_xll.RiskBinomial(1,DF46)</f>
        <v>0</v>
      </c>
      <c r="DH46" s="88">
        <f ca="1">IF(DG46=1,_xll.RiskBinomial(1,Prob_Illness_Given_Infection),0)</f>
        <v>0</v>
      </c>
      <c r="DJ46" s="87">
        <f t="shared" ca="1" si="52"/>
        <v>3.912417712755671E-6</v>
      </c>
      <c r="DK46" s="37">
        <f ca="1">INT(DJ46) + _xll.RiskBinomial(1,DJ46-INT(DJ46))</f>
        <v>0</v>
      </c>
      <c r="DL46" s="30">
        <f t="shared" ca="1" si="18"/>
        <v>0</v>
      </c>
      <c r="DM46" s="35">
        <f ca="1">_xll.RiskBinomial(1,DL46)</f>
        <v>0</v>
      </c>
      <c r="DN46" s="88">
        <f ca="1">IF(DM46=1,_xll.RiskBinomial(1,Prob_Illness_Given_Infection),0)</f>
        <v>0</v>
      </c>
      <c r="DP46" s="87">
        <f t="shared" ca="1" si="53"/>
        <v>9.2487538343762212E-10</v>
      </c>
      <c r="DQ46" s="37">
        <f ca="1">INT(DP46) + _xll.RiskBinomial(1,DP46-INT(DP46))</f>
        <v>0</v>
      </c>
      <c r="DR46" s="30">
        <f t="shared" ca="1" si="19"/>
        <v>0</v>
      </c>
      <c r="DS46" s="35">
        <f ca="1">_xll.RiskBinomial(1,DR46)</f>
        <v>0</v>
      </c>
      <c r="DT46" s="88">
        <f ca="1">IF(DS46=1,_xll.RiskBinomial(1,Prob_Illness_Given_Infection),0)</f>
        <v>0</v>
      </c>
      <c r="DV46" s="87">
        <f t="shared" ca="1" si="54"/>
        <v>1.3020450836744858E-8</v>
      </c>
      <c r="DW46" s="37">
        <f ca="1">INT(DV46) + _xll.RiskBinomial(1,DV46-INT(DV46))</f>
        <v>0</v>
      </c>
      <c r="DX46" s="30">
        <f t="shared" ca="1" si="20"/>
        <v>0</v>
      </c>
      <c r="DY46" s="35">
        <f ca="1">_xll.RiskBinomial(1,DX46)</f>
        <v>0</v>
      </c>
      <c r="DZ46" s="88">
        <f ca="1">IF(DY46=1,_xll.RiskBinomial(1,Prob_Illness_Given_Infection),0)</f>
        <v>0</v>
      </c>
      <c r="EB46" s="87">
        <f t="shared" ca="1" si="55"/>
        <v>3.2672531328316685E-12</v>
      </c>
      <c r="EC46" s="37">
        <f ca="1">INT(EB46) + _xll.RiskBinomial(1,EB46-INT(EB46))</f>
        <v>0</v>
      </c>
      <c r="ED46" s="30">
        <f t="shared" ca="1" si="21"/>
        <v>0</v>
      </c>
      <c r="EE46" s="35">
        <f ca="1">_xll.RiskBinomial(1,ED46)</f>
        <v>0</v>
      </c>
      <c r="EF46" s="88">
        <f ca="1">IF(EE46=1,_xll.RiskBinomial(1,Prob_Illness_Given_Infection),0)</f>
        <v>0</v>
      </c>
      <c r="EH46" s="87">
        <f t="shared" ca="1" si="56"/>
        <v>3.2672531328283097E-12</v>
      </c>
      <c r="EI46" s="37">
        <f ca="1">INT(EH46) + _xll.RiskBinomial(1,EH46-INT(EH46))</f>
        <v>0</v>
      </c>
      <c r="EJ46" s="30">
        <f t="shared" ca="1" si="22"/>
        <v>0</v>
      </c>
      <c r="EK46" s="35">
        <f ca="1">_xll.RiskBinomial(1,EJ46)</f>
        <v>0</v>
      </c>
      <c r="EL46" s="88">
        <f ca="1">IF(EK46=1,_xll.RiskBinomial(1,Prob_Illness_Given_Infection),0)</f>
        <v>0</v>
      </c>
      <c r="EN46" s="87">
        <f t="shared" ca="1" si="57"/>
        <v>2.9811712300663908E-10</v>
      </c>
      <c r="EO46" s="37">
        <f ca="1">INT(EN46) + _xll.RiskBinomial(1,EN46-INT(EN46))</f>
        <v>0</v>
      </c>
      <c r="EP46" s="30">
        <f t="shared" ca="1" si="23"/>
        <v>0</v>
      </c>
      <c r="EQ46" s="35">
        <f ca="1">_xll.RiskBinomial(1,EP46)</f>
        <v>0</v>
      </c>
      <c r="ER46" s="88">
        <f ca="1">IF(EQ46=1,_xll.RiskBinomial(1,Prob_Illness_Given_Infection),0)</f>
        <v>0</v>
      </c>
      <c r="ET46" s="87">
        <f t="shared" ca="1" si="58"/>
        <v>3.2672531328251941E-12</v>
      </c>
      <c r="EU46" s="37">
        <f ca="1">INT(ET46) + _xll.RiskBinomial(1,ET46-INT(ET46))</f>
        <v>0</v>
      </c>
      <c r="EV46" s="30">
        <f t="shared" ca="1" si="24"/>
        <v>0</v>
      </c>
      <c r="EW46" s="35">
        <f ca="1">_xll.RiskBinomial(1,EV46)</f>
        <v>0</v>
      </c>
      <c r="EX46" s="88">
        <f ca="1">IF(EW46=1,_xll.RiskBinomial(1,Prob_Illness_Given_Infection),0)</f>
        <v>0</v>
      </c>
      <c r="EZ46" s="87">
        <f t="shared" ca="1" si="59"/>
        <v>2.4642287857791581E-5</v>
      </c>
      <c r="FA46" s="37">
        <f ca="1">INT(EZ46) + _xll.RiskBinomial(1,EZ46-INT(EZ46))</f>
        <v>0</v>
      </c>
      <c r="FB46" s="30">
        <f t="shared" ca="1" si="25"/>
        <v>0</v>
      </c>
      <c r="FC46" s="35">
        <f ca="1">_xll.RiskBinomial(1,FB46)</f>
        <v>0</v>
      </c>
      <c r="FD46" s="88">
        <f ca="1">IF(FC46=1,_xll.RiskBinomial(1,Prob_Illness_Given_Infection),0)</f>
        <v>0</v>
      </c>
      <c r="FF46" s="87">
        <f t="shared" ca="1" si="60"/>
        <v>1.7165540717314906E-4</v>
      </c>
      <c r="FG46" s="37">
        <f ca="1">INT(FF46) + _xll.RiskBinomial(1,FF46-INT(FF46))</f>
        <v>0</v>
      </c>
      <c r="FH46" s="30">
        <f t="shared" ca="1" si="26"/>
        <v>0</v>
      </c>
      <c r="FI46" s="35">
        <f ca="1">_xll.RiskBinomial(1,FH46)</f>
        <v>0</v>
      </c>
      <c r="FJ46" s="88">
        <f ca="1">IF(FI46=1,_xll.RiskBinomial(1,Prob_Illness_Given_Infection),0)</f>
        <v>0</v>
      </c>
      <c r="FL46" s="87" t="e">
        <f t="shared" ca="1" si="61"/>
        <v>#NAME?</v>
      </c>
      <c r="FM46" s="37" t="e">
        <f ca="1">INT(FL46) + _xll.RiskBinomial(1,FL46-INT(FL46))</f>
        <v>#NAME?</v>
      </c>
      <c r="FN46" s="30" t="e">
        <f t="shared" ca="1" si="27"/>
        <v>#NAME?</v>
      </c>
      <c r="FO46" s="35" t="e">
        <f ca="1">_xll.RiskBinomial(1,FN46)</f>
        <v>#VALUE!</v>
      </c>
      <c r="FP46" s="88" t="e">
        <f ca="1">IF(FO46=1,_xll.RiskBinomial(1,Prob_Illness_Given_Infection),0)</f>
        <v>#VALUE!</v>
      </c>
      <c r="FR46" s="87" t="e">
        <f t="shared" ca="1" si="62"/>
        <v>#NAME?</v>
      </c>
      <c r="FS46" s="37" t="e">
        <f ca="1">INT(FR46) + _xll.RiskBinomial(1,FR46-INT(FR46))</f>
        <v>#NAME?</v>
      </c>
      <c r="FT46" s="30" t="e">
        <f t="shared" ca="1" si="28"/>
        <v>#NAME?</v>
      </c>
      <c r="FU46" s="35" t="e">
        <f ca="1">_xll.RiskBinomial(1,FT46)</f>
        <v>#VALUE!</v>
      </c>
      <c r="FV46" s="88" t="e">
        <f ca="1">IF(FU46=1,_xll.RiskBinomial(1,Prob_Illness_Given_Infection),0)</f>
        <v>#VALUE!</v>
      </c>
      <c r="FX46" s="87">
        <f t="shared" ca="1" si="63"/>
        <v>3.4494582192777171E-7</v>
      </c>
      <c r="FY46" s="37">
        <f ca="1">INT(FX46) + _xll.RiskBinomial(1,FX46-INT(FX46))</f>
        <v>0</v>
      </c>
      <c r="FZ46" s="30">
        <f t="shared" ca="1" si="29"/>
        <v>0</v>
      </c>
      <c r="GA46" s="35">
        <f ca="1">_xll.RiskBinomial(1,FZ46)</f>
        <v>0</v>
      </c>
      <c r="GB46" s="88">
        <f ca="1">IF(GA46=1,_xll.RiskBinomial(1,Prob_Illness_Given_Infection),0)</f>
        <v>0</v>
      </c>
      <c r="GD46" s="87" t="e">
        <f t="shared" ca="1" si="64"/>
        <v>#NAME?</v>
      </c>
      <c r="GE46" s="37" t="e">
        <f ca="1">INT(GD46) + _xll.RiskBinomial(1,GD46-INT(GD46))</f>
        <v>#NAME?</v>
      </c>
      <c r="GF46" s="30" t="e">
        <f t="shared" ca="1" si="30"/>
        <v>#NAME?</v>
      </c>
      <c r="GG46" s="35" t="e">
        <f ca="1">_xll.RiskBinomial(1,GF46)</f>
        <v>#VALUE!</v>
      </c>
      <c r="GH46" s="88" t="e">
        <f ca="1">IF(GG46=1,_xll.RiskBinomial(1,Prob_Illness_Given_Infection),0)</f>
        <v>#VALUE!</v>
      </c>
      <c r="GJ46" s="87" t="e">
        <f t="shared" ca="1" si="65"/>
        <v>#NAME?</v>
      </c>
      <c r="GK46" s="37" t="e">
        <f ca="1">INT(GJ46) + _xll.RiskBinomial(1,GJ46-INT(GJ46))</f>
        <v>#NAME?</v>
      </c>
      <c r="GL46" s="30" t="e">
        <f t="shared" ca="1" si="31"/>
        <v>#NAME?</v>
      </c>
      <c r="GM46" s="35" t="e">
        <f ca="1">_xll.RiskBinomial(1,GL46)</f>
        <v>#VALUE!</v>
      </c>
      <c r="GN46" s="88" t="e">
        <f ca="1">IF(GM46=1,_xll.RiskBinomial(1,Prob_Illness_Given_Infection),0)</f>
        <v>#VALUE!</v>
      </c>
      <c r="GP46" s="87" t="e">
        <f t="shared" ca="1" si="66"/>
        <v>#NAME?</v>
      </c>
      <c r="GQ46" s="37" t="e">
        <f ca="1">INT(GP46) + _xll.RiskBinomial(1,GP46-INT(GP46))</f>
        <v>#NAME?</v>
      </c>
      <c r="GR46" s="30" t="e">
        <f t="shared" ca="1" si="32"/>
        <v>#NAME?</v>
      </c>
      <c r="GS46" s="35" t="e">
        <f ca="1">_xll.RiskBinomial(1,GR46)</f>
        <v>#VALUE!</v>
      </c>
      <c r="GT46" s="88" t="e">
        <f ca="1">IF(GS46=1,_xll.RiskBinomial(1,Prob_Illness_Given_Infection),0)</f>
        <v>#VALUE!</v>
      </c>
    </row>
    <row r="47" spans="2:202">
      <c r="B47" s="108">
        <v>39</v>
      </c>
      <c r="C47" s="87">
        <f ca="1">_xll.RiskLoglogistic(LogLogistic_gamma, LogLogistic_beta, LogLogistic_alpha, _xll.RiskTruncate(5,800))</f>
        <v>54.97535482437052</v>
      </c>
      <c r="D47" s="38">
        <f t="shared" ca="1" si="67"/>
        <v>3.5317068066794777</v>
      </c>
      <c r="E47" s="30"/>
      <c r="F47" s="87">
        <f t="shared" ca="1" si="34"/>
        <v>1.2750845686296308E-9</v>
      </c>
      <c r="G47" s="37">
        <f ca="1">INT(F47) + _xll.RiskBinomial(1,F47-INT(F47))</f>
        <v>0</v>
      </c>
      <c r="H47" s="30">
        <f t="shared" ca="1" si="68"/>
        <v>0</v>
      </c>
      <c r="I47" s="35">
        <f ca="1">_xll.RiskBinomial(1,H47)</f>
        <v>0</v>
      </c>
      <c r="J47" s="88">
        <f ca="1">IF(I47=1,_xll.RiskBinomial(1,Prob_Illness_Given_Infection),0)</f>
        <v>0</v>
      </c>
      <c r="K47" s="30"/>
      <c r="L47" s="87">
        <f t="shared" ca="1" si="35"/>
        <v>6.5127997372615569E-5</v>
      </c>
      <c r="M47" s="37">
        <f ca="1">INT(L47) + _xll.RiskBinomial(1,L47-INT(L47))</f>
        <v>0</v>
      </c>
      <c r="N47" s="30">
        <f t="shared" ca="1" si="1"/>
        <v>0</v>
      </c>
      <c r="O47" s="35">
        <f ca="1">_xll.RiskBinomial(1,N47)</f>
        <v>0</v>
      </c>
      <c r="P47" s="88">
        <f ca="1">IF(O47=1,_xll.RiskBinomial(1,Prob_Illness_Given_Infection),0)</f>
        <v>0</v>
      </c>
      <c r="Q47" s="30"/>
      <c r="R47" s="87">
        <f t="shared" ca="1" si="36"/>
        <v>6.7326569671765007E-6</v>
      </c>
      <c r="S47" s="37">
        <f ca="1">INT(R47) + _xll.RiskBinomial(1,R47-INT(R47))</f>
        <v>0</v>
      </c>
      <c r="T47" s="30">
        <f t="shared" ca="1" si="2"/>
        <v>0</v>
      </c>
      <c r="U47" s="35">
        <f ca="1">_xll.RiskBinomial(1,T47)</f>
        <v>0</v>
      </c>
      <c r="V47" s="88">
        <f ca="1">IF(U47=1,_xll.RiskBinomial(1,Prob_Illness_Given_Infection),0)</f>
        <v>0</v>
      </c>
      <c r="W47" s="30"/>
      <c r="X47" s="87">
        <f t="shared" ca="1" si="37"/>
        <v>2.7659508956659941E-12</v>
      </c>
      <c r="Y47" s="37">
        <f ca="1">INT(X47) + _xll.RiskBinomial(1,X47-INT(X47))</f>
        <v>0</v>
      </c>
      <c r="Z47" s="30">
        <f t="shared" ca="1" si="3"/>
        <v>0</v>
      </c>
      <c r="AA47" s="35">
        <f ca="1">_xll.RiskBinomial(1,Z47)</f>
        <v>0</v>
      </c>
      <c r="AB47" s="88">
        <f ca="1">IF(AA47=1,_xll.RiskBinomial(1,Prob_Illness_Given_Infection),0)</f>
        <v>0</v>
      </c>
      <c r="AC47" s="30"/>
      <c r="AD47" s="87">
        <f t="shared" ca="1" si="38"/>
        <v>1.3935350476848813E-12</v>
      </c>
      <c r="AE47" s="37">
        <f ca="1">INT(AD47) + _xll.RiskBinomial(1,AD47-INT(AD47))</f>
        <v>0</v>
      </c>
      <c r="AF47" s="30">
        <f t="shared" ca="1" si="4"/>
        <v>0</v>
      </c>
      <c r="AG47" s="35">
        <f ca="1">_xll.RiskBinomial(1,AF47)</f>
        <v>0</v>
      </c>
      <c r="AH47" s="88">
        <f ca="1">IF(AG47=1,_xll.RiskBinomial(1,Prob_Illness_Given_Infection),0)</f>
        <v>0</v>
      </c>
      <c r="AI47" s="30"/>
      <c r="AJ47" s="87">
        <f t="shared" ca="1" si="39"/>
        <v>6.4684305679312882E-5</v>
      </c>
      <c r="AK47" s="37">
        <f ca="1">INT(AJ47) + _xll.RiskBinomial(1,AJ47-INT(AJ47))</f>
        <v>0</v>
      </c>
      <c r="AL47" s="30">
        <f t="shared" ca="1" si="5"/>
        <v>0</v>
      </c>
      <c r="AM47" s="35">
        <f ca="1">_xll.RiskBinomial(1,AL47)</f>
        <v>0</v>
      </c>
      <c r="AN47" s="88">
        <f ca="1">IF(AM47=1,_xll.RiskBinomial(1,Prob_Illness_Given_Infection),0)</f>
        <v>0</v>
      </c>
      <c r="AO47" s="30"/>
      <c r="AP47" s="87">
        <f t="shared" ca="1" si="40"/>
        <v>1.5730598090681086E-9</v>
      </c>
      <c r="AQ47" s="37">
        <f ca="1">INT(AP47) + _xll.RiskBinomial(1,AP47-INT(AP47))</f>
        <v>0</v>
      </c>
      <c r="AR47" s="30">
        <f t="shared" ca="1" si="6"/>
        <v>0</v>
      </c>
      <c r="AS47" s="35">
        <f ca="1">_xll.RiskBinomial(1,AR47)</f>
        <v>0</v>
      </c>
      <c r="AT47" s="88">
        <f ca="1">IF(AS47=1,_xll.RiskBinomial(1,Prob_Illness_Given_Infection),0)</f>
        <v>0</v>
      </c>
      <c r="AU47" s="30"/>
      <c r="AV47" s="87">
        <f t="shared" ca="1" si="41"/>
        <v>3.6494168657409307E-5</v>
      </c>
      <c r="AW47" s="37">
        <f ca="1">INT(AV47) + _xll.RiskBinomial(1,AV47-INT(AV47))</f>
        <v>0</v>
      </c>
      <c r="AX47" s="30">
        <f t="shared" ca="1" si="7"/>
        <v>0</v>
      </c>
      <c r="AY47" s="35">
        <f ca="1">_xll.RiskBinomial(1,AX47)</f>
        <v>0</v>
      </c>
      <c r="AZ47" s="88">
        <f ca="1">IF(AY47=1,_xll.RiskBinomial(1,Prob_Illness_Given_Infection),0)</f>
        <v>0</v>
      </c>
      <c r="BB47" s="87">
        <f t="shared" ca="1" si="42"/>
        <v>5.0088606976678235E-5</v>
      </c>
      <c r="BC47" s="37">
        <f ca="1">INT(BB47) + _xll.RiskBinomial(1,BB47-INT(BB47))</f>
        <v>0</v>
      </c>
      <c r="BD47" s="30">
        <f t="shared" ca="1" si="8"/>
        <v>0</v>
      </c>
      <c r="BE47" s="35">
        <f ca="1">_xll.RiskBinomial(1,BD47)</f>
        <v>0</v>
      </c>
      <c r="BF47" s="88">
        <f ca="1">IF(BE47=1,_xll.RiskBinomial(1,Prob_Illness_Given_Infection),0)</f>
        <v>0</v>
      </c>
      <c r="BH47" s="87">
        <f t="shared" ca="1" si="43"/>
        <v>6.3415759848242691E-5</v>
      </c>
      <c r="BI47" s="37">
        <f ca="1">INT(BH47) + _xll.RiskBinomial(1,BH47-INT(BH47))</f>
        <v>0</v>
      </c>
      <c r="BJ47" s="30">
        <f t="shared" ca="1" si="9"/>
        <v>0</v>
      </c>
      <c r="BK47" s="35">
        <f ca="1">_xll.RiskBinomial(1,BJ47)</f>
        <v>0</v>
      </c>
      <c r="BL47" s="88">
        <f ca="1">IF(BK47=1,_xll.RiskBinomial(1,Prob_Illness_Given_Infection),0)</f>
        <v>0</v>
      </c>
      <c r="BN47" s="87">
        <f t="shared" ca="1" si="44"/>
        <v>4.8263009192120711E-6</v>
      </c>
      <c r="BO47" s="37">
        <f ca="1">INT(BN47) + _xll.RiskBinomial(1,BN47-INT(BN47))</f>
        <v>0</v>
      </c>
      <c r="BP47" s="30">
        <f t="shared" ca="1" si="10"/>
        <v>0</v>
      </c>
      <c r="BQ47" s="35">
        <f ca="1">_xll.RiskBinomial(1,BP47)</f>
        <v>0</v>
      </c>
      <c r="BR47" s="88">
        <f ca="1">IF(BQ47=1,_xll.RiskBinomial(1,Prob_Illness_Given_Infection),0)</f>
        <v>0</v>
      </c>
      <c r="BT47" s="87">
        <f t="shared" ca="1" si="45"/>
        <v>1.451263584103193E-5</v>
      </c>
      <c r="BU47" s="37">
        <f ca="1">INT(BT47) + _xll.RiskBinomial(1,BT47-INT(BT47))</f>
        <v>0</v>
      </c>
      <c r="BV47" s="30">
        <f t="shared" ca="1" si="11"/>
        <v>0</v>
      </c>
      <c r="BW47" s="35">
        <f ca="1">_xll.RiskBinomial(1,BV47)</f>
        <v>0</v>
      </c>
      <c r="BX47" s="88">
        <f ca="1">IF(BW47=1,_xll.RiskBinomial(1,Prob_Illness_Given_Infection),0)</f>
        <v>0</v>
      </c>
      <c r="BZ47" s="87">
        <f t="shared" ca="1" si="46"/>
        <v>3.978402692195119E-5</v>
      </c>
      <c r="CA47" s="37">
        <f ca="1">INT(BZ47) + _xll.RiskBinomial(1,BZ47-INT(BZ47))</f>
        <v>0</v>
      </c>
      <c r="CB47" s="30">
        <f t="shared" ca="1" si="12"/>
        <v>0</v>
      </c>
      <c r="CC47" s="35">
        <f ca="1">_xll.RiskBinomial(1,CB47)</f>
        <v>0</v>
      </c>
      <c r="CD47" s="88">
        <f ca="1">IF(CC47=1,_xll.RiskBinomial(1,Prob_Illness_Given_Infection),0)</f>
        <v>0</v>
      </c>
      <c r="CF47" s="87">
        <f t="shared" ca="1" si="47"/>
        <v>7.5486209009104309E-6</v>
      </c>
      <c r="CG47" s="37">
        <f ca="1">INT(CF47) + _xll.RiskBinomial(1,CF47-INT(CF47))</f>
        <v>0</v>
      </c>
      <c r="CH47" s="30">
        <f t="shared" ca="1" si="13"/>
        <v>0</v>
      </c>
      <c r="CI47" s="35">
        <f ca="1">_xll.RiskBinomial(1,CH47)</f>
        <v>0</v>
      </c>
      <c r="CJ47" s="88">
        <f ca="1">IF(CI47=1,_xll.RiskBinomial(1,Prob_Illness_Given_Infection),0)</f>
        <v>0</v>
      </c>
      <c r="CL47" s="87">
        <f t="shared" ca="1" si="48"/>
        <v>1.4566725059876985E-5</v>
      </c>
      <c r="CM47" s="37">
        <f ca="1">INT(CL47) + _xll.RiskBinomial(1,CL47-INT(CL47))</f>
        <v>0</v>
      </c>
      <c r="CN47" s="30">
        <f t="shared" ca="1" si="14"/>
        <v>0</v>
      </c>
      <c r="CO47" s="35">
        <f ca="1">_xll.RiskBinomial(1,CN47)</f>
        <v>0</v>
      </c>
      <c r="CP47" s="88">
        <f ca="1">IF(CO47=1,_xll.RiskBinomial(1,Prob_Illness_Given_Infection),0)</f>
        <v>0</v>
      </c>
      <c r="CR47" s="87">
        <f t="shared" ca="1" si="49"/>
        <v>1.0038946021615122E-7</v>
      </c>
      <c r="CS47" s="37">
        <f ca="1">INT(CR47) + _xll.RiskBinomial(1,CR47-INT(CR47))</f>
        <v>0</v>
      </c>
      <c r="CT47" s="30">
        <f t="shared" ca="1" si="15"/>
        <v>0</v>
      </c>
      <c r="CU47" s="35">
        <f ca="1">_xll.RiskBinomial(1,CT47)</f>
        <v>0</v>
      </c>
      <c r="CV47" s="88">
        <f ca="1">IF(CU47=1,_xll.RiskBinomial(1,Prob_Illness_Given_Infection),0)</f>
        <v>0</v>
      </c>
      <c r="CX47" s="87">
        <f t="shared" ca="1" si="50"/>
        <v>1.0219532923797607E-9</v>
      </c>
      <c r="CY47" s="37">
        <f ca="1">INT(CX47) + _xll.RiskBinomial(1,CX47-INT(CX47))</f>
        <v>0</v>
      </c>
      <c r="CZ47" s="30">
        <f t="shared" ca="1" si="16"/>
        <v>0</v>
      </c>
      <c r="DA47" s="35">
        <f ca="1">_xll.RiskBinomial(1,CZ47)</f>
        <v>0</v>
      </c>
      <c r="DB47" s="88">
        <f ca="1">IF(DA47=1,_xll.RiskBinomial(1,Prob_Illness_Given_Infection),0)</f>
        <v>0</v>
      </c>
      <c r="DD47" s="87">
        <f t="shared" ca="1" si="51"/>
        <v>1.0219532923797607E-9</v>
      </c>
      <c r="DE47" s="37">
        <f ca="1">INT(DD47) + _xll.RiskBinomial(1,DD47-INT(DD47))</f>
        <v>0</v>
      </c>
      <c r="DF47" s="30">
        <f t="shared" ca="1" si="17"/>
        <v>0</v>
      </c>
      <c r="DG47" s="35">
        <f ca="1">_xll.RiskBinomial(1,DF47)</f>
        <v>0</v>
      </c>
      <c r="DH47" s="88">
        <f ca="1">IF(DG47=1,_xll.RiskBinomial(1,Prob_Illness_Given_Infection),0)</f>
        <v>0</v>
      </c>
      <c r="DJ47" s="87">
        <f t="shared" ca="1" si="52"/>
        <v>1.6687079275002757E-6</v>
      </c>
      <c r="DK47" s="37">
        <f ca="1">INT(DJ47) + _xll.RiskBinomial(1,DJ47-INT(DJ47))</f>
        <v>0</v>
      </c>
      <c r="DL47" s="30">
        <f t="shared" ca="1" si="18"/>
        <v>0</v>
      </c>
      <c r="DM47" s="35">
        <f ca="1">_xll.RiskBinomial(1,DL47)</f>
        <v>0</v>
      </c>
      <c r="DN47" s="88">
        <f ca="1">IF(DM47=1,_xll.RiskBinomial(1,Prob_Illness_Given_Infection),0)</f>
        <v>0</v>
      </c>
      <c r="DP47" s="87">
        <f t="shared" ca="1" si="53"/>
        <v>3.9447395385733924E-10</v>
      </c>
      <c r="DQ47" s="37">
        <f ca="1">INT(DP47) + _xll.RiskBinomial(1,DP47-INT(DP47))</f>
        <v>0</v>
      </c>
      <c r="DR47" s="30">
        <f t="shared" ca="1" si="19"/>
        <v>0</v>
      </c>
      <c r="DS47" s="35">
        <f ca="1">_xll.RiskBinomial(1,DR47)</f>
        <v>0</v>
      </c>
      <c r="DT47" s="88">
        <f ca="1">IF(DS47=1,_xll.RiskBinomial(1,Prob_Illness_Given_Infection),0)</f>
        <v>0</v>
      </c>
      <c r="DV47" s="87">
        <f t="shared" ca="1" si="54"/>
        <v>5.553427861259815E-9</v>
      </c>
      <c r="DW47" s="37">
        <f ca="1">INT(DV47) + _xll.RiskBinomial(1,DV47-INT(DV47))</f>
        <v>0</v>
      </c>
      <c r="DX47" s="30">
        <f t="shared" ca="1" si="20"/>
        <v>0</v>
      </c>
      <c r="DY47" s="35">
        <f ca="1">_xll.RiskBinomial(1,DX47)</f>
        <v>0</v>
      </c>
      <c r="DZ47" s="88">
        <f ca="1">IF(DY47=1,_xll.RiskBinomial(1,Prob_Illness_Given_Infection),0)</f>
        <v>0</v>
      </c>
      <c r="EB47" s="87">
        <f t="shared" ca="1" si="55"/>
        <v>1.3935350476844132E-12</v>
      </c>
      <c r="EC47" s="37">
        <f ca="1">INT(EB47) + _xll.RiskBinomial(1,EB47-INT(EB47))</f>
        <v>0</v>
      </c>
      <c r="ED47" s="30">
        <f t="shared" ca="1" si="21"/>
        <v>0</v>
      </c>
      <c r="EE47" s="35">
        <f ca="1">_xll.RiskBinomial(1,ED47)</f>
        <v>0</v>
      </c>
      <c r="EF47" s="88">
        <f ca="1">IF(EE47=1,_xll.RiskBinomial(1,Prob_Illness_Given_Infection),0)</f>
        <v>0</v>
      </c>
      <c r="EH47" s="87">
        <f t="shared" ca="1" si="56"/>
        <v>1.3935350476829808E-12</v>
      </c>
      <c r="EI47" s="37">
        <f ca="1">INT(EH47) + _xll.RiskBinomial(1,EH47-INT(EH47))</f>
        <v>0</v>
      </c>
      <c r="EJ47" s="30">
        <f t="shared" ca="1" si="22"/>
        <v>0</v>
      </c>
      <c r="EK47" s="35">
        <f ca="1">_xll.RiskBinomial(1,EJ47)</f>
        <v>0</v>
      </c>
      <c r="EL47" s="88">
        <f ca="1">IF(EK47=1,_xll.RiskBinomial(1,Prob_Illness_Given_Infection),0)</f>
        <v>0</v>
      </c>
      <c r="EN47" s="87">
        <f t="shared" ca="1" si="57"/>
        <v>1.2715165992190681E-10</v>
      </c>
      <c r="EO47" s="37">
        <f ca="1">INT(EN47) + _xll.RiskBinomial(1,EN47-INT(EN47))</f>
        <v>0</v>
      </c>
      <c r="EP47" s="30">
        <f t="shared" ca="1" si="23"/>
        <v>0</v>
      </c>
      <c r="EQ47" s="35">
        <f ca="1">_xll.RiskBinomial(1,EP47)</f>
        <v>0</v>
      </c>
      <c r="ER47" s="88">
        <f ca="1">IF(EQ47=1,_xll.RiskBinomial(1,Prob_Illness_Given_Infection),0)</f>
        <v>0</v>
      </c>
      <c r="ET47" s="87">
        <f t="shared" ca="1" si="58"/>
        <v>1.3935350476816518E-12</v>
      </c>
      <c r="EU47" s="37">
        <f ca="1">INT(ET47) + _xll.RiskBinomial(1,ET47-INT(ET47))</f>
        <v>0</v>
      </c>
      <c r="EV47" s="30">
        <f t="shared" ca="1" si="24"/>
        <v>0</v>
      </c>
      <c r="EW47" s="35">
        <f ca="1">_xll.RiskBinomial(1,EV47)</f>
        <v>0</v>
      </c>
      <c r="EX47" s="88">
        <f ca="1">IF(EW47=1,_xll.RiskBinomial(1,Prob_Illness_Given_Infection),0)</f>
        <v>0</v>
      </c>
      <c r="EZ47" s="87">
        <f t="shared" ca="1" si="59"/>
        <v>1.0510324847465636E-5</v>
      </c>
      <c r="FA47" s="37">
        <f ca="1">INT(EZ47) + _xll.RiskBinomial(1,EZ47-INT(EZ47))</f>
        <v>0</v>
      </c>
      <c r="FB47" s="30">
        <f t="shared" ca="1" si="25"/>
        <v>0</v>
      </c>
      <c r="FC47" s="35">
        <f ca="1">_xll.RiskBinomial(1,FB47)</f>
        <v>0</v>
      </c>
      <c r="FD47" s="88">
        <f ca="1">IF(FC47=1,_xll.RiskBinomial(1,Prob_Illness_Given_Infection),0)</f>
        <v>0</v>
      </c>
      <c r="FF47" s="87">
        <f t="shared" ca="1" si="60"/>
        <v>7.3213741419846651E-5</v>
      </c>
      <c r="FG47" s="37">
        <f ca="1">INT(FF47) + _xll.RiskBinomial(1,FF47-INT(FF47))</f>
        <v>0</v>
      </c>
      <c r="FH47" s="30">
        <f t="shared" ca="1" si="26"/>
        <v>0</v>
      </c>
      <c r="FI47" s="35">
        <f ca="1">_xll.RiskBinomial(1,FH47)</f>
        <v>0</v>
      </c>
      <c r="FJ47" s="88">
        <f ca="1">IF(FI47=1,_xll.RiskBinomial(1,Prob_Illness_Given_Infection),0)</f>
        <v>0</v>
      </c>
      <c r="FL47" s="87" t="e">
        <f t="shared" ca="1" si="61"/>
        <v>#NAME?</v>
      </c>
      <c r="FM47" s="37" t="e">
        <f ca="1">INT(FL47) + _xll.RiskBinomial(1,FL47-INT(FL47))</f>
        <v>#NAME?</v>
      </c>
      <c r="FN47" s="30" t="e">
        <f t="shared" ca="1" si="27"/>
        <v>#NAME?</v>
      </c>
      <c r="FO47" s="35" t="e">
        <f ca="1">_xll.RiskBinomial(1,FN47)</f>
        <v>#VALUE!</v>
      </c>
      <c r="FP47" s="88" t="e">
        <f ca="1">IF(FO47=1,_xll.RiskBinomial(1,Prob_Illness_Given_Infection),0)</f>
        <v>#VALUE!</v>
      </c>
      <c r="FR47" s="87" t="e">
        <f t="shared" ca="1" si="62"/>
        <v>#NAME?</v>
      </c>
      <c r="FS47" s="37" t="e">
        <f ca="1">INT(FR47) + _xll.RiskBinomial(1,FR47-INT(FR47))</f>
        <v>#NAME?</v>
      </c>
      <c r="FT47" s="30" t="e">
        <f t="shared" ca="1" si="28"/>
        <v>#NAME?</v>
      </c>
      <c r="FU47" s="35" t="e">
        <f ca="1">_xll.RiskBinomial(1,FT47)</f>
        <v>#VALUE!</v>
      </c>
      <c r="FV47" s="88" t="e">
        <f ca="1">IF(FU47=1,_xll.RiskBinomial(1,Prob_Illness_Given_Infection),0)</f>
        <v>#VALUE!</v>
      </c>
      <c r="FX47" s="87">
        <f t="shared" ca="1" si="63"/>
        <v>1.4712483938826245E-7</v>
      </c>
      <c r="FY47" s="37">
        <f ca="1">INT(FX47) + _xll.RiskBinomial(1,FX47-INT(FX47))</f>
        <v>0</v>
      </c>
      <c r="FZ47" s="30">
        <f t="shared" ca="1" si="29"/>
        <v>0</v>
      </c>
      <c r="GA47" s="35">
        <f ca="1">_xll.RiskBinomial(1,FZ47)</f>
        <v>0</v>
      </c>
      <c r="GB47" s="88">
        <f ca="1">IF(GA47=1,_xll.RiskBinomial(1,Prob_Illness_Given_Infection),0)</f>
        <v>0</v>
      </c>
      <c r="GD47" s="87" t="e">
        <f t="shared" ca="1" si="64"/>
        <v>#NAME?</v>
      </c>
      <c r="GE47" s="37" t="e">
        <f ca="1">INT(GD47) + _xll.RiskBinomial(1,GD47-INT(GD47))</f>
        <v>#NAME?</v>
      </c>
      <c r="GF47" s="30" t="e">
        <f t="shared" ca="1" si="30"/>
        <v>#NAME?</v>
      </c>
      <c r="GG47" s="35" t="e">
        <f ca="1">_xll.RiskBinomial(1,GF47)</f>
        <v>#VALUE!</v>
      </c>
      <c r="GH47" s="88" t="e">
        <f ca="1">IF(GG47=1,_xll.RiskBinomial(1,Prob_Illness_Given_Infection),0)</f>
        <v>#VALUE!</v>
      </c>
      <c r="GJ47" s="87" t="e">
        <f t="shared" ca="1" si="65"/>
        <v>#NAME?</v>
      </c>
      <c r="GK47" s="37" t="e">
        <f ca="1">INT(GJ47) + _xll.RiskBinomial(1,GJ47-INT(GJ47))</f>
        <v>#NAME?</v>
      </c>
      <c r="GL47" s="30" t="e">
        <f t="shared" ca="1" si="31"/>
        <v>#NAME?</v>
      </c>
      <c r="GM47" s="35" t="e">
        <f ca="1">_xll.RiskBinomial(1,GL47)</f>
        <v>#VALUE!</v>
      </c>
      <c r="GN47" s="88" t="e">
        <f ca="1">IF(GM47=1,_xll.RiskBinomial(1,Prob_Illness_Given_Infection),0)</f>
        <v>#VALUE!</v>
      </c>
      <c r="GP47" s="87" t="e">
        <f t="shared" ca="1" si="66"/>
        <v>#NAME?</v>
      </c>
      <c r="GQ47" s="37" t="e">
        <f ca="1">INT(GP47) + _xll.RiskBinomial(1,GP47-INT(GP47))</f>
        <v>#NAME?</v>
      </c>
      <c r="GR47" s="30" t="e">
        <f t="shared" ca="1" si="32"/>
        <v>#NAME?</v>
      </c>
      <c r="GS47" s="35" t="e">
        <f ca="1">_xll.RiskBinomial(1,GR47)</f>
        <v>#VALUE!</v>
      </c>
      <c r="GT47" s="88" t="e">
        <f ca="1">IF(GS47=1,_xll.RiskBinomial(1,Prob_Illness_Given_Infection),0)</f>
        <v>#VALUE!</v>
      </c>
    </row>
    <row r="48" spans="2:202">
      <c r="B48" s="108">
        <v>40</v>
      </c>
      <c r="C48" s="87">
        <f ca="1">_xll.RiskLoglogistic(LogLogistic_gamma, LogLogistic_beta, LogLogistic_alpha, _xll.RiskTruncate(5,800))</f>
        <v>52.902684426416869</v>
      </c>
      <c r="D48" s="38">
        <f t="shared" ca="1" si="67"/>
        <v>3.3985550666708622</v>
      </c>
      <c r="E48" s="30"/>
      <c r="F48" s="87">
        <f t="shared" ca="1" si="34"/>
        <v>1.2270115721254849E-9</v>
      </c>
      <c r="G48" s="37">
        <f ca="1">INT(F48) + _xll.RiskBinomial(1,F48-INT(F48))</f>
        <v>0</v>
      </c>
      <c r="H48" s="30">
        <f t="shared" ca="1" si="68"/>
        <v>0</v>
      </c>
      <c r="I48" s="35">
        <f ca="1">_xll.RiskBinomial(1,H48)</f>
        <v>0</v>
      </c>
      <c r="J48" s="88">
        <f ca="1">IF(I48=1,_xll.RiskBinomial(1,Prob_Illness_Given_Infection),0)</f>
        <v>0</v>
      </c>
      <c r="K48" s="30"/>
      <c r="L48" s="87">
        <f t="shared" ca="1" si="35"/>
        <v>6.2672553971413852E-5</v>
      </c>
      <c r="M48" s="37">
        <f ca="1">INT(L48) + _xll.RiskBinomial(1,L48-INT(L48))</f>
        <v>0</v>
      </c>
      <c r="N48" s="30">
        <f t="shared" ca="1" si="1"/>
        <v>0</v>
      </c>
      <c r="O48" s="35">
        <f ca="1">_xll.RiskBinomial(1,N48)</f>
        <v>0</v>
      </c>
      <c r="P48" s="88">
        <f ca="1">IF(O48=1,_xll.RiskBinomial(1,Prob_Illness_Given_Infection),0)</f>
        <v>0</v>
      </c>
      <c r="Q48" s="30"/>
      <c r="R48" s="87">
        <f t="shared" ca="1" si="36"/>
        <v>6.4788236114842317E-6</v>
      </c>
      <c r="S48" s="37">
        <f ca="1">INT(R48) + _xll.RiskBinomial(1,R48-INT(R48))</f>
        <v>0</v>
      </c>
      <c r="T48" s="30">
        <f t="shared" ca="1" si="2"/>
        <v>0</v>
      </c>
      <c r="U48" s="35">
        <f ca="1">_xll.RiskBinomial(1,T48)</f>
        <v>0</v>
      </c>
      <c r="V48" s="88">
        <f ca="1">IF(U48=1,_xll.RiskBinomial(1,Prob_Illness_Given_Infection),0)</f>
        <v>0</v>
      </c>
      <c r="W48" s="30"/>
      <c r="X48" s="87">
        <f t="shared" ca="1" si="37"/>
        <v>2.6616695397392305E-12</v>
      </c>
      <c r="Y48" s="37">
        <f ca="1">INT(X48) + _xll.RiskBinomial(1,X48-INT(X48))</f>
        <v>0</v>
      </c>
      <c r="Z48" s="30">
        <f t="shared" ca="1" si="3"/>
        <v>0</v>
      </c>
      <c r="AA48" s="35">
        <f ca="1">_xll.RiskBinomial(1,Z48)</f>
        <v>0</v>
      </c>
      <c r="AB48" s="88">
        <f ca="1">IF(AA48=1,_xll.RiskBinomial(1,Prob_Illness_Given_Infection),0)</f>
        <v>0</v>
      </c>
      <c r="AC48" s="30"/>
      <c r="AD48" s="87">
        <f t="shared" ca="1" si="38"/>
        <v>1.3409962536911954E-12</v>
      </c>
      <c r="AE48" s="37">
        <f ca="1">INT(AD48) + _xll.RiskBinomial(1,AD48-INT(AD48))</f>
        <v>0</v>
      </c>
      <c r="AF48" s="30">
        <f t="shared" ca="1" si="4"/>
        <v>0</v>
      </c>
      <c r="AG48" s="35">
        <f ca="1">_xll.RiskBinomial(1,AF48)</f>
        <v>0</v>
      </c>
      <c r="AH48" s="88">
        <f ca="1">IF(AG48=1,_xll.RiskBinomial(1,Prob_Illness_Given_Infection),0)</f>
        <v>0</v>
      </c>
      <c r="AI48" s="30"/>
      <c r="AJ48" s="87">
        <f t="shared" ca="1" si="39"/>
        <v>6.2245590258157209E-5</v>
      </c>
      <c r="AK48" s="37">
        <f ca="1">INT(AJ48) + _xll.RiskBinomial(1,AJ48-INT(AJ48))</f>
        <v>0</v>
      </c>
      <c r="AL48" s="30">
        <f t="shared" ca="1" si="5"/>
        <v>0</v>
      </c>
      <c r="AM48" s="35">
        <f ca="1">_xll.RiskBinomial(1,AL48)</f>
        <v>0</v>
      </c>
      <c r="AN48" s="88">
        <f ca="1">IF(AM48=1,_xll.RiskBinomial(1,Prob_Illness_Given_Infection),0)</f>
        <v>0</v>
      </c>
      <c r="AO48" s="30"/>
      <c r="AP48" s="87">
        <f t="shared" ca="1" si="40"/>
        <v>1.5137526065792445E-9</v>
      </c>
      <c r="AQ48" s="37">
        <f ca="1">INT(AP48) + _xll.RiskBinomial(1,AP48-INT(AP48))</f>
        <v>0</v>
      </c>
      <c r="AR48" s="30">
        <f t="shared" ca="1" si="6"/>
        <v>0</v>
      </c>
      <c r="AS48" s="35">
        <f ca="1">_xll.RiskBinomial(1,AR48)</f>
        <v>0</v>
      </c>
      <c r="AT48" s="88">
        <f ca="1">IF(AS48=1,_xll.RiskBinomial(1,Prob_Illness_Given_Infection),0)</f>
        <v>0</v>
      </c>
      <c r="AU48" s="30"/>
      <c r="AV48" s="87">
        <f t="shared" ca="1" si="41"/>
        <v>3.5118272434169121E-5</v>
      </c>
      <c r="AW48" s="37">
        <f ca="1">INT(AV48) + _xll.RiskBinomial(1,AV48-INT(AV48))</f>
        <v>0</v>
      </c>
      <c r="AX48" s="30">
        <f t="shared" ca="1" si="7"/>
        <v>0</v>
      </c>
      <c r="AY48" s="35">
        <f ca="1">_xll.RiskBinomial(1,AX48)</f>
        <v>0</v>
      </c>
      <c r="AZ48" s="88">
        <f ca="1">IF(AY48=1,_xll.RiskBinomial(1,Prob_Illness_Given_Infection),0)</f>
        <v>0</v>
      </c>
      <c r="BB48" s="87">
        <f t="shared" ca="1" si="42"/>
        <v>4.8200175818990219E-5</v>
      </c>
      <c r="BC48" s="37">
        <f ca="1">INT(BB48) + _xll.RiskBinomial(1,BB48-INT(BB48))</f>
        <v>0</v>
      </c>
      <c r="BD48" s="30">
        <f t="shared" ca="1" si="8"/>
        <v>0</v>
      </c>
      <c r="BE48" s="35">
        <f ca="1">_xll.RiskBinomial(1,BD48)</f>
        <v>0</v>
      </c>
      <c r="BF48" s="88">
        <f ca="1">IF(BE48=1,_xll.RiskBinomial(1,Prob_Illness_Given_Infection),0)</f>
        <v>0</v>
      </c>
      <c r="BH48" s="87">
        <f t="shared" ca="1" si="43"/>
        <v>6.1024870901348207E-5</v>
      </c>
      <c r="BI48" s="37">
        <f ca="1">INT(BH48) + _xll.RiskBinomial(1,BH48-INT(BH48))</f>
        <v>0</v>
      </c>
      <c r="BJ48" s="30">
        <f t="shared" ca="1" si="9"/>
        <v>0</v>
      </c>
      <c r="BK48" s="35">
        <f ca="1">_xll.RiskBinomial(1,BJ48)</f>
        <v>0</v>
      </c>
      <c r="BL48" s="88">
        <f ca="1">IF(BK48=1,_xll.RiskBinomial(1,Prob_Illness_Given_Infection),0)</f>
        <v>0</v>
      </c>
      <c r="BN48" s="87">
        <f t="shared" ca="1" si="44"/>
        <v>4.6443406375763276E-6</v>
      </c>
      <c r="BO48" s="37">
        <f ca="1">INT(BN48) + _xll.RiskBinomial(1,BN48-INT(BN48))</f>
        <v>0</v>
      </c>
      <c r="BP48" s="30">
        <f t="shared" ca="1" si="10"/>
        <v>0</v>
      </c>
      <c r="BQ48" s="35">
        <f ca="1">_xll.RiskBinomial(1,BP48)</f>
        <v>0</v>
      </c>
      <c r="BR48" s="88">
        <f ca="1">IF(BQ48=1,_xll.RiskBinomial(1,Prob_Illness_Given_Infection),0)</f>
        <v>0</v>
      </c>
      <c r="BT48" s="87">
        <f t="shared" ca="1" si="45"/>
        <v>1.3965483197814179E-5</v>
      </c>
      <c r="BU48" s="37">
        <f ca="1">INT(BT48) + _xll.RiskBinomial(1,BT48-INT(BT48))</f>
        <v>0</v>
      </c>
      <c r="BV48" s="30">
        <f t="shared" ca="1" si="11"/>
        <v>0</v>
      </c>
      <c r="BW48" s="35">
        <f ca="1">_xll.RiskBinomial(1,BV48)</f>
        <v>0</v>
      </c>
      <c r="BX48" s="88">
        <f ca="1">IF(BW48=1,_xll.RiskBinomial(1,Prob_Illness_Given_Infection),0)</f>
        <v>0</v>
      </c>
      <c r="BZ48" s="87">
        <f t="shared" ca="1" si="46"/>
        <v>3.8284097086555837E-5</v>
      </c>
      <c r="CA48" s="37">
        <f ca="1">INT(BZ48) + _xll.RiskBinomial(1,BZ48-INT(BZ48))</f>
        <v>0</v>
      </c>
      <c r="CB48" s="30">
        <f t="shared" ca="1" si="12"/>
        <v>0</v>
      </c>
      <c r="CC48" s="35">
        <f ca="1">_xll.RiskBinomial(1,CB48)</f>
        <v>0</v>
      </c>
      <c r="CD48" s="88">
        <f ca="1">IF(CC48=1,_xll.RiskBinomial(1,Prob_Illness_Given_Infection),0)</f>
        <v>0</v>
      </c>
      <c r="CF48" s="87">
        <f t="shared" ca="1" si="47"/>
        <v>7.2640242277889055E-6</v>
      </c>
      <c r="CG48" s="37">
        <f ca="1">INT(CF48) + _xll.RiskBinomial(1,CF48-INT(CF48))</f>
        <v>0</v>
      </c>
      <c r="CH48" s="30">
        <f t="shared" ca="1" si="13"/>
        <v>0</v>
      </c>
      <c r="CI48" s="35">
        <f ca="1">_xll.RiskBinomial(1,CH48)</f>
        <v>0</v>
      </c>
      <c r="CJ48" s="88">
        <f ca="1">IF(CI48=1,_xll.RiskBinomial(1,Prob_Illness_Given_Infection),0)</f>
        <v>0</v>
      </c>
      <c r="CL48" s="87">
        <f t="shared" ca="1" si="48"/>
        <v>1.401753315519186E-5</v>
      </c>
      <c r="CM48" s="37">
        <f ca="1">INT(CL48) + _xll.RiskBinomial(1,CL48-INT(CL48))</f>
        <v>0</v>
      </c>
      <c r="CN48" s="30">
        <f t="shared" ca="1" si="14"/>
        <v>0</v>
      </c>
      <c r="CO48" s="35">
        <f ca="1">_xll.RiskBinomial(1,CN48)</f>
        <v>0</v>
      </c>
      <c r="CP48" s="88">
        <f ca="1">IF(CO48=1,_xll.RiskBinomial(1,Prob_Illness_Given_Infection),0)</f>
        <v>0</v>
      </c>
      <c r="CR48" s="87">
        <f t="shared" ca="1" si="49"/>
        <v>9.6604595832441531E-8</v>
      </c>
      <c r="CS48" s="37">
        <f ca="1">INT(CR48) + _xll.RiskBinomial(1,CR48-INT(CR48))</f>
        <v>0</v>
      </c>
      <c r="CT48" s="30">
        <f t="shared" ca="1" si="15"/>
        <v>0</v>
      </c>
      <c r="CU48" s="35">
        <f ca="1">_xll.RiskBinomial(1,CT48)</f>
        <v>0</v>
      </c>
      <c r="CV48" s="88">
        <f ca="1">IF(CU48=1,_xll.RiskBinomial(1,Prob_Illness_Given_Infection),0)</f>
        <v>0</v>
      </c>
      <c r="CX48" s="87">
        <f t="shared" ca="1" si="50"/>
        <v>9.8342380323005517E-10</v>
      </c>
      <c r="CY48" s="37">
        <f ca="1">INT(CX48) + _xll.RiskBinomial(1,CX48-INT(CX48))</f>
        <v>0</v>
      </c>
      <c r="CZ48" s="30">
        <f t="shared" ca="1" si="16"/>
        <v>0</v>
      </c>
      <c r="DA48" s="35">
        <f ca="1">_xll.RiskBinomial(1,CZ48)</f>
        <v>0</v>
      </c>
      <c r="DB48" s="88">
        <f ca="1">IF(DA48=1,_xll.RiskBinomial(1,Prob_Illness_Given_Infection),0)</f>
        <v>0</v>
      </c>
      <c r="DD48" s="87">
        <f t="shared" ca="1" si="51"/>
        <v>9.8342380323005517E-10</v>
      </c>
      <c r="DE48" s="37">
        <f ca="1">INT(DD48) + _xll.RiskBinomial(1,DD48-INT(DD48))</f>
        <v>0</v>
      </c>
      <c r="DF48" s="30">
        <f t="shared" ca="1" si="17"/>
        <v>0</v>
      </c>
      <c r="DG48" s="35">
        <f ca="1">_xll.RiskBinomial(1,DF48)</f>
        <v>0</v>
      </c>
      <c r="DH48" s="88">
        <f ca="1">IF(DG48=1,_xll.RiskBinomial(1,Prob_Illness_Given_Infection),0)</f>
        <v>0</v>
      </c>
      <c r="DJ48" s="87">
        <f t="shared" ca="1" si="52"/>
        <v>1.6057946177961394E-6</v>
      </c>
      <c r="DK48" s="37">
        <f ca="1">INT(DJ48) + _xll.RiskBinomial(1,DJ48-INT(DJ48))</f>
        <v>0</v>
      </c>
      <c r="DL48" s="30">
        <f t="shared" ca="1" si="18"/>
        <v>0</v>
      </c>
      <c r="DM48" s="35">
        <f ca="1">_xll.RiskBinomial(1,DL48)</f>
        <v>0</v>
      </c>
      <c r="DN48" s="88">
        <f ca="1">IF(DM48=1,_xll.RiskBinomial(1,Prob_Illness_Given_Infection),0)</f>
        <v>0</v>
      </c>
      <c r="DP48" s="87">
        <f t="shared" ca="1" si="53"/>
        <v>3.7960157168653072E-10</v>
      </c>
      <c r="DQ48" s="37">
        <f ca="1">INT(DP48) + _xll.RiskBinomial(1,DP48-INT(DP48))</f>
        <v>0</v>
      </c>
      <c r="DR48" s="30">
        <f t="shared" ca="1" si="19"/>
        <v>0</v>
      </c>
      <c r="DS48" s="35">
        <f ca="1">_xll.RiskBinomial(1,DR48)</f>
        <v>0</v>
      </c>
      <c r="DT48" s="88">
        <f ca="1">IF(DS48=1,_xll.RiskBinomial(1,Prob_Illness_Given_Infection),0)</f>
        <v>0</v>
      </c>
      <c r="DV48" s="87">
        <f t="shared" ca="1" si="54"/>
        <v>5.3440535776016822E-9</v>
      </c>
      <c r="DW48" s="37">
        <f ca="1">INT(DV48) + _xll.RiskBinomial(1,DV48-INT(DV48))</f>
        <v>0</v>
      </c>
      <c r="DX48" s="30">
        <f t="shared" ca="1" si="20"/>
        <v>0</v>
      </c>
      <c r="DY48" s="35">
        <f ca="1">_xll.RiskBinomial(1,DX48)</f>
        <v>0</v>
      </c>
      <c r="DZ48" s="88">
        <f ca="1">IF(DY48=1,_xll.RiskBinomial(1,Prob_Illness_Given_Infection),0)</f>
        <v>0</v>
      </c>
      <c r="EB48" s="87">
        <f t="shared" ca="1" si="55"/>
        <v>1.3409962536907451E-12</v>
      </c>
      <c r="EC48" s="37">
        <f ca="1">INT(EB48) + _xll.RiskBinomial(1,EB48-INT(EB48))</f>
        <v>0</v>
      </c>
      <c r="ED48" s="30">
        <f t="shared" ca="1" si="21"/>
        <v>0</v>
      </c>
      <c r="EE48" s="35">
        <f ca="1">_xll.RiskBinomial(1,ED48)</f>
        <v>0</v>
      </c>
      <c r="EF48" s="88">
        <f ca="1">IF(EE48=1,_xll.RiskBinomial(1,Prob_Illness_Given_Infection),0)</f>
        <v>0</v>
      </c>
      <c r="EH48" s="87">
        <f t="shared" ca="1" si="56"/>
        <v>1.3409962536893666E-12</v>
      </c>
      <c r="EI48" s="37">
        <f ca="1">INT(EH48) + _xll.RiskBinomial(1,EH48-INT(EH48))</f>
        <v>0</v>
      </c>
      <c r="EJ48" s="30">
        <f t="shared" ca="1" si="22"/>
        <v>0</v>
      </c>
      <c r="EK48" s="35">
        <f ca="1">_xll.RiskBinomial(1,EJ48)</f>
        <v>0</v>
      </c>
      <c r="EL48" s="88">
        <f ca="1">IF(EK48=1,_xll.RiskBinomial(1,Prob_Illness_Given_Infection),0)</f>
        <v>0</v>
      </c>
      <c r="EN48" s="87">
        <f t="shared" ca="1" si="57"/>
        <v>1.2235781216207429E-10</v>
      </c>
      <c r="EO48" s="37">
        <f ca="1">INT(EN48) + _xll.RiskBinomial(1,EN48-INT(EN48))</f>
        <v>0</v>
      </c>
      <c r="EP48" s="30">
        <f t="shared" ca="1" si="23"/>
        <v>0</v>
      </c>
      <c r="EQ48" s="35">
        <f ca="1">_xll.RiskBinomial(1,EP48)</f>
        <v>0</v>
      </c>
      <c r="ER48" s="88">
        <f ca="1">IF(EQ48=1,_xll.RiskBinomial(1,Prob_Illness_Given_Infection),0)</f>
        <v>0</v>
      </c>
      <c r="ET48" s="87">
        <f t="shared" ca="1" si="58"/>
        <v>1.3409962536880879E-12</v>
      </c>
      <c r="EU48" s="37">
        <f ca="1">INT(ET48) + _xll.RiskBinomial(1,ET48-INT(ET48))</f>
        <v>0</v>
      </c>
      <c r="EV48" s="30">
        <f t="shared" ca="1" si="24"/>
        <v>0</v>
      </c>
      <c r="EW48" s="35">
        <f ca="1">_xll.RiskBinomial(1,EV48)</f>
        <v>0</v>
      </c>
      <c r="EX48" s="88">
        <f ca="1">IF(EW48=1,_xll.RiskBinomial(1,Prob_Illness_Given_Infection),0)</f>
        <v>0</v>
      </c>
      <c r="EZ48" s="87">
        <f t="shared" ca="1" si="59"/>
        <v>1.011406657402996E-5</v>
      </c>
      <c r="FA48" s="37">
        <f ca="1">INT(EZ48) + _xll.RiskBinomial(1,EZ48-INT(EZ48))</f>
        <v>0</v>
      </c>
      <c r="FB48" s="30">
        <f t="shared" ca="1" si="25"/>
        <v>0</v>
      </c>
      <c r="FC48" s="35">
        <f ca="1">_xll.RiskBinomial(1,FB48)</f>
        <v>0</v>
      </c>
      <c r="FD48" s="88">
        <f ca="1">IF(FC48=1,_xll.RiskBinomial(1,Prob_Illness_Given_Infection),0)</f>
        <v>0</v>
      </c>
      <c r="FF48" s="87">
        <f t="shared" ca="1" si="60"/>
        <v>7.0453450830561005E-5</v>
      </c>
      <c r="FG48" s="37">
        <f ca="1">INT(FF48) + _xll.RiskBinomial(1,FF48-INT(FF48))</f>
        <v>0</v>
      </c>
      <c r="FH48" s="30">
        <f t="shared" ca="1" si="26"/>
        <v>0</v>
      </c>
      <c r="FI48" s="35">
        <f ca="1">_xll.RiskBinomial(1,FH48)</f>
        <v>0</v>
      </c>
      <c r="FJ48" s="88">
        <f ca="1">IF(FI48=1,_xll.RiskBinomial(1,Prob_Illness_Given_Infection),0)</f>
        <v>0</v>
      </c>
      <c r="FL48" s="87" t="e">
        <f t="shared" ca="1" si="61"/>
        <v>#NAME?</v>
      </c>
      <c r="FM48" s="37" t="e">
        <f ca="1">INT(FL48) + _xll.RiskBinomial(1,FL48-INT(FL48))</f>
        <v>#NAME?</v>
      </c>
      <c r="FN48" s="30" t="e">
        <f t="shared" ca="1" si="27"/>
        <v>#NAME?</v>
      </c>
      <c r="FO48" s="35" t="e">
        <f ca="1">_xll.RiskBinomial(1,FN48)</f>
        <v>#VALUE!</v>
      </c>
      <c r="FP48" s="88" t="e">
        <f ca="1">IF(FO48=1,_xll.RiskBinomial(1,Prob_Illness_Given_Infection),0)</f>
        <v>#VALUE!</v>
      </c>
      <c r="FR48" s="87" t="e">
        <f t="shared" ca="1" si="62"/>
        <v>#NAME?</v>
      </c>
      <c r="FS48" s="37" t="e">
        <f ca="1">INT(FR48) + _xll.RiskBinomial(1,FR48-INT(FR48))</f>
        <v>#NAME?</v>
      </c>
      <c r="FT48" s="30" t="e">
        <f t="shared" ca="1" si="28"/>
        <v>#NAME?</v>
      </c>
      <c r="FU48" s="35" t="e">
        <f ca="1">_xll.RiskBinomial(1,FT48)</f>
        <v>#VALUE!</v>
      </c>
      <c r="FV48" s="88" t="e">
        <f ca="1">IF(FU48=1,_xll.RiskBinomial(1,Prob_Illness_Given_Infection),0)</f>
        <v>#VALUE!</v>
      </c>
      <c r="FX48" s="87">
        <f t="shared" ca="1" si="63"/>
        <v>1.4157796660539582E-7</v>
      </c>
      <c r="FY48" s="37">
        <f ca="1">INT(FX48) + _xll.RiskBinomial(1,FX48-INT(FX48))</f>
        <v>0</v>
      </c>
      <c r="FZ48" s="30">
        <f t="shared" ca="1" si="29"/>
        <v>0</v>
      </c>
      <c r="GA48" s="35">
        <f ca="1">_xll.RiskBinomial(1,FZ48)</f>
        <v>0</v>
      </c>
      <c r="GB48" s="88">
        <f ca="1">IF(GA48=1,_xll.RiskBinomial(1,Prob_Illness_Given_Infection),0)</f>
        <v>0</v>
      </c>
      <c r="GD48" s="87" t="e">
        <f t="shared" ca="1" si="64"/>
        <v>#NAME?</v>
      </c>
      <c r="GE48" s="37" t="e">
        <f ca="1">INT(GD48) + _xll.RiskBinomial(1,GD48-INT(GD48))</f>
        <v>#NAME?</v>
      </c>
      <c r="GF48" s="30" t="e">
        <f t="shared" ca="1" si="30"/>
        <v>#NAME?</v>
      </c>
      <c r="GG48" s="35" t="e">
        <f ca="1">_xll.RiskBinomial(1,GF48)</f>
        <v>#VALUE!</v>
      </c>
      <c r="GH48" s="88" t="e">
        <f ca="1">IF(GG48=1,_xll.RiskBinomial(1,Prob_Illness_Given_Infection),0)</f>
        <v>#VALUE!</v>
      </c>
      <c r="GJ48" s="87" t="e">
        <f t="shared" ca="1" si="65"/>
        <v>#NAME?</v>
      </c>
      <c r="GK48" s="37" t="e">
        <f ca="1">INT(GJ48) + _xll.RiskBinomial(1,GJ48-INT(GJ48))</f>
        <v>#NAME?</v>
      </c>
      <c r="GL48" s="30" t="e">
        <f t="shared" ca="1" si="31"/>
        <v>#NAME?</v>
      </c>
      <c r="GM48" s="35" t="e">
        <f ca="1">_xll.RiskBinomial(1,GL48)</f>
        <v>#VALUE!</v>
      </c>
      <c r="GN48" s="88" t="e">
        <f ca="1">IF(GM48=1,_xll.RiskBinomial(1,Prob_Illness_Given_Infection),0)</f>
        <v>#VALUE!</v>
      </c>
      <c r="GP48" s="87" t="e">
        <f t="shared" ca="1" si="66"/>
        <v>#NAME?</v>
      </c>
      <c r="GQ48" s="37" t="e">
        <f ca="1">INT(GP48) + _xll.RiskBinomial(1,GP48-INT(GP48))</f>
        <v>#NAME?</v>
      </c>
      <c r="GR48" s="30" t="e">
        <f t="shared" ca="1" si="32"/>
        <v>#NAME?</v>
      </c>
      <c r="GS48" s="35" t="e">
        <f ca="1">_xll.RiskBinomial(1,GR48)</f>
        <v>#VALUE!</v>
      </c>
      <c r="GT48" s="88" t="e">
        <f ca="1">IF(GS48=1,_xll.RiskBinomial(1,Prob_Illness_Given_Infection),0)</f>
        <v>#VALUE!</v>
      </c>
    </row>
    <row r="49" spans="2:202">
      <c r="B49" s="108">
        <v>41</v>
      </c>
      <c r="C49" s="87">
        <f ca="1">_xll.RiskLoglogistic(LogLogistic_gamma, LogLogistic_beta, LogLogistic_alpha, _xll.RiskTruncate(5,800))</f>
        <v>108.55537759008779</v>
      </c>
      <c r="D49" s="38">
        <f t="shared" ca="1" si="67"/>
        <v>6.97377519729294</v>
      </c>
      <c r="E49" s="30"/>
      <c r="F49" s="87">
        <f t="shared" ca="1" si="34"/>
        <v>2.5178061560327308E-9</v>
      </c>
      <c r="G49" s="37">
        <f ca="1">INT(F49) + _xll.RiskBinomial(1,F49-INT(F49))</f>
        <v>0</v>
      </c>
      <c r="H49" s="30">
        <f t="shared" ca="1" si="68"/>
        <v>0</v>
      </c>
      <c r="I49" s="35">
        <f ca="1">_xll.RiskBinomial(1,H49)</f>
        <v>0</v>
      </c>
      <c r="J49" s="88">
        <f ca="1">IF(I49=1,_xll.RiskBinomial(1,Prob_Illness_Given_Infection),0)</f>
        <v>0</v>
      </c>
      <c r="K49" s="30"/>
      <c r="L49" s="87">
        <f t="shared" ca="1" si="35"/>
        <v>1.2860297798999212E-4</v>
      </c>
      <c r="M49" s="37">
        <f ca="1">INT(L49) + _xll.RiskBinomial(1,L49-INT(L49))</f>
        <v>0</v>
      </c>
      <c r="N49" s="30">
        <f t="shared" ca="1" si="1"/>
        <v>0</v>
      </c>
      <c r="O49" s="35">
        <f ca="1">_xll.RiskBinomial(1,N49)</f>
        <v>0</v>
      </c>
      <c r="P49" s="88">
        <f ca="1">IF(O49=1,_xll.RiskBinomial(1,Prob_Illness_Given_Infection),0)</f>
        <v>0</v>
      </c>
      <c r="Q49" s="30"/>
      <c r="R49" s="87">
        <f t="shared" ca="1" si="36"/>
        <v>1.3294432052167277E-5</v>
      </c>
      <c r="S49" s="37">
        <f ca="1">INT(R49) + _xll.RiskBinomial(1,R49-INT(R49))</f>
        <v>0</v>
      </c>
      <c r="T49" s="30">
        <f t="shared" ca="1" si="2"/>
        <v>0</v>
      </c>
      <c r="U49" s="35">
        <f ca="1">_xll.RiskBinomial(1,T49)</f>
        <v>0</v>
      </c>
      <c r="V49" s="88">
        <f ca="1">IF(U49=1,_xll.RiskBinomial(1,Prob_Illness_Given_Infection),0)</f>
        <v>0</v>
      </c>
      <c r="W49" s="30"/>
      <c r="X49" s="87">
        <f t="shared" ca="1" si="37"/>
        <v>5.4616990619505569E-12</v>
      </c>
      <c r="Y49" s="37">
        <f ca="1">INT(X49) + _xll.RiskBinomial(1,X49-INT(X49))</f>
        <v>0</v>
      </c>
      <c r="Z49" s="30">
        <f t="shared" ca="1" si="3"/>
        <v>0</v>
      </c>
      <c r="AA49" s="35">
        <f ca="1">_xll.RiskBinomial(1,Z49)</f>
        <v>0</v>
      </c>
      <c r="AB49" s="88">
        <f ca="1">IF(AA49=1,_xll.RiskBinomial(1,Prob_Illness_Given_Infection),0)</f>
        <v>0</v>
      </c>
      <c r="AC49" s="30"/>
      <c r="AD49" s="87">
        <f t="shared" ca="1" si="38"/>
        <v>2.7517007169800551E-12</v>
      </c>
      <c r="AE49" s="37">
        <f ca="1">INT(AD49) + _xll.RiskBinomial(1,AD49-INT(AD49))</f>
        <v>0</v>
      </c>
      <c r="AF49" s="30">
        <f t="shared" ca="1" si="4"/>
        <v>0</v>
      </c>
      <c r="AG49" s="35">
        <f ca="1">_xll.RiskBinomial(1,AF49)</f>
        <v>0</v>
      </c>
      <c r="AH49" s="88">
        <f ca="1">IF(AG49=1,_xll.RiskBinomial(1,Prob_Illness_Given_Infection),0)</f>
        <v>0</v>
      </c>
      <c r="AI49" s="30"/>
      <c r="AJ49" s="87">
        <f t="shared" ca="1" si="39"/>
        <v>1.2772685596305964E-4</v>
      </c>
      <c r="AK49" s="37">
        <f ca="1">INT(AJ49) + _xll.RiskBinomial(1,AJ49-INT(AJ49))</f>
        <v>0</v>
      </c>
      <c r="AL49" s="30">
        <f t="shared" ca="1" si="5"/>
        <v>0</v>
      </c>
      <c r="AM49" s="35">
        <f ca="1">_xll.RiskBinomial(1,AL49)</f>
        <v>0</v>
      </c>
      <c r="AN49" s="88">
        <f ca="1">IF(AM49=1,_xll.RiskBinomial(1,Prob_Illness_Given_Infection),0)</f>
        <v>0</v>
      </c>
      <c r="AO49" s="30"/>
      <c r="AP49" s="87">
        <f t="shared" ca="1" si="40"/>
        <v>3.1061937133597249E-9</v>
      </c>
      <c r="AQ49" s="37">
        <f ca="1">INT(AP49) + _xll.RiskBinomial(1,AP49-INT(AP49))</f>
        <v>0</v>
      </c>
      <c r="AR49" s="30">
        <f t="shared" ca="1" si="6"/>
        <v>0</v>
      </c>
      <c r="AS49" s="35">
        <f ca="1">_xll.RiskBinomial(1,AR49)</f>
        <v>0</v>
      </c>
      <c r="AT49" s="88">
        <f ca="1">IF(AS49=1,_xll.RiskBinomial(1,Prob_Illness_Given_Infection),0)</f>
        <v>0</v>
      </c>
      <c r="AU49" s="30"/>
      <c r="AV49" s="87">
        <f t="shared" ca="1" si="41"/>
        <v>7.2062077108872498E-5</v>
      </c>
      <c r="AW49" s="37">
        <f ca="1">INT(AV49) + _xll.RiskBinomial(1,AV49-INT(AV49))</f>
        <v>0</v>
      </c>
      <c r="AX49" s="30">
        <f t="shared" ca="1" si="7"/>
        <v>0</v>
      </c>
      <c r="AY49" s="35">
        <f ca="1">_xll.RiskBinomial(1,AX49)</f>
        <v>0</v>
      </c>
      <c r="AZ49" s="88">
        <f ca="1">IF(AY49=1,_xll.RiskBinomial(1,Prob_Illness_Given_Infection),0)</f>
        <v>0</v>
      </c>
      <c r="BB49" s="87">
        <f t="shared" ca="1" si="42"/>
        <v>9.890591267097058E-5</v>
      </c>
      <c r="BC49" s="37">
        <f ca="1">INT(BB49) + _xll.RiskBinomial(1,BB49-INT(BB49))</f>
        <v>0</v>
      </c>
      <c r="BD49" s="30">
        <f t="shared" ca="1" si="8"/>
        <v>0</v>
      </c>
      <c r="BE49" s="35">
        <f ca="1">_xll.RiskBinomial(1,BD49)</f>
        <v>0</v>
      </c>
      <c r="BF49" s="88">
        <f ca="1">IF(BE49=1,_xll.RiskBinomial(1,Prob_Illness_Given_Infection),0)</f>
        <v>0</v>
      </c>
      <c r="BH49" s="87">
        <f t="shared" ca="1" si="43"/>
        <v>1.2522196132214121E-4</v>
      </c>
      <c r="BI49" s="37">
        <f ca="1">INT(BH49) + _xll.RiskBinomial(1,BH49-INT(BH49))</f>
        <v>0</v>
      </c>
      <c r="BJ49" s="30">
        <f t="shared" ca="1" si="9"/>
        <v>0</v>
      </c>
      <c r="BK49" s="35">
        <f ca="1">_xll.RiskBinomial(1,BJ49)</f>
        <v>0</v>
      </c>
      <c r="BL49" s="88">
        <f ca="1">IF(BK49=1,_xll.RiskBinomial(1,Prob_Illness_Given_Infection),0)</f>
        <v>0</v>
      </c>
      <c r="BN49" s="87">
        <f t="shared" ca="1" si="44"/>
        <v>9.5301052684829702E-6</v>
      </c>
      <c r="BO49" s="37">
        <f ca="1">INT(BN49) + _xll.RiskBinomial(1,BN49-INT(BN49))</f>
        <v>0</v>
      </c>
      <c r="BP49" s="30">
        <f t="shared" ca="1" si="10"/>
        <v>0</v>
      </c>
      <c r="BQ49" s="35">
        <f ca="1">_xll.RiskBinomial(1,BP49)</f>
        <v>0</v>
      </c>
      <c r="BR49" s="88">
        <f ca="1">IF(BQ49=1,_xll.RiskBinomial(1,Prob_Illness_Given_Infection),0)</f>
        <v>0</v>
      </c>
      <c r="BT49" s="87">
        <f t="shared" ca="1" si="45"/>
        <v>2.8656925791268897E-5</v>
      </c>
      <c r="BU49" s="37">
        <f ca="1">INT(BT49) + _xll.RiskBinomial(1,BT49-INT(BT49))</f>
        <v>0</v>
      </c>
      <c r="BV49" s="30">
        <f t="shared" ca="1" si="11"/>
        <v>0</v>
      </c>
      <c r="BW49" s="35">
        <f ca="1">_xll.RiskBinomial(1,BV49)</f>
        <v>0</v>
      </c>
      <c r="BX49" s="88">
        <f ca="1">IF(BW49=1,_xll.RiskBinomial(1,Prob_Illness_Given_Infection),0)</f>
        <v>0</v>
      </c>
      <c r="BZ49" s="87">
        <f t="shared" ca="1" si="46"/>
        <v>7.8558293591078805E-5</v>
      </c>
      <c r="CA49" s="37">
        <f ca="1">INT(BZ49) + _xll.RiskBinomial(1,BZ49-INT(BZ49))</f>
        <v>0</v>
      </c>
      <c r="CB49" s="30">
        <f t="shared" ca="1" si="12"/>
        <v>0</v>
      </c>
      <c r="CC49" s="35">
        <f ca="1">_xll.RiskBinomial(1,CB49)</f>
        <v>0</v>
      </c>
      <c r="CD49" s="88">
        <f ca="1">IF(CC49=1,_xll.RiskBinomial(1,Prob_Illness_Given_Infection),0)</f>
        <v>0</v>
      </c>
      <c r="CF49" s="87">
        <f t="shared" ca="1" si="47"/>
        <v>1.4905649900771574E-5</v>
      </c>
      <c r="CG49" s="37">
        <f ca="1">INT(CF49) + _xll.RiskBinomial(1,CF49-INT(CF49))</f>
        <v>0</v>
      </c>
      <c r="CH49" s="30">
        <f t="shared" ca="1" si="13"/>
        <v>0</v>
      </c>
      <c r="CI49" s="35">
        <f ca="1">_xll.RiskBinomial(1,CH49)</f>
        <v>0</v>
      </c>
      <c r="CJ49" s="88">
        <f ca="1">IF(CI49=1,_xll.RiskBinomial(1,Prob_Illness_Given_Infection),0)</f>
        <v>0</v>
      </c>
      <c r="CL49" s="87">
        <f t="shared" ca="1" si="48"/>
        <v>2.8763731387959195E-5</v>
      </c>
      <c r="CM49" s="37">
        <f ca="1">INT(CL49) + _xll.RiskBinomial(1,CL49-INT(CL49))</f>
        <v>0</v>
      </c>
      <c r="CN49" s="30">
        <f t="shared" ca="1" si="14"/>
        <v>0</v>
      </c>
      <c r="CO49" s="35">
        <f ca="1">_xll.RiskBinomial(1,CN49)</f>
        <v>0</v>
      </c>
      <c r="CP49" s="88">
        <f ca="1">IF(CO49=1,_xll.RiskBinomial(1,Prob_Illness_Given_Infection),0)</f>
        <v>0</v>
      </c>
      <c r="CR49" s="87">
        <f t="shared" ca="1" si="49"/>
        <v>1.982309308351822E-7</v>
      </c>
      <c r="CS49" s="37">
        <f ca="1">INT(CR49) + _xll.RiskBinomial(1,CR49-INT(CR49))</f>
        <v>0</v>
      </c>
      <c r="CT49" s="30">
        <f t="shared" ca="1" si="15"/>
        <v>0</v>
      </c>
      <c r="CU49" s="35">
        <f ca="1">_xll.RiskBinomial(1,CT49)</f>
        <v>0</v>
      </c>
      <c r="CV49" s="88">
        <f ca="1">IF(CU49=1,_xll.RiskBinomial(1,Prob_Illness_Given_Infection),0)</f>
        <v>0</v>
      </c>
      <c r="CX49" s="87">
        <f t="shared" ca="1" si="50"/>
        <v>2.0179683403250976E-9</v>
      </c>
      <c r="CY49" s="37">
        <f ca="1">INT(CX49) + _xll.RiskBinomial(1,CX49-INT(CX49))</f>
        <v>0</v>
      </c>
      <c r="CZ49" s="30">
        <f t="shared" ca="1" si="16"/>
        <v>0</v>
      </c>
      <c r="DA49" s="35">
        <f ca="1">_xll.RiskBinomial(1,CZ49)</f>
        <v>0</v>
      </c>
      <c r="DB49" s="88">
        <f ca="1">IF(DA49=1,_xll.RiskBinomial(1,Prob_Illness_Given_Infection),0)</f>
        <v>0</v>
      </c>
      <c r="DD49" s="87">
        <f t="shared" ca="1" si="51"/>
        <v>2.0179683403250976E-9</v>
      </c>
      <c r="DE49" s="37">
        <f ca="1">INT(DD49) + _xll.RiskBinomial(1,DD49-INT(DD49))</f>
        <v>0</v>
      </c>
      <c r="DF49" s="30">
        <f t="shared" ca="1" si="17"/>
        <v>0</v>
      </c>
      <c r="DG49" s="35">
        <f ca="1">_xll.RiskBinomial(1,DF49)</f>
        <v>0</v>
      </c>
      <c r="DH49" s="88">
        <f ca="1">IF(DG49=1,_xll.RiskBinomial(1,Prob_Illness_Given_Infection),0)</f>
        <v>0</v>
      </c>
      <c r="DJ49" s="87">
        <f t="shared" ca="1" si="52"/>
        <v>3.2950623008450852E-6</v>
      </c>
      <c r="DK49" s="37">
        <f ca="1">INT(DJ49) + _xll.RiskBinomial(1,DJ49-INT(DJ49))</f>
        <v>0</v>
      </c>
      <c r="DL49" s="30">
        <f t="shared" ca="1" si="18"/>
        <v>0</v>
      </c>
      <c r="DM49" s="35">
        <f ca="1">_xll.RiskBinomial(1,DL49)</f>
        <v>0</v>
      </c>
      <c r="DN49" s="88">
        <f ca="1">IF(DM49=1,_xll.RiskBinomial(1,Prob_Illness_Given_Infection),0)</f>
        <v>0</v>
      </c>
      <c r="DP49" s="87">
        <f t="shared" ca="1" si="53"/>
        <v>7.7893574579450033E-10</v>
      </c>
      <c r="DQ49" s="37">
        <f ca="1">INT(DP49) + _xll.RiskBinomial(1,DP49-INT(DP49))</f>
        <v>0</v>
      </c>
      <c r="DR49" s="30">
        <f t="shared" ca="1" si="19"/>
        <v>0</v>
      </c>
      <c r="DS49" s="35">
        <f ca="1">_xll.RiskBinomial(1,DR49)</f>
        <v>0</v>
      </c>
      <c r="DT49" s="88">
        <f ca="1">IF(DS49=1,_xll.RiskBinomial(1,Prob_Illness_Given_Infection),0)</f>
        <v>0</v>
      </c>
      <c r="DV49" s="87">
        <f t="shared" ca="1" si="54"/>
        <v>1.096590390956655E-8</v>
      </c>
      <c r="DW49" s="37">
        <f ca="1">INT(DV49) + _xll.RiskBinomial(1,DV49-INT(DV49))</f>
        <v>0</v>
      </c>
      <c r="DX49" s="30">
        <f t="shared" ca="1" si="20"/>
        <v>0</v>
      </c>
      <c r="DY49" s="35">
        <f ca="1">_xll.RiskBinomial(1,DX49)</f>
        <v>0</v>
      </c>
      <c r="DZ49" s="88">
        <f ca="1">IF(DY49=1,_xll.RiskBinomial(1,Prob_Illness_Given_Infection),0)</f>
        <v>0</v>
      </c>
      <c r="EB49" s="87">
        <f t="shared" ca="1" si="55"/>
        <v>2.751700716979131E-12</v>
      </c>
      <c r="EC49" s="37">
        <f ca="1">INT(EB49) + _xll.RiskBinomial(1,EB49-INT(EB49))</f>
        <v>0</v>
      </c>
      <c r="ED49" s="30">
        <f t="shared" ca="1" si="21"/>
        <v>0</v>
      </c>
      <c r="EE49" s="35">
        <f ca="1">_xll.RiskBinomial(1,ED49)</f>
        <v>0</v>
      </c>
      <c r="EF49" s="88">
        <f ca="1">IF(EE49=1,_xll.RiskBinomial(1,Prob_Illness_Given_Infection),0)</f>
        <v>0</v>
      </c>
      <c r="EH49" s="87">
        <f t="shared" ca="1" si="56"/>
        <v>2.7517007169763021E-12</v>
      </c>
      <c r="EI49" s="37">
        <f ca="1">INT(EH49) + _xll.RiskBinomial(1,EH49-INT(EH49))</f>
        <v>0</v>
      </c>
      <c r="EJ49" s="30">
        <f t="shared" ca="1" si="22"/>
        <v>0</v>
      </c>
      <c r="EK49" s="35">
        <f ca="1">_xll.RiskBinomial(1,EJ49)</f>
        <v>0</v>
      </c>
      <c r="EL49" s="88">
        <f ca="1">IF(EK49=1,_xll.RiskBinomial(1,Prob_Illness_Given_Infection),0)</f>
        <v>0</v>
      </c>
      <c r="EN49" s="87">
        <f t="shared" ca="1" si="57"/>
        <v>2.5107607760105208E-10</v>
      </c>
      <c r="EO49" s="37">
        <f ca="1">INT(EN49) + _xll.RiskBinomial(1,EN49-INT(EN49))</f>
        <v>0</v>
      </c>
      <c r="EP49" s="30">
        <f t="shared" ca="1" si="23"/>
        <v>0</v>
      </c>
      <c r="EQ49" s="35">
        <f ca="1">_xll.RiskBinomial(1,EP49)</f>
        <v>0</v>
      </c>
      <c r="ER49" s="88">
        <f ca="1">IF(EQ49=1,_xll.RiskBinomial(1,Prob_Illness_Given_Infection),0)</f>
        <v>0</v>
      </c>
      <c r="ET49" s="87">
        <f t="shared" ca="1" si="58"/>
        <v>2.751700716973678E-12</v>
      </c>
      <c r="EU49" s="37">
        <f ca="1">INT(ET49) + _xll.RiskBinomial(1,ET49-INT(ET49))</f>
        <v>0</v>
      </c>
      <c r="EV49" s="30">
        <f t="shared" ca="1" si="24"/>
        <v>0</v>
      </c>
      <c r="EW49" s="35">
        <f ca="1">_xll.RiskBinomial(1,EV49)</f>
        <v>0</v>
      </c>
      <c r="EX49" s="88">
        <f ca="1">IF(EW49=1,_xll.RiskBinomial(1,Prob_Illness_Given_Infection),0)</f>
        <v>0</v>
      </c>
      <c r="EZ49" s="87">
        <f t="shared" ca="1" si="59"/>
        <v>2.0753886647136854E-5</v>
      </c>
      <c r="FA49" s="37">
        <f ca="1">INT(EZ49) + _xll.RiskBinomial(1,EZ49-INT(EZ49))</f>
        <v>0</v>
      </c>
      <c r="FB49" s="30">
        <f t="shared" ca="1" si="25"/>
        <v>0</v>
      </c>
      <c r="FC49" s="35">
        <f ca="1">_xll.RiskBinomial(1,FB49)</f>
        <v>0</v>
      </c>
      <c r="FD49" s="88">
        <f ca="1">IF(FC49=1,_xll.RiskBinomial(1,Prob_Illness_Given_Infection),0)</f>
        <v>0</v>
      </c>
      <c r="FF49" s="87">
        <f t="shared" ca="1" si="60"/>
        <v>1.4456924143564192E-4</v>
      </c>
      <c r="FG49" s="37">
        <f ca="1">INT(FF49) + _xll.RiskBinomial(1,FF49-INT(FF49))</f>
        <v>0</v>
      </c>
      <c r="FH49" s="30">
        <f t="shared" ca="1" si="26"/>
        <v>0</v>
      </c>
      <c r="FI49" s="35">
        <f ca="1">_xll.RiskBinomial(1,FH49)</f>
        <v>0</v>
      </c>
      <c r="FJ49" s="88">
        <f ca="1">IF(FI49=1,_xll.RiskBinomial(1,Prob_Illness_Given_Infection),0)</f>
        <v>0</v>
      </c>
      <c r="FL49" s="87" t="e">
        <f t="shared" ca="1" si="61"/>
        <v>#NAME?</v>
      </c>
      <c r="FM49" s="37" t="e">
        <f ca="1">INT(FL49) + _xll.RiskBinomial(1,FL49-INT(FL49))</f>
        <v>#NAME?</v>
      </c>
      <c r="FN49" s="30" t="e">
        <f t="shared" ca="1" si="27"/>
        <v>#NAME?</v>
      </c>
      <c r="FO49" s="35" t="e">
        <f ca="1">_xll.RiskBinomial(1,FN49)</f>
        <v>#VALUE!</v>
      </c>
      <c r="FP49" s="88" t="e">
        <f ca="1">IF(FO49=1,_xll.RiskBinomial(1,Prob_Illness_Given_Infection),0)</f>
        <v>#VALUE!</v>
      </c>
      <c r="FR49" s="87" t="e">
        <f t="shared" ca="1" si="62"/>
        <v>#NAME?</v>
      </c>
      <c r="FS49" s="37" t="e">
        <f ca="1">INT(FR49) + _xll.RiskBinomial(1,FR49-INT(FR49))</f>
        <v>#NAME?</v>
      </c>
      <c r="FT49" s="30" t="e">
        <f t="shared" ca="1" si="28"/>
        <v>#NAME?</v>
      </c>
      <c r="FU49" s="35" t="e">
        <f ca="1">_xll.RiskBinomial(1,FT49)</f>
        <v>#VALUE!</v>
      </c>
      <c r="FV49" s="88" t="e">
        <f ca="1">IF(FU49=1,_xll.RiskBinomial(1,Prob_Illness_Given_Infection),0)</f>
        <v>#VALUE!</v>
      </c>
      <c r="FX49" s="87">
        <f t="shared" ca="1" si="63"/>
        <v>2.905154963291631E-7</v>
      </c>
      <c r="FY49" s="37">
        <f ca="1">INT(FX49) + _xll.RiskBinomial(1,FX49-INT(FX49))</f>
        <v>0</v>
      </c>
      <c r="FZ49" s="30">
        <f t="shared" ca="1" si="29"/>
        <v>0</v>
      </c>
      <c r="GA49" s="35">
        <f ca="1">_xll.RiskBinomial(1,FZ49)</f>
        <v>0</v>
      </c>
      <c r="GB49" s="88">
        <f ca="1">IF(GA49=1,_xll.RiskBinomial(1,Prob_Illness_Given_Infection),0)</f>
        <v>0</v>
      </c>
      <c r="GD49" s="87" t="e">
        <f t="shared" ca="1" si="64"/>
        <v>#NAME?</v>
      </c>
      <c r="GE49" s="37" t="e">
        <f ca="1">INT(GD49) + _xll.RiskBinomial(1,GD49-INT(GD49))</f>
        <v>#NAME?</v>
      </c>
      <c r="GF49" s="30" t="e">
        <f t="shared" ca="1" si="30"/>
        <v>#NAME?</v>
      </c>
      <c r="GG49" s="35" t="e">
        <f ca="1">_xll.RiskBinomial(1,GF49)</f>
        <v>#VALUE!</v>
      </c>
      <c r="GH49" s="88" t="e">
        <f ca="1">IF(GG49=1,_xll.RiskBinomial(1,Prob_Illness_Given_Infection),0)</f>
        <v>#VALUE!</v>
      </c>
      <c r="GJ49" s="87" t="e">
        <f t="shared" ca="1" si="65"/>
        <v>#NAME?</v>
      </c>
      <c r="GK49" s="37" t="e">
        <f ca="1">INT(GJ49) + _xll.RiskBinomial(1,GJ49-INT(GJ49))</f>
        <v>#NAME?</v>
      </c>
      <c r="GL49" s="30" t="e">
        <f t="shared" ca="1" si="31"/>
        <v>#NAME?</v>
      </c>
      <c r="GM49" s="35" t="e">
        <f ca="1">_xll.RiskBinomial(1,GL49)</f>
        <v>#VALUE!</v>
      </c>
      <c r="GN49" s="88" t="e">
        <f ca="1">IF(GM49=1,_xll.RiskBinomial(1,Prob_Illness_Given_Infection),0)</f>
        <v>#VALUE!</v>
      </c>
      <c r="GP49" s="87" t="e">
        <f t="shared" ca="1" si="66"/>
        <v>#NAME?</v>
      </c>
      <c r="GQ49" s="37" t="e">
        <f ca="1">INT(GP49) + _xll.RiskBinomial(1,GP49-INT(GP49))</f>
        <v>#NAME?</v>
      </c>
      <c r="GR49" s="30" t="e">
        <f t="shared" ca="1" si="32"/>
        <v>#NAME?</v>
      </c>
      <c r="GS49" s="35" t="e">
        <f ca="1">_xll.RiskBinomial(1,GR49)</f>
        <v>#VALUE!</v>
      </c>
      <c r="GT49" s="88" t="e">
        <f ca="1">IF(GS49=1,_xll.RiskBinomial(1,Prob_Illness_Given_Infection),0)</f>
        <v>#VALUE!</v>
      </c>
    </row>
    <row r="50" spans="2:202">
      <c r="B50" s="108">
        <v>42</v>
      </c>
      <c r="C50" s="87">
        <f ca="1">_xll.RiskLoglogistic(LogLogistic_gamma, LogLogistic_beta, LogLogistic_alpha, _xll.RiskTruncate(5,800))</f>
        <v>71.449955334019876</v>
      </c>
      <c r="D50" s="38">
        <f t="shared" ca="1" si="67"/>
        <v>4.5900621177662773</v>
      </c>
      <c r="E50" s="30"/>
      <c r="F50" s="87">
        <f t="shared" ca="1" si="34"/>
        <v>1.6571923140239285E-9</v>
      </c>
      <c r="G50" s="37">
        <f ca="1">INT(F50) + _xll.RiskBinomial(1,F50-INT(F50))</f>
        <v>0</v>
      </c>
      <c r="H50" s="30">
        <f t="shared" ca="1" si="68"/>
        <v>0</v>
      </c>
      <c r="I50" s="35">
        <f ca="1">_xll.RiskBinomial(1,H50)</f>
        <v>0</v>
      </c>
      <c r="J50" s="88">
        <f ca="1">IF(I50=1,_xll.RiskBinomial(1,Prob_Illness_Given_Infection),0)</f>
        <v>0</v>
      </c>
      <c r="K50" s="30"/>
      <c r="L50" s="87">
        <f t="shared" ca="1" si="35"/>
        <v>8.4645065377635407E-5</v>
      </c>
      <c r="M50" s="37">
        <f ca="1">INT(L50) + _xll.RiskBinomial(1,L50-INT(L50))</f>
        <v>0</v>
      </c>
      <c r="N50" s="30">
        <f t="shared" ca="1" si="1"/>
        <v>0</v>
      </c>
      <c r="O50" s="35">
        <f ca="1">_xll.RiskBinomial(1,N50)</f>
        <v>0</v>
      </c>
      <c r="P50" s="88">
        <f ca="1">IF(O50=1,_xll.RiskBinomial(1,Prob_Illness_Given_Infection),0)</f>
        <v>0</v>
      </c>
      <c r="Q50" s="30"/>
      <c r="R50" s="87">
        <f t="shared" ca="1" si="36"/>
        <v>8.7502489273755564E-6</v>
      </c>
      <c r="S50" s="37">
        <f ca="1">INT(R50) + _xll.RiskBinomial(1,R50-INT(R50))</f>
        <v>0</v>
      </c>
      <c r="T50" s="30">
        <f t="shared" ca="1" si="2"/>
        <v>0</v>
      </c>
      <c r="U50" s="35">
        <f ca="1">_xll.RiskBinomial(1,T50)</f>
        <v>0</v>
      </c>
      <c r="V50" s="88">
        <f ca="1">IF(U50=1,_xll.RiskBinomial(1,Prob_Illness_Given_Infection),0)</f>
        <v>0</v>
      </c>
      <c r="W50" s="30"/>
      <c r="X50" s="87">
        <f t="shared" ca="1" si="37"/>
        <v>3.59483023952798E-12</v>
      </c>
      <c r="Y50" s="37">
        <f ca="1">INT(X50) + _xll.RiskBinomial(1,X50-INT(X50))</f>
        <v>0</v>
      </c>
      <c r="Z50" s="30">
        <f t="shared" ca="1" si="3"/>
        <v>0</v>
      </c>
      <c r="AA50" s="35">
        <f ca="1">_xll.RiskBinomial(1,Z50)</f>
        <v>0</v>
      </c>
      <c r="AB50" s="88">
        <f ca="1">IF(AA50=1,_xll.RiskBinomial(1,Prob_Illness_Given_Infection),0)</f>
        <v>0</v>
      </c>
      <c r="AC50" s="30"/>
      <c r="AD50" s="87">
        <f t="shared" ca="1" si="38"/>
        <v>1.8111391410126495E-12</v>
      </c>
      <c r="AE50" s="37">
        <f ca="1">INT(AD50) + _xll.RiskBinomial(1,AD50-INT(AD50))</f>
        <v>0</v>
      </c>
      <c r="AF50" s="30">
        <f t="shared" ca="1" si="4"/>
        <v>0</v>
      </c>
      <c r="AG50" s="35">
        <f ca="1">_xll.RiskBinomial(1,AF50)</f>
        <v>0</v>
      </c>
      <c r="AH50" s="88">
        <f ca="1">IF(AG50=1,_xll.RiskBinomial(1,Prob_Illness_Given_Infection),0)</f>
        <v>0</v>
      </c>
      <c r="AI50" s="30"/>
      <c r="AJ50" s="87">
        <f t="shared" ca="1" si="39"/>
        <v>8.4068411497549857E-5</v>
      </c>
      <c r="AK50" s="37">
        <f ca="1">INT(AJ50) + _xll.RiskBinomial(1,AJ50-INT(AJ50))</f>
        <v>0</v>
      </c>
      <c r="AL50" s="30">
        <f t="shared" ca="1" si="5"/>
        <v>0</v>
      </c>
      <c r="AM50" s="35">
        <f ca="1">_xll.RiskBinomial(1,AL50)</f>
        <v>0</v>
      </c>
      <c r="AN50" s="88">
        <f ca="1">IF(AM50=1,_xll.RiskBinomial(1,Prob_Illness_Given_Infection),0)</f>
        <v>0</v>
      </c>
      <c r="AO50" s="30"/>
      <c r="AP50" s="87">
        <f t="shared" ca="1" si="40"/>
        <v>2.0444625315239182E-9</v>
      </c>
      <c r="AQ50" s="37">
        <f ca="1">INT(AP50) + _xll.RiskBinomial(1,AP50-INT(AP50))</f>
        <v>0</v>
      </c>
      <c r="AR50" s="30">
        <f t="shared" ca="1" si="6"/>
        <v>0</v>
      </c>
      <c r="AS50" s="35">
        <f ca="1">_xll.RiskBinomial(1,AR50)</f>
        <v>0</v>
      </c>
      <c r="AT50" s="88">
        <f ca="1">IF(AS50=1,_xll.RiskBinomial(1,Prob_Illness_Given_Infection),0)</f>
        <v>0</v>
      </c>
      <c r="AU50" s="30"/>
      <c r="AV50" s="87">
        <f t="shared" ca="1" si="41"/>
        <v>4.7430466412709322E-5</v>
      </c>
      <c r="AW50" s="37">
        <f ca="1">INT(AV50) + _xll.RiskBinomial(1,AV50-INT(AV50))</f>
        <v>0</v>
      </c>
      <c r="AX50" s="30">
        <f t="shared" ca="1" si="7"/>
        <v>0</v>
      </c>
      <c r="AY50" s="35">
        <f ca="1">_xll.RiskBinomial(1,AX50)</f>
        <v>0</v>
      </c>
      <c r="AZ50" s="88">
        <f ca="1">IF(AY50=1,_xll.RiskBinomial(1,Prob_Illness_Given_Infection),0)</f>
        <v>0</v>
      </c>
      <c r="BB50" s="87">
        <f t="shared" ca="1" si="42"/>
        <v>6.5098783676070888E-5</v>
      </c>
      <c r="BC50" s="37">
        <f ca="1">INT(BB50) + _xll.RiskBinomial(1,BB50-INT(BB50))</f>
        <v>0</v>
      </c>
      <c r="BD50" s="30">
        <f t="shared" ca="1" si="8"/>
        <v>0</v>
      </c>
      <c r="BE50" s="35">
        <f ca="1">_xll.RiskBinomial(1,BD50)</f>
        <v>0</v>
      </c>
      <c r="BF50" s="88">
        <f ca="1">IF(BE50=1,_xll.RiskBinomial(1,Prob_Illness_Given_Infection),0)</f>
        <v>0</v>
      </c>
      <c r="BH50" s="87">
        <f t="shared" ca="1" si="43"/>
        <v>8.2419717400737189E-5</v>
      </c>
      <c r="BI50" s="37">
        <f ca="1">INT(BH50) + _xll.RiskBinomial(1,BH50-INT(BH50))</f>
        <v>0</v>
      </c>
      <c r="BJ50" s="30">
        <f t="shared" ca="1" si="9"/>
        <v>0</v>
      </c>
      <c r="BK50" s="35">
        <f ca="1">_xll.RiskBinomial(1,BJ50)</f>
        <v>0</v>
      </c>
      <c r="BL50" s="88">
        <f ca="1">IF(BK50=1,_xll.RiskBinomial(1,Prob_Illness_Given_Infection),0)</f>
        <v>0</v>
      </c>
      <c r="BN50" s="87">
        <f t="shared" ca="1" si="44"/>
        <v>6.2726104489529329E-6</v>
      </c>
      <c r="BO50" s="37">
        <f ca="1">INT(BN50) + _xll.RiskBinomial(1,BN50-INT(BN50))</f>
        <v>0</v>
      </c>
      <c r="BP50" s="30">
        <f t="shared" ca="1" si="10"/>
        <v>0</v>
      </c>
      <c r="BQ50" s="35">
        <f ca="1">_xll.RiskBinomial(1,BP50)</f>
        <v>0</v>
      </c>
      <c r="BR50" s="88">
        <f ca="1">IF(BQ50=1,_xll.RiskBinomial(1,Prob_Illness_Given_Infection),0)</f>
        <v>0</v>
      </c>
      <c r="BT50" s="87">
        <f t="shared" ca="1" si="45"/>
        <v>1.8861673306762518E-5</v>
      </c>
      <c r="BU50" s="37">
        <f ca="1">INT(BT50) + _xll.RiskBinomial(1,BT50-INT(BT50))</f>
        <v>0</v>
      </c>
      <c r="BV50" s="30">
        <f t="shared" ca="1" si="11"/>
        <v>0</v>
      </c>
      <c r="BW50" s="35">
        <f ca="1">_xll.RiskBinomial(1,BV50)</f>
        <v>0</v>
      </c>
      <c r="BX50" s="88">
        <f ca="1">IF(BW50=1,_xll.RiskBinomial(1,Prob_Illness_Given_Infection),0)</f>
        <v>0</v>
      </c>
      <c r="BZ50" s="87">
        <f t="shared" ca="1" si="46"/>
        <v>5.1706204637732509E-5</v>
      </c>
      <c r="CA50" s="37">
        <f ca="1">INT(BZ50) + _xll.RiskBinomial(1,BZ50-INT(BZ50))</f>
        <v>0</v>
      </c>
      <c r="CB50" s="30">
        <f t="shared" ca="1" si="12"/>
        <v>0</v>
      </c>
      <c r="CC50" s="35">
        <f ca="1">_xll.RiskBinomial(1,CB50)</f>
        <v>0</v>
      </c>
      <c r="CD50" s="88">
        <f ca="1">IF(CC50=1,_xll.RiskBinomial(1,Prob_Illness_Given_Infection),0)</f>
        <v>0</v>
      </c>
      <c r="CF50" s="87">
        <f t="shared" ca="1" si="47"/>
        <v>9.8107347906448904E-6</v>
      </c>
      <c r="CG50" s="37">
        <f ca="1">INT(CF50) + _xll.RiskBinomial(1,CF50-INT(CF50))</f>
        <v>0</v>
      </c>
      <c r="CH50" s="30">
        <f t="shared" ca="1" si="13"/>
        <v>0</v>
      </c>
      <c r="CI50" s="35">
        <f ca="1">_xll.RiskBinomial(1,CH50)</f>
        <v>0</v>
      </c>
      <c r="CJ50" s="88">
        <f ca="1">IF(CI50=1,_xll.RiskBinomial(1,Prob_Illness_Given_Infection),0)</f>
        <v>0</v>
      </c>
      <c r="CL50" s="87">
        <f t="shared" ca="1" si="48"/>
        <v>1.8931971575557283E-5</v>
      </c>
      <c r="CM50" s="37">
        <f ca="1">INT(CL50) + _xll.RiskBinomial(1,CL50-INT(CL50))</f>
        <v>0</v>
      </c>
      <c r="CN50" s="30">
        <f t="shared" ca="1" si="14"/>
        <v>0</v>
      </c>
      <c r="CO50" s="35">
        <f ca="1">_xll.RiskBinomial(1,CN50)</f>
        <v>0</v>
      </c>
      <c r="CP50" s="88">
        <f ca="1">IF(CO50=1,_xll.RiskBinomial(1,Prob_Illness_Given_Infection),0)</f>
        <v>0</v>
      </c>
      <c r="CR50" s="87">
        <f t="shared" ca="1" si="49"/>
        <v>1.3047341797729818E-7</v>
      </c>
      <c r="CS50" s="37">
        <f ca="1">INT(CR50) + _xll.RiskBinomial(1,CR50-INT(CR50))</f>
        <v>0</v>
      </c>
      <c r="CT50" s="30">
        <f t="shared" ca="1" si="15"/>
        <v>0</v>
      </c>
      <c r="CU50" s="35">
        <f ca="1">_xll.RiskBinomial(1,CT50)</f>
        <v>0</v>
      </c>
      <c r="CV50" s="88">
        <f ca="1">IF(CU50=1,_xll.RiskBinomial(1,Prob_Illness_Given_Infection),0)</f>
        <v>0</v>
      </c>
      <c r="CX50" s="87">
        <f t="shared" ca="1" si="50"/>
        <v>1.3282045623399857E-9</v>
      </c>
      <c r="CY50" s="37">
        <f ca="1">INT(CX50) + _xll.RiskBinomial(1,CX50-INT(CX50))</f>
        <v>0</v>
      </c>
      <c r="CZ50" s="30">
        <f t="shared" ca="1" si="16"/>
        <v>0</v>
      </c>
      <c r="DA50" s="35">
        <f ca="1">_xll.RiskBinomial(1,CZ50)</f>
        <v>0</v>
      </c>
      <c r="DB50" s="88">
        <f ca="1">IF(DA50=1,_xll.RiskBinomial(1,Prob_Illness_Given_Infection),0)</f>
        <v>0</v>
      </c>
      <c r="DD50" s="87">
        <f t="shared" ca="1" si="51"/>
        <v>1.3282045623399857E-9</v>
      </c>
      <c r="DE50" s="37">
        <f ca="1">INT(DD50) + _xll.RiskBinomial(1,DD50-INT(DD50))</f>
        <v>0</v>
      </c>
      <c r="DF50" s="30">
        <f t="shared" ca="1" si="17"/>
        <v>0</v>
      </c>
      <c r="DG50" s="35">
        <f ca="1">_xll.RiskBinomial(1,DF50)</f>
        <v>0</v>
      </c>
      <c r="DH50" s="88">
        <f ca="1">IF(DG50=1,_xll.RiskBinomial(1,Prob_Illness_Given_Infection),0)</f>
        <v>0</v>
      </c>
      <c r="DJ50" s="87">
        <f t="shared" ca="1" si="52"/>
        <v>2.1687737581016111E-6</v>
      </c>
      <c r="DK50" s="37">
        <f ca="1">INT(DJ50) + _xll.RiskBinomial(1,DJ50-INT(DJ50))</f>
        <v>0</v>
      </c>
      <c r="DL50" s="30">
        <f t="shared" ca="1" si="18"/>
        <v>0</v>
      </c>
      <c r="DM50" s="35">
        <f ca="1">_xll.RiskBinomial(1,DL50)</f>
        <v>0</v>
      </c>
      <c r="DN50" s="88">
        <f ca="1">IF(DM50=1,_xll.RiskBinomial(1,Prob_Illness_Given_Infection),0)</f>
        <v>0</v>
      </c>
      <c r="DP50" s="87">
        <f t="shared" ca="1" si="53"/>
        <v>5.1268693896717994E-10</v>
      </c>
      <c r="DQ50" s="37">
        <f ca="1">INT(DP50) + _xll.RiskBinomial(1,DP50-INT(DP50))</f>
        <v>0</v>
      </c>
      <c r="DR50" s="30">
        <f t="shared" ca="1" si="19"/>
        <v>0</v>
      </c>
      <c r="DS50" s="35">
        <f ca="1">_xll.RiskBinomial(1,DR50)</f>
        <v>0</v>
      </c>
      <c r="DT50" s="88">
        <f ca="1">IF(DS50=1,_xll.RiskBinomial(1,Prob_Illness_Given_Infection),0)</f>
        <v>0</v>
      </c>
      <c r="DV50" s="87">
        <f t="shared" ca="1" si="54"/>
        <v>7.2176373195833892E-9</v>
      </c>
      <c r="DW50" s="37">
        <f ca="1">INT(DV50) + _xll.RiskBinomial(1,DV50-INT(DV50))</f>
        <v>0</v>
      </c>
      <c r="DX50" s="30">
        <f t="shared" ca="1" si="20"/>
        <v>0</v>
      </c>
      <c r="DY50" s="35">
        <f ca="1">_xll.RiskBinomial(1,DX50)</f>
        <v>0</v>
      </c>
      <c r="DZ50" s="88">
        <f ca="1">IF(DY50=1,_xll.RiskBinomial(1,Prob_Illness_Given_Infection),0)</f>
        <v>0</v>
      </c>
      <c r="EB50" s="87">
        <f t="shared" ca="1" si="55"/>
        <v>1.8111391410120411E-12</v>
      </c>
      <c r="EC50" s="37">
        <f ca="1">INT(EB50) + _xll.RiskBinomial(1,EB50-INT(EB50))</f>
        <v>0</v>
      </c>
      <c r="ED50" s="30">
        <f t="shared" ca="1" si="21"/>
        <v>0</v>
      </c>
      <c r="EE50" s="35">
        <f ca="1">_xll.RiskBinomial(1,ED50)</f>
        <v>0</v>
      </c>
      <c r="EF50" s="88">
        <f ca="1">IF(EE50=1,_xll.RiskBinomial(1,Prob_Illness_Given_Infection),0)</f>
        <v>0</v>
      </c>
      <c r="EH50" s="87">
        <f t="shared" ca="1" si="56"/>
        <v>1.8111391410101793E-12</v>
      </c>
      <c r="EI50" s="37">
        <f ca="1">INT(EH50) + _xll.RiskBinomial(1,EH50-INT(EH50))</f>
        <v>0</v>
      </c>
      <c r="EJ50" s="30">
        <f t="shared" ca="1" si="22"/>
        <v>0</v>
      </c>
      <c r="EK50" s="35">
        <f ca="1">_xll.RiskBinomial(1,EJ50)</f>
        <v>0</v>
      </c>
      <c r="EL50" s="88">
        <f ca="1">IF(EK50=1,_xll.RiskBinomial(1,Prob_Illness_Given_Infection),0)</f>
        <v>0</v>
      </c>
      <c r="EN50" s="87">
        <f t="shared" ca="1" si="57"/>
        <v>1.6525551223981121E-10</v>
      </c>
      <c r="EO50" s="37">
        <f ca="1">INT(EN50) + _xll.RiskBinomial(1,EN50-INT(EN50))</f>
        <v>0</v>
      </c>
      <c r="EP50" s="30">
        <f t="shared" ca="1" si="23"/>
        <v>0</v>
      </c>
      <c r="EQ50" s="35">
        <f ca="1">_xll.RiskBinomial(1,EP50)</f>
        <v>0</v>
      </c>
      <c r="ER50" s="88">
        <f ca="1">IF(EQ50=1,_xll.RiskBinomial(1,Prob_Illness_Given_Infection),0)</f>
        <v>0</v>
      </c>
      <c r="ET50" s="87">
        <f t="shared" ca="1" si="58"/>
        <v>1.8111391410084522E-12</v>
      </c>
      <c r="EU50" s="37">
        <f ca="1">INT(ET50) + _xll.RiskBinomial(1,ET50-INT(ET50))</f>
        <v>0</v>
      </c>
      <c r="EV50" s="30">
        <f t="shared" ca="1" si="24"/>
        <v>0</v>
      </c>
      <c r="EW50" s="35">
        <f ca="1">_xll.RiskBinomial(1,EV50)</f>
        <v>0</v>
      </c>
      <c r="EX50" s="88">
        <f ca="1">IF(EW50=1,_xll.RiskBinomial(1,Prob_Illness_Given_Infection),0)</f>
        <v>0</v>
      </c>
      <c r="EZ50" s="87">
        <f t="shared" ca="1" si="59"/>
        <v>1.3659979881831672E-5</v>
      </c>
      <c r="FA50" s="37">
        <f ca="1">INT(EZ50) + _xll.RiskBinomial(1,EZ50-INT(EZ50))</f>
        <v>0</v>
      </c>
      <c r="FB50" s="30">
        <f t="shared" ca="1" si="25"/>
        <v>0</v>
      </c>
      <c r="FC50" s="35">
        <f ca="1">_xll.RiskBinomial(1,FB50)</f>
        <v>0</v>
      </c>
      <c r="FD50" s="88">
        <f ca="1">IF(FC50=1,_xll.RiskBinomial(1,Prob_Illness_Given_Infection),0)</f>
        <v>0</v>
      </c>
      <c r="FF50" s="87">
        <f t="shared" ca="1" si="60"/>
        <v>9.5153884335923828E-5</v>
      </c>
      <c r="FG50" s="37">
        <f ca="1">INT(FF50) + _xll.RiskBinomial(1,FF50-INT(FF50))</f>
        <v>0</v>
      </c>
      <c r="FH50" s="30">
        <f t="shared" ca="1" si="26"/>
        <v>0</v>
      </c>
      <c r="FI50" s="35">
        <f ca="1">_xll.RiskBinomial(1,FH50)</f>
        <v>0</v>
      </c>
      <c r="FJ50" s="88">
        <f ca="1">IF(FI50=1,_xll.RiskBinomial(1,Prob_Illness_Given_Infection),0)</f>
        <v>0</v>
      </c>
      <c r="FL50" s="87" t="e">
        <f t="shared" ca="1" si="61"/>
        <v>#NAME?</v>
      </c>
      <c r="FM50" s="37" t="e">
        <f ca="1">INT(FL50) + _xll.RiskBinomial(1,FL50-INT(FL50))</f>
        <v>#NAME?</v>
      </c>
      <c r="FN50" s="30" t="e">
        <f t="shared" ca="1" si="27"/>
        <v>#NAME?</v>
      </c>
      <c r="FO50" s="35" t="e">
        <f ca="1">_xll.RiskBinomial(1,FN50)</f>
        <v>#VALUE!</v>
      </c>
      <c r="FP50" s="88" t="e">
        <f ca="1">IF(FO50=1,_xll.RiskBinomial(1,Prob_Illness_Given_Infection),0)</f>
        <v>#VALUE!</v>
      </c>
      <c r="FR50" s="87" t="e">
        <f t="shared" ca="1" si="62"/>
        <v>#NAME?</v>
      </c>
      <c r="FS50" s="37" t="e">
        <f ca="1">INT(FR50) + _xll.RiskBinomial(1,FR50-INT(FR50))</f>
        <v>#NAME?</v>
      </c>
      <c r="FT50" s="30" t="e">
        <f t="shared" ca="1" si="28"/>
        <v>#NAME?</v>
      </c>
      <c r="FU50" s="35" t="e">
        <f ca="1">_xll.RiskBinomial(1,FT50)</f>
        <v>#VALUE!</v>
      </c>
      <c r="FV50" s="88" t="e">
        <f ca="1">IF(FU50=1,_xll.RiskBinomial(1,Prob_Illness_Given_Infection),0)</f>
        <v>#VALUE!</v>
      </c>
      <c r="FX50" s="87">
        <f t="shared" ca="1" si="63"/>
        <v>1.9121410378157693E-7</v>
      </c>
      <c r="FY50" s="37">
        <f ca="1">INT(FX50) + _xll.RiskBinomial(1,FX50-INT(FX50))</f>
        <v>0</v>
      </c>
      <c r="FZ50" s="30">
        <f t="shared" ca="1" si="29"/>
        <v>0</v>
      </c>
      <c r="GA50" s="35">
        <f ca="1">_xll.RiskBinomial(1,FZ50)</f>
        <v>0</v>
      </c>
      <c r="GB50" s="88">
        <f ca="1">IF(GA50=1,_xll.RiskBinomial(1,Prob_Illness_Given_Infection),0)</f>
        <v>0</v>
      </c>
      <c r="GD50" s="87" t="e">
        <f t="shared" ca="1" si="64"/>
        <v>#NAME?</v>
      </c>
      <c r="GE50" s="37" t="e">
        <f ca="1">INT(GD50) + _xll.RiskBinomial(1,GD50-INT(GD50))</f>
        <v>#NAME?</v>
      </c>
      <c r="GF50" s="30" t="e">
        <f t="shared" ca="1" si="30"/>
        <v>#NAME?</v>
      </c>
      <c r="GG50" s="35" t="e">
        <f ca="1">_xll.RiskBinomial(1,GF50)</f>
        <v>#VALUE!</v>
      </c>
      <c r="GH50" s="88" t="e">
        <f ca="1">IF(GG50=1,_xll.RiskBinomial(1,Prob_Illness_Given_Infection),0)</f>
        <v>#VALUE!</v>
      </c>
      <c r="GJ50" s="87" t="e">
        <f t="shared" ca="1" si="65"/>
        <v>#NAME?</v>
      </c>
      <c r="GK50" s="37" t="e">
        <f ca="1">INT(GJ50) + _xll.RiskBinomial(1,GJ50-INT(GJ50))</f>
        <v>#NAME?</v>
      </c>
      <c r="GL50" s="30" t="e">
        <f t="shared" ca="1" si="31"/>
        <v>#NAME?</v>
      </c>
      <c r="GM50" s="35" t="e">
        <f ca="1">_xll.RiskBinomial(1,GL50)</f>
        <v>#VALUE!</v>
      </c>
      <c r="GN50" s="88" t="e">
        <f ca="1">IF(GM50=1,_xll.RiskBinomial(1,Prob_Illness_Given_Infection),0)</f>
        <v>#VALUE!</v>
      </c>
      <c r="GP50" s="87" t="e">
        <f t="shared" ca="1" si="66"/>
        <v>#NAME?</v>
      </c>
      <c r="GQ50" s="37" t="e">
        <f ca="1">INT(GP50) + _xll.RiskBinomial(1,GP50-INT(GP50))</f>
        <v>#NAME?</v>
      </c>
      <c r="GR50" s="30" t="e">
        <f t="shared" ca="1" si="32"/>
        <v>#NAME?</v>
      </c>
      <c r="GS50" s="35" t="e">
        <f ca="1">_xll.RiskBinomial(1,GR50)</f>
        <v>#VALUE!</v>
      </c>
      <c r="GT50" s="88" t="e">
        <f ca="1">IF(GS50=1,_xll.RiskBinomial(1,Prob_Illness_Given_Infection),0)</f>
        <v>#VALUE!</v>
      </c>
    </row>
    <row r="51" spans="2:202">
      <c r="B51" s="108">
        <v>43</v>
      </c>
      <c r="C51" s="87">
        <f ca="1">_xll.RiskLoglogistic(LogLogistic_gamma, LogLogistic_beta, LogLogistic_alpha, _xll.RiskTruncate(5,800))</f>
        <v>80.291481446097507</v>
      </c>
      <c r="D51" s="38">
        <f t="shared" ca="1" si="67"/>
        <v>5.1580562316963361</v>
      </c>
      <c r="E51" s="30"/>
      <c r="F51" s="87">
        <f t="shared" ca="1" si="34"/>
        <v>1.8622604494577449E-9</v>
      </c>
      <c r="G51" s="37">
        <f ca="1">INT(F51) + _xll.RiskBinomial(1,F51-INT(F51))</f>
        <v>0</v>
      </c>
      <c r="H51" s="30">
        <f t="shared" ca="1" si="68"/>
        <v>0</v>
      </c>
      <c r="I51" s="35">
        <f ca="1">_xll.RiskBinomial(1,H51)</f>
        <v>0</v>
      </c>
      <c r="J51" s="88">
        <f ca="1">IF(I51=1,_xll.RiskBinomial(1,Prob_Illness_Given_Infection),0)</f>
        <v>0</v>
      </c>
      <c r="K51" s="30"/>
      <c r="L51" s="87">
        <f t="shared" ca="1" si="35"/>
        <v>9.5119411404812651E-5</v>
      </c>
      <c r="M51" s="37">
        <f ca="1">INT(L51) + _xll.RiskBinomial(1,L51-INT(L51))</f>
        <v>0</v>
      </c>
      <c r="N51" s="30">
        <f t="shared" ca="1" si="1"/>
        <v>0</v>
      </c>
      <c r="O51" s="35">
        <f ca="1">_xll.RiskBinomial(1,N51)</f>
        <v>0</v>
      </c>
      <c r="P51" s="88">
        <f ca="1">IF(O51=1,_xll.RiskBinomial(1,Prob_Illness_Given_Infection),0)</f>
        <v>0</v>
      </c>
      <c r="Q51" s="30"/>
      <c r="R51" s="87">
        <f t="shared" ca="1" si="36"/>
        <v>9.8330425276919704E-6</v>
      </c>
      <c r="S51" s="37">
        <f ca="1">INT(R51) + _xll.RiskBinomial(1,R51-INT(R51))</f>
        <v>0</v>
      </c>
      <c r="T51" s="30">
        <f t="shared" ca="1" si="2"/>
        <v>0</v>
      </c>
      <c r="U51" s="35">
        <f ca="1">_xll.RiskBinomial(1,T51)</f>
        <v>0</v>
      </c>
      <c r="V51" s="88">
        <f ca="1">IF(U51=1,_xll.RiskBinomial(1,Prob_Illness_Given_Infection),0)</f>
        <v>0</v>
      </c>
      <c r="W51" s="30"/>
      <c r="X51" s="87">
        <f t="shared" ca="1" si="37"/>
        <v>4.0396700617880159E-12</v>
      </c>
      <c r="Y51" s="37">
        <f ca="1">INT(X51) + _xll.RiskBinomial(1,X51-INT(X51))</f>
        <v>0</v>
      </c>
      <c r="Z51" s="30">
        <f t="shared" ca="1" si="3"/>
        <v>0</v>
      </c>
      <c r="AA51" s="35">
        <f ca="1">_xll.RiskBinomial(1,Z51)</f>
        <v>0</v>
      </c>
      <c r="AB51" s="88">
        <f ca="1">IF(AA51=1,_xll.RiskBinomial(1,Prob_Illness_Given_Infection),0)</f>
        <v>0</v>
      </c>
      <c r="AC51" s="30"/>
      <c r="AD51" s="87">
        <f t="shared" ca="1" si="38"/>
        <v>2.0352573218149924E-12</v>
      </c>
      <c r="AE51" s="37">
        <f ca="1">INT(AD51) + _xll.RiskBinomial(1,AD51-INT(AD51))</f>
        <v>0</v>
      </c>
      <c r="AF51" s="30">
        <f t="shared" ca="1" si="4"/>
        <v>0</v>
      </c>
      <c r="AG51" s="35">
        <f ca="1">_xll.RiskBinomial(1,AF51)</f>
        <v>0</v>
      </c>
      <c r="AH51" s="88">
        <f ca="1">IF(AG51=1,_xll.RiskBinomial(1,Prob_Illness_Given_Infection),0)</f>
        <v>0</v>
      </c>
      <c r="AI51" s="30"/>
      <c r="AJ51" s="87">
        <f t="shared" ca="1" si="39"/>
        <v>9.4471399882660388E-5</v>
      </c>
      <c r="AK51" s="37">
        <f ca="1">INT(AJ51) + _xll.RiskBinomial(1,AJ51-INT(AJ51))</f>
        <v>0</v>
      </c>
      <c r="AL51" s="30">
        <f t="shared" ca="1" si="5"/>
        <v>0</v>
      </c>
      <c r="AM51" s="35">
        <f ca="1">_xll.RiskBinomial(1,AL51)</f>
        <v>0</v>
      </c>
      <c r="AN51" s="88">
        <f ca="1">IF(AM51=1,_xll.RiskBinomial(1,Prob_Illness_Given_Infection),0)</f>
        <v>0</v>
      </c>
      <c r="AO51" s="30"/>
      <c r="AP51" s="87">
        <f t="shared" ca="1" si="40"/>
        <v>2.2974531565443142E-9</v>
      </c>
      <c r="AQ51" s="37">
        <f ca="1">INT(AP51) + _xll.RiskBinomial(1,AP51-INT(AP51))</f>
        <v>0</v>
      </c>
      <c r="AR51" s="30">
        <f t="shared" ca="1" si="6"/>
        <v>0</v>
      </c>
      <c r="AS51" s="35">
        <f ca="1">_xll.RiskBinomial(1,AR51)</f>
        <v>0</v>
      </c>
      <c r="AT51" s="88">
        <f ca="1">IF(AS51=1,_xll.RiskBinomial(1,Prob_Illness_Given_Infection),0)</f>
        <v>0</v>
      </c>
      <c r="AU51" s="30"/>
      <c r="AV51" s="87">
        <f t="shared" ca="1" si="41"/>
        <v>5.3299717209795811E-5</v>
      </c>
      <c r="AW51" s="37">
        <f ca="1">INT(AV51) + _xll.RiskBinomial(1,AV51-INT(AV51))</f>
        <v>0</v>
      </c>
      <c r="AX51" s="30">
        <f t="shared" ca="1" si="7"/>
        <v>0</v>
      </c>
      <c r="AY51" s="35">
        <f ca="1">_xll.RiskBinomial(1,AX51)</f>
        <v>0</v>
      </c>
      <c r="AZ51" s="88">
        <f ca="1">IF(AY51=1,_xll.RiskBinomial(1,Prob_Illness_Given_Infection),0)</f>
        <v>0</v>
      </c>
      <c r="BB51" s="87">
        <f t="shared" ca="1" si="42"/>
        <v>7.3154388372333355E-5</v>
      </c>
      <c r="BC51" s="37">
        <f ca="1">INT(BB51) + _xll.RiskBinomial(1,BB51-INT(BB51))</f>
        <v>0</v>
      </c>
      <c r="BD51" s="30">
        <f t="shared" ca="1" si="8"/>
        <v>0</v>
      </c>
      <c r="BE51" s="35">
        <f ca="1">_xll.RiskBinomial(1,BD51)</f>
        <v>0</v>
      </c>
      <c r="BF51" s="88">
        <f ca="1">IF(BE51=1,_xll.RiskBinomial(1,Prob_Illness_Given_Infection),0)</f>
        <v>0</v>
      </c>
      <c r="BH51" s="87">
        <f t="shared" ca="1" si="43"/>
        <v>9.2618689256520972E-5</v>
      </c>
      <c r="BI51" s="37">
        <f ca="1">INT(BH51) + _xll.RiskBinomial(1,BH51-INT(BH51))</f>
        <v>0</v>
      </c>
      <c r="BJ51" s="30">
        <f t="shared" ca="1" si="9"/>
        <v>0</v>
      </c>
      <c r="BK51" s="35">
        <f ca="1">_xll.RiskBinomial(1,BJ51)</f>
        <v>0</v>
      </c>
      <c r="BL51" s="88">
        <f ca="1">IF(BK51=1,_xll.RiskBinomial(1,Prob_Illness_Given_Infection),0)</f>
        <v>0</v>
      </c>
      <c r="BN51" s="87">
        <f t="shared" ca="1" si="44"/>
        <v>7.048810361409731E-6</v>
      </c>
      <c r="BO51" s="37">
        <f ca="1">INT(BN51) + _xll.RiskBinomial(1,BN51-INT(BN51))</f>
        <v>0</v>
      </c>
      <c r="BP51" s="30">
        <f t="shared" ca="1" si="10"/>
        <v>0</v>
      </c>
      <c r="BQ51" s="35">
        <f ca="1">_xll.RiskBinomial(1,BP51)</f>
        <v>0</v>
      </c>
      <c r="BR51" s="88">
        <f ca="1">IF(BQ51=1,_xll.RiskBinomial(1,Prob_Illness_Given_Infection),0)</f>
        <v>0</v>
      </c>
      <c r="BT51" s="87">
        <f t="shared" ca="1" si="45"/>
        <v>2.1195698237633473E-5</v>
      </c>
      <c r="BU51" s="37">
        <f ca="1">INT(BT51) + _xll.RiskBinomial(1,BT51-INT(BT51))</f>
        <v>0</v>
      </c>
      <c r="BV51" s="30">
        <f t="shared" ca="1" si="11"/>
        <v>0</v>
      </c>
      <c r="BW51" s="35">
        <f ca="1">_xll.RiskBinomial(1,BV51)</f>
        <v>0</v>
      </c>
      <c r="BX51" s="88">
        <f ca="1">IF(BW51=1,_xll.RiskBinomial(1,Prob_Illness_Given_Infection),0)</f>
        <v>0</v>
      </c>
      <c r="BZ51" s="87">
        <f t="shared" ca="1" si="46"/>
        <v>5.8104553752490746E-5</v>
      </c>
      <c r="CA51" s="37">
        <f ca="1">INT(BZ51) + _xll.RiskBinomial(1,BZ51-INT(BZ51))</f>
        <v>0</v>
      </c>
      <c r="CB51" s="30">
        <f t="shared" ca="1" si="12"/>
        <v>0</v>
      </c>
      <c r="CC51" s="35">
        <f ca="1">_xll.RiskBinomial(1,CB51)</f>
        <v>0</v>
      </c>
      <c r="CD51" s="88">
        <f ca="1">IF(CC51=1,_xll.RiskBinomial(1,Prob_Illness_Given_Infection),0)</f>
        <v>0</v>
      </c>
      <c r="CF51" s="87">
        <f t="shared" ca="1" si="47"/>
        <v>1.1024757492613666E-5</v>
      </c>
      <c r="CG51" s="37">
        <f ca="1">INT(CF51) + _xll.RiskBinomial(1,CF51-INT(CF51))</f>
        <v>0</v>
      </c>
      <c r="CH51" s="30">
        <f t="shared" ca="1" si="13"/>
        <v>0</v>
      </c>
      <c r="CI51" s="35">
        <f ca="1">_xll.RiskBinomial(1,CH51)</f>
        <v>0</v>
      </c>
      <c r="CJ51" s="88">
        <f ca="1">IF(CI51=1,_xll.RiskBinomial(1,Prob_Illness_Given_Infection),0)</f>
        <v>0</v>
      </c>
      <c r="CL51" s="87">
        <f t="shared" ca="1" si="48"/>
        <v>2.1274695517873062E-5</v>
      </c>
      <c r="CM51" s="37">
        <f ca="1">INT(CL51) + _xll.RiskBinomial(1,CL51-INT(CL51))</f>
        <v>0</v>
      </c>
      <c r="CN51" s="30">
        <f t="shared" ca="1" si="14"/>
        <v>0</v>
      </c>
      <c r="CO51" s="35">
        <f ca="1">_xll.RiskBinomial(1,CN51)</f>
        <v>0</v>
      </c>
      <c r="CP51" s="88">
        <f ca="1">IF(CO51=1,_xll.RiskBinomial(1,Prob_Illness_Given_Infection),0)</f>
        <v>0</v>
      </c>
      <c r="CR51" s="87">
        <f t="shared" ca="1" si="49"/>
        <v>1.4661876231775907E-7</v>
      </c>
      <c r="CS51" s="37">
        <f ca="1">INT(CR51) + _xll.RiskBinomial(1,CR51-INT(CR51))</f>
        <v>0</v>
      </c>
      <c r="CT51" s="30">
        <f t="shared" ca="1" si="15"/>
        <v>0</v>
      </c>
      <c r="CU51" s="35">
        <f ca="1">_xll.RiskBinomial(1,CT51)</f>
        <v>0</v>
      </c>
      <c r="CV51" s="88">
        <f ca="1">IF(CU51=1,_xll.RiskBinomial(1,Prob_Illness_Given_Infection),0)</f>
        <v>0</v>
      </c>
      <c r="CX51" s="87">
        <f t="shared" ca="1" si="50"/>
        <v>1.4925623322673547E-9</v>
      </c>
      <c r="CY51" s="37">
        <f ca="1">INT(CX51) + _xll.RiskBinomial(1,CX51-INT(CX51))</f>
        <v>0</v>
      </c>
      <c r="CZ51" s="30">
        <f t="shared" ca="1" si="16"/>
        <v>0</v>
      </c>
      <c r="DA51" s="35">
        <f ca="1">_xll.RiskBinomial(1,CZ51)</f>
        <v>0</v>
      </c>
      <c r="DB51" s="88">
        <f ca="1">IF(DA51=1,_xll.RiskBinomial(1,Prob_Illness_Given_Infection),0)</f>
        <v>0</v>
      </c>
      <c r="DD51" s="87">
        <f t="shared" ca="1" si="51"/>
        <v>1.4925623322673547E-9</v>
      </c>
      <c r="DE51" s="37">
        <f ca="1">INT(DD51) + _xll.RiskBinomial(1,DD51-INT(DD51))</f>
        <v>0</v>
      </c>
      <c r="DF51" s="30">
        <f t="shared" ca="1" si="17"/>
        <v>0</v>
      </c>
      <c r="DG51" s="35">
        <f ca="1">_xll.RiskBinomial(1,DF51)</f>
        <v>0</v>
      </c>
      <c r="DH51" s="88">
        <f ca="1">IF(DG51=1,_xll.RiskBinomial(1,Prob_Illness_Given_Infection),0)</f>
        <v>0</v>
      </c>
      <c r="DJ51" s="87">
        <f t="shared" ca="1" si="52"/>
        <v>2.4371471912801495E-6</v>
      </c>
      <c r="DK51" s="37">
        <f ca="1">INT(DJ51) + _xll.RiskBinomial(1,DJ51-INT(DJ51))</f>
        <v>0</v>
      </c>
      <c r="DL51" s="30">
        <f t="shared" ca="1" si="18"/>
        <v>0</v>
      </c>
      <c r="DM51" s="35">
        <f ca="1">_xll.RiskBinomial(1,DL51)</f>
        <v>0</v>
      </c>
      <c r="DN51" s="88">
        <f ca="1">IF(DM51=1,_xll.RiskBinomial(1,Prob_Illness_Given_Infection),0)</f>
        <v>0</v>
      </c>
      <c r="DP51" s="87">
        <f t="shared" ca="1" si="53"/>
        <v>5.7612903542488318E-10</v>
      </c>
      <c r="DQ51" s="37">
        <f ca="1">INT(DP51) + _xll.RiskBinomial(1,DP51-INT(DP51))</f>
        <v>0</v>
      </c>
      <c r="DR51" s="30">
        <f t="shared" ca="1" si="19"/>
        <v>0</v>
      </c>
      <c r="DS51" s="35">
        <f ca="1">_xll.RiskBinomial(1,DR51)</f>
        <v>0</v>
      </c>
      <c r="DT51" s="88">
        <f ca="1">IF(DS51=1,_xll.RiskBinomial(1,Prob_Illness_Given_Infection),0)</f>
        <v>0</v>
      </c>
      <c r="DV51" s="87">
        <f t="shared" ca="1" si="54"/>
        <v>8.1107789392005819E-9</v>
      </c>
      <c r="DW51" s="37">
        <f ca="1">INT(DV51) + _xll.RiskBinomial(1,DV51-INT(DV51))</f>
        <v>0</v>
      </c>
      <c r="DX51" s="30">
        <f t="shared" ca="1" si="20"/>
        <v>0</v>
      </c>
      <c r="DY51" s="35">
        <f ca="1">_xll.RiskBinomial(1,DX51)</f>
        <v>0</v>
      </c>
      <c r="DZ51" s="88">
        <f ca="1">IF(DY51=1,_xll.RiskBinomial(1,Prob_Illness_Given_Infection),0)</f>
        <v>0</v>
      </c>
      <c r="EB51" s="87">
        <f t="shared" ca="1" si="55"/>
        <v>2.035257321814309E-12</v>
      </c>
      <c r="EC51" s="37">
        <f ca="1">INT(EB51) + _xll.RiskBinomial(1,EB51-INT(EB51))</f>
        <v>0</v>
      </c>
      <c r="ED51" s="30">
        <f t="shared" ca="1" si="21"/>
        <v>0</v>
      </c>
      <c r="EE51" s="35">
        <f ca="1">_xll.RiskBinomial(1,ED51)</f>
        <v>0</v>
      </c>
      <c r="EF51" s="88">
        <f ca="1">IF(EE51=1,_xll.RiskBinomial(1,Prob_Illness_Given_Infection),0)</f>
        <v>0</v>
      </c>
      <c r="EH51" s="87">
        <f t="shared" ca="1" si="56"/>
        <v>2.0352573218122168E-12</v>
      </c>
      <c r="EI51" s="37">
        <f ca="1">INT(EH51) + _xll.RiskBinomial(1,EH51-INT(EH51))</f>
        <v>0</v>
      </c>
      <c r="EJ51" s="30">
        <f t="shared" ca="1" si="22"/>
        <v>0</v>
      </c>
      <c r="EK51" s="35">
        <f ca="1">_xll.RiskBinomial(1,EJ51)</f>
        <v>0</v>
      </c>
      <c r="EL51" s="88">
        <f ca="1">IF(EK51=1,_xll.RiskBinomial(1,Prob_Illness_Given_Infection),0)</f>
        <v>0</v>
      </c>
      <c r="EN51" s="87">
        <f t="shared" ca="1" si="57"/>
        <v>1.8570494317090891E-10</v>
      </c>
      <c r="EO51" s="37">
        <f ca="1">INT(EN51) + _xll.RiskBinomial(1,EN51-INT(EN51))</f>
        <v>0</v>
      </c>
      <c r="EP51" s="30">
        <f t="shared" ca="1" si="23"/>
        <v>0</v>
      </c>
      <c r="EQ51" s="35">
        <f ca="1">_xll.RiskBinomial(1,EP51)</f>
        <v>0</v>
      </c>
      <c r="ER51" s="88">
        <f ca="1">IF(EQ51=1,_xll.RiskBinomial(1,Prob_Illness_Given_Infection),0)</f>
        <v>0</v>
      </c>
      <c r="ET51" s="87">
        <f t="shared" ca="1" si="58"/>
        <v>2.0352573218102757E-12</v>
      </c>
      <c r="EU51" s="37">
        <f ca="1">INT(ET51) + _xll.RiskBinomial(1,ET51-INT(ET51))</f>
        <v>0</v>
      </c>
      <c r="EV51" s="30">
        <f t="shared" ca="1" si="24"/>
        <v>0</v>
      </c>
      <c r="EW51" s="35">
        <f ca="1">_xll.RiskBinomial(1,EV51)</f>
        <v>0</v>
      </c>
      <c r="EX51" s="88">
        <f ca="1">IF(EW51=1,_xll.RiskBinomial(1,Prob_Illness_Given_Infection),0)</f>
        <v>0</v>
      </c>
      <c r="EZ51" s="87">
        <f t="shared" ca="1" si="59"/>
        <v>1.5350324798788736E-5</v>
      </c>
      <c r="FA51" s="37">
        <f ca="1">INT(EZ51) + _xll.RiskBinomial(1,EZ51-INT(EZ51))</f>
        <v>0</v>
      </c>
      <c r="FB51" s="30">
        <f t="shared" ca="1" si="25"/>
        <v>0</v>
      </c>
      <c r="FC51" s="35">
        <f ca="1">_xll.RiskBinomial(1,FB51)</f>
        <v>0</v>
      </c>
      <c r="FD51" s="88">
        <f ca="1">IF(FC51=1,_xll.RiskBinomial(1,Prob_Illness_Given_Infection),0)</f>
        <v>0</v>
      </c>
      <c r="FF51" s="87">
        <f t="shared" ca="1" si="60"/>
        <v>1.0692863701545573E-4</v>
      </c>
      <c r="FG51" s="37">
        <f ca="1">INT(FF51) + _xll.RiskBinomial(1,FF51-INT(FF51))</f>
        <v>0</v>
      </c>
      <c r="FH51" s="30">
        <f t="shared" ca="1" si="26"/>
        <v>0</v>
      </c>
      <c r="FI51" s="35">
        <f ca="1">_xll.RiskBinomial(1,FH51)</f>
        <v>0</v>
      </c>
      <c r="FJ51" s="88">
        <f ca="1">IF(FI51=1,_xll.RiskBinomial(1,Prob_Illness_Given_Infection),0)</f>
        <v>0</v>
      </c>
      <c r="FL51" s="87" t="e">
        <f t="shared" ca="1" si="61"/>
        <v>#NAME?</v>
      </c>
      <c r="FM51" s="37" t="e">
        <f ca="1">INT(FL51) + _xll.RiskBinomial(1,FL51-INT(FL51))</f>
        <v>#NAME?</v>
      </c>
      <c r="FN51" s="30" t="e">
        <f t="shared" ca="1" si="27"/>
        <v>#NAME?</v>
      </c>
      <c r="FO51" s="35" t="e">
        <f ca="1">_xll.RiskBinomial(1,FN51)</f>
        <v>#VALUE!</v>
      </c>
      <c r="FP51" s="88" t="e">
        <f ca="1">IF(FO51=1,_xll.RiskBinomial(1,Prob_Illness_Given_Infection),0)</f>
        <v>#VALUE!</v>
      </c>
      <c r="FR51" s="87" t="e">
        <f t="shared" ca="1" si="62"/>
        <v>#NAME?</v>
      </c>
      <c r="FS51" s="37" t="e">
        <f ca="1">INT(FR51) + _xll.RiskBinomial(1,FR51-INT(FR51))</f>
        <v>#NAME?</v>
      </c>
      <c r="FT51" s="30" t="e">
        <f t="shared" ca="1" si="28"/>
        <v>#NAME?</v>
      </c>
      <c r="FU51" s="35" t="e">
        <f ca="1">_xll.RiskBinomial(1,FT51)</f>
        <v>#VALUE!</v>
      </c>
      <c r="FV51" s="88" t="e">
        <f ca="1">IF(FU51=1,_xll.RiskBinomial(1,Prob_Illness_Given_Infection),0)</f>
        <v>#VALUE!</v>
      </c>
      <c r="FX51" s="87">
        <f t="shared" ca="1" si="63"/>
        <v>2.1487576296217223E-7</v>
      </c>
      <c r="FY51" s="37">
        <f ca="1">INT(FX51) + _xll.RiskBinomial(1,FX51-INT(FX51))</f>
        <v>0</v>
      </c>
      <c r="FZ51" s="30">
        <f t="shared" ca="1" si="29"/>
        <v>0</v>
      </c>
      <c r="GA51" s="35">
        <f ca="1">_xll.RiskBinomial(1,FZ51)</f>
        <v>0</v>
      </c>
      <c r="GB51" s="88">
        <f ca="1">IF(GA51=1,_xll.RiskBinomial(1,Prob_Illness_Given_Infection),0)</f>
        <v>0</v>
      </c>
      <c r="GD51" s="87" t="e">
        <f t="shared" ca="1" si="64"/>
        <v>#NAME?</v>
      </c>
      <c r="GE51" s="37" t="e">
        <f ca="1">INT(GD51) + _xll.RiskBinomial(1,GD51-INT(GD51))</f>
        <v>#NAME?</v>
      </c>
      <c r="GF51" s="30" t="e">
        <f t="shared" ca="1" si="30"/>
        <v>#NAME?</v>
      </c>
      <c r="GG51" s="35" t="e">
        <f ca="1">_xll.RiskBinomial(1,GF51)</f>
        <v>#VALUE!</v>
      </c>
      <c r="GH51" s="88" t="e">
        <f ca="1">IF(GG51=1,_xll.RiskBinomial(1,Prob_Illness_Given_Infection),0)</f>
        <v>#VALUE!</v>
      </c>
      <c r="GJ51" s="87" t="e">
        <f t="shared" ca="1" si="65"/>
        <v>#NAME?</v>
      </c>
      <c r="GK51" s="37" t="e">
        <f ca="1">INT(GJ51) + _xll.RiskBinomial(1,GJ51-INT(GJ51))</f>
        <v>#NAME?</v>
      </c>
      <c r="GL51" s="30" t="e">
        <f t="shared" ca="1" si="31"/>
        <v>#NAME?</v>
      </c>
      <c r="GM51" s="35" t="e">
        <f ca="1">_xll.RiskBinomial(1,GL51)</f>
        <v>#VALUE!</v>
      </c>
      <c r="GN51" s="88" t="e">
        <f ca="1">IF(GM51=1,_xll.RiskBinomial(1,Prob_Illness_Given_Infection),0)</f>
        <v>#VALUE!</v>
      </c>
      <c r="GP51" s="87" t="e">
        <f t="shared" ca="1" si="66"/>
        <v>#NAME?</v>
      </c>
      <c r="GQ51" s="37" t="e">
        <f ca="1">INT(GP51) + _xll.RiskBinomial(1,GP51-INT(GP51))</f>
        <v>#NAME?</v>
      </c>
      <c r="GR51" s="30" t="e">
        <f t="shared" ca="1" si="32"/>
        <v>#NAME?</v>
      </c>
      <c r="GS51" s="35" t="e">
        <f ca="1">_xll.RiskBinomial(1,GR51)</f>
        <v>#VALUE!</v>
      </c>
      <c r="GT51" s="88" t="e">
        <f ca="1">IF(GS51=1,_xll.RiskBinomial(1,Prob_Illness_Given_Infection),0)</f>
        <v>#VALUE!</v>
      </c>
    </row>
    <row r="52" spans="2:202">
      <c r="B52" s="108">
        <v>44</v>
      </c>
      <c r="C52" s="87">
        <f ca="1">_xll.RiskLoglogistic(LogLogistic_gamma, LogLogistic_beta, LogLogistic_alpha, _xll.RiskTruncate(5,800))</f>
        <v>191.06724577740383</v>
      </c>
      <c r="D52" s="38">
        <f t="shared" ca="1" si="67"/>
        <v>12.274472708749531</v>
      </c>
      <c r="E52" s="30"/>
      <c r="F52" s="87">
        <f t="shared" ca="1" si="34"/>
        <v>4.4315656977503137E-9</v>
      </c>
      <c r="G52" s="37">
        <f ca="1">INT(F52) + _xll.RiskBinomial(1,F52-INT(F52))</f>
        <v>0</v>
      </c>
      <c r="H52" s="30">
        <f t="shared" ca="1" si="68"/>
        <v>0</v>
      </c>
      <c r="I52" s="35">
        <f ca="1">_xll.RiskBinomial(1,H52)</f>
        <v>0</v>
      </c>
      <c r="J52" s="88">
        <f ca="1">IF(I52=1,_xll.RiskBinomial(1,Prob_Illness_Given_Infection),0)</f>
        <v>0</v>
      </c>
      <c r="K52" s="30"/>
      <c r="L52" s="87">
        <f t="shared" ca="1" si="35"/>
        <v>2.2635282884008446E-4</v>
      </c>
      <c r="M52" s="37">
        <f ca="1">INT(L52) + _xll.RiskBinomial(1,L52-INT(L52))</f>
        <v>0</v>
      </c>
      <c r="N52" s="30">
        <f t="shared" ca="1" si="1"/>
        <v>0</v>
      </c>
      <c r="O52" s="35">
        <f ca="1">_xll.RiskBinomial(1,N52)</f>
        <v>0</v>
      </c>
      <c r="P52" s="88">
        <f ca="1">IF(O52=1,_xll.RiskBinomial(1,Prob_Illness_Given_Infection),0)</f>
        <v>0</v>
      </c>
      <c r="Q52" s="30"/>
      <c r="R52" s="87">
        <f t="shared" ca="1" si="36"/>
        <v>2.339939828659746E-5</v>
      </c>
      <c r="S52" s="37">
        <f ca="1">INT(R52) + _xll.RiskBinomial(1,R52-INT(R52))</f>
        <v>0</v>
      </c>
      <c r="T52" s="30">
        <f t="shared" ca="1" si="2"/>
        <v>0</v>
      </c>
      <c r="U52" s="35">
        <f ca="1">_xll.RiskBinomial(1,T52)</f>
        <v>0</v>
      </c>
      <c r="V52" s="88">
        <f ca="1">IF(U52=1,_xll.RiskBinomial(1,Prob_Illness_Given_Infection),0)</f>
        <v>0</v>
      </c>
      <c r="W52" s="30"/>
      <c r="X52" s="87">
        <f t="shared" ca="1" si="37"/>
        <v>9.613082467203449E-12</v>
      </c>
      <c r="Y52" s="37">
        <f ca="1">INT(X52) + _xll.RiskBinomial(1,X52-INT(X52))</f>
        <v>0</v>
      </c>
      <c r="Z52" s="30">
        <f t="shared" ca="1" si="3"/>
        <v>0</v>
      </c>
      <c r="AA52" s="35">
        <f ca="1">_xll.RiskBinomial(1,Z52)</f>
        <v>0</v>
      </c>
      <c r="AB52" s="88">
        <f ca="1">IF(AA52=1,_xll.RiskBinomial(1,Prob_Illness_Given_Infection),0)</f>
        <v>0</v>
      </c>
      <c r="AC52" s="30"/>
      <c r="AD52" s="87">
        <f t="shared" ca="1" si="38"/>
        <v>4.8432411997348504E-12</v>
      </c>
      <c r="AE52" s="37">
        <f ca="1">INT(AD52) + _xll.RiskBinomial(1,AD52-INT(AD52))</f>
        <v>0</v>
      </c>
      <c r="AF52" s="30">
        <f t="shared" ca="1" si="4"/>
        <v>0</v>
      </c>
      <c r="AG52" s="35">
        <f ca="1">_xll.RiskBinomial(1,AF52)</f>
        <v>0</v>
      </c>
      <c r="AH52" s="88">
        <f ca="1">IF(AG52=1,_xll.RiskBinomial(1,Prob_Illness_Given_Infection),0)</f>
        <v>0</v>
      </c>
      <c r="AI52" s="30"/>
      <c r="AJ52" s="87">
        <f t="shared" ca="1" si="39"/>
        <v>2.2481077513102722E-4</v>
      </c>
      <c r="AK52" s="37">
        <f ca="1">INT(AJ52) + _xll.RiskBinomial(1,AJ52-INT(AJ52))</f>
        <v>0</v>
      </c>
      <c r="AL52" s="30">
        <f t="shared" ca="1" si="5"/>
        <v>0</v>
      </c>
      <c r="AM52" s="35">
        <f ca="1">_xll.RiskBinomial(1,AL52)</f>
        <v>0</v>
      </c>
      <c r="AN52" s="88">
        <f ca="1">IF(AM52=1,_xll.RiskBinomial(1,Prob_Illness_Given_Infection),0)</f>
        <v>0</v>
      </c>
      <c r="AO52" s="30"/>
      <c r="AP52" s="87">
        <f t="shared" ca="1" si="40"/>
        <v>5.4671808144207599E-9</v>
      </c>
      <c r="AQ52" s="37">
        <f ca="1">INT(AP52) + _xll.RiskBinomial(1,AP52-INT(AP52))</f>
        <v>0</v>
      </c>
      <c r="AR52" s="30">
        <f t="shared" ca="1" si="6"/>
        <v>0</v>
      </c>
      <c r="AS52" s="35">
        <f ca="1">_xll.RiskBinomial(1,AR52)</f>
        <v>0</v>
      </c>
      <c r="AT52" s="88">
        <f ca="1">IF(AS52=1,_xll.RiskBinomial(1,Prob_Illness_Given_Infection),0)</f>
        <v>0</v>
      </c>
      <c r="AU52" s="30"/>
      <c r="AV52" s="87">
        <f t="shared" ca="1" si="41"/>
        <v>1.2683574875657188E-4</v>
      </c>
      <c r="AW52" s="37">
        <f ca="1">INT(AV52) + _xll.RiskBinomial(1,AV52-INT(AV52))</f>
        <v>0</v>
      </c>
      <c r="AX52" s="30">
        <f t="shared" ca="1" si="7"/>
        <v>0</v>
      </c>
      <c r="AY52" s="35">
        <f ca="1">_xll.RiskBinomial(1,AX52)</f>
        <v>0</v>
      </c>
      <c r="AZ52" s="88">
        <f ca="1">IF(AY52=1,_xll.RiskBinomial(1,Prob_Illness_Given_Infection),0)</f>
        <v>0</v>
      </c>
      <c r="BB52" s="87">
        <f t="shared" ca="1" si="42"/>
        <v>1.740833180692499E-4</v>
      </c>
      <c r="BC52" s="37">
        <f ca="1">INT(BB52) + _xll.RiskBinomial(1,BB52-INT(BB52))</f>
        <v>0</v>
      </c>
      <c r="BD52" s="30">
        <f t="shared" ca="1" si="8"/>
        <v>0</v>
      </c>
      <c r="BE52" s="35">
        <f ca="1">_xll.RiskBinomial(1,BD52)</f>
        <v>0</v>
      </c>
      <c r="BF52" s="88">
        <f ca="1">IF(BE52=1,_xll.RiskBinomial(1,Prob_Illness_Given_Infection),0)</f>
        <v>0</v>
      </c>
      <c r="BH52" s="87">
        <f t="shared" ca="1" si="43"/>
        <v>2.2040193486325067E-4</v>
      </c>
      <c r="BI52" s="37">
        <f ca="1">INT(BH52) + _xll.RiskBinomial(1,BH52-INT(BH52))</f>
        <v>0</v>
      </c>
      <c r="BJ52" s="30">
        <f t="shared" ca="1" si="9"/>
        <v>0</v>
      </c>
      <c r="BK52" s="35">
        <f ca="1">_xll.RiskBinomial(1,BJ52)</f>
        <v>0</v>
      </c>
      <c r="BL52" s="88">
        <f ca="1">IF(BK52=1,_xll.RiskBinomial(1,Prob_Illness_Given_Infection),0)</f>
        <v>0</v>
      </c>
      <c r="BN52" s="87">
        <f t="shared" ca="1" si="44"/>
        <v>1.6773843968316064E-5</v>
      </c>
      <c r="BO52" s="37">
        <f ca="1">INT(BN52) + _xll.RiskBinomial(1,BN52-INT(BN52))</f>
        <v>0</v>
      </c>
      <c r="BP52" s="30">
        <f t="shared" ca="1" si="10"/>
        <v>0</v>
      </c>
      <c r="BQ52" s="35">
        <f ca="1">_xll.RiskBinomial(1,BP52)</f>
        <v>0</v>
      </c>
      <c r="BR52" s="88">
        <f ca="1">IF(BQ52=1,_xll.RiskBinomial(1,Prob_Illness_Given_Infection),0)</f>
        <v>0</v>
      </c>
      <c r="BT52" s="87">
        <f t="shared" ca="1" si="45"/>
        <v>5.0438771481783846E-5</v>
      </c>
      <c r="BU52" s="37">
        <f ca="1">INT(BT52) + _xll.RiskBinomial(1,BT52-INT(BT52))</f>
        <v>0</v>
      </c>
      <c r="BV52" s="30">
        <f t="shared" ca="1" si="11"/>
        <v>0</v>
      </c>
      <c r="BW52" s="35">
        <f ca="1">_xll.RiskBinomial(1,BV52)</f>
        <v>0</v>
      </c>
      <c r="BX52" s="88">
        <f ca="1">IF(BW52=1,_xll.RiskBinomial(1,Prob_Illness_Given_Infection),0)</f>
        <v>0</v>
      </c>
      <c r="BZ52" s="87">
        <f t="shared" ca="1" si="46"/>
        <v>1.3826967509705996E-4</v>
      </c>
      <c r="CA52" s="37">
        <f ca="1">INT(BZ52) + _xll.RiskBinomial(1,BZ52-INT(BZ52))</f>
        <v>0</v>
      </c>
      <c r="CB52" s="30">
        <f t="shared" ca="1" si="12"/>
        <v>0</v>
      </c>
      <c r="CC52" s="35">
        <f ca="1">_xll.RiskBinomial(1,CB52)</f>
        <v>0</v>
      </c>
      <c r="CD52" s="88">
        <f ca="1">IF(CC52=1,_xll.RiskBinomial(1,Prob_Illness_Given_Infection),0)</f>
        <v>0</v>
      </c>
      <c r="CF52" s="87">
        <f t="shared" ca="1" si="47"/>
        <v>2.623528687649931E-5</v>
      </c>
      <c r="CG52" s="37">
        <f ca="1">INT(CF52) + _xll.RiskBinomial(1,CF52-INT(CF52))</f>
        <v>0</v>
      </c>
      <c r="CH52" s="30">
        <f t="shared" ca="1" si="13"/>
        <v>0</v>
      </c>
      <c r="CI52" s="35">
        <f ca="1">_xll.RiskBinomial(1,CH52)</f>
        <v>0</v>
      </c>
      <c r="CJ52" s="88">
        <f ca="1">IF(CI52=1,_xll.RiskBinomial(1,Prob_Illness_Given_Infection),0)</f>
        <v>0</v>
      </c>
      <c r="CL52" s="87">
        <f t="shared" ca="1" si="48"/>
        <v>5.0626758955516244E-5</v>
      </c>
      <c r="CM52" s="37">
        <f ca="1">INT(CL52) + _xll.RiskBinomial(1,CL52-INT(CL52))</f>
        <v>0</v>
      </c>
      <c r="CN52" s="30">
        <f t="shared" ca="1" si="14"/>
        <v>0</v>
      </c>
      <c r="CO52" s="35">
        <f ca="1">_xll.RiskBinomial(1,CN52)</f>
        <v>0</v>
      </c>
      <c r="CP52" s="88">
        <f ca="1">IF(CO52=1,_xll.RiskBinomial(1,Prob_Illness_Given_Infection),0)</f>
        <v>0</v>
      </c>
      <c r="CR52" s="87">
        <f t="shared" ca="1" si="49"/>
        <v>3.4890429956947342E-7</v>
      </c>
      <c r="CS52" s="37">
        <f ca="1">INT(CR52) + _xll.RiskBinomial(1,CR52-INT(CR52))</f>
        <v>0</v>
      </c>
      <c r="CT52" s="30">
        <f t="shared" ca="1" si="15"/>
        <v>0</v>
      </c>
      <c r="CU52" s="35">
        <f ca="1">_xll.RiskBinomial(1,CT52)</f>
        <v>0</v>
      </c>
      <c r="CV52" s="88">
        <f ca="1">IF(CU52=1,_xll.RiskBinomial(1,Prob_Illness_Given_Infection),0)</f>
        <v>0</v>
      </c>
      <c r="CX52" s="87">
        <f t="shared" ca="1" si="50"/>
        <v>3.551806104971085E-9</v>
      </c>
      <c r="CY52" s="37">
        <f ca="1">INT(CX52) + _xll.RiskBinomial(1,CX52-INT(CX52))</f>
        <v>0</v>
      </c>
      <c r="CZ52" s="30">
        <f t="shared" ca="1" si="16"/>
        <v>0</v>
      </c>
      <c r="DA52" s="35">
        <f ca="1">_xll.RiskBinomial(1,CZ52)</f>
        <v>0</v>
      </c>
      <c r="DB52" s="88">
        <f ca="1">IF(DA52=1,_xll.RiskBinomial(1,Prob_Illness_Given_Infection),0)</f>
        <v>0</v>
      </c>
      <c r="DD52" s="87">
        <f t="shared" ca="1" si="51"/>
        <v>3.551806104971085E-9</v>
      </c>
      <c r="DE52" s="37">
        <f ca="1">INT(DD52) + _xll.RiskBinomial(1,DD52-INT(DD52))</f>
        <v>0</v>
      </c>
      <c r="DF52" s="30">
        <f t="shared" ca="1" si="17"/>
        <v>0</v>
      </c>
      <c r="DG52" s="35">
        <f ca="1">_xll.RiskBinomial(1,DF52)</f>
        <v>0</v>
      </c>
      <c r="DH52" s="88">
        <f ca="1">IF(DG52=1,_xll.RiskBinomial(1,Prob_Illness_Given_Infection),0)</f>
        <v>0</v>
      </c>
      <c r="DJ52" s="87">
        <f t="shared" ca="1" si="52"/>
        <v>5.7996065461146952E-6</v>
      </c>
      <c r="DK52" s="37">
        <f ca="1">INT(DJ52) + _xll.RiskBinomial(1,DJ52-INT(DJ52))</f>
        <v>0</v>
      </c>
      <c r="DL52" s="30">
        <f t="shared" ca="1" si="18"/>
        <v>0</v>
      </c>
      <c r="DM52" s="35">
        <f ca="1">_xll.RiskBinomial(1,DL52)</f>
        <v>0</v>
      </c>
      <c r="DN52" s="88">
        <f ca="1">IF(DM52=1,_xll.RiskBinomial(1,Prob_Illness_Given_Infection),0)</f>
        <v>0</v>
      </c>
      <c r="DP52" s="87">
        <f t="shared" ca="1" si="53"/>
        <v>1.3709970974308763E-9</v>
      </c>
      <c r="DQ52" s="37">
        <f ca="1">INT(DP52) + _xll.RiskBinomial(1,DP52-INT(DP52))</f>
        <v>0</v>
      </c>
      <c r="DR52" s="30">
        <f t="shared" ca="1" si="19"/>
        <v>0</v>
      </c>
      <c r="DS52" s="35">
        <f ca="1">_xll.RiskBinomial(1,DR52)</f>
        <v>0</v>
      </c>
      <c r="DT52" s="88">
        <f ca="1">IF(DS52=1,_xll.RiskBinomial(1,Prob_Illness_Given_Infection),0)</f>
        <v>0</v>
      </c>
      <c r="DV52" s="87">
        <f t="shared" ca="1" si="54"/>
        <v>1.9300978947097881E-8</v>
      </c>
      <c r="DW52" s="37">
        <f ca="1">INT(DV52) + _xll.RiskBinomial(1,DV52-INT(DV52))</f>
        <v>0</v>
      </c>
      <c r="DX52" s="30">
        <f t="shared" ca="1" si="20"/>
        <v>0</v>
      </c>
      <c r="DY52" s="35">
        <f ca="1">_xll.RiskBinomial(1,DX52)</f>
        <v>0</v>
      </c>
      <c r="DZ52" s="88">
        <f ca="1">IF(DY52=1,_xll.RiskBinomial(1,Prob_Illness_Given_Infection),0)</f>
        <v>0</v>
      </c>
      <c r="EB52" s="87">
        <f t="shared" ca="1" si="55"/>
        <v>4.8432411997332243E-12</v>
      </c>
      <c r="EC52" s="37">
        <f ca="1">INT(EB52) + _xll.RiskBinomial(1,EB52-INT(EB52))</f>
        <v>0</v>
      </c>
      <c r="ED52" s="30">
        <f t="shared" ca="1" si="21"/>
        <v>0</v>
      </c>
      <c r="EE52" s="35">
        <f ca="1">_xll.RiskBinomial(1,ED52)</f>
        <v>0</v>
      </c>
      <c r="EF52" s="88">
        <f ca="1">IF(EE52=1,_xll.RiskBinomial(1,Prob_Illness_Given_Infection),0)</f>
        <v>0</v>
      </c>
      <c r="EH52" s="87">
        <f t="shared" ca="1" si="56"/>
        <v>4.8432411997282451E-12</v>
      </c>
      <c r="EI52" s="37">
        <f ca="1">INT(EH52) + _xll.RiskBinomial(1,EH52-INT(EH52))</f>
        <v>0</v>
      </c>
      <c r="EJ52" s="30">
        <f t="shared" ca="1" si="22"/>
        <v>0</v>
      </c>
      <c r="EK52" s="35">
        <f ca="1">_xll.RiskBinomial(1,EJ52)</f>
        <v>0</v>
      </c>
      <c r="EL52" s="88">
        <f ca="1">IF(EK52=1,_xll.RiskBinomial(1,Prob_Illness_Given_Infection),0)</f>
        <v>0</v>
      </c>
      <c r="EN52" s="87">
        <f t="shared" ca="1" si="57"/>
        <v>4.4191651940978649E-10</v>
      </c>
      <c r="EO52" s="37">
        <f ca="1">INT(EN52) + _xll.RiskBinomial(1,EN52-INT(EN52))</f>
        <v>0</v>
      </c>
      <c r="EP52" s="30">
        <f t="shared" ca="1" si="23"/>
        <v>0</v>
      </c>
      <c r="EQ52" s="35">
        <f ca="1">_xll.RiskBinomial(1,EP52)</f>
        <v>0</v>
      </c>
      <c r="ER52" s="88">
        <f ca="1">IF(EQ52=1,_xll.RiskBinomial(1,Prob_Illness_Given_Infection),0)</f>
        <v>0</v>
      </c>
      <c r="ET52" s="87">
        <f t="shared" ca="1" si="58"/>
        <v>4.8432411997236269E-12</v>
      </c>
      <c r="EU52" s="37">
        <f ca="1">INT(ET52) + _xll.RiskBinomial(1,ET52-INT(ET52))</f>
        <v>0</v>
      </c>
      <c r="EV52" s="30">
        <f t="shared" ca="1" si="24"/>
        <v>0</v>
      </c>
      <c r="EW52" s="35">
        <f ca="1">_xll.RiskBinomial(1,EV52)</f>
        <v>0</v>
      </c>
      <c r="EX52" s="88">
        <f ca="1">IF(EW52=1,_xll.RiskBinomial(1,Prob_Illness_Given_Infection),0)</f>
        <v>0</v>
      </c>
      <c r="EZ52" s="87">
        <f t="shared" ca="1" si="59"/>
        <v>3.6528710496668728E-5</v>
      </c>
      <c r="FA52" s="37">
        <f ca="1">INT(EZ52) + _xll.RiskBinomial(1,EZ52-INT(EZ52))</f>
        <v>0</v>
      </c>
      <c r="FB52" s="30">
        <f t="shared" ca="1" si="25"/>
        <v>0</v>
      </c>
      <c r="FC52" s="35">
        <f ca="1">_xll.RiskBinomial(1,FB52)</f>
        <v>0</v>
      </c>
      <c r="FD52" s="88">
        <f ca="1">IF(FC52=1,_xll.RiskBinomial(1,Prob_Illness_Given_Infection),0)</f>
        <v>0</v>
      </c>
      <c r="FF52" s="87">
        <f t="shared" ca="1" si="60"/>
        <v>2.5445489112055597E-4</v>
      </c>
      <c r="FG52" s="37">
        <f ca="1">INT(FF52) + _xll.RiskBinomial(1,FF52-INT(FF52))</f>
        <v>0</v>
      </c>
      <c r="FH52" s="30">
        <f t="shared" ca="1" si="26"/>
        <v>0</v>
      </c>
      <c r="FI52" s="35">
        <f ca="1">_xll.RiskBinomial(1,FH52)</f>
        <v>0</v>
      </c>
      <c r="FJ52" s="88">
        <f ca="1">IF(FI52=1,_xll.RiskBinomial(1,Prob_Illness_Given_Infection),0)</f>
        <v>0</v>
      </c>
      <c r="FL52" s="87" t="e">
        <f t="shared" ca="1" si="61"/>
        <v>#NAME?</v>
      </c>
      <c r="FM52" s="37" t="e">
        <f ca="1">INT(FL52) + _xll.RiskBinomial(1,FL52-INT(FL52))</f>
        <v>#NAME?</v>
      </c>
      <c r="FN52" s="30" t="e">
        <f t="shared" ca="1" si="27"/>
        <v>#NAME?</v>
      </c>
      <c r="FO52" s="35" t="e">
        <f ca="1">_xll.RiskBinomial(1,FN52)</f>
        <v>#VALUE!</v>
      </c>
      <c r="FP52" s="88" t="e">
        <f ca="1">IF(FO52=1,_xll.RiskBinomial(1,Prob_Illness_Given_Infection),0)</f>
        <v>#VALUE!</v>
      </c>
      <c r="FR52" s="87" t="e">
        <f t="shared" ca="1" si="62"/>
        <v>#NAME?</v>
      </c>
      <c r="FS52" s="37" t="e">
        <f ca="1">INT(FR52) + _xll.RiskBinomial(1,FR52-INT(FR52))</f>
        <v>#NAME?</v>
      </c>
      <c r="FT52" s="30" t="e">
        <f t="shared" ca="1" si="28"/>
        <v>#NAME?</v>
      </c>
      <c r="FU52" s="35" t="e">
        <f ca="1">_xll.RiskBinomial(1,FT52)</f>
        <v>#VALUE!</v>
      </c>
      <c r="FV52" s="88" t="e">
        <f ca="1">IF(FU52=1,_xll.RiskBinomial(1,Prob_Illness_Given_Infection),0)</f>
        <v>#VALUE!</v>
      </c>
      <c r="FX52" s="87">
        <f t="shared" ca="1" si="63"/>
        <v>5.1133345000070365E-7</v>
      </c>
      <c r="FY52" s="37">
        <f ca="1">INT(FX52) + _xll.RiskBinomial(1,FX52-INT(FX52))</f>
        <v>0</v>
      </c>
      <c r="FZ52" s="30">
        <f t="shared" ca="1" si="29"/>
        <v>0</v>
      </c>
      <c r="GA52" s="35">
        <f ca="1">_xll.RiskBinomial(1,FZ52)</f>
        <v>0</v>
      </c>
      <c r="GB52" s="88">
        <f ca="1">IF(GA52=1,_xll.RiskBinomial(1,Prob_Illness_Given_Infection),0)</f>
        <v>0</v>
      </c>
      <c r="GD52" s="87" t="e">
        <f t="shared" ca="1" si="64"/>
        <v>#NAME?</v>
      </c>
      <c r="GE52" s="37" t="e">
        <f ca="1">INT(GD52) + _xll.RiskBinomial(1,GD52-INT(GD52))</f>
        <v>#NAME?</v>
      </c>
      <c r="GF52" s="30" t="e">
        <f t="shared" ca="1" si="30"/>
        <v>#NAME?</v>
      </c>
      <c r="GG52" s="35" t="e">
        <f ca="1">_xll.RiskBinomial(1,GF52)</f>
        <v>#VALUE!</v>
      </c>
      <c r="GH52" s="88" t="e">
        <f ca="1">IF(GG52=1,_xll.RiskBinomial(1,Prob_Illness_Given_Infection),0)</f>
        <v>#VALUE!</v>
      </c>
      <c r="GJ52" s="87" t="e">
        <f t="shared" ca="1" si="65"/>
        <v>#NAME?</v>
      </c>
      <c r="GK52" s="37" t="e">
        <f ca="1">INT(GJ52) + _xll.RiskBinomial(1,GJ52-INT(GJ52))</f>
        <v>#NAME?</v>
      </c>
      <c r="GL52" s="30" t="e">
        <f t="shared" ca="1" si="31"/>
        <v>#NAME?</v>
      </c>
      <c r="GM52" s="35" t="e">
        <f ca="1">_xll.RiskBinomial(1,GL52)</f>
        <v>#VALUE!</v>
      </c>
      <c r="GN52" s="88" t="e">
        <f ca="1">IF(GM52=1,_xll.RiskBinomial(1,Prob_Illness_Given_Infection),0)</f>
        <v>#VALUE!</v>
      </c>
      <c r="GP52" s="87" t="e">
        <f t="shared" ca="1" si="66"/>
        <v>#NAME?</v>
      </c>
      <c r="GQ52" s="37" t="e">
        <f ca="1">INT(GP52) + _xll.RiskBinomial(1,GP52-INT(GP52))</f>
        <v>#NAME?</v>
      </c>
      <c r="GR52" s="30" t="e">
        <f t="shared" ca="1" si="32"/>
        <v>#NAME?</v>
      </c>
      <c r="GS52" s="35" t="e">
        <f ca="1">_xll.RiskBinomial(1,GR52)</f>
        <v>#VALUE!</v>
      </c>
      <c r="GT52" s="88" t="e">
        <f ca="1">IF(GS52=1,_xll.RiskBinomial(1,Prob_Illness_Given_Infection),0)</f>
        <v>#VALUE!</v>
      </c>
    </row>
    <row r="53" spans="2:202">
      <c r="B53" s="108">
        <v>45</v>
      </c>
      <c r="C53" s="87">
        <f ca="1">_xll.RiskLoglogistic(LogLogistic_gamma, LogLogistic_beta, LogLogistic_alpha, _xll.RiskTruncate(5,800))</f>
        <v>44.220126971071764</v>
      </c>
      <c r="D53" s="38">
        <f t="shared" ca="1" si="67"/>
        <v>2.8407733595333484</v>
      </c>
      <c r="E53" s="30"/>
      <c r="F53" s="87">
        <f t="shared" ca="1" si="34"/>
        <v>1.0256305157790704E-9</v>
      </c>
      <c r="G53" s="37">
        <f ca="1">INT(F53) + _xll.RiskBinomial(1,F53-INT(F53))</f>
        <v>0</v>
      </c>
      <c r="H53" s="30">
        <f t="shared" ca="1" si="68"/>
        <v>0</v>
      </c>
      <c r="I53" s="35">
        <f ca="1">_xll.RiskBinomial(1,H53)</f>
        <v>0</v>
      </c>
      <c r="J53" s="88">
        <f ca="1">IF(I53=1,_xll.RiskBinomial(1,Prob_Illness_Given_Infection),0)</f>
        <v>0</v>
      </c>
      <c r="K53" s="30"/>
      <c r="L53" s="87">
        <f t="shared" ca="1" si="35"/>
        <v>5.2386534336873477E-5</v>
      </c>
      <c r="M53" s="37">
        <f ca="1">INT(L53) + _xll.RiskBinomial(1,L53-INT(L53))</f>
        <v>0</v>
      </c>
      <c r="N53" s="30">
        <f t="shared" ca="1" si="1"/>
        <v>0</v>
      </c>
      <c r="O53" s="35">
        <f ca="1">_xll.RiskBinomial(1,N53)</f>
        <v>0</v>
      </c>
      <c r="P53" s="88">
        <f ca="1">IF(O53=1,_xll.RiskBinomial(1,Prob_Illness_Given_Infection),0)</f>
        <v>0</v>
      </c>
      <c r="Q53" s="30"/>
      <c r="R53" s="87">
        <f t="shared" ca="1" si="36"/>
        <v>5.4154983972788721E-6</v>
      </c>
      <c r="S53" s="37">
        <f ca="1">INT(R53) + _xll.RiskBinomial(1,R53-INT(R53))</f>
        <v>0</v>
      </c>
      <c r="T53" s="30">
        <f t="shared" ca="1" si="2"/>
        <v>0</v>
      </c>
      <c r="U53" s="35">
        <f ca="1">_xll.RiskBinomial(1,T53)</f>
        <v>0</v>
      </c>
      <c r="V53" s="88">
        <f ca="1">IF(U53=1,_xll.RiskBinomial(1,Prob_Illness_Given_Infection),0)</f>
        <v>0</v>
      </c>
      <c r="W53" s="30"/>
      <c r="X53" s="87">
        <f t="shared" ca="1" si="37"/>
        <v>2.2248278377255641E-12</v>
      </c>
      <c r="Y53" s="37">
        <f ca="1">INT(X53) + _xll.RiskBinomial(1,X53-INT(X53))</f>
        <v>0</v>
      </c>
      <c r="Z53" s="30">
        <f t="shared" ca="1" si="3"/>
        <v>0</v>
      </c>
      <c r="AA53" s="35">
        <f ca="1">_xll.RiskBinomial(1,Z53)</f>
        <v>0</v>
      </c>
      <c r="AB53" s="88">
        <f ca="1">IF(AA53=1,_xll.RiskBinomial(1,Prob_Illness_Given_Infection),0)</f>
        <v>0</v>
      </c>
      <c r="AC53" s="30"/>
      <c r="AD53" s="87">
        <f t="shared" ca="1" si="38"/>
        <v>1.1209076675198992E-12</v>
      </c>
      <c r="AE53" s="37">
        <f ca="1">INT(AD53) + _xll.RiskBinomial(1,AD53-INT(AD53))</f>
        <v>0</v>
      </c>
      <c r="AF53" s="30">
        <f t="shared" ca="1" si="4"/>
        <v>0</v>
      </c>
      <c r="AG53" s="35">
        <f ca="1">_xll.RiskBinomial(1,AF53)</f>
        <v>0</v>
      </c>
      <c r="AH53" s="88">
        <f ca="1">IF(AG53=1,_xll.RiskBinomial(1,Prob_Illness_Given_Infection),0)</f>
        <v>0</v>
      </c>
      <c r="AI53" s="30"/>
      <c r="AJ53" s="87">
        <f t="shared" ca="1" si="39"/>
        <v>5.2029645271281536E-5</v>
      </c>
      <c r="AK53" s="37">
        <f ca="1">INT(AJ53) + _xll.RiskBinomial(1,AJ53-INT(AJ53))</f>
        <v>0</v>
      </c>
      <c r="AL53" s="30">
        <f t="shared" ca="1" si="5"/>
        <v>0</v>
      </c>
      <c r="AM53" s="35">
        <f ca="1">_xll.RiskBinomial(1,AL53)</f>
        <v>0</v>
      </c>
      <c r="AN53" s="88">
        <f ca="1">IF(AM53=1,_xll.RiskBinomial(1,Prob_Illness_Given_Infection),0)</f>
        <v>0</v>
      </c>
      <c r="AO53" s="30"/>
      <c r="AP53" s="87">
        <f t="shared" ca="1" si="40"/>
        <v>1.2653106962621256E-9</v>
      </c>
      <c r="AQ53" s="37">
        <f ca="1">INT(AP53) + _xll.RiskBinomial(1,AP53-INT(AP53))</f>
        <v>0</v>
      </c>
      <c r="AR53" s="30">
        <f t="shared" ca="1" si="6"/>
        <v>0</v>
      </c>
      <c r="AS53" s="35">
        <f ca="1">_xll.RiskBinomial(1,AR53)</f>
        <v>0</v>
      </c>
      <c r="AT53" s="88">
        <f ca="1">IF(AS53=1,_xll.RiskBinomial(1,Prob_Illness_Given_Infection),0)</f>
        <v>0</v>
      </c>
      <c r="AU53" s="30"/>
      <c r="AV53" s="87">
        <f t="shared" ca="1" si="41"/>
        <v>2.9354549450201304E-5</v>
      </c>
      <c r="AW53" s="37">
        <f ca="1">INT(AV53) + _xll.RiskBinomial(1,AV53-INT(AV53))</f>
        <v>0</v>
      </c>
      <c r="AX53" s="30">
        <f t="shared" ca="1" si="7"/>
        <v>0</v>
      </c>
      <c r="AY53" s="35">
        <f ca="1">_xll.RiskBinomial(1,AX53)</f>
        <v>0</v>
      </c>
      <c r="AZ53" s="88">
        <f ca="1">IF(AY53=1,_xll.RiskBinomial(1,Prob_Illness_Given_Infection),0)</f>
        <v>0</v>
      </c>
      <c r="BB53" s="87">
        <f t="shared" ca="1" si="42"/>
        <v>4.0289409088651287E-5</v>
      </c>
      <c r="BC53" s="37">
        <f ca="1">INT(BB53) + _xll.RiskBinomial(1,BB53-INT(BB53))</f>
        <v>0</v>
      </c>
      <c r="BD53" s="30">
        <f t="shared" ca="1" si="8"/>
        <v>0</v>
      </c>
      <c r="BE53" s="35">
        <f ca="1">_xll.RiskBinomial(1,BD53)</f>
        <v>0</v>
      </c>
      <c r="BF53" s="88">
        <f ca="1">IF(BE53=1,_xll.RiskBinomial(1,Prob_Illness_Given_Infection),0)</f>
        <v>0</v>
      </c>
      <c r="BH53" s="87">
        <f t="shared" ca="1" si="43"/>
        <v>5.1009274272353844E-5</v>
      </c>
      <c r="BI53" s="37">
        <f ca="1">INT(BH53) + _xll.RiskBinomial(1,BH53-INT(BH53))</f>
        <v>0</v>
      </c>
      <c r="BJ53" s="30">
        <f t="shared" ca="1" si="9"/>
        <v>0</v>
      </c>
      <c r="BK53" s="35">
        <f ca="1">_xll.RiskBinomial(1,BJ53)</f>
        <v>0</v>
      </c>
      <c r="BL53" s="88">
        <f ca="1">IF(BK53=1,_xll.RiskBinomial(1,Prob_Illness_Given_Infection),0)</f>
        <v>0</v>
      </c>
      <c r="BN53" s="87">
        <f t="shared" ca="1" si="44"/>
        <v>3.8820966254782488E-6</v>
      </c>
      <c r="BO53" s="37">
        <f ca="1">INT(BN53) + _xll.RiskBinomial(1,BN53-INT(BN53))</f>
        <v>0</v>
      </c>
      <c r="BP53" s="30">
        <f t="shared" ca="1" si="10"/>
        <v>0</v>
      </c>
      <c r="BQ53" s="35">
        <f ca="1">_xll.RiskBinomial(1,BP53)</f>
        <v>0</v>
      </c>
      <c r="BR53" s="88">
        <f ca="1">IF(BQ53=1,_xll.RiskBinomial(1,Prob_Illness_Given_Infection),0)</f>
        <v>0</v>
      </c>
      <c r="BT53" s="87">
        <f t="shared" ca="1" si="45"/>
        <v>1.1673423511781891E-5</v>
      </c>
      <c r="BU53" s="37">
        <f ca="1">INT(BT53) + _xll.RiskBinomial(1,BT53-INT(BT53))</f>
        <v>0</v>
      </c>
      <c r="BV53" s="30">
        <f t="shared" ca="1" si="11"/>
        <v>0</v>
      </c>
      <c r="BW53" s="35">
        <f ca="1">_xll.RiskBinomial(1,BV53)</f>
        <v>0</v>
      </c>
      <c r="BX53" s="88">
        <f ca="1">IF(BW53=1,_xll.RiskBinomial(1,Prob_Illness_Given_Infection),0)</f>
        <v>0</v>
      </c>
      <c r="BZ53" s="87">
        <f t="shared" ca="1" si="46"/>
        <v>3.2000788854014695E-5</v>
      </c>
      <c r="CA53" s="37">
        <f ca="1">INT(BZ53) + _xll.RiskBinomial(1,BZ53-INT(BZ53))</f>
        <v>0</v>
      </c>
      <c r="CB53" s="30">
        <f t="shared" ca="1" si="12"/>
        <v>0</v>
      </c>
      <c r="CC53" s="35">
        <f ca="1">_xll.RiskBinomial(1,CB53)</f>
        <v>0</v>
      </c>
      <c r="CD53" s="88">
        <f ca="1">IF(CC53=1,_xll.RiskBinomial(1,Prob_Illness_Given_Infection),0)</f>
        <v>0</v>
      </c>
      <c r="CF53" s="87">
        <f t="shared" ca="1" si="47"/>
        <v>6.0718293817500161E-6</v>
      </c>
      <c r="CG53" s="37">
        <f ca="1">INT(CF53) + _xll.RiskBinomial(1,CF53-INT(CF53))</f>
        <v>0</v>
      </c>
      <c r="CH53" s="30">
        <f t="shared" ca="1" si="13"/>
        <v>0</v>
      </c>
      <c r="CI53" s="35">
        <f ca="1">_xll.RiskBinomial(1,CH53)</f>
        <v>0</v>
      </c>
      <c r="CJ53" s="88">
        <f ca="1">IF(CI53=1,_xll.RiskBinomial(1,Prob_Illness_Given_Infection),0)</f>
        <v>0</v>
      </c>
      <c r="CL53" s="87">
        <f t="shared" ca="1" si="48"/>
        <v>1.1716930863989724E-5</v>
      </c>
      <c r="CM53" s="37">
        <f ca="1">INT(CL53) + _xll.RiskBinomial(1,CL53-INT(CL53))</f>
        <v>0</v>
      </c>
      <c r="CN53" s="30">
        <f t="shared" ca="1" si="14"/>
        <v>0</v>
      </c>
      <c r="CO53" s="35">
        <f ca="1">_xll.RiskBinomial(1,CN53)</f>
        <v>0</v>
      </c>
      <c r="CP53" s="88">
        <f ca="1">IF(CO53=1,_xll.RiskBinomial(1,Prob_Illness_Given_Infection),0)</f>
        <v>0</v>
      </c>
      <c r="CR53" s="87">
        <f t="shared" ca="1" si="49"/>
        <v>8.0749541162536644E-8</v>
      </c>
      <c r="CS53" s="37">
        <f ca="1">INT(CR53) + _xll.RiskBinomial(1,CR53-INT(CR53))</f>
        <v>0</v>
      </c>
      <c r="CT53" s="30">
        <f t="shared" ca="1" si="15"/>
        <v>0</v>
      </c>
      <c r="CU53" s="35">
        <f ca="1">_xll.RiskBinomial(1,CT53)</f>
        <v>0</v>
      </c>
      <c r="CV53" s="88">
        <f ca="1">IF(CU53=1,_xll.RiskBinomial(1,Prob_Illness_Given_Infection),0)</f>
        <v>0</v>
      </c>
      <c r="CX53" s="87">
        <f t="shared" ca="1" si="50"/>
        <v>8.2202114914781359E-10</v>
      </c>
      <c r="CY53" s="37">
        <f ca="1">INT(CX53) + _xll.RiskBinomial(1,CX53-INT(CX53))</f>
        <v>0</v>
      </c>
      <c r="CZ53" s="30">
        <f t="shared" ca="1" si="16"/>
        <v>0</v>
      </c>
      <c r="DA53" s="35">
        <f ca="1">_xll.RiskBinomial(1,CZ53)</f>
        <v>0</v>
      </c>
      <c r="DB53" s="88">
        <f ca="1">IF(DA53=1,_xll.RiskBinomial(1,Prob_Illness_Given_Infection),0)</f>
        <v>0</v>
      </c>
      <c r="DD53" s="87">
        <f t="shared" ca="1" si="51"/>
        <v>8.2202114914781359E-10</v>
      </c>
      <c r="DE53" s="37">
        <f ca="1">INT(DD53) + _xll.RiskBinomial(1,DD53-INT(DD53))</f>
        <v>0</v>
      </c>
      <c r="DF53" s="30">
        <f t="shared" ca="1" si="17"/>
        <v>0</v>
      </c>
      <c r="DG53" s="35">
        <f ca="1">_xll.RiskBinomial(1,DF53)</f>
        <v>0</v>
      </c>
      <c r="DH53" s="88">
        <f ca="1">IF(DG53=1,_xll.RiskBinomial(1,Prob_Illness_Given_Infection),0)</f>
        <v>0</v>
      </c>
      <c r="DJ53" s="87">
        <f t="shared" ca="1" si="52"/>
        <v>1.3422464787618791E-6</v>
      </c>
      <c r="DK53" s="37">
        <f ca="1">INT(DJ53) + _xll.RiskBinomial(1,DJ53-INT(DJ53))</f>
        <v>0</v>
      </c>
      <c r="DL53" s="30">
        <f t="shared" ca="1" si="18"/>
        <v>0</v>
      </c>
      <c r="DM53" s="35">
        <f ca="1">_xll.RiskBinomial(1,DL53)</f>
        <v>0</v>
      </c>
      <c r="DN53" s="88">
        <f ca="1">IF(DM53=1,_xll.RiskBinomial(1,Prob_Illness_Given_Infection),0)</f>
        <v>0</v>
      </c>
      <c r="DP53" s="87">
        <f t="shared" ca="1" si="53"/>
        <v>3.1730014989588534E-10</v>
      </c>
      <c r="DQ53" s="37">
        <f ca="1">INT(DP53) + _xll.RiskBinomial(1,DP53-INT(DP53))</f>
        <v>0</v>
      </c>
      <c r="DR53" s="30">
        <f t="shared" ca="1" si="19"/>
        <v>0</v>
      </c>
      <c r="DS53" s="35">
        <f ca="1">_xll.RiskBinomial(1,DR53)</f>
        <v>0</v>
      </c>
      <c r="DT53" s="88">
        <f ca="1">IF(DS53=1,_xll.RiskBinomial(1,Prob_Illness_Given_Infection),0)</f>
        <v>0</v>
      </c>
      <c r="DV53" s="87">
        <f t="shared" ca="1" si="54"/>
        <v>4.4669704440131083E-9</v>
      </c>
      <c r="DW53" s="37">
        <f ca="1">INT(DV53) + _xll.RiskBinomial(1,DV53-INT(DV53))</f>
        <v>0</v>
      </c>
      <c r="DX53" s="30">
        <f t="shared" ca="1" si="20"/>
        <v>0</v>
      </c>
      <c r="DY53" s="35">
        <f ca="1">_xll.RiskBinomial(1,DX53)</f>
        <v>0</v>
      </c>
      <c r="DZ53" s="88">
        <f ca="1">IF(DY53=1,_xll.RiskBinomial(1,Prob_Illness_Given_Infection),0)</f>
        <v>0</v>
      </c>
      <c r="EB53" s="87">
        <f t="shared" ca="1" si="55"/>
        <v>1.1209076675195228E-12</v>
      </c>
      <c r="EC53" s="37">
        <f ca="1">INT(EB53) + _xll.RiskBinomial(1,EB53-INT(EB53))</f>
        <v>0</v>
      </c>
      <c r="ED53" s="30">
        <f t="shared" ca="1" si="21"/>
        <v>0</v>
      </c>
      <c r="EE53" s="35">
        <f ca="1">_xll.RiskBinomial(1,ED53)</f>
        <v>0</v>
      </c>
      <c r="EF53" s="88">
        <f ca="1">IF(EE53=1,_xll.RiskBinomial(1,Prob_Illness_Given_Infection),0)</f>
        <v>0</v>
      </c>
      <c r="EH53" s="87">
        <f t="shared" ca="1" si="56"/>
        <v>1.1209076675183705E-12</v>
      </c>
      <c r="EI53" s="37">
        <f ca="1">INT(EH53) + _xll.RiskBinomial(1,EH53-INT(EH53))</f>
        <v>0</v>
      </c>
      <c r="EJ53" s="30">
        <f t="shared" ca="1" si="22"/>
        <v>0</v>
      </c>
      <c r="EK53" s="35">
        <f ca="1">_xll.RiskBinomial(1,EJ53)</f>
        <v>0</v>
      </c>
      <c r="EL53" s="88">
        <f ca="1">IF(EK53=1,_xll.RiskBinomial(1,Prob_Illness_Given_Infection),0)</f>
        <v>0</v>
      </c>
      <c r="EN53" s="87">
        <f t="shared" ca="1" si="57"/>
        <v>1.0227605741321628E-10</v>
      </c>
      <c r="EO53" s="37">
        <f ca="1">INT(EN53) + _xll.RiskBinomial(1,EN53-INT(EN53))</f>
        <v>0</v>
      </c>
      <c r="EP53" s="30">
        <f t="shared" ca="1" si="23"/>
        <v>0</v>
      </c>
      <c r="EQ53" s="35">
        <f ca="1">_xll.RiskBinomial(1,EP53)</f>
        <v>0</v>
      </c>
      <c r="ER53" s="88">
        <f ca="1">IF(EQ53=1,_xll.RiskBinomial(1,Prob_Illness_Given_Infection),0)</f>
        <v>0</v>
      </c>
      <c r="ET53" s="87">
        <f t="shared" ca="1" si="58"/>
        <v>1.1209076675173015E-12</v>
      </c>
      <c r="EU53" s="37">
        <f ca="1">INT(ET53) + _xll.RiskBinomial(1,ET53-INT(ET53))</f>
        <v>0</v>
      </c>
      <c r="EV53" s="30">
        <f t="shared" ca="1" si="24"/>
        <v>0</v>
      </c>
      <c r="EW53" s="35">
        <f ca="1">_xll.RiskBinomial(1,EV53)</f>
        <v>0</v>
      </c>
      <c r="EX53" s="88">
        <f ca="1">IF(EW53=1,_xll.RiskBinomial(1,Prob_Illness_Given_Infection),0)</f>
        <v>0</v>
      </c>
      <c r="EZ53" s="87">
        <f t="shared" ca="1" si="59"/>
        <v>8.4541136796103002E-6</v>
      </c>
      <c r="FA53" s="37">
        <f ca="1">INT(EZ53) + _xll.RiskBinomial(1,EZ53-INT(EZ53))</f>
        <v>0</v>
      </c>
      <c r="FB53" s="30">
        <f t="shared" ca="1" si="25"/>
        <v>0</v>
      </c>
      <c r="FC53" s="35">
        <f ca="1">_xll.RiskBinomial(1,FB53)</f>
        <v>0</v>
      </c>
      <c r="FD53" s="88">
        <f ca="1">IF(FC53=1,_xll.RiskBinomial(1,Prob_Illness_Given_Infection),0)</f>
        <v>0</v>
      </c>
      <c r="FF53" s="87">
        <f t="shared" ca="1" si="60"/>
        <v>5.8890405563651679E-5</v>
      </c>
      <c r="FG53" s="37">
        <f ca="1">INT(FF53) + _xll.RiskBinomial(1,FF53-INT(FF53))</f>
        <v>0</v>
      </c>
      <c r="FH53" s="30">
        <f t="shared" ca="1" si="26"/>
        <v>0</v>
      </c>
      <c r="FI53" s="35">
        <f ca="1">_xll.RiskBinomial(1,FH53)</f>
        <v>0</v>
      </c>
      <c r="FJ53" s="88">
        <f ca="1">IF(FI53=1,_xll.RiskBinomial(1,Prob_Illness_Given_Infection),0)</f>
        <v>0</v>
      </c>
      <c r="FL53" s="87" t="e">
        <f t="shared" ca="1" si="61"/>
        <v>#NAME?</v>
      </c>
      <c r="FM53" s="37" t="e">
        <f ca="1">INT(FL53) + _xll.RiskBinomial(1,FL53-INT(FL53))</f>
        <v>#NAME?</v>
      </c>
      <c r="FN53" s="30" t="e">
        <f t="shared" ca="1" si="27"/>
        <v>#NAME?</v>
      </c>
      <c r="FO53" s="35" t="e">
        <f ca="1">_xll.RiskBinomial(1,FN53)</f>
        <v>#VALUE!</v>
      </c>
      <c r="FP53" s="88" t="e">
        <f ca="1">IF(FO53=1,_xll.RiskBinomial(1,Prob_Illness_Given_Infection),0)</f>
        <v>#VALUE!</v>
      </c>
      <c r="FR53" s="87" t="e">
        <f t="shared" ca="1" si="62"/>
        <v>#NAME?</v>
      </c>
      <c r="FS53" s="37" t="e">
        <f ca="1">INT(FR53) + _xll.RiskBinomial(1,FR53-INT(FR53))</f>
        <v>#NAME?</v>
      </c>
      <c r="FT53" s="30" t="e">
        <f t="shared" ca="1" si="28"/>
        <v>#NAME?</v>
      </c>
      <c r="FU53" s="35" t="e">
        <f ca="1">_xll.RiskBinomial(1,FT53)</f>
        <v>#VALUE!</v>
      </c>
      <c r="FV53" s="88" t="e">
        <f ca="1">IF(FU53=1,_xll.RiskBinomial(1,Prob_Illness_Given_Infection),0)</f>
        <v>#VALUE!</v>
      </c>
      <c r="FX53" s="87">
        <f t="shared" ca="1" si="63"/>
        <v>1.1834173875060569E-7</v>
      </c>
      <c r="FY53" s="37">
        <f ca="1">INT(FX53) + _xll.RiskBinomial(1,FX53-INT(FX53))</f>
        <v>0</v>
      </c>
      <c r="FZ53" s="30">
        <f t="shared" ca="1" si="29"/>
        <v>0</v>
      </c>
      <c r="GA53" s="35">
        <f ca="1">_xll.RiskBinomial(1,FZ53)</f>
        <v>0</v>
      </c>
      <c r="GB53" s="88">
        <f ca="1">IF(GA53=1,_xll.RiskBinomial(1,Prob_Illness_Given_Infection),0)</f>
        <v>0</v>
      </c>
      <c r="GD53" s="87" t="e">
        <f t="shared" ca="1" si="64"/>
        <v>#NAME?</v>
      </c>
      <c r="GE53" s="37" t="e">
        <f ca="1">INT(GD53) + _xll.RiskBinomial(1,GD53-INT(GD53))</f>
        <v>#NAME?</v>
      </c>
      <c r="GF53" s="30" t="e">
        <f t="shared" ca="1" si="30"/>
        <v>#NAME?</v>
      </c>
      <c r="GG53" s="35" t="e">
        <f ca="1">_xll.RiskBinomial(1,GF53)</f>
        <v>#VALUE!</v>
      </c>
      <c r="GH53" s="88" t="e">
        <f ca="1">IF(GG53=1,_xll.RiskBinomial(1,Prob_Illness_Given_Infection),0)</f>
        <v>#VALUE!</v>
      </c>
      <c r="GJ53" s="87" t="e">
        <f t="shared" ca="1" si="65"/>
        <v>#NAME?</v>
      </c>
      <c r="GK53" s="37" t="e">
        <f ca="1">INT(GJ53) + _xll.RiskBinomial(1,GJ53-INT(GJ53))</f>
        <v>#NAME?</v>
      </c>
      <c r="GL53" s="30" t="e">
        <f t="shared" ca="1" si="31"/>
        <v>#NAME?</v>
      </c>
      <c r="GM53" s="35" t="e">
        <f ca="1">_xll.RiskBinomial(1,GL53)</f>
        <v>#VALUE!</v>
      </c>
      <c r="GN53" s="88" t="e">
        <f ca="1">IF(GM53=1,_xll.RiskBinomial(1,Prob_Illness_Given_Infection),0)</f>
        <v>#VALUE!</v>
      </c>
      <c r="GP53" s="87" t="e">
        <f t="shared" ca="1" si="66"/>
        <v>#NAME?</v>
      </c>
      <c r="GQ53" s="37" t="e">
        <f ca="1">INT(GP53) + _xll.RiskBinomial(1,GP53-INT(GP53))</f>
        <v>#NAME?</v>
      </c>
      <c r="GR53" s="30" t="e">
        <f t="shared" ca="1" si="32"/>
        <v>#NAME?</v>
      </c>
      <c r="GS53" s="35" t="e">
        <f ca="1">_xll.RiskBinomial(1,GR53)</f>
        <v>#VALUE!</v>
      </c>
      <c r="GT53" s="88" t="e">
        <f ca="1">IF(GS53=1,_xll.RiskBinomial(1,Prob_Illness_Given_Infection),0)</f>
        <v>#VALUE!</v>
      </c>
    </row>
    <row r="54" spans="2:202">
      <c r="B54" s="108">
        <v>46</v>
      </c>
      <c r="C54" s="87">
        <f ca="1">_xll.RiskLoglogistic(LogLogistic_gamma, LogLogistic_beta, LogLogistic_alpha, _xll.RiskTruncate(5,800))</f>
        <v>19.205145413011209</v>
      </c>
      <c r="D54" s="38">
        <f t="shared" ca="1" si="67"/>
        <v>1.2337699864800731</v>
      </c>
      <c r="E54" s="30"/>
      <c r="F54" s="87">
        <f t="shared" ca="1" si="34"/>
        <v>4.4543931790255843E-10</v>
      </c>
      <c r="G54" s="37">
        <f ca="1">INT(F54) + _xll.RiskBinomial(1,F54-INT(F54))</f>
        <v>0</v>
      </c>
      <c r="H54" s="30">
        <f t="shared" ca="1" si="68"/>
        <v>0</v>
      </c>
      <c r="I54" s="35">
        <f ca="1">_xll.RiskBinomial(1,H54)</f>
        <v>0</v>
      </c>
      <c r="J54" s="88">
        <f ca="1">IF(I54=1,_xll.RiskBinomial(1,Prob_Illness_Given_Infection),0)</f>
        <v>0</v>
      </c>
      <c r="K54" s="30"/>
      <c r="L54" s="87">
        <f t="shared" ca="1" si="35"/>
        <v>2.2751879710375583E-5</v>
      </c>
      <c r="M54" s="37">
        <f ca="1">INT(L54) + _xll.RiskBinomial(1,L54-INT(L54))</f>
        <v>0</v>
      </c>
      <c r="N54" s="30">
        <f t="shared" ca="1" si="1"/>
        <v>0</v>
      </c>
      <c r="O54" s="35">
        <f ca="1">_xll.RiskBinomial(1,N54)</f>
        <v>0</v>
      </c>
      <c r="P54" s="88">
        <f ca="1">IF(O54=1,_xll.RiskBinomial(1,Prob_Illness_Given_Infection),0)</f>
        <v>0</v>
      </c>
      <c r="Q54" s="30"/>
      <c r="R54" s="87">
        <f t="shared" ca="1" si="36"/>
        <v>2.3519931155265311E-6</v>
      </c>
      <c r="S54" s="37">
        <f ca="1">INT(R54) + _xll.RiskBinomial(1,R54-INT(R54))</f>
        <v>0</v>
      </c>
      <c r="T54" s="30">
        <f t="shared" ca="1" si="2"/>
        <v>0</v>
      </c>
      <c r="U54" s="35">
        <f ca="1">_xll.RiskBinomial(1,T54)</f>
        <v>0</v>
      </c>
      <c r="V54" s="88">
        <f ca="1">IF(U54=1,_xll.RiskBinomial(1,Prob_Illness_Given_Infection),0)</f>
        <v>0</v>
      </c>
      <c r="W54" s="30"/>
      <c r="X54" s="87">
        <f t="shared" ca="1" si="37"/>
        <v>9.6626005100317701E-13</v>
      </c>
      <c r="Y54" s="37">
        <f ca="1">INT(X54) + _xll.RiskBinomial(1,X54-INT(X54))</f>
        <v>0</v>
      </c>
      <c r="Z54" s="30">
        <f t="shared" ca="1" si="3"/>
        <v>0</v>
      </c>
      <c r="AA54" s="35">
        <f ca="1">_xll.RiskBinomial(1,Z54)</f>
        <v>0</v>
      </c>
      <c r="AB54" s="88">
        <f ca="1">IF(AA54=1,_xll.RiskBinomial(1,Prob_Illness_Given_Infection),0)</f>
        <v>0</v>
      </c>
      <c r="AC54" s="30"/>
      <c r="AD54" s="87">
        <f t="shared" ca="1" si="38"/>
        <v>4.8681892667023995E-13</v>
      </c>
      <c r="AE54" s="37">
        <f ca="1">INT(AD54) + _xll.RiskBinomial(1,AD54-INT(AD54))</f>
        <v>0</v>
      </c>
      <c r="AF54" s="30">
        <f t="shared" ca="1" si="4"/>
        <v>0</v>
      </c>
      <c r="AG54" s="35">
        <f ca="1">_xll.RiskBinomial(1,AF54)</f>
        <v>0</v>
      </c>
      <c r="AH54" s="88">
        <f ca="1">IF(AG54=1,_xll.RiskBinomial(1,Prob_Illness_Given_Infection),0)</f>
        <v>0</v>
      </c>
      <c r="AI54" s="30"/>
      <c r="AJ54" s="87">
        <f t="shared" ca="1" si="39"/>
        <v>2.2596880010680221E-5</v>
      </c>
      <c r="AK54" s="37">
        <f ca="1">INT(AJ54) + _xll.RiskBinomial(1,AJ54-INT(AJ54))</f>
        <v>0</v>
      </c>
      <c r="AL54" s="30">
        <f t="shared" ca="1" si="5"/>
        <v>0</v>
      </c>
      <c r="AM54" s="35">
        <f ca="1">_xll.RiskBinomial(1,AL54)</f>
        <v>0</v>
      </c>
      <c r="AN54" s="88">
        <f ca="1">IF(AM54=1,_xll.RiskBinomial(1,Prob_Illness_Given_Infection),0)</f>
        <v>0</v>
      </c>
      <c r="AO54" s="30"/>
      <c r="AP54" s="87">
        <f t="shared" ca="1" si="40"/>
        <v>5.495342862821185E-10</v>
      </c>
      <c r="AQ54" s="37">
        <f ca="1">INT(AP54) + _xll.RiskBinomial(1,AP54-INT(AP54))</f>
        <v>0</v>
      </c>
      <c r="AR54" s="30">
        <f t="shared" ca="1" si="6"/>
        <v>0</v>
      </c>
      <c r="AS54" s="35">
        <f ca="1">_xll.RiskBinomial(1,AR54)</f>
        <v>0</v>
      </c>
      <c r="AT54" s="88">
        <f ca="1">IF(AS54=1,_xll.RiskBinomial(1,Prob_Illness_Given_Infection),0)</f>
        <v>0</v>
      </c>
      <c r="AU54" s="30"/>
      <c r="AV54" s="87">
        <f t="shared" ca="1" si="41"/>
        <v>1.274890936186926E-5</v>
      </c>
      <c r="AW54" s="37">
        <f ca="1">INT(AV54) + _xll.RiskBinomial(1,AV54-INT(AV54))</f>
        <v>0</v>
      </c>
      <c r="AX54" s="30">
        <f t="shared" ca="1" si="7"/>
        <v>0</v>
      </c>
      <c r="AY54" s="35">
        <f ca="1">_xll.RiskBinomial(1,AX54)</f>
        <v>0</v>
      </c>
      <c r="AZ54" s="88">
        <f ca="1">IF(AY54=1,_xll.RiskBinomial(1,Prob_Illness_Given_Infection),0)</f>
        <v>0</v>
      </c>
      <c r="BB54" s="87">
        <f t="shared" ca="1" si="42"/>
        <v>1.7498004034634041E-5</v>
      </c>
      <c r="BC54" s="37">
        <f ca="1">INT(BB54) + _xll.RiskBinomial(1,BB54-INT(BB54))</f>
        <v>0</v>
      </c>
      <c r="BD54" s="30">
        <f t="shared" ca="1" si="8"/>
        <v>0</v>
      </c>
      <c r="BE54" s="35">
        <f ca="1">_xll.RiskBinomial(1,BD54)</f>
        <v>0</v>
      </c>
      <c r="BF54" s="88">
        <f ca="1">IF(BE54=1,_xll.RiskBinomial(1,Prob_Illness_Given_Infection),0)</f>
        <v>0</v>
      </c>
      <c r="BH54" s="87">
        <f t="shared" ca="1" si="43"/>
        <v>2.2153724941893434E-5</v>
      </c>
      <c r="BI54" s="37">
        <f ca="1">INT(BH54) + _xll.RiskBinomial(1,BH54-INT(BH54))</f>
        <v>0</v>
      </c>
      <c r="BJ54" s="30">
        <f t="shared" ca="1" si="9"/>
        <v>0</v>
      </c>
      <c r="BK54" s="35">
        <f ca="1">_xll.RiskBinomial(1,BJ54)</f>
        <v>0</v>
      </c>
      <c r="BL54" s="88">
        <f ca="1">IF(BK54=1,_xll.RiskBinomial(1,Prob_Illness_Given_Infection),0)</f>
        <v>0</v>
      </c>
      <c r="BN54" s="87">
        <f t="shared" ca="1" si="44"/>
        <v>1.6860247879533136E-6</v>
      </c>
      <c r="BO54" s="37">
        <f ca="1">INT(BN54) + _xll.RiskBinomial(1,BN54-INT(BN54))</f>
        <v>0</v>
      </c>
      <c r="BP54" s="30">
        <f t="shared" ca="1" si="10"/>
        <v>0</v>
      </c>
      <c r="BQ54" s="35">
        <f ca="1">_xll.RiskBinomial(1,BP54)</f>
        <v>0</v>
      </c>
      <c r="BR54" s="88">
        <f ca="1">IF(BQ54=1,_xll.RiskBinomial(1,Prob_Illness_Given_Infection),0)</f>
        <v>0</v>
      </c>
      <c r="BT54" s="87">
        <f t="shared" ca="1" si="45"/>
        <v>5.0698587129362438E-6</v>
      </c>
      <c r="BU54" s="37">
        <f ca="1">INT(BT54) + _xll.RiskBinomial(1,BT54-INT(BT54))</f>
        <v>0</v>
      </c>
      <c r="BV54" s="30">
        <f t="shared" ca="1" si="11"/>
        <v>0</v>
      </c>
      <c r="BW54" s="35">
        <f ca="1">_xll.RiskBinomial(1,BV54)</f>
        <v>0</v>
      </c>
      <c r="BX54" s="88">
        <f ca="1">IF(BW54=1,_xll.RiskBinomial(1,Prob_Illness_Given_Infection),0)</f>
        <v>0</v>
      </c>
      <c r="BZ54" s="87">
        <f t="shared" ca="1" si="46"/>
        <v>1.3898191736863865E-5</v>
      </c>
      <c r="CA54" s="37">
        <f ca="1">INT(BZ54) + _xll.RiskBinomial(1,BZ54-INT(BZ54))</f>
        <v>0</v>
      </c>
      <c r="CB54" s="30">
        <f t="shared" ca="1" si="12"/>
        <v>0</v>
      </c>
      <c r="CC54" s="35">
        <f ca="1">_xll.RiskBinomial(1,CB54)</f>
        <v>0</v>
      </c>
      <c r="CD54" s="88">
        <f ca="1">IF(CC54=1,_xll.RiskBinomial(1,Prob_Illness_Given_Infection),0)</f>
        <v>0</v>
      </c>
      <c r="CF54" s="87">
        <f t="shared" ca="1" si="47"/>
        <v>2.6370427718533689E-6</v>
      </c>
      <c r="CG54" s="37">
        <f ca="1">INT(CF54) + _xll.RiskBinomial(1,CF54-INT(CF54))</f>
        <v>0</v>
      </c>
      <c r="CH54" s="30">
        <f t="shared" ca="1" si="13"/>
        <v>0</v>
      </c>
      <c r="CI54" s="35">
        <f ca="1">_xll.RiskBinomial(1,CH54)</f>
        <v>0</v>
      </c>
      <c r="CJ54" s="88">
        <f ca="1">IF(CI54=1,_xll.RiskBinomial(1,Prob_Illness_Given_Infection),0)</f>
        <v>0</v>
      </c>
      <c r="CL54" s="87">
        <f t="shared" ca="1" si="48"/>
        <v>5.0887542947203735E-6</v>
      </c>
      <c r="CM54" s="37">
        <f ca="1">INT(CL54) + _xll.RiskBinomial(1,CL54-INT(CL54))</f>
        <v>0</v>
      </c>
      <c r="CN54" s="30">
        <f t="shared" ca="1" si="14"/>
        <v>0</v>
      </c>
      <c r="CO54" s="35">
        <f ca="1">_xll.RiskBinomial(1,CN54)</f>
        <v>0</v>
      </c>
      <c r="CP54" s="88">
        <f ca="1">IF(CO54=1,_xll.RiskBinomial(1,Prob_Illness_Given_Infection),0)</f>
        <v>0</v>
      </c>
      <c r="CR54" s="87">
        <f t="shared" ca="1" si="49"/>
        <v>3.5070154390894626E-8</v>
      </c>
      <c r="CS54" s="37">
        <f ca="1">INT(CR54) + _xll.RiskBinomial(1,CR54-INT(CR54))</f>
        <v>0</v>
      </c>
      <c r="CT54" s="30">
        <f t="shared" ca="1" si="15"/>
        <v>0</v>
      </c>
      <c r="CU54" s="35">
        <f ca="1">_xll.RiskBinomial(1,CT54)</f>
        <v>0</v>
      </c>
      <c r="CV54" s="88">
        <f ca="1">IF(CU54=1,_xll.RiskBinomial(1,Prob_Illness_Given_Infection),0)</f>
        <v>0</v>
      </c>
      <c r="CX54" s="87">
        <f t="shared" ca="1" si="50"/>
        <v>3.5701018480299726E-10</v>
      </c>
      <c r="CY54" s="37">
        <f ca="1">INT(CX54) + _xll.RiskBinomial(1,CX54-INT(CX54))</f>
        <v>0</v>
      </c>
      <c r="CZ54" s="30">
        <f t="shared" ca="1" si="16"/>
        <v>0</v>
      </c>
      <c r="DA54" s="35">
        <f ca="1">_xll.RiskBinomial(1,CZ54)</f>
        <v>0</v>
      </c>
      <c r="DB54" s="88">
        <f ca="1">IF(DA54=1,_xll.RiskBinomial(1,Prob_Illness_Given_Infection),0)</f>
        <v>0</v>
      </c>
      <c r="DD54" s="87">
        <f t="shared" ca="1" si="51"/>
        <v>3.5701018480299726E-10</v>
      </c>
      <c r="DE54" s="37">
        <f ca="1">INT(DD54) + _xll.RiskBinomial(1,DD54-INT(DD54))</f>
        <v>0</v>
      </c>
      <c r="DF54" s="30">
        <f t="shared" ca="1" si="17"/>
        <v>0</v>
      </c>
      <c r="DG54" s="35">
        <f ca="1">_xll.RiskBinomial(1,DF54)</f>
        <v>0</v>
      </c>
      <c r="DH54" s="88">
        <f ca="1">IF(DG54=1,_xll.RiskBinomial(1,Prob_Illness_Given_Infection),0)</f>
        <v>0</v>
      </c>
      <c r="DJ54" s="87">
        <f t="shared" ca="1" si="52"/>
        <v>5.8294809559429371E-7</v>
      </c>
      <c r="DK54" s="37">
        <f ca="1">INT(DJ54) + _xll.RiskBinomial(1,DJ54-INT(DJ54))</f>
        <v>0</v>
      </c>
      <c r="DL54" s="30">
        <f t="shared" ca="1" si="18"/>
        <v>0</v>
      </c>
      <c r="DM54" s="35">
        <f ca="1">_xll.RiskBinomial(1,DL54)</f>
        <v>0</v>
      </c>
      <c r="DN54" s="88">
        <f ca="1">IF(DM54=1,_xll.RiskBinomial(1,Prob_Illness_Given_Infection),0)</f>
        <v>0</v>
      </c>
      <c r="DP54" s="87">
        <f t="shared" ca="1" si="53"/>
        <v>1.3780592539472382E-10</v>
      </c>
      <c r="DQ54" s="37">
        <f ca="1">INT(DP54) + _xll.RiskBinomial(1,DP54-INT(DP54))</f>
        <v>0</v>
      </c>
      <c r="DR54" s="30">
        <f t="shared" ca="1" si="19"/>
        <v>0</v>
      </c>
      <c r="DS54" s="35">
        <f ca="1">_xll.RiskBinomial(1,DR54)</f>
        <v>0</v>
      </c>
      <c r="DT54" s="88">
        <f ca="1">IF(DS54=1,_xll.RiskBinomial(1,Prob_Illness_Given_Infection),0)</f>
        <v>0</v>
      </c>
      <c r="DV54" s="87">
        <f t="shared" ca="1" si="54"/>
        <v>1.9400400407944764E-9</v>
      </c>
      <c r="DW54" s="37">
        <f ca="1">INT(DV54) + _xll.RiskBinomial(1,DV54-INT(DV54))</f>
        <v>0</v>
      </c>
      <c r="DX54" s="30">
        <f t="shared" ca="1" si="20"/>
        <v>0</v>
      </c>
      <c r="DY54" s="35">
        <f ca="1">_xll.RiskBinomial(1,DX54)</f>
        <v>0</v>
      </c>
      <c r="DZ54" s="88">
        <f ca="1">IF(DY54=1,_xll.RiskBinomial(1,Prob_Illness_Given_Infection),0)</f>
        <v>0</v>
      </c>
      <c r="EB54" s="87">
        <f t="shared" ca="1" si="55"/>
        <v>4.8681892667007647E-13</v>
      </c>
      <c r="EC54" s="37">
        <f ca="1">INT(EB54) + _xll.RiskBinomial(1,EB54-INT(EB54))</f>
        <v>0</v>
      </c>
      <c r="ED54" s="30">
        <f t="shared" ca="1" si="21"/>
        <v>0</v>
      </c>
      <c r="EE54" s="35">
        <f ca="1">_xll.RiskBinomial(1,ED54)</f>
        <v>0</v>
      </c>
      <c r="EF54" s="88">
        <f ca="1">IF(EE54=1,_xll.RiskBinomial(1,Prob_Illness_Given_Infection),0)</f>
        <v>0</v>
      </c>
      <c r="EH54" s="87">
        <f t="shared" ca="1" si="56"/>
        <v>4.8681892666957604E-13</v>
      </c>
      <c r="EI54" s="37">
        <f ca="1">INT(EH54) + _xll.RiskBinomial(1,EH54-INT(EH54))</f>
        <v>0</v>
      </c>
      <c r="EJ54" s="30">
        <f t="shared" ca="1" si="22"/>
        <v>0</v>
      </c>
      <c r="EK54" s="35">
        <f ca="1">_xll.RiskBinomial(1,EJ54)</f>
        <v>0</v>
      </c>
      <c r="EL54" s="88">
        <f ca="1">IF(EK54=1,_xll.RiskBinomial(1,Prob_Illness_Given_Infection),0)</f>
        <v>0</v>
      </c>
      <c r="EN54" s="87">
        <f t="shared" ca="1" si="57"/>
        <v>4.4419287990178616E-11</v>
      </c>
      <c r="EO54" s="37">
        <f ca="1">INT(EN54) + _xll.RiskBinomial(1,EN54-INT(EN54))</f>
        <v>0</v>
      </c>
      <c r="EP54" s="30">
        <f t="shared" ca="1" si="23"/>
        <v>0</v>
      </c>
      <c r="EQ54" s="35">
        <f ca="1">_xll.RiskBinomial(1,EP54)</f>
        <v>0</v>
      </c>
      <c r="ER54" s="88">
        <f ca="1">IF(EQ54=1,_xll.RiskBinomial(1,Prob_Illness_Given_Infection),0)</f>
        <v>0</v>
      </c>
      <c r="ET54" s="87">
        <f t="shared" ca="1" si="58"/>
        <v>4.8681892666911176E-13</v>
      </c>
      <c r="EU54" s="37">
        <f ca="1">INT(ET54) + _xll.RiskBinomial(1,ET54-INT(ET54))</f>
        <v>0</v>
      </c>
      <c r="EV54" s="30">
        <f t="shared" ca="1" si="24"/>
        <v>0</v>
      </c>
      <c r="EW54" s="35">
        <f ca="1">_xll.RiskBinomial(1,EV54)</f>
        <v>0</v>
      </c>
      <c r="EX54" s="88">
        <f ca="1">IF(EW54=1,_xll.RiskBinomial(1,Prob_Illness_Given_Infection),0)</f>
        <v>0</v>
      </c>
      <c r="EZ54" s="87">
        <f t="shared" ca="1" si="59"/>
        <v>3.6716873893478076E-6</v>
      </c>
      <c r="FA54" s="37">
        <f ca="1">INT(EZ54) + _xll.RiskBinomial(1,EZ54-INT(EZ54))</f>
        <v>0</v>
      </c>
      <c r="FB54" s="30">
        <f t="shared" ca="1" si="25"/>
        <v>0</v>
      </c>
      <c r="FC54" s="35">
        <f ca="1">_xll.RiskBinomial(1,FB54)</f>
        <v>0</v>
      </c>
      <c r="FD54" s="88">
        <f ca="1">IF(FC54=1,_xll.RiskBinomial(1,Prob_Illness_Given_Infection),0)</f>
        <v>0</v>
      </c>
      <c r="FF54" s="87">
        <f t="shared" ca="1" si="60"/>
        <v>2.5576561619124694E-5</v>
      </c>
      <c r="FG54" s="37">
        <f ca="1">INT(FF54) + _xll.RiskBinomial(1,FF54-INT(FF54))</f>
        <v>0</v>
      </c>
      <c r="FH54" s="30">
        <f t="shared" ca="1" si="26"/>
        <v>0</v>
      </c>
      <c r="FI54" s="35">
        <f ca="1">_xll.RiskBinomial(1,FH54)</f>
        <v>0</v>
      </c>
      <c r="FJ54" s="88">
        <f ca="1">IF(FI54=1,_xll.RiskBinomial(1,Prob_Illness_Given_Infection),0)</f>
        <v>0</v>
      </c>
      <c r="FL54" s="87" t="e">
        <f t="shared" ca="1" si="61"/>
        <v>#NAME?</v>
      </c>
      <c r="FM54" s="37" t="e">
        <f ca="1">INT(FL54) + _xll.RiskBinomial(1,FL54-INT(FL54))</f>
        <v>#NAME?</v>
      </c>
      <c r="FN54" s="30" t="e">
        <f t="shared" ca="1" si="27"/>
        <v>#NAME?</v>
      </c>
      <c r="FO54" s="35" t="e">
        <f ca="1">_xll.RiskBinomial(1,FN54)</f>
        <v>#VALUE!</v>
      </c>
      <c r="FP54" s="88" t="e">
        <f ca="1">IF(FO54=1,_xll.RiskBinomial(1,Prob_Illness_Given_Infection),0)</f>
        <v>#VALUE!</v>
      </c>
      <c r="FR54" s="87" t="e">
        <f t="shared" ca="1" si="62"/>
        <v>#NAME?</v>
      </c>
      <c r="FS54" s="37" t="e">
        <f ca="1">INT(FR54) + _xll.RiskBinomial(1,FR54-INT(FR54))</f>
        <v>#NAME?</v>
      </c>
      <c r="FT54" s="30" t="e">
        <f t="shared" ca="1" si="28"/>
        <v>#NAME?</v>
      </c>
      <c r="FU54" s="35" t="e">
        <f ca="1">_xll.RiskBinomial(1,FT54)</f>
        <v>#VALUE!</v>
      </c>
      <c r="FV54" s="88" t="e">
        <f ca="1">IF(FU54=1,_xll.RiskBinomial(1,Prob_Illness_Given_Infection),0)</f>
        <v>#VALUE!</v>
      </c>
      <c r="FX54" s="87">
        <f t="shared" ca="1" si="63"/>
        <v>5.1396738472071383E-8</v>
      </c>
      <c r="FY54" s="37">
        <f ca="1">INT(FX54) + _xll.RiskBinomial(1,FX54-INT(FX54))</f>
        <v>0</v>
      </c>
      <c r="FZ54" s="30">
        <f t="shared" ca="1" si="29"/>
        <v>0</v>
      </c>
      <c r="GA54" s="35">
        <f ca="1">_xll.RiskBinomial(1,FZ54)</f>
        <v>0</v>
      </c>
      <c r="GB54" s="88">
        <f ca="1">IF(GA54=1,_xll.RiskBinomial(1,Prob_Illness_Given_Infection),0)</f>
        <v>0</v>
      </c>
      <c r="GD54" s="87" t="e">
        <f t="shared" ca="1" si="64"/>
        <v>#NAME?</v>
      </c>
      <c r="GE54" s="37" t="e">
        <f ca="1">INT(GD54) + _xll.RiskBinomial(1,GD54-INT(GD54))</f>
        <v>#NAME?</v>
      </c>
      <c r="GF54" s="30" t="e">
        <f t="shared" ca="1" si="30"/>
        <v>#NAME?</v>
      </c>
      <c r="GG54" s="35" t="e">
        <f ca="1">_xll.RiskBinomial(1,GF54)</f>
        <v>#VALUE!</v>
      </c>
      <c r="GH54" s="88" t="e">
        <f ca="1">IF(GG54=1,_xll.RiskBinomial(1,Prob_Illness_Given_Infection),0)</f>
        <v>#VALUE!</v>
      </c>
      <c r="GJ54" s="87" t="e">
        <f t="shared" ca="1" si="65"/>
        <v>#NAME?</v>
      </c>
      <c r="GK54" s="37" t="e">
        <f ca="1">INT(GJ54) + _xll.RiskBinomial(1,GJ54-INT(GJ54))</f>
        <v>#NAME?</v>
      </c>
      <c r="GL54" s="30" t="e">
        <f t="shared" ca="1" si="31"/>
        <v>#NAME?</v>
      </c>
      <c r="GM54" s="35" t="e">
        <f ca="1">_xll.RiskBinomial(1,GL54)</f>
        <v>#VALUE!</v>
      </c>
      <c r="GN54" s="88" t="e">
        <f ca="1">IF(GM54=1,_xll.RiskBinomial(1,Prob_Illness_Given_Infection),0)</f>
        <v>#VALUE!</v>
      </c>
      <c r="GP54" s="87" t="e">
        <f t="shared" ca="1" si="66"/>
        <v>#NAME?</v>
      </c>
      <c r="GQ54" s="37" t="e">
        <f ca="1">INT(GP54) + _xll.RiskBinomial(1,GP54-INT(GP54))</f>
        <v>#NAME?</v>
      </c>
      <c r="GR54" s="30" t="e">
        <f t="shared" ca="1" si="32"/>
        <v>#NAME?</v>
      </c>
      <c r="GS54" s="35" t="e">
        <f ca="1">_xll.RiskBinomial(1,GR54)</f>
        <v>#VALUE!</v>
      </c>
      <c r="GT54" s="88" t="e">
        <f ca="1">IF(GS54=1,_xll.RiskBinomial(1,Prob_Illness_Given_Infection),0)</f>
        <v>#VALUE!</v>
      </c>
    </row>
    <row r="55" spans="2:202">
      <c r="B55" s="108">
        <v>47</v>
      </c>
      <c r="C55" s="87">
        <f ca="1">_xll.RiskLoglogistic(LogLogistic_gamma, LogLogistic_beta, LogLogistic_alpha, _xll.RiskTruncate(5,800))</f>
        <v>147.96092848200266</v>
      </c>
      <c r="D55" s="38">
        <f t="shared" ca="1" si="67"/>
        <v>9.5052523064545333</v>
      </c>
      <c r="E55" s="30"/>
      <c r="F55" s="87">
        <f t="shared" ca="1" si="34"/>
        <v>3.4317686037722496E-9</v>
      </c>
      <c r="G55" s="37">
        <f ca="1">INT(F55) + _xll.RiskBinomial(1,F55-INT(F55))</f>
        <v>0</v>
      </c>
      <c r="H55" s="30">
        <f t="shared" ca="1" si="68"/>
        <v>0</v>
      </c>
      <c r="I55" s="35">
        <f ca="1">_xll.RiskBinomial(1,H55)</f>
        <v>0</v>
      </c>
      <c r="J55" s="88">
        <f ca="1">IF(I55=1,_xll.RiskBinomial(1,Prob_Illness_Given_Infection),0)</f>
        <v>0</v>
      </c>
      <c r="K55" s="30"/>
      <c r="L55" s="87">
        <f t="shared" ca="1" si="35"/>
        <v>1.7528579837658136E-4</v>
      </c>
      <c r="M55" s="37">
        <f ca="1">INT(L55) + _xll.RiskBinomial(1,L55-INT(L55))</f>
        <v>0</v>
      </c>
      <c r="N55" s="30">
        <f t="shared" ca="1" si="1"/>
        <v>0</v>
      </c>
      <c r="O55" s="35">
        <f ca="1">_xll.RiskBinomial(1,N55)</f>
        <v>0</v>
      </c>
      <c r="P55" s="88">
        <f ca="1">IF(O55=1,_xll.RiskBinomial(1,Prob_Illness_Given_Infection),0)</f>
        <v>0</v>
      </c>
      <c r="Q55" s="30"/>
      <c r="R55" s="87">
        <f t="shared" ca="1" si="36"/>
        <v>1.8120304620074194E-5</v>
      </c>
      <c r="S55" s="37">
        <f ca="1">INT(R55) + _xll.RiskBinomial(1,R55-INT(R55))</f>
        <v>0</v>
      </c>
      <c r="T55" s="30">
        <f t="shared" ca="1" si="2"/>
        <v>0</v>
      </c>
      <c r="U55" s="35">
        <f ca="1">_xll.RiskBinomial(1,T55)</f>
        <v>0</v>
      </c>
      <c r="V55" s="88">
        <f ca="1">IF(U55=1,_xll.RiskBinomial(1,Prob_Illness_Given_Infection),0)</f>
        <v>0</v>
      </c>
      <c r="W55" s="30"/>
      <c r="X55" s="87">
        <f t="shared" ca="1" si="37"/>
        <v>7.4442932467794844E-12</v>
      </c>
      <c r="Y55" s="37">
        <f ca="1">INT(X55) + _xll.RiskBinomial(1,X55-INT(X55))</f>
        <v>0</v>
      </c>
      <c r="Z55" s="30">
        <f t="shared" ca="1" si="3"/>
        <v>0</v>
      </c>
      <c r="AA55" s="35">
        <f ca="1">_xll.RiskBinomial(1,Z55)</f>
        <v>0</v>
      </c>
      <c r="AB55" s="88">
        <f ca="1">IF(AA55=1,_xll.RiskBinomial(1,Prob_Illness_Given_Infection),0)</f>
        <v>0</v>
      </c>
      <c r="AC55" s="30"/>
      <c r="AD55" s="87">
        <f t="shared" ca="1" si="38"/>
        <v>3.750566780084949E-12</v>
      </c>
      <c r="AE55" s="37">
        <f ca="1">INT(AD55) + _xll.RiskBinomial(1,AD55-INT(AD55))</f>
        <v>0</v>
      </c>
      <c r="AF55" s="30">
        <f t="shared" ca="1" si="4"/>
        <v>0</v>
      </c>
      <c r="AG55" s="35">
        <f ca="1">_xll.RiskBinomial(1,AF55)</f>
        <v>0</v>
      </c>
      <c r="AH55" s="88">
        <f ca="1">IF(AG55=1,_xll.RiskBinomial(1,Prob_Illness_Given_Infection),0)</f>
        <v>0</v>
      </c>
      <c r="AI55" s="30"/>
      <c r="AJ55" s="87">
        <f t="shared" ca="1" si="39"/>
        <v>1.740916444668786E-4</v>
      </c>
      <c r="AK55" s="37">
        <f ca="1">INT(AJ55) + _xll.RiskBinomial(1,AJ55-INT(AJ55))</f>
        <v>0</v>
      </c>
      <c r="AL55" s="30">
        <f t="shared" ca="1" si="5"/>
        <v>0</v>
      </c>
      <c r="AM55" s="35">
        <f ca="1">_xll.RiskBinomial(1,AL55)</f>
        <v>0</v>
      </c>
      <c r="AN55" s="88">
        <f ca="1">IF(AM55=1,_xll.RiskBinomial(1,Prob_Illness_Given_Infection),0)</f>
        <v>0</v>
      </c>
      <c r="AO55" s="30"/>
      <c r="AP55" s="87">
        <f t="shared" ca="1" si="40"/>
        <v>4.2337405670415196E-9</v>
      </c>
      <c r="AQ55" s="37">
        <f ca="1">INT(AP55) + _xll.RiskBinomial(1,AP55-INT(AP55))</f>
        <v>0</v>
      </c>
      <c r="AR55" s="30">
        <f t="shared" ca="1" si="6"/>
        <v>0</v>
      </c>
      <c r="AS55" s="35">
        <f ca="1">_xll.RiskBinomial(1,AR55)</f>
        <v>0</v>
      </c>
      <c r="AT55" s="88">
        <f ca="1">IF(AS55=1,_xll.RiskBinomial(1,Prob_Illness_Given_Infection),0)</f>
        <v>0</v>
      </c>
      <c r="AU55" s="30"/>
      <c r="AV55" s="87">
        <f t="shared" ca="1" si="41"/>
        <v>9.8220577129142875E-5</v>
      </c>
      <c r="AW55" s="37">
        <f ca="1">INT(AV55) + _xll.RiskBinomial(1,AV55-INT(AV55))</f>
        <v>0</v>
      </c>
      <c r="AX55" s="30">
        <f t="shared" ca="1" si="7"/>
        <v>0</v>
      </c>
      <c r="AY55" s="35">
        <f ca="1">_xll.RiskBinomial(1,AX55)</f>
        <v>0</v>
      </c>
      <c r="AZ55" s="88">
        <f ca="1">IF(AY55=1,_xll.RiskBinomial(1,Prob_Illness_Given_Infection),0)</f>
        <v>0</v>
      </c>
      <c r="BB55" s="87">
        <f t="shared" ca="1" si="42"/>
        <v>1.3480871234602875E-4</v>
      </c>
      <c r="BC55" s="37">
        <f ca="1">INT(BB55) + _xll.RiskBinomial(1,BB55-INT(BB55))</f>
        <v>0</v>
      </c>
      <c r="BD55" s="30">
        <f t="shared" ca="1" si="8"/>
        <v>0</v>
      </c>
      <c r="BE55" s="35">
        <f ca="1">_xll.RiskBinomial(1,BD55)</f>
        <v>0</v>
      </c>
      <c r="BF55" s="88">
        <f ca="1">IF(BE55=1,_xll.RiskBinomial(1,Prob_Illness_Given_Infection),0)</f>
        <v>0</v>
      </c>
      <c r="BH55" s="87">
        <f t="shared" ca="1" si="43"/>
        <v>1.7067747425212061E-4</v>
      </c>
      <c r="BI55" s="37">
        <f ca="1">INT(BH55) + _xll.RiskBinomial(1,BH55-INT(BH55))</f>
        <v>0</v>
      </c>
      <c r="BJ55" s="30">
        <f t="shared" ca="1" si="9"/>
        <v>0</v>
      </c>
      <c r="BK55" s="35">
        <f ca="1">_xll.RiskBinomial(1,BJ55)</f>
        <v>0</v>
      </c>
      <c r="BL55" s="88">
        <f ca="1">IF(BK55=1,_xll.RiskBinomial(1,Prob_Illness_Given_Infection),0)</f>
        <v>0</v>
      </c>
      <c r="BN55" s="87">
        <f t="shared" ca="1" si="44"/>
        <v>1.2989528988425909E-5</v>
      </c>
      <c r="BO55" s="37">
        <f ca="1">INT(BN55) + _xll.RiskBinomial(1,BN55-INT(BN55))</f>
        <v>0</v>
      </c>
      <c r="BP55" s="30">
        <f t="shared" ca="1" si="10"/>
        <v>0</v>
      </c>
      <c r="BQ55" s="35">
        <f ca="1">_xll.RiskBinomial(1,BP55)</f>
        <v>0</v>
      </c>
      <c r="BR55" s="88">
        <f ca="1">IF(BQ55=1,_xll.RiskBinomial(1,Prob_Illness_Given_Infection),0)</f>
        <v>0</v>
      </c>
      <c r="BT55" s="87">
        <f t="shared" ca="1" si="45"/>
        <v>3.905937634455025E-5</v>
      </c>
      <c r="BU55" s="37">
        <f ca="1">INT(BT55) + _xll.RiskBinomial(1,BT55-INT(BT55))</f>
        <v>0</v>
      </c>
      <c r="BV55" s="30">
        <f t="shared" ca="1" si="11"/>
        <v>0</v>
      </c>
      <c r="BW55" s="35">
        <f ca="1">_xll.RiskBinomial(1,BV55)</f>
        <v>0</v>
      </c>
      <c r="BX55" s="88">
        <f ca="1">IF(BW55=1,_xll.RiskBinomial(1,Prob_Illness_Given_Infection),0)</f>
        <v>0</v>
      </c>
      <c r="BZ55" s="87">
        <f t="shared" ca="1" si="46"/>
        <v>1.0707491713205674E-4</v>
      </c>
      <c r="CA55" s="37">
        <f ca="1">INT(BZ55) + _xll.RiskBinomial(1,BZ55-INT(BZ55))</f>
        <v>0</v>
      </c>
      <c r="CB55" s="30">
        <f t="shared" ca="1" si="12"/>
        <v>0</v>
      </c>
      <c r="CC55" s="35">
        <f ca="1">_xll.RiskBinomial(1,CB55)</f>
        <v>0</v>
      </c>
      <c r="CD55" s="88">
        <f ca="1">IF(CC55=1,_xll.RiskBinomial(1,Prob_Illness_Given_Infection),0)</f>
        <v>0</v>
      </c>
      <c r="CF55" s="87">
        <f t="shared" ca="1" si="47"/>
        <v>2.0316393788189574E-5</v>
      </c>
      <c r="CG55" s="37">
        <f ca="1">INT(CF55) + _xll.RiskBinomial(1,CF55-INT(CF55))</f>
        <v>0</v>
      </c>
      <c r="CH55" s="30">
        <f t="shared" ca="1" si="13"/>
        <v>0</v>
      </c>
      <c r="CI55" s="35">
        <f ca="1">_xll.RiskBinomial(1,CH55)</f>
        <v>0</v>
      </c>
      <c r="CJ55" s="88">
        <f ca="1">IF(CI55=1,_xll.RiskBinomial(1,Prob_Illness_Given_Infection),0)</f>
        <v>0</v>
      </c>
      <c r="CL55" s="87">
        <f t="shared" ca="1" si="48"/>
        <v>3.9204952322490688E-5</v>
      </c>
      <c r="CM55" s="37">
        <f ca="1">INT(CL55) + _xll.RiskBinomial(1,CL55-INT(CL55))</f>
        <v>0</v>
      </c>
      <c r="CN55" s="30">
        <f t="shared" ca="1" si="14"/>
        <v>0</v>
      </c>
      <c r="CO55" s="35">
        <f ca="1">_xll.RiskBinomial(1,CN55)</f>
        <v>0</v>
      </c>
      <c r="CP55" s="88">
        <f ca="1">IF(CO55=1,_xll.RiskBinomial(1,Prob_Illness_Given_Infection),0)</f>
        <v>0</v>
      </c>
      <c r="CR55" s="87">
        <f t="shared" ca="1" si="49"/>
        <v>2.7018866528177757E-7</v>
      </c>
      <c r="CS55" s="37">
        <f ca="1">INT(CR55) + _xll.RiskBinomial(1,CR55-INT(CR55))</f>
        <v>0</v>
      </c>
      <c r="CT55" s="30">
        <f t="shared" ca="1" si="15"/>
        <v>0</v>
      </c>
      <c r="CU55" s="35">
        <f ca="1">_xll.RiskBinomial(1,CT55)</f>
        <v>0</v>
      </c>
      <c r="CV55" s="88">
        <f ca="1">IF(CU55=1,_xll.RiskBinomial(1,Prob_Illness_Given_Infection),0)</f>
        <v>0</v>
      </c>
      <c r="CX55" s="87">
        <f t="shared" ca="1" si="50"/>
        <v>2.7504898965875901E-9</v>
      </c>
      <c r="CY55" s="37">
        <f ca="1">INT(CX55) + _xll.RiskBinomial(1,CX55-INT(CX55))</f>
        <v>0</v>
      </c>
      <c r="CZ55" s="30">
        <f t="shared" ca="1" si="16"/>
        <v>0</v>
      </c>
      <c r="DA55" s="35">
        <f ca="1">_xll.RiskBinomial(1,CZ55)</f>
        <v>0</v>
      </c>
      <c r="DB55" s="88">
        <f ca="1">IF(DA55=1,_xll.RiskBinomial(1,Prob_Illness_Given_Infection),0)</f>
        <v>0</v>
      </c>
      <c r="DD55" s="87">
        <f t="shared" ca="1" si="51"/>
        <v>2.7504898965875901E-9</v>
      </c>
      <c r="DE55" s="37">
        <f ca="1">INT(DD55) + _xll.RiskBinomial(1,DD55-INT(DD55))</f>
        <v>0</v>
      </c>
      <c r="DF55" s="30">
        <f t="shared" ca="1" si="17"/>
        <v>0</v>
      </c>
      <c r="DG55" s="35">
        <f ca="1">_xll.RiskBinomial(1,DF55)</f>
        <v>0</v>
      </c>
      <c r="DH55" s="88">
        <f ca="1">IF(DG55=1,_xll.RiskBinomial(1,Prob_Illness_Given_Infection),0)</f>
        <v>0</v>
      </c>
      <c r="DJ55" s="87">
        <f t="shared" ca="1" si="52"/>
        <v>4.4911683627509232E-6</v>
      </c>
      <c r="DK55" s="37">
        <f ca="1">INT(DJ55) + _xll.RiskBinomial(1,DJ55-INT(DJ55))</f>
        <v>0</v>
      </c>
      <c r="DL55" s="30">
        <f t="shared" ca="1" si="18"/>
        <v>0</v>
      </c>
      <c r="DM55" s="35">
        <f ca="1">_xll.RiskBinomial(1,DL55)</f>
        <v>0</v>
      </c>
      <c r="DN55" s="88">
        <f ca="1">IF(DM55=1,_xll.RiskBinomial(1,Prob_Illness_Given_Infection),0)</f>
        <v>0</v>
      </c>
      <c r="DP55" s="87">
        <f t="shared" ca="1" si="53"/>
        <v>1.06168905432557E-9</v>
      </c>
      <c r="DQ55" s="37">
        <f ca="1">INT(DP55) + _xll.RiskBinomial(1,DP55-INT(DP55))</f>
        <v>0</v>
      </c>
      <c r="DR55" s="30">
        <f t="shared" ca="1" si="19"/>
        <v>0</v>
      </c>
      <c r="DS55" s="35">
        <f ca="1">_xll.RiskBinomial(1,DR55)</f>
        <v>0</v>
      </c>
      <c r="DT55" s="88">
        <f ca="1">IF(DS55=1,_xll.RiskBinomial(1,Prob_Illness_Given_Infection),0)</f>
        <v>0</v>
      </c>
      <c r="DV55" s="87">
        <f t="shared" ca="1" si="54"/>
        <v>1.4946521859383618E-8</v>
      </c>
      <c r="DW55" s="37">
        <f ca="1">INT(DV55) + _xll.RiskBinomial(1,DV55-INT(DV55))</f>
        <v>0</v>
      </c>
      <c r="DX55" s="30">
        <f t="shared" ca="1" si="20"/>
        <v>0</v>
      </c>
      <c r="DY55" s="35">
        <f ca="1">_xll.RiskBinomial(1,DX55)</f>
        <v>0</v>
      </c>
      <c r="DZ55" s="88">
        <f ca="1">IF(DY55=1,_xll.RiskBinomial(1,Prob_Illness_Given_Infection),0)</f>
        <v>0</v>
      </c>
      <c r="EB55" s="87">
        <f t="shared" ca="1" si="55"/>
        <v>3.7505667800836889E-12</v>
      </c>
      <c r="EC55" s="37">
        <f ca="1">INT(EB55) + _xll.RiskBinomial(1,EB55-INT(EB55))</f>
        <v>0</v>
      </c>
      <c r="ED55" s="30">
        <f t="shared" ca="1" si="21"/>
        <v>0</v>
      </c>
      <c r="EE55" s="35">
        <f ca="1">_xll.RiskBinomial(1,ED55)</f>
        <v>0</v>
      </c>
      <c r="EF55" s="88">
        <f ca="1">IF(EE55=1,_xll.RiskBinomial(1,Prob_Illness_Given_Infection),0)</f>
        <v>0</v>
      </c>
      <c r="EH55" s="87">
        <f t="shared" ca="1" si="56"/>
        <v>3.7505667800798341E-12</v>
      </c>
      <c r="EI55" s="37">
        <f ca="1">INT(EH55) + _xll.RiskBinomial(1,EH55-INT(EH55))</f>
        <v>0</v>
      </c>
      <c r="EJ55" s="30">
        <f t="shared" ca="1" si="22"/>
        <v>0</v>
      </c>
      <c r="EK55" s="35">
        <f ca="1">_xll.RiskBinomial(1,EJ55)</f>
        <v>0</v>
      </c>
      <c r="EL55" s="88">
        <f ca="1">IF(EK55=1,_xll.RiskBinomial(1,Prob_Illness_Given_Infection),0)</f>
        <v>0</v>
      </c>
      <c r="EN55" s="87">
        <f t="shared" ca="1" si="57"/>
        <v>3.422165754123188E-10</v>
      </c>
      <c r="EO55" s="37">
        <f ca="1">INT(EN55) + _xll.RiskBinomial(1,EN55-INT(EN55))</f>
        <v>0</v>
      </c>
      <c r="EP55" s="30">
        <f t="shared" ca="1" si="23"/>
        <v>0</v>
      </c>
      <c r="EQ55" s="35">
        <f ca="1">_xll.RiskBinomial(1,EP55)</f>
        <v>0</v>
      </c>
      <c r="ER55" s="88">
        <f ca="1">IF(EQ55=1,_xll.RiskBinomial(1,Prob_Illness_Given_Infection),0)</f>
        <v>0</v>
      </c>
      <c r="ET55" s="87">
        <f t="shared" ca="1" si="58"/>
        <v>3.7505667800762572E-12</v>
      </c>
      <c r="EU55" s="37">
        <f ca="1">INT(ET55) + _xll.RiskBinomial(1,ET55-INT(ET55))</f>
        <v>0</v>
      </c>
      <c r="EV55" s="30">
        <f t="shared" ca="1" si="24"/>
        <v>0</v>
      </c>
      <c r="EW55" s="35">
        <f ca="1">_xll.RiskBinomial(1,EV55)</f>
        <v>0</v>
      </c>
      <c r="EX55" s="88">
        <f ca="1">IF(EW55=1,_xll.RiskBinomial(1,Prob_Illness_Given_Infection),0)</f>
        <v>0</v>
      </c>
      <c r="EZ55" s="87">
        <f t="shared" ca="1" si="59"/>
        <v>2.8287537716611457E-5</v>
      </c>
      <c r="FA55" s="37">
        <f ca="1">INT(EZ55) + _xll.RiskBinomial(1,EZ55-INT(EZ55))</f>
        <v>0</v>
      </c>
      <c r="FB55" s="30">
        <f t="shared" ca="1" si="25"/>
        <v>0</v>
      </c>
      <c r="FC55" s="35">
        <f ca="1">_xll.RiskBinomial(1,FB55)</f>
        <v>0</v>
      </c>
      <c r="FD55" s="88">
        <f ca="1">IF(FC55=1,_xll.RiskBinomial(1,Prob_Illness_Given_Infection),0)</f>
        <v>0</v>
      </c>
      <c r="FF55" s="87">
        <f t="shared" ca="1" si="60"/>
        <v>1.9704780792646398E-4</v>
      </c>
      <c r="FG55" s="37">
        <f ca="1">INT(FF55) + _xll.RiskBinomial(1,FF55-INT(FF55))</f>
        <v>0</v>
      </c>
      <c r="FH55" s="30">
        <f t="shared" ca="1" si="26"/>
        <v>0</v>
      </c>
      <c r="FI55" s="35">
        <f ca="1">_xll.RiskBinomial(1,FH55)</f>
        <v>0</v>
      </c>
      <c r="FJ55" s="88">
        <f ca="1">IF(FI55=1,_xll.RiskBinomial(1,Prob_Illness_Given_Infection),0)</f>
        <v>0</v>
      </c>
      <c r="FL55" s="87" t="e">
        <f t="shared" ca="1" si="61"/>
        <v>#NAME?</v>
      </c>
      <c r="FM55" s="37" t="e">
        <f ca="1">INT(FL55) + _xll.RiskBinomial(1,FL55-INT(FL55))</f>
        <v>#NAME?</v>
      </c>
      <c r="FN55" s="30" t="e">
        <f t="shared" ca="1" si="27"/>
        <v>#NAME?</v>
      </c>
      <c r="FO55" s="35" t="e">
        <f ca="1">_xll.RiskBinomial(1,FN55)</f>
        <v>#VALUE!</v>
      </c>
      <c r="FP55" s="88" t="e">
        <f ca="1">IF(FO55=1,_xll.RiskBinomial(1,Prob_Illness_Given_Infection),0)</f>
        <v>#VALUE!</v>
      </c>
      <c r="FR55" s="87" t="e">
        <f t="shared" ca="1" si="62"/>
        <v>#NAME?</v>
      </c>
      <c r="FS55" s="37" t="e">
        <f ca="1">INT(FR55) + _xll.RiskBinomial(1,FR55-INT(FR55))</f>
        <v>#NAME?</v>
      </c>
      <c r="FT55" s="30" t="e">
        <f t="shared" ca="1" si="28"/>
        <v>#NAME?</v>
      </c>
      <c r="FU55" s="35" t="e">
        <f ca="1">_xll.RiskBinomial(1,FT55)</f>
        <v>#VALUE!</v>
      </c>
      <c r="FV55" s="88" t="e">
        <f ca="1">IF(FU55=1,_xll.RiskBinomial(1,Prob_Illness_Given_Infection),0)</f>
        <v>#VALUE!</v>
      </c>
      <c r="FX55" s="87">
        <f t="shared" ca="1" si="63"/>
        <v>3.959724845468896E-7</v>
      </c>
      <c r="FY55" s="37">
        <f ca="1">INT(FX55) + _xll.RiskBinomial(1,FX55-INT(FX55))</f>
        <v>0</v>
      </c>
      <c r="FZ55" s="30">
        <f t="shared" ca="1" si="29"/>
        <v>0</v>
      </c>
      <c r="GA55" s="35">
        <f ca="1">_xll.RiskBinomial(1,FZ55)</f>
        <v>0</v>
      </c>
      <c r="GB55" s="88">
        <f ca="1">IF(GA55=1,_xll.RiskBinomial(1,Prob_Illness_Given_Infection),0)</f>
        <v>0</v>
      </c>
      <c r="GD55" s="87" t="e">
        <f t="shared" ca="1" si="64"/>
        <v>#NAME?</v>
      </c>
      <c r="GE55" s="37" t="e">
        <f ca="1">INT(GD55) + _xll.RiskBinomial(1,GD55-INT(GD55))</f>
        <v>#NAME?</v>
      </c>
      <c r="GF55" s="30" t="e">
        <f t="shared" ca="1" si="30"/>
        <v>#NAME?</v>
      </c>
      <c r="GG55" s="35" t="e">
        <f ca="1">_xll.RiskBinomial(1,GF55)</f>
        <v>#VALUE!</v>
      </c>
      <c r="GH55" s="88" t="e">
        <f ca="1">IF(GG55=1,_xll.RiskBinomial(1,Prob_Illness_Given_Infection),0)</f>
        <v>#VALUE!</v>
      </c>
      <c r="GJ55" s="87" t="e">
        <f t="shared" ca="1" si="65"/>
        <v>#NAME?</v>
      </c>
      <c r="GK55" s="37" t="e">
        <f ca="1">INT(GJ55) + _xll.RiskBinomial(1,GJ55-INT(GJ55))</f>
        <v>#NAME?</v>
      </c>
      <c r="GL55" s="30" t="e">
        <f t="shared" ca="1" si="31"/>
        <v>#NAME?</v>
      </c>
      <c r="GM55" s="35" t="e">
        <f ca="1">_xll.RiskBinomial(1,GL55)</f>
        <v>#VALUE!</v>
      </c>
      <c r="GN55" s="88" t="e">
        <f ca="1">IF(GM55=1,_xll.RiskBinomial(1,Prob_Illness_Given_Infection),0)</f>
        <v>#VALUE!</v>
      </c>
      <c r="GP55" s="87" t="e">
        <f t="shared" ca="1" si="66"/>
        <v>#NAME?</v>
      </c>
      <c r="GQ55" s="37" t="e">
        <f ca="1">INT(GP55) + _xll.RiskBinomial(1,GP55-INT(GP55))</f>
        <v>#NAME?</v>
      </c>
      <c r="GR55" s="30" t="e">
        <f t="shared" ca="1" si="32"/>
        <v>#NAME?</v>
      </c>
      <c r="GS55" s="35" t="e">
        <f ca="1">_xll.RiskBinomial(1,GR55)</f>
        <v>#VALUE!</v>
      </c>
      <c r="GT55" s="88" t="e">
        <f ca="1">IF(GS55=1,_xll.RiskBinomial(1,Prob_Illness_Given_Infection),0)</f>
        <v>#VALUE!</v>
      </c>
    </row>
    <row r="56" spans="2:202">
      <c r="B56" s="108">
        <v>48</v>
      </c>
      <c r="C56" s="87">
        <f ca="1">_xll.RiskLoglogistic(LogLogistic_gamma, LogLogistic_beta, LogLogistic_alpha, _xll.RiskTruncate(5,800))</f>
        <v>34.220660206032157</v>
      </c>
      <c r="D56" s="38">
        <f t="shared" ca="1" si="67"/>
        <v>2.1983912421267968</v>
      </c>
      <c r="E56" s="30"/>
      <c r="F56" s="87">
        <f t="shared" ca="1" si="34"/>
        <v>7.937053957437427E-10</v>
      </c>
      <c r="G56" s="37">
        <f ca="1">INT(F56) + _xll.RiskBinomial(1,F56-INT(F56))</f>
        <v>0</v>
      </c>
      <c r="H56" s="30">
        <f t="shared" ca="1" si="68"/>
        <v>0</v>
      </c>
      <c r="I56" s="35">
        <f ca="1">_xll.RiskBinomial(1,H56)</f>
        <v>0</v>
      </c>
      <c r="J56" s="88">
        <f ca="1">IF(I56=1,_xll.RiskBinomial(1,Prob_Illness_Given_Infection),0)</f>
        <v>0</v>
      </c>
      <c r="K56" s="30"/>
      <c r="L56" s="87">
        <f t="shared" ca="1" si="35"/>
        <v>4.0540403515497486E-5</v>
      </c>
      <c r="M56" s="37">
        <f ca="1">INT(L56) + _xll.RiskBinomial(1,L56-INT(L56))</f>
        <v>0</v>
      </c>
      <c r="N56" s="30">
        <f t="shared" ca="1" si="1"/>
        <v>0</v>
      </c>
      <c r="O56" s="35">
        <f ca="1">_xll.RiskBinomial(1,N56)</f>
        <v>0</v>
      </c>
      <c r="P56" s="88">
        <f ca="1">IF(O56=1,_xll.RiskBinomial(1,Prob_Illness_Given_Infection),0)</f>
        <v>0</v>
      </c>
      <c r="Q56" s="30"/>
      <c r="R56" s="87">
        <f t="shared" ca="1" si="36"/>
        <v>4.1908954856874837E-6</v>
      </c>
      <c r="S56" s="37">
        <f ca="1">INT(R56) + _xll.RiskBinomial(1,R56-INT(R56))</f>
        <v>0</v>
      </c>
      <c r="T56" s="30">
        <f t="shared" ca="1" si="2"/>
        <v>0</v>
      </c>
      <c r="U56" s="35">
        <f ca="1">_xll.RiskBinomial(1,T56)</f>
        <v>0</v>
      </c>
      <c r="V56" s="88">
        <f ca="1">IF(U56=1,_xll.RiskBinomial(1,Prob_Illness_Given_Infection),0)</f>
        <v>0</v>
      </c>
      <c r="W56" s="30"/>
      <c r="X56" s="87">
        <f t="shared" ca="1" si="37"/>
        <v>1.7217290556749047E-12</v>
      </c>
      <c r="Y56" s="37">
        <f ca="1">INT(X56) + _xll.RiskBinomial(1,X56-INT(X56))</f>
        <v>0</v>
      </c>
      <c r="Z56" s="30">
        <f t="shared" ca="1" si="3"/>
        <v>0</v>
      </c>
      <c r="AA56" s="35">
        <f ca="1">_xll.RiskBinomial(1,Z56)</f>
        <v>0</v>
      </c>
      <c r="AB56" s="88">
        <f ca="1">IF(AA56=1,_xll.RiskBinomial(1,Prob_Illness_Given_Infection),0)</f>
        <v>0</v>
      </c>
      <c r="AC56" s="30"/>
      <c r="AD56" s="87">
        <f t="shared" ca="1" si="38"/>
        <v>8.6743759097815292E-13</v>
      </c>
      <c r="AE56" s="37">
        <f ca="1">INT(AD56) + _xll.RiskBinomial(1,AD56-INT(AD56))</f>
        <v>0</v>
      </c>
      <c r="AF56" s="30">
        <f t="shared" ca="1" si="4"/>
        <v>0</v>
      </c>
      <c r="AG56" s="35">
        <f ca="1">_xll.RiskBinomial(1,AF56)</f>
        <v>0</v>
      </c>
      <c r="AH56" s="88">
        <f ca="1">IF(AG56=1,_xll.RiskBinomial(1,Prob_Illness_Given_Infection),0)</f>
        <v>0</v>
      </c>
      <c r="AI56" s="30"/>
      <c r="AJ56" s="87">
        <f t="shared" ca="1" si="39"/>
        <v>4.0264217527771592E-5</v>
      </c>
      <c r="AK56" s="37">
        <f ca="1">INT(AJ56) + _xll.RiskBinomial(1,AJ56-INT(AJ56))</f>
        <v>0</v>
      </c>
      <c r="AL56" s="30">
        <f t="shared" ca="1" si="5"/>
        <v>0</v>
      </c>
      <c r="AM56" s="35">
        <f ca="1">_xll.RiskBinomial(1,AL56)</f>
        <v>0</v>
      </c>
      <c r="AN56" s="88">
        <f ca="1">IF(AM56=1,_xll.RiskBinomial(1,Prob_Illness_Given_Infection),0)</f>
        <v>0</v>
      </c>
      <c r="AO56" s="30"/>
      <c r="AP56" s="87">
        <f t="shared" ca="1" si="40"/>
        <v>9.7918686258341831E-10</v>
      </c>
      <c r="AQ56" s="37">
        <f ca="1">INT(AP56) + _xll.RiskBinomial(1,AP56-INT(AP56))</f>
        <v>0</v>
      </c>
      <c r="AR56" s="30">
        <f t="shared" ca="1" si="6"/>
        <v>0</v>
      </c>
      <c r="AS56" s="35">
        <f ca="1">_xll.RiskBinomial(1,AR56)</f>
        <v>0</v>
      </c>
      <c r="AT56" s="88">
        <f ca="1">IF(AS56=1,_xll.RiskBinomial(1,Prob_Illness_Given_Infection),0)</f>
        <v>0</v>
      </c>
      <c r="AU56" s="30"/>
      <c r="AV56" s="87">
        <f t="shared" ca="1" si="41"/>
        <v>2.2716625460927747E-5</v>
      </c>
      <c r="AW56" s="37">
        <f ca="1">INT(AV56) + _xll.RiskBinomial(1,AV56-INT(AV56))</f>
        <v>0</v>
      </c>
      <c r="AX56" s="30">
        <f t="shared" ca="1" si="7"/>
        <v>0</v>
      </c>
      <c r="AY56" s="35">
        <f ca="1">_xll.RiskBinomial(1,AX56)</f>
        <v>0</v>
      </c>
      <c r="AZ56" s="88">
        <f ca="1">IF(AY56=1,_xll.RiskBinomial(1,Prob_Illness_Given_Infection),0)</f>
        <v>0</v>
      </c>
      <c r="BB56" s="87">
        <f t="shared" ca="1" si="42"/>
        <v>3.1178792843053266E-5</v>
      </c>
      <c r="BC56" s="37">
        <f ca="1">INT(BB56) + _xll.RiskBinomial(1,BB56-INT(BB56))</f>
        <v>0</v>
      </c>
      <c r="BD56" s="30">
        <f t="shared" ca="1" si="8"/>
        <v>0</v>
      </c>
      <c r="BE56" s="35">
        <f ca="1">_xll.RiskBinomial(1,BD56)</f>
        <v>0</v>
      </c>
      <c r="BF56" s="88">
        <f ca="1">IF(BE56=1,_xll.RiskBinomial(1,Prob_Illness_Given_Infection),0)</f>
        <v>0</v>
      </c>
      <c r="BH56" s="87">
        <f t="shared" ca="1" si="43"/>
        <v>3.9474582317966858E-5</v>
      </c>
      <c r="BI56" s="37">
        <f ca="1">INT(BH56) + _xll.RiskBinomial(1,BH56-INT(BH56))</f>
        <v>0</v>
      </c>
      <c r="BJ56" s="30">
        <f t="shared" ca="1" si="9"/>
        <v>0</v>
      </c>
      <c r="BK56" s="35">
        <f ca="1">_xll.RiskBinomial(1,BJ56)</f>
        <v>0</v>
      </c>
      <c r="BL56" s="88">
        <f ca="1">IF(BK56=1,_xll.RiskBinomial(1,Prob_Illness_Given_Infection),0)</f>
        <v>0</v>
      </c>
      <c r="BN56" s="87">
        <f t="shared" ca="1" si="44"/>
        <v>3.0042407972818032E-6</v>
      </c>
      <c r="BO56" s="37">
        <f ca="1">INT(BN56) + _xll.RiskBinomial(1,BN56-INT(BN56))</f>
        <v>0</v>
      </c>
      <c r="BP56" s="30">
        <f t="shared" ca="1" si="10"/>
        <v>0</v>
      </c>
      <c r="BQ56" s="35">
        <f ca="1">_xll.RiskBinomial(1,BP56)</f>
        <v>0</v>
      </c>
      <c r="BR56" s="88">
        <f ca="1">IF(BQ56=1,_xll.RiskBinomial(1,Prob_Illness_Given_Infection),0)</f>
        <v>0</v>
      </c>
      <c r="BT56" s="87">
        <f t="shared" ca="1" si="45"/>
        <v>9.0337203169752153E-6</v>
      </c>
      <c r="BU56" s="37">
        <f ca="1">INT(BT56) + _xll.RiskBinomial(1,BT56-INT(BT56))</f>
        <v>0</v>
      </c>
      <c r="BV56" s="30">
        <f t="shared" ca="1" si="11"/>
        <v>0</v>
      </c>
      <c r="BW56" s="35">
        <f ca="1">_xll.RiskBinomial(1,BV56)</f>
        <v>0</v>
      </c>
      <c r="BX56" s="88">
        <f ca="1">IF(BW56=1,_xll.RiskBinomial(1,Prob_Illness_Given_Infection),0)</f>
        <v>0</v>
      </c>
      <c r="BZ56" s="87">
        <f t="shared" ca="1" si="46"/>
        <v>2.4764472576358961E-5</v>
      </c>
      <c r="CA56" s="37">
        <f ca="1">INT(BZ56) + _xll.RiskBinomial(1,BZ56-INT(BZ56))</f>
        <v>0</v>
      </c>
      <c r="CB56" s="30">
        <f t="shared" ca="1" si="12"/>
        <v>0</v>
      </c>
      <c r="CC56" s="35">
        <f ca="1">_xll.RiskBinomial(1,CB56)</f>
        <v>0</v>
      </c>
      <c r="CD56" s="88">
        <f ca="1">IF(CC56=1,_xll.RiskBinomial(1,Prob_Illness_Given_Infection),0)</f>
        <v>0</v>
      </c>
      <c r="CF56" s="87">
        <f t="shared" ca="1" si="47"/>
        <v>4.6988107980286418E-6</v>
      </c>
      <c r="CG56" s="37">
        <f ca="1">INT(CF56) + _xll.RiskBinomial(1,CF56-INT(CF56))</f>
        <v>0</v>
      </c>
      <c r="CH56" s="30">
        <f t="shared" ca="1" si="13"/>
        <v>0</v>
      </c>
      <c r="CI56" s="35">
        <f ca="1">_xll.RiskBinomial(1,CH56)</f>
        <v>0</v>
      </c>
      <c r="CJ56" s="88">
        <f ca="1">IF(CI56=1,_xll.RiskBinomial(1,Prob_Illness_Given_Infection),0)</f>
        <v>0</v>
      </c>
      <c r="CL56" s="87">
        <f t="shared" ca="1" si="48"/>
        <v>9.0673893816828383E-6</v>
      </c>
      <c r="CM56" s="37">
        <f ca="1">INT(CL56) + _xll.RiskBinomial(1,CL56-INT(CL56))</f>
        <v>0</v>
      </c>
      <c r="CN56" s="30">
        <f t="shared" ca="1" si="14"/>
        <v>0</v>
      </c>
      <c r="CO56" s="35">
        <f ca="1">_xll.RiskBinomial(1,CN56)</f>
        <v>0</v>
      </c>
      <c r="CP56" s="88">
        <f ca="1">IF(CO56=1,_xll.RiskBinomial(1,Prob_Illness_Given_Infection),0)</f>
        <v>0</v>
      </c>
      <c r="CR56" s="87">
        <f t="shared" ca="1" si="49"/>
        <v>6.2489703200623771E-8</v>
      </c>
      <c r="CS56" s="37">
        <f ca="1">INT(CR56) + _xll.RiskBinomial(1,CR56-INT(CR56))</f>
        <v>0</v>
      </c>
      <c r="CT56" s="30">
        <f t="shared" ca="1" si="15"/>
        <v>0</v>
      </c>
      <c r="CU56" s="35">
        <f ca="1">_xll.RiskBinomial(1,CT56)</f>
        <v>0</v>
      </c>
      <c r="CV56" s="88">
        <f ca="1">IF(CU56=1,_xll.RiskBinomial(1,Prob_Illness_Given_Infection),0)</f>
        <v>0</v>
      </c>
      <c r="CX56" s="87">
        <f t="shared" ca="1" si="50"/>
        <v>6.3613807453700338E-10</v>
      </c>
      <c r="CY56" s="37">
        <f ca="1">INT(CX56) + _xll.RiskBinomial(1,CX56-INT(CX56))</f>
        <v>0</v>
      </c>
      <c r="CZ56" s="30">
        <f t="shared" ca="1" si="16"/>
        <v>0</v>
      </c>
      <c r="DA56" s="35">
        <f ca="1">_xll.RiskBinomial(1,CZ56)</f>
        <v>0</v>
      </c>
      <c r="DB56" s="88">
        <f ca="1">IF(DA56=1,_xll.RiskBinomial(1,Prob_Illness_Given_Infection),0)</f>
        <v>0</v>
      </c>
      <c r="DD56" s="87">
        <f t="shared" ca="1" si="51"/>
        <v>6.3613807453700338E-10</v>
      </c>
      <c r="DE56" s="37">
        <f ca="1">INT(DD56) + _xll.RiskBinomial(1,DD56-INT(DD56))</f>
        <v>0</v>
      </c>
      <c r="DF56" s="30">
        <f t="shared" ca="1" si="17"/>
        <v>0</v>
      </c>
      <c r="DG56" s="35">
        <f ca="1">_xll.RiskBinomial(1,DF56)</f>
        <v>0</v>
      </c>
      <c r="DH56" s="88">
        <f ca="1">IF(DG56=1,_xll.RiskBinomial(1,Prob_Illness_Given_Infection),0)</f>
        <v>0</v>
      </c>
      <c r="DJ56" s="87">
        <f t="shared" ca="1" si="52"/>
        <v>1.0387252097331584E-6</v>
      </c>
      <c r="DK56" s="37">
        <f ca="1">INT(DJ56) + _xll.RiskBinomial(1,DJ56-INT(DJ56))</f>
        <v>0</v>
      </c>
      <c r="DL56" s="30">
        <f t="shared" ca="1" si="18"/>
        <v>0</v>
      </c>
      <c r="DM56" s="35">
        <f ca="1">_xll.RiskBinomial(1,DL56)</f>
        <v>0</v>
      </c>
      <c r="DN56" s="88">
        <f ca="1">IF(DM56=1,_xll.RiskBinomial(1,Prob_Illness_Given_Infection),0)</f>
        <v>0</v>
      </c>
      <c r="DP56" s="87">
        <f t="shared" ca="1" si="53"/>
        <v>2.4554928618846949E-10</v>
      </c>
      <c r="DQ56" s="37">
        <f ca="1">INT(DP56) + _xll.RiskBinomial(1,DP56-INT(DP56))</f>
        <v>0</v>
      </c>
      <c r="DR56" s="30">
        <f t="shared" ca="1" si="19"/>
        <v>0</v>
      </c>
      <c r="DS56" s="35">
        <f ca="1">_xll.RiskBinomial(1,DR56)</f>
        <v>0</v>
      </c>
      <c r="DT56" s="88">
        <f ca="1">IF(DS56=1,_xll.RiskBinomial(1,Prob_Illness_Given_Infection),0)</f>
        <v>0</v>
      </c>
      <c r="DV56" s="87">
        <f t="shared" ca="1" si="54"/>
        <v>3.4568575032577801E-9</v>
      </c>
      <c r="DW56" s="37">
        <f ca="1">INT(DV56) + _xll.RiskBinomial(1,DV56-INT(DV56))</f>
        <v>0</v>
      </c>
      <c r="DX56" s="30">
        <f t="shared" ca="1" si="20"/>
        <v>0</v>
      </c>
      <c r="DY56" s="35">
        <f ca="1">_xll.RiskBinomial(1,DX56)</f>
        <v>0</v>
      </c>
      <c r="DZ56" s="88">
        <f ca="1">IF(DY56=1,_xll.RiskBinomial(1,Prob_Illness_Given_Infection),0)</f>
        <v>0</v>
      </c>
      <c r="EB56" s="87">
        <f t="shared" ca="1" si="55"/>
        <v>8.6743759097786151E-13</v>
      </c>
      <c r="EC56" s="37">
        <f ca="1">INT(EB56) + _xll.RiskBinomial(1,EB56-INT(EB56))</f>
        <v>0</v>
      </c>
      <c r="ED56" s="30">
        <f t="shared" ca="1" si="21"/>
        <v>0</v>
      </c>
      <c r="EE56" s="35">
        <f ca="1">_xll.RiskBinomial(1,ED56)</f>
        <v>0</v>
      </c>
      <c r="EF56" s="88">
        <f ca="1">IF(EE56=1,_xll.RiskBinomial(1,Prob_Illness_Given_Infection),0)</f>
        <v>0</v>
      </c>
      <c r="EH56" s="87">
        <f t="shared" ca="1" si="56"/>
        <v>8.674375909769698E-13</v>
      </c>
      <c r="EI56" s="37">
        <f ca="1">INT(EH56) + _xll.RiskBinomial(1,EH56-INT(EH56))</f>
        <v>0</v>
      </c>
      <c r="EJ56" s="30">
        <f t="shared" ca="1" si="22"/>
        <v>0</v>
      </c>
      <c r="EK56" s="35">
        <f ca="1">_xll.RiskBinomial(1,EJ56)</f>
        <v>0</v>
      </c>
      <c r="EL56" s="88">
        <f ca="1">IF(EK56=1,_xll.RiskBinomial(1,Prob_Illness_Given_Infection),0)</f>
        <v>0</v>
      </c>
      <c r="EN56" s="87">
        <f t="shared" ca="1" si="57"/>
        <v>7.9148443201891632E-11</v>
      </c>
      <c r="EO56" s="37">
        <f ca="1">INT(EN56) + _xll.RiskBinomial(1,EN56-INT(EN56))</f>
        <v>0</v>
      </c>
      <c r="EP56" s="30">
        <f t="shared" ca="1" si="23"/>
        <v>0</v>
      </c>
      <c r="EQ56" s="35">
        <f ca="1">_xll.RiskBinomial(1,EP56)</f>
        <v>0</v>
      </c>
      <c r="ER56" s="88">
        <f ca="1">IF(EQ56=1,_xll.RiskBinomial(1,Prob_Illness_Given_Infection),0)</f>
        <v>0</v>
      </c>
      <c r="ET56" s="87">
        <f t="shared" ca="1" si="58"/>
        <v>8.6743759097614262E-13</v>
      </c>
      <c r="EU56" s="37">
        <f ca="1">INT(ET56) + _xll.RiskBinomial(1,ET56-INT(ET56))</f>
        <v>0</v>
      </c>
      <c r="EV56" s="30">
        <f t="shared" ca="1" si="24"/>
        <v>0</v>
      </c>
      <c r="EW56" s="35">
        <f ca="1">_xll.RiskBinomial(1,EV56)</f>
        <v>0</v>
      </c>
      <c r="EX56" s="88">
        <f ca="1">IF(EW56=1,_xll.RiskBinomial(1,Prob_Illness_Given_Infection),0)</f>
        <v>0</v>
      </c>
      <c r="EZ56" s="87">
        <f t="shared" ca="1" si="59"/>
        <v>6.542390793277733E-6</v>
      </c>
      <c r="FA56" s="37">
        <f ca="1">INT(EZ56) + _xll.RiskBinomial(1,EZ56-INT(EZ56))</f>
        <v>0</v>
      </c>
      <c r="FB56" s="30">
        <f t="shared" ca="1" si="25"/>
        <v>0</v>
      </c>
      <c r="FC56" s="35">
        <f ca="1">_xll.RiskBinomial(1,FB56)</f>
        <v>0</v>
      </c>
      <c r="FD56" s="88">
        <f ca="1">IF(FC56=1,_xll.RiskBinomial(1,Prob_Illness_Given_Infection),0)</f>
        <v>0</v>
      </c>
      <c r="FF56" s="87">
        <f t="shared" ca="1" si="60"/>
        <v>4.5573558834589334E-5</v>
      </c>
      <c r="FG56" s="37">
        <f ca="1">INT(FF56) + _xll.RiskBinomial(1,FF56-INT(FF56))</f>
        <v>0</v>
      </c>
      <c r="FH56" s="30">
        <f t="shared" ca="1" si="26"/>
        <v>0</v>
      </c>
      <c r="FI56" s="35">
        <f ca="1">_xll.RiskBinomial(1,FH56)</f>
        <v>0</v>
      </c>
      <c r="FJ56" s="88">
        <f ca="1">IF(FI56=1,_xll.RiskBinomial(1,Prob_Illness_Given_Infection),0)</f>
        <v>0</v>
      </c>
      <c r="FL56" s="87" t="e">
        <f t="shared" ca="1" si="61"/>
        <v>#NAME?</v>
      </c>
      <c r="FM56" s="37" t="e">
        <f ca="1">INT(FL56) + _xll.RiskBinomial(1,FL56-INT(FL56))</f>
        <v>#NAME?</v>
      </c>
      <c r="FN56" s="30" t="e">
        <f t="shared" ca="1" si="27"/>
        <v>#NAME?</v>
      </c>
      <c r="FO56" s="35" t="e">
        <f ca="1">_xll.RiskBinomial(1,FN56)</f>
        <v>#VALUE!</v>
      </c>
      <c r="FP56" s="88" t="e">
        <f ca="1">IF(FO56=1,_xll.RiskBinomial(1,Prob_Illness_Given_Infection),0)</f>
        <v>#VALUE!</v>
      </c>
      <c r="FR56" s="87" t="e">
        <f t="shared" ca="1" si="62"/>
        <v>#NAME?</v>
      </c>
      <c r="FS56" s="37" t="e">
        <f ca="1">INT(FR56) + _xll.RiskBinomial(1,FR56-INT(FR56))</f>
        <v>#NAME?</v>
      </c>
      <c r="FT56" s="30" t="e">
        <f t="shared" ca="1" si="28"/>
        <v>#NAME?</v>
      </c>
      <c r="FU56" s="35" t="e">
        <f ca="1">_xll.RiskBinomial(1,FT56)</f>
        <v>#VALUE!</v>
      </c>
      <c r="FV56" s="88" t="e">
        <f ca="1">IF(FU56=1,_xll.RiskBinomial(1,Prob_Illness_Given_Infection),0)</f>
        <v>#VALUE!</v>
      </c>
      <c r="FX56" s="87">
        <f t="shared" ca="1" si="63"/>
        <v>9.1581203116508191E-8</v>
      </c>
      <c r="FY56" s="37">
        <f ca="1">INT(FX56) + _xll.RiskBinomial(1,FX56-INT(FX56))</f>
        <v>0</v>
      </c>
      <c r="FZ56" s="30">
        <f t="shared" ca="1" si="29"/>
        <v>0</v>
      </c>
      <c r="GA56" s="35">
        <f ca="1">_xll.RiskBinomial(1,FZ56)</f>
        <v>0</v>
      </c>
      <c r="GB56" s="88">
        <f ca="1">IF(GA56=1,_xll.RiskBinomial(1,Prob_Illness_Given_Infection),0)</f>
        <v>0</v>
      </c>
      <c r="GD56" s="87" t="e">
        <f t="shared" ca="1" si="64"/>
        <v>#NAME?</v>
      </c>
      <c r="GE56" s="37" t="e">
        <f ca="1">INT(GD56) + _xll.RiskBinomial(1,GD56-INT(GD56))</f>
        <v>#NAME?</v>
      </c>
      <c r="GF56" s="30" t="e">
        <f t="shared" ca="1" si="30"/>
        <v>#NAME?</v>
      </c>
      <c r="GG56" s="35" t="e">
        <f ca="1">_xll.RiskBinomial(1,GF56)</f>
        <v>#VALUE!</v>
      </c>
      <c r="GH56" s="88" t="e">
        <f ca="1">IF(GG56=1,_xll.RiskBinomial(1,Prob_Illness_Given_Infection),0)</f>
        <v>#VALUE!</v>
      </c>
      <c r="GJ56" s="87" t="e">
        <f t="shared" ca="1" si="65"/>
        <v>#NAME?</v>
      </c>
      <c r="GK56" s="37" t="e">
        <f ca="1">INT(GJ56) + _xll.RiskBinomial(1,GJ56-INT(GJ56))</f>
        <v>#NAME?</v>
      </c>
      <c r="GL56" s="30" t="e">
        <f t="shared" ca="1" si="31"/>
        <v>#NAME?</v>
      </c>
      <c r="GM56" s="35" t="e">
        <f ca="1">_xll.RiskBinomial(1,GL56)</f>
        <v>#VALUE!</v>
      </c>
      <c r="GN56" s="88" t="e">
        <f ca="1">IF(GM56=1,_xll.RiskBinomial(1,Prob_Illness_Given_Infection),0)</f>
        <v>#VALUE!</v>
      </c>
      <c r="GP56" s="87" t="e">
        <f t="shared" ca="1" si="66"/>
        <v>#NAME?</v>
      </c>
      <c r="GQ56" s="37" t="e">
        <f ca="1">INT(GP56) + _xll.RiskBinomial(1,GP56-INT(GP56))</f>
        <v>#NAME?</v>
      </c>
      <c r="GR56" s="30" t="e">
        <f t="shared" ca="1" si="32"/>
        <v>#NAME?</v>
      </c>
      <c r="GS56" s="35" t="e">
        <f ca="1">_xll.RiskBinomial(1,GR56)</f>
        <v>#VALUE!</v>
      </c>
      <c r="GT56" s="88" t="e">
        <f ca="1">IF(GS56=1,_xll.RiskBinomial(1,Prob_Illness_Given_Infection),0)</f>
        <v>#VALUE!</v>
      </c>
    </row>
    <row r="57" spans="2:202">
      <c r="B57" s="108">
        <v>49</v>
      </c>
      <c r="C57" s="87">
        <f ca="1">_xll.RiskLoglogistic(LogLogistic_gamma, LogLogistic_beta, LogLogistic_alpha, _xll.RiskTruncate(5,800))</f>
        <v>95.533936986518484</v>
      </c>
      <c r="D57" s="38">
        <f t="shared" ca="1" si="67"/>
        <v>6.137256532532783</v>
      </c>
      <c r="E57" s="30"/>
      <c r="F57" s="87">
        <f t="shared" ca="1" si="34"/>
        <v>2.215790133981005E-9</v>
      </c>
      <c r="G57" s="37">
        <f ca="1">INT(F57) + _xll.RiskBinomial(1,F57-INT(F57))</f>
        <v>0</v>
      </c>
      <c r="H57" s="30">
        <f t="shared" ca="1" si="68"/>
        <v>0</v>
      </c>
      <c r="I57" s="35">
        <f ca="1">_xll.RiskBinomial(1,H57)</f>
        <v>0</v>
      </c>
      <c r="J57" s="88">
        <f ca="1">IF(I57=1,_xll.RiskBinomial(1,Prob_Illness_Given_Infection),0)</f>
        <v>0</v>
      </c>
      <c r="K57" s="30"/>
      <c r="L57" s="87">
        <f t="shared" ca="1" si="35"/>
        <v>1.1317678652426668E-4</v>
      </c>
      <c r="M57" s="37">
        <f ca="1">INT(L57) + _xll.RiskBinomial(1,L57-INT(L57))</f>
        <v>0</v>
      </c>
      <c r="N57" s="30">
        <f t="shared" ca="1" si="1"/>
        <v>0</v>
      </c>
      <c r="O57" s="35">
        <f ca="1">_xll.RiskBinomial(1,N57)</f>
        <v>0</v>
      </c>
      <c r="P57" s="88">
        <f ca="1">IF(O57=1,_xll.RiskBinomial(1,Prob_Illness_Given_Infection),0)</f>
        <v>0</v>
      </c>
      <c r="Q57" s="30"/>
      <c r="R57" s="87">
        <f t="shared" ca="1" si="36"/>
        <v>1.1699737609859968E-5</v>
      </c>
      <c r="S57" s="37">
        <f ca="1">INT(R57) + _xll.RiskBinomial(1,R57-INT(R57))</f>
        <v>0</v>
      </c>
      <c r="T57" s="30">
        <f t="shared" ca="1" si="2"/>
        <v>0</v>
      </c>
      <c r="U57" s="35">
        <f ca="1">_xll.RiskBinomial(1,T57)</f>
        <v>0</v>
      </c>
      <c r="V57" s="88">
        <f ca="1">IF(U57=1,_xll.RiskBinomial(1,Prob_Illness_Given_Infection),0)</f>
        <v>0</v>
      </c>
      <c r="W57" s="30"/>
      <c r="X57" s="87">
        <f t="shared" ca="1" si="37"/>
        <v>4.8065570366672949E-12</v>
      </c>
      <c r="Y57" s="37">
        <f ca="1">INT(X57) + _xll.RiskBinomial(1,X57-INT(X57))</f>
        <v>0</v>
      </c>
      <c r="Z57" s="30">
        <f t="shared" ca="1" si="3"/>
        <v>0</v>
      </c>
      <c r="AA57" s="35">
        <f ca="1">_xll.RiskBinomial(1,Z57)</f>
        <v>0</v>
      </c>
      <c r="AB57" s="88">
        <f ca="1">IF(AA57=1,_xll.RiskBinomial(1,Prob_Illness_Given_Infection),0)</f>
        <v>0</v>
      </c>
      <c r="AC57" s="30"/>
      <c r="AD57" s="87">
        <f t="shared" ca="1" si="38"/>
        <v>2.4216285617317403E-12</v>
      </c>
      <c r="AE57" s="37">
        <f ca="1">INT(AD57) + _xll.RiskBinomial(1,AD57-INT(AD57))</f>
        <v>0</v>
      </c>
      <c r="AF57" s="30">
        <f t="shared" ca="1" si="4"/>
        <v>0</v>
      </c>
      <c r="AG57" s="35">
        <f ca="1">_xll.RiskBinomial(1,AF57)</f>
        <v>0</v>
      </c>
      <c r="AH57" s="88">
        <f ca="1">IF(AG57=1,_xll.RiskBinomial(1,Prob_Illness_Given_Infection),0)</f>
        <v>0</v>
      </c>
      <c r="AI57" s="30"/>
      <c r="AJ57" s="87">
        <f t="shared" ca="1" si="39"/>
        <v>1.1240575713473684E-4</v>
      </c>
      <c r="AK57" s="37">
        <f ca="1">INT(AJ57) + _xll.RiskBinomial(1,AJ57-INT(AJ57))</f>
        <v>0</v>
      </c>
      <c r="AL57" s="30">
        <f t="shared" ca="1" si="5"/>
        <v>0</v>
      </c>
      <c r="AM57" s="35">
        <f ca="1">_xll.RiskBinomial(1,AL57)</f>
        <v>0</v>
      </c>
      <c r="AN57" s="88">
        <f ca="1">IF(AM57=1,_xll.RiskBinomial(1,Prob_Illness_Given_Infection),0)</f>
        <v>0</v>
      </c>
      <c r="AO57" s="30"/>
      <c r="AP57" s="87">
        <f t="shared" ca="1" si="40"/>
        <v>2.7335993947767705E-9</v>
      </c>
      <c r="AQ57" s="37">
        <f ca="1">INT(AP57) + _xll.RiskBinomial(1,AP57-INT(AP57))</f>
        <v>0</v>
      </c>
      <c r="AR57" s="30">
        <f t="shared" ca="1" si="6"/>
        <v>0</v>
      </c>
      <c r="AS57" s="35">
        <f ca="1">_xll.RiskBinomial(1,AR57)</f>
        <v>0</v>
      </c>
      <c r="AT57" s="88">
        <f ca="1">IF(AS57=1,_xll.RiskBinomial(1,Prob_Illness_Given_Infection),0)</f>
        <v>0</v>
      </c>
      <c r="AU57" s="30"/>
      <c r="AV57" s="87">
        <f t="shared" ca="1" si="41"/>
        <v>6.3418082885147417E-5</v>
      </c>
      <c r="AW57" s="37">
        <f ca="1">INT(AV57) + _xll.RiskBinomial(1,AV57-INT(AV57))</f>
        <v>0</v>
      </c>
      <c r="AX57" s="30">
        <f t="shared" ca="1" si="7"/>
        <v>0</v>
      </c>
      <c r="AY57" s="35">
        <f ca="1">_xll.RiskBinomial(1,AX57)</f>
        <v>0</v>
      </c>
      <c r="AZ57" s="88">
        <f ca="1">IF(AY57=1,_xll.RiskBinomial(1,Prob_Illness_Given_Infection),0)</f>
        <v>0</v>
      </c>
      <c r="BB57" s="87">
        <f t="shared" ca="1" si="42"/>
        <v>8.7041945212351974E-5</v>
      </c>
      <c r="BC57" s="37">
        <f ca="1">INT(BB57) + _xll.RiskBinomial(1,BB57-INT(BB57))</f>
        <v>0</v>
      </c>
      <c r="BD57" s="30">
        <f t="shared" ca="1" si="8"/>
        <v>0</v>
      </c>
      <c r="BE57" s="35">
        <f ca="1">_xll.RiskBinomial(1,BD57)</f>
        <v>0</v>
      </c>
      <c r="BF57" s="88">
        <f ca="1">IF(BE57=1,_xll.RiskBinomial(1,Prob_Illness_Given_Infection),0)</f>
        <v>0</v>
      </c>
      <c r="BH57" s="87">
        <f t="shared" ca="1" si="43"/>
        <v>1.1020132975310134E-4</v>
      </c>
      <c r="BI57" s="37">
        <f ca="1">INT(BH57) + _xll.RiskBinomial(1,BH57-INT(BH57))</f>
        <v>0</v>
      </c>
      <c r="BJ57" s="30">
        <f t="shared" ca="1" si="9"/>
        <v>0</v>
      </c>
      <c r="BK57" s="35">
        <f ca="1">_xll.RiskBinomial(1,BJ57)</f>
        <v>0</v>
      </c>
      <c r="BL57" s="88">
        <f ca="1">IF(BK57=1,_xll.RiskBinomial(1,Prob_Illness_Given_Infection),0)</f>
        <v>0</v>
      </c>
      <c r="BN57" s="87">
        <f t="shared" ca="1" si="44"/>
        <v>8.3869495588883018E-6</v>
      </c>
      <c r="BO57" s="37">
        <f ca="1">INT(BN57) + _xll.RiskBinomial(1,BN57-INT(BN57))</f>
        <v>0</v>
      </c>
      <c r="BP57" s="30">
        <f t="shared" ca="1" si="10"/>
        <v>0</v>
      </c>
      <c r="BQ57" s="35">
        <f ca="1">_xll.RiskBinomial(1,BP57)</f>
        <v>0</v>
      </c>
      <c r="BR57" s="88">
        <f ca="1">IF(BQ57=1,_xll.RiskBinomial(1,Prob_Illness_Given_Infection),0)</f>
        <v>0</v>
      </c>
      <c r="BT57" s="87">
        <f t="shared" ca="1" si="45"/>
        <v>2.5219468657814329E-5</v>
      </c>
      <c r="BU57" s="37">
        <f ca="1">INT(BT57) + _xll.RiskBinomial(1,BT57-INT(BT57))</f>
        <v>0</v>
      </c>
      <c r="BV57" s="30">
        <f t="shared" ca="1" si="11"/>
        <v>0</v>
      </c>
      <c r="BW57" s="35">
        <f ca="1">_xll.RiskBinomial(1,BV57)</f>
        <v>0</v>
      </c>
      <c r="BX57" s="88">
        <f ca="1">IF(BW57=1,_xll.RiskBinomial(1,Prob_Illness_Given_Infection),0)</f>
        <v>0</v>
      </c>
      <c r="BZ57" s="87">
        <f t="shared" ca="1" si="46"/>
        <v>6.9135064851764863E-5</v>
      </c>
      <c r="CA57" s="37">
        <f ca="1">INT(BZ57) + _xll.RiskBinomial(1,BZ57-INT(BZ57))</f>
        <v>0</v>
      </c>
      <c r="CB57" s="30">
        <f t="shared" ca="1" si="12"/>
        <v>0</v>
      </c>
      <c r="CC57" s="35">
        <f ca="1">_xll.RiskBinomial(1,CB57)</f>
        <v>0</v>
      </c>
      <c r="CD57" s="88">
        <f ca="1">IF(CC57=1,_xll.RiskBinomial(1,Prob_Illness_Given_Infection),0)</f>
        <v>0</v>
      </c>
      <c r="CF57" s="87">
        <f t="shared" ca="1" si="47"/>
        <v>1.3117686566763343E-5</v>
      </c>
      <c r="CG57" s="37">
        <f ca="1">INT(CF57) + _xll.RiskBinomial(1,CF57-INT(CF57))</f>
        <v>0</v>
      </c>
      <c r="CH57" s="30">
        <f t="shared" ca="1" si="13"/>
        <v>0</v>
      </c>
      <c r="CI57" s="35">
        <f ca="1">_xll.RiskBinomial(1,CH57)</f>
        <v>0</v>
      </c>
      <c r="CJ57" s="88">
        <f ca="1">IF(CI57=1,_xll.RiskBinomial(1,Prob_Illness_Given_Infection),0)</f>
        <v>0</v>
      </c>
      <c r="CL57" s="87">
        <f t="shared" ca="1" si="48"/>
        <v>2.5313462703715471E-5</v>
      </c>
      <c r="CM57" s="37">
        <f ca="1">INT(CL57) + _xll.RiskBinomial(1,CL57-INT(CL57))</f>
        <v>0</v>
      </c>
      <c r="CN57" s="30">
        <f t="shared" ca="1" si="14"/>
        <v>0</v>
      </c>
      <c r="CO57" s="35">
        <f ca="1">_xll.RiskBinomial(1,CN57)</f>
        <v>0</v>
      </c>
      <c r="CP57" s="88">
        <f ca="1">IF(CO57=1,_xll.RiskBinomial(1,Prob_Illness_Given_Infection),0)</f>
        <v>0</v>
      </c>
      <c r="CR57" s="87">
        <f t="shared" ca="1" si="49"/>
        <v>1.7445272335284484E-7</v>
      </c>
      <c r="CS57" s="37">
        <f ca="1">INT(CR57) + _xll.RiskBinomial(1,CR57-INT(CR57))</f>
        <v>0</v>
      </c>
      <c r="CT57" s="30">
        <f t="shared" ca="1" si="15"/>
        <v>0</v>
      </c>
      <c r="CU57" s="35">
        <f ca="1">_xll.RiskBinomial(1,CT57)</f>
        <v>0</v>
      </c>
      <c r="CV57" s="88">
        <f ca="1">IF(CU57=1,_xll.RiskBinomial(1,Prob_Illness_Given_Infection),0)</f>
        <v>0</v>
      </c>
      <c r="CX57" s="87">
        <f t="shared" ca="1" si="50"/>
        <v>1.7759088913436779E-9</v>
      </c>
      <c r="CY57" s="37">
        <f ca="1">INT(CX57) + _xll.RiskBinomial(1,CX57-INT(CX57))</f>
        <v>0</v>
      </c>
      <c r="CZ57" s="30">
        <f t="shared" ca="1" si="16"/>
        <v>0</v>
      </c>
      <c r="DA57" s="35">
        <f ca="1">_xll.RiskBinomial(1,CZ57)</f>
        <v>0</v>
      </c>
      <c r="DB57" s="88">
        <f ca="1">IF(DA57=1,_xll.RiskBinomial(1,Prob_Illness_Given_Infection),0)</f>
        <v>0</v>
      </c>
      <c r="DD57" s="87">
        <f t="shared" ca="1" si="51"/>
        <v>1.7759088913436779E-9</v>
      </c>
      <c r="DE57" s="37">
        <f ca="1">INT(DD57) + _xll.RiskBinomial(1,DD57-INT(DD57))</f>
        <v>0</v>
      </c>
      <c r="DF57" s="30">
        <f t="shared" ca="1" si="17"/>
        <v>0</v>
      </c>
      <c r="DG57" s="35">
        <f ca="1">_xll.RiskBinomial(1,DF57)</f>
        <v>0</v>
      </c>
      <c r="DH57" s="88">
        <f ca="1">IF(DG57=1,_xll.RiskBinomial(1,Prob_Illness_Given_Infection),0)</f>
        <v>0</v>
      </c>
      <c r="DJ57" s="87">
        <f t="shared" ca="1" si="52"/>
        <v>2.8998128071025246E-6</v>
      </c>
      <c r="DK57" s="37">
        <f ca="1">INT(DJ57) + _xll.RiskBinomial(1,DJ57-INT(DJ57))</f>
        <v>0</v>
      </c>
      <c r="DL57" s="30">
        <f t="shared" ca="1" si="18"/>
        <v>0</v>
      </c>
      <c r="DM57" s="35">
        <f ca="1">_xll.RiskBinomial(1,DL57)</f>
        <v>0</v>
      </c>
      <c r="DN57" s="88">
        <f ca="1">IF(DM57=1,_xll.RiskBinomial(1,Prob_Illness_Given_Infection),0)</f>
        <v>0</v>
      </c>
      <c r="DP57" s="87">
        <f t="shared" ca="1" si="53"/>
        <v>6.855008025145813E-10</v>
      </c>
      <c r="DQ57" s="37">
        <f ca="1">INT(DP57) + _xll.RiskBinomial(1,DP57-INT(DP57))</f>
        <v>0</v>
      </c>
      <c r="DR57" s="30">
        <f t="shared" ca="1" si="19"/>
        <v>0</v>
      </c>
      <c r="DS57" s="35">
        <f ca="1">_xll.RiskBinomial(1,DR57)</f>
        <v>0</v>
      </c>
      <c r="DT57" s="88">
        <f ca="1">IF(DS57=1,_xll.RiskBinomial(1,Prob_Illness_Given_Infection),0)</f>
        <v>0</v>
      </c>
      <c r="DV57" s="87">
        <f t="shared" ca="1" si="54"/>
        <v>9.6505212026677644E-9</v>
      </c>
      <c r="DW57" s="37">
        <f ca="1">INT(DV57) + _xll.RiskBinomial(1,DV57-INT(DV57))</f>
        <v>0</v>
      </c>
      <c r="DX57" s="30">
        <f t="shared" ca="1" si="20"/>
        <v>0</v>
      </c>
      <c r="DY57" s="35">
        <f ca="1">_xll.RiskBinomial(1,DX57)</f>
        <v>0</v>
      </c>
      <c r="DZ57" s="88">
        <f ca="1">IF(DY57=1,_xll.RiskBinomial(1,Prob_Illness_Given_Infection),0)</f>
        <v>0</v>
      </c>
      <c r="EB57" s="87">
        <f t="shared" ca="1" si="55"/>
        <v>2.4216285617309268E-12</v>
      </c>
      <c r="EC57" s="37">
        <f ca="1">INT(EB57) + _xll.RiskBinomial(1,EB57-INT(EB57))</f>
        <v>0</v>
      </c>
      <c r="ED57" s="30">
        <f t="shared" ca="1" si="21"/>
        <v>0</v>
      </c>
      <c r="EE57" s="35">
        <f ca="1">_xll.RiskBinomial(1,ED57)</f>
        <v>0</v>
      </c>
      <c r="EF57" s="88">
        <f ca="1">IF(EE57=1,_xll.RiskBinomial(1,Prob_Illness_Given_Infection),0)</f>
        <v>0</v>
      </c>
      <c r="EH57" s="87">
        <f t="shared" ca="1" si="56"/>
        <v>2.4216285617284376E-12</v>
      </c>
      <c r="EI57" s="37">
        <f ca="1">INT(EH57) + _xll.RiskBinomial(1,EH57-INT(EH57))</f>
        <v>0</v>
      </c>
      <c r="EJ57" s="30">
        <f t="shared" ca="1" si="22"/>
        <v>0</v>
      </c>
      <c r="EK57" s="35">
        <f ca="1">_xll.RiskBinomial(1,EJ57)</f>
        <v>0</v>
      </c>
      <c r="EL57" s="88">
        <f ca="1">IF(EK57=1,_xll.RiskBinomial(1,Prob_Illness_Given_Infection),0)</f>
        <v>0</v>
      </c>
      <c r="EN57" s="87">
        <f t="shared" ca="1" si="57"/>
        <v>2.2095898617694389E-10</v>
      </c>
      <c r="EO57" s="37">
        <f ca="1">INT(EN57) + _xll.RiskBinomial(1,EN57-INT(EN57))</f>
        <v>0</v>
      </c>
      <c r="EP57" s="30">
        <f t="shared" ca="1" si="23"/>
        <v>0</v>
      </c>
      <c r="EQ57" s="35">
        <f ca="1">_xll.RiskBinomial(1,EP57)</f>
        <v>0</v>
      </c>
      <c r="ER57" s="88">
        <f ca="1">IF(EQ57=1,_xll.RiskBinomial(1,Prob_Illness_Given_Infection),0)</f>
        <v>0</v>
      </c>
      <c r="ET57" s="87">
        <f t="shared" ca="1" si="58"/>
        <v>2.4216285617261281E-12</v>
      </c>
      <c r="EU57" s="37">
        <f ca="1">INT(ET57) + _xll.RiskBinomial(1,ET57-INT(ET57))</f>
        <v>0</v>
      </c>
      <c r="EV57" s="30">
        <f t="shared" ca="1" si="24"/>
        <v>0</v>
      </c>
      <c r="EW57" s="35">
        <f ca="1">_xll.RiskBinomial(1,EV57)</f>
        <v>0</v>
      </c>
      <c r="EX57" s="88">
        <f ca="1">IF(EW57=1,_xll.RiskBinomial(1,Prob_Illness_Given_Infection),0)</f>
        <v>0</v>
      </c>
      <c r="EZ57" s="87">
        <f t="shared" ca="1" si="59"/>
        <v>1.8264415298334886E-5</v>
      </c>
      <c r="FA57" s="37">
        <f ca="1">INT(EZ57) + _xll.RiskBinomial(1,EZ57-INT(EZ57))</f>
        <v>0</v>
      </c>
      <c r="FB57" s="30">
        <f t="shared" ca="1" si="25"/>
        <v>0</v>
      </c>
      <c r="FC57" s="35">
        <f ca="1">_xll.RiskBinomial(1,FB57)</f>
        <v>0</v>
      </c>
      <c r="FD57" s="88">
        <f ca="1">IF(FC57=1,_xll.RiskBinomial(1,Prob_Illness_Given_Infection),0)</f>
        <v>0</v>
      </c>
      <c r="FF57" s="87">
        <f t="shared" ca="1" si="60"/>
        <v>1.2722786386183137E-4</v>
      </c>
      <c r="FG57" s="37">
        <f ca="1">INT(FF57) + _xll.RiskBinomial(1,FF57-INT(FF57))</f>
        <v>0</v>
      </c>
      <c r="FH57" s="30">
        <f t="shared" ca="1" si="26"/>
        <v>0</v>
      </c>
      <c r="FI57" s="35">
        <f ca="1">_xll.RiskBinomial(1,FH57)</f>
        <v>0</v>
      </c>
      <c r="FJ57" s="88">
        <f ca="1">IF(FI57=1,_xll.RiskBinomial(1,Prob_Illness_Given_Infection),0)</f>
        <v>0</v>
      </c>
      <c r="FL57" s="87" t="e">
        <f t="shared" ca="1" si="61"/>
        <v>#NAME?</v>
      </c>
      <c r="FM57" s="37" t="e">
        <f ca="1">INT(FL57) + _xll.RiskBinomial(1,FL57-INT(FL57))</f>
        <v>#NAME?</v>
      </c>
      <c r="FN57" s="30" t="e">
        <f t="shared" ca="1" si="27"/>
        <v>#NAME?</v>
      </c>
      <c r="FO57" s="35" t="e">
        <f ca="1">_xll.RiskBinomial(1,FN57)</f>
        <v>#VALUE!</v>
      </c>
      <c r="FP57" s="88" t="e">
        <f ca="1">IF(FO57=1,_xll.RiskBinomial(1,Prob_Illness_Given_Infection),0)</f>
        <v>#VALUE!</v>
      </c>
      <c r="FR57" s="87" t="e">
        <f t="shared" ca="1" si="62"/>
        <v>#NAME?</v>
      </c>
      <c r="FS57" s="37" t="e">
        <f ca="1">INT(FR57) + _xll.RiskBinomial(1,FR57-INT(FR57))</f>
        <v>#NAME?</v>
      </c>
      <c r="FT57" s="30" t="e">
        <f t="shared" ca="1" si="28"/>
        <v>#NAME?</v>
      </c>
      <c r="FU57" s="35" t="e">
        <f ca="1">_xll.RiskBinomial(1,FT57)</f>
        <v>#VALUE!</v>
      </c>
      <c r="FV57" s="88" t="e">
        <f ca="1">IF(FU57=1,_xll.RiskBinomial(1,Prob_Illness_Given_Infection),0)</f>
        <v>#VALUE!</v>
      </c>
      <c r="FX57" s="87">
        <f t="shared" ca="1" si="63"/>
        <v>2.5566756558775613E-7</v>
      </c>
      <c r="FY57" s="37">
        <f ca="1">INT(FX57) + _xll.RiskBinomial(1,FX57-INT(FX57))</f>
        <v>0</v>
      </c>
      <c r="FZ57" s="30">
        <f t="shared" ca="1" si="29"/>
        <v>0</v>
      </c>
      <c r="GA57" s="35">
        <f ca="1">_xll.RiskBinomial(1,FZ57)</f>
        <v>0</v>
      </c>
      <c r="GB57" s="88">
        <f ca="1">IF(GA57=1,_xll.RiskBinomial(1,Prob_Illness_Given_Infection),0)</f>
        <v>0</v>
      </c>
      <c r="GD57" s="87" t="e">
        <f t="shared" ca="1" si="64"/>
        <v>#NAME?</v>
      </c>
      <c r="GE57" s="37" t="e">
        <f ca="1">INT(GD57) + _xll.RiskBinomial(1,GD57-INT(GD57))</f>
        <v>#NAME?</v>
      </c>
      <c r="GF57" s="30" t="e">
        <f t="shared" ca="1" si="30"/>
        <v>#NAME?</v>
      </c>
      <c r="GG57" s="35" t="e">
        <f ca="1">_xll.RiskBinomial(1,GF57)</f>
        <v>#VALUE!</v>
      </c>
      <c r="GH57" s="88" t="e">
        <f ca="1">IF(GG57=1,_xll.RiskBinomial(1,Prob_Illness_Given_Infection),0)</f>
        <v>#VALUE!</v>
      </c>
      <c r="GJ57" s="87" t="e">
        <f t="shared" ca="1" si="65"/>
        <v>#NAME?</v>
      </c>
      <c r="GK57" s="37" t="e">
        <f ca="1">INT(GJ57) + _xll.RiskBinomial(1,GJ57-INT(GJ57))</f>
        <v>#NAME?</v>
      </c>
      <c r="GL57" s="30" t="e">
        <f t="shared" ca="1" si="31"/>
        <v>#NAME?</v>
      </c>
      <c r="GM57" s="35" t="e">
        <f ca="1">_xll.RiskBinomial(1,GL57)</f>
        <v>#VALUE!</v>
      </c>
      <c r="GN57" s="88" t="e">
        <f ca="1">IF(GM57=1,_xll.RiskBinomial(1,Prob_Illness_Given_Infection),0)</f>
        <v>#VALUE!</v>
      </c>
      <c r="GP57" s="87" t="e">
        <f t="shared" ca="1" si="66"/>
        <v>#NAME?</v>
      </c>
      <c r="GQ57" s="37" t="e">
        <f ca="1">INT(GP57) + _xll.RiskBinomial(1,GP57-INT(GP57))</f>
        <v>#NAME?</v>
      </c>
      <c r="GR57" s="30" t="e">
        <f t="shared" ca="1" si="32"/>
        <v>#NAME?</v>
      </c>
      <c r="GS57" s="35" t="e">
        <f ca="1">_xll.RiskBinomial(1,GR57)</f>
        <v>#VALUE!</v>
      </c>
      <c r="GT57" s="88" t="e">
        <f ca="1">IF(GS57=1,_xll.RiskBinomial(1,Prob_Illness_Given_Infection),0)</f>
        <v>#VALUE!</v>
      </c>
    </row>
    <row r="58" spans="2:202">
      <c r="B58" s="108">
        <v>50</v>
      </c>
      <c r="C58" s="87">
        <f ca="1">_xll.RiskLoglogistic(LogLogistic_gamma, LogLogistic_beta, LogLogistic_alpha, _xll.RiskTruncate(5,800))</f>
        <v>184.90061637702601</v>
      </c>
      <c r="D58" s="38">
        <f t="shared" ca="1" si="67"/>
        <v>11.878318339265959</v>
      </c>
      <c r="E58" s="30"/>
      <c r="F58" s="87">
        <f t="shared" ca="1" si="34"/>
        <v>4.2885384446475488E-9</v>
      </c>
      <c r="G58" s="37">
        <f ca="1">INT(F58) + _xll.RiskBinomial(1,F58-INT(F58))</f>
        <v>0</v>
      </c>
      <c r="H58" s="30">
        <f t="shared" ca="1" si="68"/>
        <v>0</v>
      </c>
      <c r="I58" s="35">
        <f ca="1">_xll.RiskBinomial(1,H58)</f>
        <v>0</v>
      </c>
      <c r="J58" s="88">
        <f ca="1">IF(I58=1,_xll.RiskBinomial(1,Prob_Illness_Given_Infection),0)</f>
        <v>0</v>
      </c>
      <c r="K58" s="30"/>
      <c r="L58" s="87">
        <f t="shared" ca="1" si="35"/>
        <v>2.1904736942706648E-4</v>
      </c>
      <c r="M58" s="37">
        <f ca="1">INT(L58) + _xll.RiskBinomial(1,L58-INT(L58))</f>
        <v>0</v>
      </c>
      <c r="N58" s="30">
        <f t="shared" ca="1" si="1"/>
        <v>0</v>
      </c>
      <c r="O58" s="35">
        <f ca="1">_xll.RiskBinomial(1,N58)</f>
        <v>0</v>
      </c>
      <c r="P58" s="88">
        <f ca="1">IF(O58=1,_xll.RiskBinomial(1,Prob_Illness_Given_Infection),0)</f>
        <v>0</v>
      </c>
      <c r="Q58" s="30"/>
      <c r="R58" s="87">
        <f t="shared" ca="1" si="36"/>
        <v>2.2644190784452434E-5</v>
      </c>
      <c r="S58" s="37">
        <f ca="1">INT(R58) + _xll.RiskBinomial(1,R58-INT(R58))</f>
        <v>0</v>
      </c>
      <c r="T58" s="30">
        <f t="shared" ca="1" si="2"/>
        <v>0</v>
      </c>
      <c r="U58" s="35">
        <f ca="1">_xll.RiskBinomial(1,T58)</f>
        <v>0</v>
      </c>
      <c r="V58" s="88">
        <f ca="1">IF(U58=1,_xll.RiskBinomial(1,Prob_Illness_Given_Infection),0)</f>
        <v>0</v>
      </c>
      <c r="W58" s="30"/>
      <c r="X58" s="87">
        <f t="shared" ca="1" si="37"/>
        <v>9.3028235490444684E-12</v>
      </c>
      <c r="Y58" s="37">
        <f ca="1">INT(X58) + _xll.RiskBinomial(1,X58-INT(X58))</f>
        <v>0</v>
      </c>
      <c r="Z58" s="30">
        <f t="shared" ca="1" si="3"/>
        <v>0</v>
      </c>
      <c r="AA58" s="35">
        <f ca="1">_xll.RiskBinomial(1,Z58)</f>
        <v>0</v>
      </c>
      <c r="AB58" s="88">
        <f ca="1">IF(AA58=1,_xll.RiskBinomial(1,Prob_Illness_Given_Infection),0)</f>
        <v>0</v>
      </c>
      <c r="AC58" s="30"/>
      <c r="AD58" s="87">
        <f t="shared" ca="1" si="38"/>
        <v>4.6869272619173718E-12</v>
      </c>
      <c r="AE58" s="37">
        <f ca="1">INT(AD58) + _xll.RiskBinomial(1,AD58-INT(AD58))</f>
        <v>0</v>
      </c>
      <c r="AF58" s="30">
        <f t="shared" ca="1" si="4"/>
        <v>0</v>
      </c>
      <c r="AG58" s="35">
        <f ca="1">_xll.RiskBinomial(1,AF58)</f>
        <v>0</v>
      </c>
      <c r="AH58" s="88">
        <f ca="1">IF(AG58=1,_xll.RiskBinomial(1,Prob_Illness_Given_Infection),0)</f>
        <v>0</v>
      </c>
      <c r="AI58" s="30"/>
      <c r="AJ58" s="87">
        <f t="shared" ca="1" si="39"/>
        <v>2.1755508496914668E-4</v>
      </c>
      <c r="AK58" s="37">
        <f ca="1">INT(AJ58) + _xll.RiskBinomial(1,AJ58-INT(AJ58))</f>
        <v>0</v>
      </c>
      <c r="AL58" s="30">
        <f t="shared" ca="1" si="5"/>
        <v>0</v>
      </c>
      <c r="AM58" s="35">
        <f ca="1">_xll.RiskBinomial(1,AL58)</f>
        <v>0</v>
      </c>
      <c r="AN58" s="88">
        <f ca="1">IF(AM58=1,_xll.RiskBinomial(1,Prob_Illness_Given_Infection),0)</f>
        <v>0</v>
      </c>
      <c r="AO58" s="30"/>
      <c r="AP58" s="87">
        <f t="shared" ca="1" si="40"/>
        <v>5.2907294409254513E-9</v>
      </c>
      <c r="AQ58" s="37">
        <f ca="1">INT(AP58) + _xll.RiskBinomial(1,AP58-INT(AP58))</f>
        <v>0</v>
      </c>
      <c r="AR58" s="30">
        <f t="shared" ca="1" si="6"/>
        <v>0</v>
      </c>
      <c r="AS58" s="35">
        <f ca="1">_xll.RiskBinomial(1,AR58)</f>
        <v>0</v>
      </c>
      <c r="AT58" s="88">
        <f ca="1">IF(AS58=1,_xll.RiskBinomial(1,Prob_Illness_Given_Infection),0)</f>
        <v>0</v>
      </c>
      <c r="AU58" s="30"/>
      <c r="AV58" s="87">
        <f t="shared" ca="1" si="41"/>
        <v>1.2274216874960184E-4</v>
      </c>
      <c r="AW58" s="37">
        <f ca="1">INT(AV58) + _xll.RiskBinomial(1,AV58-INT(AV58))</f>
        <v>0</v>
      </c>
      <c r="AX58" s="30">
        <f t="shared" ca="1" si="7"/>
        <v>0</v>
      </c>
      <c r="AY58" s="35">
        <f ca="1">_xll.RiskBinomial(1,AX58)</f>
        <v>0</v>
      </c>
      <c r="AZ58" s="88">
        <f ca="1">IF(AY58=1,_xll.RiskBinomial(1,Prob_Illness_Given_Infection),0)</f>
        <v>0</v>
      </c>
      <c r="BB58" s="87">
        <f t="shared" ca="1" si="42"/>
        <v>1.6846483907274093E-4</v>
      </c>
      <c r="BC58" s="37">
        <f ca="1">INT(BB58) + _xll.RiskBinomial(1,BB58-INT(BB58))</f>
        <v>0</v>
      </c>
      <c r="BD58" s="30">
        <f t="shared" ca="1" si="8"/>
        <v>0</v>
      </c>
      <c r="BE58" s="35">
        <f ca="1">_xll.RiskBinomial(1,BD58)</f>
        <v>0</v>
      </c>
      <c r="BF58" s="88">
        <f ca="1">IF(BE58=1,_xll.RiskBinomial(1,Prob_Illness_Given_Infection),0)</f>
        <v>0</v>
      </c>
      <c r="BH58" s="87">
        <f t="shared" ca="1" si="43"/>
        <v>2.1328853849906542E-4</v>
      </c>
      <c r="BI58" s="37">
        <f ca="1">INT(BH58) + _xll.RiskBinomial(1,BH58-INT(BH58))</f>
        <v>0</v>
      </c>
      <c r="BJ58" s="30">
        <f t="shared" ca="1" si="9"/>
        <v>0</v>
      </c>
      <c r="BK58" s="35">
        <f ca="1">_xll.RiskBinomial(1,BJ58)</f>
        <v>0</v>
      </c>
      <c r="BL58" s="88">
        <f ca="1">IF(BK58=1,_xll.RiskBinomial(1,Prob_Illness_Given_Infection),0)</f>
        <v>0</v>
      </c>
      <c r="BN58" s="87">
        <f t="shared" ca="1" si="44"/>
        <v>1.6232473944628826E-5</v>
      </c>
      <c r="BO58" s="37">
        <f ca="1">INT(BN58) + _xll.RiskBinomial(1,BN58-INT(BN58))</f>
        <v>0</v>
      </c>
      <c r="BP58" s="30">
        <f t="shared" ca="1" si="10"/>
        <v>0</v>
      </c>
      <c r="BQ58" s="35">
        <f ca="1">_xll.RiskBinomial(1,BP58)</f>
        <v>0</v>
      </c>
      <c r="BR58" s="88">
        <f ca="1">IF(BQ58=1,_xll.RiskBinomial(1,Prob_Illness_Given_Infection),0)</f>
        <v>0</v>
      </c>
      <c r="BT58" s="87">
        <f t="shared" ca="1" si="45"/>
        <v>4.8810877543851281E-5</v>
      </c>
      <c r="BU58" s="37">
        <f ca="1">INT(BT58) + _xll.RiskBinomial(1,BT58-INT(BT58))</f>
        <v>0</v>
      </c>
      <c r="BV58" s="30">
        <f t="shared" ca="1" si="11"/>
        <v>0</v>
      </c>
      <c r="BW58" s="35">
        <f ca="1">_xll.RiskBinomial(1,BV58)</f>
        <v>0</v>
      </c>
      <c r="BX58" s="88">
        <f ca="1">IF(BW58=1,_xll.RiskBinomial(1,Prob_Illness_Given_Infection),0)</f>
        <v>0</v>
      </c>
      <c r="BZ58" s="87">
        <f t="shared" ca="1" si="46"/>
        <v>1.3380706906448241E-4</v>
      </c>
      <c r="CA58" s="37">
        <f ca="1">INT(BZ58) + _xll.RiskBinomial(1,BZ58-INT(BZ58))</f>
        <v>0</v>
      </c>
      <c r="CB58" s="30">
        <f t="shared" ca="1" si="12"/>
        <v>0</v>
      </c>
      <c r="CC58" s="35">
        <f ca="1">_xll.RiskBinomial(1,CB58)</f>
        <v>0</v>
      </c>
      <c r="CD58" s="88">
        <f ca="1">IF(CC58=1,_xll.RiskBinomial(1,Prob_Illness_Given_Infection),0)</f>
        <v>0</v>
      </c>
      <c r="CF58" s="87">
        <f t="shared" ca="1" si="47"/>
        <v>2.538855204907396E-5</v>
      </c>
      <c r="CG58" s="37">
        <f ca="1">INT(CF58) + _xll.RiskBinomial(1,CF58-INT(CF58))</f>
        <v>0</v>
      </c>
      <c r="CH58" s="30">
        <f t="shared" ca="1" si="13"/>
        <v>0</v>
      </c>
      <c r="CI58" s="35">
        <f ca="1">_xll.RiskBinomial(1,CH58)</f>
        <v>0</v>
      </c>
      <c r="CJ58" s="88">
        <f ca="1">IF(CI58=1,_xll.RiskBinomial(1,Prob_Illness_Given_Infection),0)</f>
        <v>0</v>
      </c>
      <c r="CL58" s="87">
        <f t="shared" ca="1" si="48"/>
        <v>4.8992797786762909E-5</v>
      </c>
      <c r="CM58" s="37">
        <f ca="1">INT(CL58) + _xll.RiskBinomial(1,CL58-INT(CL58))</f>
        <v>0</v>
      </c>
      <c r="CN58" s="30">
        <f t="shared" ca="1" si="14"/>
        <v>0</v>
      </c>
      <c r="CO58" s="35">
        <f ca="1">_xll.RiskBinomial(1,CN58)</f>
        <v>0</v>
      </c>
      <c r="CP58" s="88">
        <f ca="1">IF(CO58=1,_xll.RiskBinomial(1,Prob_Illness_Given_Infection),0)</f>
        <v>0</v>
      </c>
      <c r="CR58" s="87">
        <f t="shared" ca="1" si="49"/>
        <v>3.3764353374386487E-7</v>
      </c>
      <c r="CS58" s="37">
        <f ca="1">INT(CR58) + _xll.RiskBinomial(1,CR58-INT(CR58))</f>
        <v>0</v>
      </c>
      <c r="CT58" s="30">
        <f t="shared" ca="1" si="15"/>
        <v>0</v>
      </c>
      <c r="CU58" s="35">
        <f ca="1">_xll.RiskBinomial(1,CT58)</f>
        <v>0</v>
      </c>
      <c r="CV58" s="88">
        <f ca="1">IF(CU58=1,_xll.RiskBinomial(1,Prob_Illness_Given_Infection),0)</f>
        <v>0</v>
      </c>
      <c r="CX58" s="87">
        <f t="shared" ca="1" si="50"/>
        <v>3.4371727890291516E-9</v>
      </c>
      <c r="CY58" s="37">
        <f ca="1">INT(CX58) + _xll.RiskBinomial(1,CX58-INT(CX58))</f>
        <v>0</v>
      </c>
      <c r="CZ58" s="30">
        <f t="shared" ca="1" si="16"/>
        <v>0</v>
      </c>
      <c r="DA58" s="35">
        <f ca="1">_xll.RiskBinomial(1,CZ58)</f>
        <v>0</v>
      </c>
      <c r="DB58" s="88">
        <f ca="1">IF(DA58=1,_xll.RiskBinomial(1,Prob_Illness_Given_Infection),0)</f>
        <v>0</v>
      </c>
      <c r="DD58" s="87">
        <f t="shared" ca="1" si="51"/>
        <v>3.4371727890291516E-9</v>
      </c>
      <c r="DE58" s="37">
        <f ca="1">INT(DD58) + _xll.RiskBinomial(1,DD58-INT(DD58))</f>
        <v>0</v>
      </c>
      <c r="DF58" s="30">
        <f t="shared" ca="1" si="17"/>
        <v>0</v>
      </c>
      <c r="DG58" s="35">
        <f ca="1">_xll.RiskBinomial(1,DF58)</f>
        <v>0</v>
      </c>
      <c r="DH58" s="88">
        <f ca="1">IF(DG58=1,_xll.RiskBinomial(1,Prob_Illness_Given_Infection),0)</f>
        <v>0</v>
      </c>
      <c r="DJ58" s="87">
        <f t="shared" ca="1" si="52"/>
        <v>5.6124262468835015E-6</v>
      </c>
      <c r="DK58" s="37">
        <f ca="1">INT(DJ58) + _xll.RiskBinomial(1,DJ58-INT(DJ58))</f>
        <v>0</v>
      </c>
      <c r="DL58" s="30">
        <f t="shared" ca="1" si="18"/>
        <v>0</v>
      </c>
      <c r="DM58" s="35">
        <f ca="1">_xll.RiskBinomial(1,DL58)</f>
        <v>0</v>
      </c>
      <c r="DN58" s="88">
        <f ca="1">IF(DM58=1,_xll.RiskBinomial(1,Prob_Illness_Given_Infection),0)</f>
        <v>0</v>
      </c>
      <c r="DP58" s="87">
        <f t="shared" ca="1" si="53"/>
        <v>1.3267486393843335E-9</v>
      </c>
      <c r="DQ58" s="37">
        <f ca="1">INT(DP58) + _xll.RiskBinomial(1,DP58-INT(DP58))</f>
        <v>0</v>
      </c>
      <c r="DR58" s="30">
        <f t="shared" ca="1" si="19"/>
        <v>0</v>
      </c>
      <c r="DS58" s="35">
        <f ca="1">_xll.RiskBinomial(1,DR58)</f>
        <v>0</v>
      </c>
      <c r="DT58" s="88">
        <f ca="1">IF(DS58=1,_xll.RiskBinomial(1,Prob_Illness_Given_Infection),0)</f>
        <v>0</v>
      </c>
      <c r="DV58" s="87">
        <f t="shared" ca="1" si="54"/>
        <v>1.8678046514346379E-8</v>
      </c>
      <c r="DW58" s="37">
        <f ca="1">INT(DV58) + _xll.RiskBinomial(1,DV58-INT(DV58))</f>
        <v>0</v>
      </c>
      <c r="DX58" s="30">
        <f t="shared" ca="1" si="20"/>
        <v>0</v>
      </c>
      <c r="DY58" s="35">
        <f ca="1">_xll.RiskBinomial(1,DX58)</f>
        <v>0</v>
      </c>
      <c r="DZ58" s="88">
        <f ca="1">IF(DY58=1,_xll.RiskBinomial(1,Prob_Illness_Given_Infection),0)</f>
        <v>0</v>
      </c>
      <c r="EB58" s="87">
        <f t="shared" ca="1" si="55"/>
        <v>4.6869272619157974E-12</v>
      </c>
      <c r="EC58" s="37">
        <f ca="1">INT(EB58) + _xll.RiskBinomial(1,EB58-INT(EB58))</f>
        <v>0</v>
      </c>
      <c r="ED58" s="30">
        <f t="shared" ca="1" si="21"/>
        <v>0</v>
      </c>
      <c r="EE58" s="35">
        <f ca="1">_xll.RiskBinomial(1,ED58)</f>
        <v>0</v>
      </c>
      <c r="EF58" s="88">
        <f ca="1">IF(EE58=1,_xll.RiskBinomial(1,Prob_Illness_Given_Infection),0)</f>
        <v>0</v>
      </c>
      <c r="EH58" s="87">
        <f t="shared" ca="1" si="56"/>
        <v>4.6869272619109797E-12</v>
      </c>
      <c r="EI58" s="37">
        <f ca="1">INT(EH58) + _xll.RiskBinomial(1,EH58-INT(EH58))</f>
        <v>0</v>
      </c>
      <c r="EJ58" s="30">
        <f t="shared" ca="1" si="22"/>
        <v>0</v>
      </c>
      <c r="EK58" s="35">
        <f ca="1">_xll.RiskBinomial(1,EJ58)</f>
        <v>0</v>
      </c>
      <c r="EL58" s="88">
        <f ca="1">IF(EK58=1,_xll.RiskBinomial(1,Prob_Illness_Given_Infection),0)</f>
        <v>0</v>
      </c>
      <c r="EN58" s="87">
        <f t="shared" ca="1" si="57"/>
        <v>4.2765381629697852E-10</v>
      </c>
      <c r="EO58" s="37">
        <f ca="1">INT(EN58) + _xll.RiskBinomial(1,EN58-INT(EN58))</f>
        <v>0</v>
      </c>
      <c r="EP58" s="30">
        <f t="shared" ca="1" si="23"/>
        <v>0</v>
      </c>
      <c r="EQ58" s="35">
        <f ca="1">_xll.RiskBinomial(1,EP58)</f>
        <v>0</v>
      </c>
      <c r="ER58" s="88">
        <f ca="1">IF(EQ58=1,_xll.RiskBinomial(1,Prob_Illness_Given_Infection),0)</f>
        <v>0</v>
      </c>
      <c r="ET58" s="87">
        <f t="shared" ca="1" si="58"/>
        <v>4.6869272619065102E-12</v>
      </c>
      <c r="EU58" s="37">
        <f ca="1">INT(ET58) + _xll.RiskBinomial(1,ET58-INT(ET58))</f>
        <v>0</v>
      </c>
      <c r="EV58" s="30">
        <f t="shared" ca="1" si="24"/>
        <v>0</v>
      </c>
      <c r="EW58" s="35">
        <f ca="1">_xll.RiskBinomial(1,EV58)</f>
        <v>0</v>
      </c>
      <c r="EX58" s="88">
        <f ca="1">IF(EW58=1,_xll.RiskBinomial(1,Prob_Illness_Given_Infection),0)</f>
        <v>0</v>
      </c>
      <c r="EZ58" s="87">
        <f t="shared" ca="1" si="59"/>
        <v>3.5349758975228589E-5</v>
      </c>
      <c r="FA58" s="37">
        <f ca="1">INT(EZ58) + _xll.RiskBinomial(1,EZ58-INT(EZ58))</f>
        <v>0</v>
      </c>
      <c r="FB58" s="30">
        <f t="shared" ca="1" si="25"/>
        <v>0</v>
      </c>
      <c r="FC58" s="35">
        <f ca="1">_xll.RiskBinomial(1,FB58)</f>
        <v>0</v>
      </c>
      <c r="FD58" s="88">
        <f ca="1">IF(FC58=1,_xll.RiskBinomial(1,Prob_Illness_Given_Infection),0)</f>
        <v>0</v>
      </c>
      <c r="FF58" s="87">
        <f t="shared" ca="1" si="60"/>
        <v>2.4624244734836688E-4</v>
      </c>
      <c r="FG58" s="37">
        <f ca="1">INT(FF58) + _xll.RiskBinomial(1,FF58-INT(FF58))</f>
        <v>0</v>
      </c>
      <c r="FH58" s="30">
        <f t="shared" ca="1" si="26"/>
        <v>0</v>
      </c>
      <c r="FI58" s="35">
        <f ca="1">_xll.RiskBinomial(1,FH58)</f>
        <v>0</v>
      </c>
      <c r="FJ58" s="88">
        <f ca="1">IF(FI58=1,_xll.RiskBinomial(1,Prob_Illness_Given_Infection),0)</f>
        <v>0</v>
      </c>
      <c r="FL58" s="87" t="e">
        <f t="shared" ca="1" si="61"/>
        <v>#NAME?</v>
      </c>
      <c r="FM58" s="37" t="e">
        <f ca="1">INT(FL58) + _xll.RiskBinomial(1,FL58-INT(FL58))</f>
        <v>#NAME?</v>
      </c>
      <c r="FN58" s="30" t="e">
        <f t="shared" ca="1" si="27"/>
        <v>#NAME?</v>
      </c>
      <c r="FO58" s="35" t="e">
        <f ca="1">_xll.RiskBinomial(1,FN58)</f>
        <v>#VALUE!</v>
      </c>
      <c r="FP58" s="88" t="e">
        <f ca="1">IF(FO58=1,_xll.RiskBinomial(1,Prob_Illness_Given_Infection),0)</f>
        <v>#VALUE!</v>
      </c>
      <c r="FR58" s="87" t="e">
        <f t="shared" ca="1" si="62"/>
        <v>#NAME?</v>
      </c>
      <c r="FS58" s="37" t="e">
        <f ca="1">INT(FR58) + _xll.RiskBinomial(1,FR58-INT(FR58))</f>
        <v>#NAME?</v>
      </c>
      <c r="FT58" s="30" t="e">
        <f t="shared" ca="1" si="28"/>
        <v>#NAME?</v>
      </c>
      <c r="FU58" s="35" t="e">
        <f ca="1">_xll.RiskBinomial(1,FT58)</f>
        <v>#VALUE!</v>
      </c>
      <c r="FV58" s="88" t="e">
        <f ca="1">IF(FU58=1,_xll.RiskBinomial(1,Prob_Illness_Given_Infection),0)</f>
        <v>#VALUE!</v>
      </c>
      <c r="FX58" s="87">
        <f t="shared" ca="1" si="63"/>
        <v>4.9483033941604337E-7</v>
      </c>
      <c r="FY58" s="37">
        <f ca="1">INT(FX58) + _xll.RiskBinomial(1,FX58-INT(FX58))</f>
        <v>0</v>
      </c>
      <c r="FZ58" s="30">
        <f t="shared" ca="1" si="29"/>
        <v>0</v>
      </c>
      <c r="GA58" s="35">
        <f ca="1">_xll.RiskBinomial(1,FZ58)</f>
        <v>0</v>
      </c>
      <c r="GB58" s="88">
        <f ca="1">IF(GA58=1,_xll.RiskBinomial(1,Prob_Illness_Given_Infection),0)</f>
        <v>0</v>
      </c>
      <c r="GD58" s="87" t="e">
        <f t="shared" ca="1" si="64"/>
        <v>#NAME?</v>
      </c>
      <c r="GE58" s="37" t="e">
        <f ca="1">INT(GD58) + _xll.RiskBinomial(1,GD58-INT(GD58))</f>
        <v>#NAME?</v>
      </c>
      <c r="GF58" s="30" t="e">
        <f t="shared" ca="1" si="30"/>
        <v>#NAME?</v>
      </c>
      <c r="GG58" s="35" t="e">
        <f ca="1">_xll.RiskBinomial(1,GF58)</f>
        <v>#VALUE!</v>
      </c>
      <c r="GH58" s="88" t="e">
        <f ca="1">IF(GG58=1,_xll.RiskBinomial(1,Prob_Illness_Given_Infection),0)</f>
        <v>#VALUE!</v>
      </c>
      <c r="GJ58" s="87" t="e">
        <f t="shared" ca="1" si="65"/>
        <v>#NAME?</v>
      </c>
      <c r="GK58" s="37" t="e">
        <f ca="1">INT(GJ58) + _xll.RiskBinomial(1,GJ58-INT(GJ58))</f>
        <v>#NAME?</v>
      </c>
      <c r="GL58" s="30" t="e">
        <f t="shared" ca="1" si="31"/>
        <v>#NAME?</v>
      </c>
      <c r="GM58" s="35" t="e">
        <f ca="1">_xll.RiskBinomial(1,GL58)</f>
        <v>#VALUE!</v>
      </c>
      <c r="GN58" s="88" t="e">
        <f ca="1">IF(GM58=1,_xll.RiskBinomial(1,Prob_Illness_Given_Infection),0)</f>
        <v>#VALUE!</v>
      </c>
      <c r="GP58" s="87" t="e">
        <f t="shared" ca="1" si="66"/>
        <v>#NAME?</v>
      </c>
      <c r="GQ58" s="37" t="e">
        <f ca="1">INT(GP58) + _xll.RiskBinomial(1,GP58-INT(GP58))</f>
        <v>#NAME?</v>
      </c>
      <c r="GR58" s="30" t="e">
        <f t="shared" ca="1" si="32"/>
        <v>#NAME?</v>
      </c>
      <c r="GS58" s="35" t="e">
        <f ca="1">_xll.RiskBinomial(1,GR58)</f>
        <v>#VALUE!</v>
      </c>
      <c r="GT58" s="88" t="e">
        <f ca="1">IF(GS58=1,_xll.RiskBinomial(1,Prob_Illness_Given_Infection),0)</f>
        <v>#VALUE!</v>
      </c>
    </row>
    <row r="59" spans="2:202">
      <c r="B59" s="108">
        <v>51</v>
      </c>
      <c r="C59" s="87">
        <f ca="1">_xll.RiskLoglogistic(LogLogistic_gamma, LogLogistic_beta, LogLogistic_alpha, _xll.RiskTruncate(5,800))</f>
        <v>38.787243362028995</v>
      </c>
      <c r="D59" s="38">
        <f t="shared" ca="1" si="67"/>
        <v>2.4917560210686593</v>
      </c>
      <c r="E59" s="30"/>
      <c r="F59" s="87">
        <f t="shared" ca="1" si="34"/>
        <v>8.9962157822546716E-10</v>
      </c>
      <c r="G59" s="37">
        <f ca="1">INT(F59) + _xll.RiskBinomial(1,F59-INT(F59))</f>
        <v>0</v>
      </c>
      <c r="H59" s="30">
        <f t="shared" ca="1" si="68"/>
        <v>0</v>
      </c>
      <c r="I59" s="35">
        <f ca="1">_xll.RiskBinomial(1,H59)</f>
        <v>0</v>
      </c>
      <c r="J59" s="88">
        <f ca="1">IF(I59=1,_xll.RiskBinomial(1,Prob_Illness_Given_Infection),0)</f>
        <v>0</v>
      </c>
      <c r="K59" s="30"/>
      <c r="L59" s="87">
        <f t="shared" ca="1" si="35"/>
        <v>4.5950326138748128E-5</v>
      </c>
      <c r="M59" s="37">
        <f ca="1">INT(L59) + _xll.RiskBinomial(1,L59-INT(L59))</f>
        <v>0</v>
      </c>
      <c r="N59" s="30">
        <f t="shared" ca="1" si="1"/>
        <v>0</v>
      </c>
      <c r="O59" s="35">
        <f ca="1">_xll.RiskBinomial(1,N59)</f>
        <v>0</v>
      </c>
      <c r="P59" s="88">
        <f ca="1">IF(O59=1,_xll.RiskBinomial(1,Prob_Illness_Given_Infection),0)</f>
        <v>0</v>
      </c>
      <c r="Q59" s="30"/>
      <c r="R59" s="87">
        <f t="shared" ca="1" si="36"/>
        <v>4.7501504100010175E-6</v>
      </c>
      <c r="S59" s="37">
        <f ca="1">INT(R59) + _xll.RiskBinomial(1,R59-INT(R59))</f>
        <v>0</v>
      </c>
      <c r="T59" s="30">
        <f t="shared" ca="1" si="2"/>
        <v>0</v>
      </c>
      <c r="U59" s="35">
        <f ca="1">_xll.RiskBinomial(1,T59)</f>
        <v>0</v>
      </c>
      <c r="V59" s="88">
        <f ca="1">IF(U59=1,_xll.RiskBinomial(1,Prob_Illness_Given_Infection),0)</f>
        <v>0</v>
      </c>
      <c r="W59" s="30"/>
      <c r="X59" s="87">
        <f t="shared" ca="1" si="37"/>
        <v>1.9514855494858992E-12</v>
      </c>
      <c r="Y59" s="37">
        <f ca="1">INT(X59) + _xll.RiskBinomial(1,X59-INT(X59))</f>
        <v>0</v>
      </c>
      <c r="Z59" s="30">
        <f t="shared" ca="1" si="3"/>
        <v>0</v>
      </c>
      <c r="AA59" s="35">
        <f ca="1">_xll.RiskBinomial(1,Z59)</f>
        <v>0</v>
      </c>
      <c r="AB59" s="88">
        <f ca="1">IF(AA59=1,_xll.RiskBinomial(1,Prob_Illness_Given_Infection),0)</f>
        <v>0</v>
      </c>
      <c r="AC59" s="30"/>
      <c r="AD59" s="87">
        <f t="shared" ca="1" si="38"/>
        <v>9.8319298166874694E-13</v>
      </c>
      <c r="AE59" s="37">
        <f ca="1">INT(AD59) + _xll.RiskBinomial(1,AD59-INT(AD59))</f>
        <v>0</v>
      </c>
      <c r="AF59" s="30">
        <f t="shared" ca="1" si="4"/>
        <v>0</v>
      </c>
      <c r="AG59" s="35">
        <f ca="1">_xll.RiskBinomial(1,AF59)</f>
        <v>0</v>
      </c>
      <c r="AH59" s="88">
        <f ca="1">IF(AG59=1,_xll.RiskBinomial(1,Prob_Illness_Given_Infection),0)</f>
        <v>0</v>
      </c>
      <c r="AI59" s="30"/>
      <c r="AJ59" s="87">
        <f t="shared" ca="1" si="39"/>
        <v>4.5637284454145606E-5</v>
      </c>
      <c r="AK59" s="37">
        <f ca="1">INT(AJ59) + _xll.RiskBinomial(1,AJ59-INT(AJ59))</f>
        <v>0</v>
      </c>
      <c r="AL59" s="30">
        <f t="shared" ca="1" si="5"/>
        <v>0</v>
      </c>
      <c r="AM59" s="35">
        <f ca="1">_xll.RiskBinomial(1,AL59)</f>
        <v>0</v>
      </c>
      <c r="AN59" s="88">
        <f ca="1">IF(AM59=1,_xll.RiskBinomial(1,Prob_Illness_Given_Infection),0)</f>
        <v>0</v>
      </c>
      <c r="AO59" s="30"/>
      <c r="AP59" s="87">
        <f t="shared" ca="1" si="40"/>
        <v>1.1098546581877425E-9</v>
      </c>
      <c r="AQ59" s="37">
        <f ca="1">INT(AP59) + _xll.RiskBinomial(1,AP59-INT(AP59))</f>
        <v>0</v>
      </c>
      <c r="AR59" s="30">
        <f t="shared" ca="1" si="6"/>
        <v>0</v>
      </c>
      <c r="AS59" s="35">
        <f ca="1">_xll.RiskBinomial(1,AR59)</f>
        <v>0</v>
      </c>
      <c r="AT59" s="88">
        <f ca="1">IF(AS59=1,_xll.RiskBinomial(1,Prob_Illness_Given_Infection),0)</f>
        <v>0</v>
      </c>
      <c r="AU59" s="30"/>
      <c r="AV59" s="87">
        <f t="shared" ca="1" si="41"/>
        <v>2.5748050295118288E-5</v>
      </c>
      <c r="AW59" s="37">
        <f ca="1">INT(AV59) + _xll.RiskBinomial(1,AV59-INT(AV59))</f>
        <v>0</v>
      </c>
      <c r="AX59" s="30">
        <f t="shared" ca="1" si="7"/>
        <v>0</v>
      </c>
      <c r="AY59" s="35">
        <f ca="1">_xll.RiskBinomial(1,AX59)</f>
        <v>0</v>
      </c>
      <c r="AZ59" s="88">
        <f ca="1">IF(AY59=1,_xll.RiskBinomial(1,Prob_Illness_Given_Infection),0)</f>
        <v>0</v>
      </c>
      <c r="BB59" s="87">
        <f t="shared" ca="1" si="42"/>
        <v>3.5339453372808461E-5</v>
      </c>
      <c r="BC59" s="37">
        <f ca="1">INT(BB59) + _xll.RiskBinomial(1,BB59-INT(BB59))</f>
        <v>0</v>
      </c>
      <c r="BD59" s="30">
        <f t="shared" ca="1" si="8"/>
        <v>0</v>
      </c>
      <c r="BE59" s="35">
        <f ca="1">_xll.RiskBinomial(1,BD59)</f>
        <v>0</v>
      </c>
      <c r="BF59" s="88">
        <f ca="1">IF(BE59=1,_xll.RiskBinomial(1,Prob_Illness_Given_Infection),0)</f>
        <v>0</v>
      </c>
      <c r="BH59" s="87">
        <f t="shared" ca="1" si="43"/>
        <v>4.4742276208672768E-5</v>
      </c>
      <c r="BI59" s="37">
        <f ca="1">INT(BH59) + _xll.RiskBinomial(1,BH59-INT(BH59))</f>
        <v>0</v>
      </c>
      <c r="BJ59" s="30">
        <f t="shared" ca="1" si="9"/>
        <v>0</v>
      </c>
      <c r="BK59" s="35">
        <f ca="1">_xll.RiskBinomial(1,BJ59)</f>
        <v>0</v>
      </c>
      <c r="BL59" s="88">
        <f ca="1">IF(BK59=1,_xll.RiskBinomial(1,Prob_Illness_Given_Infection),0)</f>
        <v>0</v>
      </c>
      <c r="BN59" s="87">
        <f t="shared" ca="1" si="44"/>
        <v>3.4051423385971085E-6</v>
      </c>
      <c r="BO59" s="37">
        <f ca="1">INT(BN59) + _xll.RiskBinomial(1,BN59-INT(BN59))</f>
        <v>0</v>
      </c>
      <c r="BP59" s="30">
        <f t="shared" ca="1" si="10"/>
        <v>0</v>
      </c>
      <c r="BQ59" s="35">
        <f ca="1">_xll.RiskBinomial(1,BP59)</f>
        <v>0</v>
      </c>
      <c r="BR59" s="88">
        <f ca="1">IF(BQ59=1,_xll.RiskBinomial(1,Prob_Illness_Given_Infection),0)</f>
        <v>0</v>
      </c>
      <c r="BT59" s="87">
        <f t="shared" ca="1" si="45"/>
        <v>1.0239227013430291E-5</v>
      </c>
      <c r="BU59" s="37">
        <f ca="1">INT(BT59) + _xll.RiskBinomial(1,BT59-INT(BT59))</f>
        <v>0</v>
      </c>
      <c r="BV59" s="30">
        <f t="shared" ca="1" si="11"/>
        <v>0</v>
      </c>
      <c r="BW59" s="35">
        <f ca="1">_xll.RiskBinomial(1,BV59)</f>
        <v>0</v>
      </c>
      <c r="BX59" s="88">
        <f ca="1">IF(BW59=1,_xll.RiskBinomial(1,Prob_Illness_Given_Infection),0)</f>
        <v>0</v>
      </c>
      <c r="BZ59" s="87">
        <f t="shared" ca="1" si="46"/>
        <v>2.8069172797028936E-5</v>
      </c>
      <c r="CA59" s="37">
        <f ca="1">INT(BZ59) + _xll.RiskBinomial(1,BZ59-INT(BZ59))</f>
        <v>0</v>
      </c>
      <c r="CB59" s="30">
        <f t="shared" ca="1" si="12"/>
        <v>0</v>
      </c>
      <c r="CC59" s="35">
        <f ca="1">_xll.RiskBinomial(1,CB59)</f>
        <v>0</v>
      </c>
      <c r="CD59" s="88">
        <f ca="1">IF(CC59=1,_xll.RiskBinomial(1,Prob_Illness_Given_Infection),0)</f>
        <v>0</v>
      </c>
      <c r="CF59" s="87">
        <f t="shared" ca="1" si="47"/>
        <v>5.3258445873916926E-6</v>
      </c>
      <c r="CG59" s="37">
        <f ca="1">INT(CF59) + _xll.RiskBinomial(1,CF59-INT(CF59))</f>
        <v>0</v>
      </c>
      <c r="CH59" s="30">
        <f t="shared" ca="1" si="13"/>
        <v>0</v>
      </c>
      <c r="CI59" s="35">
        <f ca="1">_xll.RiskBinomial(1,CH59)</f>
        <v>0</v>
      </c>
      <c r="CJ59" s="88">
        <f ca="1">IF(CI59=1,_xll.RiskBinomial(1,Prob_Illness_Given_Infection),0)</f>
        <v>0</v>
      </c>
      <c r="CL59" s="87">
        <f t="shared" ca="1" si="48"/>
        <v>1.0277389053517301E-5</v>
      </c>
      <c r="CM59" s="37">
        <f ca="1">INT(CL59) + _xll.RiskBinomial(1,CL59-INT(CL59))</f>
        <v>0</v>
      </c>
      <c r="CN59" s="30">
        <f t="shared" ca="1" si="14"/>
        <v>0</v>
      </c>
      <c r="CO59" s="35">
        <f ca="1">_xll.RiskBinomial(1,CN59)</f>
        <v>0</v>
      </c>
      <c r="CP59" s="88">
        <f ca="1">IF(CO59=1,_xll.RiskBinomial(1,Prob_Illness_Given_Infection),0)</f>
        <v>0</v>
      </c>
      <c r="CR59" s="87">
        <f t="shared" ca="1" si="49"/>
        <v>7.0828654709481832E-8</v>
      </c>
      <c r="CS59" s="37">
        <f ca="1">INT(CR59) + _xll.RiskBinomial(1,CR59-INT(CR59))</f>
        <v>0</v>
      </c>
      <c r="CT59" s="30">
        <f t="shared" ca="1" si="15"/>
        <v>0</v>
      </c>
      <c r="CU59" s="35">
        <f ca="1">_xll.RiskBinomial(1,CT59)</f>
        <v>0</v>
      </c>
      <c r="CV59" s="88">
        <f ca="1">IF(CU59=1,_xll.RiskBinomial(1,Prob_Illness_Given_Infection),0)</f>
        <v>0</v>
      </c>
      <c r="CX59" s="87">
        <f t="shared" ca="1" si="50"/>
        <v>7.2102765289636187E-10</v>
      </c>
      <c r="CY59" s="37">
        <f ca="1">INT(CX59) + _xll.RiskBinomial(1,CX59-INT(CX59))</f>
        <v>0</v>
      </c>
      <c r="CZ59" s="30">
        <f t="shared" ca="1" si="16"/>
        <v>0</v>
      </c>
      <c r="DA59" s="35">
        <f ca="1">_xll.RiskBinomial(1,CZ59)</f>
        <v>0</v>
      </c>
      <c r="DB59" s="88">
        <f ca="1">IF(DA59=1,_xll.RiskBinomial(1,Prob_Illness_Given_Infection),0)</f>
        <v>0</v>
      </c>
      <c r="DD59" s="87">
        <f t="shared" ca="1" si="51"/>
        <v>7.2102765289636187E-10</v>
      </c>
      <c r="DE59" s="37">
        <f ca="1">INT(DD59) + _xll.RiskBinomial(1,DD59-INT(DD59))</f>
        <v>0</v>
      </c>
      <c r="DF59" s="30">
        <f t="shared" ca="1" si="17"/>
        <v>0</v>
      </c>
      <c r="DG59" s="35">
        <f ca="1">_xll.RiskBinomial(1,DF59)</f>
        <v>0</v>
      </c>
      <c r="DH59" s="88">
        <f ca="1">IF(DG59=1,_xll.RiskBinomial(1,Prob_Illness_Given_Infection),0)</f>
        <v>0</v>
      </c>
      <c r="DJ59" s="87">
        <f t="shared" ca="1" si="52"/>
        <v>1.1773381125210656E-6</v>
      </c>
      <c r="DK59" s="37">
        <f ca="1">INT(DJ59) + _xll.RiskBinomial(1,DJ59-INT(DJ59))</f>
        <v>0</v>
      </c>
      <c r="DL59" s="30">
        <f t="shared" ca="1" si="18"/>
        <v>0</v>
      </c>
      <c r="DM59" s="35">
        <f ca="1">_xll.RiskBinomial(1,DL59)</f>
        <v>0</v>
      </c>
      <c r="DN59" s="88">
        <f ca="1">IF(DM59=1,_xll.RiskBinomial(1,Prob_Illness_Given_Infection),0)</f>
        <v>0</v>
      </c>
      <c r="DP59" s="87">
        <f t="shared" ca="1" si="53"/>
        <v>2.7831666202295605E-10</v>
      </c>
      <c r="DQ59" s="37">
        <f ca="1">INT(DP59) + _xll.RiskBinomial(1,DP59-INT(DP59))</f>
        <v>0</v>
      </c>
      <c r="DR59" s="30">
        <f t="shared" ca="1" si="19"/>
        <v>0</v>
      </c>
      <c r="DS59" s="35">
        <f ca="1">_xll.RiskBinomial(1,DR59)</f>
        <v>0</v>
      </c>
      <c r="DT59" s="88">
        <f ca="1">IF(DS59=1,_xll.RiskBinomial(1,Prob_Illness_Given_Infection),0)</f>
        <v>0</v>
      </c>
      <c r="DV59" s="87">
        <f t="shared" ca="1" si="54"/>
        <v>3.9181585755344526E-9</v>
      </c>
      <c r="DW59" s="37">
        <f ca="1">INT(DV59) + _xll.RiskBinomial(1,DV59-INT(DV59))</f>
        <v>0</v>
      </c>
      <c r="DX59" s="30">
        <f t="shared" ca="1" si="20"/>
        <v>0</v>
      </c>
      <c r="DY59" s="35">
        <f ca="1">_xll.RiskBinomial(1,DX59)</f>
        <v>0</v>
      </c>
      <c r="DZ59" s="88">
        <f ca="1">IF(DY59=1,_xll.RiskBinomial(1,Prob_Illness_Given_Infection),0)</f>
        <v>0</v>
      </c>
      <c r="EB59" s="87">
        <f t="shared" ca="1" si="55"/>
        <v>9.8319298166841655E-13</v>
      </c>
      <c r="EC59" s="37">
        <f ca="1">INT(EB59) + _xll.RiskBinomial(1,EB59-INT(EB59))</f>
        <v>0</v>
      </c>
      <c r="ED59" s="30">
        <f t="shared" ca="1" si="21"/>
        <v>0</v>
      </c>
      <c r="EE59" s="35">
        <f ca="1">_xll.RiskBinomial(1,ED59)</f>
        <v>0</v>
      </c>
      <c r="EF59" s="88">
        <f ca="1">IF(EE59=1,_xll.RiskBinomial(1,Prob_Illness_Given_Infection),0)</f>
        <v>0</v>
      </c>
      <c r="EH59" s="87">
        <f t="shared" ca="1" si="56"/>
        <v>9.83192981667406E-13</v>
      </c>
      <c r="EI59" s="37">
        <f ca="1">INT(EH59) + _xll.RiskBinomial(1,EH59-INT(EH59))</f>
        <v>0</v>
      </c>
      <c r="EJ59" s="30">
        <f t="shared" ca="1" si="22"/>
        <v>0</v>
      </c>
      <c r="EK59" s="35">
        <f ca="1">_xll.RiskBinomial(1,EJ59)</f>
        <v>0</v>
      </c>
      <c r="EL59" s="88">
        <f ca="1">IF(EK59=1,_xll.RiskBinomial(1,Prob_Illness_Given_Infection),0)</f>
        <v>0</v>
      </c>
      <c r="EN59" s="87">
        <f t="shared" ca="1" si="57"/>
        <v>8.9710423753202566E-11</v>
      </c>
      <c r="EO59" s="37">
        <f ca="1">INT(EN59) + _xll.RiskBinomial(1,EN59-INT(EN59))</f>
        <v>0</v>
      </c>
      <c r="EP59" s="30">
        <f t="shared" ca="1" si="23"/>
        <v>0</v>
      </c>
      <c r="EQ59" s="35">
        <f ca="1">_xll.RiskBinomial(1,EP59)</f>
        <v>0</v>
      </c>
      <c r="ER59" s="88">
        <f ca="1">IF(EQ59=1,_xll.RiskBinomial(1,Prob_Illness_Given_Infection),0)</f>
        <v>0</v>
      </c>
      <c r="ET59" s="87">
        <f t="shared" ca="1" si="58"/>
        <v>9.8319298166646835E-13</v>
      </c>
      <c r="EU59" s="37">
        <f ca="1">INT(ET59) + _xll.RiskBinomial(1,ET59-INT(ET59))</f>
        <v>0</v>
      </c>
      <c r="EV59" s="30">
        <f t="shared" ca="1" si="24"/>
        <v>0</v>
      </c>
      <c r="EW59" s="35">
        <f ca="1">_xll.RiskBinomial(1,EV59)</f>
        <v>0</v>
      </c>
      <c r="EX59" s="88">
        <f ca="1">IF(EW59=1,_xll.RiskBinomial(1,Prob_Illness_Given_Infection),0)</f>
        <v>0</v>
      </c>
      <c r="EZ59" s="87">
        <f t="shared" ca="1" si="59"/>
        <v>7.4154415005596613E-6</v>
      </c>
      <c r="FA59" s="37">
        <f ca="1">INT(EZ59) + _xll.RiskBinomial(1,EZ59-INT(EZ59))</f>
        <v>0</v>
      </c>
      <c r="FB59" s="30">
        <f t="shared" ca="1" si="25"/>
        <v>0</v>
      </c>
      <c r="FC59" s="35">
        <f ca="1">_xll.RiskBinomial(1,FB59)</f>
        <v>0</v>
      </c>
      <c r="FD59" s="88">
        <f ca="1">IF(FC59=1,_xll.RiskBinomial(1,Prob_Illness_Given_Infection),0)</f>
        <v>0</v>
      </c>
      <c r="FF59" s="87">
        <f t="shared" ca="1" si="60"/>
        <v>5.1655131921720536E-5</v>
      </c>
      <c r="FG59" s="37">
        <f ca="1">INT(FF59) + _xll.RiskBinomial(1,FF59-INT(FF59))</f>
        <v>0</v>
      </c>
      <c r="FH59" s="30">
        <f t="shared" ca="1" si="26"/>
        <v>0</v>
      </c>
      <c r="FI59" s="35">
        <f ca="1">_xll.RiskBinomial(1,FH59)</f>
        <v>0</v>
      </c>
      <c r="FJ59" s="88">
        <f ca="1">IF(FI59=1,_xll.RiskBinomial(1,Prob_Illness_Given_Infection),0)</f>
        <v>0</v>
      </c>
      <c r="FL59" s="87" t="e">
        <f t="shared" ca="1" si="61"/>
        <v>#NAME?</v>
      </c>
      <c r="FM59" s="37" t="e">
        <f ca="1">INT(FL59) + _xll.RiskBinomial(1,FL59-INT(FL59))</f>
        <v>#NAME?</v>
      </c>
      <c r="FN59" s="30" t="e">
        <f t="shared" ca="1" si="27"/>
        <v>#NAME?</v>
      </c>
      <c r="FO59" s="35" t="e">
        <f ca="1">_xll.RiskBinomial(1,FN59)</f>
        <v>#VALUE!</v>
      </c>
      <c r="FP59" s="88" t="e">
        <f ca="1">IF(FO59=1,_xll.RiskBinomial(1,Prob_Illness_Given_Infection),0)</f>
        <v>#VALUE!</v>
      </c>
      <c r="FR59" s="87" t="e">
        <f t="shared" ca="1" si="62"/>
        <v>#NAME?</v>
      </c>
      <c r="FS59" s="37" t="e">
        <f ca="1">INT(FR59) + _xll.RiskBinomial(1,FR59-INT(FR59))</f>
        <v>#NAME?</v>
      </c>
      <c r="FT59" s="30" t="e">
        <f t="shared" ca="1" si="28"/>
        <v>#NAME?</v>
      </c>
      <c r="FU59" s="35" t="e">
        <f ca="1">_xll.RiskBinomial(1,FT59)</f>
        <v>#VALUE!</v>
      </c>
      <c r="FV59" s="88" t="e">
        <f ca="1">IF(FU59=1,_xll.RiskBinomial(1,Prob_Illness_Given_Infection),0)</f>
        <v>#VALUE!</v>
      </c>
      <c r="FX59" s="87">
        <f t="shared" ca="1" si="63"/>
        <v>1.038022759140474E-7</v>
      </c>
      <c r="FY59" s="37">
        <f ca="1">INT(FX59) + _xll.RiskBinomial(1,FX59-INT(FX59))</f>
        <v>0</v>
      </c>
      <c r="FZ59" s="30">
        <f t="shared" ca="1" si="29"/>
        <v>0</v>
      </c>
      <c r="GA59" s="35">
        <f ca="1">_xll.RiskBinomial(1,FZ59)</f>
        <v>0</v>
      </c>
      <c r="GB59" s="88">
        <f ca="1">IF(GA59=1,_xll.RiskBinomial(1,Prob_Illness_Given_Infection),0)</f>
        <v>0</v>
      </c>
      <c r="GD59" s="87" t="e">
        <f t="shared" ca="1" si="64"/>
        <v>#NAME?</v>
      </c>
      <c r="GE59" s="37" t="e">
        <f ca="1">INT(GD59) + _xll.RiskBinomial(1,GD59-INT(GD59))</f>
        <v>#NAME?</v>
      </c>
      <c r="GF59" s="30" t="e">
        <f t="shared" ca="1" si="30"/>
        <v>#NAME?</v>
      </c>
      <c r="GG59" s="35" t="e">
        <f ca="1">_xll.RiskBinomial(1,GF59)</f>
        <v>#VALUE!</v>
      </c>
      <c r="GH59" s="88" t="e">
        <f ca="1">IF(GG59=1,_xll.RiskBinomial(1,Prob_Illness_Given_Infection),0)</f>
        <v>#VALUE!</v>
      </c>
      <c r="GJ59" s="87" t="e">
        <f t="shared" ca="1" si="65"/>
        <v>#NAME?</v>
      </c>
      <c r="GK59" s="37" t="e">
        <f ca="1">INT(GJ59) + _xll.RiskBinomial(1,GJ59-INT(GJ59))</f>
        <v>#NAME?</v>
      </c>
      <c r="GL59" s="30" t="e">
        <f t="shared" ca="1" si="31"/>
        <v>#NAME?</v>
      </c>
      <c r="GM59" s="35" t="e">
        <f ca="1">_xll.RiskBinomial(1,GL59)</f>
        <v>#VALUE!</v>
      </c>
      <c r="GN59" s="88" t="e">
        <f ca="1">IF(GM59=1,_xll.RiskBinomial(1,Prob_Illness_Given_Infection),0)</f>
        <v>#VALUE!</v>
      </c>
      <c r="GP59" s="87" t="e">
        <f t="shared" ca="1" si="66"/>
        <v>#NAME?</v>
      </c>
      <c r="GQ59" s="37" t="e">
        <f ca="1">INT(GP59) + _xll.RiskBinomial(1,GP59-INT(GP59))</f>
        <v>#NAME?</v>
      </c>
      <c r="GR59" s="30" t="e">
        <f t="shared" ca="1" si="32"/>
        <v>#NAME?</v>
      </c>
      <c r="GS59" s="35" t="e">
        <f ca="1">_xll.RiskBinomial(1,GR59)</f>
        <v>#VALUE!</v>
      </c>
      <c r="GT59" s="88" t="e">
        <f ca="1">IF(GS59=1,_xll.RiskBinomial(1,Prob_Illness_Given_Infection),0)</f>
        <v>#VALUE!</v>
      </c>
    </row>
    <row r="60" spans="2:202">
      <c r="B60" s="108">
        <v>52</v>
      </c>
      <c r="C60" s="87">
        <f ca="1">_xll.RiskLoglogistic(LogLogistic_gamma, LogLogistic_beta, LogLogistic_alpha, _xll.RiskTruncate(5,800))</f>
        <v>37.682028665293338</v>
      </c>
      <c r="D60" s="38">
        <f t="shared" ca="1" si="67"/>
        <v>2.4207552193499011</v>
      </c>
      <c r="E60" s="30"/>
      <c r="F60" s="87">
        <f t="shared" ca="1" si="34"/>
        <v>8.7398750620660686E-10</v>
      </c>
      <c r="G60" s="37">
        <f ca="1">INT(F60) + _xll.RiskBinomial(1,F60-INT(F60))</f>
        <v>0</v>
      </c>
      <c r="H60" s="30">
        <f t="shared" ca="1" si="68"/>
        <v>0</v>
      </c>
      <c r="I60" s="35">
        <f ca="1">_xll.RiskBinomial(1,H60)</f>
        <v>0</v>
      </c>
      <c r="J60" s="88">
        <f ca="1">IF(I60=1,_xll.RiskBinomial(1,Prob_Illness_Given_Infection),0)</f>
        <v>0</v>
      </c>
      <c r="K60" s="30"/>
      <c r="L60" s="87">
        <f t="shared" ca="1" si="35"/>
        <v>4.4641004532818865E-5</v>
      </c>
      <c r="M60" s="37">
        <f ca="1">INT(L60) + _xll.RiskBinomial(1,L60-INT(L60))</f>
        <v>0</v>
      </c>
      <c r="N60" s="30">
        <f t="shared" ca="1" si="1"/>
        <v>0</v>
      </c>
      <c r="O60" s="35">
        <f ca="1">_xll.RiskBinomial(1,N60)</f>
        <v>0</v>
      </c>
      <c r="P60" s="88">
        <f ca="1">IF(O60=1,_xll.RiskBinomial(1,Prob_Illness_Given_Infection),0)</f>
        <v>0</v>
      </c>
      <c r="Q60" s="30"/>
      <c r="R60" s="87">
        <f t="shared" ca="1" si="36"/>
        <v>4.6147982789965886E-6</v>
      </c>
      <c r="S60" s="37">
        <f ca="1">INT(R60) + _xll.RiskBinomial(1,R60-INT(R60))</f>
        <v>0</v>
      </c>
      <c r="T60" s="30">
        <f t="shared" ca="1" si="2"/>
        <v>0</v>
      </c>
      <c r="U60" s="35">
        <f ca="1">_xll.RiskBinomial(1,T60)</f>
        <v>0</v>
      </c>
      <c r="V60" s="88">
        <f ca="1">IF(U60=1,_xll.RiskBinomial(1,Prob_Illness_Given_Infection),0)</f>
        <v>0</v>
      </c>
      <c r="W60" s="30"/>
      <c r="X60" s="87">
        <f t="shared" ca="1" si="37"/>
        <v>1.8958793675866594E-12</v>
      </c>
      <c r="Y60" s="37">
        <f ca="1">INT(X60) + _xll.RiskBinomial(1,X60-INT(X60))</f>
        <v>0</v>
      </c>
      <c r="Z60" s="30">
        <f t="shared" ca="1" si="3"/>
        <v>0</v>
      </c>
      <c r="AA60" s="35">
        <f ca="1">_xll.RiskBinomial(1,Z60)</f>
        <v>0</v>
      </c>
      <c r="AB60" s="88">
        <f ca="1">IF(AA60=1,_xll.RiskBinomial(1,Prob_Illness_Given_Infection),0)</f>
        <v>0</v>
      </c>
      <c r="AC60" s="30"/>
      <c r="AD60" s="87">
        <f t="shared" ca="1" si="38"/>
        <v>9.5517760241311708E-13</v>
      </c>
      <c r="AE60" s="37">
        <f ca="1">INT(AD60) + _xll.RiskBinomial(1,AD60-INT(AD60))</f>
        <v>0</v>
      </c>
      <c r="AF60" s="30">
        <f t="shared" ca="1" si="4"/>
        <v>0</v>
      </c>
      <c r="AG60" s="35">
        <f ca="1">_xll.RiskBinomial(1,AF60)</f>
        <v>0</v>
      </c>
      <c r="AH60" s="88">
        <f ca="1">IF(AG60=1,_xll.RiskBinomial(1,Prob_Illness_Given_Infection),0)</f>
        <v>0</v>
      </c>
      <c r="AI60" s="30"/>
      <c r="AJ60" s="87">
        <f t="shared" ca="1" si="39"/>
        <v>4.4336882746629446E-5</v>
      </c>
      <c r="AK60" s="37">
        <f ca="1">INT(AJ60) + _xll.RiskBinomial(1,AJ60-INT(AJ60))</f>
        <v>0</v>
      </c>
      <c r="AL60" s="30">
        <f t="shared" ca="1" si="5"/>
        <v>0</v>
      </c>
      <c r="AM60" s="35">
        <f ca="1">_xll.RiskBinomial(1,AL60)</f>
        <v>0</v>
      </c>
      <c r="AN60" s="88">
        <f ca="1">IF(AM60=1,_xll.RiskBinomial(1,Prob_Illness_Given_Infection),0)</f>
        <v>0</v>
      </c>
      <c r="AO60" s="30"/>
      <c r="AP60" s="87">
        <f t="shared" ca="1" si="40"/>
        <v>1.0782301452513465E-9</v>
      </c>
      <c r="AQ60" s="37">
        <f ca="1">INT(AP60) + _xll.RiskBinomial(1,AP60-INT(AP60))</f>
        <v>0</v>
      </c>
      <c r="AR60" s="30">
        <f t="shared" ca="1" si="6"/>
        <v>0</v>
      </c>
      <c r="AS60" s="35">
        <f ca="1">_xll.RiskBinomial(1,AR60)</f>
        <v>0</v>
      </c>
      <c r="AT60" s="88">
        <f ca="1">IF(AS60=1,_xll.RiskBinomial(1,Prob_Illness_Given_Infection),0)</f>
        <v>0</v>
      </c>
      <c r="AU60" s="30"/>
      <c r="AV60" s="87">
        <f t="shared" ca="1" si="41"/>
        <v>2.5014378058273741E-5</v>
      </c>
      <c r="AW60" s="37">
        <f ca="1">INT(AV60) + _xll.RiskBinomial(1,AV60-INT(AV60))</f>
        <v>0</v>
      </c>
      <c r="AX60" s="30">
        <f t="shared" ca="1" si="7"/>
        <v>0</v>
      </c>
      <c r="AY60" s="35">
        <f ca="1">_xll.RiskBinomial(1,AX60)</f>
        <v>0</v>
      </c>
      <c r="AZ60" s="88">
        <f ca="1">IF(AY60=1,_xll.RiskBinomial(1,Prob_Illness_Given_Infection),0)</f>
        <v>0</v>
      </c>
      <c r="BB60" s="87">
        <f t="shared" ca="1" si="42"/>
        <v>3.4332480980424728E-5</v>
      </c>
      <c r="BC60" s="37">
        <f ca="1">INT(BB60) + _xll.RiskBinomial(1,BB60-INT(BB60))</f>
        <v>0</v>
      </c>
      <c r="BD60" s="30">
        <f t="shared" ca="1" si="8"/>
        <v>0</v>
      </c>
      <c r="BE60" s="35">
        <f ca="1">_xll.RiskBinomial(1,BD60)</f>
        <v>0</v>
      </c>
      <c r="BF60" s="88">
        <f ca="1">IF(BE60=1,_xll.RiskBinomial(1,Prob_Illness_Given_Infection),0)</f>
        <v>0</v>
      </c>
      <c r="BH60" s="87">
        <f t="shared" ca="1" si="43"/>
        <v>4.3467377119565538E-5</v>
      </c>
      <c r="BI60" s="37">
        <f ca="1">INT(BH60) + _xll.RiskBinomial(1,BH60-INT(BH60))</f>
        <v>0</v>
      </c>
      <c r="BJ60" s="30">
        <f t="shared" ca="1" si="9"/>
        <v>0</v>
      </c>
      <c r="BK60" s="35">
        <f ca="1">_xll.RiskBinomial(1,BJ60)</f>
        <v>0</v>
      </c>
      <c r="BL60" s="88">
        <f ca="1">IF(BK60=1,_xll.RiskBinomial(1,Prob_Illness_Given_Infection),0)</f>
        <v>0</v>
      </c>
      <c r="BN60" s="87">
        <f t="shared" ca="1" si="44"/>
        <v>3.3081152484796768E-6</v>
      </c>
      <c r="BO60" s="37">
        <f ca="1">INT(BN60) + _xll.RiskBinomial(1,BN60-INT(BN60))</f>
        <v>0</v>
      </c>
      <c r="BP60" s="30">
        <f t="shared" ca="1" si="10"/>
        <v>0</v>
      </c>
      <c r="BQ60" s="35">
        <f ca="1">_xll.RiskBinomial(1,BP60)</f>
        <v>0</v>
      </c>
      <c r="BR60" s="88">
        <f ca="1">IF(BQ60=1,_xll.RiskBinomial(1,Prob_Illness_Given_Infection),0)</f>
        <v>0</v>
      </c>
      <c r="BT60" s="87">
        <f t="shared" ca="1" si="45"/>
        <v>9.947467579205216E-6</v>
      </c>
      <c r="BU60" s="37">
        <f ca="1">INT(BT60) + _xll.RiskBinomial(1,BT60-INT(BT60))</f>
        <v>0</v>
      </c>
      <c r="BV60" s="30">
        <f t="shared" ca="1" si="11"/>
        <v>0</v>
      </c>
      <c r="BW60" s="35">
        <f ca="1">_xll.RiskBinomial(1,BV60)</f>
        <v>0</v>
      </c>
      <c r="BX60" s="88">
        <f ca="1">IF(BW60=1,_xll.RiskBinomial(1,Prob_Illness_Given_Infection),0)</f>
        <v>0</v>
      </c>
      <c r="BZ60" s="87">
        <f t="shared" ca="1" si="46"/>
        <v>2.7269361838283189E-5</v>
      </c>
      <c r="CA60" s="37">
        <f ca="1">INT(BZ60) + _xll.RiskBinomial(1,BZ60-INT(BZ60))</f>
        <v>0</v>
      </c>
      <c r="CB60" s="30">
        <f t="shared" ca="1" si="12"/>
        <v>0</v>
      </c>
      <c r="CC60" s="35">
        <f ca="1">_xll.RiskBinomial(1,CB60)</f>
        <v>0</v>
      </c>
      <c r="CD60" s="88">
        <f ca="1">IF(CC60=1,_xll.RiskBinomial(1,Prob_Illness_Given_Infection),0)</f>
        <v>0</v>
      </c>
      <c r="CF60" s="87">
        <f t="shared" ca="1" si="47"/>
        <v>5.174088463462615E-6</v>
      </c>
      <c r="CG60" s="37">
        <f ca="1">INT(CF60) + _xll.RiskBinomial(1,CF60-INT(CF60))</f>
        <v>0</v>
      </c>
      <c r="CH60" s="30">
        <f t="shared" ca="1" si="13"/>
        <v>0</v>
      </c>
      <c r="CI60" s="35">
        <f ca="1">_xll.RiskBinomial(1,CH60)</f>
        <v>0</v>
      </c>
      <c r="CJ60" s="88">
        <f ca="1">IF(CI60=1,_xll.RiskBinomial(1,Prob_Illness_Given_Infection),0)</f>
        <v>0</v>
      </c>
      <c r="CL60" s="87">
        <f t="shared" ca="1" si="48"/>
        <v>9.9845422193146624E-6</v>
      </c>
      <c r="CM60" s="37">
        <f ca="1">INT(CL60) + _xll.RiskBinomial(1,CL60-INT(CL60))</f>
        <v>0</v>
      </c>
      <c r="CN60" s="30">
        <f t="shared" ca="1" si="14"/>
        <v>0</v>
      </c>
      <c r="CO60" s="35">
        <f ca="1">_xll.RiskBinomial(1,CN60)</f>
        <v>0</v>
      </c>
      <c r="CP60" s="88">
        <f ca="1">IF(CO60=1,_xll.RiskBinomial(1,Prob_Illness_Given_Infection),0)</f>
        <v>0</v>
      </c>
      <c r="CR60" s="87">
        <f t="shared" ca="1" si="49"/>
        <v>6.8810442963824028E-8</v>
      </c>
      <c r="CS60" s="37">
        <f ca="1">INT(CR60) + _xll.RiskBinomial(1,CR60-INT(CR60))</f>
        <v>0</v>
      </c>
      <c r="CT60" s="30">
        <f t="shared" ca="1" si="15"/>
        <v>0</v>
      </c>
      <c r="CU60" s="35">
        <f ca="1">_xll.RiskBinomial(1,CT60)</f>
        <v>0</v>
      </c>
      <c r="CV60" s="88">
        <f ca="1">IF(CU60=1,_xll.RiskBinomial(1,Prob_Illness_Given_Infection),0)</f>
        <v>0</v>
      </c>
      <c r="CX60" s="87">
        <f t="shared" ca="1" si="50"/>
        <v>7.0048248676284912E-10</v>
      </c>
      <c r="CY60" s="37">
        <f ca="1">INT(CX60) + _xll.RiskBinomial(1,CX60-INT(CX60))</f>
        <v>0</v>
      </c>
      <c r="CZ60" s="30">
        <f t="shared" ca="1" si="16"/>
        <v>0</v>
      </c>
      <c r="DA60" s="35">
        <f ca="1">_xll.RiskBinomial(1,CZ60)</f>
        <v>0</v>
      </c>
      <c r="DB60" s="88">
        <f ca="1">IF(DA60=1,_xll.RiskBinomial(1,Prob_Illness_Given_Infection),0)</f>
        <v>0</v>
      </c>
      <c r="DD60" s="87">
        <f t="shared" ca="1" si="51"/>
        <v>7.0048248676284912E-10</v>
      </c>
      <c r="DE60" s="37">
        <f ca="1">INT(DD60) + _xll.RiskBinomial(1,DD60-INT(DD60))</f>
        <v>0</v>
      </c>
      <c r="DF60" s="30">
        <f t="shared" ca="1" si="17"/>
        <v>0</v>
      </c>
      <c r="DG60" s="35">
        <f ca="1">_xll.RiskBinomial(1,DF60)</f>
        <v>0</v>
      </c>
      <c r="DH60" s="88">
        <f ca="1">IF(DG60=1,_xll.RiskBinomial(1,Prob_Illness_Given_Infection),0)</f>
        <v>0</v>
      </c>
      <c r="DJ60" s="87">
        <f t="shared" ca="1" si="52"/>
        <v>1.1437907069258764E-6</v>
      </c>
      <c r="DK60" s="37">
        <f ca="1">INT(DJ60) + _xll.RiskBinomial(1,DJ60-INT(DJ60))</f>
        <v>0</v>
      </c>
      <c r="DL60" s="30">
        <f t="shared" ca="1" si="18"/>
        <v>0</v>
      </c>
      <c r="DM60" s="35">
        <f ca="1">_xll.RiskBinomial(1,DL60)</f>
        <v>0</v>
      </c>
      <c r="DN60" s="88">
        <f ca="1">IF(DM60=1,_xll.RiskBinomial(1,Prob_Illness_Given_Infection),0)</f>
        <v>0</v>
      </c>
      <c r="DP60" s="87">
        <f t="shared" ca="1" si="53"/>
        <v>2.7038622823721023E-10</v>
      </c>
      <c r="DQ60" s="37">
        <f ca="1">INT(DP60) + _xll.RiskBinomial(1,DP60-INT(DP60))</f>
        <v>0</v>
      </c>
      <c r="DR60" s="30">
        <f t="shared" ca="1" si="19"/>
        <v>0</v>
      </c>
      <c r="DS60" s="35">
        <f ca="1">_xll.RiskBinomial(1,DR60)</f>
        <v>0</v>
      </c>
      <c r="DT60" s="88">
        <f ca="1">IF(DS60=1,_xll.RiskBinomial(1,Prob_Illness_Given_Infection),0)</f>
        <v>0</v>
      </c>
      <c r="DV60" s="87">
        <f t="shared" ca="1" si="54"/>
        <v>3.8065134554777689E-9</v>
      </c>
      <c r="DW60" s="37">
        <f ca="1">INT(DV60) + _xll.RiskBinomial(1,DV60-INT(DV60))</f>
        <v>0</v>
      </c>
      <c r="DX60" s="30">
        <f t="shared" ca="1" si="20"/>
        <v>0</v>
      </c>
      <c r="DY60" s="35">
        <f ca="1">_xll.RiskBinomial(1,DX60)</f>
        <v>0</v>
      </c>
      <c r="DZ60" s="88">
        <f ca="1">IF(DY60=1,_xll.RiskBinomial(1,Prob_Illness_Given_Infection),0)</f>
        <v>0</v>
      </c>
      <c r="EB60" s="87">
        <f t="shared" ca="1" si="55"/>
        <v>9.5517760241279639E-13</v>
      </c>
      <c r="EC60" s="37">
        <f ca="1">INT(EB60) + _xll.RiskBinomial(1,EB60-INT(EB60))</f>
        <v>0</v>
      </c>
      <c r="ED60" s="30">
        <f t="shared" ca="1" si="21"/>
        <v>0</v>
      </c>
      <c r="EE60" s="35">
        <f ca="1">_xll.RiskBinomial(1,ED60)</f>
        <v>0</v>
      </c>
      <c r="EF60" s="88">
        <f ca="1">IF(EE60=1,_xll.RiskBinomial(1,Prob_Illness_Given_Infection),0)</f>
        <v>0</v>
      </c>
      <c r="EH60" s="87">
        <f t="shared" ca="1" si="56"/>
        <v>9.5517760241181451E-13</v>
      </c>
      <c r="EI60" s="37">
        <f ca="1">INT(EH60) + _xll.RiskBinomial(1,EH60-INT(EH60))</f>
        <v>0</v>
      </c>
      <c r="EJ60" s="30">
        <f t="shared" ca="1" si="22"/>
        <v>0</v>
      </c>
      <c r="EK60" s="35">
        <f ca="1">_xll.RiskBinomial(1,EJ60)</f>
        <v>0</v>
      </c>
      <c r="EL60" s="88">
        <f ca="1">IF(EK60=1,_xll.RiskBinomial(1,Prob_Illness_Given_Infection),0)</f>
        <v>0</v>
      </c>
      <c r="EN60" s="87">
        <f t="shared" ca="1" si="57"/>
        <v>8.7154189533178417E-11</v>
      </c>
      <c r="EO60" s="37">
        <f ca="1">INT(EN60) + _xll.RiskBinomial(1,EN60-INT(EN60))</f>
        <v>0</v>
      </c>
      <c r="EP60" s="30">
        <f t="shared" ca="1" si="23"/>
        <v>0</v>
      </c>
      <c r="EQ60" s="35">
        <f ca="1">_xll.RiskBinomial(1,EP60)</f>
        <v>0</v>
      </c>
      <c r="ER60" s="88">
        <f ca="1">IF(EQ60=1,_xll.RiskBinomial(1,Prob_Illness_Given_Infection),0)</f>
        <v>0</v>
      </c>
      <c r="ET60" s="87">
        <f t="shared" ca="1" si="58"/>
        <v>9.5517760241090352E-13</v>
      </c>
      <c r="EU60" s="37">
        <f ca="1">INT(ET60) + _xll.RiskBinomial(1,ET60-INT(ET60))</f>
        <v>0</v>
      </c>
      <c r="EV60" s="30">
        <f t="shared" ca="1" si="24"/>
        <v>0</v>
      </c>
      <c r="EW60" s="35">
        <f ca="1">_xll.RiskBinomial(1,EV60)</f>
        <v>0</v>
      </c>
      <c r="EX60" s="88">
        <f ca="1">IF(EW60=1,_xll.RiskBinomial(1,Prob_Illness_Given_Infection),0)</f>
        <v>0</v>
      </c>
      <c r="EZ60" s="87">
        <f t="shared" ca="1" si="59"/>
        <v>7.2041438104220525E-6</v>
      </c>
      <c r="FA60" s="37">
        <f ca="1">INT(EZ60) + _xll.RiskBinomial(1,EZ60-INT(EZ60))</f>
        <v>0</v>
      </c>
      <c r="FB60" s="30">
        <f t="shared" ca="1" si="25"/>
        <v>0</v>
      </c>
      <c r="FC60" s="35">
        <f ca="1">_xll.RiskBinomial(1,FB60)</f>
        <v>0</v>
      </c>
      <c r="FD60" s="88">
        <f ca="1">IF(FC60=1,_xll.RiskBinomial(1,Prob_Illness_Given_Infection),0)</f>
        <v>0</v>
      </c>
      <c r="FF60" s="87">
        <f t="shared" ca="1" si="60"/>
        <v>5.0183255964235163E-5</v>
      </c>
      <c r="FG60" s="37">
        <f ca="1">INT(FF60) + _xll.RiskBinomial(1,FF60-INT(FF60))</f>
        <v>0</v>
      </c>
      <c r="FH60" s="30">
        <f t="shared" ca="1" si="26"/>
        <v>0</v>
      </c>
      <c r="FI60" s="35">
        <f ca="1">_xll.RiskBinomial(1,FH60)</f>
        <v>0</v>
      </c>
      <c r="FJ60" s="88">
        <f ca="1">IF(FI60=1,_xll.RiskBinomial(1,Prob_Illness_Given_Infection),0)</f>
        <v>0</v>
      </c>
      <c r="FL60" s="87" t="e">
        <f t="shared" ca="1" si="61"/>
        <v>#NAME?</v>
      </c>
      <c r="FM60" s="37" t="e">
        <f ca="1">INT(FL60) + _xll.RiskBinomial(1,FL60-INT(FL60))</f>
        <v>#NAME?</v>
      </c>
      <c r="FN60" s="30" t="e">
        <f t="shared" ca="1" si="27"/>
        <v>#NAME?</v>
      </c>
      <c r="FO60" s="35" t="e">
        <f ca="1">_xll.RiskBinomial(1,FN60)</f>
        <v>#VALUE!</v>
      </c>
      <c r="FP60" s="88" t="e">
        <f ca="1">IF(FO60=1,_xll.RiskBinomial(1,Prob_Illness_Given_Infection),0)</f>
        <v>#VALUE!</v>
      </c>
      <c r="FR60" s="87" t="e">
        <f t="shared" ca="1" si="62"/>
        <v>#NAME?</v>
      </c>
      <c r="FS60" s="37" t="e">
        <f ca="1">INT(FR60) + _xll.RiskBinomial(1,FR60-INT(FR60))</f>
        <v>#NAME?</v>
      </c>
      <c r="FT60" s="30" t="e">
        <f t="shared" ca="1" si="28"/>
        <v>#NAME?</v>
      </c>
      <c r="FU60" s="35" t="e">
        <f ca="1">_xll.RiskBinomial(1,FT60)</f>
        <v>#VALUE!</v>
      </c>
      <c r="FV60" s="88" t="e">
        <f ca="1">IF(FU60=1,_xll.RiskBinomial(1,Prob_Illness_Given_Infection),0)</f>
        <v>#VALUE!</v>
      </c>
      <c r="FX60" s="87">
        <f t="shared" ca="1" si="63"/>
        <v>1.0084450446780112E-7</v>
      </c>
      <c r="FY60" s="37">
        <f ca="1">INT(FX60) + _xll.RiskBinomial(1,FX60-INT(FX60))</f>
        <v>0</v>
      </c>
      <c r="FZ60" s="30">
        <f t="shared" ca="1" si="29"/>
        <v>0</v>
      </c>
      <c r="GA60" s="35">
        <f ca="1">_xll.RiskBinomial(1,FZ60)</f>
        <v>0</v>
      </c>
      <c r="GB60" s="88">
        <f ca="1">IF(GA60=1,_xll.RiskBinomial(1,Prob_Illness_Given_Infection),0)</f>
        <v>0</v>
      </c>
      <c r="GD60" s="87" t="e">
        <f t="shared" ca="1" si="64"/>
        <v>#NAME?</v>
      </c>
      <c r="GE60" s="37" t="e">
        <f ca="1">INT(GD60) + _xll.RiskBinomial(1,GD60-INT(GD60))</f>
        <v>#NAME?</v>
      </c>
      <c r="GF60" s="30" t="e">
        <f t="shared" ca="1" si="30"/>
        <v>#NAME?</v>
      </c>
      <c r="GG60" s="35" t="e">
        <f ca="1">_xll.RiskBinomial(1,GF60)</f>
        <v>#VALUE!</v>
      </c>
      <c r="GH60" s="88" t="e">
        <f ca="1">IF(GG60=1,_xll.RiskBinomial(1,Prob_Illness_Given_Infection),0)</f>
        <v>#VALUE!</v>
      </c>
      <c r="GJ60" s="87" t="e">
        <f t="shared" ca="1" si="65"/>
        <v>#NAME?</v>
      </c>
      <c r="GK60" s="37" t="e">
        <f ca="1">INT(GJ60) + _xll.RiskBinomial(1,GJ60-INT(GJ60))</f>
        <v>#NAME?</v>
      </c>
      <c r="GL60" s="30" t="e">
        <f t="shared" ca="1" si="31"/>
        <v>#NAME?</v>
      </c>
      <c r="GM60" s="35" t="e">
        <f ca="1">_xll.RiskBinomial(1,GL60)</f>
        <v>#VALUE!</v>
      </c>
      <c r="GN60" s="88" t="e">
        <f ca="1">IF(GM60=1,_xll.RiskBinomial(1,Prob_Illness_Given_Infection),0)</f>
        <v>#VALUE!</v>
      </c>
      <c r="GP60" s="87" t="e">
        <f t="shared" ca="1" si="66"/>
        <v>#NAME?</v>
      </c>
      <c r="GQ60" s="37" t="e">
        <f ca="1">INT(GP60) + _xll.RiskBinomial(1,GP60-INT(GP60))</f>
        <v>#NAME?</v>
      </c>
      <c r="GR60" s="30" t="e">
        <f t="shared" ca="1" si="32"/>
        <v>#NAME?</v>
      </c>
      <c r="GS60" s="35" t="e">
        <f ca="1">_xll.RiskBinomial(1,GR60)</f>
        <v>#VALUE!</v>
      </c>
      <c r="GT60" s="88" t="e">
        <f ca="1">IF(GS60=1,_xll.RiskBinomial(1,Prob_Illness_Given_Infection),0)</f>
        <v>#VALUE!</v>
      </c>
    </row>
    <row r="61" spans="2:202">
      <c r="B61" s="108">
        <v>53</v>
      </c>
      <c r="C61" s="87">
        <f ca="1">_xll.RiskLoglogistic(LogLogistic_gamma, LogLogistic_beta, LogLogistic_alpha, _xll.RiskTruncate(5,800))</f>
        <v>148.1447634585131</v>
      </c>
      <c r="D61" s="38">
        <f t="shared" ca="1" si="67"/>
        <v>9.5170621663439654</v>
      </c>
      <c r="E61" s="30"/>
      <c r="F61" s="87">
        <f t="shared" ca="1" si="34"/>
        <v>3.4360324260335462E-9</v>
      </c>
      <c r="G61" s="37">
        <f ca="1">INT(F61) + _xll.RiskBinomial(1,F61-INT(F61))</f>
        <v>0</v>
      </c>
      <c r="H61" s="30">
        <f t="shared" ca="1" si="68"/>
        <v>0</v>
      </c>
      <c r="I61" s="35">
        <f ca="1">_xll.RiskBinomial(1,H61)</f>
        <v>0</v>
      </c>
      <c r="J61" s="88">
        <f ca="1">IF(I61=1,_xll.RiskBinomial(1,Prob_Illness_Given_Infection),0)</f>
        <v>0</v>
      </c>
      <c r="K61" s="30"/>
      <c r="L61" s="87">
        <f t="shared" ca="1" si="35"/>
        <v>1.7550358330776399E-4</v>
      </c>
      <c r="M61" s="37">
        <f ca="1">INT(L61) + _xll.RiskBinomial(1,L61-INT(L61))</f>
        <v>0</v>
      </c>
      <c r="N61" s="30">
        <f t="shared" ca="1" si="1"/>
        <v>0</v>
      </c>
      <c r="O61" s="35">
        <f ca="1">_xll.RiskBinomial(1,N61)</f>
        <v>0</v>
      </c>
      <c r="P61" s="88">
        <f ca="1">IF(O61=1,_xll.RiskBinomial(1,Prob_Illness_Given_Infection),0)</f>
        <v>0</v>
      </c>
      <c r="Q61" s="30"/>
      <c r="R61" s="87">
        <f t="shared" ca="1" si="36"/>
        <v>1.8142818305331303E-5</v>
      </c>
      <c r="S61" s="37">
        <f ca="1">INT(R61) + _xll.RiskBinomial(1,R61-INT(R61))</f>
        <v>0</v>
      </c>
      <c r="T61" s="30">
        <f t="shared" ca="1" si="2"/>
        <v>0</v>
      </c>
      <c r="U61" s="35">
        <f ca="1">_xll.RiskBinomial(1,T61)</f>
        <v>0</v>
      </c>
      <c r="V61" s="88">
        <f ca="1">IF(U61=1,_xll.RiskBinomial(1,Prob_Illness_Given_Infection),0)</f>
        <v>0</v>
      </c>
      <c r="W61" s="30"/>
      <c r="X61" s="87">
        <f t="shared" ca="1" si="37"/>
        <v>7.4535424552576864E-12</v>
      </c>
      <c r="Y61" s="37">
        <f ca="1">INT(X61) + _xll.RiskBinomial(1,X61-INT(X61))</f>
        <v>0</v>
      </c>
      <c r="Z61" s="30">
        <f t="shared" ca="1" si="3"/>
        <v>0</v>
      </c>
      <c r="AA61" s="35">
        <f ca="1">_xll.RiskBinomial(1,Z61)</f>
        <v>0</v>
      </c>
      <c r="AB61" s="88">
        <f ca="1">IF(AA61=1,_xll.RiskBinomial(1,Prob_Illness_Given_Infection),0)</f>
        <v>0</v>
      </c>
      <c r="AC61" s="30"/>
      <c r="AD61" s="87">
        <f t="shared" ca="1" si="38"/>
        <v>3.755226695124625E-12</v>
      </c>
      <c r="AE61" s="37">
        <f ca="1">INT(AD61) + _xll.RiskBinomial(1,AD61-INT(AD61))</f>
        <v>0</v>
      </c>
      <c r="AF61" s="30">
        <f t="shared" ca="1" si="4"/>
        <v>0</v>
      </c>
      <c r="AG61" s="35">
        <f ca="1">_xll.RiskBinomial(1,AF61)</f>
        <v>0</v>
      </c>
      <c r="AH61" s="88">
        <f ca="1">IF(AG61=1,_xll.RiskBinomial(1,Prob_Illness_Given_Infection),0)</f>
        <v>0</v>
      </c>
      <c r="AI61" s="30"/>
      <c r="AJ61" s="87">
        <f t="shared" ca="1" si="39"/>
        <v>1.7430794571410364E-4</v>
      </c>
      <c r="AK61" s="37">
        <f ca="1">INT(AJ61) + _xll.RiskBinomial(1,AJ61-INT(AJ61))</f>
        <v>0</v>
      </c>
      <c r="AL61" s="30">
        <f t="shared" ca="1" si="5"/>
        <v>0</v>
      </c>
      <c r="AM61" s="35">
        <f ca="1">_xll.RiskBinomial(1,AL61)</f>
        <v>0</v>
      </c>
      <c r="AN61" s="88">
        <f ca="1">IF(AM61=1,_xll.RiskBinomial(1,Prob_Illness_Given_Infection),0)</f>
        <v>0</v>
      </c>
      <c r="AO61" s="30"/>
      <c r="AP61" s="87">
        <f t="shared" ca="1" si="40"/>
        <v>4.2390008043601031E-9</v>
      </c>
      <c r="AQ61" s="37">
        <f ca="1">INT(AP61) + _xll.RiskBinomial(1,AP61-INT(AP61))</f>
        <v>0</v>
      </c>
      <c r="AR61" s="30">
        <f t="shared" ca="1" si="6"/>
        <v>0</v>
      </c>
      <c r="AS61" s="35">
        <f ca="1">_xll.RiskBinomial(1,AR61)</f>
        <v>0</v>
      </c>
      <c r="AT61" s="88">
        <f ca="1">IF(AS61=1,_xll.RiskBinomial(1,Prob_Illness_Given_Infection),0)</f>
        <v>0</v>
      </c>
      <c r="AU61" s="30"/>
      <c r="AV61" s="87">
        <f t="shared" ca="1" si="41"/>
        <v>9.8342611896527928E-5</v>
      </c>
      <c r="AW61" s="37">
        <f ca="1">INT(AV61) + _xll.RiskBinomial(1,AV61-INT(AV61))</f>
        <v>0</v>
      </c>
      <c r="AX61" s="30">
        <f t="shared" ca="1" si="7"/>
        <v>0</v>
      </c>
      <c r="AY61" s="35">
        <f ca="1">_xll.RiskBinomial(1,AX61)</f>
        <v>0</v>
      </c>
      <c r="AZ61" s="88">
        <f ca="1">IF(AY61=1,_xll.RiskBinomial(1,Prob_Illness_Given_Infection),0)</f>
        <v>0</v>
      </c>
      <c r="BB61" s="87">
        <f t="shared" ca="1" si="42"/>
        <v>1.3497620626974082E-4</v>
      </c>
      <c r="BC61" s="37">
        <f ca="1">INT(BB61) + _xll.RiskBinomial(1,BB61-INT(BB61))</f>
        <v>0</v>
      </c>
      <c r="BD61" s="30">
        <f t="shared" ca="1" si="8"/>
        <v>0</v>
      </c>
      <c r="BE61" s="35">
        <f ca="1">_xll.RiskBinomial(1,BD61)</f>
        <v>0</v>
      </c>
      <c r="BF61" s="88">
        <f ca="1">IF(BE61=1,_xll.RiskBinomial(1,Prob_Illness_Given_Infection),0)</f>
        <v>0</v>
      </c>
      <c r="BH61" s="87">
        <f t="shared" ca="1" si="43"/>
        <v>1.7088953354231232E-4</v>
      </c>
      <c r="BI61" s="37">
        <f ca="1">INT(BH61) + _xll.RiskBinomial(1,BH61-INT(BH61))</f>
        <v>0</v>
      </c>
      <c r="BJ61" s="30">
        <f t="shared" ca="1" si="9"/>
        <v>0</v>
      </c>
      <c r="BK61" s="35">
        <f ca="1">_xll.RiskBinomial(1,BJ61)</f>
        <v>0</v>
      </c>
      <c r="BL61" s="88">
        <f ca="1">IF(BK61=1,_xll.RiskBinomial(1,Prob_Illness_Given_Infection),0)</f>
        <v>0</v>
      </c>
      <c r="BN61" s="87">
        <f t="shared" ca="1" si="44"/>
        <v>1.3005667909565208E-5</v>
      </c>
      <c r="BO61" s="37">
        <f ca="1">INT(BN61) + _xll.RiskBinomial(1,BN61-INT(BN61))</f>
        <v>0</v>
      </c>
      <c r="BP61" s="30">
        <f t="shared" ca="1" si="10"/>
        <v>0</v>
      </c>
      <c r="BQ61" s="35">
        <f ca="1">_xll.RiskBinomial(1,BP61)</f>
        <v>0</v>
      </c>
      <c r="BR61" s="88">
        <f ca="1">IF(BQ61=1,_xll.RiskBinomial(1,Prob_Illness_Given_Infection),0)</f>
        <v>0</v>
      </c>
      <c r="BT61" s="87">
        <f t="shared" ca="1" si="45"/>
        <v>3.9107905909797505E-5</v>
      </c>
      <c r="BU61" s="37">
        <f ca="1">INT(BT61) + _xll.RiskBinomial(1,BT61-INT(BT61))</f>
        <v>0</v>
      </c>
      <c r="BV61" s="30">
        <f t="shared" ca="1" si="11"/>
        <v>0</v>
      </c>
      <c r="BW61" s="35">
        <f ca="1">_xll.RiskBinomial(1,BV61)</f>
        <v>0</v>
      </c>
      <c r="BX61" s="88">
        <f ca="1">IF(BW61=1,_xll.RiskBinomial(1,Prob_Illness_Given_Infection),0)</f>
        <v>0</v>
      </c>
      <c r="BZ61" s="87">
        <f t="shared" ca="1" si="46"/>
        <v>1.0720795302928837E-4</v>
      </c>
      <c r="CA61" s="37">
        <f ca="1">INT(BZ61) + _xll.RiskBinomial(1,BZ61-INT(BZ61))</f>
        <v>0</v>
      </c>
      <c r="CB61" s="30">
        <f t="shared" ca="1" si="12"/>
        <v>0</v>
      </c>
      <c r="CC61" s="35">
        <f ca="1">_xll.RiskBinomial(1,CB61)</f>
        <v>0</v>
      </c>
      <c r="CD61" s="88">
        <f ca="1">IF(CC61=1,_xll.RiskBinomial(1,Prob_Illness_Given_Infection),0)</f>
        <v>0</v>
      </c>
      <c r="CF61" s="87">
        <f t="shared" ca="1" si="47"/>
        <v>2.0341636018102199E-5</v>
      </c>
      <c r="CG61" s="37">
        <f ca="1">INT(CF61) + _xll.RiskBinomial(1,CF61-INT(CF61))</f>
        <v>0</v>
      </c>
      <c r="CH61" s="30">
        <f t="shared" ca="1" si="13"/>
        <v>0</v>
      </c>
      <c r="CI61" s="35">
        <f ca="1">_xll.RiskBinomial(1,CH61)</f>
        <v>0</v>
      </c>
      <c r="CJ61" s="88">
        <f ca="1">IF(CI61=1,_xll.RiskBinomial(1,Prob_Illness_Given_Infection),0)</f>
        <v>0</v>
      </c>
      <c r="CL61" s="87">
        <f t="shared" ca="1" si="48"/>
        <v>3.9253662759517811E-5</v>
      </c>
      <c r="CM61" s="37">
        <f ca="1">INT(CL61) + _xll.RiskBinomial(1,CL61-INT(CL61))</f>
        <v>0</v>
      </c>
      <c r="CN61" s="30">
        <f t="shared" ca="1" si="14"/>
        <v>0</v>
      </c>
      <c r="CO61" s="35">
        <f ca="1">_xll.RiskBinomial(1,CN61)</f>
        <v>0</v>
      </c>
      <c r="CP61" s="88">
        <f ca="1">IF(CO61=1,_xll.RiskBinomial(1,Prob_Illness_Given_Infection),0)</f>
        <v>0</v>
      </c>
      <c r="CR61" s="87">
        <f t="shared" ca="1" si="49"/>
        <v>2.7052436287062785E-7</v>
      </c>
      <c r="CS61" s="37">
        <f ca="1">INT(CR61) + _xll.RiskBinomial(1,CR61-INT(CR61))</f>
        <v>0</v>
      </c>
      <c r="CT61" s="30">
        <f t="shared" ca="1" si="15"/>
        <v>0</v>
      </c>
      <c r="CU61" s="35">
        <f ca="1">_xll.RiskBinomial(1,CT61)</f>
        <v>0</v>
      </c>
      <c r="CV61" s="88">
        <f ca="1">IF(CU61=1,_xll.RiskBinomial(1,Prob_Illness_Given_Infection),0)</f>
        <v>0</v>
      </c>
      <c r="CX61" s="87">
        <f t="shared" ca="1" si="50"/>
        <v>2.7539072598788245E-9</v>
      </c>
      <c r="CY61" s="37">
        <f ca="1">INT(CX61) + _xll.RiskBinomial(1,CX61-INT(CX61))</f>
        <v>0</v>
      </c>
      <c r="CZ61" s="30">
        <f t="shared" ca="1" si="16"/>
        <v>0</v>
      </c>
      <c r="DA61" s="35">
        <f ca="1">_xll.RiskBinomial(1,CZ61)</f>
        <v>0</v>
      </c>
      <c r="DB61" s="88">
        <f ca="1">IF(DA61=1,_xll.RiskBinomial(1,Prob_Illness_Given_Infection),0)</f>
        <v>0</v>
      </c>
      <c r="DD61" s="87">
        <f t="shared" ca="1" si="51"/>
        <v>2.7539072598788245E-9</v>
      </c>
      <c r="DE61" s="37">
        <f ca="1">INT(DD61) + _xll.RiskBinomial(1,DD61-INT(DD61))</f>
        <v>0</v>
      </c>
      <c r="DF61" s="30">
        <f t="shared" ca="1" si="17"/>
        <v>0</v>
      </c>
      <c r="DG61" s="35">
        <f ca="1">_xll.RiskBinomial(1,DF61)</f>
        <v>0</v>
      </c>
      <c r="DH61" s="88">
        <f ca="1">IF(DG61=1,_xll.RiskBinomial(1,Prob_Illness_Given_Infection),0)</f>
        <v>0</v>
      </c>
      <c r="DJ61" s="87">
        <f t="shared" ca="1" si="52"/>
        <v>4.4967484428365321E-6</v>
      </c>
      <c r="DK61" s="37">
        <f ca="1">INT(DJ61) + _xll.RiskBinomial(1,DJ61-INT(DJ61))</f>
        <v>0</v>
      </c>
      <c r="DL61" s="30">
        <f t="shared" ca="1" si="18"/>
        <v>0</v>
      </c>
      <c r="DM61" s="35">
        <f ca="1">_xll.RiskBinomial(1,DL61)</f>
        <v>0</v>
      </c>
      <c r="DN61" s="88">
        <f ca="1">IF(DM61=1,_xll.RiskBinomial(1,Prob_Illness_Given_Infection),0)</f>
        <v>0</v>
      </c>
      <c r="DP61" s="87">
        <f t="shared" ca="1" si="53"/>
        <v>1.063008156499135E-9</v>
      </c>
      <c r="DQ61" s="37">
        <f ca="1">INT(DP61) + _xll.RiskBinomial(1,DP61-INT(DP61))</f>
        <v>0</v>
      </c>
      <c r="DR61" s="30">
        <f t="shared" ca="1" si="19"/>
        <v>0</v>
      </c>
      <c r="DS61" s="35">
        <f ca="1">_xll.RiskBinomial(1,DR61)</f>
        <v>0</v>
      </c>
      <c r="DT61" s="88">
        <f ca="1">IF(DS61=1,_xll.RiskBinomial(1,Prob_Illness_Given_Infection),0)</f>
        <v>0</v>
      </c>
      <c r="DV61" s="87">
        <f t="shared" ca="1" si="54"/>
        <v>1.4965092258495885E-8</v>
      </c>
      <c r="DW61" s="37">
        <f ca="1">INT(DV61) + _xll.RiskBinomial(1,DV61-INT(DV61))</f>
        <v>0</v>
      </c>
      <c r="DX61" s="30">
        <f t="shared" ca="1" si="20"/>
        <v>0</v>
      </c>
      <c r="DY61" s="35">
        <f ca="1">_xll.RiskBinomial(1,DX61)</f>
        <v>0</v>
      </c>
      <c r="DZ61" s="88">
        <f ca="1">IF(DY61=1,_xll.RiskBinomial(1,Prob_Illness_Given_Infection),0)</f>
        <v>0</v>
      </c>
      <c r="EB61" s="87">
        <f t="shared" ca="1" si="55"/>
        <v>3.7552266951233632E-12</v>
      </c>
      <c r="EC61" s="37">
        <f ca="1">INT(EB61) + _xll.RiskBinomial(1,EB61-INT(EB61))</f>
        <v>0</v>
      </c>
      <c r="ED61" s="30">
        <f t="shared" ca="1" si="21"/>
        <v>0</v>
      </c>
      <c r="EE61" s="35">
        <f ca="1">_xll.RiskBinomial(1,ED61)</f>
        <v>0</v>
      </c>
      <c r="EF61" s="88">
        <f ca="1">IF(EE61=1,_xll.RiskBinomial(1,Prob_Illness_Given_Infection),0)</f>
        <v>0</v>
      </c>
      <c r="EH61" s="87">
        <f t="shared" ca="1" si="56"/>
        <v>3.7552266951195036E-12</v>
      </c>
      <c r="EI61" s="37">
        <f ca="1">INT(EH61) + _xll.RiskBinomial(1,EH61-INT(EH61))</f>
        <v>0</v>
      </c>
      <c r="EJ61" s="30">
        <f t="shared" ca="1" si="22"/>
        <v>0</v>
      </c>
      <c r="EK61" s="35">
        <f ca="1">_xll.RiskBinomial(1,EJ61)</f>
        <v>0</v>
      </c>
      <c r="EL61" s="88">
        <f ca="1">IF(EK61=1,_xll.RiskBinomial(1,Prob_Illness_Given_Infection),0)</f>
        <v>0</v>
      </c>
      <c r="EN61" s="87">
        <f t="shared" ca="1" si="57"/>
        <v>3.4264176452641694E-10</v>
      </c>
      <c r="EO61" s="37">
        <f ca="1">INT(EN61) + _xll.RiskBinomial(1,EN61-INT(EN61))</f>
        <v>0</v>
      </c>
      <c r="EP61" s="30">
        <f t="shared" ca="1" si="23"/>
        <v>0</v>
      </c>
      <c r="EQ61" s="35">
        <f ca="1">_xll.RiskBinomial(1,EP61)</f>
        <v>0</v>
      </c>
      <c r="ER61" s="88">
        <f ca="1">IF(EQ61=1,_xll.RiskBinomial(1,Prob_Illness_Given_Infection),0)</f>
        <v>0</v>
      </c>
      <c r="ET61" s="87">
        <f t="shared" ca="1" si="58"/>
        <v>3.7552266951159226E-12</v>
      </c>
      <c r="EU61" s="37">
        <f ca="1">INT(ET61) + _xll.RiskBinomial(1,ET61-INT(ET61))</f>
        <v>0</v>
      </c>
      <c r="EV61" s="30">
        <f t="shared" ca="1" si="24"/>
        <v>0</v>
      </c>
      <c r="EW61" s="35">
        <f ca="1">_xll.RiskBinomial(1,EV61)</f>
        <v>0</v>
      </c>
      <c r="EX61" s="88">
        <f ca="1">IF(EW61=1,_xll.RiskBinomial(1,Prob_Illness_Given_Infection),0)</f>
        <v>0</v>
      </c>
      <c r="EZ61" s="87">
        <f t="shared" ca="1" si="59"/>
        <v>2.8322683743910842E-5</v>
      </c>
      <c r="FA61" s="37">
        <f ca="1">INT(EZ61) + _xll.RiskBinomial(1,EZ61-INT(EZ61))</f>
        <v>0</v>
      </c>
      <c r="FB61" s="30">
        <f t="shared" ca="1" si="25"/>
        <v>0</v>
      </c>
      <c r="FC61" s="35">
        <f ca="1">_xll.RiskBinomial(1,FB61)</f>
        <v>0</v>
      </c>
      <c r="FD61" s="88">
        <f ca="1">IF(FC61=1,_xll.RiskBinomial(1,Prob_Illness_Given_Infection),0)</f>
        <v>0</v>
      </c>
      <c r="FF61" s="87">
        <f t="shared" ca="1" si="60"/>
        <v>1.9729263120185994E-4</v>
      </c>
      <c r="FG61" s="37">
        <f ca="1">INT(FF61) + _xll.RiskBinomial(1,FF61-INT(FF61))</f>
        <v>0</v>
      </c>
      <c r="FH61" s="30">
        <f t="shared" ca="1" si="26"/>
        <v>0</v>
      </c>
      <c r="FI61" s="35">
        <f ca="1">_xll.RiskBinomial(1,FH61)</f>
        <v>0</v>
      </c>
      <c r="FJ61" s="88">
        <f ca="1">IF(FI61=1,_xll.RiskBinomial(1,Prob_Illness_Given_Infection),0)</f>
        <v>0</v>
      </c>
      <c r="FL61" s="87" t="e">
        <f t="shared" ca="1" si="61"/>
        <v>#NAME?</v>
      </c>
      <c r="FM61" s="37" t="e">
        <f ca="1">INT(FL61) + _xll.RiskBinomial(1,FL61-INT(FL61))</f>
        <v>#NAME?</v>
      </c>
      <c r="FN61" s="30" t="e">
        <f t="shared" ca="1" si="27"/>
        <v>#NAME?</v>
      </c>
      <c r="FO61" s="35" t="e">
        <f ca="1">_xll.RiskBinomial(1,FN61)</f>
        <v>#VALUE!</v>
      </c>
      <c r="FP61" s="88" t="e">
        <f ca="1">IF(FO61=1,_xll.RiskBinomial(1,Prob_Illness_Given_Infection),0)</f>
        <v>#VALUE!</v>
      </c>
      <c r="FR61" s="87" t="e">
        <f t="shared" ca="1" si="62"/>
        <v>#NAME?</v>
      </c>
      <c r="FS61" s="37" t="e">
        <f ca="1">INT(FR61) + _xll.RiskBinomial(1,FR61-INT(FR61))</f>
        <v>#NAME?</v>
      </c>
      <c r="FT61" s="30" t="e">
        <f t="shared" ca="1" si="28"/>
        <v>#NAME?</v>
      </c>
      <c r="FU61" s="35" t="e">
        <f ca="1">_xll.RiskBinomial(1,FT61)</f>
        <v>#VALUE!</v>
      </c>
      <c r="FV61" s="88" t="e">
        <f ca="1">IF(FU61=1,_xll.RiskBinomial(1,Prob_Illness_Given_Infection),0)</f>
        <v>#VALUE!</v>
      </c>
      <c r="FX61" s="87">
        <f t="shared" ca="1" si="63"/>
        <v>3.964644630248721E-7</v>
      </c>
      <c r="FY61" s="37">
        <f ca="1">INT(FX61) + _xll.RiskBinomial(1,FX61-INT(FX61))</f>
        <v>0</v>
      </c>
      <c r="FZ61" s="30">
        <f t="shared" ca="1" si="29"/>
        <v>0</v>
      </c>
      <c r="GA61" s="35">
        <f ca="1">_xll.RiskBinomial(1,FZ61)</f>
        <v>0</v>
      </c>
      <c r="GB61" s="88">
        <f ca="1">IF(GA61=1,_xll.RiskBinomial(1,Prob_Illness_Given_Infection),0)</f>
        <v>0</v>
      </c>
      <c r="GD61" s="87" t="e">
        <f t="shared" ca="1" si="64"/>
        <v>#NAME?</v>
      </c>
      <c r="GE61" s="37" t="e">
        <f ca="1">INT(GD61) + _xll.RiskBinomial(1,GD61-INT(GD61))</f>
        <v>#NAME?</v>
      </c>
      <c r="GF61" s="30" t="e">
        <f t="shared" ca="1" si="30"/>
        <v>#NAME?</v>
      </c>
      <c r="GG61" s="35" t="e">
        <f ca="1">_xll.RiskBinomial(1,GF61)</f>
        <v>#VALUE!</v>
      </c>
      <c r="GH61" s="88" t="e">
        <f ca="1">IF(GG61=1,_xll.RiskBinomial(1,Prob_Illness_Given_Infection),0)</f>
        <v>#VALUE!</v>
      </c>
      <c r="GJ61" s="87" t="e">
        <f t="shared" ca="1" si="65"/>
        <v>#NAME?</v>
      </c>
      <c r="GK61" s="37" t="e">
        <f ca="1">INT(GJ61) + _xll.RiskBinomial(1,GJ61-INT(GJ61))</f>
        <v>#NAME?</v>
      </c>
      <c r="GL61" s="30" t="e">
        <f t="shared" ca="1" si="31"/>
        <v>#NAME?</v>
      </c>
      <c r="GM61" s="35" t="e">
        <f ca="1">_xll.RiskBinomial(1,GL61)</f>
        <v>#VALUE!</v>
      </c>
      <c r="GN61" s="88" t="e">
        <f ca="1">IF(GM61=1,_xll.RiskBinomial(1,Prob_Illness_Given_Infection),0)</f>
        <v>#VALUE!</v>
      </c>
      <c r="GP61" s="87" t="e">
        <f t="shared" ca="1" si="66"/>
        <v>#NAME?</v>
      </c>
      <c r="GQ61" s="37" t="e">
        <f ca="1">INT(GP61) + _xll.RiskBinomial(1,GP61-INT(GP61))</f>
        <v>#NAME?</v>
      </c>
      <c r="GR61" s="30" t="e">
        <f t="shared" ca="1" si="32"/>
        <v>#NAME?</v>
      </c>
      <c r="GS61" s="35" t="e">
        <f ca="1">_xll.RiskBinomial(1,GR61)</f>
        <v>#VALUE!</v>
      </c>
      <c r="GT61" s="88" t="e">
        <f ca="1">IF(GS61=1,_xll.RiskBinomial(1,Prob_Illness_Given_Infection),0)</f>
        <v>#VALUE!</v>
      </c>
    </row>
    <row r="62" spans="2:202">
      <c r="B62" s="108">
        <v>54</v>
      </c>
      <c r="C62" s="87">
        <f ca="1">_xll.RiskLoglogistic(LogLogistic_gamma, LogLogistic_beta, LogLogistic_alpha, _xll.RiskTruncate(5,800))</f>
        <v>550.83830599400528</v>
      </c>
      <c r="D62" s="38">
        <f t="shared" ca="1" si="67"/>
        <v>35.386754680779752</v>
      </c>
      <c r="E62" s="30"/>
      <c r="F62" s="87">
        <f t="shared" ca="1" si="34"/>
        <v>1.277600528503883E-8</v>
      </c>
      <c r="G62" s="37">
        <f ca="1">INT(F62) + _xll.RiskBinomial(1,F62-INT(F62))</f>
        <v>0</v>
      </c>
      <c r="H62" s="30">
        <f t="shared" ca="1" si="68"/>
        <v>0</v>
      </c>
      <c r="I62" s="35">
        <f ca="1">_xll.RiskBinomial(1,H62)</f>
        <v>0</v>
      </c>
      <c r="J62" s="88">
        <f ca="1">IF(I62=1,_xll.RiskBinomial(1,Prob_Illness_Given_Infection),0)</f>
        <v>0</v>
      </c>
      <c r="K62" s="30"/>
      <c r="L62" s="87">
        <f t="shared" ca="1" si="35"/>
        <v>6.5256506047342935E-4</v>
      </c>
      <c r="M62" s="37">
        <f ca="1">INT(L62) + _xll.RiskBinomial(1,L62-INT(L62))</f>
        <v>0</v>
      </c>
      <c r="N62" s="30">
        <f t="shared" ca="1" si="1"/>
        <v>0</v>
      </c>
      <c r="O62" s="35">
        <f ca="1">_xll.RiskBinomial(1,N62)</f>
        <v>0</v>
      </c>
      <c r="P62" s="88">
        <f ca="1">IF(O62=1,_xll.RiskBinomial(1,Prob_Illness_Given_Infection),0)</f>
        <v>0</v>
      </c>
      <c r="Q62" s="30"/>
      <c r="R62" s="87">
        <f t="shared" ca="1" si="36"/>
        <v>6.7459416505561505E-5</v>
      </c>
      <c r="S62" s="37">
        <f ca="1">INT(R62) + _xll.RiskBinomial(1,R62-INT(R62))</f>
        <v>0</v>
      </c>
      <c r="T62" s="30">
        <f t="shared" ca="1" si="2"/>
        <v>0</v>
      </c>
      <c r="U62" s="35">
        <f ca="1">_xll.RiskBinomial(1,T62)</f>
        <v>0</v>
      </c>
      <c r="V62" s="88">
        <f ca="1">IF(U62=1,_xll.RiskBinomial(1,Prob_Illness_Given_Infection),0)</f>
        <v>0</v>
      </c>
      <c r="W62" s="30"/>
      <c r="X62" s="87">
        <f t="shared" ca="1" si="37"/>
        <v>2.7714085897192808E-11</v>
      </c>
      <c r="Y62" s="37">
        <f ca="1">INT(X62) + _xll.RiskBinomial(1,X62-INT(X62))</f>
        <v>0</v>
      </c>
      <c r="Z62" s="30">
        <f t="shared" ca="1" si="3"/>
        <v>0</v>
      </c>
      <c r="AA62" s="35">
        <f ca="1">_xll.RiskBinomial(1,Z62)</f>
        <v>0</v>
      </c>
      <c r="AB62" s="88">
        <f ca="1">IF(AA62=1,_xll.RiskBinomial(1,Prob_Illness_Given_Infection),0)</f>
        <v>0</v>
      </c>
      <c r="AC62" s="30"/>
      <c r="AD62" s="87">
        <f t="shared" ca="1" si="38"/>
        <v>1.3962847306075658E-11</v>
      </c>
      <c r="AE62" s="37">
        <f ca="1">INT(AD62) + _xll.RiskBinomial(1,AD62-INT(AD62))</f>
        <v>0</v>
      </c>
      <c r="AF62" s="30">
        <f t="shared" ca="1" si="4"/>
        <v>0</v>
      </c>
      <c r="AG62" s="35">
        <f ca="1">_xll.RiskBinomial(1,AF62)</f>
        <v>0</v>
      </c>
      <c r="AH62" s="88">
        <f ca="1">IF(AG62=1,_xll.RiskBinomial(1,Prob_Illness_Given_Infection),0)</f>
        <v>0</v>
      </c>
      <c r="AI62" s="30"/>
      <c r="AJ62" s="87">
        <f t="shared" ca="1" si="39"/>
        <v>6.4811938874464732E-4</v>
      </c>
      <c r="AK62" s="37">
        <f ca="1">INT(AJ62) + _xll.RiskBinomial(1,AJ62-INT(AJ62))</f>
        <v>0</v>
      </c>
      <c r="AL62" s="30">
        <f t="shared" ca="1" si="5"/>
        <v>0</v>
      </c>
      <c r="AM62" s="35">
        <f ca="1">_xll.RiskBinomial(1,AL62)</f>
        <v>0</v>
      </c>
      <c r="AN62" s="88">
        <f ca="1">IF(AM62=1,_xll.RiskBinomial(1,Prob_Illness_Given_Infection),0)</f>
        <v>0</v>
      </c>
      <c r="AO62" s="30"/>
      <c r="AP62" s="87">
        <f t="shared" ca="1" si="40"/>
        <v>1.576163725041045E-8</v>
      </c>
      <c r="AQ62" s="37">
        <f ca="1">INT(AP62) + _xll.RiskBinomial(1,AP62-INT(AP62))</f>
        <v>0</v>
      </c>
      <c r="AR62" s="30">
        <f t="shared" ca="1" si="6"/>
        <v>0</v>
      </c>
      <c r="AS62" s="35">
        <f ca="1">_xll.RiskBinomial(1,AR62)</f>
        <v>0</v>
      </c>
      <c r="AT62" s="88">
        <f ca="1">IF(AS62=1,_xll.RiskBinomial(1,Prob_Illness_Given_Infection),0)</f>
        <v>0</v>
      </c>
      <c r="AU62" s="30"/>
      <c r="AV62" s="87">
        <f t="shared" ca="1" si="41"/>
        <v>3.6566177892126118E-4</v>
      </c>
      <c r="AW62" s="37">
        <f ca="1">INT(AV62) + _xll.RiskBinomial(1,AV62-INT(AV62))</f>
        <v>0</v>
      </c>
      <c r="AX62" s="30">
        <f t="shared" ca="1" si="7"/>
        <v>0</v>
      </c>
      <c r="AY62" s="35">
        <f ca="1">_xll.RiskBinomial(1,AX62)</f>
        <v>0</v>
      </c>
      <c r="AZ62" s="88">
        <f ca="1">IF(AY62=1,_xll.RiskBinomial(1,Prob_Illness_Given_Infection),0)</f>
        <v>0</v>
      </c>
      <c r="BB62" s="87">
        <f t="shared" ca="1" si="42"/>
        <v>5.0187440362644122E-4</v>
      </c>
      <c r="BC62" s="37">
        <f ca="1">INT(BB62) + _xll.RiskBinomial(1,BB62-INT(BB62))</f>
        <v>0</v>
      </c>
      <c r="BD62" s="30">
        <f t="shared" ca="1" si="8"/>
        <v>0</v>
      </c>
      <c r="BE62" s="35">
        <f ca="1">_xll.RiskBinomial(1,BD62)</f>
        <v>0</v>
      </c>
      <c r="BF62" s="88">
        <f ca="1">IF(BE62=1,_xll.RiskBinomial(1,Prob_Illness_Given_Infection),0)</f>
        <v>0</v>
      </c>
      <c r="BH62" s="87">
        <f t="shared" ca="1" si="43"/>
        <v>6.3540889985567528E-4</v>
      </c>
      <c r="BI62" s="37">
        <f ca="1">INT(BH62) + _xll.RiskBinomial(1,BH62-INT(BH62))</f>
        <v>0</v>
      </c>
      <c r="BJ62" s="30">
        <f t="shared" ca="1" si="9"/>
        <v>0</v>
      </c>
      <c r="BK62" s="35">
        <f ca="1">_xll.RiskBinomial(1,BJ62)</f>
        <v>0</v>
      </c>
      <c r="BL62" s="88">
        <f ca="1">IF(BK62=1,_xll.RiskBinomial(1,Prob_Illness_Given_Infection),0)</f>
        <v>0</v>
      </c>
      <c r="BN62" s="87">
        <f t="shared" ca="1" si="44"/>
        <v>4.8358240361507811E-5</v>
      </c>
      <c r="BO62" s="37">
        <f ca="1">INT(BN62) + _xll.RiskBinomial(1,BN62-INT(BN62))</f>
        <v>0</v>
      </c>
      <c r="BP62" s="30">
        <f t="shared" ca="1" si="10"/>
        <v>0</v>
      </c>
      <c r="BQ62" s="35">
        <f ca="1">_xll.RiskBinomial(1,BP62)</f>
        <v>0</v>
      </c>
      <c r="BR62" s="88">
        <f ca="1">IF(BQ62=1,_xll.RiskBinomial(1,Prob_Illness_Given_Infection),0)</f>
        <v>0</v>
      </c>
      <c r="BT62" s="87">
        <f t="shared" ca="1" si="45"/>
        <v>1.4541271752989451E-4</v>
      </c>
      <c r="BU62" s="37">
        <f ca="1">INT(BT62) + _xll.RiskBinomial(1,BT62-INT(BT62))</f>
        <v>0</v>
      </c>
      <c r="BV62" s="30">
        <f t="shared" ca="1" si="11"/>
        <v>0</v>
      </c>
      <c r="BW62" s="35">
        <f ca="1">_xll.RiskBinomial(1,BV62)</f>
        <v>0</v>
      </c>
      <c r="BX62" s="88">
        <f ca="1">IF(BW62=1,_xll.RiskBinomial(1,Prob_Illness_Given_Infection),0)</f>
        <v>0</v>
      </c>
      <c r="BZ62" s="87">
        <f t="shared" ca="1" si="46"/>
        <v>3.9862527609540392E-4</v>
      </c>
      <c r="CA62" s="37">
        <f ca="1">INT(BZ62) + _xll.RiskBinomial(1,BZ62-INT(BZ62))</f>
        <v>0</v>
      </c>
      <c r="CB62" s="30">
        <f t="shared" ca="1" si="12"/>
        <v>0</v>
      </c>
      <c r="CC62" s="35">
        <f ca="1">_xll.RiskBinomial(1,CB62)</f>
        <v>0</v>
      </c>
      <c r="CD62" s="88">
        <f ca="1">IF(CC62=1,_xll.RiskBinomial(1,Prob_Illness_Given_Infection),0)</f>
        <v>0</v>
      </c>
      <c r="CF62" s="87">
        <f t="shared" ca="1" si="47"/>
        <v>7.563515620648937E-5</v>
      </c>
      <c r="CG62" s="37">
        <f ca="1">INT(CF62) + _xll.RiskBinomial(1,CF62-INT(CF62))</f>
        <v>0</v>
      </c>
      <c r="CH62" s="30">
        <f t="shared" ca="1" si="13"/>
        <v>0</v>
      </c>
      <c r="CI62" s="35">
        <f ca="1">_xll.RiskBinomial(1,CH62)</f>
        <v>0</v>
      </c>
      <c r="CJ62" s="88">
        <f ca="1">IF(CI62=1,_xll.RiskBinomial(1,Prob_Illness_Given_Infection),0)</f>
        <v>0</v>
      </c>
      <c r="CL62" s="87">
        <f t="shared" ca="1" si="48"/>
        <v>1.4595467699111733E-4</v>
      </c>
      <c r="CM62" s="37">
        <f ca="1">INT(CL62) + _xll.RiskBinomial(1,CL62-INT(CL62))</f>
        <v>0</v>
      </c>
      <c r="CN62" s="30">
        <f t="shared" ca="1" si="14"/>
        <v>0</v>
      </c>
      <c r="CO62" s="35">
        <f ca="1">_xll.RiskBinomial(1,CN62)</f>
        <v>0</v>
      </c>
      <c r="CP62" s="88">
        <f ca="1">IF(CO62=1,_xll.RiskBinomial(1,Prob_Illness_Given_Infection),0)</f>
        <v>0</v>
      </c>
      <c r="CR62" s="87">
        <f t="shared" ca="1" si="49"/>
        <v>1.005875457862504E-6</v>
      </c>
      <c r="CS62" s="37">
        <f ca="1">INT(CR62) + _xll.RiskBinomial(1,CR62-INT(CR62))</f>
        <v>0</v>
      </c>
      <c r="CT62" s="30">
        <f t="shared" ca="1" si="15"/>
        <v>0</v>
      </c>
      <c r="CU62" s="35">
        <f ca="1">_xll.RiskBinomial(1,CT62)</f>
        <v>0</v>
      </c>
      <c r="CV62" s="88">
        <f ca="1">IF(CU62=1,_xll.RiskBinomial(1,Prob_Illness_Given_Infection),0)</f>
        <v>0</v>
      </c>
      <c r="CX62" s="87">
        <f t="shared" ca="1" si="50"/>
        <v>1.0239697809643186E-8</v>
      </c>
      <c r="CY62" s="37">
        <f ca="1">INT(CX62) + _xll.RiskBinomial(1,CX62-INT(CX62))</f>
        <v>0</v>
      </c>
      <c r="CZ62" s="30">
        <f t="shared" ca="1" si="16"/>
        <v>0</v>
      </c>
      <c r="DA62" s="35">
        <f ca="1">_xll.RiskBinomial(1,CZ62)</f>
        <v>0</v>
      </c>
      <c r="DB62" s="88">
        <f ca="1">IF(DA62=1,_xll.RiskBinomial(1,Prob_Illness_Given_Infection),0)</f>
        <v>0</v>
      </c>
      <c r="DD62" s="87">
        <f t="shared" ca="1" si="51"/>
        <v>1.0239697809643186E-8</v>
      </c>
      <c r="DE62" s="37">
        <f ca="1">INT(DD62) + _xll.RiskBinomial(1,DD62-INT(DD62))</f>
        <v>0</v>
      </c>
      <c r="DF62" s="30">
        <f t="shared" ca="1" si="17"/>
        <v>0</v>
      </c>
      <c r="DG62" s="35">
        <f ca="1">_xll.RiskBinomial(1,DF62)</f>
        <v>0</v>
      </c>
      <c r="DH62" s="88">
        <f ca="1">IF(DG62=1,_xll.RiskBinomial(1,Prob_Illness_Given_Infection),0)</f>
        <v>0</v>
      </c>
      <c r="DJ62" s="87">
        <f t="shared" ca="1" si="52"/>
        <v>1.6720005735652732E-5</v>
      </c>
      <c r="DK62" s="37">
        <f ca="1">INT(DJ62) + _xll.RiskBinomial(1,DJ62-INT(DJ62))</f>
        <v>0</v>
      </c>
      <c r="DL62" s="30">
        <f t="shared" ca="1" si="18"/>
        <v>0</v>
      </c>
      <c r="DM62" s="35">
        <f ca="1">_xll.RiskBinomial(1,DL62)</f>
        <v>0</v>
      </c>
      <c r="DN62" s="88">
        <f ca="1">IF(DM62=1,_xll.RiskBinomial(1,Prob_Illness_Given_Infection),0)</f>
        <v>0</v>
      </c>
      <c r="DP62" s="87">
        <f t="shared" ca="1" si="53"/>
        <v>3.9525231841743219E-9</v>
      </c>
      <c r="DQ62" s="37">
        <f ca="1">INT(DP62) + _xll.RiskBinomial(1,DP62-INT(DP62))</f>
        <v>0</v>
      </c>
      <c r="DR62" s="30">
        <f t="shared" ca="1" si="19"/>
        <v>0</v>
      </c>
      <c r="DS62" s="35">
        <f ca="1">_xll.RiskBinomial(1,DR62)</f>
        <v>0</v>
      </c>
      <c r="DT62" s="88">
        <f ca="1">IF(DS62=1,_xll.RiskBinomial(1,Prob_Illness_Given_Infection),0)</f>
        <v>0</v>
      </c>
      <c r="DV62" s="87">
        <f t="shared" ca="1" si="54"/>
        <v>5.5643857239829917E-8</v>
      </c>
      <c r="DW62" s="37">
        <f ca="1">INT(DV62) + _xll.RiskBinomial(1,DV62-INT(DV62))</f>
        <v>0</v>
      </c>
      <c r="DX62" s="30">
        <f t="shared" ca="1" si="20"/>
        <v>0</v>
      </c>
      <c r="DY62" s="35">
        <f ca="1">_xll.RiskBinomial(1,DX62)</f>
        <v>0</v>
      </c>
      <c r="DZ62" s="88">
        <f ca="1">IF(DY62=1,_xll.RiskBinomial(1,Prob_Illness_Given_Infection),0)</f>
        <v>0</v>
      </c>
      <c r="EB62" s="87">
        <f t="shared" ca="1" si="55"/>
        <v>1.3962847306070968E-11</v>
      </c>
      <c r="EC62" s="37">
        <f ca="1">INT(EB62) + _xll.RiskBinomial(1,EB62-INT(EB62))</f>
        <v>0</v>
      </c>
      <c r="ED62" s="30">
        <f t="shared" ca="1" si="21"/>
        <v>0</v>
      </c>
      <c r="EE62" s="35">
        <f ca="1">_xll.RiskBinomial(1,ED62)</f>
        <v>0</v>
      </c>
      <c r="EF62" s="88">
        <f ca="1">IF(EE62=1,_xll.RiskBinomial(1,Prob_Illness_Given_Infection),0)</f>
        <v>0</v>
      </c>
      <c r="EH62" s="87">
        <f t="shared" ca="1" si="56"/>
        <v>1.3962847306056615E-11</v>
      </c>
      <c r="EI62" s="37">
        <f ca="1">INT(EH62) + _xll.RiskBinomial(1,EH62-INT(EH62))</f>
        <v>0</v>
      </c>
      <c r="EJ62" s="30">
        <f t="shared" ca="1" si="22"/>
        <v>0</v>
      </c>
      <c r="EK62" s="35">
        <f ca="1">_xll.RiskBinomial(1,EJ62)</f>
        <v>0</v>
      </c>
      <c r="EL62" s="88">
        <f ca="1">IF(EK62=1,_xll.RiskBinomial(1,Prob_Illness_Given_Infection),0)</f>
        <v>0</v>
      </c>
      <c r="EN62" s="87">
        <f t="shared" ca="1" si="57"/>
        <v>1.2740255188796038E-9</v>
      </c>
      <c r="EO62" s="37">
        <f ca="1">INT(EN62) + _xll.RiskBinomial(1,EN62-INT(EN62))</f>
        <v>0</v>
      </c>
      <c r="EP62" s="30">
        <f t="shared" ca="1" si="23"/>
        <v>0</v>
      </c>
      <c r="EQ62" s="35">
        <f ca="1">_xll.RiskBinomial(1,EP62)</f>
        <v>0</v>
      </c>
      <c r="ER62" s="88">
        <f ca="1">IF(EQ62=1,_xll.RiskBinomial(1,Prob_Illness_Given_Infection),0)</f>
        <v>0</v>
      </c>
      <c r="ET62" s="87">
        <f t="shared" ca="1" si="58"/>
        <v>1.3962847306043299E-11</v>
      </c>
      <c r="EU62" s="37">
        <f ca="1">INT(ET62) + _xll.RiskBinomial(1,ET62-INT(ET62))</f>
        <v>0</v>
      </c>
      <c r="EV62" s="30">
        <f t="shared" ca="1" si="24"/>
        <v>0</v>
      </c>
      <c r="EW62" s="35">
        <f ca="1">_xll.RiskBinomial(1,EV62)</f>
        <v>0</v>
      </c>
      <c r="EX62" s="88">
        <f ca="1">IF(EW62=1,_xll.RiskBinomial(1,Prob_Illness_Given_Infection),0)</f>
        <v>0</v>
      </c>
      <c r="EZ62" s="87">
        <f t="shared" ca="1" si="59"/>
        <v>1.053106351549767E-4</v>
      </c>
      <c r="FA62" s="37">
        <f ca="1">INT(EZ62) + _xll.RiskBinomial(1,EZ62-INT(EZ62))</f>
        <v>0</v>
      </c>
      <c r="FB62" s="30">
        <f t="shared" ca="1" si="25"/>
        <v>0</v>
      </c>
      <c r="FC62" s="35">
        <f ca="1">_xll.RiskBinomial(1,FB62)</f>
        <v>0</v>
      </c>
      <c r="FD62" s="88">
        <f ca="1">IF(FC62=1,_xll.RiskBinomial(1,Prob_Illness_Given_Infection),0)</f>
        <v>0</v>
      </c>
      <c r="FF62" s="87">
        <f t="shared" ca="1" si="60"/>
        <v>7.3358204650120218E-4</v>
      </c>
      <c r="FG62" s="37">
        <f ca="1">INT(FF62) + _xll.RiskBinomial(1,FF62-INT(FF62))</f>
        <v>0</v>
      </c>
      <c r="FH62" s="30">
        <f t="shared" ca="1" si="26"/>
        <v>0</v>
      </c>
      <c r="FI62" s="35">
        <f ca="1">_xll.RiskBinomial(1,FH62)</f>
        <v>0</v>
      </c>
      <c r="FJ62" s="88">
        <f ca="1">IF(FI62=1,_xll.RiskBinomial(1,Prob_Illness_Given_Infection),0)</f>
        <v>0</v>
      </c>
      <c r="FL62" s="87" t="e">
        <f t="shared" ca="1" si="61"/>
        <v>#NAME?</v>
      </c>
      <c r="FM62" s="37" t="e">
        <f ca="1">INT(FL62) + _xll.RiskBinomial(1,FL62-INT(FL62))</f>
        <v>#NAME?</v>
      </c>
      <c r="FN62" s="30" t="e">
        <f t="shared" ca="1" si="27"/>
        <v>#NAME?</v>
      </c>
      <c r="FO62" s="35" t="e">
        <f ca="1">_xll.RiskBinomial(1,FN62)</f>
        <v>#VALUE!</v>
      </c>
      <c r="FP62" s="88" t="e">
        <f ca="1">IF(FO62=1,_xll.RiskBinomial(1,Prob_Illness_Given_Infection),0)</f>
        <v>#VALUE!</v>
      </c>
      <c r="FR62" s="87" t="e">
        <f t="shared" ca="1" si="62"/>
        <v>#NAME?</v>
      </c>
      <c r="FS62" s="37" t="e">
        <f ca="1">INT(FR62) + _xll.RiskBinomial(1,FR62-INT(FR62))</f>
        <v>#NAME?</v>
      </c>
      <c r="FT62" s="30" t="e">
        <f t="shared" ca="1" si="28"/>
        <v>#NAME?</v>
      </c>
      <c r="FU62" s="35" t="e">
        <f ca="1">_xll.RiskBinomial(1,FT62)</f>
        <v>#VALUE!</v>
      </c>
      <c r="FV62" s="88" t="e">
        <f ca="1">IF(FU62=1,_xll.RiskBinomial(1,Prob_Illness_Given_Infection),0)</f>
        <v>#VALUE!</v>
      </c>
      <c r="FX62" s="87">
        <f t="shared" ca="1" si="63"/>
        <v>1.4741514185251741E-6</v>
      </c>
      <c r="FY62" s="37">
        <f ca="1">INT(FX62) + _xll.RiskBinomial(1,FX62-INT(FX62))</f>
        <v>0</v>
      </c>
      <c r="FZ62" s="30">
        <f t="shared" ca="1" si="29"/>
        <v>0</v>
      </c>
      <c r="GA62" s="35">
        <f ca="1">_xll.RiskBinomial(1,FZ62)</f>
        <v>0</v>
      </c>
      <c r="GB62" s="88">
        <f ca="1">IF(GA62=1,_xll.RiskBinomial(1,Prob_Illness_Given_Infection),0)</f>
        <v>0</v>
      </c>
      <c r="GD62" s="87" t="e">
        <f t="shared" ca="1" si="64"/>
        <v>#NAME?</v>
      </c>
      <c r="GE62" s="37" t="e">
        <f ca="1">INT(GD62) + _xll.RiskBinomial(1,GD62-INT(GD62))</f>
        <v>#NAME?</v>
      </c>
      <c r="GF62" s="30" t="e">
        <f t="shared" ca="1" si="30"/>
        <v>#NAME?</v>
      </c>
      <c r="GG62" s="35" t="e">
        <f ca="1">_xll.RiskBinomial(1,GF62)</f>
        <v>#VALUE!</v>
      </c>
      <c r="GH62" s="88" t="e">
        <f ca="1">IF(GG62=1,_xll.RiskBinomial(1,Prob_Illness_Given_Infection),0)</f>
        <v>#VALUE!</v>
      </c>
      <c r="GJ62" s="87" t="e">
        <f t="shared" ca="1" si="65"/>
        <v>#NAME?</v>
      </c>
      <c r="GK62" s="37" t="e">
        <f ca="1">INT(GJ62) + _xll.RiskBinomial(1,GJ62-INT(GJ62))</f>
        <v>#NAME?</v>
      </c>
      <c r="GL62" s="30" t="e">
        <f t="shared" ca="1" si="31"/>
        <v>#NAME?</v>
      </c>
      <c r="GM62" s="35" t="e">
        <f ca="1">_xll.RiskBinomial(1,GL62)</f>
        <v>#VALUE!</v>
      </c>
      <c r="GN62" s="88" t="e">
        <f ca="1">IF(GM62=1,_xll.RiskBinomial(1,Prob_Illness_Given_Infection),0)</f>
        <v>#VALUE!</v>
      </c>
      <c r="GP62" s="87" t="e">
        <f t="shared" ca="1" si="66"/>
        <v>#NAME?</v>
      </c>
      <c r="GQ62" s="37" t="e">
        <f ca="1">INT(GP62) + _xll.RiskBinomial(1,GP62-INT(GP62))</f>
        <v>#NAME?</v>
      </c>
      <c r="GR62" s="30" t="e">
        <f t="shared" ca="1" si="32"/>
        <v>#NAME?</v>
      </c>
      <c r="GS62" s="35" t="e">
        <f ca="1">_xll.RiskBinomial(1,GR62)</f>
        <v>#VALUE!</v>
      </c>
      <c r="GT62" s="88" t="e">
        <f ca="1">IF(GS62=1,_xll.RiskBinomial(1,Prob_Illness_Given_Infection),0)</f>
        <v>#VALUE!</v>
      </c>
    </row>
    <row r="63" spans="2:202">
      <c r="B63" s="108">
        <v>55</v>
      </c>
      <c r="C63" s="87">
        <f ca="1">_xll.RiskLoglogistic(LogLogistic_gamma, LogLogistic_beta, LogLogistic_alpha, _xll.RiskTruncate(5,800))</f>
        <v>162.0877329266097</v>
      </c>
      <c r="D63" s="38">
        <f t="shared" ca="1" si="67"/>
        <v>10.412781354207612</v>
      </c>
      <c r="E63" s="30"/>
      <c r="F63" s="87">
        <f t="shared" ca="1" si="34"/>
        <v>3.7594221570583087E-9</v>
      </c>
      <c r="G63" s="37">
        <f ca="1">INT(F63) + _xll.RiskBinomial(1,F63-INT(F63))</f>
        <v>0</v>
      </c>
      <c r="H63" s="30">
        <f t="shared" ca="1" si="68"/>
        <v>0</v>
      </c>
      <c r="I63" s="35">
        <f ca="1">_xll.RiskBinomial(1,H63)</f>
        <v>0</v>
      </c>
      <c r="J63" s="88">
        <f ca="1">IF(I63=1,_xll.RiskBinomial(1,Prob_Illness_Given_Infection),0)</f>
        <v>0</v>
      </c>
      <c r="K63" s="30"/>
      <c r="L63" s="87">
        <f t="shared" ca="1" si="35"/>
        <v>1.9202148813594902E-4</v>
      </c>
      <c r="M63" s="37">
        <f ca="1">INT(L63) + _xll.RiskBinomial(1,L63-INT(L63))</f>
        <v>0</v>
      </c>
      <c r="N63" s="30">
        <f t="shared" ca="1" si="1"/>
        <v>0</v>
      </c>
      <c r="O63" s="35">
        <f ca="1">_xll.RiskBinomial(1,N63)</f>
        <v>0</v>
      </c>
      <c r="P63" s="88">
        <f ca="1">IF(O63=1,_xll.RiskBinomial(1,Prob_Illness_Given_Infection),0)</f>
        <v>0</v>
      </c>
      <c r="Q63" s="30"/>
      <c r="R63" s="87">
        <f t="shared" ca="1" si="36"/>
        <v>1.9850369458614555E-5</v>
      </c>
      <c r="S63" s="37">
        <f ca="1">INT(R63) + _xll.RiskBinomial(1,R63-INT(R63))</f>
        <v>0</v>
      </c>
      <c r="T63" s="30">
        <f t="shared" ca="1" si="2"/>
        <v>0</v>
      </c>
      <c r="U63" s="35">
        <f ca="1">_xll.RiskBinomial(1,T63)</f>
        <v>0</v>
      </c>
      <c r="V63" s="88">
        <f ca="1">IF(U63=1,_xll.RiskBinomial(1,Prob_Illness_Given_Infection),0)</f>
        <v>0</v>
      </c>
      <c r="W63" s="30"/>
      <c r="X63" s="87">
        <f t="shared" ca="1" si="37"/>
        <v>8.1550489577937885E-12</v>
      </c>
      <c r="Y63" s="37">
        <f ca="1">INT(X63) + _xll.RiskBinomial(1,X63-INT(X63))</f>
        <v>0</v>
      </c>
      <c r="Z63" s="30">
        <f t="shared" ca="1" si="3"/>
        <v>0</v>
      </c>
      <c r="AA63" s="35">
        <f ca="1">_xll.RiskBinomial(1,Z63)</f>
        <v>0</v>
      </c>
      <c r="AB63" s="88">
        <f ca="1">IF(AA63=1,_xll.RiskBinomial(1,Prob_Illness_Given_Infection),0)</f>
        <v>0</v>
      </c>
      <c r="AC63" s="30"/>
      <c r="AD63" s="87">
        <f t="shared" ca="1" si="38"/>
        <v>4.1086580951522524E-12</v>
      </c>
      <c r="AE63" s="37">
        <f ca="1">INT(AD63) + _xll.RiskBinomial(1,AD63-INT(AD63))</f>
        <v>0</v>
      </c>
      <c r="AF63" s="30">
        <f t="shared" ca="1" si="4"/>
        <v>0</v>
      </c>
      <c r="AG63" s="35">
        <f ca="1">_xll.RiskBinomial(1,AF63)</f>
        <v>0</v>
      </c>
      <c r="AH63" s="88">
        <f ca="1">IF(AG63=1,_xll.RiskBinomial(1,Prob_Illness_Given_Infection),0)</f>
        <v>0</v>
      </c>
      <c r="AI63" s="30"/>
      <c r="AJ63" s="87">
        <f t="shared" ca="1" si="39"/>
        <v>1.9071332048672593E-4</v>
      </c>
      <c r="AK63" s="37">
        <f ca="1">INT(AJ63) + _xll.RiskBinomial(1,AJ63-INT(AJ63))</f>
        <v>0</v>
      </c>
      <c r="AL63" s="30">
        <f t="shared" ca="1" si="5"/>
        <v>0</v>
      </c>
      <c r="AM63" s="35">
        <f ca="1">_xll.RiskBinomial(1,AL63)</f>
        <v>0</v>
      </c>
      <c r="AN63" s="88">
        <f ca="1">IF(AM63=1,_xll.RiskBinomial(1,Prob_Illness_Given_Infection),0)</f>
        <v>0</v>
      </c>
      <c r="AO63" s="30"/>
      <c r="AP63" s="87">
        <f t="shared" ca="1" si="40"/>
        <v>4.6379636661623812E-9</v>
      </c>
      <c r="AQ63" s="37">
        <f ca="1">INT(AP63) + _xll.RiskBinomial(1,AP63-INT(AP63))</f>
        <v>0</v>
      </c>
      <c r="AR63" s="30">
        <f t="shared" ca="1" si="6"/>
        <v>0</v>
      </c>
      <c r="AS63" s="35">
        <f ca="1">_xll.RiskBinomial(1,AR63)</f>
        <v>0</v>
      </c>
      <c r="AT63" s="88">
        <f ca="1">IF(AS63=1,_xll.RiskBinomial(1,Prob_Illness_Given_Infection),0)</f>
        <v>0</v>
      </c>
      <c r="AU63" s="30"/>
      <c r="AV63" s="87">
        <f t="shared" ca="1" si="41"/>
        <v>1.0759834259584592E-4</v>
      </c>
      <c r="AW63" s="37">
        <f ca="1">INT(AV63) + _xll.RiskBinomial(1,AV63-INT(AV63))</f>
        <v>0</v>
      </c>
      <c r="AX63" s="30">
        <f t="shared" ca="1" si="7"/>
        <v>0</v>
      </c>
      <c r="AY63" s="35">
        <f ca="1">_xll.RiskBinomial(1,AX63)</f>
        <v>0</v>
      </c>
      <c r="AZ63" s="88">
        <f ca="1">IF(AY63=1,_xll.RiskBinomial(1,Prob_Illness_Given_Infection),0)</f>
        <v>0</v>
      </c>
      <c r="BB63" s="87">
        <f t="shared" ca="1" si="42"/>
        <v>1.4767978808392717E-4</v>
      </c>
      <c r="BC63" s="37">
        <f ca="1">INT(BB63) + _xll.RiskBinomial(1,BB63-INT(BB63))</f>
        <v>0</v>
      </c>
      <c r="BD63" s="30">
        <f t="shared" ca="1" si="8"/>
        <v>0</v>
      </c>
      <c r="BE63" s="35">
        <f ca="1">_xll.RiskBinomial(1,BD63)</f>
        <v>0</v>
      </c>
      <c r="BF63" s="88">
        <f ca="1">IF(BE63=1,_xll.RiskBinomial(1,Prob_Illness_Given_Infection),0)</f>
        <v>0</v>
      </c>
      <c r="BH63" s="87">
        <f t="shared" ca="1" si="43"/>
        <v>1.8697317695279974E-4</v>
      </c>
      <c r="BI63" s="37">
        <f ca="1">INT(BH63) + _xll.RiskBinomial(1,BH63-INT(BH63))</f>
        <v>0</v>
      </c>
      <c r="BJ63" s="30">
        <f t="shared" ca="1" si="9"/>
        <v>0</v>
      </c>
      <c r="BK63" s="35">
        <f ca="1">_xll.RiskBinomial(1,BJ63)</f>
        <v>0</v>
      </c>
      <c r="BL63" s="88">
        <f ca="1">IF(BK63=1,_xll.RiskBinomial(1,Prob_Illness_Given_Infection),0)</f>
        <v>0</v>
      </c>
      <c r="BN63" s="87">
        <f t="shared" ca="1" si="44"/>
        <v>1.4229724881555677E-5</v>
      </c>
      <c r="BO63" s="37">
        <f ca="1">INT(BN63) + _xll.RiskBinomial(1,BN63-INT(BN63))</f>
        <v>0</v>
      </c>
      <c r="BP63" s="30">
        <f t="shared" ca="1" si="10"/>
        <v>0</v>
      </c>
      <c r="BQ63" s="35">
        <f ca="1">_xll.RiskBinomial(1,BP63)</f>
        <v>0</v>
      </c>
      <c r="BR63" s="88">
        <f ca="1">IF(BQ63=1,_xll.RiskBinomial(1,Prob_Illness_Given_Infection),0)</f>
        <v>0</v>
      </c>
      <c r="BT63" s="87">
        <f t="shared" ca="1" si="45"/>
        <v>4.2788632283998397E-5</v>
      </c>
      <c r="BU63" s="37">
        <f ca="1">INT(BT63) + _xll.RiskBinomial(1,BT63-INT(BT63))</f>
        <v>0</v>
      </c>
      <c r="BV63" s="30">
        <f t="shared" ca="1" si="11"/>
        <v>0</v>
      </c>
      <c r="BW63" s="35">
        <f ca="1">_xll.RiskBinomial(1,BV63)</f>
        <v>0</v>
      </c>
      <c r="BX63" s="88">
        <f ca="1">IF(BW63=1,_xll.RiskBinomial(1,Prob_Illness_Given_Infection),0)</f>
        <v>0</v>
      </c>
      <c r="BZ63" s="87">
        <f t="shared" ca="1" si="46"/>
        <v>1.1729806476140579E-4</v>
      </c>
      <c r="CA63" s="37">
        <f ca="1">INT(BZ63) + _xll.RiskBinomial(1,BZ63-INT(BZ63))</f>
        <v>0</v>
      </c>
      <c r="CB63" s="30">
        <f t="shared" ca="1" si="12"/>
        <v>0</v>
      </c>
      <c r="CC63" s="35">
        <f ca="1">_xll.RiskBinomial(1,CB63)</f>
        <v>0</v>
      </c>
      <c r="CD63" s="88">
        <f ca="1">IF(CC63=1,_xll.RiskBinomial(1,Prob_Illness_Given_Infection),0)</f>
        <v>0</v>
      </c>
      <c r="CF63" s="87">
        <f t="shared" ca="1" si="47"/>
        <v>2.2256133725008726E-5</v>
      </c>
      <c r="CG63" s="37">
        <f ca="1">INT(CF63) + _xll.RiskBinomial(1,CF63-INT(CF63))</f>
        <v>0</v>
      </c>
      <c r="CH63" s="30">
        <f t="shared" ca="1" si="13"/>
        <v>0</v>
      </c>
      <c r="CI63" s="35">
        <f ca="1">_xll.RiskBinomial(1,CH63)</f>
        <v>0</v>
      </c>
      <c r="CJ63" s="88">
        <f ca="1">IF(CI63=1,_xll.RiskBinomial(1,Prob_Illness_Given_Infection),0)</f>
        <v>0</v>
      </c>
      <c r="CL63" s="87">
        <f t="shared" ca="1" si="48"/>
        <v>4.2948107359445833E-5</v>
      </c>
      <c r="CM63" s="37">
        <f ca="1">INT(CL63) + _xll.RiskBinomial(1,CL63-INT(CL63))</f>
        <v>0</v>
      </c>
      <c r="CN63" s="30">
        <f t="shared" ca="1" si="14"/>
        <v>0</v>
      </c>
      <c r="CO63" s="35">
        <f ca="1">_xll.RiskBinomial(1,CN63)</f>
        <v>0</v>
      </c>
      <c r="CP63" s="88">
        <f ca="1">IF(CO63=1,_xll.RiskBinomial(1,Prob_Illness_Given_Infection),0)</f>
        <v>0</v>
      </c>
      <c r="CR63" s="87">
        <f t="shared" ca="1" si="49"/>
        <v>2.9598535685937425E-7</v>
      </c>
      <c r="CS63" s="37">
        <f ca="1">INT(CR63) + _xll.RiskBinomial(1,CR63-INT(CR63))</f>
        <v>0</v>
      </c>
      <c r="CT63" s="30">
        <f t="shared" ca="1" si="15"/>
        <v>0</v>
      </c>
      <c r="CU63" s="35">
        <f ca="1">_xll.RiskBinomial(1,CT63)</f>
        <v>0</v>
      </c>
      <c r="CV63" s="88">
        <f ca="1">IF(CU63=1,_xll.RiskBinomial(1,Prob_Illness_Given_Infection),0)</f>
        <v>0</v>
      </c>
      <c r="CX63" s="87">
        <f t="shared" ca="1" si="50"/>
        <v>3.0130972841905042E-9</v>
      </c>
      <c r="CY63" s="37">
        <f ca="1">INT(CX63) + _xll.RiskBinomial(1,CX63-INT(CX63))</f>
        <v>0</v>
      </c>
      <c r="CZ63" s="30">
        <f t="shared" ca="1" si="16"/>
        <v>0</v>
      </c>
      <c r="DA63" s="35">
        <f ca="1">_xll.RiskBinomial(1,CZ63)</f>
        <v>0</v>
      </c>
      <c r="DB63" s="88">
        <f ca="1">IF(DA63=1,_xll.RiskBinomial(1,Prob_Illness_Given_Infection),0)</f>
        <v>0</v>
      </c>
      <c r="DD63" s="87">
        <f t="shared" ca="1" si="51"/>
        <v>3.0130972841905042E-9</v>
      </c>
      <c r="DE63" s="37">
        <f ca="1">INT(DD63) + _xll.RiskBinomial(1,DD63-INT(DD63))</f>
        <v>0</v>
      </c>
      <c r="DF63" s="30">
        <f t="shared" ca="1" si="17"/>
        <v>0</v>
      </c>
      <c r="DG63" s="35">
        <f ca="1">_xll.RiskBinomial(1,DF63)</f>
        <v>0</v>
      </c>
      <c r="DH63" s="88">
        <f ca="1">IF(DG63=1,_xll.RiskBinomial(1,Prob_Illness_Given_Infection),0)</f>
        <v>0</v>
      </c>
      <c r="DJ63" s="87">
        <f t="shared" ca="1" si="52"/>
        <v>4.9199697891768561E-6</v>
      </c>
      <c r="DK63" s="37">
        <f ca="1">INT(DJ63) + _xll.RiskBinomial(1,DJ63-INT(DJ63))</f>
        <v>0</v>
      </c>
      <c r="DL63" s="30">
        <f t="shared" ca="1" si="18"/>
        <v>0</v>
      </c>
      <c r="DM63" s="35">
        <f ca="1">_xll.RiskBinomial(1,DL63)</f>
        <v>0</v>
      </c>
      <c r="DN63" s="88">
        <f ca="1">IF(DM63=1,_xll.RiskBinomial(1,Prob_Illness_Given_Infection),0)</f>
        <v>0</v>
      </c>
      <c r="DP63" s="87">
        <f t="shared" ca="1" si="53"/>
        <v>1.1630555015715496E-9</v>
      </c>
      <c r="DQ63" s="37">
        <f ca="1">INT(DP63) + _xll.RiskBinomial(1,DP63-INT(DP63))</f>
        <v>0</v>
      </c>
      <c r="DR63" s="30">
        <f t="shared" ca="1" si="19"/>
        <v>0</v>
      </c>
      <c r="DS63" s="35">
        <f ca="1">_xll.RiskBinomial(1,DR63)</f>
        <v>0</v>
      </c>
      <c r="DT63" s="88">
        <f ca="1">IF(DS63=1,_xll.RiskBinomial(1,Prob_Illness_Given_Infection),0)</f>
        <v>0</v>
      </c>
      <c r="DV63" s="87">
        <f t="shared" ca="1" si="54"/>
        <v>1.6373564752401415E-8</v>
      </c>
      <c r="DW63" s="37">
        <f ca="1">INT(DV63) + _xll.RiskBinomial(1,DV63-INT(DV63))</f>
        <v>0</v>
      </c>
      <c r="DX63" s="30">
        <f t="shared" ca="1" si="20"/>
        <v>0</v>
      </c>
      <c r="DY63" s="35">
        <f ca="1">_xll.RiskBinomial(1,DX63)</f>
        <v>0</v>
      </c>
      <c r="DZ63" s="88">
        <f ca="1">IF(DY63=1,_xll.RiskBinomial(1,Prob_Illness_Given_Infection),0)</f>
        <v>0</v>
      </c>
      <c r="EB63" s="87">
        <f t="shared" ca="1" si="55"/>
        <v>4.1086580951508727E-12</v>
      </c>
      <c r="EC63" s="37">
        <f ca="1">INT(EB63) + _xll.RiskBinomial(1,EB63-INT(EB63))</f>
        <v>0</v>
      </c>
      <c r="ED63" s="30">
        <f t="shared" ca="1" si="21"/>
        <v>0</v>
      </c>
      <c r="EE63" s="35">
        <f ca="1">_xll.RiskBinomial(1,ED63)</f>
        <v>0</v>
      </c>
      <c r="EF63" s="88">
        <f ca="1">IF(EE63=1,_xll.RiskBinomial(1,Prob_Illness_Given_Infection),0)</f>
        <v>0</v>
      </c>
      <c r="EH63" s="87">
        <f t="shared" ca="1" si="56"/>
        <v>4.1086580951466487E-12</v>
      </c>
      <c r="EI63" s="37">
        <f ca="1">INT(EH63) + _xll.RiskBinomial(1,EH63-INT(EH63))</f>
        <v>0</v>
      </c>
      <c r="EJ63" s="30">
        <f t="shared" ca="1" si="22"/>
        <v>0</v>
      </c>
      <c r="EK63" s="35">
        <f ca="1">_xll.RiskBinomial(1,EJ63)</f>
        <v>0</v>
      </c>
      <c r="EL63" s="88">
        <f ca="1">IF(EK63=1,_xll.RiskBinomial(1,Prob_Illness_Given_Infection),0)</f>
        <v>0</v>
      </c>
      <c r="EN63" s="87">
        <f t="shared" ca="1" si="57"/>
        <v>3.7489024601003327E-10</v>
      </c>
      <c r="EO63" s="37">
        <f ca="1">INT(EN63) + _xll.RiskBinomial(1,EN63-INT(EN63))</f>
        <v>0</v>
      </c>
      <c r="EP63" s="30">
        <f t="shared" ca="1" si="23"/>
        <v>0</v>
      </c>
      <c r="EQ63" s="35">
        <f ca="1">_xll.RiskBinomial(1,EP63)</f>
        <v>0</v>
      </c>
      <c r="ER63" s="88">
        <f ca="1">IF(EQ63=1,_xll.RiskBinomial(1,Prob_Illness_Given_Infection),0)</f>
        <v>0</v>
      </c>
      <c r="ET63" s="87">
        <f t="shared" ca="1" si="58"/>
        <v>4.1086580951427309E-12</v>
      </c>
      <c r="EU63" s="37">
        <f ca="1">INT(ET63) + _xll.RiskBinomial(1,ET63-INT(ET63))</f>
        <v>0</v>
      </c>
      <c r="EV63" s="30">
        <f t="shared" ca="1" si="24"/>
        <v>0</v>
      </c>
      <c r="EW63" s="35">
        <f ca="1">_xll.RiskBinomial(1,EV63)</f>
        <v>0</v>
      </c>
      <c r="EX63" s="88">
        <f ca="1">IF(EW63=1,_xll.RiskBinomial(1,Prob_Illness_Given_Infection),0)</f>
        <v>0</v>
      </c>
      <c r="EZ63" s="87">
        <f t="shared" ca="1" si="59"/>
        <v>3.0988335269329052E-5</v>
      </c>
      <c r="FA63" s="37">
        <f ca="1">INT(EZ63) + _xll.RiskBinomial(1,EZ63-INT(EZ63))</f>
        <v>0</v>
      </c>
      <c r="FB63" s="30">
        <f t="shared" ca="1" si="25"/>
        <v>0</v>
      </c>
      <c r="FC63" s="35">
        <f ca="1">_xll.RiskBinomial(1,FB63)</f>
        <v>0</v>
      </c>
      <c r="FD63" s="88">
        <f ca="1">IF(FC63=1,_xll.RiskBinomial(1,Prob_Illness_Given_Infection),0)</f>
        <v>0</v>
      </c>
      <c r="FF63" s="87">
        <f t="shared" ca="1" si="60"/>
        <v>2.1586126008153232E-4</v>
      </c>
      <c r="FG63" s="37">
        <f ca="1">INT(FF63) + _xll.RiskBinomial(1,FF63-INT(FF63))</f>
        <v>0</v>
      </c>
      <c r="FH63" s="30">
        <f t="shared" ca="1" si="26"/>
        <v>0</v>
      </c>
      <c r="FI63" s="35">
        <f ca="1">_xll.RiskBinomial(1,FH63)</f>
        <v>0</v>
      </c>
      <c r="FJ63" s="88">
        <f ca="1">IF(FI63=1,_xll.RiskBinomial(1,Prob_Illness_Given_Infection),0)</f>
        <v>0</v>
      </c>
      <c r="FL63" s="87" t="e">
        <f t="shared" ca="1" si="61"/>
        <v>#NAME?</v>
      </c>
      <c r="FM63" s="37" t="e">
        <f ca="1">INT(FL63) + _xll.RiskBinomial(1,FL63-INT(FL63))</f>
        <v>#NAME?</v>
      </c>
      <c r="FN63" s="30" t="e">
        <f t="shared" ca="1" si="27"/>
        <v>#NAME?</v>
      </c>
      <c r="FO63" s="35" t="e">
        <f ca="1">_xll.RiskBinomial(1,FN63)</f>
        <v>#VALUE!</v>
      </c>
      <c r="FP63" s="88" t="e">
        <f ca="1">IF(FO63=1,_xll.RiskBinomial(1,Prob_Illness_Given_Infection),0)</f>
        <v>#VALUE!</v>
      </c>
      <c r="FR63" s="87" t="e">
        <f t="shared" ca="1" si="62"/>
        <v>#NAME?</v>
      </c>
      <c r="FS63" s="37" t="e">
        <f ca="1">INT(FR63) + _xll.RiskBinomial(1,FR63-INT(FR63))</f>
        <v>#NAME?</v>
      </c>
      <c r="FT63" s="30" t="e">
        <f t="shared" ca="1" si="28"/>
        <v>#NAME?</v>
      </c>
      <c r="FU63" s="35" t="e">
        <f ca="1">_xll.RiskBinomial(1,FT63)</f>
        <v>#VALUE!</v>
      </c>
      <c r="FV63" s="88" t="e">
        <f ca="1">IF(FU63=1,_xll.RiskBinomial(1,Prob_Illness_Given_Infection),0)</f>
        <v>#VALUE!</v>
      </c>
      <c r="FX63" s="87">
        <f t="shared" ca="1" si="63"/>
        <v>4.3377858587396734E-7</v>
      </c>
      <c r="FY63" s="37">
        <f ca="1">INT(FX63) + _xll.RiskBinomial(1,FX63-INT(FX63))</f>
        <v>0</v>
      </c>
      <c r="FZ63" s="30">
        <f t="shared" ca="1" si="29"/>
        <v>0</v>
      </c>
      <c r="GA63" s="35">
        <f ca="1">_xll.RiskBinomial(1,FZ63)</f>
        <v>0</v>
      </c>
      <c r="GB63" s="88">
        <f ca="1">IF(GA63=1,_xll.RiskBinomial(1,Prob_Illness_Given_Infection),0)</f>
        <v>0</v>
      </c>
      <c r="GD63" s="87" t="e">
        <f t="shared" ca="1" si="64"/>
        <v>#NAME?</v>
      </c>
      <c r="GE63" s="37" t="e">
        <f ca="1">INT(GD63) + _xll.RiskBinomial(1,GD63-INT(GD63))</f>
        <v>#NAME?</v>
      </c>
      <c r="GF63" s="30" t="e">
        <f t="shared" ca="1" si="30"/>
        <v>#NAME?</v>
      </c>
      <c r="GG63" s="35" t="e">
        <f ca="1">_xll.RiskBinomial(1,GF63)</f>
        <v>#VALUE!</v>
      </c>
      <c r="GH63" s="88" t="e">
        <f ca="1">IF(GG63=1,_xll.RiskBinomial(1,Prob_Illness_Given_Infection),0)</f>
        <v>#VALUE!</v>
      </c>
      <c r="GJ63" s="87" t="e">
        <f t="shared" ca="1" si="65"/>
        <v>#NAME?</v>
      </c>
      <c r="GK63" s="37" t="e">
        <f ca="1">INT(GJ63) + _xll.RiskBinomial(1,GJ63-INT(GJ63))</f>
        <v>#NAME?</v>
      </c>
      <c r="GL63" s="30" t="e">
        <f t="shared" ca="1" si="31"/>
        <v>#NAME?</v>
      </c>
      <c r="GM63" s="35" t="e">
        <f ca="1">_xll.RiskBinomial(1,GL63)</f>
        <v>#VALUE!</v>
      </c>
      <c r="GN63" s="88" t="e">
        <f ca="1">IF(GM63=1,_xll.RiskBinomial(1,Prob_Illness_Given_Infection),0)</f>
        <v>#VALUE!</v>
      </c>
      <c r="GP63" s="87" t="e">
        <f t="shared" ca="1" si="66"/>
        <v>#NAME?</v>
      </c>
      <c r="GQ63" s="37" t="e">
        <f ca="1">INT(GP63) + _xll.RiskBinomial(1,GP63-INT(GP63))</f>
        <v>#NAME?</v>
      </c>
      <c r="GR63" s="30" t="e">
        <f t="shared" ca="1" si="32"/>
        <v>#NAME?</v>
      </c>
      <c r="GS63" s="35" t="e">
        <f ca="1">_xll.RiskBinomial(1,GR63)</f>
        <v>#VALUE!</v>
      </c>
      <c r="GT63" s="88" t="e">
        <f ca="1">IF(GS63=1,_xll.RiskBinomial(1,Prob_Illness_Given_Infection),0)</f>
        <v>#VALUE!</v>
      </c>
    </row>
    <row r="64" spans="2:202">
      <c r="B64" s="108">
        <v>56</v>
      </c>
      <c r="C64" s="87">
        <f ca="1">_xll.RiskLoglogistic(LogLogistic_gamma, LogLogistic_beta, LogLogistic_alpha, _xll.RiskTruncate(5,800))</f>
        <v>22.542242490409329</v>
      </c>
      <c r="D64" s="38">
        <f t="shared" ca="1" si="67"/>
        <v>1.448150566659113</v>
      </c>
      <c r="E64" s="30"/>
      <c r="F64" s="87">
        <f t="shared" ca="1" si="34"/>
        <v>5.2283910915453073E-10</v>
      </c>
      <c r="G64" s="37">
        <f ca="1">INT(F64) + _xll.RiskBinomial(1,F64-INT(F64))</f>
        <v>0</v>
      </c>
      <c r="H64" s="30">
        <f t="shared" ca="1" si="68"/>
        <v>0</v>
      </c>
      <c r="I64" s="35">
        <f ca="1">_xll.RiskBinomial(1,H64)</f>
        <v>0</v>
      </c>
      <c r="J64" s="88">
        <f ca="1">IF(I64=1,_xll.RiskBinomial(1,Prob_Illness_Given_Infection),0)</f>
        <v>0</v>
      </c>
      <c r="K64" s="30"/>
      <c r="L64" s="87">
        <f t="shared" ca="1" si="35"/>
        <v>2.6705259372649304E-5</v>
      </c>
      <c r="M64" s="37">
        <f ca="1">INT(L64) + _xll.RiskBinomial(1,L64-INT(L64))</f>
        <v>0</v>
      </c>
      <c r="N64" s="30">
        <f t="shared" ca="1" si="1"/>
        <v>0</v>
      </c>
      <c r="O64" s="35">
        <f ca="1">_xll.RiskBinomial(1,N64)</f>
        <v>0</v>
      </c>
      <c r="P64" s="88">
        <f ca="1">IF(O64=1,_xll.RiskBinomial(1,Prob_Illness_Given_Infection),0)</f>
        <v>0</v>
      </c>
      <c r="Q64" s="30"/>
      <c r="R64" s="87">
        <f t="shared" ca="1" si="36"/>
        <v>2.76067678769319E-6</v>
      </c>
      <c r="S64" s="37">
        <f ca="1">INT(R64) + _xll.RiskBinomial(1,R64-INT(R64))</f>
        <v>0</v>
      </c>
      <c r="T64" s="30">
        <f t="shared" ca="1" si="2"/>
        <v>0</v>
      </c>
      <c r="U64" s="35">
        <f ca="1">_xll.RiskBinomial(1,T64)</f>
        <v>0</v>
      </c>
      <c r="V64" s="88">
        <f ca="1">IF(U64=1,_xll.RiskBinomial(1,Prob_Illness_Given_Infection),0)</f>
        <v>0</v>
      </c>
      <c r="W64" s="30"/>
      <c r="X64" s="87">
        <f t="shared" ca="1" si="37"/>
        <v>1.1341579514285863E-12</v>
      </c>
      <c r="Y64" s="37">
        <f ca="1">INT(X64) + _xll.RiskBinomial(1,X64-INT(X64))</f>
        <v>0</v>
      </c>
      <c r="Z64" s="30">
        <f t="shared" ca="1" si="3"/>
        <v>0</v>
      </c>
      <c r="AA64" s="35">
        <f ca="1">_xll.RiskBinomial(1,Z64)</f>
        <v>0</v>
      </c>
      <c r="AB64" s="88">
        <f ca="1">IF(AA64=1,_xll.RiskBinomial(1,Prob_Illness_Given_Infection),0)</f>
        <v>0</v>
      </c>
      <c r="AC64" s="30"/>
      <c r="AD64" s="87">
        <f t="shared" ca="1" si="38"/>
        <v>5.714088624648802E-13</v>
      </c>
      <c r="AE64" s="37">
        <f ca="1">INT(AD64) + _xll.RiskBinomial(1,AD64-INT(AD64))</f>
        <v>0</v>
      </c>
      <c r="AF64" s="30">
        <f t="shared" ca="1" si="4"/>
        <v>0</v>
      </c>
      <c r="AG64" s="35">
        <f ca="1">_xll.RiskBinomial(1,AF64)</f>
        <v>0</v>
      </c>
      <c r="AH64" s="88">
        <f ca="1">IF(AG64=1,_xll.RiskBinomial(1,Prob_Illness_Given_Infection),0)</f>
        <v>0</v>
      </c>
      <c r="AI64" s="30"/>
      <c r="AJ64" s="87">
        <f t="shared" ca="1" si="39"/>
        <v>2.6523326836272551E-5</v>
      </c>
      <c r="AK64" s="37">
        <f ca="1">INT(AJ64) + _xll.RiskBinomial(1,AJ64-INT(AJ64))</f>
        <v>0</v>
      </c>
      <c r="AL64" s="30">
        <f t="shared" ca="1" si="5"/>
        <v>0</v>
      </c>
      <c r="AM64" s="35">
        <f ca="1">_xll.RiskBinomial(1,AL64)</f>
        <v>0</v>
      </c>
      <c r="AN64" s="88">
        <f ca="1">IF(AM64=1,_xll.RiskBinomial(1,Prob_Illness_Given_Infection),0)</f>
        <v>0</v>
      </c>
      <c r="AO64" s="30"/>
      <c r="AP64" s="87">
        <f t="shared" ca="1" si="40"/>
        <v>6.4502167891803747E-10</v>
      </c>
      <c r="AQ64" s="37">
        <f ca="1">INT(AP64) + _xll.RiskBinomial(1,AP64-INT(AP64))</f>
        <v>0</v>
      </c>
      <c r="AR64" s="30">
        <f t="shared" ca="1" si="6"/>
        <v>0</v>
      </c>
      <c r="AS64" s="35">
        <f ca="1">_xll.RiskBinomial(1,AR64)</f>
        <v>0</v>
      </c>
      <c r="AT64" s="88">
        <f ca="1">IF(AS64=1,_xll.RiskBinomial(1,Prob_Illness_Given_Infection),0)</f>
        <v>0</v>
      </c>
      <c r="AU64" s="30"/>
      <c r="AV64" s="87">
        <f t="shared" ca="1" si="41"/>
        <v>1.4964167161619336E-5</v>
      </c>
      <c r="AW64" s="37">
        <f ca="1">INT(AV64) + _xll.RiskBinomial(1,AV64-INT(AV64))</f>
        <v>0</v>
      </c>
      <c r="AX64" s="30">
        <f t="shared" ca="1" si="7"/>
        <v>0</v>
      </c>
      <c r="AY64" s="35">
        <f ca="1">_xll.RiskBinomial(1,AX64)</f>
        <v>0</v>
      </c>
      <c r="AZ64" s="88">
        <f ca="1">IF(AY64=1,_xll.RiskBinomial(1,Prob_Illness_Given_Infection),0)</f>
        <v>0</v>
      </c>
      <c r="BB64" s="87">
        <f t="shared" ca="1" si="42"/>
        <v>2.0538467247410219E-5</v>
      </c>
      <c r="BC64" s="37">
        <f ca="1">INT(BB64) + _xll.RiskBinomial(1,BB64-INT(BB64))</f>
        <v>0</v>
      </c>
      <c r="BD64" s="30">
        <f t="shared" ca="1" si="8"/>
        <v>0</v>
      </c>
      <c r="BE64" s="35">
        <f ca="1">_xll.RiskBinomial(1,BD64)</f>
        <v>0</v>
      </c>
      <c r="BF64" s="88">
        <f ca="1">IF(BE64=1,_xll.RiskBinomial(1,Prob_Illness_Given_Infection),0)</f>
        <v>0</v>
      </c>
      <c r="BH64" s="87">
        <f t="shared" ca="1" si="43"/>
        <v>2.6003168888669724E-5</v>
      </c>
      <c r="BI64" s="37">
        <f ca="1">INT(BH64) + _xll.RiskBinomial(1,BH64-INT(BH64))</f>
        <v>0</v>
      </c>
      <c r="BJ64" s="30">
        <f t="shared" ca="1" si="9"/>
        <v>0</v>
      </c>
      <c r="BK64" s="35">
        <f ca="1">_xll.RiskBinomial(1,BJ64)</f>
        <v>0</v>
      </c>
      <c r="BL64" s="88">
        <f ca="1">IF(BK64=1,_xll.RiskBinomial(1,Prob_Illness_Given_Infection),0)</f>
        <v>0</v>
      </c>
      <c r="BN64" s="87">
        <f t="shared" ca="1" si="44"/>
        <v>1.9789894217169283E-6</v>
      </c>
      <c r="BO64" s="37">
        <f ca="1">INT(BN64) + _xll.RiskBinomial(1,BN64-INT(BN64))</f>
        <v>0</v>
      </c>
      <c r="BP64" s="30">
        <f t="shared" ca="1" si="10"/>
        <v>0</v>
      </c>
      <c r="BQ64" s="35">
        <f ca="1">_xll.RiskBinomial(1,BP64)</f>
        <v>0</v>
      </c>
      <c r="BR64" s="88">
        <f ca="1">IF(BQ64=1,_xll.RiskBinomial(1,Prob_Illness_Given_Infection),0)</f>
        <v>0</v>
      </c>
      <c r="BT64" s="87">
        <f t="shared" ca="1" si="45"/>
        <v>5.9508002694786285E-6</v>
      </c>
      <c r="BU64" s="37">
        <f ca="1">INT(BT64) + _xll.RiskBinomial(1,BT64-INT(BT64))</f>
        <v>0</v>
      </c>
      <c r="BV64" s="30">
        <f t="shared" ca="1" si="11"/>
        <v>0</v>
      </c>
      <c r="BW64" s="35">
        <f ca="1">_xll.RiskBinomial(1,BV64)</f>
        <v>0</v>
      </c>
      <c r="BX64" s="88">
        <f ca="1">IF(BW64=1,_xll.RiskBinomial(1,Prob_Illness_Given_Infection),0)</f>
        <v>0</v>
      </c>
      <c r="BZ64" s="87">
        <f t="shared" ca="1" si="46"/>
        <v>1.6313149500983975E-5</v>
      </c>
      <c r="CA64" s="37">
        <f ca="1">INT(BZ64) + _xll.RiskBinomial(1,BZ64-INT(BZ64))</f>
        <v>0</v>
      </c>
      <c r="CB64" s="30">
        <f t="shared" ca="1" si="12"/>
        <v>0</v>
      </c>
      <c r="CC64" s="35">
        <f ca="1">_xll.RiskBinomial(1,CB64)</f>
        <v>0</v>
      </c>
      <c r="CD64" s="88">
        <f ca="1">IF(CC64=1,_xll.RiskBinomial(1,Prob_Illness_Given_Infection),0)</f>
        <v>0</v>
      </c>
      <c r="CF64" s="87">
        <f t="shared" ca="1" si="47"/>
        <v>3.0952568357241789E-6</v>
      </c>
      <c r="CG64" s="37">
        <f ca="1">INT(CF64) + _xll.RiskBinomial(1,CF64-INT(CF64))</f>
        <v>0</v>
      </c>
      <c r="CH64" s="30">
        <f t="shared" ca="1" si="13"/>
        <v>0</v>
      </c>
      <c r="CI64" s="35">
        <f ca="1">_xll.RiskBinomial(1,CH64)</f>
        <v>0</v>
      </c>
      <c r="CJ64" s="88">
        <f ca="1">IF(CI64=1,_xll.RiskBinomial(1,Prob_Illness_Given_Infection),0)</f>
        <v>0</v>
      </c>
      <c r="CL64" s="87">
        <f t="shared" ca="1" si="48"/>
        <v>5.9729791583865276E-6</v>
      </c>
      <c r="CM64" s="37">
        <f ca="1">INT(CL64) + _xll.RiskBinomial(1,CL64-INT(CL64))</f>
        <v>0</v>
      </c>
      <c r="CN64" s="30">
        <f t="shared" ca="1" si="14"/>
        <v>0</v>
      </c>
      <c r="CO64" s="35">
        <f ca="1">_xll.RiskBinomial(1,CN64)</f>
        <v>0</v>
      </c>
      <c r="CP64" s="88">
        <f ca="1">IF(CO64=1,_xll.RiskBinomial(1,Prob_Illness_Given_Infection),0)</f>
        <v>0</v>
      </c>
      <c r="CR64" s="87">
        <f t="shared" ca="1" si="49"/>
        <v>4.1163964523801375E-8</v>
      </c>
      <c r="CS64" s="37">
        <f ca="1">INT(CR64) + _xll.RiskBinomial(1,CR64-INT(CR64))</f>
        <v>0</v>
      </c>
      <c r="CT64" s="30">
        <f t="shared" ca="1" si="15"/>
        <v>0</v>
      </c>
      <c r="CU64" s="35">
        <f ca="1">_xll.RiskBinomial(1,CT64)</f>
        <v>0</v>
      </c>
      <c r="CV64" s="88">
        <f ca="1">IF(CU64=1,_xll.RiskBinomial(1,Prob_Illness_Given_Infection),0)</f>
        <v>0</v>
      </c>
      <c r="CX64" s="87">
        <f t="shared" ca="1" si="50"/>
        <v>4.1904447919059946E-10</v>
      </c>
      <c r="CY64" s="37">
        <f ca="1">INT(CX64) + _xll.RiskBinomial(1,CX64-INT(CX64))</f>
        <v>0</v>
      </c>
      <c r="CZ64" s="30">
        <f t="shared" ca="1" si="16"/>
        <v>0</v>
      </c>
      <c r="DA64" s="35">
        <f ca="1">_xll.RiskBinomial(1,CZ64)</f>
        <v>0</v>
      </c>
      <c r="DB64" s="88">
        <f ca="1">IF(DA64=1,_xll.RiskBinomial(1,Prob_Illness_Given_Infection),0)</f>
        <v>0</v>
      </c>
      <c r="DD64" s="87">
        <f t="shared" ca="1" si="51"/>
        <v>4.1904447919059946E-10</v>
      </c>
      <c r="DE64" s="37">
        <f ca="1">INT(DD64) + _xll.RiskBinomial(1,DD64-INT(DD64))</f>
        <v>0</v>
      </c>
      <c r="DF64" s="30">
        <f t="shared" ca="1" si="17"/>
        <v>0</v>
      </c>
      <c r="DG64" s="35">
        <f ca="1">_xll.RiskBinomial(1,DF64)</f>
        <v>0</v>
      </c>
      <c r="DH64" s="88">
        <f ca="1">IF(DG64=1,_xll.RiskBinomial(1,Prob_Illness_Given_Infection),0)</f>
        <v>0</v>
      </c>
      <c r="DJ64" s="87">
        <f t="shared" ca="1" si="52"/>
        <v>6.8424149089264789E-7</v>
      </c>
      <c r="DK64" s="37">
        <f ca="1">INT(DJ64) + _xll.RiskBinomial(1,DJ64-INT(DJ64))</f>
        <v>0</v>
      </c>
      <c r="DL64" s="30">
        <f t="shared" ca="1" si="18"/>
        <v>0</v>
      </c>
      <c r="DM64" s="35">
        <f ca="1">_xll.RiskBinomial(1,DL64)</f>
        <v>0</v>
      </c>
      <c r="DN64" s="88">
        <f ca="1">IF(DM64=1,_xll.RiskBinomial(1,Prob_Illness_Given_Infection),0)</f>
        <v>0</v>
      </c>
      <c r="DP64" s="87">
        <f t="shared" ca="1" si="53"/>
        <v>1.6175116199633372E-10</v>
      </c>
      <c r="DQ64" s="37">
        <f ca="1">INT(DP64) + _xll.RiskBinomial(1,DP64-INT(DP64))</f>
        <v>0</v>
      </c>
      <c r="DR64" s="30">
        <f t="shared" ca="1" si="19"/>
        <v>0</v>
      </c>
      <c r="DS64" s="35">
        <f ca="1">_xll.RiskBinomial(1,DR64)</f>
        <v>0</v>
      </c>
      <c r="DT64" s="88">
        <f ca="1">IF(DS64=1,_xll.RiskBinomial(1,Prob_Illness_Given_Infection),0)</f>
        <v>0</v>
      </c>
      <c r="DV64" s="87">
        <f t="shared" ca="1" si="54"/>
        <v>2.277142510520348E-9</v>
      </c>
      <c r="DW64" s="37">
        <f ca="1">INT(DV64) + _xll.RiskBinomial(1,DV64-INT(DV64))</f>
        <v>0</v>
      </c>
      <c r="DX64" s="30">
        <f t="shared" ca="1" si="20"/>
        <v>0</v>
      </c>
      <c r="DY64" s="35">
        <f ca="1">_xll.RiskBinomial(1,DX64)</f>
        <v>0</v>
      </c>
      <c r="DZ64" s="88">
        <f ca="1">IF(DY64=1,_xll.RiskBinomial(1,Prob_Illness_Given_Infection),0)</f>
        <v>0</v>
      </c>
      <c r="EB64" s="87">
        <f t="shared" ca="1" si="55"/>
        <v>5.7140886246468825E-13</v>
      </c>
      <c r="EC64" s="37">
        <f ca="1">INT(EB64) + _xll.RiskBinomial(1,EB64-INT(EB64))</f>
        <v>0</v>
      </c>
      <c r="ED64" s="30">
        <f t="shared" ca="1" si="21"/>
        <v>0</v>
      </c>
      <c r="EE64" s="35">
        <f ca="1">_xll.RiskBinomial(1,ED64)</f>
        <v>0</v>
      </c>
      <c r="EF64" s="88">
        <f ca="1">IF(EE64=1,_xll.RiskBinomial(1,Prob_Illness_Given_Infection),0)</f>
        <v>0</v>
      </c>
      <c r="EH64" s="87">
        <f t="shared" ca="1" si="56"/>
        <v>5.7140886246410088E-13</v>
      </c>
      <c r="EI64" s="37">
        <f ca="1">INT(EH64) + _xll.RiskBinomial(1,EH64-INT(EH64))</f>
        <v>0</v>
      </c>
      <c r="EJ64" s="30">
        <f t="shared" ca="1" si="22"/>
        <v>0</v>
      </c>
      <c r="EK64" s="35">
        <f ca="1">_xll.RiskBinomial(1,EJ64)</f>
        <v>0</v>
      </c>
      <c r="EL64" s="88">
        <f ca="1">IF(EK64=1,_xll.RiskBinomial(1,Prob_Illness_Given_Infection),0)</f>
        <v>0</v>
      </c>
      <c r="EN64" s="87">
        <f t="shared" ca="1" si="57"/>
        <v>5.2137608937215334E-11</v>
      </c>
      <c r="EO64" s="37">
        <f ca="1">INT(EN64) + _xll.RiskBinomial(1,EN64-INT(EN64))</f>
        <v>0</v>
      </c>
      <c r="EP64" s="30">
        <f t="shared" ca="1" si="23"/>
        <v>0</v>
      </c>
      <c r="EQ64" s="35">
        <f ca="1">_xll.RiskBinomial(1,EP64)</f>
        <v>0</v>
      </c>
      <c r="ER64" s="88">
        <f ca="1">IF(EQ64=1,_xll.RiskBinomial(1,Prob_Illness_Given_Infection),0)</f>
        <v>0</v>
      </c>
      <c r="ET64" s="87">
        <f t="shared" ca="1" si="58"/>
        <v>5.7140886246355603E-13</v>
      </c>
      <c r="EU64" s="37">
        <f ca="1">INT(ET64) + _xll.RiskBinomial(1,ET64-INT(ET64))</f>
        <v>0</v>
      </c>
      <c r="EV64" s="30">
        <f t="shared" ca="1" si="24"/>
        <v>0</v>
      </c>
      <c r="EW64" s="35">
        <f ca="1">_xll.RiskBinomial(1,EV64)</f>
        <v>0</v>
      </c>
      <c r="EX64" s="88">
        <f ca="1">IF(EW64=1,_xll.RiskBinomial(1,Prob_Illness_Given_Infection),0)</f>
        <v>0</v>
      </c>
      <c r="EZ64" s="87">
        <f t="shared" ca="1" si="59"/>
        <v>4.3096818951228601E-6</v>
      </c>
      <c r="FA64" s="37">
        <f ca="1">INT(EZ64) + _xll.RiskBinomial(1,EZ64-INT(EZ64))</f>
        <v>0</v>
      </c>
      <c r="FB64" s="30">
        <f t="shared" ca="1" si="25"/>
        <v>0</v>
      </c>
      <c r="FC64" s="35">
        <f ca="1">_xll.RiskBinomial(1,FB64)</f>
        <v>0</v>
      </c>
      <c r="FD64" s="88">
        <f ca="1">IF(FC64=1,_xll.RiskBinomial(1,Prob_Illness_Given_Infection),0)</f>
        <v>0</v>
      </c>
      <c r="FF64" s="87">
        <f t="shared" ca="1" si="60"/>
        <v>3.0020759629270951E-5</v>
      </c>
      <c r="FG64" s="37">
        <f ca="1">INT(FF64) + _xll.RiskBinomial(1,FF64-INT(FF64))</f>
        <v>0</v>
      </c>
      <c r="FH64" s="30">
        <f t="shared" ca="1" si="26"/>
        <v>0</v>
      </c>
      <c r="FI64" s="35">
        <f ca="1">_xll.RiskBinomial(1,FH64)</f>
        <v>0</v>
      </c>
      <c r="FJ64" s="88">
        <f ca="1">IF(FI64=1,_xll.RiskBinomial(1,Prob_Illness_Given_Infection),0)</f>
        <v>0</v>
      </c>
      <c r="FL64" s="87" t="e">
        <f t="shared" ca="1" si="61"/>
        <v>#NAME?</v>
      </c>
      <c r="FM64" s="37" t="e">
        <f ca="1">INT(FL64) + _xll.RiskBinomial(1,FL64-INT(FL64))</f>
        <v>#NAME?</v>
      </c>
      <c r="FN64" s="30" t="e">
        <f t="shared" ca="1" si="27"/>
        <v>#NAME?</v>
      </c>
      <c r="FO64" s="35" t="e">
        <f ca="1">_xll.RiskBinomial(1,FN64)</f>
        <v>#VALUE!</v>
      </c>
      <c r="FP64" s="88" t="e">
        <f ca="1">IF(FO64=1,_xll.RiskBinomial(1,Prob_Illness_Given_Infection),0)</f>
        <v>#VALUE!</v>
      </c>
      <c r="FR64" s="87" t="e">
        <f t="shared" ca="1" si="62"/>
        <v>#NAME?</v>
      </c>
      <c r="FS64" s="37" t="e">
        <f ca="1">INT(FR64) + _xll.RiskBinomial(1,FR64-INT(FR64))</f>
        <v>#NAME?</v>
      </c>
      <c r="FT64" s="30" t="e">
        <f t="shared" ca="1" si="28"/>
        <v>#NAME?</v>
      </c>
      <c r="FU64" s="35" t="e">
        <f ca="1">_xll.RiskBinomial(1,FT64)</f>
        <v>#VALUE!</v>
      </c>
      <c r="FV64" s="88" t="e">
        <f ca="1">IF(FU64=1,_xll.RiskBinomial(1,Prob_Illness_Given_Infection),0)</f>
        <v>#VALUE!</v>
      </c>
      <c r="FX64" s="87">
        <f t="shared" ca="1" si="63"/>
        <v>6.0327465215058993E-8</v>
      </c>
      <c r="FY64" s="37">
        <f ca="1">INT(FX64) + _xll.RiskBinomial(1,FX64-INT(FX64))</f>
        <v>0</v>
      </c>
      <c r="FZ64" s="30">
        <f t="shared" ca="1" si="29"/>
        <v>0</v>
      </c>
      <c r="GA64" s="35">
        <f ca="1">_xll.RiskBinomial(1,FZ64)</f>
        <v>0</v>
      </c>
      <c r="GB64" s="88">
        <f ca="1">IF(GA64=1,_xll.RiskBinomial(1,Prob_Illness_Given_Infection),0)</f>
        <v>0</v>
      </c>
      <c r="GD64" s="87" t="e">
        <f t="shared" ca="1" si="64"/>
        <v>#NAME?</v>
      </c>
      <c r="GE64" s="37" t="e">
        <f ca="1">INT(GD64) + _xll.RiskBinomial(1,GD64-INT(GD64))</f>
        <v>#NAME?</v>
      </c>
      <c r="GF64" s="30" t="e">
        <f t="shared" ca="1" si="30"/>
        <v>#NAME?</v>
      </c>
      <c r="GG64" s="35" t="e">
        <f ca="1">_xll.RiskBinomial(1,GF64)</f>
        <v>#VALUE!</v>
      </c>
      <c r="GH64" s="88" t="e">
        <f ca="1">IF(GG64=1,_xll.RiskBinomial(1,Prob_Illness_Given_Infection),0)</f>
        <v>#VALUE!</v>
      </c>
      <c r="GJ64" s="87" t="e">
        <f t="shared" ca="1" si="65"/>
        <v>#NAME?</v>
      </c>
      <c r="GK64" s="37" t="e">
        <f ca="1">INT(GJ64) + _xll.RiskBinomial(1,GJ64-INT(GJ64))</f>
        <v>#NAME?</v>
      </c>
      <c r="GL64" s="30" t="e">
        <f t="shared" ca="1" si="31"/>
        <v>#NAME?</v>
      </c>
      <c r="GM64" s="35" t="e">
        <f ca="1">_xll.RiskBinomial(1,GL64)</f>
        <v>#VALUE!</v>
      </c>
      <c r="GN64" s="88" t="e">
        <f ca="1">IF(GM64=1,_xll.RiskBinomial(1,Prob_Illness_Given_Infection),0)</f>
        <v>#VALUE!</v>
      </c>
      <c r="GP64" s="87" t="e">
        <f t="shared" ca="1" si="66"/>
        <v>#NAME?</v>
      </c>
      <c r="GQ64" s="37" t="e">
        <f ca="1">INT(GP64) + _xll.RiskBinomial(1,GP64-INT(GP64))</f>
        <v>#NAME?</v>
      </c>
      <c r="GR64" s="30" t="e">
        <f t="shared" ca="1" si="32"/>
        <v>#NAME?</v>
      </c>
      <c r="GS64" s="35" t="e">
        <f ca="1">_xll.RiskBinomial(1,GR64)</f>
        <v>#VALUE!</v>
      </c>
      <c r="GT64" s="88" t="e">
        <f ca="1">IF(GS64=1,_xll.RiskBinomial(1,Prob_Illness_Given_Infection),0)</f>
        <v>#VALUE!</v>
      </c>
    </row>
    <row r="65" spans="2:202">
      <c r="B65" s="108">
        <v>57</v>
      </c>
      <c r="C65" s="87">
        <f ca="1">_xll.RiskLoglogistic(LogLogistic_gamma, LogLogistic_beta, LogLogistic_alpha, _xll.RiskTruncate(5,800))</f>
        <v>11.971632244959627</v>
      </c>
      <c r="D65" s="38">
        <f t="shared" ca="1" si="67"/>
        <v>0.76907725692103446</v>
      </c>
      <c r="E65" s="30"/>
      <c r="F65" s="87">
        <f t="shared" ca="1" si="34"/>
        <v>2.776670307199188E-10</v>
      </c>
      <c r="G65" s="37">
        <f ca="1">INT(F65) + _xll.RiskBinomial(1,F65-INT(F65))</f>
        <v>0</v>
      </c>
      <c r="H65" s="30">
        <f t="shared" ca="1" si="68"/>
        <v>0</v>
      </c>
      <c r="I65" s="35">
        <f ca="1">_xll.RiskBinomial(1,H65)</f>
        <v>0</v>
      </c>
      <c r="J65" s="88">
        <f ca="1">IF(I65=1,_xll.RiskBinomial(1,Prob_Illness_Given_Infection),0)</f>
        <v>0</v>
      </c>
      <c r="K65" s="30"/>
      <c r="L65" s="87">
        <f t="shared" ca="1" si="35"/>
        <v>1.4182508432851724E-5</v>
      </c>
      <c r="M65" s="37">
        <f ca="1">INT(L65) + _xll.RiskBinomial(1,L65-INT(L65))</f>
        <v>0</v>
      </c>
      <c r="N65" s="30">
        <f t="shared" ca="1" si="1"/>
        <v>0</v>
      </c>
      <c r="O65" s="35">
        <f ca="1">_xll.RiskBinomial(1,N65)</f>
        <v>0</v>
      </c>
      <c r="P65" s="88">
        <f ca="1">IF(O65=1,_xll.RiskBinomial(1,Prob_Illness_Given_Infection),0)</f>
        <v>0</v>
      </c>
      <c r="Q65" s="30"/>
      <c r="R65" s="87">
        <f t="shared" ca="1" si="36"/>
        <v>1.4661277494251299E-6</v>
      </c>
      <c r="S65" s="37">
        <f ca="1">INT(R65) + _xll.RiskBinomial(1,R65-INT(R65))</f>
        <v>0</v>
      </c>
      <c r="T65" s="30">
        <f t="shared" ca="1" si="2"/>
        <v>0</v>
      </c>
      <c r="U65" s="35">
        <f ca="1">_xll.RiskBinomial(1,T65)</f>
        <v>0</v>
      </c>
      <c r="V65" s="88">
        <f ca="1">IF(U65=1,_xll.RiskBinomial(1,Prob_Illness_Given_Infection),0)</f>
        <v>0</v>
      </c>
      <c r="W65" s="30"/>
      <c r="X65" s="87">
        <f t="shared" ca="1" si="37"/>
        <v>6.0232347815336051E-13</v>
      </c>
      <c r="Y65" s="37">
        <f ca="1">INT(X65) + _xll.RiskBinomial(1,X65-INT(X65))</f>
        <v>0</v>
      </c>
      <c r="Z65" s="30">
        <f t="shared" ca="1" si="3"/>
        <v>0</v>
      </c>
      <c r="AA65" s="35">
        <f ca="1">_xll.RiskBinomial(1,Z65)</f>
        <v>0</v>
      </c>
      <c r="AB65" s="88">
        <f ca="1">IF(AA65=1,_xll.RiskBinomial(1,Prob_Illness_Given_Infection),0)</f>
        <v>0</v>
      </c>
      <c r="AC65" s="30"/>
      <c r="AD65" s="87">
        <f t="shared" ca="1" si="38"/>
        <v>3.0346123575995859E-13</v>
      </c>
      <c r="AE65" s="37">
        <f ca="1">INT(AD65) + _xll.RiskBinomial(1,AD65-INT(AD65))</f>
        <v>0</v>
      </c>
      <c r="AF65" s="30">
        <f t="shared" ca="1" si="4"/>
        <v>0</v>
      </c>
      <c r="AG65" s="35">
        <f ca="1">_xll.RiskBinomial(1,AF65)</f>
        <v>0</v>
      </c>
      <c r="AH65" s="88">
        <f ca="1">IF(AG65=1,_xll.RiskBinomial(1,Prob_Illness_Given_Infection),0)</f>
        <v>0</v>
      </c>
      <c r="AI65" s="30"/>
      <c r="AJ65" s="87">
        <f t="shared" ca="1" si="39"/>
        <v>1.4085888523815528E-5</v>
      </c>
      <c r="AK65" s="37">
        <f ca="1">INT(AJ65) + _xll.RiskBinomial(1,AJ65-INT(AJ65))</f>
        <v>0</v>
      </c>
      <c r="AL65" s="30">
        <f t="shared" ca="1" si="5"/>
        <v>0</v>
      </c>
      <c r="AM65" s="35">
        <f ca="1">_xll.RiskBinomial(1,AL65)</f>
        <v>0</v>
      </c>
      <c r="AN65" s="88">
        <f ca="1">IF(AM65=1,_xll.RiskBinomial(1,Prob_Illness_Given_Infection),0)</f>
        <v>0</v>
      </c>
      <c r="AO65" s="30"/>
      <c r="AP65" s="87">
        <f t="shared" ca="1" si="40"/>
        <v>3.4255519757266866E-10</v>
      </c>
      <c r="AQ65" s="37">
        <f ca="1">INT(AP65) + _xll.RiskBinomial(1,AP65-INT(AP65))</f>
        <v>0</v>
      </c>
      <c r="AR65" s="30">
        <f t="shared" ca="1" si="6"/>
        <v>0</v>
      </c>
      <c r="AS65" s="35">
        <f ca="1">_xll.RiskBinomial(1,AR65)</f>
        <v>0</v>
      </c>
      <c r="AT65" s="88">
        <f ca="1">IF(AS65=1,_xll.RiskBinomial(1,Prob_Illness_Given_Infection),0)</f>
        <v>0</v>
      </c>
      <c r="AU65" s="30"/>
      <c r="AV65" s="87">
        <f t="shared" ca="1" si="41"/>
        <v>7.9471022542334046E-6</v>
      </c>
      <c r="AW65" s="37">
        <f ca="1">INT(AV65) + _xll.RiskBinomial(1,AV65-INT(AV65))</f>
        <v>0</v>
      </c>
      <c r="AX65" s="30">
        <f t="shared" ca="1" si="7"/>
        <v>0</v>
      </c>
      <c r="AY65" s="35">
        <f ca="1">_xll.RiskBinomial(1,AX65)</f>
        <v>0</v>
      </c>
      <c r="AZ65" s="88">
        <f ca="1">IF(AY65=1,_xll.RiskBinomial(1,Prob_Illness_Given_Infection),0)</f>
        <v>0</v>
      </c>
      <c r="BB65" s="87">
        <f t="shared" ca="1" si="42"/>
        <v>1.0907476346497178E-5</v>
      </c>
      <c r="BC65" s="37">
        <f ca="1">INT(BB65) + _xll.RiskBinomial(1,BB65-INT(BB65))</f>
        <v>0</v>
      </c>
      <c r="BD65" s="30">
        <f t="shared" ca="1" si="8"/>
        <v>0</v>
      </c>
      <c r="BE65" s="35">
        <f ca="1">_xll.RiskBinomial(1,BD65)</f>
        <v>0</v>
      </c>
      <c r="BF65" s="88">
        <f ca="1">IF(BE65=1,_xll.RiskBinomial(1,Prob_Illness_Given_Infection),0)</f>
        <v>0</v>
      </c>
      <c r="BH65" s="87">
        <f t="shared" ca="1" si="43"/>
        <v>1.3809645392252934E-5</v>
      </c>
      <c r="BI65" s="37">
        <f ca="1">INT(BH65) + _xll.RiskBinomial(1,BH65-INT(BH65))</f>
        <v>0</v>
      </c>
      <c r="BJ65" s="30">
        <f t="shared" ca="1" si="9"/>
        <v>0</v>
      </c>
      <c r="BK65" s="35">
        <f ca="1">_xll.RiskBinomial(1,BJ65)</f>
        <v>0</v>
      </c>
      <c r="BL65" s="88">
        <f ca="1">IF(BK65=1,_xll.RiskBinomial(1,Prob_Illness_Given_Infection),0)</f>
        <v>0</v>
      </c>
      <c r="BN65" s="87">
        <f t="shared" ca="1" si="44"/>
        <v>1.0509927565343204E-6</v>
      </c>
      <c r="BO65" s="37">
        <f ca="1">INT(BN65) + _xll.RiskBinomial(1,BN65-INT(BN65))</f>
        <v>0</v>
      </c>
      <c r="BP65" s="30">
        <f t="shared" ca="1" si="10"/>
        <v>0</v>
      </c>
      <c r="BQ65" s="35">
        <f ca="1">_xll.RiskBinomial(1,BP65)</f>
        <v>0</v>
      </c>
      <c r="BR65" s="88">
        <f ca="1">IF(BQ65=1,_xll.RiskBinomial(1,Prob_Illness_Given_Infection),0)</f>
        <v>0</v>
      </c>
      <c r="BT65" s="87">
        <f t="shared" ca="1" si="45"/>
        <v>3.1603241079371064E-6</v>
      </c>
      <c r="BU65" s="37">
        <f ca="1">INT(BT65) + _xll.RiskBinomial(1,BT65-INT(BT65))</f>
        <v>0</v>
      </c>
      <c r="BV65" s="30">
        <f t="shared" ca="1" si="11"/>
        <v>0</v>
      </c>
      <c r="BW65" s="35">
        <f ca="1">_xll.RiskBinomial(1,BV65)</f>
        <v>0</v>
      </c>
      <c r="BX65" s="88">
        <f ca="1">IF(BW65=1,_xll.RiskBinomial(1,Prob_Illness_Given_Infection),0)</f>
        <v>0</v>
      </c>
      <c r="BZ65" s="87">
        <f t="shared" ca="1" si="46"/>
        <v>8.6635136972692821E-6</v>
      </c>
      <c r="CA65" s="37">
        <f ca="1">INT(BZ65) + _xll.RiskBinomial(1,BZ65-INT(BZ65))</f>
        <v>0</v>
      </c>
      <c r="CB65" s="30">
        <f t="shared" ca="1" si="12"/>
        <v>0</v>
      </c>
      <c r="CC65" s="35">
        <f ca="1">_xll.RiskBinomial(1,CB65)</f>
        <v>0</v>
      </c>
      <c r="CD65" s="88">
        <f ca="1">IF(CC65=1,_xll.RiskBinomial(1,Prob_Illness_Given_Infection),0)</f>
        <v>0</v>
      </c>
      <c r="CF65" s="87">
        <f t="shared" ca="1" si="47"/>
        <v>1.6438150089438785E-6</v>
      </c>
      <c r="CG65" s="37">
        <f ca="1">INT(CF65) + _xll.RiskBinomial(1,CF65-INT(CF65))</f>
        <v>0</v>
      </c>
      <c r="CH65" s="30">
        <f t="shared" ca="1" si="13"/>
        <v>0</v>
      </c>
      <c r="CI65" s="35">
        <f ca="1">_xll.RiskBinomial(1,CH65)</f>
        <v>0</v>
      </c>
      <c r="CJ65" s="88">
        <f ca="1">IF(CI65=1,_xll.RiskBinomial(1,Prob_Illness_Given_Infection),0)</f>
        <v>0</v>
      </c>
      <c r="CL65" s="87">
        <f t="shared" ca="1" si="48"/>
        <v>3.1721027720039196E-6</v>
      </c>
      <c r="CM65" s="37">
        <f ca="1">INT(CL65) + _xll.RiskBinomial(1,CL65-INT(CL65))</f>
        <v>0</v>
      </c>
      <c r="CN65" s="30">
        <f t="shared" ca="1" si="14"/>
        <v>0</v>
      </c>
      <c r="CO65" s="35">
        <f ca="1">_xll.RiskBinomial(1,CN65)</f>
        <v>0</v>
      </c>
      <c r="CP65" s="88">
        <f ca="1">IF(CO65=1,_xll.RiskBinomial(1,Prob_Illness_Given_Infection),0)</f>
        <v>0</v>
      </c>
      <c r="CR65" s="87">
        <f t="shared" ca="1" si="49"/>
        <v>2.1861172207387002E-8</v>
      </c>
      <c r="CS65" s="37">
        <f ca="1">INT(CR65) + _xll.RiskBinomial(1,CR65-INT(CR65))</f>
        <v>0</v>
      </c>
      <c r="CT65" s="30">
        <f t="shared" ca="1" si="15"/>
        <v>0</v>
      </c>
      <c r="CU65" s="35">
        <f ca="1">_xll.RiskBinomial(1,CT65)</f>
        <v>0</v>
      </c>
      <c r="CV65" s="88">
        <f ca="1">IF(CU65=1,_xll.RiskBinomial(1,Prob_Illness_Given_Infection),0)</f>
        <v>0</v>
      </c>
      <c r="CX65" s="87">
        <f t="shared" ca="1" si="50"/>
        <v>2.2254424781761809E-10</v>
      </c>
      <c r="CY65" s="37">
        <f ca="1">INT(CX65) + _xll.RiskBinomial(1,CX65-INT(CX65))</f>
        <v>0</v>
      </c>
      <c r="CZ65" s="30">
        <f t="shared" ca="1" si="16"/>
        <v>0</v>
      </c>
      <c r="DA65" s="35">
        <f ca="1">_xll.RiskBinomial(1,CZ65)</f>
        <v>0</v>
      </c>
      <c r="DB65" s="88">
        <f ca="1">IF(DA65=1,_xll.RiskBinomial(1,Prob_Illness_Given_Infection),0)</f>
        <v>0</v>
      </c>
      <c r="DD65" s="87">
        <f t="shared" ca="1" si="51"/>
        <v>2.2254424781761809E-10</v>
      </c>
      <c r="DE65" s="37">
        <f ca="1">INT(DD65) + _xll.RiskBinomial(1,DD65-INT(DD65))</f>
        <v>0</v>
      </c>
      <c r="DF65" s="30">
        <f t="shared" ca="1" si="17"/>
        <v>0</v>
      </c>
      <c r="DG65" s="35">
        <f ca="1">_xll.RiskBinomial(1,DF65)</f>
        <v>0</v>
      </c>
      <c r="DH65" s="88">
        <f ca="1">IF(DG65=1,_xll.RiskBinomial(1,Prob_Illness_Given_Infection),0)</f>
        <v>0</v>
      </c>
      <c r="DJ65" s="87">
        <f t="shared" ca="1" si="52"/>
        <v>3.633838780323106E-7</v>
      </c>
      <c r="DK65" s="37">
        <f ca="1">INT(DJ65) + _xll.RiskBinomial(1,DJ65-INT(DJ65))</f>
        <v>0</v>
      </c>
      <c r="DL65" s="30">
        <f t="shared" ca="1" si="18"/>
        <v>0</v>
      </c>
      <c r="DM65" s="35">
        <f ca="1">_xll.RiskBinomial(1,DL65)</f>
        <v>0</v>
      </c>
      <c r="DN65" s="88">
        <f ca="1">IF(DM65=1,_xll.RiskBinomial(1,Prob_Illness_Given_Infection),0)</f>
        <v>0</v>
      </c>
      <c r="DP65" s="87">
        <f t="shared" ca="1" si="53"/>
        <v>8.5902075955347206E-11</v>
      </c>
      <c r="DQ65" s="37">
        <f ca="1">INT(DP65) + _xll.RiskBinomial(1,DP65-INT(DP65))</f>
        <v>0</v>
      </c>
      <c r="DR65" s="30">
        <f t="shared" ca="1" si="19"/>
        <v>0</v>
      </c>
      <c r="DS65" s="35">
        <f ca="1">_xll.RiskBinomial(1,DR65)</f>
        <v>0</v>
      </c>
      <c r="DT65" s="88">
        <f ca="1">IF(DS65=1,_xll.RiskBinomial(1,Prob_Illness_Given_Infection),0)</f>
        <v>0</v>
      </c>
      <c r="DV65" s="87">
        <f t="shared" ca="1" si="54"/>
        <v>1.2093345512058993E-9</v>
      </c>
      <c r="DW65" s="37">
        <f ca="1">INT(DV65) + _xll.RiskBinomial(1,DV65-INT(DV65))</f>
        <v>0</v>
      </c>
      <c r="DX65" s="30">
        <f t="shared" ca="1" si="20"/>
        <v>0</v>
      </c>
      <c r="DY65" s="35">
        <f ca="1">_xll.RiskBinomial(1,DX65)</f>
        <v>0</v>
      </c>
      <c r="DZ65" s="88">
        <f ca="1">IF(DY65=1,_xll.RiskBinomial(1,Prob_Illness_Given_Infection),0)</f>
        <v>0</v>
      </c>
      <c r="EB65" s="87">
        <f t="shared" ca="1" si="55"/>
        <v>3.0346123575985666E-13</v>
      </c>
      <c r="EC65" s="37">
        <f ca="1">INT(EB65) + _xll.RiskBinomial(1,EB65-INT(EB65))</f>
        <v>0</v>
      </c>
      <c r="ED65" s="30">
        <f t="shared" ca="1" si="21"/>
        <v>0</v>
      </c>
      <c r="EE65" s="35">
        <f ca="1">_xll.RiskBinomial(1,ED65)</f>
        <v>0</v>
      </c>
      <c r="EF65" s="88">
        <f ca="1">IF(EE65=1,_xll.RiskBinomial(1,Prob_Illness_Given_Infection),0)</f>
        <v>0</v>
      </c>
      <c r="EH65" s="87">
        <f t="shared" ca="1" si="56"/>
        <v>3.034612357595447E-13</v>
      </c>
      <c r="EI65" s="37">
        <f ca="1">INT(EH65) + _xll.RiskBinomial(1,EH65-INT(EH65))</f>
        <v>0</v>
      </c>
      <c r="EJ65" s="30">
        <f t="shared" ca="1" si="22"/>
        <v>0</v>
      </c>
      <c r="EK65" s="35">
        <f ca="1">_xll.RiskBinomial(1,EJ65)</f>
        <v>0</v>
      </c>
      <c r="EL65" s="88">
        <f ca="1">IF(EK65=1,_xll.RiskBinomial(1,Prob_Illness_Given_Infection),0)</f>
        <v>0</v>
      </c>
      <c r="EN65" s="87">
        <f t="shared" ca="1" si="57"/>
        <v>2.7689005678712689E-11</v>
      </c>
      <c r="EO65" s="37">
        <f ca="1">INT(EN65) + _xll.RiskBinomial(1,EN65-INT(EN65))</f>
        <v>0</v>
      </c>
      <c r="EP65" s="30">
        <f t="shared" ca="1" si="23"/>
        <v>0</v>
      </c>
      <c r="EQ65" s="35">
        <f ca="1">_xll.RiskBinomial(1,EP65)</f>
        <v>0</v>
      </c>
      <c r="ER65" s="88">
        <f ca="1">IF(EQ65=1,_xll.RiskBinomial(1,Prob_Illness_Given_Infection),0)</f>
        <v>0</v>
      </c>
      <c r="ET65" s="87">
        <f t="shared" ca="1" si="58"/>
        <v>3.0346123575925531E-13</v>
      </c>
      <c r="EU65" s="37">
        <f ca="1">INT(ET65) + _xll.RiskBinomial(1,ET65-INT(ET65))</f>
        <v>0</v>
      </c>
      <c r="EV65" s="30">
        <f t="shared" ca="1" si="24"/>
        <v>0</v>
      </c>
      <c r="EW65" s="35">
        <f ca="1">_xll.RiskBinomial(1,EV65)</f>
        <v>0</v>
      </c>
      <c r="EX65" s="88">
        <f ca="1">IF(EW65=1,_xll.RiskBinomial(1,Prob_Illness_Given_Infection),0)</f>
        <v>0</v>
      </c>
      <c r="EZ65" s="87">
        <f t="shared" ca="1" si="59"/>
        <v>2.288766379969622E-6</v>
      </c>
      <c r="FA65" s="37">
        <f ca="1">INT(EZ65) + _xll.RiskBinomial(1,EZ65-INT(EZ65))</f>
        <v>0</v>
      </c>
      <c r="FB65" s="30">
        <f t="shared" ca="1" si="25"/>
        <v>0</v>
      </c>
      <c r="FC65" s="35">
        <f ca="1">_xll.RiskBinomial(1,FB65)</f>
        <v>0</v>
      </c>
      <c r="FD65" s="88">
        <f ca="1">IF(FC65=1,_xll.RiskBinomial(1,Prob_Illness_Given_Infection),0)</f>
        <v>0</v>
      </c>
      <c r="FF65" s="87">
        <f t="shared" ca="1" si="60"/>
        <v>1.5943289322207816E-5</v>
      </c>
      <c r="FG65" s="37">
        <f ca="1">INT(FF65) + _xll.RiskBinomial(1,FF65-INT(FF65))</f>
        <v>0</v>
      </c>
      <c r="FH65" s="30">
        <f t="shared" ca="1" si="26"/>
        <v>0</v>
      </c>
      <c r="FI65" s="35">
        <f ca="1">_xll.RiskBinomial(1,FH65)</f>
        <v>0</v>
      </c>
      <c r="FJ65" s="88">
        <f ca="1">IF(FI65=1,_xll.RiskBinomial(1,Prob_Illness_Given_Infection),0)</f>
        <v>0</v>
      </c>
      <c r="FL65" s="87" t="e">
        <f t="shared" ca="1" si="61"/>
        <v>#NAME?</v>
      </c>
      <c r="FM65" s="37" t="e">
        <f ca="1">INT(FL65) + _xll.RiskBinomial(1,FL65-INT(FL65))</f>
        <v>#NAME?</v>
      </c>
      <c r="FN65" s="30" t="e">
        <f t="shared" ca="1" si="27"/>
        <v>#NAME?</v>
      </c>
      <c r="FO65" s="35" t="e">
        <f ca="1">_xll.RiskBinomial(1,FN65)</f>
        <v>#VALUE!</v>
      </c>
      <c r="FP65" s="88" t="e">
        <f ca="1">IF(FO65=1,_xll.RiskBinomial(1,Prob_Illness_Given_Infection),0)</f>
        <v>#VALUE!</v>
      </c>
      <c r="FR65" s="87" t="e">
        <f t="shared" ca="1" si="62"/>
        <v>#NAME?</v>
      </c>
      <c r="FS65" s="37" t="e">
        <f ca="1">INT(FR65) + _xll.RiskBinomial(1,FR65-INT(FR65))</f>
        <v>#NAME?</v>
      </c>
      <c r="FT65" s="30" t="e">
        <f t="shared" ca="1" si="28"/>
        <v>#NAME?</v>
      </c>
      <c r="FU65" s="35" t="e">
        <f ca="1">_xll.RiskBinomial(1,FT65)</f>
        <v>#VALUE!</v>
      </c>
      <c r="FV65" s="88" t="e">
        <f ca="1">IF(FU65=1,_xll.RiskBinomial(1,Prob_Illness_Given_Infection),0)</f>
        <v>#VALUE!</v>
      </c>
      <c r="FX65" s="87">
        <f t="shared" ca="1" si="63"/>
        <v>3.2038437530452023E-8</v>
      </c>
      <c r="FY65" s="37">
        <f ca="1">INT(FX65) + _xll.RiskBinomial(1,FX65-INT(FX65))</f>
        <v>0</v>
      </c>
      <c r="FZ65" s="30">
        <f t="shared" ca="1" si="29"/>
        <v>0</v>
      </c>
      <c r="GA65" s="35">
        <f ca="1">_xll.RiskBinomial(1,FZ65)</f>
        <v>0</v>
      </c>
      <c r="GB65" s="88">
        <f ca="1">IF(GA65=1,_xll.RiskBinomial(1,Prob_Illness_Given_Infection),0)</f>
        <v>0</v>
      </c>
      <c r="GD65" s="87" t="e">
        <f t="shared" ca="1" si="64"/>
        <v>#NAME?</v>
      </c>
      <c r="GE65" s="37" t="e">
        <f ca="1">INT(GD65) + _xll.RiskBinomial(1,GD65-INT(GD65))</f>
        <v>#NAME?</v>
      </c>
      <c r="GF65" s="30" t="e">
        <f t="shared" ca="1" si="30"/>
        <v>#NAME?</v>
      </c>
      <c r="GG65" s="35" t="e">
        <f ca="1">_xll.RiskBinomial(1,GF65)</f>
        <v>#VALUE!</v>
      </c>
      <c r="GH65" s="88" t="e">
        <f ca="1">IF(GG65=1,_xll.RiskBinomial(1,Prob_Illness_Given_Infection),0)</f>
        <v>#VALUE!</v>
      </c>
      <c r="GJ65" s="87" t="e">
        <f t="shared" ca="1" si="65"/>
        <v>#NAME?</v>
      </c>
      <c r="GK65" s="37" t="e">
        <f ca="1">INT(GJ65) + _xll.RiskBinomial(1,GJ65-INT(GJ65))</f>
        <v>#NAME?</v>
      </c>
      <c r="GL65" s="30" t="e">
        <f t="shared" ca="1" si="31"/>
        <v>#NAME?</v>
      </c>
      <c r="GM65" s="35" t="e">
        <f ca="1">_xll.RiskBinomial(1,GL65)</f>
        <v>#VALUE!</v>
      </c>
      <c r="GN65" s="88" t="e">
        <f ca="1">IF(GM65=1,_xll.RiskBinomial(1,Prob_Illness_Given_Infection),0)</f>
        <v>#VALUE!</v>
      </c>
      <c r="GP65" s="87" t="e">
        <f t="shared" ca="1" si="66"/>
        <v>#NAME?</v>
      </c>
      <c r="GQ65" s="37" t="e">
        <f ca="1">INT(GP65) + _xll.RiskBinomial(1,GP65-INT(GP65))</f>
        <v>#NAME?</v>
      </c>
      <c r="GR65" s="30" t="e">
        <f t="shared" ca="1" si="32"/>
        <v>#NAME?</v>
      </c>
      <c r="GS65" s="35" t="e">
        <f ca="1">_xll.RiskBinomial(1,GR65)</f>
        <v>#VALUE!</v>
      </c>
      <c r="GT65" s="88" t="e">
        <f ca="1">IF(GS65=1,_xll.RiskBinomial(1,Prob_Illness_Given_Infection),0)</f>
        <v>#VALUE!</v>
      </c>
    </row>
    <row r="66" spans="2:202">
      <c r="B66" s="108">
        <v>58</v>
      </c>
      <c r="C66" s="87">
        <f ca="1">_xll.RiskLoglogistic(LogLogistic_gamma, LogLogistic_beta, LogLogistic_alpha, _xll.RiskTruncate(5,800))</f>
        <v>288.57932745955293</v>
      </c>
      <c r="D66" s="38">
        <f t="shared" ca="1" si="67"/>
        <v>18.538808495403991</v>
      </c>
      <c r="E66" s="30"/>
      <c r="F66" s="87">
        <f t="shared" ca="1" si="34"/>
        <v>6.693236422842974E-9</v>
      </c>
      <c r="G66" s="37">
        <f ca="1">INT(F66) + _xll.RiskBinomial(1,F66-INT(F66))</f>
        <v>0</v>
      </c>
      <c r="H66" s="30">
        <f t="shared" ca="1" si="68"/>
        <v>0</v>
      </c>
      <c r="I66" s="35">
        <f ca="1">_xll.RiskBinomial(1,H66)</f>
        <v>0</v>
      </c>
      <c r="J66" s="88">
        <f ca="1">IF(I66=1,_xll.RiskBinomial(1,Prob_Illness_Given_Infection),0)</f>
        <v>0</v>
      </c>
      <c r="K66" s="30"/>
      <c r="L66" s="87">
        <f t="shared" ca="1" si="35"/>
        <v>3.4187307641069209E-4</v>
      </c>
      <c r="M66" s="37">
        <f ca="1">INT(L66) + _xll.RiskBinomial(1,L66-INT(L66))</f>
        <v>0</v>
      </c>
      <c r="N66" s="30">
        <f t="shared" ca="1" si="1"/>
        <v>0</v>
      </c>
      <c r="O66" s="35">
        <f ca="1">_xll.RiskBinomial(1,N66)</f>
        <v>0</v>
      </c>
      <c r="P66" s="88">
        <f ca="1">IF(O66=1,_xll.RiskBinomial(1,Prob_Illness_Given_Infection),0)</f>
        <v>0</v>
      </c>
      <c r="Q66" s="30"/>
      <c r="R66" s="87">
        <f t="shared" ca="1" si="36"/>
        <v>3.534139298983442E-5</v>
      </c>
      <c r="S66" s="37">
        <f ca="1">INT(R66) + _xll.RiskBinomial(1,R66-INT(R66))</f>
        <v>0</v>
      </c>
      <c r="T66" s="30">
        <f t="shared" ca="1" si="2"/>
        <v>0</v>
      </c>
      <c r="U66" s="35">
        <f ca="1">_xll.RiskBinomial(1,T66)</f>
        <v>0</v>
      </c>
      <c r="V66" s="88">
        <f ca="1">IF(U66=1,_xll.RiskBinomial(1,Prob_Illness_Given_Infection),0)</f>
        <v>0</v>
      </c>
      <c r="W66" s="30"/>
      <c r="X66" s="87">
        <f t="shared" ca="1" si="37"/>
        <v>1.4519165029628895E-11</v>
      </c>
      <c r="Y66" s="37">
        <f ca="1">INT(X66) + _xll.RiskBinomial(1,X66-INT(X66))</f>
        <v>0</v>
      </c>
      <c r="Z66" s="30">
        <f t="shared" ca="1" si="3"/>
        <v>0</v>
      </c>
      <c r="AA66" s="35">
        <f ca="1">_xll.RiskBinomial(1,Z66)</f>
        <v>0</v>
      </c>
      <c r="AB66" s="88">
        <f ca="1">IF(AA66=1,_xll.RiskBinomial(1,Prob_Illness_Given_Infection),0)</f>
        <v>0</v>
      </c>
      <c r="AC66" s="30"/>
      <c r="AD66" s="87">
        <f t="shared" ca="1" si="38"/>
        <v>7.3150124839930714E-12</v>
      </c>
      <c r="AE66" s="37">
        <f ca="1">INT(AD66) + _xll.RiskBinomial(1,AD66-INT(AD66))</f>
        <v>0</v>
      </c>
      <c r="AF66" s="30">
        <f t="shared" ca="1" si="4"/>
        <v>0</v>
      </c>
      <c r="AG66" s="35">
        <f ca="1">_xll.RiskBinomial(1,AF66)</f>
        <v>0</v>
      </c>
      <c r="AH66" s="88">
        <f ca="1">IF(AG66=1,_xll.RiskBinomial(1,Prob_Illness_Given_Infection),0)</f>
        <v>0</v>
      </c>
      <c r="AI66" s="30"/>
      <c r="AJ66" s="87">
        <f t="shared" ca="1" si="39"/>
        <v>3.3954402822425052E-4</v>
      </c>
      <c r="AK66" s="37">
        <f ca="1">INT(AJ66) + _xll.RiskBinomial(1,AJ66-INT(AJ66))</f>
        <v>0</v>
      </c>
      <c r="AL66" s="30">
        <f t="shared" ca="1" si="5"/>
        <v>0</v>
      </c>
      <c r="AM66" s="35">
        <f ca="1">_xll.RiskBinomial(1,AL66)</f>
        <v>0</v>
      </c>
      <c r="AN66" s="88">
        <f ca="1">IF(AM66=1,_xll.RiskBinomial(1,Prob_Illness_Given_Infection),0)</f>
        <v>0</v>
      </c>
      <c r="AO66" s="30"/>
      <c r="AP66" s="87">
        <f t="shared" ca="1" si="40"/>
        <v>8.257382661826692E-9</v>
      </c>
      <c r="AQ66" s="37">
        <f ca="1">INT(AP66) + _xll.RiskBinomial(1,AP66-INT(AP66))</f>
        <v>0</v>
      </c>
      <c r="AR66" s="30">
        <f t="shared" ca="1" si="6"/>
        <v>0</v>
      </c>
      <c r="AS66" s="35">
        <f ca="1">_xll.RiskBinomial(1,AR66)</f>
        <v>0</v>
      </c>
      <c r="AT66" s="88">
        <f ca="1">IF(AS66=1,_xll.RiskBinomial(1,Prob_Illness_Given_Infection),0)</f>
        <v>0</v>
      </c>
      <c r="AU66" s="30"/>
      <c r="AV66" s="87">
        <f t="shared" ca="1" si="41"/>
        <v>1.9156697907626939E-4</v>
      </c>
      <c r="AW66" s="37">
        <f ca="1">INT(AV66) + _xll.RiskBinomial(1,AV66-INT(AV66))</f>
        <v>0</v>
      </c>
      <c r="AX66" s="30">
        <f t="shared" ca="1" si="7"/>
        <v>0</v>
      </c>
      <c r="AY66" s="35">
        <f ca="1">_xll.RiskBinomial(1,AX66)</f>
        <v>0</v>
      </c>
      <c r="AZ66" s="88">
        <f ca="1">IF(AY66=1,_xll.RiskBinomial(1,Prob_Illness_Given_Infection),0)</f>
        <v>0</v>
      </c>
      <c r="BB66" s="87">
        <f t="shared" ca="1" si="42"/>
        <v>2.6292757110697165E-4</v>
      </c>
      <c r="BC66" s="37">
        <f ca="1">INT(BB66) + _xll.RiskBinomial(1,BB66-INT(BB66))</f>
        <v>0</v>
      </c>
      <c r="BD66" s="30">
        <f t="shared" ca="1" si="8"/>
        <v>0</v>
      </c>
      <c r="BE66" s="35">
        <f ca="1">_xll.RiskBinomial(1,BD66)</f>
        <v>0</v>
      </c>
      <c r="BF66" s="88">
        <f ca="1">IF(BE66=1,_xll.RiskBinomial(1,Prob_Illness_Given_Infection),0)</f>
        <v>0</v>
      </c>
      <c r="BH66" s="87">
        <f t="shared" ca="1" si="43"/>
        <v>3.3288511526313632E-4</v>
      </c>
      <c r="BI66" s="37">
        <f ca="1">INT(BH66) + _xll.RiskBinomial(1,BH66-INT(BH66))</f>
        <v>0</v>
      </c>
      <c r="BJ66" s="30">
        <f t="shared" ca="1" si="9"/>
        <v>0</v>
      </c>
      <c r="BK66" s="35">
        <f ca="1">_xll.RiskBinomial(1,BJ66)</f>
        <v>0</v>
      </c>
      <c r="BL66" s="88">
        <f ca="1">IF(BK66=1,_xll.RiskBinomial(1,Prob_Illness_Given_Infection),0)</f>
        <v>0</v>
      </c>
      <c r="BN66" s="87">
        <f t="shared" ca="1" si="44"/>
        <v>2.5334455372468603E-5</v>
      </c>
      <c r="BO66" s="37">
        <f ca="1">INT(BN66) + _xll.RiskBinomial(1,BN66-INT(BN66))</f>
        <v>0</v>
      </c>
      <c r="BP66" s="30">
        <f t="shared" ca="1" si="10"/>
        <v>0</v>
      </c>
      <c r="BQ66" s="35">
        <f ca="1">_xll.RiskBinomial(1,BP66)</f>
        <v>0</v>
      </c>
      <c r="BR66" s="88">
        <f ca="1">IF(BQ66=1,_xll.RiskBinomial(1,Prob_Illness_Given_Infection),0)</f>
        <v>0</v>
      </c>
      <c r="BT66" s="87">
        <f t="shared" ca="1" si="45"/>
        <v>7.6180439472376831E-5</v>
      </c>
      <c r="BU66" s="37">
        <f ca="1">INT(BT66) + _xll.RiskBinomial(1,BT66-INT(BT66))</f>
        <v>0</v>
      </c>
      <c r="BV66" s="30">
        <f t="shared" ca="1" si="11"/>
        <v>0</v>
      </c>
      <c r="BW66" s="35">
        <f ca="1">_xll.RiskBinomial(1,BV66)</f>
        <v>0</v>
      </c>
      <c r="BX66" s="88">
        <f ca="1">IF(BW66=1,_xll.RiskBinomial(1,Prob_Illness_Given_Infection),0)</f>
        <v>0</v>
      </c>
      <c r="BZ66" s="87">
        <f t="shared" ca="1" si="46"/>
        <v>2.0883626434876551E-4</v>
      </c>
      <c r="CA66" s="37">
        <f ca="1">INT(BZ66) + _xll.RiskBinomial(1,BZ66-INT(BZ66))</f>
        <v>0</v>
      </c>
      <c r="CB66" s="30">
        <f t="shared" ca="1" si="12"/>
        <v>0</v>
      </c>
      <c r="CC66" s="35">
        <f ca="1">_xll.RiskBinomial(1,CB66)</f>
        <v>0</v>
      </c>
      <c r="CD66" s="88">
        <f ca="1">IF(CC66=1,_xll.RiskBinomial(1,Prob_Illness_Given_Infection),0)</f>
        <v>0</v>
      </c>
      <c r="CF66" s="87">
        <f t="shared" ca="1" si="47"/>
        <v>3.9624590869692481E-5</v>
      </c>
      <c r="CG66" s="37">
        <f ca="1">INT(CF66) + _xll.RiskBinomial(1,CF66-INT(CF66))</f>
        <v>0</v>
      </c>
      <c r="CH66" s="30">
        <f t="shared" ca="1" si="13"/>
        <v>0</v>
      </c>
      <c r="CI66" s="35">
        <f ca="1">_xll.RiskBinomial(1,CH66)</f>
        <v>0</v>
      </c>
      <c r="CJ66" s="88">
        <f ca="1">IF(CI66=1,_xll.RiskBinomial(1,Prob_Illness_Given_Infection),0)</f>
        <v>0</v>
      </c>
      <c r="CL66" s="87">
        <f t="shared" ca="1" si="48"/>
        <v>7.6464367251414994E-5</v>
      </c>
      <c r="CM66" s="37">
        <f ca="1">INT(CL66) + _xll.RiskBinomial(1,CL66-INT(CL66))</f>
        <v>0</v>
      </c>
      <c r="CN66" s="30">
        <f t="shared" ca="1" si="14"/>
        <v>0</v>
      </c>
      <c r="CO66" s="35">
        <f ca="1">_xll.RiskBinomial(1,CN66)</f>
        <v>0</v>
      </c>
      <c r="CP66" s="88">
        <f ca="1">IF(CO66=1,_xll.RiskBinomial(1,Prob_Illness_Given_Infection),0)</f>
        <v>0</v>
      </c>
      <c r="CR66" s="87">
        <f t="shared" ca="1" si="49"/>
        <v>5.269692757010082E-7</v>
      </c>
      <c r="CS66" s="37">
        <f ca="1">INT(CR66) + _xll.RiskBinomial(1,CR66-INT(CR66))</f>
        <v>0</v>
      </c>
      <c r="CT66" s="30">
        <f t="shared" ca="1" si="15"/>
        <v>0</v>
      </c>
      <c r="CU66" s="35">
        <f ca="1">_xll.RiskBinomial(1,CT66)</f>
        <v>0</v>
      </c>
      <c r="CV66" s="88">
        <f ca="1">IF(CU66=1,_xll.RiskBinomial(1,Prob_Illness_Given_Infection),0)</f>
        <v>0</v>
      </c>
      <c r="CX66" s="87">
        <f t="shared" ca="1" si="50"/>
        <v>5.3644873189484512E-9</v>
      </c>
      <c r="CY66" s="37">
        <f ca="1">INT(CX66) + _xll.RiskBinomial(1,CX66-INT(CX66))</f>
        <v>0</v>
      </c>
      <c r="CZ66" s="30">
        <f t="shared" ca="1" si="16"/>
        <v>0</v>
      </c>
      <c r="DA66" s="35">
        <f ca="1">_xll.RiskBinomial(1,CZ66)</f>
        <v>0</v>
      </c>
      <c r="DB66" s="88">
        <f ca="1">IF(DA66=1,_xll.RiskBinomial(1,Prob_Illness_Given_Infection),0)</f>
        <v>0</v>
      </c>
      <c r="DD66" s="87">
        <f t="shared" ca="1" si="51"/>
        <v>5.3644873189484512E-9</v>
      </c>
      <c r="DE66" s="37">
        <f ca="1">INT(DD66) + _xll.RiskBinomial(1,DD66-INT(DD66))</f>
        <v>0</v>
      </c>
      <c r="DF66" s="30">
        <f t="shared" ca="1" si="17"/>
        <v>0</v>
      </c>
      <c r="DG66" s="35">
        <f ca="1">_xll.RiskBinomial(1,DF66)</f>
        <v>0</v>
      </c>
      <c r="DH66" s="88">
        <f ca="1">IF(DG66=1,_xll.RiskBinomial(1,Prob_Illness_Given_Infection),0)</f>
        <v>0</v>
      </c>
      <c r="DJ66" s="87">
        <f t="shared" ca="1" si="52"/>
        <v>8.7594634538126045E-6</v>
      </c>
      <c r="DK66" s="37">
        <f ca="1">INT(DJ66) + _xll.RiskBinomial(1,DJ66-INT(DJ66))</f>
        <v>0</v>
      </c>
      <c r="DL66" s="30">
        <f t="shared" ca="1" si="18"/>
        <v>0</v>
      </c>
      <c r="DM66" s="35">
        <f ca="1">_xll.RiskBinomial(1,DL66)</f>
        <v>0</v>
      </c>
      <c r="DN66" s="88">
        <f ca="1">IF(DM66=1,_xll.RiskBinomial(1,Prob_Illness_Given_Infection),0)</f>
        <v>0</v>
      </c>
      <c r="DP66" s="87">
        <f t="shared" ca="1" si="53"/>
        <v>2.0706920158703156E-9</v>
      </c>
      <c r="DQ66" s="37">
        <f ca="1">INT(DP66) + _xll.RiskBinomial(1,DP66-INT(DP66))</f>
        <v>0</v>
      </c>
      <c r="DR66" s="30">
        <f t="shared" ca="1" si="19"/>
        <v>0</v>
      </c>
      <c r="DS66" s="35">
        <f ca="1">_xll.RiskBinomial(1,DR66)</f>
        <v>0</v>
      </c>
      <c r="DT66" s="88">
        <f ca="1">IF(DS66=1,_xll.RiskBinomial(1,Prob_Illness_Given_Infection),0)</f>
        <v>0</v>
      </c>
      <c r="DV66" s="87">
        <f t="shared" ca="1" si="54"/>
        <v>2.9151325760740121E-8</v>
      </c>
      <c r="DW66" s="37">
        <f ca="1">INT(DV66) + _xll.RiskBinomial(1,DV66-INT(DV66))</f>
        <v>0</v>
      </c>
      <c r="DX66" s="30">
        <f t="shared" ca="1" si="20"/>
        <v>0</v>
      </c>
      <c r="DY66" s="35">
        <f ca="1">_xll.RiskBinomial(1,DX66)</f>
        <v>0</v>
      </c>
      <c r="DZ66" s="88">
        <f ca="1">IF(DY66=1,_xll.RiskBinomial(1,Prob_Illness_Given_Infection),0)</f>
        <v>0</v>
      </c>
      <c r="EB66" s="87">
        <f t="shared" ca="1" si="55"/>
        <v>7.3150124839906141E-12</v>
      </c>
      <c r="EC66" s="37">
        <f ca="1">INT(EB66) + _xll.RiskBinomial(1,EB66-INT(EB66))</f>
        <v>0</v>
      </c>
      <c r="ED66" s="30">
        <f t="shared" ca="1" si="21"/>
        <v>0</v>
      </c>
      <c r="EE66" s="35">
        <f ca="1">_xll.RiskBinomial(1,ED66)</f>
        <v>0</v>
      </c>
      <c r="EF66" s="88">
        <f ca="1">IF(EE66=1,_xll.RiskBinomial(1,Prob_Illness_Given_Infection),0)</f>
        <v>0</v>
      </c>
      <c r="EH66" s="87">
        <f t="shared" ca="1" si="56"/>
        <v>7.3150124839830952E-12</v>
      </c>
      <c r="EI66" s="37">
        <f ca="1">INT(EH66) + _xll.RiskBinomial(1,EH66-INT(EH66))</f>
        <v>0</v>
      </c>
      <c r="EJ66" s="30">
        <f t="shared" ca="1" si="22"/>
        <v>0</v>
      </c>
      <c r="EK66" s="35">
        <f ca="1">_xll.RiskBinomial(1,EJ66)</f>
        <v>0</v>
      </c>
      <c r="EL66" s="88">
        <f ca="1">IF(EK66=1,_xll.RiskBinomial(1,Prob_Illness_Given_Infection),0)</f>
        <v>0</v>
      </c>
      <c r="EN66" s="87">
        <f t="shared" ca="1" si="57"/>
        <v>6.6745072629096582E-10</v>
      </c>
      <c r="EO66" s="37">
        <f ca="1">INT(EN66) + _xll.RiskBinomial(1,EN66-INT(EN66))</f>
        <v>0</v>
      </c>
      <c r="EP66" s="30">
        <f t="shared" ca="1" si="23"/>
        <v>0</v>
      </c>
      <c r="EQ66" s="35">
        <f ca="1">_xll.RiskBinomial(1,EP66)</f>
        <v>0</v>
      </c>
      <c r="ER66" s="88">
        <f ca="1">IF(EQ66=1,_xll.RiskBinomial(1,Prob_Illness_Given_Infection),0)</f>
        <v>0</v>
      </c>
      <c r="ET66" s="87">
        <f t="shared" ca="1" si="58"/>
        <v>7.3150124839761191E-12</v>
      </c>
      <c r="EU66" s="37">
        <f ca="1">INT(ET66) + _xll.RiskBinomial(1,ET66-INT(ET66))</f>
        <v>0</v>
      </c>
      <c r="EV66" s="30">
        <f t="shared" ca="1" si="24"/>
        <v>0</v>
      </c>
      <c r="EW66" s="35">
        <f ca="1">_xll.RiskBinomial(1,EV66)</f>
        <v>0</v>
      </c>
      <c r="EX66" s="88">
        <f ca="1">IF(EW66=1,_xll.RiskBinomial(1,Prob_Illness_Given_Infection),0)</f>
        <v>0</v>
      </c>
      <c r="EZ66" s="87">
        <f t="shared" ca="1" si="59"/>
        <v>5.5171312409947518E-5</v>
      </c>
      <c r="FA66" s="37">
        <f ca="1">INT(EZ66) + _xll.RiskBinomial(1,EZ66-INT(EZ66))</f>
        <v>0</v>
      </c>
      <c r="FB66" s="30">
        <f t="shared" ca="1" si="25"/>
        <v>0</v>
      </c>
      <c r="FC66" s="35">
        <f ca="1">_xll.RiskBinomial(1,FB66)</f>
        <v>0</v>
      </c>
      <c r="FD66" s="88">
        <f ca="1">IF(FC66=1,_xll.RiskBinomial(1,Prob_Illness_Given_Infection),0)</f>
        <v>0</v>
      </c>
      <c r="FF66" s="87">
        <f t="shared" ca="1" si="60"/>
        <v>3.8431716043005782E-4</v>
      </c>
      <c r="FG66" s="37">
        <f ca="1">INT(FF66) + _xll.RiskBinomial(1,FF66-INT(FF66))</f>
        <v>0</v>
      </c>
      <c r="FH66" s="30">
        <f t="shared" ca="1" si="26"/>
        <v>0</v>
      </c>
      <c r="FI66" s="35">
        <f ca="1">_xll.RiskBinomial(1,FH66)</f>
        <v>0</v>
      </c>
      <c r="FJ66" s="88">
        <f ca="1">IF(FI66=1,_xll.RiskBinomial(1,Prob_Illness_Given_Infection),0)</f>
        <v>0</v>
      </c>
      <c r="FL66" s="87" t="e">
        <f t="shared" ca="1" si="61"/>
        <v>#NAME?</v>
      </c>
      <c r="FM66" s="37" t="e">
        <f ca="1">INT(FL66) + _xll.RiskBinomial(1,FL66-INT(FL66))</f>
        <v>#NAME?</v>
      </c>
      <c r="FN66" s="30" t="e">
        <f t="shared" ca="1" si="27"/>
        <v>#NAME?</v>
      </c>
      <c r="FO66" s="35" t="e">
        <f ca="1">_xll.RiskBinomial(1,FN66)</f>
        <v>#VALUE!</v>
      </c>
      <c r="FP66" s="88" t="e">
        <f ca="1">IF(FO66=1,_xll.RiskBinomial(1,Prob_Illness_Given_Infection),0)</f>
        <v>#VALUE!</v>
      </c>
      <c r="FR66" s="87" t="e">
        <f t="shared" ca="1" si="62"/>
        <v>#NAME?</v>
      </c>
      <c r="FS66" s="37" t="e">
        <f ca="1">INT(FR66) + _xll.RiskBinomial(1,FR66-INT(FR66))</f>
        <v>#NAME?</v>
      </c>
      <c r="FT66" s="30" t="e">
        <f t="shared" ca="1" si="28"/>
        <v>#NAME?</v>
      </c>
      <c r="FU66" s="35" t="e">
        <f ca="1">_xll.RiskBinomial(1,FT66)</f>
        <v>#VALUE!</v>
      </c>
      <c r="FV66" s="88" t="e">
        <f ca="1">IF(FU66=1,_xll.RiskBinomial(1,Prob_Illness_Given_Infection),0)</f>
        <v>#VALUE!</v>
      </c>
      <c r="FX66" s="87">
        <f t="shared" ca="1" si="63"/>
        <v>7.7229491903958184E-7</v>
      </c>
      <c r="FY66" s="37">
        <f ca="1">INT(FX66) + _xll.RiskBinomial(1,FX66-INT(FX66))</f>
        <v>0</v>
      </c>
      <c r="FZ66" s="30">
        <f t="shared" ca="1" si="29"/>
        <v>0</v>
      </c>
      <c r="GA66" s="35">
        <f ca="1">_xll.RiskBinomial(1,FZ66)</f>
        <v>0</v>
      </c>
      <c r="GB66" s="88">
        <f ca="1">IF(GA66=1,_xll.RiskBinomial(1,Prob_Illness_Given_Infection),0)</f>
        <v>0</v>
      </c>
      <c r="GD66" s="87" t="e">
        <f t="shared" ca="1" si="64"/>
        <v>#NAME?</v>
      </c>
      <c r="GE66" s="37" t="e">
        <f ca="1">INT(GD66) + _xll.RiskBinomial(1,GD66-INT(GD66))</f>
        <v>#NAME?</v>
      </c>
      <c r="GF66" s="30" t="e">
        <f t="shared" ca="1" si="30"/>
        <v>#NAME?</v>
      </c>
      <c r="GG66" s="35" t="e">
        <f ca="1">_xll.RiskBinomial(1,GF66)</f>
        <v>#VALUE!</v>
      </c>
      <c r="GH66" s="88" t="e">
        <f ca="1">IF(GG66=1,_xll.RiskBinomial(1,Prob_Illness_Given_Infection),0)</f>
        <v>#VALUE!</v>
      </c>
      <c r="GJ66" s="87" t="e">
        <f t="shared" ca="1" si="65"/>
        <v>#NAME?</v>
      </c>
      <c r="GK66" s="37" t="e">
        <f ca="1">INT(GJ66) + _xll.RiskBinomial(1,GJ66-INT(GJ66))</f>
        <v>#NAME?</v>
      </c>
      <c r="GL66" s="30" t="e">
        <f t="shared" ca="1" si="31"/>
        <v>#NAME?</v>
      </c>
      <c r="GM66" s="35" t="e">
        <f ca="1">_xll.RiskBinomial(1,GL66)</f>
        <v>#VALUE!</v>
      </c>
      <c r="GN66" s="88" t="e">
        <f ca="1">IF(GM66=1,_xll.RiskBinomial(1,Prob_Illness_Given_Infection),0)</f>
        <v>#VALUE!</v>
      </c>
      <c r="GP66" s="87" t="e">
        <f t="shared" ca="1" si="66"/>
        <v>#NAME?</v>
      </c>
      <c r="GQ66" s="37" t="e">
        <f ca="1">INT(GP66) + _xll.RiskBinomial(1,GP66-INT(GP66))</f>
        <v>#NAME?</v>
      </c>
      <c r="GR66" s="30" t="e">
        <f t="shared" ca="1" si="32"/>
        <v>#NAME?</v>
      </c>
      <c r="GS66" s="35" t="e">
        <f ca="1">_xll.RiskBinomial(1,GR66)</f>
        <v>#VALUE!</v>
      </c>
      <c r="GT66" s="88" t="e">
        <f ca="1">IF(GS66=1,_xll.RiskBinomial(1,Prob_Illness_Given_Infection),0)</f>
        <v>#VALUE!</v>
      </c>
    </row>
    <row r="67" spans="2:202">
      <c r="B67" s="108">
        <v>59</v>
      </c>
      <c r="C67" s="87">
        <f ca="1">_xll.RiskLoglogistic(LogLogistic_gamma, LogLogistic_beta, LogLogistic_alpha, _xll.RiskTruncate(5,800))</f>
        <v>38.478508196907725</v>
      </c>
      <c r="D67" s="38">
        <f t="shared" ca="1" si="67"/>
        <v>2.4719223685601217</v>
      </c>
      <c r="E67" s="30"/>
      <c r="F67" s="87">
        <f t="shared" ca="1" si="34"/>
        <v>8.9246085236754239E-10</v>
      </c>
      <c r="G67" s="37">
        <f ca="1">INT(F67) + _xll.RiskBinomial(1,F67-INT(F67))</f>
        <v>0</v>
      </c>
      <c r="H67" s="30">
        <f t="shared" ca="1" si="68"/>
        <v>0</v>
      </c>
      <c r="I67" s="35">
        <f ca="1">_xll.RiskBinomial(1,H67)</f>
        <v>0</v>
      </c>
      <c r="J67" s="88">
        <f ca="1">IF(I67=1,_xll.RiskBinomial(1,Prob_Illness_Given_Infection),0)</f>
        <v>0</v>
      </c>
      <c r="K67" s="30"/>
      <c r="L67" s="87">
        <f t="shared" ca="1" si="35"/>
        <v>4.5584574920095895E-5</v>
      </c>
      <c r="M67" s="37">
        <f ca="1">INT(L67) + _xll.RiskBinomial(1,L67-INT(L67))</f>
        <v>0</v>
      </c>
      <c r="N67" s="30">
        <f t="shared" ca="1" si="1"/>
        <v>0</v>
      </c>
      <c r="O67" s="35">
        <f ca="1">_xll.RiskBinomial(1,N67)</f>
        <v>0</v>
      </c>
      <c r="P67" s="88">
        <f ca="1">IF(O67=1,_xll.RiskBinomial(1,Prob_Illness_Given_Infection),0)</f>
        <v>0</v>
      </c>
      <c r="Q67" s="30"/>
      <c r="R67" s="87">
        <f t="shared" ca="1" si="36"/>
        <v>4.7123405956377148E-6</v>
      </c>
      <c r="S67" s="37">
        <f ca="1">INT(R67) + _xll.RiskBinomial(1,R67-INT(R67))</f>
        <v>0</v>
      </c>
      <c r="T67" s="30">
        <f t="shared" ca="1" si="2"/>
        <v>0</v>
      </c>
      <c r="U67" s="35">
        <f ca="1">_xll.RiskBinomial(1,T67)</f>
        <v>0</v>
      </c>
      <c r="V67" s="88">
        <f ca="1">IF(U67=1,_xll.RiskBinomial(1,Prob_Illness_Given_Infection),0)</f>
        <v>0</v>
      </c>
      <c r="W67" s="30"/>
      <c r="X67" s="87">
        <f t="shared" ca="1" si="37"/>
        <v>1.9359522926434674E-12</v>
      </c>
      <c r="Y67" s="37">
        <f ca="1">INT(X67) + _xll.RiskBinomial(1,X67-INT(X67))</f>
        <v>0</v>
      </c>
      <c r="Z67" s="30">
        <f t="shared" ca="1" si="3"/>
        <v>0</v>
      </c>
      <c r="AA67" s="35">
        <f ca="1">_xll.RiskBinomial(1,Z67)</f>
        <v>0</v>
      </c>
      <c r="AB67" s="88">
        <f ca="1">IF(AA67=1,_xll.RiskBinomial(1,Prob_Illness_Given_Infection),0)</f>
        <v>0</v>
      </c>
      <c r="AC67" s="30"/>
      <c r="AD67" s="87">
        <f t="shared" ca="1" si="38"/>
        <v>9.7536705176936298E-13</v>
      </c>
      <c r="AE67" s="37">
        <f ca="1">INT(AD67) + _xll.RiskBinomial(1,AD67-INT(AD67))</f>
        <v>0</v>
      </c>
      <c r="AF67" s="30">
        <f t="shared" ca="1" si="4"/>
        <v>0</v>
      </c>
      <c r="AG67" s="35">
        <f ca="1">_xll.RiskBinomial(1,AF67)</f>
        <v>0</v>
      </c>
      <c r="AH67" s="88">
        <f ca="1">IF(AG67=1,_xll.RiskBinomial(1,Prob_Illness_Given_Infection),0)</f>
        <v>0</v>
      </c>
      <c r="AI67" s="30"/>
      <c r="AJ67" s="87">
        <f t="shared" ca="1" si="39"/>
        <v>4.5274024956167707E-5</v>
      </c>
      <c r="AK67" s="37">
        <f ca="1">INT(AJ67) + _xll.RiskBinomial(1,AJ67-INT(AJ67))</f>
        <v>0</v>
      </c>
      <c r="AL67" s="30">
        <f t="shared" ca="1" si="5"/>
        <v>0</v>
      </c>
      <c r="AM67" s="35">
        <f ca="1">_xll.RiskBinomial(1,AL67)</f>
        <v>0</v>
      </c>
      <c r="AN67" s="88">
        <f ca="1">IF(AM67=1,_xll.RiskBinomial(1,Prob_Illness_Given_Infection),0)</f>
        <v>0</v>
      </c>
      <c r="AO67" s="30"/>
      <c r="AP67" s="87">
        <f t="shared" ca="1" si="40"/>
        <v>1.1010205382179884E-9</v>
      </c>
      <c r="AQ67" s="37">
        <f ca="1">INT(AP67) + _xll.RiskBinomial(1,AP67-INT(AP67))</f>
        <v>0</v>
      </c>
      <c r="AR67" s="30">
        <f t="shared" ca="1" si="6"/>
        <v>0</v>
      </c>
      <c r="AS67" s="35">
        <f ca="1">_xll.RiskBinomial(1,AR67)</f>
        <v>0</v>
      </c>
      <c r="AT67" s="88">
        <f ca="1">IF(AS67=1,_xll.RiskBinomial(1,Prob_Illness_Given_Infection),0)</f>
        <v>0</v>
      </c>
      <c r="AU67" s="30"/>
      <c r="AV67" s="87">
        <f t="shared" ca="1" si="41"/>
        <v>2.5543103310739493E-5</v>
      </c>
      <c r="AW67" s="37">
        <f ca="1">INT(AV67) + _xll.RiskBinomial(1,AV67-INT(AV67))</f>
        <v>0</v>
      </c>
      <c r="AX67" s="30">
        <f t="shared" ca="1" si="7"/>
        <v>0</v>
      </c>
      <c r="AY67" s="35">
        <f ca="1">_xll.RiskBinomial(1,AX67)</f>
        <v>0</v>
      </c>
      <c r="AZ67" s="88">
        <f ca="1">IF(AY67=1,_xll.RiskBinomial(1,Prob_Illness_Given_Infection),0)</f>
        <v>0</v>
      </c>
      <c r="BB67" s="87">
        <f t="shared" ca="1" si="42"/>
        <v>3.5058161612254248E-5</v>
      </c>
      <c r="BC67" s="37">
        <f ca="1">INT(BB67) + _xll.RiskBinomial(1,BB67-INT(BB67))</f>
        <v>0</v>
      </c>
      <c r="BD67" s="30">
        <f t="shared" ca="1" si="8"/>
        <v>0</v>
      </c>
      <c r="BE67" s="35">
        <f ca="1">_xll.RiskBinomial(1,BD67)</f>
        <v>0</v>
      </c>
      <c r="BF67" s="88">
        <f ca="1">IF(BE67=1,_xll.RiskBinomial(1,Prob_Illness_Given_Infection),0)</f>
        <v>0</v>
      </c>
      <c r="BH67" s="87">
        <f t="shared" ca="1" si="43"/>
        <v>4.4386140715767155E-5</v>
      </c>
      <c r="BI67" s="37">
        <f ca="1">INT(BH67) + _xll.RiskBinomial(1,BH67-INT(BH67))</f>
        <v>0</v>
      </c>
      <c r="BJ67" s="30">
        <f t="shared" ca="1" si="9"/>
        <v>0</v>
      </c>
      <c r="BK67" s="35">
        <f ca="1">_xll.RiskBinomial(1,BJ67)</f>
        <v>0</v>
      </c>
      <c r="BL67" s="88">
        <f ca="1">IF(BK67=1,_xll.RiskBinomial(1,Prob_Illness_Given_Infection),0)</f>
        <v>0</v>
      </c>
      <c r="BN67" s="87">
        <f t="shared" ca="1" si="44"/>
        <v>3.378038396913091E-6</v>
      </c>
      <c r="BO67" s="37">
        <f ca="1">INT(BN67) + _xll.RiskBinomial(1,BN67-INT(BN67))</f>
        <v>0</v>
      </c>
      <c r="BP67" s="30">
        <f t="shared" ca="1" si="10"/>
        <v>0</v>
      </c>
      <c r="BQ67" s="35">
        <f ca="1">_xll.RiskBinomial(1,BP67)</f>
        <v>0</v>
      </c>
      <c r="BR67" s="88">
        <f ca="1">IF(BQ67=1,_xll.RiskBinomial(1,Prob_Illness_Given_Infection),0)</f>
        <v>0</v>
      </c>
      <c r="BT67" s="87">
        <f t="shared" ca="1" si="45"/>
        <v>1.0157725747325871E-5</v>
      </c>
      <c r="BU67" s="37">
        <f ca="1">INT(BT67) + _xll.RiskBinomial(1,BT67-INT(BT67))</f>
        <v>0</v>
      </c>
      <c r="BV67" s="30">
        <f t="shared" ca="1" si="11"/>
        <v>0</v>
      </c>
      <c r="BW67" s="35">
        <f ca="1">_xll.RiskBinomial(1,BV67)</f>
        <v>0</v>
      </c>
      <c r="BX67" s="88">
        <f ca="1">IF(BW67=1,_xll.RiskBinomial(1,Prob_Illness_Given_Infection),0)</f>
        <v>0</v>
      </c>
      <c r="BZ67" s="87">
        <f t="shared" ca="1" si="46"/>
        <v>2.7845750353277961E-5</v>
      </c>
      <c r="CA67" s="37">
        <f ca="1">INT(BZ67) + _xll.RiskBinomial(1,BZ67-INT(BZ67))</f>
        <v>0</v>
      </c>
      <c r="CB67" s="30">
        <f t="shared" ca="1" si="12"/>
        <v>0</v>
      </c>
      <c r="CC67" s="35">
        <f ca="1">_xll.RiskBinomial(1,CB67)</f>
        <v>0</v>
      </c>
      <c r="CD67" s="88">
        <f ca="1">IF(CC67=1,_xll.RiskBinomial(1,Prob_Illness_Given_Infection),0)</f>
        <v>0</v>
      </c>
      <c r="CF67" s="87">
        <f t="shared" ca="1" si="47"/>
        <v>5.2834524149768745E-6</v>
      </c>
      <c r="CG67" s="37">
        <f ca="1">INT(CF67) + _xll.RiskBinomial(1,CF67-INT(CF67))</f>
        <v>0</v>
      </c>
      <c r="CH67" s="30">
        <f t="shared" ca="1" si="13"/>
        <v>0</v>
      </c>
      <c r="CI67" s="35">
        <f ca="1">_xll.RiskBinomial(1,CH67)</f>
        <v>0</v>
      </c>
      <c r="CJ67" s="88">
        <f ca="1">IF(CI67=1,_xll.RiskBinomial(1,Prob_Illness_Given_Infection),0)</f>
        <v>0</v>
      </c>
      <c r="CL67" s="87">
        <f t="shared" ca="1" si="48"/>
        <v>1.0195584028683814E-5</v>
      </c>
      <c r="CM67" s="37">
        <f ca="1">INT(CL67) + _xll.RiskBinomial(1,CL67-INT(CL67))</f>
        <v>0</v>
      </c>
      <c r="CN67" s="30">
        <f t="shared" ca="1" si="14"/>
        <v>0</v>
      </c>
      <c r="CO67" s="35">
        <f ca="1">_xll.RiskBinomial(1,CN67)</f>
        <v>0</v>
      </c>
      <c r="CP67" s="88">
        <f ca="1">IF(CO67=1,_xll.RiskBinomial(1,Prob_Illness_Given_Infection),0)</f>
        <v>0</v>
      </c>
      <c r="CR67" s="87">
        <f t="shared" ca="1" si="49"/>
        <v>7.0264879238176823E-8</v>
      </c>
      <c r="CS67" s="37">
        <f ca="1">INT(CR67) + _xll.RiskBinomial(1,CR67-INT(CR67))</f>
        <v>0</v>
      </c>
      <c r="CT67" s="30">
        <f t="shared" ca="1" si="15"/>
        <v>0</v>
      </c>
      <c r="CU67" s="35">
        <f ca="1">_xll.RiskBinomial(1,CT67)</f>
        <v>0</v>
      </c>
      <c r="CV67" s="88">
        <f ca="1">IF(CU67=1,_xll.RiskBinomial(1,Prob_Illness_Given_Infection),0)</f>
        <v>0</v>
      </c>
      <c r="CX67" s="87">
        <f t="shared" ca="1" si="50"/>
        <v>7.1528848269042021E-10</v>
      </c>
      <c r="CY67" s="37">
        <f ca="1">INT(CX67) + _xll.RiskBinomial(1,CX67-INT(CX67))</f>
        <v>0</v>
      </c>
      <c r="CZ67" s="30">
        <f t="shared" ca="1" si="16"/>
        <v>0</v>
      </c>
      <c r="DA67" s="35">
        <f ca="1">_xll.RiskBinomial(1,CZ67)</f>
        <v>0</v>
      </c>
      <c r="DB67" s="88">
        <f ca="1">IF(DA67=1,_xll.RiskBinomial(1,Prob_Illness_Given_Infection),0)</f>
        <v>0</v>
      </c>
      <c r="DD67" s="87">
        <f t="shared" ca="1" si="51"/>
        <v>7.1528848269042021E-10</v>
      </c>
      <c r="DE67" s="37">
        <f ca="1">INT(DD67) + _xll.RiskBinomial(1,DD67-INT(DD67))</f>
        <v>0</v>
      </c>
      <c r="DF67" s="30">
        <f t="shared" ca="1" si="17"/>
        <v>0</v>
      </c>
      <c r="DG67" s="35">
        <f ca="1">_xll.RiskBinomial(1,DF67)</f>
        <v>0</v>
      </c>
      <c r="DH67" s="88">
        <f ca="1">IF(DG67=1,_xll.RiskBinomial(1,Prob_Illness_Given_Infection),0)</f>
        <v>0</v>
      </c>
      <c r="DJ67" s="87">
        <f t="shared" ca="1" si="52"/>
        <v>1.1679668439011202E-6</v>
      </c>
      <c r="DK67" s="37">
        <f ca="1">INT(DJ67) + _xll.RiskBinomial(1,DJ67-INT(DJ67))</f>
        <v>0</v>
      </c>
      <c r="DL67" s="30">
        <f t="shared" ca="1" si="18"/>
        <v>0</v>
      </c>
      <c r="DM67" s="35">
        <f ca="1">_xll.RiskBinomial(1,DL67)</f>
        <v>0</v>
      </c>
      <c r="DN67" s="88">
        <f ca="1">IF(DM67=1,_xll.RiskBinomial(1,Prob_Illness_Given_Infection),0)</f>
        <v>0</v>
      </c>
      <c r="DP67" s="87">
        <f t="shared" ca="1" si="53"/>
        <v>2.761013424189396E-10</v>
      </c>
      <c r="DQ67" s="37">
        <f ca="1">INT(DP67) + _xll.RiskBinomial(1,DP67-INT(DP67))</f>
        <v>0</v>
      </c>
      <c r="DR67" s="30">
        <f t="shared" ca="1" si="19"/>
        <v>0</v>
      </c>
      <c r="DS67" s="35">
        <f ca="1">_xll.RiskBinomial(1,DR67)</f>
        <v>0</v>
      </c>
      <c r="DT67" s="88">
        <f ca="1">IF(DS67=1,_xll.RiskBinomial(1,Prob_Illness_Given_Infection),0)</f>
        <v>0</v>
      </c>
      <c r="DV67" s="87">
        <f t="shared" ca="1" si="54"/>
        <v>3.8869711739576447E-9</v>
      </c>
      <c r="DW67" s="37">
        <f ca="1">INT(DV67) + _xll.RiskBinomial(1,DV67-INT(DV67))</f>
        <v>0</v>
      </c>
      <c r="DX67" s="30">
        <f t="shared" ca="1" si="20"/>
        <v>0</v>
      </c>
      <c r="DY67" s="35">
        <f ca="1">_xll.RiskBinomial(1,DX67)</f>
        <v>0</v>
      </c>
      <c r="DZ67" s="88">
        <f ca="1">IF(DY67=1,_xll.RiskBinomial(1,Prob_Illness_Given_Infection),0)</f>
        <v>0</v>
      </c>
      <c r="EB67" s="87">
        <f t="shared" ca="1" si="55"/>
        <v>9.7536705176903542E-13</v>
      </c>
      <c r="EC67" s="37">
        <f ca="1">INT(EB67) + _xll.RiskBinomial(1,EB67-INT(EB67))</f>
        <v>0</v>
      </c>
      <c r="ED67" s="30">
        <f t="shared" ca="1" si="21"/>
        <v>0</v>
      </c>
      <c r="EE67" s="35">
        <f ca="1">_xll.RiskBinomial(1,ED67)</f>
        <v>0</v>
      </c>
      <c r="EF67" s="88">
        <f ca="1">IF(EE67=1,_xll.RiskBinomial(1,Prob_Illness_Given_Infection),0)</f>
        <v>0</v>
      </c>
      <c r="EH67" s="87">
        <f t="shared" ca="1" si="56"/>
        <v>9.7536705176803275E-13</v>
      </c>
      <c r="EI67" s="37">
        <f ca="1">INT(EH67) + _xll.RiskBinomial(1,EH67-INT(EH67))</f>
        <v>0</v>
      </c>
      <c r="EJ67" s="30">
        <f t="shared" ca="1" si="22"/>
        <v>0</v>
      </c>
      <c r="EK67" s="35">
        <f ca="1">_xll.RiskBinomial(1,EJ67)</f>
        <v>0</v>
      </c>
      <c r="EL67" s="88">
        <f ca="1">IF(EK67=1,_xll.RiskBinomial(1,Prob_Illness_Given_Infection),0)</f>
        <v>0</v>
      </c>
      <c r="EN67" s="87">
        <f t="shared" ca="1" si="57"/>
        <v>8.899635489731531E-11</v>
      </c>
      <c r="EO67" s="37">
        <f ca="1">INT(EN67) + _xll.RiskBinomial(1,EN67-INT(EN67))</f>
        <v>0</v>
      </c>
      <c r="EP67" s="30">
        <f t="shared" ca="1" si="23"/>
        <v>0</v>
      </c>
      <c r="EQ67" s="35">
        <f ca="1">_xll.RiskBinomial(1,EP67)</f>
        <v>0</v>
      </c>
      <c r="ER67" s="88">
        <f ca="1">IF(EQ67=1,_xll.RiskBinomial(1,Prob_Illness_Given_Infection),0)</f>
        <v>0</v>
      </c>
      <c r="ET67" s="87">
        <f t="shared" ca="1" si="58"/>
        <v>9.7536705176710258E-13</v>
      </c>
      <c r="EU67" s="37">
        <f ca="1">INT(ET67) + _xll.RiskBinomial(1,ET67-INT(ET67))</f>
        <v>0</v>
      </c>
      <c r="EV67" s="30">
        <f t="shared" ca="1" si="24"/>
        <v>0</v>
      </c>
      <c r="EW67" s="35">
        <f ca="1">_xll.RiskBinomial(1,EV67)</f>
        <v>0</v>
      </c>
      <c r="EX67" s="88">
        <f ca="1">IF(EW67=1,_xll.RiskBinomial(1,Prob_Illness_Given_Infection),0)</f>
        <v>0</v>
      </c>
      <c r="EZ67" s="87">
        <f t="shared" ca="1" si="59"/>
        <v>7.3564167450555447E-6</v>
      </c>
      <c r="FA67" s="37">
        <f ca="1">INT(EZ67) + _xll.RiskBinomial(1,EZ67-INT(EZ67))</f>
        <v>0</v>
      </c>
      <c r="FB67" s="30">
        <f t="shared" ca="1" si="25"/>
        <v>0</v>
      </c>
      <c r="FC67" s="35">
        <f ca="1">_xll.RiskBinomial(1,FB67)</f>
        <v>0</v>
      </c>
      <c r="FD67" s="88">
        <f ca="1">IF(FC67=1,_xll.RiskBinomial(1,Prob_Illness_Given_Infection),0)</f>
        <v>0</v>
      </c>
      <c r="FF67" s="87">
        <f t="shared" ca="1" si="60"/>
        <v>5.1243972109862758E-5</v>
      </c>
      <c r="FG67" s="37">
        <f ca="1">INT(FF67) + _xll.RiskBinomial(1,FF67-INT(FF67))</f>
        <v>0</v>
      </c>
      <c r="FH67" s="30">
        <f t="shared" ca="1" si="26"/>
        <v>0</v>
      </c>
      <c r="FI67" s="35">
        <f ca="1">_xll.RiskBinomial(1,FH67)</f>
        <v>0</v>
      </c>
      <c r="FJ67" s="88">
        <f ca="1">IF(FI67=1,_xll.RiskBinomial(1,Prob_Illness_Given_Infection),0)</f>
        <v>0</v>
      </c>
      <c r="FL67" s="87" t="e">
        <f t="shared" ca="1" si="61"/>
        <v>#NAME?</v>
      </c>
      <c r="FM67" s="37" t="e">
        <f ca="1">INT(FL67) + _xll.RiskBinomial(1,FL67-INT(FL67))</f>
        <v>#NAME?</v>
      </c>
      <c r="FN67" s="30" t="e">
        <f t="shared" ca="1" si="27"/>
        <v>#NAME?</v>
      </c>
      <c r="FO67" s="35" t="e">
        <f ca="1">_xll.RiskBinomial(1,FN67)</f>
        <v>#VALUE!</v>
      </c>
      <c r="FP67" s="88" t="e">
        <f ca="1">IF(FO67=1,_xll.RiskBinomial(1,Prob_Illness_Given_Infection),0)</f>
        <v>#VALUE!</v>
      </c>
      <c r="FR67" s="87" t="e">
        <f t="shared" ca="1" si="62"/>
        <v>#NAME?</v>
      </c>
      <c r="FS67" s="37" t="e">
        <f ca="1">INT(FR67) + _xll.RiskBinomial(1,FR67-INT(FR67))</f>
        <v>#NAME?</v>
      </c>
      <c r="FT67" s="30" t="e">
        <f t="shared" ca="1" si="28"/>
        <v>#NAME?</v>
      </c>
      <c r="FU67" s="35" t="e">
        <f ca="1">_xll.RiskBinomial(1,FT67)</f>
        <v>#VALUE!</v>
      </c>
      <c r="FV67" s="88" t="e">
        <f ca="1">IF(FU67=1,_xll.RiskBinomial(1,Prob_Illness_Given_Infection),0)</f>
        <v>#VALUE!</v>
      </c>
      <c r="FX67" s="87">
        <f t="shared" ca="1" si="63"/>
        <v>1.0297604001748815E-7</v>
      </c>
      <c r="FY67" s="37">
        <f ca="1">INT(FX67) + _xll.RiskBinomial(1,FX67-INT(FX67))</f>
        <v>0</v>
      </c>
      <c r="FZ67" s="30">
        <f t="shared" ca="1" si="29"/>
        <v>0</v>
      </c>
      <c r="GA67" s="35">
        <f ca="1">_xll.RiskBinomial(1,FZ67)</f>
        <v>0</v>
      </c>
      <c r="GB67" s="88">
        <f ca="1">IF(GA67=1,_xll.RiskBinomial(1,Prob_Illness_Given_Infection),0)</f>
        <v>0</v>
      </c>
      <c r="GD67" s="87" t="e">
        <f t="shared" ca="1" si="64"/>
        <v>#NAME?</v>
      </c>
      <c r="GE67" s="37" t="e">
        <f ca="1">INT(GD67) + _xll.RiskBinomial(1,GD67-INT(GD67))</f>
        <v>#NAME?</v>
      </c>
      <c r="GF67" s="30" t="e">
        <f t="shared" ca="1" si="30"/>
        <v>#NAME?</v>
      </c>
      <c r="GG67" s="35" t="e">
        <f ca="1">_xll.RiskBinomial(1,GF67)</f>
        <v>#VALUE!</v>
      </c>
      <c r="GH67" s="88" t="e">
        <f ca="1">IF(GG67=1,_xll.RiskBinomial(1,Prob_Illness_Given_Infection),0)</f>
        <v>#VALUE!</v>
      </c>
      <c r="GJ67" s="87" t="e">
        <f t="shared" ca="1" si="65"/>
        <v>#NAME?</v>
      </c>
      <c r="GK67" s="37" t="e">
        <f ca="1">INT(GJ67) + _xll.RiskBinomial(1,GJ67-INT(GJ67))</f>
        <v>#NAME?</v>
      </c>
      <c r="GL67" s="30" t="e">
        <f t="shared" ca="1" si="31"/>
        <v>#NAME?</v>
      </c>
      <c r="GM67" s="35" t="e">
        <f ca="1">_xll.RiskBinomial(1,GL67)</f>
        <v>#VALUE!</v>
      </c>
      <c r="GN67" s="88" t="e">
        <f ca="1">IF(GM67=1,_xll.RiskBinomial(1,Prob_Illness_Given_Infection),0)</f>
        <v>#VALUE!</v>
      </c>
      <c r="GP67" s="87" t="e">
        <f t="shared" ca="1" si="66"/>
        <v>#NAME?</v>
      </c>
      <c r="GQ67" s="37" t="e">
        <f ca="1">INT(GP67) + _xll.RiskBinomial(1,GP67-INT(GP67))</f>
        <v>#NAME?</v>
      </c>
      <c r="GR67" s="30" t="e">
        <f t="shared" ca="1" si="32"/>
        <v>#NAME?</v>
      </c>
      <c r="GS67" s="35" t="e">
        <f ca="1">_xll.RiskBinomial(1,GR67)</f>
        <v>#VALUE!</v>
      </c>
      <c r="GT67" s="88" t="e">
        <f ca="1">IF(GS67=1,_xll.RiskBinomial(1,Prob_Illness_Given_Infection),0)</f>
        <v>#VALUE!</v>
      </c>
    </row>
    <row r="68" spans="2:202">
      <c r="B68" s="108">
        <v>60</v>
      </c>
      <c r="C68" s="87">
        <f ca="1">_xll.RiskLoglogistic(LogLogistic_gamma, LogLogistic_beta, LogLogistic_alpha, _xll.RiskTruncate(5,800))</f>
        <v>37.366008874482937</v>
      </c>
      <c r="D68" s="38">
        <f t="shared" ca="1" si="67"/>
        <v>2.4004535905597622</v>
      </c>
      <c r="E68" s="30"/>
      <c r="F68" s="87">
        <f t="shared" ca="1" si="34"/>
        <v>8.666578225705262E-10</v>
      </c>
      <c r="G68" s="37">
        <f ca="1">INT(F68) + _xll.RiskBinomial(1,F68-INT(F68))</f>
        <v>0</v>
      </c>
      <c r="H68" s="30">
        <f t="shared" ca="1" si="68"/>
        <v>0</v>
      </c>
      <c r="I68" s="35">
        <f ca="1">_xll.RiskBinomial(1,H68)</f>
        <v>0</v>
      </c>
      <c r="J68" s="88">
        <f ca="1">IF(I68=1,_xll.RiskBinomial(1,Prob_Illness_Given_Infection),0)</f>
        <v>0</v>
      </c>
      <c r="K68" s="30"/>
      <c r="L68" s="87">
        <f t="shared" ca="1" si="35"/>
        <v>4.4266623391099137E-5</v>
      </c>
      <c r="M68" s="37">
        <f ca="1">INT(L68) + _xll.RiskBinomial(1,L68-INT(L68))</f>
        <v>0</v>
      </c>
      <c r="N68" s="30">
        <f t="shared" ca="1" si="1"/>
        <v>0</v>
      </c>
      <c r="O68" s="35">
        <f ca="1">_xll.RiskBinomial(1,N68)</f>
        <v>0</v>
      </c>
      <c r="P68" s="88">
        <f ca="1">IF(O68=1,_xll.RiskBinomial(1,Prob_Illness_Given_Infection),0)</f>
        <v>0</v>
      </c>
      <c r="Q68" s="30"/>
      <c r="R68" s="87">
        <f t="shared" ca="1" si="36"/>
        <v>4.5760963396791879E-6</v>
      </c>
      <c r="S68" s="37">
        <f ca="1">INT(R68) + _xll.RiskBinomial(1,R68-INT(R68))</f>
        <v>0</v>
      </c>
      <c r="T68" s="30">
        <f t="shared" ca="1" si="2"/>
        <v>0</v>
      </c>
      <c r="U68" s="35">
        <f ca="1">_xll.RiskBinomial(1,T68)</f>
        <v>0</v>
      </c>
      <c r="V68" s="88">
        <f ca="1">IF(U68=1,_xll.RiskBinomial(1,Prob_Illness_Given_Infection),0)</f>
        <v>0</v>
      </c>
      <c r="W68" s="30"/>
      <c r="X68" s="87">
        <f t="shared" ca="1" si="37"/>
        <v>1.8799796025695404E-12</v>
      </c>
      <c r="Y68" s="37">
        <f ca="1">INT(X68) + _xll.RiskBinomial(1,X68-INT(X68))</f>
        <v>0</v>
      </c>
      <c r="Z68" s="30">
        <f t="shared" ca="1" si="3"/>
        <v>0</v>
      </c>
      <c r="AA68" s="35">
        <f ca="1">_xll.RiskBinomial(1,Z68)</f>
        <v>0</v>
      </c>
      <c r="AB68" s="88">
        <f ca="1">IF(AA68=1,_xll.RiskBinomial(1,Prob_Illness_Given_Infection),0)</f>
        <v>0</v>
      </c>
      <c r="AC68" s="30"/>
      <c r="AD68" s="87">
        <f t="shared" ca="1" si="38"/>
        <v>9.47167019204273E-13</v>
      </c>
      <c r="AE68" s="37">
        <f ca="1">INT(AD68) + _xll.RiskBinomial(1,AD68-INT(AD68))</f>
        <v>0</v>
      </c>
      <c r="AF68" s="30">
        <f t="shared" ca="1" si="4"/>
        <v>0</v>
      </c>
      <c r="AG68" s="35">
        <f ca="1">_xll.RiskBinomial(1,AF68)</f>
        <v>0</v>
      </c>
      <c r="AH68" s="88">
        <f ca="1">IF(AG68=1,_xll.RiskBinomial(1,Prob_Illness_Given_Infection),0)</f>
        <v>0</v>
      </c>
      <c r="AI68" s="30"/>
      <c r="AJ68" s="87">
        <f t="shared" ca="1" si="39"/>
        <v>4.3965052117890485E-5</v>
      </c>
      <c r="AK68" s="37">
        <f ca="1">INT(AJ68) + _xll.RiskBinomial(1,AJ68-INT(AJ68))</f>
        <v>0</v>
      </c>
      <c r="AL68" s="30">
        <f t="shared" ca="1" si="5"/>
        <v>0</v>
      </c>
      <c r="AM68" s="35">
        <f ca="1">_xll.RiskBinomial(1,AL68)</f>
        <v>0</v>
      </c>
      <c r="AN68" s="88">
        <f ca="1">IF(AM68=1,_xll.RiskBinomial(1,Prob_Illness_Given_Infection),0)</f>
        <v>0</v>
      </c>
      <c r="AO68" s="30"/>
      <c r="AP68" s="87">
        <f t="shared" ca="1" si="40"/>
        <v>1.0691875836638479E-9</v>
      </c>
      <c r="AQ68" s="37">
        <f ca="1">INT(AP68) + _xll.RiskBinomial(1,AP68-INT(AP68))</f>
        <v>0</v>
      </c>
      <c r="AR68" s="30">
        <f t="shared" ca="1" si="6"/>
        <v>0</v>
      </c>
      <c r="AS68" s="35">
        <f ca="1">_xll.RiskBinomial(1,AR68)</f>
        <v>0</v>
      </c>
      <c r="AT68" s="88">
        <f ca="1">IF(AS68=1,_xll.RiskBinomial(1,Prob_Illness_Given_Infection),0)</f>
        <v>0</v>
      </c>
      <c r="AU68" s="30"/>
      <c r="AV68" s="87">
        <f t="shared" ca="1" si="41"/>
        <v>2.4804595336875065E-5</v>
      </c>
      <c r="AW68" s="37">
        <f ca="1">INT(AV68) + _xll.RiskBinomial(1,AV68-INT(AV68))</f>
        <v>0</v>
      </c>
      <c r="AX68" s="30">
        <f t="shared" ca="1" si="7"/>
        <v>0</v>
      </c>
      <c r="AY68" s="35">
        <f ca="1">_xll.RiskBinomial(1,AX68)</f>
        <v>0</v>
      </c>
      <c r="AZ68" s="88">
        <f ca="1">IF(AY68=1,_xll.RiskBinomial(1,Prob_Illness_Given_Infection),0)</f>
        <v>0</v>
      </c>
      <c r="BB68" s="87">
        <f t="shared" ca="1" si="42"/>
        <v>3.404455212304266E-5</v>
      </c>
      <c r="BC68" s="37">
        <f ca="1">INT(BB68) + _xll.RiskBinomial(1,BB68-INT(BB68))</f>
        <v>0</v>
      </c>
      <c r="BD68" s="30">
        <f t="shared" ca="1" si="8"/>
        <v>0</v>
      </c>
      <c r="BE68" s="35">
        <f ca="1">_xll.RiskBinomial(1,BD68)</f>
        <v>0</v>
      </c>
      <c r="BF68" s="88">
        <f ca="1">IF(BE68=1,_xll.RiskBinomial(1,Prob_Illness_Given_Infection),0)</f>
        <v>0</v>
      </c>
      <c r="BH68" s="87">
        <f t="shared" ca="1" si="43"/>
        <v>4.3102838587247767E-5</v>
      </c>
      <c r="BI68" s="37">
        <f ca="1">INT(BH68) + _xll.RiskBinomial(1,BH68-INT(BH68))</f>
        <v>0</v>
      </c>
      <c r="BJ68" s="30">
        <f t="shared" ca="1" si="9"/>
        <v>0</v>
      </c>
      <c r="BK68" s="35">
        <f ca="1">_xll.RiskBinomial(1,BJ68)</f>
        <v>0</v>
      </c>
      <c r="BL68" s="88">
        <f ca="1">IF(BK68=1,_xll.RiskBinomial(1,Prob_Illness_Given_Infection),0)</f>
        <v>0</v>
      </c>
      <c r="BN68" s="87">
        <f t="shared" ca="1" si="44"/>
        <v>3.2803717875825158E-6</v>
      </c>
      <c r="BO68" s="37">
        <f ca="1">INT(BN68) + _xll.RiskBinomial(1,BN68-INT(BN68))</f>
        <v>0</v>
      </c>
      <c r="BP68" s="30">
        <f t="shared" ca="1" si="10"/>
        <v>0</v>
      </c>
      <c r="BQ68" s="35">
        <f ca="1">_xll.RiskBinomial(1,BP68)</f>
        <v>0</v>
      </c>
      <c r="BR68" s="88">
        <f ca="1">IF(BQ68=1,_xll.RiskBinomial(1,Prob_Illness_Given_Infection),0)</f>
        <v>0</v>
      </c>
      <c r="BT68" s="87">
        <f t="shared" ca="1" si="45"/>
        <v>9.8640432855877885E-6</v>
      </c>
      <c r="BU68" s="37">
        <f ca="1">INT(BT68) + _xll.RiskBinomial(1,BT68-INT(BT68))</f>
        <v>0</v>
      </c>
      <c r="BV68" s="30">
        <f t="shared" ca="1" si="11"/>
        <v>0</v>
      </c>
      <c r="BW68" s="35">
        <f ca="1">_xll.RiskBinomial(1,BV68)</f>
        <v>0</v>
      </c>
      <c r="BX68" s="88">
        <f ca="1">IF(BW68=1,_xll.RiskBinomial(1,Prob_Illness_Given_Infection),0)</f>
        <v>0</v>
      </c>
      <c r="BZ68" s="87">
        <f t="shared" ca="1" si="46"/>
        <v>2.7040667727883428E-5</v>
      </c>
      <c r="CA68" s="37">
        <f ca="1">INT(BZ68) + _xll.RiskBinomial(1,BZ68-INT(BZ68))</f>
        <v>0</v>
      </c>
      <c r="CB68" s="30">
        <f t="shared" ca="1" si="12"/>
        <v>0</v>
      </c>
      <c r="CC68" s="35">
        <f ca="1">_xll.RiskBinomial(1,CB68)</f>
        <v>0</v>
      </c>
      <c r="CD68" s="88">
        <f ca="1">IF(CC68=1,_xll.RiskBinomial(1,Prob_Illness_Given_Infection),0)</f>
        <v>0</v>
      </c>
      <c r="CF68" s="87">
        <f t="shared" ca="1" si="47"/>
        <v>5.1306960450665215E-6</v>
      </c>
      <c r="CG68" s="37">
        <f ca="1">INT(CF68) + _xll.RiskBinomial(1,CF68-INT(CF68))</f>
        <v>0</v>
      </c>
      <c r="CH68" s="30">
        <f t="shared" ca="1" si="13"/>
        <v>0</v>
      </c>
      <c r="CI68" s="35">
        <f ca="1">_xll.RiskBinomial(1,CH68)</f>
        <v>0</v>
      </c>
      <c r="CJ68" s="88">
        <f ca="1">IF(CI68=1,_xll.RiskBinomial(1,Prob_Illness_Given_Infection),0)</f>
        <v>0</v>
      </c>
      <c r="CL68" s="87">
        <f t="shared" ca="1" si="48"/>
        <v>9.9008069997618018E-6</v>
      </c>
      <c r="CM68" s="37">
        <f ca="1">INT(CL68) + _xll.RiskBinomial(1,CL68-INT(CL68))</f>
        <v>0</v>
      </c>
      <c r="CN68" s="30">
        <f t="shared" ca="1" si="14"/>
        <v>0</v>
      </c>
      <c r="CO68" s="35">
        <f ca="1">_xll.RiskBinomial(1,CN68)</f>
        <v>0</v>
      </c>
      <c r="CP68" s="88">
        <f ca="1">IF(CO68=1,_xll.RiskBinomial(1,Prob_Illness_Given_Infection),0)</f>
        <v>0</v>
      </c>
      <c r="CR68" s="87">
        <f t="shared" ca="1" si="49"/>
        <v>6.823336517472327E-8</v>
      </c>
      <c r="CS68" s="37">
        <f ca="1">INT(CR68) + _xll.RiskBinomial(1,CR68-INT(CR68))</f>
        <v>0</v>
      </c>
      <c r="CT68" s="30">
        <f t="shared" ca="1" si="15"/>
        <v>0</v>
      </c>
      <c r="CU68" s="35">
        <f ca="1">_xll.RiskBinomial(1,CT68)</f>
        <v>0</v>
      </c>
      <c r="CV68" s="88">
        <f ca="1">IF(CU68=1,_xll.RiskBinomial(1,Prob_Illness_Given_Infection),0)</f>
        <v>0</v>
      </c>
      <c r="CX68" s="87">
        <f t="shared" ca="1" si="50"/>
        <v>6.9460790047400003E-10</v>
      </c>
      <c r="CY68" s="37">
        <f ca="1">INT(CX68) + _xll.RiskBinomial(1,CX68-INT(CX68))</f>
        <v>0</v>
      </c>
      <c r="CZ68" s="30">
        <f t="shared" ca="1" si="16"/>
        <v>0</v>
      </c>
      <c r="DA68" s="35">
        <f ca="1">_xll.RiskBinomial(1,CZ68)</f>
        <v>0</v>
      </c>
      <c r="DB68" s="88">
        <f ca="1">IF(DA68=1,_xll.RiskBinomial(1,Prob_Illness_Given_Infection),0)</f>
        <v>0</v>
      </c>
      <c r="DD68" s="87">
        <f t="shared" ca="1" si="51"/>
        <v>6.9460790047400003E-10</v>
      </c>
      <c r="DE68" s="37">
        <f ca="1">INT(DD68) + _xll.RiskBinomial(1,DD68-INT(DD68))</f>
        <v>0</v>
      </c>
      <c r="DF68" s="30">
        <f t="shared" ca="1" si="17"/>
        <v>0</v>
      </c>
      <c r="DG68" s="35">
        <f ca="1">_xll.RiskBinomial(1,DF68)</f>
        <v>0</v>
      </c>
      <c r="DH68" s="88">
        <f ca="1">IF(DG68=1,_xll.RiskBinomial(1,Prob_Illness_Given_Infection),0)</f>
        <v>0</v>
      </c>
      <c r="DJ68" s="87">
        <f t="shared" ca="1" si="52"/>
        <v>1.1341983226319138E-6</v>
      </c>
      <c r="DK68" s="37">
        <f ca="1">INT(DJ68) + _xll.RiskBinomial(1,DJ68-INT(DJ68))</f>
        <v>0</v>
      </c>
      <c r="DL68" s="30">
        <f t="shared" ca="1" si="18"/>
        <v>0</v>
      </c>
      <c r="DM68" s="35">
        <f ca="1">_xll.RiskBinomial(1,DL68)</f>
        <v>0</v>
      </c>
      <c r="DN68" s="88">
        <f ca="1">IF(DM68=1,_xll.RiskBinomial(1,Prob_Illness_Given_Infection),0)</f>
        <v>0</v>
      </c>
      <c r="DP68" s="87">
        <f t="shared" ca="1" si="53"/>
        <v>2.6811863802744425E-10</v>
      </c>
      <c r="DQ68" s="37">
        <f ca="1">INT(DP68) + _xll.RiskBinomial(1,DP68-INT(DP68))</f>
        <v>0</v>
      </c>
      <c r="DR68" s="30">
        <f t="shared" ca="1" si="19"/>
        <v>0</v>
      </c>
      <c r="DS68" s="35">
        <f ca="1">_xll.RiskBinomial(1,DR68)</f>
        <v>0</v>
      </c>
      <c r="DT68" s="88">
        <f ca="1">IF(DS68=1,_xll.RiskBinomial(1,Prob_Illness_Given_Infection),0)</f>
        <v>0</v>
      </c>
      <c r="DV68" s="87">
        <f t="shared" ca="1" si="54"/>
        <v>3.7745901851941544E-9</v>
      </c>
      <c r="DW68" s="37">
        <f ca="1">INT(DV68) + _xll.RiskBinomial(1,DV68-INT(DV68))</f>
        <v>0</v>
      </c>
      <c r="DX68" s="30">
        <f t="shared" ca="1" si="20"/>
        <v>0</v>
      </c>
      <c r="DY68" s="35">
        <f ca="1">_xll.RiskBinomial(1,DX68)</f>
        <v>0</v>
      </c>
      <c r="DZ68" s="88">
        <f ca="1">IF(DY68=1,_xll.RiskBinomial(1,Prob_Illness_Given_Infection),0)</f>
        <v>0</v>
      </c>
      <c r="EB68" s="87">
        <f t="shared" ca="1" si="55"/>
        <v>9.4716701920395493E-13</v>
      </c>
      <c r="EC68" s="37">
        <f ca="1">INT(EB68) + _xll.RiskBinomial(1,EB68-INT(EB68))</f>
        <v>0</v>
      </c>
      <c r="ED68" s="30">
        <f t="shared" ca="1" si="21"/>
        <v>0</v>
      </c>
      <c r="EE68" s="35">
        <f ca="1">_xll.RiskBinomial(1,ED68)</f>
        <v>0</v>
      </c>
      <c r="EF68" s="88">
        <f ca="1">IF(EE68=1,_xll.RiskBinomial(1,Prob_Illness_Given_Infection),0)</f>
        <v>0</v>
      </c>
      <c r="EH68" s="87">
        <f t="shared" ca="1" si="56"/>
        <v>9.4716701920298134E-13</v>
      </c>
      <c r="EI68" s="37">
        <f ca="1">INT(EH68) + _xll.RiskBinomial(1,EH68-INT(EH68))</f>
        <v>0</v>
      </c>
      <c r="EJ68" s="30">
        <f t="shared" ca="1" si="22"/>
        <v>0</v>
      </c>
      <c r="EK68" s="35">
        <f ca="1">_xll.RiskBinomial(1,EJ68)</f>
        <v>0</v>
      </c>
      <c r="EL68" s="88">
        <f ca="1">IF(EK68=1,_xll.RiskBinomial(1,Prob_Illness_Given_Infection),0)</f>
        <v>0</v>
      </c>
      <c r="EN68" s="87">
        <f t="shared" ca="1" si="57"/>
        <v>8.6423272177609041E-11</v>
      </c>
      <c r="EO68" s="37">
        <f ca="1">INT(EN68) + _xll.RiskBinomial(1,EN68-INT(EN68))</f>
        <v>0</v>
      </c>
      <c r="EP68" s="30">
        <f t="shared" ca="1" si="23"/>
        <v>0</v>
      </c>
      <c r="EQ68" s="35">
        <f ca="1">_xll.RiskBinomial(1,EP68)</f>
        <v>0</v>
      </c>
      <c r="ER68" s="88">
        <f ca="1">IF(EQ68=1,_xll.RiskBinomial(1,Prob_Illness_Given_Infection),0)</f>
        <v>0</v>
      </c>
      <c r="ET68" s="87">
        <f t="shared" ca="1" si="58"/>
        <v>9.4716701920207802E-13</v>
      </c>
      <c r="EU68" s="37">
        <f ca="1">INT(ET68) + _xll.RiskBinomial(1,ET68-INT(ET68))</f>
        <v>0</v>
      </c>
      <c r="EV68" s="30">
        <f t="shared" ca="1" si="24"/>
        <v>0</v>
      </c>
      <c r="EW68" s="35">
        <f ca="1">_xll.RiskBinomial(1,EV68)</f>
        <v>0</v>
      </c>
      <c r="EX68" s="88">
        <f ca="1">IF(EW68=1,_xll.RiskBinomial(1,Prob_Illness_Given_Infection),0)</f>
        <v>0</v>
      </c>
      <c r="EZ68" s="87">
        <f t="shared" ca="1" si="59"/>
        <v>7.1437263620898571E-6</v>
      </c>
      <c r="FA68" s="37">
        <f ca="1">INT(EZ68) + _xll.RiskBinomial(1,EZ68-INT(EZ68))</f>
        <v>0</v>
      </c>
      <c r="FB68" s="30">
        <f t="shared" ca="1" si="25"/>
        <v>0</v>
      </c>
      <c r="FC68" s="35">
        <f ca="1">_xll.RiskBinomial(1,FB68)</f>
        <v>0</v>
      </c>
      <c r="FD68" s="88">
        <f ca="1">IF(FC68=1,_xll.RiskBinomial(1,Prob_Illness_Given_Infection),0)</f>
        <v>0</v>
      </c>
      <c r="FF68" s="87">
        <f t="shared" ca="1" si="60"/>
        <v>4.9762394810689854E-5</v>
      </c>
      <c r="FG68" s="37">
        <f ca="1">INT(FF68) + _xll.RiskBinomial(1,FF68-INT(FF68))</f>
        <v>0</v>
      </c>
      <c r="FH68" s="30">
        <f t="shared" ca="1" si="26"/>
        <v>0</v>
      </c>
      <c r="FI68" s="35">
        <f ca="1">_xll.RiskBinomial(1,FH68)</f>
        <v>0</v>
      </c>
      <c r="FJ68" s="88">
        <f ca="1">IF(FI68=1,_xll.RiskBinomial(1,Prob_Illness_Given_Infection),0)</f>
        <v>0</v>
      </c>
      <c r="FL68" s="87" t="e">
        <f t="shared" ca="1" si="61"/>
        <v>#NAME?</v>
      </c>
      <c r="FM68" s="37" t="e">
        <f ca="1">INT(FL68) + _xll.RiskBinomial(1,FL68-INT(FL68))</f>
        <v>#NAME?</v>
      </c>
      <c r="FN68" s="30" t="e">
        <f t="shared" ca="1" si="27"/>
        <v>#NAME?</v>
      </c>
      <c r="FO68" s="35" t="e">
        <f ca="1">_xll.RiskBinomial(1,FN68)</f>
        <v>#VALUE!</v>
      </c>
      <c r="FP68" s="88" t="e">
        <f ca="1">IF(FO68=1,_xll.RiskBinomial(1,Prob_Illness_Given_Infection),0)</f>
        <v>#VALUE!</v>
      </c>
      <c r="FR68" s="87" t="e">
        <f t="shared" ca="1" si="62"/>
        <v>#NAME?</v>
      </c>
      <c r="FS68" s="37" t="e">
        <f ca="1">INT(FR68) + _xll.RiskBinomial(1,FR68-INT(FR68))</f>
        <v>#NAME?</v>
      </c>
      <c r="FT68" s="30" t="e">
        <f t="shared" ca="1" si="28"/>
        <v>#NAME?</v>
      </c>
      <c r="FU68" s="35" t="e">
        <f ca="1">_xll.RiskBinomial(1,FT68)</f>
        <v>#VALUE!</v>
      </c>
      <c r="FV68" s="88" t="e">
        <f ca="1">IF(FU68=1,_xll.RiskBinomial(1,Prob_Illness_Given_Infection),0)</f>
        <v>#VALUE!</v>
      </c>
      <c r="FX68" s="87">
        <f t="shared" ca="1" si="63"/>
        <v>9.9998773483162116E-8</v>
      </c>
      <c r="FY68" s="37">
        <f ca="1">INT(FX68) + _xll.RiskBinomial(1,FX68-INT(FX68))</f>
        <v>0</v>
      </c>
      <c r="FZ68" s="30">
        <f t="shared" ca="1" si="29"/>
        <v>0</v>
      </c>
      <c r="GA68" s="35">
        <f ca="1">_xll.RiskBinomial(1,FZ68)</f>
        <v>0</v>
      </c>
      <c r="GB68" s="88">
        <f ca="1">IF(GA68=1,_xll.RiskBinomial(1,Prob_Illness_Given_Infection),0)</f>
        <v>0</v>
      </c>
      <c r="GD68" s="87" t="e">
        <f t="shared" ca="1" si="64"/>
        <v>#NAME?</v>
      </c>
      <c r="GE68" s="37" t="e">
        <f ca="1">INT(GD68) + _xll.RiskBinomial(1,GD68-INT(GD68))</f>
        <v>#NAME?</v>
      </c>
      <c r="GF68" s="30" t="e">
        <f t="shared" ca="1" si="30"/>
        <v>#NAME?</v>
      </c>
      <c r="GG68" s="35" t="e">
        <f ca="1">_xll.RiskBinomial(1,GF68)</f>
        <v>#VALUE!</v>
      </c>
      <c r="GH68" s="88" t="e">
        <f ca="1">IF(GG68=1,_xll.RiskBinomial(1,Prob_Illness_Given_Infection),0)</f>
        <v>#VALUE!</v>
      </c>
      <c r="GJ68" s="87" t="e">
        <f t="shared" ca="1" si="65"/>
        <v>#NAME?</v>
      </c>
      <c r="GK68" s="37" t="e">
        <f ca="1">INT(GJ68) + _xll.RiskBinomial(1,GJ68-INT(GJ68))</f>
        <v>#NAME?</v>
      </c>
      <c r="GL68" s="30" t="e">
        <f t="shared" ca="1" si="31"/>
        <v>#NAME?</v>
      </c>
      <c r="GM68" s="35" t="e">
        <f ca="1">_xll.RiskBinomial(1,GL68)</f>
        <v>#VALUE!</v>
      </c>
      <c r="GN68" s="88" t="e">
        <f ca="1">IF(GM68=1,_xll.RiskBinomial(1,Prob_Illness_Given_Infection),0)</f>
        <v>#VALUE!</v>
      </c>
      <c r="GP68" s="87" t="e">
        <f t="shared" ca="1" si="66"/>
        <v>#NAME?</v>
      </c>
      <c r="GQ68" s="37" t="e">
        <f ca="1">INT(GP68) + _xll.RiskBinomial(1,GP68-INT(GP68))</f>
        <v>#NAME?</v>
      </c>
      <c r="GR68" s="30" t="e">
        <f t="shared" ca="1" si="32"/>
        <v>#NAME?</v>
      </c>
      <c r="GS68" s="35" t="e">
        <f ca="1">_xll.RiskBinomial(1,GR68)</f>
        <v>#VALUE!</v>
      </c>
      <c r="GT68" s="88" t="e">
        <f ca="1">IF(GS68=1,_xll.RiskBinomial(1,Prob_Illness_Given_Infection),0)</f>
        <v>#VALUE!</v>
      </c>
    </row>
    <row r="69" spans="2:202">
      <c r="B69" s="108">
        <v>61</v>
      </c>
      <c r="C69" s="87">
        <f ca="1">_xll.RiskLoglogistic(LogLogistic_gamma, LogLogistic_beta, LogLogistic_alpha, _xll.RiskTruncate(5,800))</f>
        <v>117.35414578337009</v>
      </c>
      <c r="D69" s="38">
        <f t="shared" ca="1" si="67"/>
        <v>7.5390224725107906</v>
      </c>
      <c r="E69" s="30"/>
      <c r="F69" s="87">
        <f t="shared" ca="1" si="34"/>
        <v>2.7218825750398533E-9</v>
      </c>
      <c r="G69" s="37">
        <f ca="1">INT(F69) + _xll.RiskBinomial(1,F69-INT(F69))</f>
        <v>0</v>
      </c>
      <c r="H69" s="30">
        <f t="shared" ca="1" si="68"/>
        <v>0</v>
      </c>
      <c r="I69" s="35">
        <f ca="1">_xll.RiskBinomial(1,H69)</f>
        <v>0</v>
      </c>
      <c r="J69" s="88">
        <f ca="1">IF(I69=1,_xll.RiskBinomial(1,Prob_Illness_Given_Infection),0)</f>
        <v>0</v>
      </c>
      <c r="K69" s="30"/>
      <c r="L69" s="87">
        <f t="shared" ca="1" si="35"/>
        <v>1.3902666972613552E-4</v>
      </c>
      <c r="M69" s="37">
        <f ca="1">INT(L69) + _xll.RiskBinomial(1,L69-INT(L69))</f>
        <v>0</v>
      </c>
      <c r="N69" s="30">
        <f t="shared" ca="1" si="1"/>
        <v>0</v>
      </c>
      <c r="O69" s="35">
        <f ca="1">_xll.RiskBinomial(1,N69)</f>
        <v>0</v>
      </c>
      <c r="P69" s="88">
        <f ca="1">IF(O69=1,_xll.RiskBinomial(1,Prob_Illness_Given_Infection),0)</f>
        <v>0</v>
      </c>
      <c r="Q69" s="30"/>
      <c r="R69" s="87">
        <f t="shared" ca="1" si="36"/>
        <v>1.437198922607409E-5</v>
      </c>
      <c r="S69" s="37">
        <f ca="1">INT(R69) + _xll.RiskBinomial(1,R69-INT(R69))</f>
        <v>0</v>
      </c>
      <c r="T69" s="30">
        <f t="shared" ca="1" si="2"/>
        <v>0</v>
      </c>
      <c r="U69" s="35">
        <f ca="1">_xll.RiskBinomial(1,T69)</f>
        <v>0</v>
      </c>
      <c r="V69" s="88">
        <f ca="1">IF(U69=1,_xll.RiskBinomial(1,Prob_Illness_Given_Infection),0)</f>
        <v>0</v>
      </c>
      <c r="W69" s="30"/>
      <c r="X69" s="87">
        <f t="shared" ca="1" si="37"/>
        <v>5.9043876238109722E-12</v>
      </c>
      <c r="Y69" s="37">
        <f ca="1">INT(X69) + _xll.RiskBinomial(1,X69-INT(X69))</f>
        <v>0</v>
      </c>
      <c r="Z69" s="30">
        <f t="shared" ca="1" si="3"/>
        <v>0</v>
      </c>
      <c r="AA69" s="35">
        <f ca="1">_xll.RiskBinomial(1,Z69)</f>
        <v>0</v>
      </c>
      <c r="AB69" s="88">
        <f ca="1">IF(AA69=1,_xll.RiskBinomial(1,Prob_Illness_Given_Infection),0)</f>
        <v>0</v>
      </c>
      <c r="AC69" s="30"/>
      <c r="AD69" s="87">
        <f t="shared" ca="1" si="38"/>
        <v>2.9747350546931133E-12</v>
      </c>
      <c r="AE69" s="37">
        <f ca="1">INT(AD69) + _xll.RiskBinomial(1,AD69-INT(AD69))</f>
        <v>0</v>
      </c>
      <c r="AF69" s="30">
        <f t="shared" ca="1" si="4"/>
        <v>0</v>
      </c>
      <c r="AG69" s="35">
        <f ca="1">_xll.RiskBinomial(1,AF69)</f>
        <v>0</v>
      </c>
      <c r="AH69" s="88">
        <f ca="1">IF(AG69=1,_xll.RiskBinomial(1,Prob_Illness_Given_Infection),0)</f>
        <v>0</v>
      </c>
      <c r="AI69" s="30"/>
      <c r="AJ69" s="87">
        <f t="shared" ca="1" si="39"/>
        <v>1.3807953514510265E-4</v>
      </c>
      <c r="AK69" s="37">
        <f ca="1">INT(AJ69) + _xll.RiskBinomial(1,AJ69-INT(AJ69))</f>
        <v>0</v>
      </c>
      <c r="AL69" s="30">
        <f t="shared" ca="1" si="5"/>
        <v>0</v>
      </c>
      <c r="AM69" s="35">
        <f ca="1">_xll.RiskBinomial(1,AL69)</f>
        <v>0</v>
      </c>
      <c r="AN69" s="88">
        <f ca="1">IF(AM69=1,_xll.RiskBinomial(1,Prob_Illness_Given_Infection),0)</f>
        <v>0</v>
      </c>
      <c r="AO69" s="30"/>
      <c r="AP69" s="87">
        <f t="shared" ca="1" si="40"/>
        <v>3.3579608671757744E-9</v>
      </c>
      <c r="AQ69" s="37">
        <f ca="1">INT(AP69) + _xll.RiskBinomial(1,AP69-INT(AP69))</f>
        <v>0</v>
      </c>
      <c r="AR69" s="30">
        <f t="shared" ca="1" si="6"/>
        <v>0</v>
      </c>
      <c r="AS69" s="35">
        <f ca="1">_xll.RiskBinomial(1,AR69)</f>
        <v>0</v>
      </c>
      <c r="AT69" s="88">
        <f ca="1">IF(AS69=1,_xll.RiskBinomial(1,Prob_Illness_Given_Infection),0)</f>
        <v>0</v>
      </c>
      <c r="AU69" s="30"/>
      <c r="AV69" s="87">
        <f t="shared" ca="1" si="41"/>
        <v>7.7902944010940179E-5</v>
      </c>
      <c r="AW69" s="37">
        <f ca="1">INT(AV69) + _xll.RiskBinomial(1,AV69-INT(AV69))</f>
        <v>0</v>
      </c>
      <c r="AX69" s="30">
        <f t="shared" ca="1" si="7"/>
        <v>0</v>
      </c>
      <c r="AY69" s="35">
        <f ca="1">_xll.RiskBinomial(1,AX69)</f>
        <v>0</v>
      </c>
      <c r="AZ69" s="88">
        <f ca="1">IF(AY69=1,_xll.RiskBinomial(1,Prob_Illness_Given_Infection),0)</f>
        <v>0</v>
      </c>
      <c r="BB69" s="87">
        <f t="shared" ca="1" si="42"/>
        <v>1.0692256019093973E-4</v>
      </c>
      <c r="BC69" s="37">
        <f ca="1">INT(BB69) + _xll.RiskBinomial(1,BB69-INT(BB69))</f>
        <v>0</v>
      </c>
      <c r="BD69" s="30">
        <f t="shared" ca="1" si="8"/>
        <v>0</v>
      </c>
      <c r="BE69" s="35">
        <f ca="1">_xll.RiskBinomial(1,BD69)</f>
        <v>0</v>
      </c>
      <c r="BF69" s="88">
        <f ca="1">IF(BE69=1,_xll.RiskBinomial(1,Prob_Illness_Given_Infection),0)</f>
        <v>0</v>
      </c>
      <c r="BH69" s="87">
        <f t="shared" ca="1" si="43"/>
        <v>1.3537161060568151E-4</v>
      </c>
      <c r="BI69" s="37">
        <f ca="1">INT(BH69) + _xll.RiskBinomial(1,BH69-INT(BH69))</f>
        <v>0</v>
      </c>
      <c r="BJ69" s="30">
        <f t="shared" ca="1" si="9"/>
        <v>0</v>
      </c>
      <c r="BK69" s="35">
        <f ca="1">_xll.RiskBinomial(1,BJ69)</f>
        <v>0</v>
      </c>
      <c r="BL69" s="88">
        <f ca="1">IF(BK69=1,_xll.RiskBinomial(1,Prob_Illness_Given_Infection),0)</f>
        <v>0</v>
      </c>
      <c r="BN69" s="87">
        <f t="shared" ca="1" si="44"/>
        <v>1.0302551451956211E-5</v>
      </c>
      <c r="BO69" s="37">
        <f ca="1">INT(BN69) + _xll.RiskBinomial(1,BN69-INT(BN69))</f>
        <v>0</v>
      </c>
      <c r="BP69" s="30">
        <f t="shared" ca="1" si="10"/>
        <v>0</v>
      </c>
      <c r="BQ69" s="35">
        <f ca="1">_xll.RiskBinomial(1,BP69)</f>
        <v>0</v>
      </c>
      <c r="BR69" s="88">
        <f ca="1">IF(BQ69=1,_xll.RiskBinomial(1,Prob_Illness_Given_Infection),0)</f>
        <v>0</v>
      </c>
      <c r="BT69" s="87">
        <f t="shared" ca="1" si="45"/>
        <v>3.0979663298770241E-5</v>
      </c>
      <c r="BU69" s="37">
        <f ca="1">INT(BT69) + _xll.RiskBinomial(1,BT69-INT(BT69))</f>
        <v>0</v>
      </c>
      <c r="BV69" s="30">
        <f t="shared" ca="1" si="11"/>
        <v>0</v>
      </c>
      <c r="BW69" s="35">
        <f ca="1">_xll.RiskBinomial(1,BV69)</f>
        <v>0</v>
      </c>
      <c r="BX69" s="88">
        <f ca="1">IF(BW69=1,_xll.RiskBinomial(1,Prob_Illness_Given_Infection),0)</f>
        <v>0</v>
      </c>
      <c r="BZ69" s="87">
        <f t="shared" ca="1" si="46"/>
        <v>8.4925700073489973E-5</v>
      </c>
      <c r="CA69" s="37">
        <f ca="1">INT(BZ69) + _xll.RiskBinomial(1,BZ69-INT(BZ69))</f>
        <v>0</v>
      </c>
      <c r="CB69" s="30">
        <f t="shared" ca="1" si="12"/>
        <v>0</v>
      </c>
      <c r="CC69" s="35">
        <f ca="1">_xll.RiskBinomial(1,CB69)</f>
        <v>0</v>
      </c>
      <c r="CD69" s="88">
        <f ca="1">IF(CC69=1,_xll.RiskBinomial(1,Prob_Illness_Given_Infection),0)</f>
        <v>0</v>
      </c>
      <c r="CF69" s="87">
        <f t="shared" ca="1" si="47"/>
        <v>1.6113801547964459E-5</v>
      </c>
      <c r="CG69" s="37">
        <f ca="1">INT(CF69) + _xll.RiskBinomial(1,CF69-INT(CF69))</f>
        <v>0</v>
      </c>
      <c r="CH69" s="30">
        <f t="shared" ca="1" si="13"/>
        <v>0</v>
      </c>
      <c r="CI69" s="35">
        <f ca="1">_xll.RiskBinomial(1,CH69)</f>
        <v>0</v>
      </c>
      <c r="CJ69" s="88">
        <f ca="1">IF(CI69=1,_xll.RiskBinomial(1,Prob_Illness_Given_Infection),0)</f>
        <v>0</v>
      </c>
      <c r="CL69" s="87">
        <f t="shared" ca="1" si="48"/>
        <v>3.109512583819231E-5</v>
      </c>
      <c r="CM69" s="37">
        <f ca="1">INT(CL69) + _xll.RiskBinomial(1,CL69-INT(CL69))</f>
        <v>0</v>
      </c>
      <c r="CN69" s="30">
        <f t="shared" ca="1" si="14"/>
        <v>0</v>
      </c>
      <c r="CO69" s="35">
        <f ca="1">_xll.RiskBinomial(1,CN69)</f>
        <v>0</v>
      </c>
      <c r="CP69" s="88">
        <f ca="1">IF(CO69=1,_xll.RiskBinomial(1,Prob_Illness_Given_Infection),0)</f>
        <v>0</v>
      </c>
      <c r="CR69" s="87">
        <f t="shared" ca="1" si="49"/>
        <v>2.1429819574529571E-7</v>
      </c>
      <c r="CS69" s="37">
        <f ca="1">INT(CR69) + _xll.RiskBinomial(1,CR69-INT(CR69))</f>
        <v>0</v>
      </c>
      <c r="CT69" s="30">
        <f t="shared" ca="1" si="15"/>
        <v>0</v>
      </c>
      <c r="CU69" s="35">
        <f ca="1">_xll.RiskBinomial(1,CT69)</f>
        <v>0</v>
      </c>
      <c r="CV69" s="88">
        <f ca="1">IF(CU69=1,_xll.RiskBinomial(1,Prob_Illness_Given_Infection),0)</f>
        <v>0</v>
      </c>
      <c r="CX69" s="87">
        <f t="shared" ca="1" si="50"/>
        <v>2.1815312705278699E-9</v>
      </c>
      <c r="CY69" s="37">
        <f ca="1">INT(CX69) + _xll.RiskBinomial(1,CX69-INT(CX69))</f>
        <v>0</v>
      </c>
      <c r="CZ69" s="30">
        <f t="shared" ca="1" si="16"/>
        <v>0</v>
      </c>
      <c r="DA69" s="35">
        <f ca="1">_xll.RiskBinomial(1,CZ69)</f>
        <v>0</v>
      </c>
      <c r="DB69" s="88">
        <f ca="1">IF(DA69=1,_xll.RiskBinomial(1,Prob_Illness_Given_Infection),0)</f>
        <v>0</v>
      </c>
      <c r="DD69" s="87">
        <f t="shared" ca="1" si="51"/>
        <v>2.1815312705278699E-9</v>
      </c>
      <c r="DE69" s="37">
        <f ca="1">INT(DD69) + _xll.RiskBinomial(1,DD69-INT(DD69))</f>
        <v>0</v>
      </c>
      <c r="DF69" s="30">
        <f t="shared" ca="1" si="17"/>
        <v>0</v>
      </c>
      <c r="DG69" s="35">
        <f ca="1">_xll.RiskBinomial(1,DF69)</f>
        <v>0</v>
      </c>
      <c r="DH69" s="88">
        <f ca="1">IF(DG69=1,_xll.RiskBinomial(1,Prob_Illness_Given_Infection),0)</f>
        <v>0</v>
      </c>
      <c r="DJ69" s="87">
        <f t="shared" ca="1" si="52"/>
        <v>3.562137871039653E-6</v>
      </c>
      <c r="DK69" s="37">
        <f ca="1">INT(DJ69) + _xll.RiskBinomial(1,DJ69-INT(DJ69))</f>
        <v>0</v>
      </c>
      <c r="DL69" s="30">
        <f t="shared" ca="1" si="18"/>
        <v>0</v>
      </c>
      <c r="DM69" s="35">
        <f ca="1">_xll.RiskBinomial(1,DL69)</f>
        <v>0</v>
      </c>
      <c r="DN69" s="88">
        <f ca="1">IF(DM69=1,_xll.RiskBinomial(1,Prob_Illness_Given_Infection),0)</f>
        <v>0</v>
      </c>
      <c r="DP69" s="87">
        <f t="shared" ca="1" si="53"/>
        <v>8.4207103413173222E-10</v>
      </c>
      <c r="DQ69" s="37">
        <f ca="1">INT(DP69) + _xll.RiskBinomial(1,DP69-INT(DP69))</f>
        <v>0</v>
      </c>
      <c r="DR69" s="30">
        <f t="shared" ca="1" si="19"/>
        <v>0</v>
      </c>
      <c r="DS69" s="35">
        <f ca="1">_xll.RiskBinomial(1,DR69)</f>
        <v>0</v>
      </c>
      <c r="DT69" s="88">
        <f ca="1">IF(DS69=1,_xll.RiskBinomial(1,Prob_Illness_Given_Infection),0)</f>
        <v>0</v>
      </c>
      <c r="DV69" s="87">
        <f t="shared" ca="1" si="54"/>
        <v>1.1854726266156042E-8</v>
      </c>
      <c r="DW69" s="37">
        <f ca="1">INT(DV69) + _xll.RiskBinomial(1,DV69-INT(DV69))</f>
        <v>0</v>
      </c>
      <c r="DX69" s="30">
        <f t="shared" ca="1" si="20"/>
        <v>0</v>
      </c>
      <c r="DY69" s="35">
        <f ca="1">_xll.RiskBinomial(1,DX69)</f>
        <v>0</v>
      </c>
      <c r="DZ69" s="88">
        <f ca="1">IF(DY69=1,_xll.RiskBinomial(1,Prob_Illness_Given_Infection),0)</f>
        <v>0</v>
      </c>
      <c r="EB69" s="87">
        <f t="shared" ca="1" si="55"/>
        <v>2.974735054692114E-12</v>
      </c>
      <c r="EC69" s="37">
        <f ca="1">INT(EB69) + _xll.RiskBinomial(1,EB69-INT(EB69))</f>
        <v>0</v>
      </c>
      <c r="ED69" s="30">
        <f t="shared" ca="1" si="21"/>
        <v>0</v>
      </c>
      <c r="EE69" s="35">
        <f ca="1">_xll.RiskBinomial(1,ED69)</f>
        <v>0</v>
      </c>
      <c r="EF69" s="88">
        <f ca="1">IF(EE69=1,_xll.RiskBinomial(1,Prob_Illness_Given_Infection),0)</f>
        <v>0</v>
      </c>
      <c r="EH69" s="87">
        <f t="shared" ca="1" si="56"/>
        <v>2.9747350546890561E-12</v>
      </c>
      <c r="EI69" s="37">
        <f ca="1">INT(EH69) + _xll.RiskBinomial(1,EH69-INT(EH69))</f>
        <v>0</v>
      </c>
      <c r="EJ69" s="30">
        <f t="shared" ca="1" si="22"/>
        <v>0</v>
      </c>
      <c r="EK69" s="35">
        <f ca="1">_xll.RiskBinomial(1,EJ69)</f>
        <v>0</v>
      </c>
      <c r="EL69" s="88">
        <f ca="1">IF(EK69=1,_xll.RiskBinomial(1,Prob_Illness_Given_Infection),0)</f>
        <v>0</v>
      </c>
      <c r="EN69" s="87">
        <f t="shared" ca="1" si="57"/>
        <v>2.7142661439373082E-10</v>
      </c>
      <c r="EO69" s="37">
        <f ca="1">INT(EN69) + _xll.RiskBinomial(1,EN69-INT(EN69))</f>
        <v>0</v>
      </c>
      <c r="EP69" s="30">
        <f t="shared" ca="1" si="23"/>
        <v>0</v>
      </c>
      <c r="EQ69" s="35">
        <f ca="1">_xll.RiskBinomial(1,EP69)</f>
        <v>0</v>
      </c>
      <c r="ER69" s="88">
        <f ca="1">IF(EQ69=1,_xll.RiskBinomial(1,Prob_Illness_Given_Infection),0)</f>
        <v>0</v>
      </c>
      <c r="ET69" s="87">
        <f t="shared" ca="1" si="58"/>
        <v>2.9747350546862192E-12</v>
      </c>
      <c r="EU69" s="37">
        <f ca="1">INT(ET69) + _xll.RiskBinomial(1,ET69-INT(ET69))</f>
        <v>0</v>
      </c>
      <c r="EV69" s="30">
        <f t="shared" ca="1" si="24"/>
        <v>0</v>
      </c>
      <c r="EW69" s="35">
        <f ca="1">_xll.RiskBinomial(1,EV69)</f>
        <v>0</v>
      </c>
      <c r="EX69" s="88">
        <f ca="1">IF(EW69=1,_xll.RiskBinomial(1,Prob_Illness_Given_Infection),0)</f>
        <v>0</v>
      </c>
      <c r="EZ69" s="87">
        <f t="shared" ca="1" si="59"/>
        <v>2.2436056999004231E-5</v>
      </c>
      <c r="FA69" s="37">
        <f ca="1">INT(EZ69) + _xll.RiskBinomial(1,EZ69-INT(EZ69))</f>
        <v>0</v>
      </c>
      <c r="FB69" s="30">
        <f t="shared" ca="1" si="25"/>
        <v>0</v>
      </c>
      <c r="FC69" s="35">
        <f ca="1">_xll.RiskBinomial(1,FB69)</f>
        <v>0</v>
      </c>
      <c r="FD69" s="88">
        <f ca="1">IF(FC69=1,_xll.RiskBinomial(1,Prob_Illness_Given_Infection),0)</f>
        <v>0</v>
      </c>
      <c r="FF69" s="87">
        <f t="shared" ca="1" si="60"/>
        <v>1.5628705101366344E-4</v>
      </c>
      <c r="FG69" s="37">
        <f ca="1">INT(FF69) + _xll.RiskBinomial(1,FF69-INT(FF69))</f>
        <v>0</v>
      </c>
      <c r="FH69" s="30">
        <f t="shared" ca="1" si="26"/>
        <v>0</v>
      </c>
      <c r="FI69" s="35">
        <f ca="1">_xll.RiskBinomial(1,FH69)</f>
        <v>0</v>
      </c>
      <c r="FJ69" s="88">
        <f ca="1">IF(FI69=1,_xll.RiskBinomial(1,Prob_Illness_Given_Infection),0)</f>
        <v>0</v>
      </c>
      <c r="FL69" s="87" t="e">
        <f t="shared" ca="1" si="61"/>
        <v>#NAME?</v>
      </c>
      <c r="FM69" s="37" t="e">
        <f ca="1">INT(FL69) + _xll.RiskBinomial(1,FL69-INT(FL69))</f>
        <v>#NAME?</v>
      </c>
      <c r="FN69" s="30" t="e">
        <f t="shared" ca="1" si="27"/>
        <v>#NAME?</v>
      </c>
      <c r="FO69" s="35" t="e">
        <f ca="1">_xll.RiskBinomial(1,FN69)</f>
        <v>#VALUE!</v>
      </c>
      <c r="FP69" s="88" t="e">
        <f ca="1">IF(FO69=1,_xll.RiskBinomial(1,Prob_Illness_Given_Infection),0)</f>
        <v>#VALUE!</v>
      </c>
      <c r="FR69" s="87" t="e">
        <f t="shared" ca="1" si="62"/>
        <v>#NAME?</v>
      </c>
      <c r="FS69" s="37" t="e">
        <f ca="1">INT(FR69) + _xll.RiskBinomial(1,FR69-INT(FR69))</f>
        <v>#NAME?</v>
      </c>
      <c r="FT69" s="30" t="e">
        <f t="shared" ca="1" si="28"/>
        <v>#NAME?</v>
      </c>
      <c r="FU69" s="35" t="e">
        <f ca="1">_xll.RiskBinomial(1,FT69)</f>
        <v>#VALUE!</v>
      </c>
      <c r="FV69" s="88" t="e">
        <f ca="1">IF(FU69=1,_xll.RiskBinomial(1,Prob_Illness_Given_Infection),0)</f>
        <v>#VALUE!</v>
      </c>
      <c r="FX69" s="87">
        <f t="shared" ca="1" si="63"/>
        <v>3.1406272692707003E-7</v>
      </c>
      <c r="FY69" s="37">
        <f ca="1">INT(FX69) + _xll.RiskBinomial(1,FX69-INT(FX69))</f>
        <v>0</v>
      </c>
      <c r="FZ69" s="30">
        <f t="shared" ca="1" si="29"/>
        <v>0</v>
      </c>
      <c r="GA69" s="35">
        <f ca="1">_xll.RiskBinomial(1,FZ69)</f>
        <v>0</v>
      </c>
      <c r="GB69" s="88">
        <f ca="1">IF(GA69=1,_xll.RiskBinomial(1,Prob_Illness_Given_Infection),0)</f>
        <v>0</v>
      </c>
      <c r="GD69" s="87" t="e">
        <f t="shared" ca="1" si="64"/>
        <v>#NAME?</v>
      </c>
      <c r="GE69" s="37" t="e">
        <f ca="1">INT(GD69) + _xll.RiskBinomial(1,GD69-INT(GD69))</f>
        <v>#NAME?</v>
      </c>
      <c r="GF69" s="30" t="e">
        <f t="shared" ca="1" si="30"/>
        <v>#NAME?</v>
      </c>
      <c r="GG69" s="35" t="e">
        <f ca="1">_xll.RiskBinomial(1,GF69)</f>
        <v>#VALUE!</v>
      </c>
      <c r="GH69" s="88" t="e">
        <f ca="1">IF(GG69=1,_xll.RiskBinomial(1,Prob_Illness_Given_Infection),0)</f>
        <v>#VALUE!</v>
      </c>
      <c r="GJ69" s="87" t="e">
        <f t="shared" ca="1" si="65"/>
        <v>#NAME?</v>
      </c>
      <c r="GK69" s="37" t="e">
        <f ca="1">INT(GJ69) + _xll.RiskBinomial(1,GJ69-INT(GJ69))</f>
        <v>#NAME?</v>
      </c>
      <c r="GL69" s="30" t="e">
        <f t="shared" ca="1" si="31"/>
        <v>#NAME?</v>
      </c>
      <c r="GM69" s="35" t="e">
        <f ca="1">_xll.RiskBinomial(1,GL69)</f>
        <v>#VALUE!</v>
      </c>
      <c r="GN69" s="88" t="e">
        <f ca="1">IF(GM69=1,_xll.RiskBinomial(1,Prob_Illness_Given_Infection),0)</f>
        <v>#VALUE!</v>
      </c>
      <c r="GP69" s="87" t="e">
        <f t="shared" ca="1" si="66"/>
        <v>#NAME?</v>
      </c>
      <c r="GQ69" s="37" t="e">
        <f ca="1">INT(GP69) + _xll.RiskBinomial(1,GP69-INT(GP69))</f>
        <v>#NAME?</v>
      </c>
      <c r="GR69" s="30" t="e">
        <f t="shared" ca="1" si="32"/>
        <v>#NAME?</v>
      </c>
      <c r="GS69" s="35" t="e">
        <f ca="1">_xll.RiskBinomial(1,GR69)</f>
        <v>#VALUE!</v>
      </c>
      <c r="GT69" s="88" t="e">
        <f ca="1">IF(GS69=1,_xll.RiskBinomial(1,Prob_Illness_Given_Infection),0)</f>
        <v>#VALUE!</v>
      </c>
    </row>
    <row r="70" spans="2:202">
      <c r="B70" s="108">
        <v>62</v>
      </c>
      <c r="C70" s="87">
        <f ca="1">_xll.RiskLoglogistic(LogLogistic_gamma, LogLogistic_beta, LogLogistic_alpha, _xll.RiskTruncate(5,800))</f>
        <v>63.29898661115989</v>
      </c>
      <c r="D70" s="38">
        <f t="shared" ca="1" si="67"/>
        <v>4.0664305411894404</v>
      </c>
      <c r="E70" s="30"/>
      <c r="F70" s="87">
        <f t="shared" ca="1" si="34"/>
        <v>1.4681407931905558E-9</v>
      </c>
      <c r="G70" s="37">
        <f ca="1">INT(F70) + _xll.RiskBinomial(1,F70-INT(F70))</f>
        <v>0</v>
      </c>
      <c r="H70" s="30">
        <f t="shared" ca="1" si="68"/>
        <v>0</v>
      </c>
      <c r="I70" s="35">
        <f ca="1">_xll.RiskBinomial(1,H70)</f>
        <v>0</v>
      </c>
      <c r="J70" s="88">
        <f ca="1">IF(I70=1,_xll.RiskBinomial(1,Prob_Illness_Given_Infection),0)</f>
        <v>0</v>
      </c>
      <c r="K70" s="30"/>
      <c r="L70" s="87">
        <f t="shared" ca="1" si="35"/>
        <v>7.4988806290947915E-5</v>
      </c>
      <c r="M70" s="37">
        <f ca="1">INT(L70) + _xll.RiskBinomial(1,L70-INT(L70))</f>
        <v>0</v>
      </c>
      <c r="N70" s="30">
        <f t="shared" ca="1" si="1"/>
        <v>0</v>
      </c>
      <c r="O70" s="35">
        <f ca="1">_xll.RiskBinomial(1,N70)</f>
        <v>0</v>
      </c>
      <c r="P70" s="88">
        <f ca="1">IF(O70=1,_xll.RiskBinomial(1,Prob_Illness_Given_Infection),0)</f>
        <v>0</v>
      </c>
      <c r="Q70" s="30"/>
      <c r="R70" s="87">
        <f t="shared" ca="1" si="36"/>
        <v>7.752025695592543E-6</v>
      </c>
      <c r="S70" s="37">
        <f ca="1">INT(R70) + _xll.RiskBinomial(1,R70-INT(R70))</f>
        <v>0</v>
      </c>
      <c r="T70" s="30">
        <f t="shared" ca="1" si="2"/>
        <v>0</v>
      </c>
      <c r="U70" s="35">
        <f ca="1">_xll.RiskBinomial(1,T70)</f>
        <v>0</v>
      </c>
      <c r="V70" s="88">
        <f ca="1">IF(U70=1,_xll.RiskBinomial(1,Prob_Illness_Given_Infection),0)</f>
        <v>0</v>
      </c>
      <c r="W70" s="30"/>
      <c r="X70" s="87">
        <f t="shared" ca="1" si="37"/>
        <v>3.1847341280692172E-12</v>
      </c>
      <c r="Y70" s="37">
        <f ca="1">INT(X70) + _xll.RiskBinomial(1,X70-INT(X70))</f>
        <v>0</v>
      </c>
      <c r="Z70" s="30">
        <f t="shared" ca="1" si="3"/>
        <v>0</v>
      </c>
      <c r="AA70" s="35">
        <f ca="1">_xll.RiskBinomial(1,Z70)</f>
        <v>0</v>
      </c>
      <c r="AB70" s="88">
        <f ca="1">IF(AA70=1,_xll.RiskBinomial(1,Prob_Illness_Given_Infection),0)</f>
        <v>0</v>
      </c>
      <c r="AC70" s="30"/>
      <c r="AD70" s="87">
        <f t="shared" ca="1" si="38"/>
        <v>1.6045254570414204E-12</v>
      </c>
      <c r="AE70" s="37">
        <f ca="1">INT(AD70) + _xll.RiskBinomial(1,AD70-INT(AD70))</f>
        <v>0</v>
      </c>
      <c r="AF70" s="30">
        <f t="shared" ca="1" si="4"/>
        <v>0</v>
      </c>
      <c r="AG70" s="35">
        <f ca="1">_xll.RiskBinomial(1,AF70)</f>
        <v>0</v>
      </c>
      <c r="AH70" s="88">
        <f ca="1">IF(AG70=1,_xll.RiskBinomial(1,Prob_Illness_Given_Infection),0)</f>
        <v>0</v>
      </c>
      <c r="AI70" s="30"/>
      <c r="AJ70" s="87">
        <f t="shared" ca="1" si="39"/>
        <v>7.4477936745065507E-5</v>
      </c>
      <c r="AK70" s="37">
        <f ca="1">INT(AJ70) + _xll.RiskBinomial(1,AJ70-INT(AJ70))</f>
        <v>0</v>
      </c>
      <c r="AL70" s="30">
        <f t="shared" ca="1" si="5"/>
        <v>0</v>
      </c>
      <c r="AM70" s="35">
        <f ca="1">_xll.RiskBinomial(1,AL70)</f>
        <v>0</v>
      </c>
      <c r="AN70" s="88">
        <f ca="1">IF(AM70=1,_xll.RiskBinomial(1,Prob_Illness_Given_Infection),0)</f>
        <v>0</v>
      </c>
      <c r="AO70" s="30"/>
      <c r="AP70" s="87">
        <f t="shared" ca="1" si="40"/>
        <v>1.8112314529094279E-9</v>
      </c>
      <c r="AQ70" s="37">
        <f ca="1">INT(AP70) + _xll.RiskBinomial(1,AP70-INT(AP70))</f>
        <v>0</v>
      </c>
      <c r="AR70" s="30">
        <f t="shared" ca="1" si="6"/>
        <v>0</v>
      </c>
      <c r="AS70" s="35">
        <f ca="1">_xll.RiskBinomial(1,AR70)</f>
        <v>0</v>
      </c>
      <c r="AT70" s="88">
        <f ca="1">IF(AS70=1,_xll.RiskBinomial(1,Prob_Illness_Given_Infection),0)</f>
        <v>0</v>
      </c>
      <c r="AU70" s="30"/>
      <c r="AV70" s="87">
        <f t="shared" ca="1" si="41"/>
        <v>4.2019626805695894E-5</v>
      </c>
      <c r="AW70" s="37">
        <f ca="1">INT(AV70) + _xll.RiskBinomial(1,AV70-INT(AV70))</f>
        <v>0</v>
      </c>
      <c r="AX70" s="30">
        <f t="shared" ca="1" si="7"/>
        <v>0</v>
      </c>
      <c r="AY70" s="35">
        <f ca="1">_xll.RiskBinomial(1,AX70)</f>
        <v>0</v>
      </c>
      <c r="AZ70" s="88">
        <f ca="1">IF(AY70=1,_xll.RiskBinomial(1,Prob_Illness_Given_Infection),0)</f>
        <v>0</v>
      </c>
      <c r="BB70" s="87">
        <f t="shared" ca="1" si="42"/>
        <v>5.7672352866432078E-5</v>
      </c>
      <c r="BC70" s="37">
        <f ca="1">INT(BB70) + _xll.RiskBinomial(1,BB70-INT(BB70))</f>
        <v>0</v>
      </c>
      <c r="BD70" s="30">
        <f t="shared" ca="1" si="8"/>
        <v>0</v>
      </c>
      <c r="BE70" s="35">
        <f ca="1">_xll.RiskBinomial(1,BD70)</f>
        <v>0</v>
      </c>
      <c r="BF70" s="88">
        <f ca="1">IF(BE70=1,_xll.RiskBinomial(1,Prob_Illness_Given_Infection),0)</f>
        <v>0</v>
      </c>
      <c r="BH70" s="87">
        <f t="shared" ca="1" si="43"/>
        <v>7.3017324697483821E-5</v>
      </c>
      <c r="BI70" s="37">
        <f ca="1">INT(BH70) + _xll.RiskBinomial(1,BH70-INT(BH70))</f>
        <v>0</v>
      </c>
      <c r="BJ70" s="30">
        <f t="shared" ca="1" si="9"/>
        <v>0</v>
      </c>
      <c r="BK70" s="35">
        <f ca="1">_xll.RiskBinomial(1,BJ70)</f>
        <v>0</v>
      </c>
      <c r="BL70" s="88">
        <f ca="1">IF(BK70=1,_xll.RiskBinomial(1,Prob_Illness_Given_Infection),0)</f>
        <v>0</v>
      </c>
      <c r="BN70" s="87">
        <f t="shared" ca="1" si="44"/>
        <v>5.5570347520741376E-6</v>
      </c>
      <c r="BO70" s="37">
        <f ca="1">INT(BN70) + _xll.RiskBinomial(1,BN70-INT(BN70))</f>
        <v>0</v>
      </c>
      <c r="BP70" s="30">
        <f t="shared" ca="1" si="10"/>
        <v>0</v>
      </c>
      <c r="BQ70" s="35">
        <f ca="1">_xll.RiskBinomial(1,BP70)</f>
        <v>0</v>
      </c>
      <c r="BR70" s="88">
        <f ca="1">IF(BQ70=1,_xll.RiskBinomial(1,Prob_Illness_Given_Infection),0)</f>
        <v>0</v>
      </c>
      <c r="BT70" s="87">
        <f t="shared" ca="1" si="45"/>
        <v>1.6709944751223131E-5</v>
      </c>
      <c r="BU70" s="37">
        <f ca="1">INT(BT70) + _xll.RiskBinomial(1,BT70-INT(BT70))</f>
        <v>0</v>
      </c>
      <c r="BV70" s="30">
        <f t="shared" ca="1" si="11"/>
        <v>0</v>
      </c>
      <c r="BW70" s="35">
        <f ca="1">_xll.RiskBinomial(1,BV70)</f>
        <v>0</v>
      </c>
      <c r="BX70" s="88">
        <f ca="1">IF(BW70=1,_xll.RiskBinomial(1,Prob_Illness_Given_Infection),0)</f>
        <v>0</v>
      </c>
      <c r="BZ70" s="87">
        <f t="shared" ca="1" si="46"/>
        <v>4.5807591338260148E-5</v>
      </c>
      <c r="CA70" s="37">
        <f ca="1">INT(BZ70) + _xll.RiskBinomial(1,BZ70-INT(BZ70))</f>
        <v>0</v>
      </c>
      <c r="CB70" s="30">
        <f t="shared" ca="1" si="12"/>
        <v>0</v>
      </c>
      <c r="CC70" s="35">
        <f ca="1">_xll.RiskBinomial(1,CB70)</f>
        <v>0</v>
      </c>
      <c r="CD70" s="88">
        <f ca="1">IF(CC70=1,_xll.RiskBinomial(1,Prob_Illness_Given_Infection),0)</f>
        <v>0</v>
      </c>
      <c r="CF70" s="87">
        <f t="shared" ca="1" si="47"/>
        <v>8.6915319576552142E-6</v>
      </c>
      <c r="CG70" s="37">
        <f ca="1">INT(CF70) + _xll.RiskBinomial(1,CF70-INT(CF70))</f>
        <v>0</v>
      </c>
      <c r="CH70" s="30">
        <f t="shared" ca="1" si="13"/>
        <v>0</v>
      </c>
      <c r="CI70" s="35">
        <f ca="1">_xll.RiskBinomial(1,CH70)</f>
        <v>0</v>
      </c>
      <c r="CJ70" s="88">
        <f ca="1">IF(CI70=1,_xll.RiskBinomial(1,Prob_Illness_Given_Infection),0)</f>
        <v>0</v>
      </c>
      <c r="CL70" s="87">
        <f t="shared" ca="1" si="48"/>
        <v>1.6772223435015516E-5</v>
      </c>
      <c r="CM70" s="37">
        <f ca="1">INT(CL70) + _xll.RiskBinomial(1,CL70-INT(CL70))</f>
        <v>0</v>
      </c>
      <c r="CN70" s="30">
        <f t="shared" ca="1" si="14"/>
        <v>0</v>
      </c>
      <c r="CO70" s="35">
        <f ca="1">_xll.RiskBinomial(1,CN70)</f>
        <v>0</v>
      </c>
      <c r="CP70" s="88">
        <f ca="1">IF(CO70=1,_xll.RiskBinomial(1,Prob_Illness_Given_Infection),0)</f>
        <v>0</v>
      </c>
      <c r="CR70" s="87">
        <f t="shared" ca="1" si="49"/>
        <v>1.1558908748155561E-7</v>
      </c>
      <c r="CS70" s="37">
        <f ca="1">INT(CR70) + _xll.RiskBinomial(1,CR70-INT(CR70))</f>
        <v>0</v>
      </c>
      <c r="CT70" s="30">
        <f t="shared" ca="1" si="15"/>
        <v>0</v>
      </c>
      <c r="CU70" s="35">
        <f ca="1">_xll.RiskBinomial(1,CT70)</f>
        <v>0</v>
      </c>
      <c r="CV70" s="88">
        <f ca="1">IF(CU70=1,_xll.RiskBinomial(1,Prob_Illness_Given_Infection),0)</f>
        <v>0</v>
      </c>
      <c r="CX70" s="87">
        <f t="shared" ca="1" si="50"/>
        <v>1.1766837699954391E-9</v>
      </c>
      <c r="CY70" s="37">
        <f ca="1">INT(CX70) + _xll.RiskBinomial(1,CX70-INT(CX70))</f>
        <v>0</v>
      </c>
      <c r="CZ70" s="30">
        <f t="shared" ca="1" si="16"/>
        <v>0</v>
      </c>
      <c r="DA70" s="35">
        <f ca="1">_xll.RiskBinomial(1,CZ70)</f>
        <v>0</v>
      </c>
      <c r="DB70" s="88">
        <f ca="1">IF(DA70=1,_xll.RiskBinomial(1,Prob_Illness_Given_Infection),0)</f>
        <v>0</v>
      </c>
      <c r="DD70" s="87">
        <f t="shared" ca="1" si="51"/>
        <v>1.1766837699954391E-9</v>
      </c>
      <c r="DE70" s="37">
        <f ca="1">INT(DD70) + _xll.RiskBinomial(1,DD70-INT(DD70))</f>
        <v>0</v>
      </c>
      <c r="DF70" s="30">
        <f t="shared" ca="1" si="17"/>
        <v>0</v>
      </c>
      <c r="DG70" s="35">
        <f ca="1">_xll.RiskBinomial(1,DF70)</f>
        <v>0</v>
      </c>
      <c r="DH70" s="88">
        <f ca="1">IF(DG70=1,_xll.RiskBinomial(1,Prob_Illness_Given_Infection),0)</f>
        <v>0</v>
      </c>
      <c r="DJ70" s="87">
        <f t="shared" ca="1" si="52"/>
        <v>1.9213613281482954E-6</v>
      </c>
      <c r="DK70" s="37">
        <f ca="1">INT(DJ70) + _xll.RiskBinomial(1,DJ70-INT(DJ70))</f>
        <v>0</v>
      </c>
      <c r="DL70" s="30">
        <f t="shared" ca="1" si="18"/>
        <v>0</v>
      </c>
      <c r="DM70" s="35">
        <f ca="1">_xll.RiskBinomial(1,DL70)</f>
        <v>0</v>
      </c>
      <c r="DN70" s="88">
        <f ca="1">IF(DM70=1,_xll.RiskBinomial(1,Prob_Illness_Given_Infection),0)</f>
        <v>0</v>
      </c>
      <c r="DP70" s="87">
        <f t="shared" ca="1" si="53"/>
        <v>4.5419991564288976E-10</v>
      </c>
      <c r="DQ70" s="37">
        <f ca="1">INT(DP70) + _xll.RiskBinomial(1,DP70-INT(DP70))</f>
        <v>0</v>
      </c>
      <c r="DR70" s="30">
        <f t="shared" ca="1" si="19"/>
        <v>0</v>
      </c>
      <c r="DS70" s="35">
        <f ca="1">_xll.RiskBinomial(1,DR70)</f>
        <v>0</v>
      </c>
      <c r="DT70" s="88">
        <f ca="1">IF(DS70=1,_xll.RiskBinomial(1,Prob_Illness_Given_Infection),0)</f>
        <v>0</v>
      </c>
      <c r="DV70" s="87">
        <f t="shared" ca="1" si="54"/>
        <v>6.3942535152150781E-9</v>
      </c>
      <c r="DW70" s="37">
        <f ca="1">INT(DV70) + _xll.RiskBinomial(1,DV70-INT(DV70))</f>
        <v>0</v>
      </c>
      <c r="DX70" s="30">
        <f t="shared" ca="1" si="20"/>
        <v>0</v>
      </c>
      <c r="DY70" s="35">
        <f ca="1">_xll.RiskBinomial(1,DX70)</f>
        <v>0</v>
      </c>
      <c r="DZ70" s="88">
        <f ca="1">IF(DY70=1,_xll.RiskBinomial(1,Prob_Illness_Given_Infection),0)</f>
        <v>0</v>
      </c>
      <c r="EB70" s="87">
        <f t="shared" ca="1" si="55"/>
        <v>1.6045254570408814E-12</v>
      </c>
      <c r="EC70" s="37">
        <f ca="1">INT(EB70) + _xll.RiskBinomial(1,EB70-INT(EB70))</f>
        <v>0</v>
      </c>
      <c r="ED70" s="30">
        <f t="shared" ca="1" si="21"/>
        <v>0</v>
      </c>
      <c r="EE70" s="35">
        <f ca="1">_xll.RiskBinomial(1,ED70)</f>
        <v>0</v>
      </c>
      <c r="EF70" s="88">
        <f ca="1">IF(EE70=1,_xll.RiskBinomial(1,Prob_Illness_Given_Infection),0)</f>
        <v>0</v>
      </c>
      <c r="EH70" s="87">
        <f t="shared" ca="1" si="56"/>
        <v>1.6045254570392321E-12</v>
      </c>
      <c r="EI70" s="37">
        <f ca="1">INT(EH70) + _xll.RiskBinomial(1,EH70-INT(EH70))</f>
        <v>0</v>
      </c>
      <c r="EJ70" s="30">
        <f t="shared" ca="1" si="22"/>
        <v>0</v>
      </c>
      <c r="EK70" s="35">
        <f ca="1">_xll.RiskBinomial(1,EJ70)</f>
        <v>0</v>
      </c>
      <c r="EL70" s="88">
        <f ca="1">IF(EK70=1,_xll.RiskBinomial(1,Prob_Illness_Given_Infection),0)</f>
        <v>0</v>
      </c>
      <c r="EN70" s="87">
        <f t="shared" ca="1" si="57"/>
        <v>1.4640326096477709E-10</v>
      </c>
      <c r="EO70" s="37">
        <f ca="1">INT(EN70) + _xll.RiskBinomial(1,EN70-INT(EN70))</f>
        <v>0</v>
      </c>
      <c r="EP70" s="30">
        <f t="shared" ca="1" si="23"/>
        <v>0</v>
      </c>
      <c r="EQ70" s="35">
        <f ca="1">_xll.RiskBinomial(1,EP70)</f>
        <v>0</v>
      </c>
      <c r="ER70" s="88">
        <f ca="1">IF(EQ70=1,_xll.RiskBinomial(1,Prob_Illness_Given_Infection),0)</f>
        <v>0</v>
      </c>
      <c r="ET70" s="87">
        <f t="shared" ca="1" si="58"/>
        <v>1.604525457037702E-12</v>
      </c>
      <c r="EU70" s="37">
        <f ca="1">INT(ET70) + _xll.RiskBinomial(1,ET70-INT(ET70))</f>
        <v>0</v>
      </c>
      <c r="EV70" s="30">
        <f t="shared" ca="1" si="24"/>
        <v>0</v>
      </c>
      <c r="EW70" s="35">
        <f ca="1">_xll.RiskBinomial(1,EV70)</f>
        <v>0</v>
      </c>
      <c r="EX70" s="88">
        <f ca="1">IF(EW70=1,_xll.RiskBinomial(1,Prob_Illness_Given_Infection),0)</f>
        <v>0</v>
      </c>
      <c r="EZ70" s="87">
        <f t="shared" ca="1" si="59"/>
        <v>1.2101657441303949E-5</v>
      </c>
      <c r="FA70" s="37">
        <f ca="1">INT(EZ70) + _xll.RiskBinomial(1,EZ70-INT(EZ70))</f>
        <v>0</v>
      </c>
      <c r="FB70" s="30">
        <f t="shared" ca="1" si="25"/>
        <v>0</v>
      </c>
      <c r="FC70" s="35">
        <f ca="1">_xll.RiskBinomial(1,FB70)</f>
        <v>0</v>
      </c>
      <c r="FD70" s="88">
        <f ca="1">IF(FC70=1,_xll.RiskBinomial(1,Prob_Illness_Given_Infection),0)</f>
        <v>0</v>
      </c>
      <c r="FF70" s="87">
        <f t="shared" ca="1" si="60"/>
        <v>8.4298785386527242E-5</v>
      </c>
      <c r="FG70" s="37">
        <f ca="1">INT(FF70) + _xll.RiskBinomial(1,FF70-INT(FF70))</f>
        <v>0</v>
      </c>
      <c r="FH70" s="30">
        <f t="shared" ca="1" si="26"/>
        <v>0</v>
      </c>
      <c r="FI70" s="35">
        <f ca="1">_xll.RiskBinomial(1,FH70)</f>
        <v>0</v>
      </c>
      <c r="FJ70" s="88">
        <f ca="1">IF(FI70=1,_xll.RiskBinomial(1,Prob_Illness_Given_Infection),0)</f>
        <v>0</v>
      </c>
      <c r="FL70" s="87" t="e">
        <f t="shared" ca="1" si="61"/>
        <v>#NAME?</v>
      </c>
      <c r="FM70" s="37" t="e">
        <f ca="1">INT(FL70) + _xll.RiskBinomial(1,FL70-INT(FL70))</f>
        <v>#NAME?</v>
      </c>
      <c r="FN70" s="30" t="e">
        <f t="shared" ca="1" si="27"/>
        <v>#NAME?</v>
      </c>
      <c r="FO70" s="35" t="e">
        <f ca="1">_xll.RiskBinomial(1,FN70)</f>
        <v>#VALUE!</v>
      </c>
      <c r="FP70" s="88" t="e">
        <f ca="1">IF(FO70=1,_xll.RiskBinomial(1,Prob_Illness_Given_Infection),0)</f>
        <v>#VALUE!</v>
      </c>
      <c r="FR70" s="87" t="e">
        <f t="shared" ca="1" si="62"/>
        <v>#NAME?</v>
      </c>
      <c r="FS70" s="37" t="e">
        <f ca="1">INT(FR70) + _xll.RiskBinomial(1,FR70-INT(FR70))</f>
        <v>#NAME?</v>
      </c>
      <c r="FT70" s="30" t="e">
        <f t="shared" ca="1" si="28"/>
        <v>#NAME?</v>
      </c>
      <c r="FU70" s="35" t="e">
        <f ca="1">_xll.RiskBinomial(1,FT70)</f>
        <v>#VALUE!</v>
      </c>
      <c r="FV70" s="88" t="e">
        <f ca="1">IF(FU70=1,_xll.RiskBinomial(1,Prob_Illness_Given_Infection),0)</f>
        <v>#VALUE!</v>
      </c>
      <c r="FX70" s="87">
        <f t="shared" ca="1" si="63"/>
        <v>1.6940051170853554E-7</v>
      </c>
      <c r="FY70" s="37">
        <f ca="1">INT(FX70) + _xll.RiskBinomial(1,FX70-INT(FX70))</f>
        <v>0</v>
      </c>
      <c r="FZ70" s="30">
        <f t="shared" ca="1" si="29"/>
        <v>0</v>
      </c>
      <c r="GA70" s="35">
        <f ca="1">_xll.RiskBinomial(1,FZ70)</f>
        <v>0</v>
      </c>
      <c r="GB70" s="88">
        <f ca="1">IF(GA70=1,_xll.RiskBinomial(1,Prob_Illness_Given_Infection),0)</f>
        <v>0</v>
      </c>
      <c r="GD70" s="87" t="e">
        <f t="shared" ca="1" si="64"/>
        <v>#NAME?</v>
      </c>
      <c r="GE70" s="37" t="e">
        <f ca="1">INT(GD70) + _xll.RiskBinomial(1,GD70-INT(GD70))</f>
        <v>#NAME?</v>
      </c>
      <c r="GF70" s="30" t="e">
        <f t="shared" ca="1" si="30"/>
        <v>#NAME?</v>
      </c>
      <c r="GG70" s="35" t="e">
        <f ca="1">_xll.RiskBinomial(1,GF70)</f>
        <v>#VALUE!</v>
      </c>
      <c r="GH70" s="88" t="e">
        <f ca="1">IF(GG70=1,_xll.RiskBinomial(1,Prob_Illness_Given_Infection),0)</f>
        <v>#VALUE!</v>
      </c>
      <c r="GJ70" s="87" t="e">
        <f t="shared" ca="1" si="65"/>
        <v>#NAME?</v>
      </c>
      <c r="GK70" s="37" t="e">
        <f ca="1">INT(GJ70) + _xll.RiskBinomial(1,GJ70-INT(GJ70))</f>
        <v>#NAME?</v>
      </c>
      <c r="GL70" s="30" t="e">
        <f t="shared" ca="1" si="31"/>
        <v>#NAME?</v>
      </c>
      <c r="GM70" s="35" t="e">
        <f ca="1">_xll.RiskBinomial(1,GL70)</f>
        <v>#VALUE!</v>
      </c>
      <c r="GN70" s="88" t="e">
        <f ca="1">IF(GM70=1,_xll.RiskBinomial(1,Prob_Illness_Given_Infection),0)</f>
        <v>#VALUE!</v>
      </c>
      <c r="GP70" s="87" t="e">
        <f t="shared" ca="1" si="66"/>
        <v>#NAME?</v>
      </c>
      <c r="GQ70" s="37" t="e">
        <f ca="1">INT(GP70) + _xll.RiskBinomial(1,GP70-INT(GP70))</f>
        <v>#NAME?</v>
      </c>
      <c r="GR70" s="30" t="e">
        <f t="shared" ca="1" si="32"/>
        <v>#NAME?</v>
      </c>
      <c r="GS70" s="35" t="e">
        <f ca="1">_xll.RiskBinomial(1,GR70)</f>
        <v>#VALUE!</v>
      </c>
      <c r="GT70" s="88" t="e">
        <f ca="1">IF(GS70=1,_xll.RiskBinomial(1,Prob_Illness_Given_Infection),0)</f>
        <v>#VALUE!</v>
      </c>
    </row>
    <row r="71" spans="2:202">
      <c r="B71" s="108">
        <v>63</v>
      </c>
      <c r="C71" s="87">
        <f ca="1">_xll.RiskLoglogistic(LogLogistic_gamma, LogLogistic_beta, LogLogistic_alpha, _xll.RiskTruncate(5,800))</f>
        <v>91.336786926955938</v>
      </c>
      <c r="D71" s="38">
        <f t="shared" ca="1" si="67"/>
        <v>5.8676247405895117</v>
      </c>
      <c r="E71" s="30"/>
      <c r="F71" s="87">
        <f t="shared" ca="1" si="34"/>
        <v>2.1184424899272603E-9</v>
      </c>
      <c r="G71" s="37">
        <f ca="1">INT(F71) + _xll.RiskBinomial(1,F71-INT(F71))</f>
        <v>0</v>
      </c>
      <c r="H71" s="30">
        <f t="shared" ca="1" si="68"/>
        <v>0</v>
      </c>
      <c r="I71" s="35">
        <f ca="1">_xll.RiskBinomial(1,H71)</f>
        <v>0</v>
      </c>
      <c r="J71" s="88">
        <f ca="1">IF(I71=1,_xll.RiskBinomial(1,Prob_Illness_Given_Infection),0)</f>
        <v>0</v>
      </c>
      <c r="K71" s="30"/>
      <c r="L71" s="87">
        <f t="shared" ca="1" si="35"/>
        <v>1.0820452251751424E-4</v>
      </c>
      <c r="M71" s="37">
        <f ca="1">INT(L71) + _xll.RiskBinomial(1,L71-INT(L71))</f>
        <v>0</v>
      </c>
      <c r="N71" s="30">
        <f t="shared" ca="1" si="1"/>
        <v>0</v>
      </c>
      <c r="O71" s="35">
        <f ca="1">_xll.RiskBinomial(1,N71)</f>
        <v>0</v>
      </c>
      <c r="P71" s="88">
        <f ca="1">IF(O71=1,_xll.RiskBinomial(1,Prob_Illness_Given_Infection),0)</f>
        <v>0</v>
      </c>
      <c r="Q71" s="30"/>
      <c r="R71" s="87">
        <f t="shared" ca="1" si="36"/>
        <v>1.1185725982630375E-5</v>
      </c>
      <c r="S71" s="37">
        <f ca="1">INT(R71) + _xll.RiskBinomial(1,R71-INT(R71))</f>
        <v>0</v>
      </c>
      <c r="T71" s="30">
        <f t="shared" ca="1" si="2"/>
        <v>0</v>
      </c>
      <c r="U71" s="35">
        <f ca="1">_xll.RiskBinomial(1,T71)</f>
        <v>0</v>
      </c>
      <c r="V71" s="88">
        <f ca="1">IF(U71=1,_xll.RiskBinomial(1,Prob_Illness_Given_Infection),0)</f>
        <v>0</v>
      </c>
      <c r="W71" s="30"/>
      <c r="X71" s="87">
        <f t="shared" ca="1" si="37"/>
        <v>4.5953876680733282E-12</v>
      </c>
      <c r="Y71" s="37">
        <f ca="1">INT(X71) + _xll.RiskBinomial(1,X71-INT(X71))</f>
        <v>0</v>
      </c>
      <c r="Z71" s="30">
        <f t="shared" ca="1" si="3"/>
        <v>0</v>
      </c>
      <c r="AA71" s="35">
        <f ca="1">_xll.RiskBinomial(1,Z71)</f>
        <v>0</v>
      </c>
      <c r="AB71" s="88">
        <f ca="1">IF(AA71=1,_xll.RiskBinomial(1,Prob_Illness_Given_Infection),0)</f>
        <v>0</v>
      </c>
      <c r="AC71" s="30"/>
      <c r="AD71" s="87">
        <f t="shared" ca="1" si="38"/>
        <v>2.3152376939132702E-12</v>
      </c>
      <c r="AE71" s="37">
        <f ca="1">INT(AD71) + _xll.RiskBinomial(1,AD71-INT(AD71))</f>
        <v>0</v>
      </c>
      <c r="AF71" s="30">
        <f t="shared" ca="1" si="4"/>
        <v>0</v>
      </c>
      <c r="AG71" s="35">
        <f ca="1">_xll.RiskBinomial(1,AF71)</f>
        <v>0</v>
      </c>
      <c r="AH71" s="88">
        <f ca="1">IF(AG71=1,_xll.RiskBinomial(1,Prob_Illness_Given_Infection),0)</f>
        <v>0</v>
      </c>
      <c r="AI71" s="30"/>
      <c r="AJ71" s="87">
        <f t="shared" ca="1" si="39"/>
        <v>1.0746736722707701E-4</v>
      </c>
      <c r="AK71" s="37">
        <f ca="1">INT(AJ71) + _xll.RiskBinomial(1,AJ71-INT(AJ71))</f>
        <v>0</v>
      </c>
      <c r="AL71" s="30">
        <f t="shared" ca="1" si="5"/>
        <v>0</v>
      </c>
      <c r="AM71" s="35">
        <f ca="1">_xll.RiskBinomial(1,AL71)</f>
        <v>0</v>
      </c>
      <c r="AN71" s="88">
        <f ca="1">IF(AM71=1,_xll.RiskBinomial(1,Prob_Illness_Given_Infection),0)</f>
        <v>0</v>
      </c>
      <c r="AO71" s="30"/>
      <c r="AP71" s="87">
        <f t="shared" ca="1" si="40"/>
        <v>2.6135025242350851E-9</v>
      </c>
      <c r="AQ71" s="37">
        <f ca="1">INT(AP71) + _xll.RiskBinomial(1,AP71-INT(AP71))</f>
        <v>0</v>
      </c>
      <c r="AR71" s="30">
        <f t="shared" ca="1" si="6"/>
        <v>0</v>
      </c>
      <c r="AS71" s="35">
        <f ca="1">_xll.RiskBinomial(1,AR71)</f>
        <v>0</v>
      </c>
      <c r="AT71" s="88">
        <f ca="1">IF(AS71=1,_xll.RiskBinomial(1,Prob_Illness_Given_Infection),0)</f>
        <v>0</v>
      </c>
      <c r="AU71" s="30"/>
      <c r="AV71" s="87">
        <f t="shared" ca="1" si="41"/>
        <v>6.0631898009334113E-5</v>
      </c>
      <c r="AW71" s="37">
        <f ca="1">INT(AV71) + _xll.RiskBinomial(1,AV71-INT(AV71))</f>
        <v>0</v>
      </c>
      <c r="AX71" s="30">
        <f t="shared" ca="1" si="7"/>
        <v>0</v>
      </c>
      <c r="AY71" s="35">
        <f ca="1">_xll.RiskBinomial(1,AX71)</f>
        <v>0</v>
      </c>
      <c r="AZ71" s="88">
        <f ca="1">IF(AY71=1,_xll.RiskBinomial(1,Prob_Illness_Given_Infection),0)</f>
        <v>0</v>
      </c>
      <c r="BB71" s="87">
        <f t="shared" ca="1" si="42"/>
        <v>8.3217878947983365E-5</v>
      </c>
      <c r="BC71" s="37">
        <f ca="1">INT(BB71) + _xll.RiskBinomial(1,BB71-INT(BB71))</f>
        <v>0</v>
      </c>
      <c r="BD71" s="30">
        <f t="shared" ca="1" si="8"/>
        <v>0</v>
      </c>
      <c r="BE71" s="35">
        <f ca="1">_xll.RiskBinomial(1,BD71)</f>
        <v>0</v>
      </c>
      <c r="BF71" s="88">
        <f ca="1">IF(BE71=1,_xll.RiskBinomial(1,Prob_Illness_Given_Infection),0)</f>
        <v>0</v>
      </c>
      <c r="BH71" s="87">
        <f t="shared" ca="1" si="43"/>
        <v>1.0535978828284485E-4</v>
      </c>
      <c r="BI71" s="37">
        <f ca="1">INT(BH71) + _xll.RiskBinomial(1,BH71-INT(BH71))</f>
        <v>0</v>
      </c>
      <c r="BJ71" s="30">
        <f t="shared" ca="1" si="9"/>
        <v>0</v>
      </c>
      <c r="BK71" s="35">
        <f ca="1">_xll.RiskBinomial(1,BJ71)</f>
        <v>0</v>
      </c>
      <c r="BL71" s="88">
        <f ca="1">IF(BK71=1,_xll.RiskBinomial(1,Prob_Illness_Given_Infection),0)</f>
        <v>0</v>
      </c>
      <c r="BN71" s="87">
        <f t="shared" ca="1" si="44"/>
        <v>8.0184806466775169E-6</v>
      </c>
      <c r="BO71" s="37">
        <f ca="1">INT(BN71) + _xll.RiskBinomial(1,BN71-INT(BN71))</f>
        <v>0</v>
      </c>
      <c r="BP71" s="30">
        <f t="shared" ca="1" si="10"/>
        <v>0</v>
      </c>
      <c r="BQ71" s="35">
        <f ca="1">_xll.RiskBinomial(1,BP71)</f>
        <v>0</v>
      </c>
      <c r="BR71" s="88">
        <f ca="1">IF(BQ71=1,_xll.RiskBinomial(1,Prob_Illness_Given_Infection),0)</f>
        <v>0</v>
      </c>
      <c r="BT71" s="87">
        <f t="shared" ca="1" si="45"/>
        <v>2.4111486534202924E-5</v>
      </c>
      <c r="BU71" s="37">
        <f ca="1">INT(BT71) + _xll.RiskBinomial(1,BT71-INT(BT71))</f>
        <v>0</v>
      </c>
      <c r="BV71" s="30">
        <f t="shared" ca="1" si="11"/>
        <v>0</v>
      </c>
      <c r="BW71" s="35">
        <f ca="1">_xll.RiskBinomial(1,BV71)</f>
        <v>0</v>
      </c>
      <c r="BX71" s="88">
        <f ca="1">IF(BW71=1,_xll.RiskBinomial(1,Prob_Illness_Given_Infection),0)</f>
        <v>0</v>
      </c>
      <c r="BZ71" s="87">
        <f t="shared" ca="1" si="46"/>
        <v>6.6097712359933683E-5</v>
      </c>
      <c r="CA71" s="37">
        <f ca="1">INT(BZ71) + _xll.RiskBinomial(1,BZ71-INT(BZ71))</f>
        <v>0</v>
      </c>
      <c r="CB71" s="30">
        <f t="shared" ca="1" si="12"/>
        <v>0</v>
      </c>
      <c r="CC71" s="35">
        <f ca="1">_xll.RiskBinomial(1,CB71)</f>
        <v>0</v>
      </c>
      <c r="CD71" s="88">
        <f ca="1">IF(CC71=1,_xll.RiskBinomial(1,Prob_Illness_Given_Infection),0)</f>
        <v>0</v>
      </c>
      <c r="CF71" s="87">
        <f t="shared" ca="1" si="47"/>
        <v>1.2541379333002181E-5</v>
      </c>
      <c r="CG71" s="37">
        <f ca="1">INT(CF71) + _xll.RiskBinomial(1,CF71-INT(CF71))</f>
        <v>0</v>
      </c>
      <c r="CH71" s="30">
        <f t="shared" ca="1" si="13"/>
        <v>0</v>
      </c>
      <c r="CI71" s="35">
        <f ca="1">_xll.RiskBinomial(1,CH71)</f>
        <v>0</v>
      </c>
      <c r="CJ71" s="88">
        <f ca="1">IF(CI71=1,_xll.RiskBinomial(1,Prob_Illness_Given_Infection),0)</f>
        <v>0</v>
      </c>
      <c r="CL71" s="87">
        <f t="shared" ca="1" si="48"/>
        <v>2.4201351083008091E-5</v>
      </c>
      <c r="CM71" s="37">
        <f ca="1">INT(CL71) + _xll.RiskBinomial(1,CL71-INT(CL71))</f>
        <v>0</v>
      </c>
      <c r="CN71" s="30">
        <f t="shared" ca="1" si="14"/>
        <v>0</v>
      </c>
      <c r="CO71" s="35">
        <f ca="1">_xll.RiskBinomial(1,CN71)</f>
        <v>0</v>
      </c>
      <c r="CP71" s="88">
        <f ca="1">IF(CO71=1,_xll.RiskBinomial(1,Prob_Illness_Given_Infection),0)</f>
        <v>0</v>
      </c>
      <c r="CR71" s="87">
        <f t="shared" ca="1" si="49"/>
        <v>1.6678838666467331E-7</v>
      </c>
      <c r="CS71" s="37">
        <f ca="1">INT(CR71) + _xll.RiskBinomial(1,CR71-INT(CR71))</f>
        <v>0</v>
      </c>
      <c r="CT71" s="30">
        <f t="shared" ca="1" si="15"/>
        <v>0</v>
      </c>
      <c r="CU71" s="35">
        <f ca="1">_xll.RiskBinomial(1,CT71)</f>
        <v>0</v>
      </c>
      <c r="CV71" s="88">
        <f ca="1">IF(CU71=1,_xll.RiskBinomial(1,Prob_Illness_Given_Infection),0)</f>
        <v>0</v>
      </c>
      <c r="CX71" s="87">
        <f t="shared" ca="1" si="50"/>
        <v>1.6978868151663648E-9</v>
      </c>
      <c r="CY71" s="37">
        <f ca="1">INT(CX71) + _xll.RiskBinomial(1,CX71-INT(CX71))</f>
        <v>0</v>
      </c>
      <c r="CZ71" s="30">
        <f t="shared" ca="1" si="16"/>
        <v>0</v>
      </c>
      <c r="DA71" s="35">
        <f ca="1">_xll.RiskBinomial(1,CZ71)</f>
        <v>0</v>
      </c>
      <c r="DB71" s="88">
        <f ca="1">IF(DA71=1,_xll.RiskBinomial(1,Prob_Illness_Given_Infection),0)</f>
        <v>0</v>
      </c>
      <c r="DD71" s="87">
        <f t="shared" ca="1" si="51"/>
        <v>1.6978868151663648E-9</v>
      </c>
      <c r="DE71" s="37">
        <f ca="1">INT(DD71) + _xll.RiskBinomial(1,DD71-INT(DD71))</f>
        <v>0</v>
      </c>
      <c r="DF71" s="30">
        <f t="shared" ca="1" si="17"/>
        <v>0</v>
      </c>
      <c r="DG71" s="35">
        <f ca="1">_xll.RiskBinomial(1,DF71)</f>
        <v>0</v>
      </c>
      <c r="DH71" s="88">
        <f ca="1">IF(DG71=1,_xll.RiskBinomial(1,Prob_Illness_Given_Infection),0)</f>
        <v>0</v>
      </c>
      <c r="DJ71" s="87">
        <f t="shared" ca="1" si="52"/>
        <v>2.7724135824922365E-6</v>
      </c>
      <c r="DK71" s="37">
        <f ca="1">INT(DJ71) + _xll.RiskBinomial(1,DJ71-INT(DJ71))</f>
        <v>0</v>
      </c>
      <c r="DL71" s="30">
        <f t="shared" ca="1" si="18"/>
        <v>0</v>
      </c>
      <c r="DM71" s="35">
        <f ca="1">_xll.RiskBinomial(1,DL71)</f>
        <v>0</v>
      </c>
      <c r="DN71" s="88">
        <f ca="1">IF(DM71=1,_xll.RiskBinomial(1,Prob_Illness_Given_Infection),0)</f>
        <v>0</v>
      </c>
      <c r="DP71" s="87">
        <f t="shared" ca="1" si="53"/>
        <v>6.5538428240811622E-10</v>
      </c>
      <c r="DQ71" s="37">
        <f ca="1">INT(DP71) + _xll.RiskBinomial(1,DP71-INT(DP71))</f>
        <v>0</v>
      </c>
      <c r="DR71" s="30">
        <f t="shared" ca="1" si="19"/>
        <v>0</v>
      </c>
      <c r="DS71" s="35">
        <f ca="1">_xll.RiskBinomial(1,DR71)</f>
        <v>0</v>
      </c>
      <c r="DT71" s="88">
        <f ca="1">IF(DS71=1,_xll.RiskBinomial(1,Prob_Illness_Given_Infection),0)</f>
        <v>0</v>
      </c>
      <c r="DV71" s="87">
        <f t="shared" ca="1" si="54"/>
        <v>9.2265390355107421E-9</v>
      </c>
      <c r="DW71" s="37">
        <f ca="1">INT(DV71) + _xll.RiskBinomial(1,DV71-INT(DV71))</f>
        <v>0</v>
      </c>
      <c r="DX71" s="30">
        <f t="shared" ca="1" si="20"/>
        <v>0</v>
      </c>
      <c r="DY71" s="35">
        <f ca="1">_xll.RiskBinomial(1,DX71)</f>
        <v>0</v>
      </c>
      <c r="DZ71" s="88">
        <f ca="1">IF(DY71=1,_xll.RiskBinomial(1,Prob_Illness_Given_Infection),0)</f>
        <v>0</v>
      </c>
      <c r="EB71" s="87">
        <f t="shared" ca="1" si="55"/>
        <v>2.3152376939124927E-12</v>
      </c>
      <c r="EC71" s="37">
        <f ca="1">INT(EB71) + _xll.RiskBinomial(1,EB71-INT(EB71))</f>
        <v>0</v>
      </c>
      <c r="ED71" s="30">
        <f t="shared" ca="1" si="21"/>
        <v>0</v>
      </c>
      <c r="EE71" s="35">
        <f ca="1">_xll.RiskBinomial(1,ED71)</f>
        <v>0</v>
      </c>
      <c r="EF71" s="88">
        <f ca="1">IF(EE71=1,_xll.RiskBinomial(1,Prob_Illness_Given_Infection),0)</f>
        <v>0</v>
      </c>
      <c r="EH71" s="87">
        <f t="shared" ca="1" si="56"/>
        <v>2.315237693910113E-12</v>
      </c>
      <c r="EI71" s="37">
        <f ca="1">INT(EH71) + _xll.RiskBinomial(1,EH71-INT(EH71))</f>
        <v>0</v>
      </c>
      <c r="EJ71" s="30">
        <f t="shared" ca="1" si="22"/>
        <v>0</v>
      </c>
      <c r="EK71" s="35">
        <f ca="1">_xll.RiskBinomial(1,EJ71)</f>
        <v>0</v>
      </c>
      <c r="EL71" s="88">
        <f ca="1">IF(EK71=1,_xll.RiskBinomial(1,Prob_Illness_Given_Infection),0)</f>
        <v>0</v>
      </c>
      <c r="EN71" s="87">
        <f t="shared" ca="1" si="57"/>
        <v>2.1125146180134624E-10</v>
      </c>
      <c r="EO71" s="37">
        <f ca="1">INT(EN71) + _xll.RiskBinomial(1,EN71-INT(EN71))</f>
        <v>0</v>
      </c>
      <c r="EP71" s="30">
        <f t="shared" ca="1" si="23"/>
        <v>0</v>
      </c>
      <c r="EQ71" s="35">
        <f ca="1">_xll.RiskBinomial(1,EP71)</f>
        <v>0</v>
      </c>
      <c r="ER71" s="88">
        <f ca="1">IF(EQ71=1,_xll.RiskBinomial(1,Prob_Illness_Given_Infection),0)</f>
        <v>0</v>
      </c>
      <c r="ET71" s="87">
        <f t="shared" ca="1" si="58"/>
        <v>2.3152376939079049E-12</v>
      </c>
      <c r="EU71" s="37">
        <f ca="1">INT(ET71) + _xll.RiskBinomial(1,ET71-INT(ET71))</f>
        <v>0</v>
      </c>
      <c r="EV71" s="30">
        <f t="shared" ca="1" si="24"/>
        <v>0</v>
      </c>
      <c r="EW71" s="35">
        <f ca="1">_xll.RiskBinomial(1,EV71)</f>
        <v>0</v>
      </c>
      <c r="EX71" s="88">
        <f ca="1">IF(EW71=1,_xll.RiskBinomial(1,Prob_Illness_Given_Infection),0)</f>
        <v>0</v>
      </c>
      <c r="EZ71" s="87">
        <f t="shared" ca="1" si="59"/>
        <v>1.7461993727787667E-5</v>
      </c>
      <c r="FA71" s="37">
        <f ca="1">INT(EZ71) + _xll.RiskBinomial(1,EZ71-INT(EZ71))</f>
        <v>0</v>
      </c>
      <c r="FB71" s="30">
        <f t="shared" ca="1" si="25"/>
        <v>0</v>
      </c>
      <c r="FC71" s="35">
        <f ca="1">_xll.RiskBinomial(1,FB71)</f>
        <v>0</v>
      </c>
      <c r="FD71" s="88">
        <f ca="1">IF(FC71=1,_xll.RiskBinomial(1,Prob_Illness_Given_Infection),0)</f>
        <v>0</v>
      </c>
      <c r="FF71" s="87">
        <f t="shared" ca="1" si="60"/>
        <v>1.2163828540175959E-4</v>
      </c>
      <c r="FG71" s="37">
        <f ca="1">INT(FF71) + _xll.RiskBinomial(1,FF71-INT(FF71))</f>
        <v>0</v>
      </c>
      <c r="FH71" s="30">
        <f t="shared" ca="1" si="26"/>
        <v>0</v>
      </c>
      <c r="FI71" s="35">
        <f ca="1">_xll.RiskBinomial(1,FH71)</f>
        <v>0</v>
      </c>
      <c r="FJ71" s="88">
        <f ca="1">IF(FI71=1,_xll.RiskBinomial(1,Prob_Illness_Given_Infection),0)</f>
        <v>0</v>
      </c>
      <c r="FL71" s="87" t="e">
        <f t="shared" ca="1" si="61"/>
        <v>#NAME?</v>
      </c>
      <c r="FM71" s="37" t="e">
        <f ca="1">INT(FL71) + _xll.RiskBinomial(1,FL71-INT(FL71))</f>
        <v>#NAME?</v>
      </c>
      <c r="FN71" s="30" t="e">
        <f t="shared" ca="1" si="27"/>
        <v>#NAME?</v>
      </c>
      <c r="FO71" s="35" t="e">
        <f ca="1">_xll.RiskBinomial(1,FN71)</f>
        <v>#VALUE!</v>
      </c>
      <c r="FP71" s="88" t="e">
        <f ca="1">IF(FO71=1,_xll.RiskBinomial(1,Prob_Illness_Given_Infection),0)</f>
        <v>#VALUE!</v>
      </c>
      <c r="FR71" s="87" t="e">
        <f t="shared" ca="1" si="62"/>
        <v>#NAME?</v>
      </c>
      <c r="FS71" s="37" t="e">
        <f ca="1">INT(FR71) + _xll.RiskBinomial(1,FR71-INT(FR71))</f>
        <v>#NAME?</v>
      </c>
      <c r="FT71" s="30" t="e">
        <f t="shared" ca="1" si="28"/>
        <v>#NAME?</v>
      </c>
      <c r="FU71" s="35" t="e">
        <f ca="1">_xll.RiskBinomial(1,FT71)</f>
        <v>#VALUE!</v>
      </c>
      <c r="FV71" s="88" t="e">
        <f ca="1">IF(FU71=1,_xll.RiskBinomial(1,Prob_Illness_Given_Infection),0)</f>
        <v>#VALUE!</v>
      </c>
      <c r="FX71" s="87">
        <f t="shared" ca="1" si="63"/>
        <v>2.4443516826400416E-7</v>
      </c>
      <c r="FY71" s="37">
        <f ca="1">INT(FX71) + _xll.RiskBinomial(1,FX71-INT(FX71))</f>
        <v>0</v>
      </c>
      <c r="FZ71" s="30">
        <f t="shared" ca="1" si="29"/>
        <v>0</v>
      </c>
      <c r="GA71" s="35">
        <f ca="1">_xll.RiskBinomial(1,FZ71)</f>
        <v>0</v>
      </c>
      <c r="GB71" s="88">
        <f ca="1">IF(GA71=1,_xll.RiskBinomial(1,Prob_Illness_Given_Infection),0)</f>
        <v>0</v>
      </c>
      <c r="GD71" s="87" t="e">
        <f t="shared" ca="1" si="64"/>
        <v>#NAME?</v>
      </c>
      <c r="GE71" s="37" t="e">
        <f ca="1">INT(GD71) + _xll.RiskBinomial(1,GD71-INT(GD71))</f>
        <v>#NAME?</v>
      </c>
      <c r="GF71" s="30" t="e">
        <f t="shared" ca="1" si="30"/>
        <v>#NAME?</v>
      </c>
      <c r="GG71" s="35" t="e">
        <f ca="1">_xll.RiskBinomial(1,GF71)</f>
        <v>#VALUE!</v>
      </c>
      <c r="GH71" s="88" t="e">
        <f ca="1">IF(GG71=1,_xll.RiskBinomial(1,Prob_Illness_Given_Infection),0)</f>
        <v>#VALUE!</v>
      </c>
      <c r="GJ71" s="87" t="e">
        <f t="shared" ca="1" si="65"/>
        <v>#NAME?</v>
      </c>
      <c r="GK71" s="37" t="e">
        <f ca="1">INT(GJ71) + _xll.RiskBinomial(1,GJ71-INT(GJ71))</f>
        <v>#NAME?</v>
      </c>
      <c r="GL71" s="30" t="e">
        <f t="shared" ca="1" si="31"/>
        <v>#NAME?</v>
      </c>
      <c r="GM71" s="35" t="e">
        <f ca="1">_xll.RiskBinomial(1,GL71)</f>
        <v>#VALUE!</v>
      </c>
      <c r="GN71" s="88" t="e">
        <f ca="1">IF(GM71=1,_xll.RiskBinomial(1,Prob_Illness_Given_Infection),0)</f>
        <v>#VALUE!</v>
      </c>
      <c r="GP71" s="87" t="e">
        <f t="shared" ca="1" si="66"/>
        <v>#NAME?</v>
      </c>
      <c r="GQ71" s="37" t="e">
        <f ca="1">INT(GP71) + _xll.RiskBinomial(1,GP71-INT(GP71))</f>
        <v>#NAME?</v>
      </c>
      <c r="GR71" s="30" t="e">
        <f t="shared" ca="1" si="32"/>
        <v>#NAME?</v>
      </c>
      <c r="GS71" s="35" t="e">
        <f ca="1">_xll.RiskBinomial(1,GR71)</f>
        <v>#VALUE!</v>
      </c>
      <c r="GT71" s="88" t="e">
        <f ca="1">IF(GS71=1,_xll.RiskBinomial(1,Prob_Illness_Given_Infection),0)</f>
        <v>#VALUE!</v>
      </c>
    </row>
    <row r="72" spans="2:202">
      <c r="B72" s="108">
        <v>64</v>
      </c>
      <c r="C72" s="87">
        <f ca="1">_xll.RiskLoglogistic(LogLogistic_gamma, LogLogistic_beta, LogLogistic_alpha, _xll.RiskTruncate(5,800))</f>
        <v>56.653411012166536</v>
      </c>
      <c r="D72" s="38">
        <f t="shared" ca="1" si="67"/>
        <v>3.6395078837141392</v>
      </c>
      <c r="E72" s="30"/>
      <c r="F72" s="87">
        <f t="shared" ca="1" si="34"/>
        <v>1.3140049822802155E-9</v>
      </c>
      <c r="G72" s="37">
        <f ca="1">INT(F72) + _xll.RiskBinomial(1,F72-INT(F72))</f>
        <v>0</v>
      </c>
      <c r="H72" s="30">
        <f t="shared" ca="1" si="68"/>
        <v>0</v>
      </c>
      <c r="I72" s="35">
        <f ca="1">_xll.RiskBinomial(1,H72)</f>
        <v>0</v>
      </c>
      <c r="J72" s="88">
        <f ca="1">IF(I72=1,_xll.RiskBinomial(1,Prob_Illness_Given_Infection),0)</f>
        <v>0</v>
      </c>
      <c r="K72" s="30"/>
      <c r="L72" s="87">
        <f t="shared" ca="1" si="35"/>
        <v>6.7115950689861521E-5</v>
      </c>
      <c r="M72" s="37">
        <f ca="1">INT(L72) + _xll.RiskBinomial(1,L72-INT(L72))</f>
        <v>0</v>
      </c>
      <c r="N72" s="30">
        <f t="shared" ca="1" si="1"/>
        <v>0</v>
      </c>
      <c r="O72" s="35">
        <f ca="1">_xll.RiskBinomial(1,N72)</f>
        <v>0</v>
      </c>
      <c r="P72" s="88">
        <f ca="1">IF(O72=1,_xll.RiskBinomial(1,Prob_Illness_Given_Infection),0)</f>
        <v>0</v>
      </c>
      <c r="Q72" s="30"/>
      <c r="R72" s="87">
        <f t="shared" ca="1" si="36"/>
        <v>6.9381631748248453E-6</v>
      </c>
      <c r="S72" s="37">
        <f ca="1">INT(R72) + _xll.RiskBinomial(1,R72-INT(R72))</f>
        <v>0</v>
      </c>
      <c r="T72" s="30">
        <f t="shared" ca="1" si="2"/>
        <v>0</v>
      </c>
      <c r="U72" s="35">
        <f ca="1">_xll.RiskBinomial(1,T72)</f>
        <v>0</v>
      </c>
      <c r="V72" s="88">
        <f ca="1">IF(U72=1,_xll.RiskBinomial(1,Prob_Illness_Given_Infection),0)</f>
        <v>0</v>
      </c>
      <c r="W72" s="30"/>
      <c r="X72" s="87">
        <f t="shared" ca="1" si="37"/>
        <v>2.8503782000543003E-12</v>
      </c>
      <c r="Y72" s="37">
        <f ca="1">INT(X72) + _xll.RiskBinomial(1,X72-INT(X72))</f>
        <v>0</v>
      </c>
      <c r="Z72" s="30">
        <f t="shared" ca="1" si="3"/>
        <v>0</v>
      </c>
      <c r="AA72" s="35">
        <f ca="1">_xll.RiskBinomial(1,Z72)</f>
        <v>0</v>
      </c>
      <c r="AB72" s="88">
        <f ca="1">IF(AA72=1,_xll.RiskBinomial(1,Prob_Illness_Given_Infection),0)</f>
        <v>0</v>
      </c>
      <c r="AC72" s="30"/>
      <c r="AD72" s="87">
        <f t="shared" ca="1" si="38"/>
        <v>1.436071018887774E-12</v>
      </c>
      <c r="AE72" s="37">
        <f ca="1">INT(AD72) + _xll.RiskBinomial(1,AD72-INT(AD72))</f>
        <v>0</v>
      </c>
      <c r="AF72" s="30">
        <f t="shared" ca="1" si="4"/>
        <v>0</v>
      </c>
      <c r="AG72" s="35">
        <f ca="1">_xll.RiskBinomial(1,AF72)</f>
        <v>0</v>
      </c>
      <c r="AH72" s="88">
        <f ca="1">IF(AG72=1,_xll.RiskBinomial(1,Prob_Illness_Given_Infection),0)</f>
        <v>0</v>
      </c>
      <c r="AI72" s="30"/>
      <c r="AJ72" s="87">
        <f t="shared" ca="1" si="39"/>
        <v>6.6658715844471886E-5</v>
      </c>
      <c r="AK72" s="37">
        <f ca="1">INT(AJ72) + _xll.RiskBinomial(1,AJ72-INT(AJ72))</f>
        <v>0</v>
      </c>
      <c r="AL72" s="30">
        <f t="shared" ca="1" si="5"/>
        <v>0</v>
      </c>
      <c r="AM72" s="35">
        <f ca="1">_xll.RiskBinomial(1,AL72)</f>
        <v>0</v>
      </c>
      <c r="AN72" s="88">
        <f ca="1">IF(AM72=1,_xll.RiskBinomial(1,Prob_Illness_Given_Infection),0)</f>
        <v>0</v>
      </c>
      <c r="AO72" s="30"/>
      <c r="AP72" s="87">
        <f t="shared" ca="1" si="40"/>
        <v>1.6210755563936683E-9</v>
      </c>
      <c r="AQ72" s="37">
        <f ca="1">INT(AP72) + _xll.RiskBinomial(1,AP72-INT(AP72))</f>
        <v>0</v>
      </c>
      <c r="AR72" s="30">
        <f t="shared" ca="1" si="6"/>
        <v>0</v>
      </c>
      <c r="AS72" s="35">
        <f ca="1">_xll.RiskBinomial(1,AR72)</f>
        <v>0</v>
      </c>
      <c r="AT72" s="88">
        <f ca="1">IF(AS72=1,_xll.RiskBinomial(1,Prob_Illness_Given_Infection),0)</f>
        <v>0</v>
      </c>
      <c r="AU72" s="30"/>
      <c r="AV72" s="87">
        <f t="shared" ca="1" si="41"/>
        <v>3.7608108999034709E-5</v>
      </c>
      <c r="AW72" s="37">
        <f ca="1">INT(AV72) + _xll.RiskBinomial(1,AV72-INT(AV72))</f>
        <v>0</v>
      </c>
      <c r="AX72" s="30">
        <f t="shared" ca="1" si="7"/>
        <v>0</v>
      </c>
      <c r="AY72" s="35">
        <f ca="1">_xll.RiskBinomial(1,AX72)</f>
        <v>0</v>
      </c>
      <c r="AZ72" s="88">
        <f ca="1">IF(AY72=1,_xll.RiskBinomial(1,Prob_Illness_Given_Infection),0)</f>
        <v>0</v>
      </c>
      <c r="BB72" s="87">
        <f t="shared" ca="1" si="42"/>
        <v>5.1617501099213993E-5</v>
      </c>
      <c r="BC72" s="37">
        <f ca="1">INT(BB72) + _xll.RiskBinomial(1,BB72-INT(BB72))</f>
        <v>0</v>
      </c>
      <c r="BD72" s="30">
        <f t="shared" ca="1" si="8"/>
        <v>0</v>
      </c>
      <c r="BE72" s="35">
        <f ca="1">_xll.RiskBinomial(1,BD72)</f>
        <v>0</v>
      </c>
      <c r="BF72" s="88">
        <f ca="1">IF(BE72=1,_xll.RiskBinomial(1,Prob_Illness_Given_Infection),0)</f>
        <v>0</v>
      </c>
      <c r="BH72" s="87">
        <f t="shared" ca="1" si="43"/>
        <v>6.535144918680348E-5</v>
      </c>
      <c r="BI72" s="37">
        <f ca="1">INT(BH72) + _xll.RiskBinomial(1,BH72-INT(BH72))</f>
        <v>0</v>
      </c>
      <c r="BJ72" s="30">
        <f t="shared" ca="1" si="9"/>
        <v>0</v>
      </c>
      <c r="BK72" s="35">
        <f ca="1">_xll.RiskBinomial(1,BJ72)</f>
        <v>0</v>
      </c>
      <c r="BL72" s="88">
        <f ca="1">IF(BK72=1,_xll.RiskBinomial(1,Prob_Illness_Given_Infection),0)</f>
        <v>0</v>
      </c>
      <c r="BN72" s="87">
        <f t="shared" ca="1" si="44"/>
        <v>4.973617915119103E-6</v>
      </c>
      <c r="BO72" s="37">
        <f ca="1">INT(BN72) + _xll.RiskBinomial(1,BN72-INT(BN72))</f>
        <v>0</v>
      </c>
      <c r="BP72" s="30">
        <f t="shared" ca="1" si="10"/>
        <v>0</v>
      </c>
      <c r="BQ72" s="35">
        <f ca="1">_xll.RiskBinomial(1,BP72)</f>
        <v>0</v>
      </c>
      <c r="BR72" s="88">
        <f ca="1">IF(BQ72=1,_xll.RiskBinomial(1,Prob_Illness_Given_Infection),0)</f>
        <v>0</v>
      </c>
      <c r="BT72" s="87">
        <f t="shared" ca="1" si="45"/>
        <v>1.4955616490307854E-5</v>
      </c>
      <c r="BU72" s="37">
        <f ca="1">INT(BT72) + _xll.RiskBinomial(1,BT72-INT(BT72))</f>
        <v>0</v>
      </c>
      <c r="BV72" s="30">
        <f t="shared" ca="1" si="11"/>
        <v>0</v>
      </c>
      <c r="BW72" s="35">
        <f ca="1">_xll.RiskBinomial(1,BV72)</f>
        <v>0</v>
      </c>
      <c r="BX72" s="88">
        <f ca="1">IF(BW72=1,_xll.RiskBinomial(1,Prob_Illness_Given_Infection),0)</f>
        <v>0</v>
      </c>
      <c r="BZ72" s="87">
        <f t="shared" ca="1" si="46"/>
        <v>4.0998386206490619E-5</v>
      </c>
      <c r="CA72" s="37">
        <f ca="1">INT(BZ72) + _xll.RiskBinomial(1,BZ72-INT(BZ72))</f>
        <v>0</v>
      </c>
      <c r="CB72" s="30">
        <f t="shared" ca="1" si="12"/>
        <v>0</v>
      </c>
      <c r="CC72" s="35">
        <f ca="1">_xll.RiskBinomial(1,CB72)</f>
        <v>0</v>
      </c>
      <c r="CD72" s="88">
        <f ca="1">IF(CC72=1,_xll.RiskBinomial(1,Prob_Illness_Given_Infection),0)</f>
        <v>0</v>
      </c>
      <c r="CF72" s="87">
        <f t="shared" ca="1" si="47"/>
        <v>7.7790334203487566E-6</v>
      </c>
      <c r="CG72" s="37">
        <f ca="1">INT(CF72) + _xll.RiskBinomial(1,CF72-INT(CF72))</f>
        <v>0</v>
      </c>
      <c r="CH72" s="30">
        <f t="shared" ca="1" si="13"/>
        <v>0</v>
      </c>
      <c r="CI72" s="35">
        <f ca="1">_xll.RiskBinomial(1,CH72)</f>
        <v>0</v>
      </c>
      <c r="CJ72" s="88">
        <f ca="1">IF(CI72=1,_xll.RiskBinomial(1,Prob_Illness_Given_Infection),0)</f>
        <v>0</v>
      </c>
      <c r="CL72" s="87">
        <f t="shared" ca="1" si="48"/>
        <v>1.5011356717112128E-5</v>
      </c>
      <c r="CM72" s="37">
        <f ca="1">INT(CL72) + _xll.RiskBinomial(1,CL72-INT(CL72))</f>
        <v>0</v>
      </c>
      <c r="CN72" s="30">
        <f t="shared" ca="1" si="14"/>
        <v>0</v>
      </c>
      <c r="CO72" s="35">
        <f ca="1">_xll.RiskBinomial(1,CN72)</f>
        <v>0</v>
      </c>
      <c r="CP72" s="88">
        <f ca="1">IF(CO72=1,_xll.RiskBinomial(1,Prob_Illness_Given_Infection),0)</f>
        <v>0</v>
      </c>
      <c r="CR72" s="87">
        <f t="shared" ca="1" si="49"/>
        <v>1.0345372702158413E-7</v>
      </c>
      <c r="CS72" s="37">
        <f ca="1">INT(CR72) + _xll.RiskBinomial(1,CR72-INT(CR72))</f>
        <v>0</v>
      </c>
      <c r="CT72" s="30">
        <f t="shared" ca="1" si="15"/>
        <v>0</v>
      </c>
      <c r="CU72" s="35">
        <f ca="1">_xll.RiskBinomial(1,CT72)</f>
        <v>0</v>
      </c>
      <c r="CV72" s="88">
        <f ca="1">IF(CU72=1,_xll.RiskBinomial(1,Prob_Illness_Given_Infection),0)</f>
        <v>0</v>
      </c>
      <c r="CX72" s="87">
        <f t="shared" ca="1" si="50"/>
        <v>1.0531471801026311E-9</v>
      </c>
      <c r="CY72" s="37">
        <f ca="1">INT(CX72) + _xll.RiskBinomial(1,CX72-INT(CX72))</f>
        <v>0</v>
      </c>
      <c r="CZ72" s="30">
        <f t="shared" ca="1" si="16"/>
        <v>0</v>
      </c>
      <c r="DA72" s="35">
        <f ca="1">_xll.RiskBinomial(1,CZ72)</f>
        <v>0</v>
      </c>
      <c r="DB72" s="88">
        <f ca="1">IF(DA72=1,_xll.RiskBinomial(1,Prob_Illness_Given_Infection),0)</f>
        <v>0</v>
      </c>
      <c r="DD72" s="87">
        <f t="shared" ca="1" si="51"/>
        <v>1.0531471801026311E-9</v>
      </c>
      <c r="DE72" s="37">
        <f ca="1">INT(DD72) + _xll.RiskBinomial(1,DD72-INT(DD72))</f>
        <v>0</v>
      </c>
      <c r="DF72" s="30">
        <f t="shared" ca="1" si="17"/>
        <v>0</v>
      </c>
      <c r="DG72" s="35">
        <f ca="1">_xll.RiskBinomial(1,DF72)</f>
        <v>0</v>
      </c>
      <c r="DH72" s="88">
        <f ca="1">IF(DG72=1,_xll.RiskBinomial(1,Prob_Illness_Given_Infection),0)</f>
        <v>0</v>
      </c>
      <c r="DJ72" s="87">
        <f t="shared" ca="1" si="52"/>
        <v>1.7196432179101667E-6</v>
      </c>
      <c r="DK72" s="37">
        <f ca="1">INT(DJ72) + _xll.RiskBinomial(1,DJ72-INT(DJ72))</f>
        <v>0</v>
      </c>
      <c r="DL72" s="30">
        <f t="shared" ca="1" si="18"/>
        <v>0</v>
      </c>
      <c r="DM72" s="35">
        <f ca="1">_xll.RiskBinomial(1,DL72)</f>
        <v>0</v>
      </c>
      <c r="DN72" s="88">
        <f ca="1">IF(DM72=1,_xll.RiskBinomial(1,Prob_Illness_Given_Infection),0)</f>
        <v>0</v>
      </c>
      <c r="DP72" s="87">
        <f t="shared" ca="1" si="53"/>
        <v>4.0651479399942468E-10</v>
      </c>
      <c r="DQ72" s="37">
        <f ca="1">INT(DP72) + _xll.RiskBinomial(1,DP72-INT(DP72))</f>
        <v>0</v>
      </c>
      <c r="DR72" s="30">
        <f t="shared" ca="1" si="19"/>
        <v>0</v>
      </c>
      <c r="DS72" s="35">
        <f ca="1">_xll.RiskBinomial(1,DR72)</f>
        <v>0</v>
      </c>
      <c r="DT72" s="88">
        <f ca="1">IF(DS72=1,_xll.RiskBinomial(1,Prob_Illness_Given_Infection),0)</f>
        <v>0</v>
      </c>
      <c r="DV72" s="87">
        <f t="shared" ca="1" si="54"/>
        <v>5.7229395272751979E-9</v>
      </c>
      <c r="DW72" s="37">
        <f ca="1">INT(DV72) + _xll.RiskBinomial(1,DV72-INT(DV72))</f>
        <v>0</v>
      </c>
      <c r="DX72" s="30">
        <f t="shared" ca="1" si="20"/>
        <v>0</v>
      </c>
      <c r="DY72" s="35">
        <f ca="1">_xll.RiskBinomial(1,DX72)</f>
        <v>0</v>
      </c>
      <c r="DZ72" s="88">
        <f ca="1">IF(DY72=1,_xll.RiskBinomial(1,Prob_Illness_Given_Infection),0)</f>
        <v>0</v>
      </c>
      <c r="EB72" s="87">
        <f t="shared" ca="1" si="55"/>
        <v>1.4360710188872917E-12</v>
      </c>
      <c r="EC72" s="37">
        <f ca="1">INT(EB72) + _xll.RiskBinomial(1,EB72-INT(EB72))</f>
        <v>0</v>
      </c>
      <c r="ED72" s="30">
        <f t="shared" ca="1" si="21"/>
        <v>0</v>
      </c>
      <c r="EE72" s="35">
        <f ca="1">_xll.RiskBinomial(1,ED72)</f>
        <v>0</v>
      </c>
      <c r="EF72" s="88">
        <f ca="1">IF(EE72=1,_xll.RiskBinomial(1,Prob_Illness_Given_Infection),0)</f>
        <v>0</v>
      </c>
      <c r="EH72" s="87">
        <f t="shared" ca="1" si="56"/>
        <v>1.4360710188858155E-12</v>
      </c>
      <c r="EI72" s="37">
        <f ca="1">INT(EH72) + _xll.RiskBinomial(1,EH72-INT(EH72))</f>
        <v>0</v>
      </c>
      <c r="EJ72" s="30">
        <f t="shared" ca="1" si="22"/>
        <v>0</v>
      </c>
      <c r="EK72" s="35">
        <f ca="1">_xll.RiskBinomial(1,EJ72)</f>
        <v>0</v>
      </c>
      <c r="EL72" s="88">
        <f ca="1">IF(EK72=1,_xll.RiskBinomial(1,Prob_Illness_Given_Infection),0)</f>
        <v>0</v>
      </c>
      <c r="EN72" s="87">
        <f t="shared" ca="1" si="57"/>
        <v>1.3103281049205109E-10</v>
      </c>
      <c r="EO72" s="37">
        <f ca="1">INT(EN72) + _xll.RiskBinomial(1,EN72-INT(EN72))</f>
        <v>0</v>
      </c>
      <c r="EP72" s="30">
        <f t="shared" ca="1" si="23"/>
        <v>0</v>
      </c>
      <c r="EQ72" s="35">
        <f ca="1">_xll.RiskBinomial(1,EP72)</f>
        <v>0</v>
      </c>
      <c r="ER72" s="88">
        <f ca="1">IF(EQ72=1,_xll.RiskBinomial(1,Prob_Illness_Given_Infection),0)</f>
        <v>0</v>
      </c>
      <c r="ET72" s="87">
        <f t="shared" ca="1" si="58"/>
        <v>1.4360710188844461E-12</v>
      </c>
      <c r="EU72" s="37">
        <f ca="1">INT(ET72) + _xll.RiskBinomial(1,ET72-INT(ET72))</f>
        <v>0</v>
      </c>
      <c r="EV72" s="30">
        <f t="shared" ca="1" si="24"/>
        <v>0</v>
      </c>
      <c r="EW72" s="35">
        <f ca="1">_xll.RiskBinomial(1,EV72)</f>
        <v>0</v>
      </c>
      <c r="EX72" s="88">
        <f ca="1">IF(EW72=1,_xll.RiskBinomial(1,Prob_Illness_Given_Infection),0)</f>
        <v>0</v>
      </c>
      <c r="EZ72" s="87">
        <f t="shared" ca="1" si="59"/>
        <v>1.0831139796316454E-5</v>
      </c>
      <c r="FA72" s="37">
        <f ca="1">INT(EZ72) + _xll.RiskBinomial(1,EZ72-INT(EZ72))</f>
        <v>0</v>
      </c>
      <c r="FB72" s="30">
        <f t="shared" ca="1" si="25"/>
        <v>0</v>
      </c>
      <c r="FC72" s="35">
        <f ca="1">_xll.RiskBinomial(1,FB72)</f>
        <v>0</v>
      </c>
      <c r="FD72" s="88">
        <f ca="1">IF(FC72=1,_xll.RiskBinomial(1,Prob_Illness_Given_Infection),0)</f>
        <v>0</v>
      </c>
      <c r="FF72" s="87">
        <f t="shared" ca="1" si="60"/>
        <v>7.5448502290672515E-5</v>
      </c>
      <c r="FG72" s="37">
        <f ca="1">INT(FF72) + _xll.RiskBinomial(1,FF72-INT(FF72))</f>
        <v>0</v>
      </c>
      <c r="FH72" s="30">
        <f t="shared" ca="1" si="26"/>
        <v>0</v>
      </c>
      <c r="FI72" s="35">
        <f ca="1">_xll.RiskBinomial(1,FH72)</f>
        <v>0</v>
      </c>
      <c r="FJ72" s="88">
        <f ca="1">IF(FI72=1,_xll.RiskBinomial(1,Prob_Illness_Given_Infection),0)</f>
        <v>0</v>
      </c>
      <c r="FL72" s="87" t="e">
        <f t="shared" ca="1" si="61"/>
        <v>#NAME?</v>
      </c>
      <c r="FM72" s="37" t="e">
        <f ca="1">INT(FL72) + _xll.RiskBinomial(1,FL72-INT(FL72))</f>
        <v>#NAME?</v>
      </c>
      <c r="FN72" s="30" t="e">
        <f t="shared" ca="1" si="27"/>
        <v>#NAME?</v>
      </c>
      <c r="FO72" s="35" t="e">
        <f ca="1">_xll.RiskBinomial(1,FN72)</f>
        <v>#VALUE!</v>
      </c>
      <c r="FP72" s="88" t="e">
        <f ca="1">IF(FO72=1,_xll.RiskBinomial(1,Prob_Illness_Given_Infection),0)</f>
        <v>#VALUE!</v>
      </c>
      <c r="FR72" s="87" t="e">
        <f t="shared" ca="1" si="62"/>
        <v>#NAME?</v>
      </c>
      <c r="FS72" s="37" t="e">
        <f ca="1">INT(FR72) + _xll.RiskBinomial(1,FR72-INT(FR72))</f>
        <v>#NAME?</v>
      </c>
      <c r="FT72" s="30" t="e">
        <f t="shared" ca="1" si="28"/>
        <v>#NAME?</v>
      </c>
      <c r="FU72" s="35" t="e">
        <f ca="1">_xll.RiskBinomial(1,FT72)</f>
        <v>#VALUE!</v>
      </c>
      <c r="FV72" s="88" t="e">
        <f ca="1">IF(FU72=1,_xll.RiskBinomial(1,Prob_Illness_Given_Infection),0)</f>
        <v>#VALUE!</v>
      </c>
      <c r="FX72" s="87">
        <f t="shared" ca="1" si="63"/>
        <v>1.5161564709478271E-7</v>
      </c>
      <c r="FY72" s="37">
        <f ca="1">INT(FX72) + _xll.RiskBinomial(1,FX72-INT(FX72))</f>
        <v>0</v>
      </c>
      <c r="FZ72" s="30">
        <f t="shared" ca="1" si="29"/>
        <v>0</v>
      </c>
      <c r="GA72" s="35">
        <f ca="1">_xll.RiskBinomial(1,FZ72)</f>
        <v>0</v>
      </c>
      <c r="GB72" s="88">
        <f ca="1">IF(GA72=1,_xll.RiskBinomial(1,Prob_Illness_Given_Infection),0)</f>
        <v>0</v>
      </c>
      <c r="GD72" s="87" t="e">
        <f t="shared" ca="1" si="64"/>
        <v>#NAME?</v>
      </c>
      <c r="GE72" s="37" t="e">
        <f ca="1">INT(GD72) + _xll.RiskBinomial(1,GD72-INT(GD72))</f>
        <v>#NAME?</v>
      </c>
      <c r="GF72" s="30" t="e">
        <f t="shared" ca="1" si="30"/>
        <v>#NAME?</v>
      </c>
      <c r="GG72" s="35" t="e">
        <f ca="1">_xll.RiskBinomial(1,GF72)</f>
        <v>#VALUE!</v>
      </c>
      <c r="GH72" s="88" t="e">
        <f ca="1">IF(GG72=1,_xll.RiskBinomial(1,Prob_Illness_Given_Infection),0)</f>
        <v>#VALUE!</v>
      </c>
      <c r="GJ72" s="87" t="e">
        <f t="shared" ca="1" si="65"/>
        <v>#NAME?</v>
      </c>
      <c r="GK72" s="37" t="e">
        <f ca="1">INT(GJ72) + _xll.RiskBinomial(1,GJ72-INT(GJ72))</f>
        <v>#NAME?</v>
      </c>
      <c r="GL72" s="30" t="e">
        <f t="shared" ca="1" si="31"/>
        <v>#NAME?</v>
      </c>
      <c r="GM72" s="35" t="e">
        <f ca="1">_xll.RiskBinomial(1,GL72)</f>
        <v>#VALUE!</v>
      </c>
      <c r="GN72" s="88" t="e">
        <f ca="1">IF(GM72=1,_xll.RiskBinomial(1,Prob_Illness_Given_Infection),0)</f>
        <v>#VALUE!</v>
      </c>
      <c r="GP72" s="87" t="e">
        <f t="shared" ca="1" si="66"/>
        <v>#NAME?</v>
      </c>
      <c r="GQ72" s="37" t="e">
        <f ca="1">INT(GP72) + _xll.RiskBinomial(1,GP72-INT(GP72))</f>
        <v>#NAME?</v>
      </c>
      <c r="GR72" s="30" t="e">
        <f t="shared" ca="1" si="32"/>
        <v>#NAME?</v>
      </c>
      <c r="GS72" s="35" t="e">
        <f ca="1">_xll.RiskBinomial(1,GR72)</f>
        <v>#VALUE!</v>
      </c>
      <c r="GT72" s="88" t="e">
        <f ca="1">IF(GS72=1,_xll.RiskBinomial(1,Prob_Illness_Given_Infection),0)</f>
        <v>#VALUE!</v>
      </c>
    </row>
    <row r="73" spans="2:202">
      <c r="B73" s="108">
        <v>65</v>
      </c>
      <c r="C73" s="87">
        <f ca="1">_xll.RiskLoglogistic(LogLogistic_gamma, LogLogistic_beta, LogLogistic_alpha, _xll.RiskTruncate(5,800))</f>
        <v>52.169584136871862</v>
      </c>
      <c r="D73" s="38">
        <f t="shared" ref="D73:D104" ca="1" si="69" xml:space="preserve"> C73*BAF/V</f>
        <v>3.3514595037438712</v>
      </c>
      <c r="E73" s="30"/>
      <c r="F73" s="87">
        <f t="shared" ca="1" si="34"/>
        <v>1.2100082281826757E-9</v>
      </c>
      <c r="G73" s="37">
        <f ca="1">INT(F73) + _xll.RiskBinomial(1,F73-INT(F73))</f>
        <v>0</v>
      </c>
      <c r="H73" s="30">
        <f t="shared" ref="H73:H104" ca="1" si="70" xml:space="preserve"> MAX(1-EXP((GAMMALN(beta+G73)+GAMMALN(alpha+beta)-GAMMALN(alpha+beta+G73)-GAMMALN(beta))),0)</f>
        <v>0</v>
      </c>
      <c r="I73" s="35">
        <f ca="1">_xll.RiskBinomial(1,H73)</f>
        <v>0</v>
      </c>
      <c r="J73" s="88">
        <f ca="1">IF(I73=1,_xll.RiskBinomial(1,Prob_Illness_Given_Infection),0)</f>
        <v>0</v>
      </c>
      <c r="K73" s="30"/>
      <c r="L73" s="87">
        <f t="shared" ca="1" si="35"/>
        <v>6.1804067467163319E-5</v>
      </c>
      <c r="M73" s="37">
        <f ca="1">INT(L73) + _xll.RiskBinomial(1,L73-INT(L73))</f>
        <v>0</v>
      </c>
      <c r="N73" s="30">
        <f t="shared" ref="N73:N108" ca="1" si="71" xml:space="preserve"> MAX(1-EXP((GAMMALN(beta+M73)+GAMMALN(alpha+beta)-GAMMALN(alpha+beta+M73)-GAMMALN(beta))),0)</f>
        <v>0</v>
      </c>
      <c r="O73" s="35">
        <f ca="1">_xll.RiskBinomial(1,N73)</f>
        <v>0</v>
      </c>
      <c r="P73" s="88">
        <f ca="1">IF(O73=1,_xll.RiskBinomial(1,Prob_Illness_Given_Infection),0)</f>
        <v>0</v>
      </c>
      <c r="Q73" s="30"/>
      <c r="R73" s="87">
        <f t="shared" ca="1" si="36"/>
        <v>6.389043149169575E-6</v>
      </c>
      <c r="S73" s="37">
        <f ca="1">INT(R73) + _xll.RiskBinomial(1,R73-INT(R73))</f>
        <v>0</v>
      </c>
      <c r="T73" s="30">
        <f t="shared" ref="T73:T108" ca="1" si="72" xml:space="preserve"> MAX(1-EXP((GAMMALN(beta+S73)+GAMMALN(alpha+beta)-GAMMALN(alpha+beta+S73)-GAMMALN(beta))),0)</f>
        <v>0</v>
      </c>
      <c r="U73" s="35">
        <f ca="1">_xll.RiskBinomial(1,T73)</f>
        <v>0</v>
      </c>
      <c r="V73" s="88">
        <f ca="1">IF(U73=1,_xll.RiskBinomial(1,Prob_Illness_Given_Infection),0)</f>
        <v>0</v>
      </c>
      <c r="W73" s="30"/>
      <c r="X73" s="87">
        <f t="shared" ca="1" si="37"/>
        <v>2.6247853866681325E-12</v>
      </c>
      <c r="Y73" s="37">
        <f ca="1">INT(X73) + _xll.RiskBinomial(1,X73-INT(X73))</f>
        <v>0</v>
      </c>
      <c r="Z73" s="30">
        <f t="shared" ref="Z73:Z108" ca="1" si="73" xml:space="preserve"> MAX(1-EXP((GAMMALN(beta+Y73)+GAMMALN(alpha+beta)-GAMMALN(alpha+beta+Y73)-GAMMALN(beta))),0)</f>
        <v>0</v>
      </c>
      <c r="AA73" s="35">
        <f ca="1">_xll.RiskBinomial(1,Z73)</f>
        <v>0</v>
      </c>
      <c r="AB73" s="88">
        <f ca="1">IF(AA73=1,_xll.RiskBinomial(1,Prob_Illness_Given_Infection),0)</f>
        <v>0</v>
      </c>
      <c r="AC73" s="30"/>
      <c r="AD73" s="87">
        <f t="shared" ca="1" si="38"/>
        <v>1.322413364136183E-12</v>
      </c>
      <c r="AE73" s="37">
        <f ca="1">INT(AD73) + _xll.RiskBinomial(1,AD73-INT(AD73))</f>
        <v>0</v>
      </c>
      <c r="AF73" s="30">
        <f t="shared" ref="AF73:AF108" ca="1" si="74" xml:space="preserve"> MAX(1-EXP((GAMMALN(beta+AE73)+GAMMALN(alpha+beta)-GAMMALN(alpha+beta+AE73)-GAMMALN(beta))),0)</f>
        <v>0</v>
      </c>
      <c r="AG73" s="35">
        <f ca="1">_xll.RiskBinomial(1,AF73)</f>
        <v>0</v>
      </c>
      <c r="AH73" s="88">
        <f ca="1">IF(AG73=1,_xll.RiskBinomial(1,Prob_Illness_Given_Infection),0)</f>
        <v>0</v>
      </c>
      <c r="AI73" s="30"/>
      <c r="AJ73" s="87">
        <f t="shared" ca="1" si="39"/>
        <v>6.138302041437877E-5</v>
      </c>
      <c r="AK73" s="37">
        <f ca="1">INT(AJ73) + _xll.RiskBinomial(1,AJ73-INT(AJ73))</f>
        <v>0</v>
      </c>
      <c r="AL73" s="30">
        <f t="shared" ref="AL73:AL108" ca="1" si="75" xml:space="preserve"> MAX(1-EXP((GAMMALN(beta+AK73)+GAMMALN(alpha+beta)-GAMMALN(alpha+beta+AK73)-GAMMALN(beta))),0)</f>
        <v>0</v>
      </c>
      <c r="AM73" s="35">
        <f ca="1">_xll.RiskBinomial(1,AL73)</f>
        <v>0</v>
      </c>
      <c r="AN73" s="88">
        <f ca="1">IF(AM73=1,_xll.RiskBinomial(1,Prob_Illness_Given_Infection),0)</f>
        <v>0</v>
      </c>
      <c r="AO73" s="30"/>
      <c r="AP73" s="87">
        <f t="shared" ca="1" si="40"/>
        <v>1.4927757414879031E-9</v>
      </c>
      <c r="AQ73" s="37">
        <f ca="1">INT(AP73) + _xll.RiskBinomial(1,AP73-INT(AP73))</f>
        <v>0</v>
      </c>
      <c r="AR73" s="30">
        <f t="shared" ref="AR73:AR108" ca="1" si="76" xml:space="preserve"> MAX(1-EXP((GAMMALN(beta+AQ73)+GAMMALN(alpha+beta)-GAMMALN(alpha+beta+AQ73)-GAMMALN(beta))),0)</f>
        <v>0</v>
      </c>
      <c r="AS73" s="35">
        <f ca="1">_xll.RiskBinomial(1,AR73)</f>
        <v>0</v>
      </c>
      <c r="AT73" s="88">
        <f ca="1">IF(AS73=1,_xll.RiskBinomial(1,Prob_Illness_Given_Infection),0)</f>
        <v>0</v>
      </c>
      <c r="AU73" s="30"/>
      <c r="AV73" s="87">
        <f t="shared" ca="1" si="41"/>
        <v>3.4631620084313053E-5</v>
      </c>
      <c r="AW73" s="37">
        <f ca="1">INT(AV73) + _xll.RiskBinomial(1,AV73-INT(AV73))</f>
        <v>0</v>
      </c>
      <c r="AX73" s="30">
        <f t="shared" ref="AX73:AX108" ca="1" si="77" xml:space="preserve"> MAX(1-EXP((GAMMALN(beta+AW73)+GAMMALN(alpha+beta)-GAMMALN(alpha+beta+AW73)-GAMMALN(beta))),0)</f>
        <v>0</v>
      </c>
      <c r="AY73" s="35">
        <f ca="1">_xll.RiskBinomial(1,AX73)</f>
        <v>0</v>
      </c>
      <c r="AZ73" s="88">
        <f ca="1">IF(AY73=1,_xll.RiskBinomial(1,Prob_Illness_Given_Infection),0)</f>
        <v>0</v>
      </c>
      <c r="BB73" s="87">
        <f t="shared" ca="1" si="42"/>
        <v>4.7532240661594363E-5</v>
      </c>
      <c r="BC73" s="37">
        <f ca="1">INT(BB73) + _xll.RiskBinomial(1,BB73-INT(BB73))</f>
        <v>0</v>
      </c>
      <c r="BD73" s="30">
        <f t="shared" ref="BD73:BD108" ca="1" si="78" xml:space="preserve"> MAX(1-EXP((GAMMALN(beta+BC73)+GAMMALN(alpha+beta)-GAMMALN(alpha+beta+BC73)-GAMMALN(beta))),0)</f>
        <v>0</v>
      </c>
      <c r="BE73" s="35">
        <f ca="1">_xll.RiskBinomial(1,BD73)</f>
        <v>0</v>
      </c>
      <c r="BF73" s="88">
        <f ca="1">IF(BE73=1,_xll.RiskBinomial(1,Prob_Illness_Given_Infection),0)</f>
        <v>0</v>
      </c>
      <c r="BH73" s="87">
        <f t="shared" ca="1" si="43"/>
        <v>6.0179217206979427E-5</v>
      </c>
      <c r="BI73" s="37">
        <f ca="1">INT(BH73) + _xll.RiskBinomial(1,BH73-INT(BH73))</f>
        <v>0</v>
      </c>
      <c r="BJ73" s="30">
        <f t="shared" ref="BJ73:BJ108" ca="1" si="79" xml:space="preserve"> MAX(1-EXP((GAMMALN(beta+BI73)+GAMMALN(alpha+beta)-GAMMALN(alpha+beta+BI73)-GAMMALN(beta))),0)</f>
        <v>0</v>
      </c>
      <c r="BK73" s="35">
        <f ca="1">_xll.RiskBinomial(1,BJ73)</f>
        <v>0</v>
      </c>
      <c r="BL73" s="88">
        <f ca="1">IF(BK73=1,_xll.RiskBinomial(1,Prob_Illness_Given_Infection),0)</f>
        <v>0</v>
      </c>
      <c r="BN73" s="87">
        <f t="shared" ca="1" si="44"/>
        <v>4.5799815695428598E-6</v>
      </c>
      <c r="BO73" s="37">
        <f ca="1">INT(BN73) + _xll.RiskBinomial(1,BN73-INT(BN73))</f>
        <v>0</v>
      </c>
      <c r="BP73" s="30">
        <f t="shared" ref="BP73:BP108" ca="1" si="80" xml:space="preserve"> MAX(1-EXP((GAMMALN(beta+BO73)+GAMMALN(alpha+beta)-GAMMALN(alpha+beta+BO73)-GAMMALN(beta))),0)</f>
        <v>0</v>
      </c>
      <c r="BQ73" s="35">
        <f ca="1">_xll.RiskBinomial(1,BP73)</f>
        <v>0</v>
      </c>
      <c r="BR73" s="88">
        <f ca="1">IF(BQ73=1,_xll.RiskBinomial(1,Prob_Illness_Given_Infection),0)</f>
        <v>0</v>
      </c>
      <c r="BT73" s="87">
        <f t="shared" ca="1" si="45"/>
        <v>1.3771956160633414E-5</v>
      </c>
      <c r="BU73" s="37">
        <f ca="1">INT(BT73) + _xll.RiskBinomial(1,BT73-INT(BT73))</f>
        <v>0</v>
      </c>
      <c r="BV73" s="30">
        <f t="shared" ref="BV73:BV108" ca="1" si="81" xml:space="preserve"> MAX(1-EXP((GAMMALN(beta+BU73)+GAMMALN(alpha+beta)-GAMMALN(alpha+beta+BU73)-GAMMALN(beta))),0)</f>
        <v>0</v>
      </c>
      <c r="BW73" s="35">
        <f ca="1">_xll.RiskBinomial(1,BV73)</f>
        <v>0</v>
      </c>
      <c r="BX73" s="88">
        <f ca="1">IF(BW73=1,_xll.RiskBinomial(1,Prob_Illness_Given_Infection),0)</f>
        <v>0</v>
      </c>
      <c r="BZ73" s="87">
        <f t="shared" ca="1" si="46"/>
        <v>3.7753574241384135E-5</v>
      </c>
      <c r="CA73" s="37">
        <f ca="1">INT(BZ73) + _xll.RiskBinomial(1,BZ73-INT(BZ73))</f>
        <v>0</v>
      </c>
      <c r="CB73" s="30">
        <f t="shared" ref="CB73:CB108" ca="1" si="82" xml:space="preserve"> MAX(1-EXP((GAMMALN(beta+CA73)+GAMMALN(alpha+beta)-GAMMALN(alpha+beta+CA73)-GAMMALN(beta))),0)</f>
        <v>0</v>
      </c>
      <c r="CC73" s="35">
        <f ca="1">_xll.RiskBinomial(1,CB73)</f>
        <v>0</v>
      </c>
      <c r="CD73" s="88">
        <f ca="1">IF(CC73=1,_xll.RiskBinomial(1,Prob_Illness_Given_Infection),0)</f>
        <v>0</v>
      </c>
      <c r="CF73" s="87">
        <f t="shared" ca="1" si="47"/>
        <v>7.1633628280434733E-6</v>
      </c>
      <c r="CG73" s="37">
        <f ca="1">INT(CF73) + _xll.RiskBinomial(1,CF73-INT(CF73))</f>
        <v>0</v>
      </c>
      <c r="CH73" s="30">
        <f t="shared" ref="CH73:CH108" ca="1" si="83" xml:space="preserve"> MAX(1-EXP((GAMMALN(beta+CG73)+GAMMALN(alpha+beta)-GAMMALN(alpha+beta+CG73)-GAMMALN(beta))),0)</f>
        <v>0</v>
      </c>
      <c r="CI73" s="35">
        <f ca="1">_xll.RiskBinomial(1,CH73)</f>
        <v>0</v>
      </c>
      <c r="CJ73" s="88">
        <f ca="1">IF(CI73=1,_xll.RiskBinomial(1,Prob_Illness_Given_Infection),0)</f>
        <v>0</v>
      </c>
      <c r="CL73" s="87">
        <f t="shared" ca="1" si="48"/>
        <v>1.3823284834408228E-5</v>
      </c>
      <c r="CM73" s="37">
        <f ca="1">INT(CL73) + _xll.RiskBinomial(1,CL73-INT(CL73))</f>
        <v>0</v>
      </c>
      <c r="CN73" s="30">
        <f t="shared" ref="CN73:CN108" ca="1" si="84" xml:space="preserve"> MAX(1-EXP((GAMMALN(beta+CM73)+GAMMALN(alpha+beta)-GAMMALN(alpha+beta+CM73)-GAMMALN(beta))),0)</f>
        <v>0</v>
      </c>
      <c r="CO73" s="35">
        <f ca="1">_xll.RiskBinomial(1,CN73)</f>
        <v>0</v>
      </c>
      <c r="CP73" s="88">
        <f ca="1">IF(CO73=1,_xll.RiskBinomial(1,Prob_Illness_Given_Infection),0)</f>
        <v>0</v>
      </c>
      <c r="CR73" s="87">
        <f t="shared" ca="1" si="49"/>
        <v>9.5265895198551263E-8</v>
      </c>
      <c r="CS73" s="37">
        <f ca="1">INT(CR73) + _xll.RiskBinomial(1,CR73-INT(CR73))</f>
        <v>0</v>
      </c>
      <c r="CT73" s="30">
        <f t="shared" ref="CT73:CT108" ca="1" si="85" xml:space="preserve"> MAX(1-EXP((GAMMALN(beta+CS73)+GAMMALN(alpha+beta)-GAMMALN(alpha+beta+CS73)-GAMMALN(beta))),0)</f>
        <v>0</v>
      </c>
      <c r="CU73" s="35">
        <f ca="1">_xll.RiskBinomial(1,CT73)</f>
        <v>0</v>
      </c>
      <c r="CV73" s="88">
        <f ca="1">IF(CU73=1,_xll.RiskBinomial(1,Prob_Illness_Given_Infection),0)</f>
        <v>0</v>
      </c>
      <c r="CX73" s="87">
        <f t="shared" ca="1" si="50"/>
        <v>9.6979598296516516E-10</v>
      </c>
      <c r="CY73" s="37">
        <f ca="1">INT(CX73) + _xll.RiskBinomial(1,CX73-INT(CX73))</f>
        <v>0</v>
      </c>
      <c r="CZ73" s="30">
        <f t="shared" ref="CZ73:CZ108" ca="1" si="86" xml:space="preserve"> MAX(1-EXP((GAMMALN(beta+CY73)+GAMMALN(alpha+beta)-GAMMALN(alpha+beta+CY73)-GAMMALN(beta))),0)</f>
        <v>0</v>
      </c>
      <c r="DA73" s="35">
        <f ca="1">_xll.RiskBinomial(1,CZ73)</f>
        <v>0</v>
      </c>
      <c r="DB73" s="88">
        <f ca="1">IF(DA73=1,_xll.RiskBinomial(1,Prob_Illness_Given_Infection),0)</f>
        <v>0</v>
      </c>
      <c r="DD73" s="87">
        <f t="shared" ca="1" si="51"/>
        <v>9.6979598296516516E-10</v>
      </c>
      <c r="DE73" s="37">
        <f ca="1">INT(DD73) + _xll.RiskBinomial(1,DD73-INT(DD73))</f>
        <v>0</v>
      </c>
      <c r="DF73" s="30">
        <f t="shared" ref="DF73:DF108" ca="1" si="87" xml:space="preserve"> MAX(1-EXP((GAMMALN(beta+DE73)+GAMMALN(alpha+beta)-GAMMALN(alpha+beta+DE73)-GAMMALN(beta))),0)</f>
        <v>0</v>
      </c>
      <c r="DG73" s="35">
        <f ca="1">_xll.RiskBinomial(1,DF73)</f>
        <v>0</v>
      </c>
      <c r="DH73" s="88">
        <f ca="1">IF(DG73=1,_xll.RiskBinomial(1,Prob_Illness_Given_Infection),0)</f>
        <v>0</v>
      </c>
      <c r="DJ73" s="87">
        <f t="shared" ca="1" si="52"/>
        <v>1.5835422782027949E-6</v>
      </c>
      <c r="DK73" s="37">
        <f ca="1">INT(DJ73) + _xll.RiskBinomial(1,DJ73-INT(DJ73))</f>
        <v>0</v>
      </c>
      <c r="DL73" s="30">
        <f t="shared" ref="DL73:DL108" ca="1" si="88" xml:space="preserve"> MAX(1-EXP((GAMMALN(beta+DK73)+GAMMALN(alpha+beta)-GAMMALN(alpha+beta+DK73)-GAMMALN(beta))),0)</f>
        <v>0</v>
      </c>
      <c r="DM73" s="35">
        <f ca="1">_xll.RiskBinomial(1,DL73)</f>
        <v>0</v>
      </c>
      <c r="DN73" s="88">
        <f ca="1">IF(DM73=1,_xll.RiskBinomial(1,Prob_Illness_Given_Infection),0)</f>
        <v>0</v>
      </c>
      <c r="DP73" s="87">
        <f t="shared" ca="1" si="53"/>
        <v>3.7434123329099604E-10</v>
      </c>
      <c r="DQ73" s="37">
        <f ca="1">INT(DP73) + _xll.RiskBinomial(1,DP73-INT(DP73))</f>
        <v>0</v>
      </c>
      <c r="DR73" s="30">
        <f t="shared" ref="DR73:DR108" ca="1" si="89" xml:space="preserve"> MAX(1-EXP((GAMMALN(beta+DQ73)+GAMMALN(alpha+beta)-GAMMALN(alpha+beta+DQ73)-GAMMALN(beta))),0)</f>
        <v>0</v>
      </c>
      <c r="DS73" s="35">
        <f ca="1">_xll.RiskBinomial(1,DR73)</f>
        <v>0</v>
      </c>
      <c r="DT73" s="88">
        <f ca="1">IF(DS73=1,_xll.RiskBinomial(1,Prob_Illness_Given_Infection),0)</f>
        <v>0</v>
      </c>
      <c r="DV73" s="87">
        <f t="shared" ca="1" si="54"/>
        <v>5.2699982197770137E-9</v>
      </c>
      <c r="DW73" s="37">
        <f ca="1">INT(DV73) + _xll.RiskBinomial(1,DV73-INT(DV73))</f>
        <v>0</v>
      </c>
      <c r="DX73" s="30">
        <f t="shared" ref="DX73:DX108" ca="1" si="90" xml:space="preserve"> MAX(1-EXP((GAMMALN(beta+DW73)+GAMMALN(alpha+beta)-GAMMALN(alpha+beta+DW73)-GAMMALN(beta))),0)</f>
        <v>0</v>
      </c>
      <c r="DY73" s="35">
        <f ca="1">_xll.RiskBinomial(1,DX73)</f>
        <v>0</v>
      </c>
      <c r="DZ73" s="88">
        <f ca="1">IF(DY73=1,_xll.RiskBinomial(1,Prob_Illness_Given_Infection),0)</f>
        <v>0</v>
      </c>
      <c r="EB73" s="87">
        <f t="shared" ca="1" si="55"/>
        <v>1.3224133641357389E-12</v>
      </c>
      <c r="EC73" s="37">
        <f ca="1">INT(EB73) + _xll.RiskBinomial(1,EB73-INT(EB73))</f>
        <v>0</v>
      </c>
      <c r="ED73" s="30">
        <f t="shared" ref="ED73:ED108" ca="1" si="91" xml:space="preserve"> MAX(1-EXP((GAMMALN(beta+EC73)+GAMMALN(alpha+beta)-GAMMALN(alpha+beta+EC73)-GAMMALN(beta))),0)</f>
        <v>0</v>
      </c>
      <c r="EE73" s="35">
        <f ca="1">_xll.RiskBinomial(1,ED73)</f>
        <v>0</v>
      </c>
      <c r="EF73" s="88">
        <f ca="1">IF(EE73=1,_xll.RiskBinomial(1,Prob_Illness_Given_Infection),0)</f>
        <v>0</v>
      </c>
      <c r="EH73" s="87">
        <f t="shared" ca="1" si="56"/>
        <v>1.3224133641343794E-12</v>
      </c>
      <c r="EI73" s="37">
        <f ca="1">INT(EH73) + _xll.RiskBinomial(1,EH73-INT(EH73))</f>
        <v>0</v>
      </c>
      <c r="EJ73" s="30">
        <f t="shared" ref="EJ73:EJ108" ca="1" si="92" xml:space="preserve"> MAX(1-EXP((GAMMALN(beta+EI73)+GAMMALN(alpha+beta)-GAMMALN(alpha+beta+EI73)-GAMMALN(beta))),0)</f>
        <v>0</v>
      </c>
      <c r="EK73" s="35">
        <f ca="1">_xll.RiskBinomial(1,EJ73)</f>
        <v>0</v>
      </c>
      <c r="EL73" s="88">
        <f ca="1">IF(EK73=1,_xll.RiskBinomial(1,Prob_Illness_Given_Infection),0)</f>
        <v>0</v>
      </c>
      <c r="EN73" s="87">
        <f t="shared" ca="1" si="57"/>
        <v>1.2066223568052775E-10</v>
      </c>
      <c r="EO73" s="37">
        <f ca="1">INT(EN73) + _xll.RiskBinomial(1,EN73-INT(EN73))</f>
        <v>0</v>
      </c>
      <c r="EP73" s="30">
        <f t="shared" ref="EP73:EP108" ca="1" si="93" xml:space="preserve"> MAX(1-EXP((GAMMALN(beta+EO73)+GAMMALN(alpha+beta)-GAMMALN(alpha+beta+EO73)-GAMMALN(beta))),0)</f>
        <v>0</v>
      </c>
      <c r="EQ73" s="35">
        <f ca="1">_xll.RiskBinomial(1,EP73)</f>
        <v>0</v>
      </c>
      <c r="ER73" s="88">
        <f ca="1">IF(EQ73=1,_xll.RiskBinomial(1,Prob_Illness_Given_Infection),0)</f>
        <v>0</v>
      </c>
      <c r="ET73" s="87">
        <f t="shared" ca="1" si="58"/>
        <v>1.3224133641331184E-12</v>
      </c>
      <c r="EU73" s="37">
        <f ca="1">INT(ET73) + _xll.RiskBinomial(1,ET73-INT(ET73))</f>
        <v>0</v>
      </c>
      <c r="EV73" s="30">
        <f t="shared" ref="EV73:EV108" ca="1" si="94" xml:space="preserve"> MAX(1-EXP((GAMMALN(beta+EU73)+GAMMALN(alpha+beta)-GAMMALN(alpha+beta+EU73)-GAMMALN(beta))),0)</f>
        <v>0</v>
      </c>
      <c r="EW73" s="35">
        <f ca="1">_xll.RiskBinomial(1,EV73)</f>
        <v>0</v>
      </c>
      <c r="EX73" s="88">
        <f ca="1">IF(EW73=1,_xll.RiskBinomial(1,Prob_Illness_Given_Infection),0)</f>
        <v>0</v>
      </c>
      <c r="EZ73" s="87">
        <f t="shared" ca="1" si="59"/>
        <v>9.9739106402755593E-6</v>
      </c>
      <c r="FA73" s="37">
        <f ca="1">INT(EZ73) + _xll.RiskBinomial(1,EZ73-INT(EZ73))</f>
        <v>0</v>
      </c>
      <c r="FB73" s="30">
        <f t="shared" ref="FB73:FB108" ca="1" si="95" xml:space="preserve"> MAX(1-EXP((GAMMALN(beta+FA73)+GAMMALN(alpha+beta)-GAMMALN(alpha+beta+FA73)-GAMMALN(beta))),0)</f>
        <v>0</v>
      </c>
      <c r="FC73" s="35">
        <f ca="1">_xll.RiskBinomial(1,FB73)</f>
        <v>0</v>
      </c>
      <c r="FD73" s="88">
        <f ca="1">IF(FC73=1,_xll.RiskBinomial(1,Prob_Illness_Given_Infection),0)</f>
        <v>0</v>
      </c>
      <c r="FF73" s="87">
        <f t="shared" ca="1" si="60"/>
        <v>6.9477140350982801E-5</v>
      </c>
      <c r="FG73" s="37">
        <f ca="1">INT(FF73) + _xll.RiskBinomial(1,FF73-INT(FF73))</f>
        <v>0</v>
      </c>
      <c r="FH73" s="30">
        <f t="shared" ref="FH73:FH108" ca="1" si="96" xml:space="preserve"> MAX(1-EXP((GAMMALN(beta+FG73)+GAMMALN(alpha+beta)-GAMMALN(alpha+beta+FG73)-GAMMALN(beta))),0)</f>
        <v>0</v>
      </c>
      <c r="FI73" s="35">
        <f ca="1">_xll.RiskBinomial(1,FH73)</f>
        <v>0</v>
      </c>
      <c r="FJ73" s="88">
        <f ca="1">IF(FI73=1,_xll.RiskBinomial(1,Prob_Illness_Given_Infection),0)</f>
        <v>0</v>
      </c>
      <c r="FL73" s="87" t="e">
        <f t="shared" ca="1" si="61"/>
        <v>#NAME?</v>
      </c>
      <c r="FM73" s="37" t="e">
        <f ca="1">INT(FL73) + _xll.RiskBinomial(1,FL73-INT(FL73))</f>
        <v>#NAME?</v>
      </c>
      <c r="FN73" s="30" t="e">
        <f t="shared" ref="FN73:FN108" ca="1" si="97" xml:space="preserve"> MAX(1-EXP((GAMMALN(beta+FM73)+GAMMALN(alpha+beta)-GAMMALN(alpha+beta+FM73)-GAMMALN(beta))),0)</f>
        <v>#NAME?</v>
      </c>
      <c r="FO73" s="35" t="e">
        <f ca="1">_xll.RiskBinomial(1,FN73)</f>
        <v>#VALUE!</v>
      </c>
      <c r="FP73" s="88" t="e">
        <f ca="1">IF(FO73=1,_xll.RiskBinomial(1,Prob_Illness_Given_Infection),0)</f>
        <v>#VALUE!</v>
      </c>
      <c r="FR73" s="87" t="e">
        <f t="shared" ca="1" si="62"/>
        <v>#NAME?</v>
      </c>
      <c r="FS73" s="37" t="e">
        <f ca="1">INT(FR73) + _xll.RiskBinomial(1,FR73-INT(FR73))</f>
        <v>#NAME?</v>
      </c>
      <c r="FT73" s="30" t="e">
        <f t="shared" ref="FT73:FT108" ca="1" si="98" xml:space="preserve"> MAX(1-EXP((GAMMALN(beta+FS73)+GAMMALN(alpha+beta)-GAMMALN(alpha+beta+FS73)-GAMMALN(beta))),0)</f>
        <v>#NAME?</v>
      </c>
      <c r="FU73" s="35" t="e">
        <f ca="1">_xll.RiskBinomial(1,FT73)</f>
        <v>#VALUE!</v>
      </c>
      <c r="FV73" s="88" t="e">
        <f ca="1">IF(FU73=1,_xll.RiskBinomial(1,Prob_Illness_Given_Infection),0)</f>
        <v>#VALUE!</v>
      </c>
      <c r="FX73" s="87">
        <f t="shared" ca="1" si="63"/>
        <v>1.3961604634677503E-7</v>
      </c>
      <c r="FY73" s="37">
        <f ca="1">INT(FX73) + _xll.RiskBinomial(1,FX73-INT(FX73))</f>
        <v>0</v>
      </c>
      <c r="FZ73" s="30">
        <f t="shared" ref="FZ73:FZ108" ca="1" si="99" xml:space="preserve"> MAX(1-EXP((GAMMALN(beta+FY73)+GAMMALN(alpha+beta)-GAMMALN(alpha+beta+FY73)-GAMMALN(beta))),0)</f>
        <v>0</v>
      </c>
      <c r="GA73" s="35">
        <f ca="1">_xll.RiskBinomial(1,FZ73)</f>
        <v>0</v>
      </c>
      <c r="GB73" s="88">
        <f ca="1">IF(GA73=1,_xll.RiskBinomial(1,Prob_Illness_Given_Infection),0)</f>
        <v>0</v>
      </c>
      <c r="GD73" s="87" t="e">
        <f t="shared" ca="1" si="64"/>
        <v>#NAME?</v>
      </c>
      <c r="GE73" s="37" t="e">
        <f ca="1">INT(GD73) + _xll.RiskBinomial(1,GD73-INT(GD73))</f>
        <v>#NAME?</v>
      </c>
      <c r="GF73" s="30" t="e">
        <f t="shared" ref="GF73:GF108" ca="1" si="100" xml:space="preserve"> MAX(1-EXP((GAMMALN(beta+GE73)+GAMMALN(alpha+beta)-GAMMALN(alpha+beta+GE73)-GAMMALN(beta))),0)</f>
        <v>#NAME?</v>
      </c>
      <c r="GG73" s="35" t="e">
        <f ca="1">_xll.RiskBinomial(1,GF73)</f>
        <v>#VALUE!</v>
      </c>
      <c r="GH73" s="88" t="e">
        <f ca="1">IF(GG73=1,_xll.RiskBinomial(1,Prob_Illness_Given_Infection),0)</f>
        <v>#VALUE!</v>
      </c>
      <c r="GJ73" s="87" t="e">
        <f t="shared" ca="1" si="65"/>
        <v>#NAME?</v>
      </c>
      <c r="GK73" s="37" t="e">
        <f ca="1">INT(GJ73) + _xll.RiskBinomial(1,GJ73-INT(GJ73))</f>
        <v>#NAME?</v>
      </c>
      <c r="GL73" s="30" t="e">
        <f t="shared" ref="GL73:GL108" ca="1" si="101" xml:space="preserve"> MAX(1-EXP((GAMMALN(beta+GK73)+GAMMALN(alpha+beta)-GAMMALN(alpha+beta+GK73)-GAMMALN(beta))),0)</f>
        <v>#NAME?</v>
      </c>
      <c r="GM73" s="35" t="e">
        <f ca="1">_xll.RiskBinomial(1,GL73)</f>
        <v>#VALUE!</v>
      </c>
      <c r="GN73" s="88" t="e">
        <f ca="1">IF(GM73=1,_xll.RiskBinomial(1,Prob_Illness_Given_Infection),0)</f>
        <v>#VALUE!</v>
      </c>
      <c r="GP73" s="87" t="e">
        <f t="shared" ca="1" si="66"/>
        <v>#NAME?</v>
      </c>
      <c r="GQ73" s="37" t="e">
        <f ca="1">INT(GP73) + _xll.RiskBinomial(1,GP73-INT(GP73))</f>
        <v>#NAME?</v>
      </c>
      <c r="GR73" s="30" t="e">
        <f t="shared" ref="GR73:GR108" ca="1" si="102" xml:space="preserve"> MAX(1-EXP((GAMMALN(beta+GQ73)+GAMMALN(alpha+beta)-GAMMALN(alpha+beta+GQ73)-GAMMALN(beta))),0)</f>
        <v>#NAME?</v>
      </c>
      <c r="GS73" s="35" t="e">
        <f ca="1">_xll.RiskBinomial(1,GR73)</f>
        <v>#VALUE!</v>
      </c>
      <c r="GT73" s="88" t="e">
        <f ca="1">IF(GS73=1,_xll.RiskBinomial(1,Prob_Illness_Given_Infection),0)</f>
        <v>#VALUE!</v>
      </c>
    </row>
    <row r="74" spans="2:202">
      <c r="B74" s="108">
        <v>66</v>
      </c>
      <c r="C74" s="87">
        <f ca="1">_xll.RiskLoglogistic(LogLogistic_gamma, LogLogistic_beta, LogLogistic_alpha, _xll.RiskTruncate(5,800))</f>
        <v>179.04611685176752</v>
      </c>
      <c r="D74" s="38">
        <f t="shared" ca="1" si="69"/>
        <v>11.502215704019459</v>
      </c>
      <c r="E74" s="30"/>
      <c r="F74" s="87">
        <f t="shared" ref="F74:F108" ca="1" si="103">$D74*I$3</f>
        <v>4.1527506534535683E-9</v>
      </c>
      <c r="G74" s="37">
        <f ca="1">INT(F74) + _xll.RiskBinomial(1,F74-INT(F74))</f>
        <v>0</v>
      </c>
      <c r="H74" s="30">
        <f t="shared" ca="1" si="70"/>
        <v>0</v>
      </c>
      <c r="I74" s="35">
        <f ca="1">_xll.RiskBinomial(1,H74)</f>
        <v>0</v>
      </c>
      <c r="J74" s="88">
        <f ca="1">IF(I74=1,_xll.RiskBinomial(1,Prob_Illness_Given_Infection),0)</f>
        <v>0</v>
      </c>
      <c r="K74" s="30"/>
      <c r="L74" s="87">
        <f t="shared" ref="L74:L108" ca="1" si="104">$D74*O$3</f>
        <v>2.12111682865022E-4</v>
      </c>
      <c r="M74" s="37">
        <f ca="1">INT(L74) + _xll.RiskBinomial(1,L74-INT(L74))</f>
        <v>0</v>
      </c>
      <c r="N74" s="30">
        <f t="shared" ca="1" si="71"/>
        <v>0</v>
      </c>
      <c r="O74" s="35">
        <f ca="1">_xll.RiskBinomial(1,N74)</f>
        <v>0</v>
      </c>
      <c r="P74" s="88">
        <f ca="1">IF(O74=1,_xll.RiskBinomial(1,Prob_Illness_Given_Infection),0)</f>
        <v>0</v>
      </c>
      <c r="Q74" s="30"/>
      <c r="R74" s="87">
        <f t="shared" ref="R74:R108" ca="1" si="105">$D74*U$3</f>
        <v>2.1927208836014154E-5</v>
      </c>
      <c r="S74" s="37">
        <f ca="1">INT(R74) + _xll.RiskBinomial(1,R74-INT(R74))</f>
        <v>0</v>
      </c>
      <c r="T74" s="30">
        <f t="shared" ca="1" si="72"/>
        <v>0</v>
      </c>
      <c r="U74" s="35">
        <f ca="1">_xll.RiskBinomial(1,T74)</f>
        <v>0</v>
      </c>
      <c r="V74" s="88">
        <f ca="1">IF(U74=1,_xll.RiskBinomial(1,Prob_Illness_Given_Infection),0)</f>
        <v>0</v>
      </c>
      <c r="W74" s="30"/>
      <c r="X74" s="87">
        <f t="shared" ref="X74:X108" ca="1" si="106">$D74*AA$3</f>
        <v>9.0082686842819322E-12</v>
      </c>
      <c r="Y74" s="37">
        <f ca="1">INT(X74) + _xll.RiskBinomial(1,X74-INT(X74))</f>
        <v>0</v>
      </c>
      <c r="Z74" s="30">
        <f t="shared" ca="1" si="73"/>
        <v>0</v>
      </c>
      <c r="AA74" s="35">
        <f ca="1">_xll.RiskBinomial(1,Z74)</f>
        <v>0</v>
      </c>
      <c r="AB74" s="88">
        <f ca="1">IF(AA74=1,_xll.RiskBinomial(1,Prob_Illness_Given_Infection),0)</f>
        <v>0</v>
      </c>
      <c r="AC74" s="30"/>
      <c r="AD74" s="87">
        <f t="shared" ref="AD74:AD108" ca="1" si="107">$D74*AG$3</f>
        <v>4.5385253043280858E-12</v>
      </c>
      <c r="AE74" s="37">
        <f ca="1">INT(AD74) + _xll.RiskBinomial(1,AD74-INT(AD74))</f>
        <v>0</v>
      </c>
      <c r="AF74" s="30">
        <f t="shared" ca="1" si="74"/>
        <v>0</v>
      </c>
      <c r="AG74" s="35">
        <f ca="1">_xll.RiskBinomial(1,AF74)</f>
        <v>0</v>
      </c>
      <c r="AH74" s="88">
        <f ca="1">IF(AG74=1,_xll.RiskBinomial(1,Prob_Illness_Given_Infection),0)</f>
        <v>0</v>
      </c>
      <c r="AI74" s="30"/>
      <c r="AJ74" s="87">
        <f t="shared" ref="AJ74:AJ108" ca="1" si="108">$D74*AM$3</f>
        <v>2.1066664853974982E-4</v>
      </c>
      <c r="AK74" s="37">
        <f ca="1">INT(AJ74) + _xll.RiskBinomial(1,AJ74-INT(AJ74))</f>
        <v>0</v>
      </c>
      <c r="AL74" s="30">
        <f t="shared" ca="1" si="75"/>
        <v>0</v>
      </c>
      <c r="AM74" s="35">
        <f ca="1">_xll.RiskBinomial(1,AL74)</f>
        <v>0</v>
      </c>
      <c r="AN74" s="88">
        <f ca="1">IF(AM74=1,_xll.RiskBinomial(1,Prob_Illness_Given_Infection),0)</f>
        <v>0</v>
      </c>
      <c r="AO74" s="30"/>
      <c r="AP74" s="87">
        <f t="shared" ref="AP74:AP108" ca="1" si="109">$D74*AS$3</f>
        <v>5.1232093233234107E-9</v>
      </c>
      <c r="AQ74" s="37">
        <f ca="1">INT(AP74) + _xll.RiskBinomial(1,AP74-INT(AP74))</f>
        <v>0</v>
      </c>
      <c r="AR74" s="30">
        <f t="shared" ca="1" si="76"/>
        <v>0</v>
      </c>
      <c r="AS74" s="35">
        <f ca="1">_xll.RiskBinomial(1,AR74)</f>
        <v>0</v>
      </c>
      <c r="AT74" s="88">
        <f ca="1">IF(AS74=1,_xll.RiskBinomial(1,Prob_Illness_Given_Infection),0)</f>
        <v>0</v>
      </c>
      <c r="AU74" s="30"/>
      <c r="AV74" s="87">
        <f t="shared" ref="AV74:AV108" ca="1" si="110">$D74*AY$3</f>
        <v>1.1885578922986854E-4</v>
      </c>
      <c r="AW74" s="37">
        <f ca="1">INT(AV74) + _xll.RiskBinomial(1,AV74-INT(AV74))</f>
        <v>0</v>
      </c>
      <c r="AX74" s="30">
        <f t="shared" ca="1" si="77"/>
        <v>0</v>
      </c>
      <c r="AY74" s="35">
        <f ca="1">_xll.RiskBinomial(1,AX74)</f>
        <v>0</v>
      </c>
      <c r="AZ74" s="88">
        <f ca="1">IF(AY74=1,_xll.RiskBinomial(1,Prob_Illness_Given_Infection),0)</f>
        <v>0</v>
      </c>
      <c r="BB74" s="87">
        <f t="shared" ref="BB74:BB108" ca="1" si="111">$D74*BE$3</f>
        <v>1.6313074479171909E-4</v>
      </c>
      <c r="BC74" s="37">
        <f ca="1">INT(BB74) + _xll.RiskBinomial(1,BB74-INT(BB74))</f>
        <v>0</v>
      </c>
      <c r="BD74" s="30">
        <f t="shared" ca="1" si="78"/>
        <v>0</v>
      </c>
      <c r="BE74" s="35">
        <f ca="1">_xll.RiskBinomial(1,BD74)</f>
        <v>0</v>
      </c>
      <c r="BF74" s="88">
        <f ca="1">IF(BE74=1,_xll.RiskBinomial(1,Prob_Illness_Given_Infection),0)</f>
        <v>0</v>
      </c>
      <c r="BH74" s="87">
        <f t="shared" ref="BH74:BH108" ca="1" si="112">$D74*BK$3</f>
        <v>2.0653519353000557E-4</v>
      </c>
      <c r="BI74" s="37">
        <f ca="1">INT(BH74) + _xll.RiskBinomial(1,BH74-INT(BH74))</f>
        <v>0</v>
      </c>
      <c r="BJ74" s="30">
        <f t="shared" ca="1" si="79"/>
        <v>0</v>
      </c>
      <c r="BK74" s="35">
        <f ca="1">_xll.RiskBinomial(1,BJ74)</f>
        <v>0</v>
      </c>
      <c r="BL74" s="88">
        <f ca="1">IF(BK74=1,_xll.RiskBinomial(1,Prob_Illness_Given_Infection),0)</f>
        <v>0</v>
      </c>
      <c r="BN74" s="87">
        <f t="shared" ref="BN74:BN108" ca="1" si="113">$D74*BQ$3</f>
        <v>1.5718505885112895E-5</v>
      </c>
      <c r="BO74" s="37">
        <f ca="1">INT(BN74) + _xll.RiskBinomial(1,BN74-INT(BN74))</f>
        <v>0</v>
      </c>
      <c r="BP74" s="30">
        <f t="shared" ca="1" si="80"/>
        <v>0</v>
      </c>
      <c r="BQ74" s="35">
        <f ca="1">_xll.RiskBinomial(1,BP74)</f>
        <v>0</v>
      </c>
      <c r="BR74" s="88">
        <f ca="1">IF(BQ74=1,_xll.RiskBinomial(1,Prob_Illness_Given_Infection),0)</f>
        <v>0</v>
      </c>
      <c r="BT74" s="87">
        <f t="shared" ref="BT74:BT108" ca="1" si="114">$D74*BW$3</f>
        <v>4.7265381022491752E-5</v>
      </c>
      <c r="BU74" s="37">
        <f ca="1">INT(BT74) + _xll.RiskBinomial(1,BT74-INT(BT74))</f>
        <v>0</v>
      </c>
      <c r="BV74" s="30">
        <f t="shared" ca="1" si="81"/>
        <v>0</v>
      </c>
      <c r="BW74" s="35">
        <f ca="1">_xll.RiskBinomial(1,BV74)</f>
        <v>0</v>
      </c>
      <c r="BX74" s="88">
        <f ca="1">IF(BW74=1,_xll.RiskBinomial(1,Prob_Illness_Given_Infection),0)</f>
        <v>0</v>
      </c>
      <c r="BZ74" s="87">
        <f t="shared" ref="BZ74:BZ108" ca="1" si="115">$D74*CC$3</f>
        <v>1.2957034212617474E-4</v>
      </c>
      <c r="CA74" s="37">
        <f ca="1">INT(BZ74) + _xll.RiskBinomial(1,BZ74-INT(BZ74))</f>
        <v>0</v>
      </c>
      <c r="CB74" s="30">
        <f t="shared" ca="1" si="82"/>
        <v>0</v>
      </c>
      <c r="CC74" s="35">
        <f ca="1">_xll.RiskBinomial(1,CB74)</f>
        <v>0</v>
      </c>
      <c r="CD74" s="88">
        <f ca="1">IF(CC74=1,_xll.RiskBinomial(1,Prob_Illness_Given_Infection),0)</f>
        <v>0</v>
      </c>
      <c r="CF74" s="87">
        <f t="shared" ref="CF74:CF108" ca="1" si="116">$D74*CI$3</f>
        <v>2.4584675518910202E-5</v>
      </c>
      <c r="CG74" s="37">
        <f ca="1">INT(CF74) + _xll.RiskBinomial(1,CF74-INT(CF74))</f>
        <v>0</v>
      </c>
      <c r="CH74" s="30">
        <f t="shared" ca="1" si="83"/>
        <v>0</v>
      </c>
      <c r="CI74" s="35">
        <f ca="1">_xll.RiskBinomial(1,CH74)</f>
        <v>0</v>
      </c>
      <c r="CJ74" s="88">
        <f ca="1">IF(CI74=1,_xll.RiskBinomial(1,Prob_Illness_Given_Infection),0)</f>
        <v>0</v>
      </c>
      <c r="CL74" s="87">
        <f t="shared" ref="CL74:CL108" ca="1" si="117">$D74*CO$3</f>
        <v>4.7441541133303066E-5</v>
      </c>
      <c r="CM74" s="37">
        <f ca="1">INT(CL74) + _xll.RiskBinomial(1,CL74-INT(CL74))</f>
        <v>0</v>
      </c>
      <c r="CN74" s="30">
        <f t="shared" ca="1" si="84"/>
        <v>0</v>
      </c>
      <c r="CO74" s="35">
        <f ca="1">_xll.RiskBinomial(1,CN74)</f>
        <v>0</v>
      </c>
      <c r="CP74" s="88">
        <f ca="1">IF(CO74=1,_xll.RiskBinomial(1,Prob_Illness_Given_Infection),0)</f>
        <v>0</v>
      </c>
      <c r="CR74" s="87">
        <f t="shared" ref="CR74:CR108" ca="1" si="118">$D74*CU$3</f>
        <v>3.2695274240556371E-7</v>
      </c>
      <c r="CS74" s="37">
        <f ca="1">INT(CR74) + _xll.RiskBinomial(1,CR74-INT(CR74))</f>
        <v>0</v>
      </c>
      <c r="CT74" s="30">
        <f t="shared" ca="1" si="85"/>
        <v>0</v>
      </c>
      <c r="CU74" s="35">
        <f ca="1">_xll.RiskBinomial(1,CT74)</f>
        <v>0</v>
      </c>
      <c r="CV74" s="88">
        <f ca="1">IF(CU74=1,_xll.RiskBinomial(1,Prob_Illness_Given_Infection),0)</f>
        <v>0</v>
      </c>
      <c r="CX74" s="87">
        <f t="shared" ref="CX74:CX108" ca="1" si="119">$D74*DA$3</f>
        <v>3.3283417485713394E-9</v>
      </c>
      <c r="CY74" s="37">
        <f ca="1">INT(CX74) + _xll.RiskBinomial(1,CX74-INT(CX74))</f>
        <v>0</v>
      </c>
      <c r="CZ74" s="30">
        <f t="shared" ca="1" si="86"/>
        <v>0</v>
      </c>
      <c r="DA74" s="35">
        <f ca="1">_xll.RiskBinomial(1,CZ74)</f>
        <v>0</v>
      </c>
      <c r="DB74" s="88">
        <f ca="1">IF(DA74=1,_xll.RiskBinomial(1,Prob_Illness_Given_Infection),0)</f>
        <v>0</v>
      </c>
      <c r="DD74" s="87">
        <f t="shared" ref="DD74:DD108" ca="1" si="120">$D74*DG$3</f>
        <v>3.3283417485713394E-9</v>
      </c>
      <c r="DE74" s="37">
        <f ca="1">INT(DD74) + _xll.RiskBinomial(1,DD74-INT(DD74))</f>
        <v>0</v>
      </c>
      <c r="DF74" s="30">
        <f t="shared" ca="1" si="87"/>
        <v>0</v>
      </c>
      <c r="DG74" s="35">
        <f ca="1">_xll.RiskBinomial(1,DF74)</f>
        <v>0</v>
      </c>
      <c r="DH74" s="88">
        <f ca="1">IF(DG74=1,_xll.RiskBinomial(1,Prob_Illness_Given_Infection),0)</f>
        <v>0</v>
      </c>
      <c r="DJ74" s="87">
        <f t="shared" ref="DJ74:DJ108" ca="1" si="121">$D74*DM$3</f>
        <v>5.4347202584354811E-6</v>
      </c>
      <c r="DK74" s="37">
        <f ca="1">INT(DJ74) + _xll.RiskBinomial(1,DJ74-INT(DJ74))</f>
        <v>0</v>
      </c>
      <c r="DL74" s="30">
        <f t="shared" ca="1" si="88"/>
        <v>0</v>
      </c>
      <c r="DM74" s="35">
        <f ca="1">_xll.RiskBinomial(1,DL74)</f>
        <v>0</v>
      </c>
      <c r="DN74" s="88">
        <f ca="1">IF(DM74=1,_xll.RiskBinomial(1,Prob_Illness_Given_Infection),0)</f>
        <v>0</v>
      </c>
      <c r="DP74" s="87">
        <f t="shared" ref="DP74:DP108" ca="1" si="122">$D74*DS$3</f>
        <v>1.2847398595781348E-9</v>
      </c>
      <c r="DQ74" s="37">
        <f ca="1">INT(DP74) + _xll.RiskBinomial(1,DP74-INT(DP74))</f>
        <v>0</v>
      </c>
      <c r="DR74" s="30">
        <f t="shared" ca="1" si="89"/>
        <v>0</v>
      </c>
      <c r="DS74" s="35">
        <f ca="1">_xll.RiskBinomial(1,DR74)</f>
        <v>0</v>
      </c>
      <c r="DT74" s="88">
        <f ca="1">IF(DS74=1,_xll.RiskBinomial(1,Prob_Illness_Given_Infection),0)</f>
        <v>0</v>
      </c>
      <c r="DV74" s="87">
        <f t="shared" ref="DV74:DV108" ca="1" si="123">$D74*DY$3</f>
        <v>1.8086644405507419E-8</v>
      </c>
      <c r="DW74" s="37">
        <f ca="1">INT(DV74) + _xll.RiskBinomial(1,DV74-INT(DV74))</f>
        <v>0</v>
      </c>
      <c r="DX74" s="30">
        <f t="shared" ca="1" si="90"/>
        <v>0</v>
      </c>
      <c r="DY74" s="35">
        <f ca="1">_xll.RiskBinomial(1,DX74)</f>
        <v>0</v>
      </c>
      <c r="DZ74" s="88">
        <f ca="1">IF(DY74=1,_xll.RiskBinomial(1,Prob_Illness_Given_Infection),0)</f>
        <v>0</v>
      </c>
      <c r="EB74" s="87">
        <f t="shared" ref="EB74:EB108" ca="1" si="124">$D74*EE$3</f>
        <v>4.5385253043265615E-12</v>
      </c>
      <c r="EC74" s="37">
        <f ca="1">INT(EB74) + _xll.RiskBinomial(1,EB74-INT(EB74))</f>
        <v>0</v>
      </c>
      <c r="ED74" s="30">
        <f t="shared" ca="1" si="91"/>
        <v>0</v>
      </c>
      <c r="EE74" s="35">
        <f ca="1">_xll.RiskBinomial(1,ED74)</f>
        <v>0</v>
      </c>
      <c r="EF74" s="88">
        <f ca="1">IF(EE74=1,_xll.RiskBinomial(1,Prob_Illness_Given_Infection),0)</f>
        <v>0</v>
      </c>
      <c r="EH74" s="87">
        <f t="shared" ref="EH74:EH108" ca="1" si="125">$D74*EK$3</f>
        <v>4.5385253043218957E-12</v>
      </c>
      <c r="EI74" s="37">
        <f ca="1">INT(EH74) + _xll.RiskBinomial(1,EH74-INT(EH74))</f>
        <v>0</v>
      </c>
      <c r="EJ74" s="30">
        <f t="shared" ca="1" si="92"/>
        <v>0</v>
      </c>
      <c r="EK74" s="35">
        <f ca="1">_xll.RiskBinomial(1,EJ74)</f>
        <v>0</v>
      </c>
      <c r="EL74" s="88">
        <f ca="1">IF(EK74=1,_xll.RiskBinomial(1,Prob_Illness_Given_Infection),0)</f>
        <v>0</v>
      </c>
      <c r="EN74" s="87">
        <f t="shared" ref="EN74:EN108" ca="1" si="126">$D74*EQ$3</f>
        <v>4.1411303361305056E-10</v>
      </c>
      <c r="EO74" s="37">
        <f ca="1">INT(EN74) + _xll.RiskBinomial(1,EN74-INT(EN74))</f>
        <v>0</v>
      </c>
      <c r="EP74" s="30">
        <f t="shared" ca="1" si="93"/>
        <v>0</v>
      </c>
      <c r="EQ74" s="35">
        <f ca="1">_xll.RiskBinomial(1,EP74)</f>
        <v>0</v>
      </c>
      <c r="ER74" s="88">
        <f ca="1">IF(EQ74=1,_xll.RiskBinomial(1,Prob_Illness_Given_Infection),0)</f>
        <v>0</v>
      </c>
      <c r="ET74" s="87">
        <f t="shared" ref="ET74:ET108" ca="1" si="127">$D74*EW$3</f>
        <v>4.5385253043175675E-12</v>
      </c>
      <c r="EU74" s="37">
        <f ca="1">INT(ET74) + _xll.RiskBinomial(1,ET74-INT(ET74))</f>
        <v>0</v>
      </c>
      <c r="EV74" s="30">
        <f t="shared" ca="1" si="94"/>
        <v>0</v>
      </c>
      <c r="EW74" s="35">
        <f ca="1">_xll.RiskBinomial(1,EV74)</f>
        <v>0</v>
      </c>
      <c r="EX74" s="88">
        <f ca="1">IF(EW74=1,_xll.RiskBinomial(1,Prob_Illness_Given_Infection),0)</f>
        <v>0</v>
      </c>
      <c r="EZ74" s="87">
        <f t="shared" ref="EZ74:EZ108" ca="1" si="128">$D74*FC$3</f>
        <v>3.4230481218379573E-5</v>
      </c>
      <c r="FA74" s="37">
        <f ca="1">INT(EZ74) + _xll.RiskBinomial(1,EZ74-INT(EZ74))</f>
        <v>0</v>
      </c>
      <c r="FB74" s="30">
        <f t="shared" ca="1" si="95"/>
        <v>0</v>
      </c>
      <c r="FC74" s="35">
        <f ca="1">_xll.RiskBinomial(1,FB74)</f>
        <v>0</v>
      </c>
      <c r="FD74" s="88">
        <f ca="1">IF(FC74=1,_xll.RiskBinomial(1,Prob_Illness_Given_Infection),0)</f>
        <v>0</v>
      </c>
      <c r="FF74" s="87">
        <f t="shared" ref="FF74:FF108" ca="1" si="129">$D74*FI$3</f>
        <v>2.3844568431238047E-4</v>
      </c>
      <c r="FG74" s="37">
        <f ca="1">INT(FF74) + _xll.RiskBinomial(1,FF74-INT(FF74))</f>
        <v>0</v>
      </c>
      <c r="FH74" s="30">
        <f t="shared" ca="1" si="96"/>
        <v>0</v>
      </c>
      <c r="FI74" s="35">
        <f ca="1">_xll.RiskBinomial(1,FH74)</f>
        <v>0</v>
      </c>
      <c r="FJ74" s="88">
        <f ca="1">IF(FI74=1,_xll.RiskBinomial(1,Prob_Illness_Given_Infection),0)</f>
        <v>0</v>
      </c>
      <c r="FL74" s="87" t="e">
        <f t="shared" ref="FL74:FL108" ca="1" si="130">$D74*FO$3</f>
        <v>#NAME?</v>
      </c>
      <c r="FM74" s="37" t="e">
        <f ca="1">INT(FL74) + _xll.RiskBinomial(1,FL74-INT(FL74))</f>
        <v>#NAME?</v>
      </c>
      <c r="FN74" s="30" t="e">
        <f t="shared" ca="1" si="97"/>
        <v>#NAME?</v>
      </c>
      <c r="FO74" s="35" t="e">
        <f ca="1">_xll.RiskBinomial(1,FN74)</f>
        <v>#VALUE!</v>
      </c>
      <c r="FP74" s="88" t="e">
        <f ca="1">IF(FO74=1,_xll.RiskBinomial(1,Prob_Illness_Given_Infection),0)</f>
        <v>#VALUE!</v>
      </c>
      <c r="FR74" s="87" t="e">
        <f t="shared" ref="FR74:FR108" ca="1" si="131">$D74*FU$3</f>
        <v>#NAME?</v>
      </c>
      <c r="FS74" s="37" t="e">
        <f ca="1">INT(FR74) + _xll.RiskBinomial(1,FR74-INT(FR74))</f>
        <v>#NAME?</v>
      </c>
      <c r="FT74" s="30" t="e">
        <f t="shared" ca="1" si="98"/>
        <v>#NAME?</v>
      </c>
      <c r="FU74" s="35" t="e">
        <f ca="1">_xll.RiskBinomial(1,FT74)</f>
        <v>#VALUE!</v>
      </c>
      <c r="FV74" s="88" t="e">
        <f ca="1">IF(FU74=1,_xll.RiskBinomial(1,Prob_Illness_Given_Infection),0)</f>
        <v>#VALUE!</v>
      </c>
      <c r="FX74" s="87">
        <f t="shared" ref="FX74:FX108" ca="1" si="132">$D74*GA$3</f>
        <v>4.7916254963816859E-7</v>
      </c>
      <c r="FY74" s="37">
        <f ca="1">INT(FX74) + _xll.RiskBinomial(1,FX74-INT(FX74))</f>
        <v>0</v>
      </c>
      <c r="FZ74" s="30">
        <f t="shared" ca="1" si="99"/>
        <v>0</v>
      </c>
      <c r="GA74" s="35">
        <f ca="1">_xll.RiskBinomial(1,FZ74)</f>
        <v>0</v>
      </c>
      <c r="GB74" s="88">
        <f ca="1">IF(GA74=1,_xll.RiskBinomial(1,Prob_Illness_Given_Infection),0)</f>
        <v>0</v>
      </c>
      <c r="GD74" s="87" t="e">
        <f t="shared" ref="GD74:GD108" ca="1" si="133">$D74*GG$3</f>
        <v>#NAME?</v>
      </c>
      <c r="GE74" s="37" t="e">
        <f ca="1">INT(GD74) + _xll.RiskBinomial(1,GD74-INT(GD74))</f>
        <v>#NAME?</v>
      </c>
      <c r="GF74" s="30" t="e">
        <f t="shared" ca="1" si="100"/>
        <v>#NAME?</v>
      </c>
      <c r="GG74" s="35" t="e">
        <f ca="1">_xll.RiskBinomial(1,GF74)</f>
        <v>#VALUE!</v>
      </c>
      <c r="GH74" s="88" t="e">
        <f ca="1">IF(GG74=1,_xll.RiskBinomial(1,Prob_Illness_Given_Infection),0)</f>
        <v>#VALUE!</v>
      </c>
      <c r="GJ74" s="87" t="e">
        <f t="shared" ref="GJ74:GJ108" ca="1" si="134">$D74*GM$3</f>
        <v>#NAME?</v>
      </c>
      <c r="GK74" s="37" t="e">
        <f ca="1">INT(GJ74) + _xll.RiskBinomial(1,GJ74-INT(GJ74))</f>
        <v>#NAME?</v>
      </c>
      <c r="GL74" s="30" t="e">
        <f t="shared" ca="1" si="101"/>
        <v>#NAME?</v>
      </c>
      <c r="GM74" s="35" t="e">
        <f ca="1">_xll.RiskBinomial(1,GL74)</f>
        <v>#VALUE!</v>
      </c>
      <c r="GN74" s="88" t="e">
        <f ca="1">IF(GM74=1,_xll.RiskBinomial(1,Prob_Illness_Given_Infection),0)</f>
        <v>#VALUE!</v>
      </c>
      <c r="GP74" s="87" t="e">
        <f t="shared" ref="GP74:GP108" ca="1" si="135">$D74*GS$3</f>
        <v>#NAME?</v>
      </c>
      <c r="GQ74" s="37" t="e">
        <f ca="1">INT(GP74) + _xll.RiskBinomial(1,GP74-INT(GP74))</f>
        <v>#NAME?</v>
      </c>
      <c r="GR74" s="30" t="e">
        <f t="shared" ca="1" si="102"/>
        <v>#NAME?</v>
      </c>
      <c r="GS74" s="35" t="e">
        <f ca="1">_xll.RiskBinomial(1,GR74)</f>
        <v>#VALUE!</v>
      </c>
      <c r="GT74" s="88" t="e">
        <f ca="1">IF(GS74=1,_xll.RiskBinomial(1,Prob_Illness_Given_Infection),0)</f>
        <v>#VALUE!</v>
      </c>
    </row>
    <row r="75" spans="2:202">
      <c r="B75" s="108">
        <v>67</v>
      </c>
      <c r="C75" s="87">
        <f ca="1">_xll.RiskLoglogistic(LogLogistic_gamma, LogLogistic_beta, LogLogistic_alpha, _xll.RiskTruncate(5,800))</f>
        <v>78.699426122640062</v>
      </c>
      <c r="D75" s="38">
        <f t="shared" ca="1" si="69"/>
        <v>5.0557799909985235</v>
      </c>
      <c r="E75" s="30"/>
      <c r="F75" s="87">
        <f t="shared" ca="1" si="103"/>
        <v>1.8253347182490881E-9</v>
      </c>
      <c r="G75" s="37">
        <f ca="1">INT(F75) + _xll.RiskBinomial(1,F75-INT(F75))</f>
        <v>0</v>
      </c>
      <c r="H75" s="30">
        <f t="shared" ca="1" si="70"/>
        <v>0</v>
      </c>
      <c r="I75" s="35">
        <f ca="1">_xll.RiskBinomial(1,H75)</f>
        <v>0</v>
      </c>
      <c r="J75" s="88">
        <f ca="1">IF(I75=1,_xll.RiskBinomial(1,Prob_Illness_Given_Infection),0)</f>
        <v>0</v>
      </c>
      <c r="K75" s="30"/>
      <c r="L75" s="87">
        <f t="shared" ca="1" si="104"/>
        <v>9.3233341269304747E-5</v>
      </c>
      <c r="M75" s="37">
        <f ca="1">INT(L75) + _xll.RiskBinomial(1,L75-INT(L75))</f>
        <v>0</v>
      </c>
      <c r="N75" s="30">
        <f t="shared" ca="1" si="71"/>
        <v>0</v>
      </c>
      <c r="O75" s="35">
        <f ca="1">_xll.RiskBinomial(1,N75)</f>
        <v>0</v>
      </c>
      <c r="P75" s="88">
        <f ca="1">IF(O75=1,_xll.RiskBinomial(1,Prob_Illness_Given_Infection),0)</f>
        <v>0</v>
      </c>
      <c r="Q75" s="30"/>
      <c r="R75" s="87">
        <f t="shared" ca="1" si="105"/>
        <v>9.6380685725469885E-6</v>
      </c>
      <c r="S75" s="37">
        <f ca="1">INT(R75) + _xll.RiskBinomial(1,R75-INT(R75))</f>
        <v>0</v>
      </c>
      <c r="T75" s="30">
        <f t="shared" ca="1" si="72"/>
        <v>0</v>
      </c>
      <c r="U75" s="35">
        <f ca="1">_xll.RiskBinomial(1,T75)</f>
        <v>0</v>
      </c>
      <c r="V75" s="88">
        <f ca="1">IF(U75=1,_xll.RiskBinomial(1,Prob_Illness_Given_Infection),0)</f>
        <v>0</v>
      </c>
      <c r="W75" s="30"/>
      <c r="X75" s="87">
        <f t="shared" ca="1" si="106"/>
        <v>3.9595696811368147E-12</v>
      </c>
      <c r="Y75" s="37">
        <f ca="1">INT(X75) + _xll.RiskBinomial(1,X75-INT(X75))</f>
        <v>0</v>
      </c>
      <c r="Z75" s="30">
        <f t="shared" ca="1" si="73"/>
        <v>0</v>
      </c>
      <c r="AA75" s="35">
        <f ca="1">_xll.RiskBinomial(1,Z75)</f>
        <v>0</v>
      </c>
      <c r="AB75" s="88">
        <f ca="1">IF(AA75=1,_xll.RiskBinomial(1,Prob_Illness_Given_Infection),0)</f>
        <v>0</v>
      </c>
      <c r="AC75" s="30"/>
      <c r="AD75" s="87">
        <f t="shared" ca="1" si="107"/>
        <v>1.9949013314229531E-12</v>
      </c>
      <c r="AE75" s="37">
        <f ca="1">INT(AD75) + _xll.RiskBinomial(1,AD75-INT(AD75))</f>
        <v>0</v>
      </c>
      <c r="AF75" s="30">
        <f t="shared" ca="1" si="74"/>
        <v>0</v>
      </c>
      <c r="AG75" s="35">
        <f ca="1">_xll.RiskBinomial(1,AF75)</f>
        <v>0</v>
      </c>
      <c r="AH75" s="88">
        <f ca="1">IF(AG75=1,_xll.RiskBinomial(1,Prob_Illness_Given_Infection),0)</f>
        <v>0</v>
      </c>
      <c r="AI75" s="30"/>
      <c r="AJ75" s="87">
        <f t="shared" ca="1" si="108"/>
        <v>9.2598178808782976E-5</v>
      </c>
      <c r="AK75" s="37">
        <f ca="1">INT(AJ75) + _xll.RiskBinomial(1,AJ75-INT(AJ75))</f>
        <v>0</v>
      </c>
      <c r="AL75" s="30">
        <f t="shared" ca="1" si="75"/>
        <v>0</v>
      </c>
      <c r="AM75" s="35">
        <f ca="1">_xll.RiskBinomial(1,AL75)</f>
        <v>0</v>
      </c>
      <c r="AN75" s="88">
        <f ca="1">IF(AM75=1,_xll.RiskBinomial(1,Prob_Illness_Given_Infection),0)</f>
        <v>0</v>
      </c>
      <c r="AO75" s="30"/>
      <c r="AP75" s="87">
        <f t="shared" ca="1" si="109"/>
        <v>2.2518982301387523E-9</v>
      </c>
      <c r="AQ75" s="37">
        <f ca="1">INT(AP75) + _xll.RiskBinomial(1,AP75-INT(AP75))</f>
        <v>0</v>
      </c>
      <c r="AR75" s="30">
        <f t="shared" ca="1" si="76"/>
        <v>0</v>
      </c>
      <c r="AS75" s="35">
        <f ca="1">_xll.RiskBinomial(1,AR75)</f>
        <v>0</v>
      </c>
      <c r="AT75" s="88">
        <f ca="1">IF(AS75=1,_xll.RiskBinomial(1,Prob_Illness_Given_Infection),0)</f>
        <v>0</v>
      </c>
      <c r="AU75" s="30"/>
      <c r="AV75" s="87">
        <f t="shared" ca="1" si="110"/>
        <v>5.2242866632445351E-5</v>
      </c>
      <c r="AW75" s="37">
        <f ca="1">INT(AV75) + _xll.RiskBinomial(1,AV75-INT(AV75))</f>
        <v>0</v>
      </c>
      <c r="AX75" s="30">
        <f t="shared" ca="1" si="77"/>
        <v>0</v>
      </c>
      <c r="AY75" s="35">
        <f ca="1">_xll.RiskBinomial(1,AX75)</f>
        <v>0</v>
      </c>
      <c r="AZ75" s="88">
        <f ca="1">IF(AY75=1,_xll.RiskBinomial(1,Prob_Illness_Given_Infection),0)</f>
        <v>0</v>
      </c>
      <c r="BB75" s="87">
        <f t="shared" ca="1" si="111"/>
        <v>7.1703850515205452E-5</v>
      </c>
      <c r="BC75" s="37">
        <f ca="1">INT(BB75) + _xll.RiskBinomial(1,BB75-INT(BB75))</f>
        <v>0</v>
      </c>
      <c r="BD75" s="30">
        <f t="shared" ca="1" si="78"/>
        <v>0</v>
      </c>
      <c r="BE75" s="35">
        <f ca="1">_xll.RiskBinomial(1,BD75)</f>
        <v>0</v>
      </c>
      <c r="BF75" s="88">
        <f ca="1">IF(BE75=1,_xll.RiskBinomial(1,Prob_Illness_Given_Infection),0)</f>
        <v>0</v>
      </c>
      <c r="BH75" s="87">
        <f t="shared" ca="1" si="112"/>
        <v>9.0782204555693943E-5</v>
      </c>
      <c r="BI75" s="37">
        <f ca="1">INT(BH75) + _xll.RiskBinomial(1,BH75-INT(BH75))</f>
        <v>0</v>
      </c>
      <c r="BJ75" s="30">
        <f t="shared" ca="1" si="79"/>
        <v>0</v>
      </c>
      <c r="BK75" s="35">
        <f ca="1">_xll.RiskBinomial(1,BJ75)</f>
        <v>0</v>
      </c>
      <c r="BL75" s="88">
        <f ca="1">IF(BK75=1,_xll.RiskBinomial(1,Prob_Illness_Given_Infection),0)</f>
        <v>0</v>
      </c>
      <c r="BN75" s="87">
        <f t="shared" ca="1" si="113"/>
        <v>6.9090434040961066E-6</v>
      </c>
      <c r="BO75" s="37">
        <f ca="1">INT(BN75) + _xll.RiskBinomial(1,BN75-INT(BN75))</f>
        <v>0</v>
      </c>
      <c r="BP75" s="30">
        <f t="shared" ca="1" si="80"/>
        <v>0</v>
      </c>
      <c r="BQ75" s="35">
        <f ca="1">_xll.RiskBinomial(1,BP75)</f>
        <v>0</v>
      </c>
      <c r="BR75" s="88">
        <f ca="1">IF(BQ75=1,_xll.RiskBinomial(1,Prob_Illness_Given_Infection),0)</f>
        <v>0</v>
      </c>
      <c r="BT75" s="87">
        <f t="shared" ca="1" si="114"/>
        <v>2.0775420474589879E-5</v>
      </c>
      <c r="BU75" s="37">
        <f ca="1">INT(BT75) + _xll.RiskBinomial(1,BT75-INT(BT75))</f>
        <v>0</v>
      </c>
      <c r="BV75" s="30">
        <f t="shared" ca="1" si="81"/>
        <v>0</v>
      </c>
      <c r="BW75" s="35">
        <f ca="1">_xll.RiskBinomial(1,BV75)</f>
        <v>0</v>
      </c>
      <c r="BX75" s="88">
        <f ca="1">IF(BW75=1,_xll.RiskBinomial(1,Prob_Illness_Given_Infection),0)</f>
        <v>0</v>
      </c>
      <c r="BZ75" s="87">
        <f t="shared" ca="1" si="115"/>
        <v>5.695243073205707E-5</v>
      </c>
      <c r="CA75" s="37">
        <f ca="1">INT(BZ75) + _xll.RiskBinomial(1,BZ75-INT(BZ75))</f>
        <v>0</v>
      </c>
      <c r="CB75" s="30">
        <f t="shared" ca="1" si="82"/>
        <v>0</v>
      </c>
      <c r="CC75" s="35">
        <f ca="1">_xll.RiskBinomial(1,CB75)</f>
        <v>0</v>
      </c>
      <c r="CD75" s="88">
        <f ca="1">IF(CC75=1,_xll.RiskBinomial(1,Prob_Illness_Given_Infection),0)</f>
        <v>0</v>
      </c>
      <c r="CF75" s="87">
        <f t="shared" ca="1" si="116"/>
        <v>1.080615368135224E-5</v>
      </c>
      <c r="CG75" s="37">
        <f ca="1">INT(CF75) + _xll.RiskBinomial(1,CF75-INT(CF75))</f>
        <v>0</v>
      </c>
      <c r="CH75" s="30">
        <f t="shared" ca="1" si="83"/>
        <v>0</v>
      </c>
      <c r="CI75" s="35">
        <f ca="1">_xll.RiskBinomial(1,CH75)</f>
        <v>0</v>
      </c>
      <c r="CJ75" s="88">
        <f ca="1">IF(CI75=1,_xll.RiskBinomial(1,Prob_Illness_Given_Infection),0)</f>
        <v>0</v>
      </c>
      <c r="CL75" s="87">
        <f t="shared" ca="1" si="117"/>
        <v>2.0852851361505057E-5</v>
      </c>
      <c r="CM75" s="37">
        <f ca="1">INT(CL75) + _xll.RiskBinomial(1,CL75-INT(CL75))</f>
        <v>0</v>
      </c>
      <c r="CN75" s="30">
        <f t="shared" ca="1" si="84"/>
        <v>0</v>
      </c>
      <c r="CO75" s="35">
        <f ca="1">_xll.RiskBinomial(1,CN75)</f>
        <v>0</v>
      </c>
      <c r="CP75" s="88">
        <f ca="1">IF(CO75=1,_xll.RiskBinomial(1,Prob_Illness_Given_Infection),0)</f>
        <v>0</v>
      </c>
      <c r="CR75" s="87">
        <f t="shared" ca="1" si="118"/>
        <v>1.4371154007123172E-7</v>
      </c>
      <c r="CS75" s="37">
        <f ca="1">INT(CR75) + _xll.RiskBinomial(1,CR75-INT(CR75))</f>
        <v>0</v>
      </c>
      <c r="CT75" s="30">
        <f t="shared" ca="1" si="85"/>
        <v>0</v>
      </c>
      <c r="CU75" s="35">
        <f ca="1">_xll.RiskBinomial(1,CT75)</f>
        <v>0</v>
      </c>
      <c r="CV75" s="88">
        <f ca="1">IF(CU75=1,_xll.RiskBinomial(1,Prob_Illness_Given_Infection),0)</f>
        <v>0</v>
      </c>
      <c r="CX75" s="87">
        <f t="shared" ca="1" si="119"/>
        <v>1.4629671403007753E-9</v>
      </c>
      <c r="CY75" s="37">
        <f ca="1">INT(CX75) + _xll.RiskBinomial(1,CX75-INT(CX75))</f>
        <v>0</v>
      </c>
      <c r="CZ75" s="30">
        <f t="shared" ca="1" si="86"/>
        <v>0</v>
      </c>
      <c r="DA75" s="35">
        <f ca="1">_xll.RiskBinomial(1,CZ75)</f>
        <v>0</v>
      </c>
      <c r="DB75" s="88">
        <f ca="1">IF(DA75=1,_xll.RiskBinomial(1,Prob_Illness_Given_Infection),0)</f>
        <v>0</v>
      </c>
      <c r="DD75" s="87">
        <f t="shared" ca="1" si="120"/>
        <v>1.4629671403007753E-9</v>
      </c>
      <c r="DE75" s="37">
        <f ca="1">INT(DD75) + _xll.RiskBinomial(1,DD75-INT(DD75))</f>
        <v>0</v>
      </c>
      <c r="DF75" s="30">
        <f t="shared" ca="1" si="87"/>
        <v>0</v>
      </c>
      <c r="DG75" s="35">
        <f ca="1">_xll.RiskBinomial(1,DF75)</f>
        <v>0</v>
      </c>
      <c r="DH75" s="88">
        <f ca="1">IF(DG75=1,_xll.RiskBinomial(1,Prob_Illness_Given_Infection),0)</f>
        <v>0</v>
      </c>
      <c r="DJ75" s="87">
        <f t="shared" ca="1" si="121"/>
        <v>2.3888223492166515E-6</v>
      </c>
      <c r="DK75" s="37">
        <f ca="1">INT(DJ75) + _xll.RiskBinomial(1,DJ75-INT(DJ75))</f>
        <v>0</v>
      </c>
      <c r="DL75" s="30">
        <f t="shared" ca="1" si="88"/>
        <v>0</v>
      </c>
      <c r="DM75" s="35">
        <f ca="1">_xll.RiskBinomial(1,DL75)</f>
        <v>0</v>
      </c>
      <c r="DN75" s="88">
        <f ca="1">IF(DM75=1,_xll.RiskBinomial(1,Prob_Illness_Given_Infection),0)</f>
        <v>0</v>
      </c>
      <c r="DP75" s="87">
        <f t="shared" ca="1" si="122"/>
        <v>5.6470529181813008E-10</v>
      </c>
      <c r="DQ75" s="37">
        <f ca="1">INT(DP75) + _xll.RiskBinomial(1,DP75-INT(DP75))</f>
        <v>0</v>
      </c>
      <c r="DR75" s="30">
        <f t="shared" ca="1" si="89"/>
        <v>0</v>
      </c>
      <c r="DS75" s="35">
        <f ca="1">_xll.RiskBinomial(1,DR75)</f>
        <v>0</v>
      </c>
      <c r="DT75" s="88">
        <f ca="1">IF(DS75=1,_xll.RiskBinomial(1,Prob_Illness_Given_Infection),0)</f>
        <v>0</v>
      </c>
      <c r="DV75" s="87">
        <f t="shared" ca="1" si="123"/>
        <v>7.9499547950326883E-9</v>
      </c>
      <c r="DW75" s="37">
        <f ca="1">INT(DV75) + _xll.RiskBinomial(1,DV75-INT(DV75))</f>
        <v>0</v>
      </c>
      <c r="DX75" s="30">
        <f t="shared" ca="1" si="90"/>
        <v>0</v>
      </c>
      <c r="DY75" s="35">
        <f ca="1">_xll.RiskBinomial(1,DX75)</f>
        <v>0</v>
      </c>
      <c r="DZ75" s="88">
        <f ca="1">IF(DY75=1,_xll.RiskBinomial(1,Prob_Illness_Given_Infection),0)</f>
        <v>0</v>
      </c>
      <c r="EB75" s="87">
        <f t="shared" ca="1" si="124"/>
        <v>1.9949013314222831E-12</v>
      </c>
      <c r="EC75" s="37">
        <f ca="1">INT(EB75) + _xll.RiskBinomial(1,EB75-INT(EB75))</f>
        <v>0</v>
      </c>
      <c r="ED75" s="30">
        <f t="shared" ca="1" si="91"/>
        <v>0</v>
      </c>
      <c r="EE75" s="35">
        <f ca="1">_xll.RiskBinomial(1,ED75)</f>
        <v>0</v>
      </c>
      <c r="EF75" s="88">
        <f ca="1">IF(EE75=1,_xll.RiskBinomial(1,Prob_Illness_Given_Infection),0)</f>
        <v>0</v>
      </c>
      <c r="EH75" s="87">
        <f t="shared" ca="1" si="125"/>
        <v>1.9949013314202325E-12</v>
      </c>
      <c r="EI75" s="37">
        <f ca="1">INT(EH75) + _xll.RiskBinomial(1,EH75-INT(EH75))</f>
        <v>0</v>
      </c>
      <c r="EJ75" s="30">
        <f t="shared" ca="1" si="92"/>
        <v>0</v>
      </c>
      <c r="EK75" s="35">
        <f ca="1">_xll.RiskBinomial(1,EJ75)</f>
        <v>0</v>
      </c>
      <c r="EL75" s="88">
        <f ca="1">IF(EK75=1,_xll.RiskBinomial(1,Prob_Illness_Given_Infection),0)</f>
        <v>0</v>
      </c>
      <c r="EN75" s="87">
        <f t="shared" ca="1" si="126"/>
        <v>1.8202270268857218E-10</v>
      </c>
      <c r="EO75" s="37">
        <f ca="1">INT(EN75) + _xll.RiskBinomial(1,EN75-INT(EN75))</f>
        <v>0</v>
      </c>
      <c r="EP75" s="30">
        <f t="shared" ca="1" si="93"/>
        <v>0</v>
      </c>
      <c r="EQ75" s="35">
        <f ca="1">_xll.RiskBinomial(1,EP75)</f>
        <v>0</v>
      </c>
      <c r="ER75" s="88">
        <f ca="1">IF(EQ75=1,_xll.RiskBinomial(1,Prob_Illness_Given_Infection),0)</f>
        <v>0</v>
      </c>
      <c r="ET75" s="87">
        <f t="shared" ca="1" si="127"/>
        <v>1.9949013314183301E-12</v>
      </c>
      <c r="EU75" s="37">
        <f ca="1">INT(ET75) + _xll.RiskBinomial(1,ET75-INT(ET75))</f>
        <v>0</v>
      </c>
      <c r="EV75" s="30">
        <f t="shared" ca="1" si="94"/>
        <v>0</v>
      </c>
      <c r="EW75" s="35">
        <f ca="1">_xll.RiskBinomial(1,EV75)</f>
        <v>0</v>
      </c>
      <c r="EX75" s="88">
        <f ca="1">IF(EW75=1,_xll.RiskBinomial(1,Prob_Illness_Given_Infection),0)</f>
        <v>0</v>
      </c>
      <c r="EZ75" s="87">
        <f t="shared" ca="1" si="128"/>
        <v>1.5045951708735354E-5</v>
      </c>
      <c r="FA75" s="37">
        <f ca="1">INT(EZ75) + _xll.RiskBinomial(1,EZ75-INT(EZ75))</f>
        <v>0</v>
      </c>
      <c r="FB75" s="30">
        <f t="shared" ca="1" si="95"/>
        <v>0</v>
      </c>
      <c r="FC75" s="35">
        <f ca="1">_xll.RiskBinomial(1,FB75)</f>
        <v>0</v>
      </c>
      <c r="FD75" s="88">
        <f ca="1">IF(FC75=1,_xll.RiskBinomial(1,Prob_Illness_Given_Infection),0)</f>
        <v>0</v>
      </c>
      <c r="FF75" s="87">
        <f t="shared" ca="1" si="129"/>
        <v>1.0480840828478035E-4</v>
      </c>
      <c r="FG75" s="37">
        <f ca="1">INT(FF75) + _xll.RiskBinomial(1,FF75-INT(FF75))</f>
        <v>0</v>
      </c>
      <c r="FH75" s="30">
        <f t="shared" ca="1" si="96"/>
        <v>0</v>
      </c>
      <c r="FI75" s="35">
        <f ca="1">_xll.RiskBinomial(1,FH75)</f>
        <v>0</v>
      </c>
      <c r="FJ75" s="88">
        <f ca="1">IF(FI75=1,_xll.RiskBinomial(1,Prob_Illness_Given_Infection),0)</f>
        <v>0</v>
      </c>
      <c r="FL75" s="87" t="e">
        <f t="shared" ca="1" si="130"/>
        <v>#NAME?</v>
      </c>
      <c r="FM75" s="37" t="e">
        <f ca="1">INT(FL75) + _xll.RiskBinomial(1,FL75-INT(FL75))</f>
        <v>#NAME?</v>
      </c>
      <c r="FN75" s="30" t="e">
        <f t="shared" ca="1" si="97"/>
        <v>#NAME?</v>
      </c>
      <c r="FO75" s="35" t="e">
        <f ca="1">_xll.RiskBinomial(1,FN75)</f>
        <v>#VALUE!</v>
      </c>
      <c r="FP75" s="88" t="e">
        <f ca="1">IF(FO75=1,_xll.RiskBinomial(1,Prob_Illness_Given_Infection),0)</f>
        <v>#VALUE!</v>
      </c>
      <c r="FR75" s="87" t="e">
        <f t="shared" ca="1" si="131"/>
        <v>#NAME?</v>
      </c>
      <c r="FS75" s="37" t="e">
        <f ca="1">INT(FR75) + _xll.RiskBinomial(1,FR75-INT(FR75))</f>
        <v>#NAME?</v>
      </c>
      <c r="FT75" s="30" t="e">
        <f t="shared" ca="1" si="98"/>
        <v>#NAME?</v>
      </c>
      <c r="FU75" s="35" t="e">
        <f ca="1">_xll.RiskBinomial(1,FT75)</f>
        <v>#VALUE!</v>
      </c>
      <c r="FV75" s="88" t="e">
        <f ca="1">IF(FU75=1,_xll.RiskBinomial(1,Prob_Illness_Given_Infection),0)</f>
        <v>#VALUE!</v>
      </c>
      <c r="FX75" s="87">
        <f t="shared" ca="1" si="132"/>
        <v>2.1061511044780097E-7</v>
      </c>
      <c r="FY75" s="37">
        <f ca="1">INT(FX75) + _xll.RiskBinomial(1,FX75-INT(FX75))</f>
        <v>0</v>
      </c>
      <c r="FZ75" s="30">
        <f t="shared" ca="1" si="99"/>
        <v>0</v>
      </c>
      <c r="GA75" s="35">
        <f ca="1">_xll.RiskBinomial(1,FZ75)</f>
        <v>0</v>
      </c>
      <c r="GB75" s="88">
        <f ca="1">IF(GA75=1,_xll.RiskBinomial(1,Prob_Illness_Given_Infection),0)</f>
        <v>0</v>
      </c>
      <c r="GD75" s="87" t="e">
        <f t="shared" ca="1" si="133"/>
        <v>#NAME?</v>
      </c>
      <c r="GE75" s="37" t="e">
        <f ca="1">INT(GD75) + _xll.RiskBinomial(1,GD75-INT(GD75))</f>
        <v>#NAME?</v>
      </c>
      <c r="GF75" s="30" t="e">
        <f t="shared" ca="1" si="100"/>
        <v>#NAME?</v>
      </c>
      <c r="GG75" s="35" t="e">
        <f ca="1">_xll.RiskBinomial(1,GF75)</f>
        <v>#VALUE!</v>
      </c>
      <c r="GH75" s="88" t="e">
        <f ca="1">IF(GG75=1,_xll.RiskBinomial(1,Prob_Illness_Given_Infection),0)</f>
        <v>#VALUE!</v>
      </c>
      <c r="GJ75" s="87" t="e">
        <f t="shared" ca="1" si="134"/>
        <v>#NAME?</v>
      </c>
      <c r="GK75" s="37" t="e">
        <f ca="1">INT(GJ75) + _xll.RiskBinomial(1,GJ75-INT(GJ75))</f>
        <v>#NAME?</v>
      </c>
      <c r="GL75" s="30" t="e">
        <f t="shared" ca="1" si="101"/>
        <v>#NAME?</v>
      </c>
      <c r="GM75" s="35" t="e">
        <f ca="1">_xll.RiskBinomial(1,GL75)</f>
        <v>#VALUE!</v>
      </c>
      <c r="GN75" s="88" t="e">
        <f ca="1">IF(GM75=1,_xll.RiskBinomial(1,Prob_Illness_Given_Infection),0)</f>
        <v>#VALUE!</v>
      </c>
      <c r="GP75" s="87" t="e">
        <f t="shared" ca="1" si="135"/>
        <v>#NAME?</v>
      </c>
      <c r="GQ75" s="37" t="e">
        <f ca="1">INT(GP75) + _xll.RiskBinomial(1,GP75-INT(GP75))</f>
        <v>#NAME?</v>
      </c>
      <c r="GR75" s="30" t="e">
        <f t="shared" ca="1" si="102"/>
        <v>#NAME?</v>
      </c>
      <c r="GS75" s="35" t="e">
        <f ca="1">_xll.RiskBinomial(1,GR75)</f>
        <v>#VALUE!</v>
      </c>
      <c r="GT75" s="88" t="e">
        <f ca="1">IF(GS75=1,_xll.RiskBinomial(1,Prob_Illness_Given_Infection),0)</f>
        <v>#VALUE!</v>
      </c>
    </row>
    <row r="76" spans="2:202">
      <c r="B76" s="108">
        <v>68</v>
      </c>
      <c r="C76" s="87">
        <f ca="1">_xll.RiskLoglogistic(LogLogistic_gamma, LogLogistic_beta, LogLogistic_alpha, _xll.RiskTruncate(5,800))</f>
        <v>31.60062368325422</v>
      </c>
      <c r="D76" s="38">
        <f t="shared" ca="1" si="69"/>
        <v>2.0300758060408488</v>
      </c>
      <c r="E76" s="30"/>
      <c r="F76" s="87">
        <f t="shared" ca="1" si="103"/>
        <v>7.3293692685231114E-10</v>
      </c>
      <c r="G76" s="37">
        <f ca="1">INT(F76) + _xll.RiskBinomial(1,F76-INT(F76))</f>
        <v>0</v>
      </c>
      <c r="H76" s="30">
        <f t="shared" ca="1" si="70"/>
        <v>0</v>
      </c>
      <c r="I76" s="35">
        <f ca="1">_xll.RiskBinomial(1,H76)</f>
        <v>0</v>
      </c>
      <c r="J76" s="88">
        <f ca="1">IF(I76=1,_xll.RiskBinomial(1,Prob_Illness_Given_Infection),0)</f>
        <v>0</v>
      </c>
      <c r="K76" s="30"/>
      <c r="L76" s="87">
        <f t="shared" ca="1" si="104"/>
        <v>3.7436508464400987E-5</v>
      </c>
      <c r="M76" s="37">
        <f ca="1">INT(L76) + _xll.RiskBinomial(1,L76-INT(L76))</f>
        <v>0</v>
      </c>
      <c r="N76" s="30">
        <f t="shared" ca="1" si="71"/>
        <v>0</v>
      </c>
      <c r="O76" s="35">
        <f ca="1">_xll.RiskBinomial(1,N76)</f>
        <v>0</v>
      </c>
      <c r="P76" s="88">
        <f ca="1">IF(O76=1,_xll.RiskBinomial(1,Prob_Illness_Given_Infection),0)</f>
        <v>0</v>
      </c>
      <c r="Q76" s="30"/>
      <c r="R76" s="87">
        <f t="shared" ca="1" si="105"/>
        <v>3.8700279404812447E-6</v>
      </c>
      <c r="S76" s="37">
        <f ca="1">INT(R76) + _xll.RiskBinomial(1,R76-INT(R76))</f>
        <v>0</v>
      </c>
      <c r="T76" s="30">
        <f t="shared" ca="1" si="72"/>
        <v>0</v>
      </c>
      <c r="U76" s="35">
        <f ca="1">_xll.RiskBinomial(1,T76)</f>
        <v>0</v>
      </c>
      <c r="V76" s="88">
        <f ca="1">IF(U76=1,_xll.RiskBinomial(1,Prob_Illness_Given_Infection),0)</f>
        <v>0</v>
      </c>
      <c r="W76" s="30"/>
      <c r="X76" s="87">
        <f t="shared" ca="1" si="106"/>
        <v>1.5899083081780157E-12</v>
      </c>
      <c r="Y76" s="37">
        <f ca="1">INT(X76) + _xll.RiskBinomial(1,X76-INT(X76))</f>
        <v>0</v>
      </c>
      <c r="Z76" s="30">
        <f t="shared" ca="1" si="73"/>
        <v>0</v>
      </c>
      <c r="AA76" s="35">
        <f ca="1">_xll.RiskBinomial(1,Z76)</f>
        <v>0</v>
      </c>
      <c r="AB76" s="88">
        <f ca="1">IF(AA76=1,_xll.RiskBinomial(1,Prob_Illness_Given_Infection),0)</f>
        <v>0</v>
      </c>
      <c r="AC76" s="30"/>
      <c r="AD76" s="87">
        <f t="shared" ca="1" si="107"/>
        <v>8.0102396377429639E-13</v>
      </c>
      <c r="AE76" s="37">
        <f ca="1">INT(AD76) + _xll.RiskBinomial(1,AD76-INT(AD76))</f>
        <v>0</v>
      </c>
      <c r="AF76" s="30">
        <f t="shared" ca="1" si="74"/>
        <v>0</v>
      </c>
      <c r="AG76" s="35">
        <f ca="1">_xll.RiskBinomial(1,AF76)</f>
        <v>0</v>
      </c>
      <c r="AH76" s="88">
        <f ca="1">IF(AG76=1,_xll.RiskBinomial(1,Prob_Illness_Given_Infection),0)</f>
        <v>0</v>
      </c>
      <c r="AI76" s="30"/>
      <c r="AJ76" s="87">
        <f t="shared" ca="1" si="108"/>
        <v>3.7181468105384901E-5</v>
      </c>
      <c r="AK76" s="37">
        <f ca="1">INT(AJ76) + _xll.RiskBinomial(1,AJ76-INT(AJ76))</f>
        <v>0</v>
      </c>
      <c r="AL76" s="30">
        <f t="shared" ca="1" si="75"/>
        <v>0</v>
      </c>
      <c r="AM76" s="35">
        <f ca="1">_xll.RiskBinomial(1,AL76)</f>
        <v>0</v>
      </c>
      <c r="AN76" s="88">
        <f ca="1">IF(AM76=1,_xll.RiskBinomial(1,Prob_Illness_Given_Infection),0)</f>
        <v>0</v>
      </c>
      <c r="AO76" s="30"/>
      <c r="AP76" s="87">
        <f t="shared" ca="1" si="109"/>
        <v>9.0421737552072684E-10</v>
      </c>
      <c r="AQ76" s="37">
        <f ca="1">INT(AP76) + _xll.RiskBinomial(1,AP76-INT(AP76))</f>
        <v>0</v>
      </c>
      <c r="AR76" s="30">
        <f t="shared" ca="1" si="76"/>
        <v>0</v>
      </c>
      <c r="AS76" s="35">
        <f ca="1">_xll.RiskBinomial(1,AR76)</f>
        <v>0</v>
      </c>
      <c r="AT76" s="88">
        <f ca="1">IF(AS76=1,_xll.RiskBinomial(1,Prob_Illness_Given_Infection),0)</f>
        <v>0</v>
      </c>
      <c r="AU76" s="30"/>
      <c r="AV76" s="87">
        <f t="shared" ca="1" si="110"/>
        <v>2.0977372389141417E-5</v>
      </c>
      <c r="AW76" s="37">
        <f ca="1">INT(AV76) + _xll.RiskBinomial(1,AV76-INT(AV76))</f>
        <v>0</v>
      </c>
      <c r="AX76" s="30">
        <f t="shared" ca="1" si="77"/>
        <v>0</v>
      </c>
      <c r="AY76" s="35">
        <f ca="1">_xll.RiskBinomial(1,AX76)</f>
        <v>0</v>
      </c>
      <c r="AZ76" s="88">
        <f ca="1">IF(AY76=1,_xll.RiskBinomial(1,Prob_Illness_Given_Infection),0)</f>
        <v>0</v>
      </c>
      <c r="BB76" s="87">
        <f t="shared" ca="1" si="111"/>
        <v>2.8791650821447061E-5</v>
      </c>
      <c r="BC76" s="37">
        <f ca="1">INT(BB76) + _xll.RiskBinomial(1,BB76-INT(BB76))</f>
        <v>0</v>
      </c>
      <c r="BD76" s="30">
        <f t="shared" ca="1" si="78"/>
        <v>0</v>
      </c>
      <c r="BE76" s="35">
        <f ca="1">_xll.RiskBinomial(1,BD76)</f>
        <v>0</v>
      </c>
      <c r="BF76" s="88">
        <f ca="1">IF(BE76=1,_xll.RiskBinomial(1,Prob_Illness_Given_Infection),0)</f>
        <v>0</v>
      </c>
      <c r="BH76" s="87">
        <f t="shared" ca="1" si="112"/>
        <v>3.6452289738811823E-5</v>
      </c>
      <c r="BI76" s="37">
        <f ca="1">INT(BH76) + _xll.RiskBinomial(1,BH76-INT(BH76))</f>
        <v>0</v>
      </c>
      <c r="BJ76" s="30">
        <f t="shared" ca="1" si="79"/>
        <v>0</v>
      </c>
      <c r="BK76" s="35">
        <f ca="1">_xll.RiskBinomial(1,BJ76)</f>
        <v>0</v>
      </c>
      <c r="BL76" s="88">
        <f ca="1">IF(BK76=1,_xll.RiskBinomial(1,Prob_Illness_Given_Infection),0)</f>
        <v>0</v>
      </c>
      <c r="BN76" s="87">
        <f t="shared" ca="1" si="113"/>
        <v>2.7742270989864578E-6</v>
      </c>
      <c r="BO76" s="37">
        <f ca="1">INT(BN76) + _xll.RiskBinomial(1,BN76-INT(BN76))</f>
        <v>0</v>
      </c>
      <c r="BP76" s="30">
        <f t="shared" ca="1" si="80"/>
        <v>0</v>
      </c>
      <c r="BQ76" s="35">
        <f ca="1">_xll.RiskBinomial(1,BP76)</f>
        <v>0</v>
      </c>
      <c r="BR76" s="88">
        <f ca="1">IF(BQ76=1,_xll.RiskBinomial(1,Prob_Illness_Given_Infection),0)</f>
        <v>0</v>
      </c>
      <c r="BT76" s="87">
        <f t="shared" ca="1" si="114"/>
        <v>8.3420715578766412E-6</v>
      </c>
      <c r="BU76" s="37">
        <f ca="1">INT(BT76) + _xll.RiskBinomial(1,BT76-INT(BT76))</f>
        <v>0</v>
      </c>
      <c r="BV76" s="30">
        <f t="shared" ca="1" si="81"/>
        <v>0</v>
      </c>
      <c r="BW76" s="35">
        <f ca="1">_xll.RiskBinomial(1,BV76)</f>
        <v>0</v>
      </c>
      <c r="BX76" s="88">
        <f ca="1">IF(BW76=1,_xll.RiskBinomial(1,Prob_Illness_Given_Infection),0)</f>
        <v>0</v>
      </c>
      <c r="BZ76" s="87">
        <f t="shared" ca="1" si="115"/>
        <v>2.2868430178966649E-5</v>
      </c>
      <c r="CA76" s="37">
        <f ca="1">INT(BZ76) + _xll.RiskBinomial(1,BZ76-INT(BZ76))</f>
        <v>0</v>
      </c>
      <c r="CB76" s="30">
        <f t="shared" ca="1" si="82"/>
        <v>0</v>
      </c>
      <c r="CC76" s="35">
        <f ca="1">_xll.RiskBinomial(1,CB76)</f>
        <v>0</v>
      </c>
      <c r="CD76" s="88">
        <f ca="1">IF(CC76=1,_xll.RiskBinomial(1,Prob_Illness_Given_Infection),0)</f>
        <v>0</v>
      </c>
      <c r="CF76" s="87">
        <f t="shared" ca="1" si="116"/>
        <v>4.3390557310504697E-6</v>
      </c>
      <c r="CG76" s="37">
        <f ca="1">INT(CF76) + _xll.RiskBinomial(1,CF76-INT(CF76))</f>
        <v>0</v>
      </c>
      <c r="CH76" s="30">
        <f t="shared" ca="1" si="83"/>
        <v>0</v>
      </c>
      <c r="CI76" s="35">
        <f ca="1">_xll.RiskBinomial(1,CH76)</f>
        <v>0</v>
      </c>
      <c r="CJ76" s="88">
        <f ca="1">IF(CI76=1,_xll.RiskBinomial(1,Prob_Illness_Given_Infection),0)</f>
        <v>0</v>
      </c>
      <c r="CL76" s="87">
        <f t="shared" ca="1" si="117"/>
        <v>8.3731628178694919E-6</v>
      </c>
      <c r="CM76" s="37">
        <f ca="1">INT(CL76) + _xll.RiskBinomial(1,CL76-INT(CL76))</f>
        <v>0</v>
      </c>
      <c r="CN76" s="30">
        <f t="shared" ca="1" si="84"/>
        <v>0</v>
      </c>
      <c r="CO76" s="35">
        <f ca="1">_xll.RiskBinomial(1,CN76)</f>
        <v>0</v>
      </c>
      <c r="CP76" s="88">
        <f ca="1">IF(CO76=1,_xll.RiskBinomial(1,Prob_Illness_Given_Infection),0)</f>
        <v>0</v>
      </c>
      <c r="CR76" s="87">
        <f t="shared" ca="1" si="118"/>
        <v>5.7705303843701752E-8</v>
      </c>
      <c r="CS76" s="37">
        <f ca="1">INT(CR76) + _xll.RiskBinomial(1,CR76-INT(CR76))</f>
        <v>0</v>
      </c>
      <c r="CT76" s="30">
        <f t="shared" ca="1" si="85"/>
        <v>0</v>
      </c>
      <c r="CU76" s="35">
        <f ca="1">_xll.RiskBinomial(1,CT76)</f>
        <v>0</v>
      </c>
      <c r="CV76" s="88">
        <f ca="1">IF(CU76=1,_xll.RiskBinomial(1,Prob_Illness_Given_Infection),0)</f>
        <v>0</v>
      </c>
      <c r="CX76" s="87">
        <f t="shared" ca="1" si="119"/>
        <v>5.8743343299058505E-10</v>
      </c>
      <c r="CY76" s="37">
        <f ca="1">INT(CX76) + _xll.RiskBinomial(1,CX76-INT(CX76))</f>
        <v>0</v>
      </c>
      <c r="CZ76" s="30">
        <f t="shared" ca="1" si="86"/>
        <v>0</v>
      </c>
      <c r="DA76" s="35">
        <f ca="1">_xll.RiskBinomial(1,CZ76)</f>
        <v>0</v>
      </c>
      <c r="DB76" s="88">
        <f ca="1">IF(DA76=1,_xll.RiskBinomial(1,Prob_Illness_Given_Infection),0)</f>
        <v>0</v>
      </c>
      <c r="DD76" s="87">
        <f t="shared" ca="1" si="120"/>
        <v>5.8743343299058505E-10</v>
      </c>
      <c r="DE76" s="37">
        <f ca="1">INT(DD76) + _xll.RiskBinomial(1,DD76-INT(DD76))</f>
        <v>0</v>
      </c>
      <c r="DF76" s="30">
        <f t="shared" ca="1" si="87"/>
        <v>0</v>
      </c>
      <c r="DG76" s="35">
        <f ca="1">_xll.RiskBinomial(1,DF76)</f>
        <v>0</v>
      </c>
      <c r="DH76" s="88">
        <f ca="1">IF(DG76=1,_xll.RiskBinomial(1,Prob_Illness_Given_Infection),0)</f>
        <v>0</v>
      </c>
      <c r="DJ76" s="87">
        <f t="shared" ca="1" si="121"/>
        <v>9.5919728799682338E-7</v>
      </c>
      <c r="DK76" s="37">
        <f ca="1">INT(DJ76) + _xll.RiskBinomial(1,DJ76-INT(DJ76))</f>
        <v>0</v>
      </c>
      <c r="DL76" s="30">
        <f t="shared" ca="1" si="88"/>
        <v>0</v>
      </c>
      <c r="DM76" s="35">
        <f ca="1">_xll.RiskBinomial(1,DL76)</f>
        <v>0</v>
      </c>
      <c r="DN76" s="88">
        <f ca="1">IF(DM76=1,_xll.RiskBinomial(1,Prob_Illness_Given_Infection),0)</f>
        <v>0</v>
      </c>
      <c r="DP76" s="87">
        <f t="shared" ca="1" si="122"/>
        <v>2.2674929536180402E-10</v>
      </c>
      <c r="DQ76" s="37">
        <f ca="1">INT(DP76) + _xll.RiskBinomial(1,DP76-INT(DP76))</f>
        <v>0</v>
      </c>
      <c r="DR76" s="30">
        <f t="shared" ca="1" si="89"/>
        <v>0</v>
      </c>
      <c r="DS76" s="35">
        <f ca="1">_xll.RiskBinomial(1,DR76)</f>
        <v>0</v>
      </c>
      <c r="DT76" s="88">
        <f ca="1">IF(DS76=1,_xll.RiskBinomial(1,Prob_Illness_Given_Infection),0)</f>
        <v>0</v>
      </c>
      <c r="DV76" s="87">
        <f t="shared" ca="1" si="123"/>
        <v>3.1921901105761567E-9</v>
      </c>
      <c r="DW76" s="37">
        <f ca="1">INT(DV76) + _xll.RiskBinomial(1,DV76-INT(DV76))</f>
        <v>0</v>
      </c>
      <c r="DX76" s="30">
        <f t="shared" ca="1" si="90"/>
        <v>0</v>
      </c>
      <c r="DY76" s="35">
        <f ca="1">_xll.RiskBinomial(1,DX76)</f>
        <v>0</v>
      </c>
      <c r="DZ76" s="88">
        <f ca="1">IF(DY76=1,_xll.RiskBinomial(1,Prob_Illness_Given_Infection),0)</f>
        <v>0</v>
      </c>
      <c r="EB76" s="87">
        <f t="shared" ca="1" si="124"/>
        <v>8.010239637740274E-13</v>
      </c>
      <c r="EC76" s="37">
        <f ca="1">INT(EB76) + _xll.RiskBinomial(1,EB76-INT(EB76))</f>
        <v>0</v>
      </c>
      <c r="ED76" s="30">
        <f t="shared" ca="1" si="91"/>
        <v>0</v>
      </c>
      <c r="EE76" s="35">
        <f ca="1">_xll.RiskBinomial(1,ED76)</f>
        <v>0</v>
      </c>
      <c r="EF76" s="88">
        <f ca="1">IF(EE76=1,_xll.RiskBinomial(1,Prob_Illness_Given_Infection),0)</f>
        <v>0</v>
      </c>
      <c r="EH76" s="87">
        <f t="shared" ca="1" si="125"/>
        <v>8.0102396377320395E-13</v>
      </c>
      <c r="EI76" s="37">
        <f ca="1">INT(EH76) + _xll.RiskBinomial(1,EH76-INT(EH76))</f>
        <v>0</v>
      </c>
      <c r="EJ76" s="30">
        <f t="shared" ca="1" si="92"/>
        <v>0</v>
      </c>
      <c r="EK76" s="35">
        <f ca="1">_xll.RiskBinomial(1,EJ76)</f>
        <v>0</v>
      </c>
      <c r="EL76" s="88">
        <f ca="1">IF(EK76=1,_xll.RiskBinomial(1,Prob_Illness_Given_Infection),0)</f>
        <v>0</v>
      </c>
      <c r="EN76" s="87">
        <f t="shared" ca="1" si="126"/>
        <v>7.3088600678063971E-11</v>
      </c>
      <c r="EO76" s="37">
        <f ca="1">INT(EN76) + _xll.RiskBinomial(1,EN76-INT(EN76))</f>
        <v>0</v>
      </c>
      <c r="EP76" s="30">
        <f t="shared" ca="1" si="93"/>
        <v>0</v>
      </c>
      <c r="EQ76" s="35">
        <f ca="1">_xll.RiskBinomial(1,EP76)</f>
        <v>0</v>
      </c>
      <c r="ER76" s="88">
        <f ca="1">IF(EQ76=1,_xll.RiskBinomial(1,Prob_Illness_Given_Infection),0)</f>
        <v>0</v>
      </c>
      <c r="ET76" s="87">
        <f t="shared" ca="1" si="127"/>
        <v>8.0102396377244008E-13</v>
      </c>
      <c r="EU76" s="37">
        <f ca="1">INT(ET76) + _xll.RiskBinomial(1,ET76-INT(ET76))</f>
        <v>0</v>
      </c>
      <c r="EV76" s="30">
        <f t="shared" ca="1" si="94"/>
        <v>0</v>
      </c>
      <c r="EW76" s="35">
        <f ca="1">_xll.RiskBinomial(1,EV76)</f>
        <v>0</v>
      </c>
      <c r="EX76" s="88">
        <f ca="1">IF(EW76=1,_xll.RiskBinomial(1,Prob_Illness_Given_Infection),0)</f>
        <v>0</v>
      </c>
      <c r="EZ76" s="87">
        <f t="shared" ca="1" si="128"/>
        <v>6.0414857049050601E-6</v>
      </c>
      <c r="FA76" s="37">
        <f ca="1">INT(EZ76) + _xll.RiskBinomial(1,EZ76-INT(EZ76))</f>
        <v>0</v>
      </c>
      <c r="FB76" s="30">
        <f t="shared" ca="1" si="95"/>
        <v>0</v>
      </c>
      <c r="FC76" s="35">
        <f ca="1">_xll.RiskBinomial(1,FB76)</f>
        <v>0</v>
      </c>
      <c r="FD76" s="88">
        <f ca="1">IF(FC76=1,_xll.RiskBinomial(1,Prob_Illness_Given_Infection),0)</f>
        <v>0</v>
      </c>
      <c r="FF76" s="87">
        <f t="shared" ca="1" si="129"/>
        <v>4.2084310295820775E-5</v>
      </c>
      <c r="FG76" s="37">
        <f ca="1">INT(FF76) + _xll.RiskBinomial(1,FF76-INT(FF76))</f>
        <v>0</v>
      </c>
      <c r="FH76" s="30">
        <f t="shared" ca="1" si="96"/>
        <v>0</v>
      </c>
      <c r="FI76" s="35">
        <f ca="1">_xll.RiskBinomial(1,FH76)</f>
        <v>0</v>
      </c>
      <c r="FJ76" s="88">
        <f ca="1">IF(FI76=1,_xll.RiskBinomial(1,Prob_Illness_Given_Infection),0)</f>
        <v>0</v>
      </c>
      <c r="FL76" s="87" t="e">
        <f t="shared" ca="1" si="130"/>
        <v>#NAME?</v>
      </c>
      <c r="FM76" s="37" t="e">
        <f ca="1">INT(FL76) + _xll.RiskBinomial(1,FL76-INT(FL76))</f>
        <v>#NAME?</v>
      </c>
      <c r="FN76" s="30" t="e">
        <f t="shared" ca="1" si="97"/>
        <v>#NAME?</v>
      </c>
      <c r="FO76" s="35" t="e">
        <f ca="1">_xll.RiskBinomial(1,FN76)</f>
        <v>#VALUE!</v>
      </c>
      <c r="FP76" s="88" t="e">
        <f ca="1">IF(FO76=1,_xll.RiskBinomial(1,Prob_Illness_Given_Infection),0)</f>
        <v>#VALUE!</v>
      </c>
      <c r="FR76" s="87" t="e">
        <f t="shared" ca="1" si="131"/>
        <v>#NAME?</v>
      </c>
      <c r="FS76" s="37" t="e">
        <f ca="1">INT(FR76) + _xll.RiskBinomial(1,FR76-INT(FR76))</f>
        <v>#NAME?</v>
      </c>
      <c r="FT76" s="30" t="e">
        <f t="shared" ca="1" si="98"/>
        <v>#NAME?</v>
      </c>
      <c r="FU76" s="35" t="e">
        <f ca="1">_xll.RiskBinomial(1,FT76)</f>
        <v>#VALUE!</v>
      </c>
      <c r="FV76" s="88" t="e">
        <f ca="1">IF(FU76=1,_xll.RiskBinomial(1,Prob_Illness_Given_Infection),0)</f>
        <v>#VALUE!</v>
      </c>
      <c r="FX76" s="87">
        <f t="shared" ca="1" si="132"/>
        <v>8.4569471153403049E-8</v>
      </c>
      <c r="FY76" s="37">
        <f ca="1">INT(FX76) + _xll.RiskBinomial(1,FX76-INT(FX76))</f>
        <v>0</v>
      </c>
      <c r="FZ76" s="30">
        <f t="shared" ca="1" si="99"/>
        <v>0</v>
      </c>
      <c r="GA76" s="35">
        <f ca="1">_xll.RiskBinomial(1,FZ76)</f>
        <v>0</v>
      </c>
      <c r="GB76" s="88">
        <f ca="1">IF(GA76=1,_xll.RiskBinomial(1,Prob_Illness_Given_Infection),0)</f>
        <v>0</v>
      </c>
      <c r="GD76" s="87" t="e">
        <f t="shared" ca="1" si="133"/>
        <v>#NAME?</v>
      </c>
      <c r="GE76" s="37" t="e">
        <f ca="1">INT(GD76) + _xll.RiskBinomial(1,GD76-INT(GD76))</f>
        <v>#NAME?</v>
      </c>
      <c r="GF76" s="30" t="e">
        <f t="shared" ca="1" si="100"/>
        <v>#NAME?</v>
      </c>
      <c r="GG76" s="35" t="e">
        <f ca="1">_xll.RiskBinomial(1,GF76)</f>
        <v>#VALUE!</v>
      </c>
      <c r="GH76" s="88" t="e">
        <f ca="1">IF(GG76=1,_xll.RiskBinomial(1,Prob_Illness_Given_Infection),0)</f>
        <v>#VALUE!</v>
      </c>
      <c r="GJ76" s="87" t="e">
        <f t="shared" ca="1" si="134"/>
        <v>#NAME?</v>
      </c>
      <c r="GK76" s="37" t="e">
        <f ca="1">INT(GJ76) + _xll.RiskBinomial(1,GJ76-INT(GJ76))</f>
        <v>#NAME?</v>
      </c>
      <c r="GL76" s="30" t="e">
        <f t="shared" ca="1" si="101"/>
        <v>#NAME?</v>
      </c>
      <c r="GM76" s="35" t="e">
        <f ca="1">_xll.RiskBinomial(1,GL76)</f>
        <v>#VALUE!</v>
      </c>
      <c r="GN76" s="88" t="e">
        <f ca="1">IF(GM76=1,_xll.RiskBinomial(1,Prob_Illness_Given_Infection),0)</f>
        <v>#VALUE!</v>
      </c>
      <c r="GP76" s="87" t="e">
        <f t="shared" ca="1" si="135"/>
        <v>#NAME?</v>
      </c>
      <c r="GQ76" s="37" t="e">
        <f ca="1">INT(GP76) + _xll.RiskBinomial(1,GP76-INT(GP76))</f>
        <v>#NAME?</v>
      </c>
      <c r="GR76" s="30" t="e">
        <f t="shared" ca="1" si="102"/>
        <v>#NAME?</v>
      </c>
      <c r="GS76" s="35" t="e">
        <f ca="1">_xll.RiskBinomial(1,GR76)</f>
        <v>#VALUE!</v>
      </c>
      <c r="GT76" s="88" t="e">
        <f ca="1">IF(GS76=1,_xll.RiskBinomial(1,Prob_Illness_Given_Infection),0)</f>
        <v>#VALUE!</v>
      </c>
    </row>
    <row r="77" spans="2:202">
      <c r="B77" s="108">
        <v>69</v>
      </c>
      <c r="C77" s="87">
        <f ca="1">_xll.RiskLoglogistic(LogLogistic_gamma, LogLogistic_beta, LogLogistic_alpha, _xll.RiskTruncate(5,800))</f>
        <v>53.325078824951412</v>
      </c>
      <c r="D77" s="38">
        <f t="shared" ca="1" si="69"/>
        <v>3.4256903744314666</v>
      </c>
      <c r="E77" s="30"/>
      <c r="F77" s="87">
        <f t="shared" ca="1" si="103"/>
        <v>1.2368084816891907E-9</v>
      </c>
      <c r="G77" s="37">
        <f ca="1">INT(F77) + _xll.RiskBinomial(1,F77-INT(F77))</f>
        <v>0</v>
      </c>
      <c r="H77" s="30">
        <f t="shared" ca="1" si="70"/>
        <v>0</v>
      </c>
      <c r="I77" s="35">
        <f ca="1">_xll.RiskBinomial(1,H77)</f>
        <v>0</v>
      </c>
      <c r="J77" s="88">
        <f ca="1">IF(I77=1,_xll.RiskBinomial(1,Prob_Illness_Given_Infection),0)</f>
        <v>0</v>
      </c>
      <c r="K77" s="30"/>
      <c r="L77" s="87">
        <f t="shared" ca="1" si="104"/>
        <v>6.317295458484964E-5</v>
      </c>
      <c r="M77" s="37">
        <f ca="1">INT(L77) + _xll.RiskBinomial(1,L77-INT(L77))</f>
        <v>0</v>
      </c>
      <c r="N77" s="30">
        <f t="shared" ca="1" si="71"/>
        <v>0</v>
      </c>
      <c r="O77" s="35">
        <f ca="1">_xll.RiskBinomial(1,N77)</f>
        <v>0</v>
      </c>
      <c r="P77" s="88">
        <f ca="1">IF(O77=1,_xll.RiskBinomial(1,Prob_Illness_Given_Infection),0)</f>
        <v>0</v>
      </c>
      <c r="Q77" s="30"/>
      <c r="R77" s="87">
        <f t="shared" ca="1" si="105"/>
        <v>6.5305529108998542E-6</v>
      </c>
      <c r="S77" s="37">
        <f ca="1">INT(R77) + _xll.RiskBinomial(1,R77-INT(R77))</f>
        <v>0</v>
      </c>
      <c r="T77" s="30">
        <f t="shared" ca="1" si="72"/>
        <v>0</v>
      </c>
      <c r="U77" s="35">
        <f ca="1">_xll.RiskBinomial(1,T77)</f>
        <v>0</v>
      </c>
      <c r="V77" s="88">
        <f ca="1">IF(U77=1,_xll.RiskBinomial(1,Prob_Illness_Given_Infection),0)</f>
        <v>0</v>
      </c>
      <c r="W77" s="30"/>
      <c r="X77" s="87">
        <f t="shared" ca="1" si="106"/>
        <v>2.6829212837012905E-12</v>
      </c>
      <c r="Y77" s="37">
        <f ca="1">INT(X77) + _xll.RiskBinomial(1,X77-INT(X77))</f>
        <v>0</v>
      </c>
      <c r="Z77" s="30">
        <f t="shared" ca="1" si="73"/>
        <v>0</v>
      </c>
      <c r="AA77" s="35">
        <f ca="1">_xll.RiskBinomial(1,Z77)</f>
        <v>0</v>
      </c>
      <c r="AB77" s="88">
        <f ca="1">IF(AA77=1,_xll.RiskBinomial(1,Prob_Illness_Given_Infection),0)</f>
        <v>0</v>
      </c>
      <c r="AC77" s="30"/>
      <c r="AD77" s="87">
        <f t="shared" ca="1" si="107"/>
        <v>1.3517032586788691E-12</v>
      </c>
      <c r="AE77" s="37">
        <f ca="1">INT(AD77) + _xll.RiskBinomial(1,AD77-INT(AD77))</f>
        <v>0</v>
      </c>
      <c r="AF77" s="30">
        <f t="shared" ca="1" si="74"/>
        <v>0</v>
      </c>
      <c r="AG77" s="35">
        <f ca="1">_xll.RiskBinomial(1,AF77)</f>
        <v>0</v>
      </c>
      <c r="AH77" s="88">
        <f ca="1">IF(AG77=1,_xll.RiskBinomial(1,Prob_Illness_Given_Infection),0)</f>
        <v>0</v>
      </c>
      <c r="AI77" s="30"/>
      <c r="AJ77" s="87">
        <f t="shared" ca="1" si="108"/>
        <v>6.2742581837007844E-5</v>
      </c>
      <c r="AK77" s="37">
        <f ca="1">INT(AJ77) + _xll.RiskBinomial(1,AJ77-INT(AJ77))</f>
        <v>0</v>
      </c>
      <c r="AL77" s="30">
        <f t="shared" ca="1" si="75"/>
        <v>0</v>
      </c>
      <c r="AM77" s="35">
        <f ca="1">_xll.RiskBinomial(1,AL77)</f>
        <v>0</v>
      </c>
      <c r="AN77" s="88">
        <f ca="1">IF(AM77=1,_xll.RiskBinomial(1,Prob_Illness_Given_Infection),0)</f>
        <v>0</v>
      </c>
      <c r="AO77" s="30"/>
      <c r="AP77" s="87">
        <f t="shared" ca="1" si="109"/>
        <v>1.5258389615292563E-9</v>
      </c>
      <c r="AQ77" s="37">
        <f ca="1">INT(AP77) + _xll.RiskBinomial(1,AP77-INT(AP77))</f>
        <v>0</v>
      </c>
      <c r="AR77" s="30">
        <f t="shared" ca="1" si="76"/>
        <v>0</v>
      </c>
      <c r="AS77" s="35">
        <f ca="1">_xll.RiskBinomial(1,AR77)</f>
        <v>0</v>
      </c>
      <c r="AT77" s="88">
        <f ca="1">IF(AS77=1,_xll.RiskBinomial(1,Prob_Illness_Given_Infection),0)</f>
        <v>0</v>
      </c>
      <c r="AU77" s="30"/>
      <c r="AV77" s="87">
        <f t="shared" ca="1" si="110"/>
        <v>3.539866957702178E-5</v>
      </c>
      <c r="AW77" s="37">
        <f ca="1">INT(AV77) + _xll.RiskBinomial(1,AV77-INT(AV77))</f>
        <v>0</v>
      </c>
      <c r="AX77" s="30">
        <f t="shared" ca="1" si="77"/>
        <v>0</v>
      </c>
      <c r="AY77" s="35">
        <f ca="1">_xll.RiskBinomial(1,AX77)</f>
        <v>0</v>
      </c>
      <c r="AZ77" s="88">
        <f ca="1">IF(AY77=1,_xll.RiskBinomial(1,Prob_Illness_Given_Infection),0)</f>
        <v>0</v>
      </c>
      <c r="BB77" s="87">
        <f t="shared" ca="1" si="111"/>
        <v>4.8585023667356774E-5</v>
      </c>
      <c r="BC77" s="37">
        <f ca="1">INT(BB77) + _xll.RiskBinomial(1,BB77-INT(BB77))</f>
        <v>0</v>
      </c>
      <c r="BD77" s="30">
        <f t="shared" ca="1" si="78"/>
        <v>0</v>
      </c>
      <c r="BE77" s="35">
        <f ca="1">_xll.RiskBinomial(1,BD77)</f>
        <v>0</v>
      </c>
      <c r="BF77" s="88">
        <f ca="1">IF(BE77=1,_xll.RiskBinomial(1,Prob_Illness_Given_Infection),0)</f>
        <v>0</v>
      </c>
      <c r="BH77" s="87">
        <f t="shared" ca="1" si="112"/>
        <v>6.1512115809985615E-5</v>
      </c>
      <c r="BI77" s="37">
        <f ca="1">INT(BH77) + _xll.RiskBinomial(1,BH77-INT(BH77))</f>
        <v>0</v>
      </c>
      <c r="BJ77" s="30">
        <f t="shared" ca="1" si="79"/>
        <v>0</v>
      </c>
      <c r="BK77" s="35">
        <f ca="1">_xll.RiskBinomial(1,BJ77)</f>
        <v>0</v>
      </c>
      <c r="BL77" s="88">
        <f ca="1">IF(BK77=1,_xll.RiskBinomial(1,Prob_Illness_Given_Infection),0)</f>
        <v>0</v>
      </c>
      <c r="BN77" s="87">
        <f t="shared" ca="1" si="113"/>
        <v>4.6814227533794915E-6</v>
      </c>
      <c r="BO77" s="37">
        <f ca="1">INT(BN77) + _xll.RiskBinomial(1,BN77-INT(BN77))</f>
        <v>0</v>
      </c>
      <c r="BP77" s="30">
        <f t="shared" ca="1" si="80"/>
        <v>0</v>
      </c>
      <c r="BQ77" s="35">
        <f ca="1">_xll.RiskBinomial(1,BP77)</f>
        <v>0</v>
      </c>
      <c r="BR77" s="88">
        <f ca="1">IF(BQ77=1,_xll.RiskBinomial(1,Prob_Illness_Given_Infection),0)</f>
        <v>0</v>
      </c>
      <c r="BT77" s="87">
        <f t="shared" ca="1" si="114"/>
        <v>1.4076988728006885E-5</v>
      </c>
      <c r="BU77" s="37">
        <f ca="1">INT(BT77) + _xll.RiskBinomial(1,BT77-INT(BT77))</f>
        <v>0</v>
      </c>
      <c r="BV77" s="30">
        <f t="shared" ca="1" si="81"/>
        <v>0</v>
      </c>
      <c r="BW77" s="35">
        <f ca="1">_xll.RiskBinomial(1,BV77)</f>
        <v>0</v>
      </c>
      <c r="BX77" s="88">
        <f ca="1">IF(BW77=1,_xll.RiskBinomial(1,Prob_Illness_Given_Infection),0)</f>
        <v>0</v>
      </c>
      <c r="BZ77" s="87">
        <f t="shared" ca="1" si="115"/>
        <v>3.8589771332345881E-5</v>
      </c>
      <c r="CA77" s="37">
        <f ca="1">INT(BZ77) + _xll.RiskBinomial(1,BZ77-INT(BZ77))</f>
        <v>0</v>
      </c>
      <c r="CB77" s="30">
        <f t="shared" ca="1" si="82"/>
        <v>0</v>
      </c>
      <c r="CC77" s="35">
        <f ca="1">_xll.RiskBinomial(1,CB77)</f>
        <v>0</v>
      </c>
      <c r="CD77" s="88">
        <f ca="1">IF(CC77=1,_xll.RiskBinomial(1,Prob_Illness_Given_Infection),0)</f>
        <v>0</v>
      </c>
      <c r="CF77" s="87">
        <f t="shared" ca="1" si="116"/>
        <v>7.3220228563633198E-6</v>
      </c>
      <c r="CG77" s="37">
        <f ca="1">INT(CF77) + _xll.RiskBinomial(1,CF77-INT(CF77))</f>
        <v>0</v>
      </c>
      <c r="CH77" s="30">
        <f t="shared" ca="1" si="83"/>
        <v>0</v>
      </c>
      <c r="CI77" s="35">
        <f ca="1">_xll.RiskBinomial(1,CH77)</f>
        <v>0</v>
      </c>
      <c r="CJ77" s="88">
        <f ca="1">IF(CI77=1,_xll.RiskBinomial(1,Prob_Illness_Given_Infection),0)</f>
        <v>0</v>
      </c>
      <c r="CL77" s="87">
        <f t="shared" ca="1" si="117"/>
        <v>1.4129454271298183E-5</v>
      </c>
      <c r="CM77" s="37">
        <f ca="1">INT(CL77) + _xll.RiskBinomial(1,CL77-INT(CL77))</f>
        <v>0</v>
      </c>
      <c r="CN77" s="30">
        <f t="shared" ca="1" si="84"/>
        <v>0</v>
      </c>
      <c r="CO77" s="35">
        <f ca="1">_xll.RiskBinomial(1,CN77)</f>
        <v>0</v>
      </c>
      <c r="CP77" s="88">
        <f ca="1">IF(CO77=1,_xll.RiskBinomial(1,Prob_Illness_Given_Infection),0)</f>
        <v>0</v>
      </c>
      <c r="CR77" s="87">
        <f t="shared" ca="1" si="118"/>
        <v>9.7375922289590856E-8</v>
      </c>
      <c r="CS77" s="37">
        <f ca="1">INT(CR77) + _xll.RiskBinomial(1,CR77-INT(CR77))</f>
        <v>0</v>
      </c>
      <c r="CT77" s="30">
        <f t="shared" ca="1" si="85"/>
        <v>0</v>
      </c>
      <c r="CU77" s="35">
        <f ca="1">_xll.RiskBinomial(1,CT77)</f>
        <v>0</v>
      </c>
      <c r="CV77" s="88">
        <f ca="1">IF(CU77=1,_xll.RiskBinomial(1,Prob_Illness_Given_Infection),0)</f>
        <v>0</v>
      </c>
      <c r="CX77" s="87">
        <f t="shared" ca="1" si="119"/>
        <v>9.9127581887677879E-10</v>
      </c>
      <c r="CY77" s="37">
        <f ca="1">INT(CX77) + _xll.RiskBinomial(1,CX77-INT(CX77))</f>
        <v>0</v>
      </c>
      <c r="CZ77" s="30">
        <f t="shared" ca="1" si="86"/>
        <v>0</v>
      </c>
      <c r="DA77" s="35">
        <f ca="1">_xll.RiskBinomial(1,CZ77)</f>
        <v>0</v>
      </c>
      <c r="DB77" s="88">
        <f ca="1">IF(DA77=1,_xll.RiskBinomial(1,Prob_Illness_Given_Infection),0)</f>
        <v>0</v>
      </c>
      <c r="DD77" s="87">
        <f t="shared" ca="1" si="120"/>
        <v>9.9127581887677879E-10</v>
      </c>
      <c r="DE77" s="37">
        <f ca="1">INT(DD77) + _xll.RiskBinomial(1,DD77-INT(DD77))</f>
        <v>0</v>
      </c>
      <c r="DF77" s="30">
        <f t="shared" ca="1" si="87"/>
        <v>0</v>
      </c>
      <c r="DG77" s="35">
        <f ca="1">_xll.RiskBinomial(1,DF77)</f>
        <v>0</v>
      </c>
      <c r="DH77" s="88">
        <f ca="1">IF(DG77=1,_xll.RiskBinomial(1,Prob_Illness_Given_Infection),0)</f>
        <v>0</v>
      </c>
      <c r="DJ77" s="87">
        <f t="shared" ca="1" si="121"/>
        <v>1.6186158698575056E-6</v>
      </c>
      <c r="DK77" s="37">
        <f ca="1">INT(DJ77) + _xll.RiskBinomial(1,DJ77-INT(DJ77))</f>
        <v>0</v>
      </c>
      <c r="DL77" s="30">
        <f t="shared" ca="1" si="88"/>
        <v>0</v>
      </c>
      <c r="DM77" s="35">
        <f ca="1">_xll.RiskBinomial(1,DL77)</f>
        <v>0</v>
      </c>
      <c r="DN77" s="88">
        <f ca="1">IF(DM77=1,_xll.RiskBinomial(1,Prob_Illness_Given_Infection),0)</f>
        <v>0</v>
      </c>
      <c r="DP77" s="87">
        <f t="shared" ca="1" si="122"/>
        <v>3.8263244959553965E-10</v>
      </c>
      <c r="DQ77" s="37">
        <f ca="1">INT(DP77) + _xll.RiskBinomial(1,DP77-INT(DP77))</f>
        <v>0</v>
      </c>
      <c r="DR77" s="30">
        <f t="shared" ca="1" si="89"/>
        <v>0</v>
      </c>
      <c r="DS77" s="35">
        <f ca="1">_xll.RiskBinomial(1,DR77)</f>
        <v>0</v>
      </c>
      <c r="DT77" s="88">
        <f ca="1">IF(DS77=1,_xll.RiskBinomial(1,Prob_Illness_Given_Infection),0)</f>
        <v>0</v>
      </c>
      <c r="DV77" s="87">
        <f t="shared" ca="1" si="123"/>
        <v>5.3867224576617693E-9</v>
      </c>
      <c r="DW77" s="37">
        <f ca="1">INT(DV77) + _xll.RiskBinomial(1,DV77-INT(DV77))</f>
        <v>0</v>
      </c>
      <c r="DX77" s="30">
        <f t="shared" ca="1" si="90"/>
        <v>0</v>
      </c>
      <c r="DY77" s="35">
        <f ca="1">_xll.RiskBinomial(1,DX77)</f>
        <v>0</v>
      </c>
      <c r="DZ77" s="88">
        <f ca="1">IF(DY77=1,_xll.RiskBinomial(1,Prob_Illness_Given_Infection),0)</f>
        <v>0</v>
      </c>
      <c r="EB77" s="87">
        <f t="shared" ca="1" si="124"/>
        <v>1.3517032586784151E-12</v>
      </c>
      <c r="EC77" s="37">
        <f ca="1">INT(EB77) + _xll.RiskBinomial(1,EB77-INT(EB77))</f>
        <v>0</v>
      </c>
      <c r="ED77" s="30">
        <f t="shared" ca="1" si="91"/>
        <v>0</v>
      </c>
      <c r="EE77" s="35">
        <f ca="1">_xll.RiskBinomial(1,ED77)</f>
        <v>0</v>
      </c>
      <c r="EF77" s="88">
        <f ca="1">IF(EE77=1,_xll.RiskBinomial(1,Prob_Illness_Given_Infection),0)</f>
        <v>0</v>
      </c>
      <c r="EH77" s="87">
        <f t="shared" ca="1" si="125"/>
        <v>1.3517032586770255E-12</v>
      </c>
      <c r="EI77" s="37">
        <f ca="1">INT(EH77) + _xll.RiskBinomial(1,EH77-INT(EH77))</f>
        <v>0</v>
      </c>
      <c r="EJ77" s="30">
        <f t="shared" ca="1" si="92"/>
        <v>0</v>
      </c>
      <c r="EK77" s="35">
        <f ca="1">_xll.RiskBinomial(1,EJ77)</f>
        <v>0</v>
      </c>
      <c r="EL77" s="88">
        <f ca="1">IF(EK77=1,_xll.RiskBinomial(1,Prob_Illness_Given_Infection),0)</f>
        <v>0</v>
      </c>
      <c r="EN77" s="87">
        <f t="shared" ca="1" si="126"/>
        <v>1.2333476172587361E-10</v>
      </c>
      <c r="EO77" s="37">
        <f ca="1">INT(EN77) + _xll.RiskBinomial(1,EN77-INT(EN77))</f>
        <v>0</v>
      </c>
      <c r="EP77" s="30">
        <f t="shared" ca="1" si="93"/>
        <v>0</v>
      </c>
      <c r="EQ77" s="35">
        <f ca="1">_xll.RiskBinomial(1,EP77)</f>
        <v>0</v>
      </c>
      <c r="ER77" s="88">
        <f ca="1">IF(EQ77=1,_xll.RiskBinomial(1,Prob_Illness_Given_Infection),0)</f>
        <v>0</v>
      </c>
      <c r="ET77" s="87">
        <f t="shared" ca="1" si="127"/>
        <v>1.3517032586757365E-12</v>
      </c>
      <c r="EU77" s="37">
        <f ca="1">INT(ET77) + _xll.RiskBinomial(1,ET77-INT(ET77))</f>
        <v>0</v>
      </c>
      <c r="EV77" s="30">
        <f t="shared" ca="1" si="94"/>
        <v>0</v>
      </c>
      <c r="EW77" s="35">
        <f ca="1">_xll.RiskBinomial(1,EV77)</f>
        <v>0</v>
      </c>
      <c r="EX77" s="88">
        <f ca="1">IF(EW77=1,_xll.RiskBinomial(1,Prob_Illness_Given_Infection),0)</f>
        <v>0</v>
      </c>
      <c r="EZ77" s="87">
        <f t="shared" ca="1" si="128"/>
        <v>1.0194820984011137E-5</v>
      </c>
      <c r="FA77" s="37">
        <f ca="1">INT(EZ77) + _xll.RiskBinomial(1,EZ77-INT(EZ77))</f>
        <v>0</v>
      </c>
      <c r="FB77" s="30">
        <f t="shared" ca="1" si="95"/>
        <v>0</v>
      </c>
      <c r="FC77" s="35">
        <f ca="1">_xll.RiskBinomial(1,FB77)</f>
        <v>0</v>
      </c>
      <c r="FD77" s="88">
        <f ca="1">IF(FC77=1,_xll.RiskBinomial(1,Prob_Illness_Given_Infection),0)</f>
        <v>0</v>
      </c>
      <c r="FF77" s="87">
        <f t="shared" ca="1" si="129"/>
        <v>7.1015976972871415E-5</v>
      </c>
      <c r="FG77" s="37">
        <f ca="1">INT(FF77) + _xll.RiskBinomial(1,FF77-INT(FF77))</f>
        <v>0</v>
      </c>
      <c r="FH77" s="30">
        <f t="shared" ca="1" si="96"/>
        <v>0</v>
      </c>
      <c r="FI77" s="35">
        <f ca="1">_xll.RiskBinomial(1,FH77)</f>
        <v>0</v>
      </c>
      <c r="FJ77" s="88">
        <f ca="1">IF(FI77=1,_xll.RiskBinomial(1,Prob_Illness_Given_Infection),0)</f>
        <v>0</v>
      </c>
      <c r="FL77" s="87" t="e">
        <f t="shared" ca="1" si="130"/>
        <v>#NAME?</v>
      </c>
      <c r="FM77" s="37" t="e">
        <f ca="1">INT(FL77) + _xll.RiskBinomial(1,FL77-INT(FL77))</f>
        <v>#NAME?</v>
      </c>
      <c r="FN77" s="30" t="e">
        <f t="shared" ca="1" si="97"/>
        <v>#NAME?</v>
      </c>
      <c r="FO77" s="35" t="e">
        <f ca="1">_xll.RiskBinomial(1,FN77)</f>
        <v>#VALUE!</v>
      </c>
      <c r="FP77" s="88" t="e">
        <f ca="1">IF(FO77=1,_xll.RiskBinomial(1,Prob_Illness_Given_Infection),0)</f>
        <v>#VALUE!</v>
      </c>
      <c r="FR77" s="87" t="e">
        <f t="shared" ca="1" si="131"/>
        <v>#NAME?</v>
      </c>
      <c r="FS77" s="37" t="e">
        <f ca="1">INT(FR77) + _xll.RiskBinomial(1,FR77-INT(FR77))</f>
        <v>#NAME?</v>
      </c>
      <c r="FT77" s="30" t="e">
        <f t="shared" ca="1" si="98"/>
        <v>#NAME?</v>
      </c>
      <c r="FU77" s="35" t="e">
        <f ca="1">_xll.RiskBinomial(1,FT77)</f>
        <v>#VALUE!</v>
      </c>
      <c r="FV77" s="88" t="e">
        <f ca="1">IF(FU77=1,_xll.RiskBinomial(1,Prob_Illness_Given_Infection),0)</f>
        <v>#VALUE!</v>
      </c>
      <c r="FX77" s="87">
        <f t="shared" ca="1" si="132"/>
        <v>1.4270837691818832E-7</v>
      </c>
      <c r="FY77" s="37">
        <f ca="1">INT(FX77) + _xll.RiskBinomial(1,FX77-INT(FX77))</f>
        <v>0</v>
      </c>
      <c r="FZ77" s="30">
        <f t="shared" ca="1" si="99"/>
        <v>0</v>
      </c>
      <c r="GA77" s="35">
        <f ca="1">_xll.RiskBinomial(1,FZ77)</f>
        <v>0</v>
      </c>
      <c r="GB77" s="88">
        <f ca="1">IF(GA77=1,_xll.RiskBinomial(1,Prob_Illness_Given_Infection),0)</f>
        <v>0</v>
      </c>
      <c r="GD77" s="87" t="e">
        <f t="shared" ca="1" si="133"/>
        <v>#NAME?</v>
      </c>
      <c r="GE77" s="37" t="e">
        <f ca="1">INT(GD77) + _xll.RiskBinomial(1,GD77-INT(GD77))</f>
        <v>#NAME?</v>
      </c>
      <c r="GF77" s="30" t="e">
        <f t="shared" ca="1" si="100"/>
        <v>#NAME?</v>
      </c>
      <c r="GG77" s="35" t="e">
        <f ca="1">_xll.RiskBinomial(1,GF77)</f>
        <v>#VALUE!</v>
      </c>
      <c r="GH77" s="88" t="e">
        <f ca="1">IF(GG77=1,_xll.RiskBinomial(1,Prob_Illness_Given_Infection),0)</f>
        <v>#VALUE!</v>
      </c>
      <c r="GJ77" s="87" t="e">
        <f t="shared" ca="1" si="134"/>
        <v>#NAME?</v>
      </c>
      <c r="GK77" s="37" t="e">
        <f ca="1">INT(GJ77) + _xll.RiskBinomial(1,GJ77-INT(GJ77))</f>
        <v>#NAME?</v>
      </c>
      <c r="GL77" s="30" t="e">
        <f t="shared" ca="1" si="101"/>
        <v>#NAME?</v>
      </c>
      <c r="GM77" s="35" t="e">
        <f ca="1">_xll.RiskBinomial(1,GL77)</f>
        <v>#VALUE!</v>
      </c>
      <c r="GN77" s="88" t="e">
        <f ca="1">IF(GM77=1,_xll.RiskBinomial(1,Prob_Illness_Given_Infection),0)</f>
        <v>#VALUE!</v>
      </c>
      <c r="GP77" s="87" t="e">
        <f t="shared" ca="1" si="135"/>
        <v>#NAME?</v>
      </c>
      <c r="GQ77" s="37" t="e">
        <f ca="1">INT(GP77) + _xll.RiskBinomial(1,GP77-INT(GP77))</f>
        <v>#NAME?</v>
      </c>
      <c r="GR77" s="30" t="e">
        <f t="shared" ca="1" si="102"/>
        <v>#NAME?</v>
      </c>
      <c r="GS77" s="35" t="e">
        <f ca="1">_xll.RiskBinomial(1,GR77)</f>
        <v>#VALUE!</v>
      </c>
      <c r="GT77" s="88" t="e">
        <f ca="1">IF(GS77=1,_xll.RiskBinomial(1,Prob_Illness_Given_Infection),0)</f>
        <v>#VALUE!</v>
      </c>
    </row>
    <row r="78" spans="2:202">
      <c r="B78" s="108">
        <v>70</v>
      </c>
      <c r="C78" s="87">
        <f ca="1">_xll.RiskLoglogistic(LogLogistic_gamma, LogLogistic_beta, LogLogistic_alpha, _xll.RiskTruncate(5,800))</f>
        <v>49.457692187112485</v>
      </c>
      <c r="D78" s="38">
        <f t="shared" ca="1" si="69"/>
        <v>3.1772431246310489</v>
      </c>
      <c r="E78" s="30"/>
      <c r="F78" s="87">
        <f t="shared" ca="1" si="103"/>
        <v>1.1471092875941881E-9</v>
      </c>
      <c r="G78" s="37">
        <f ca="1">INT(F78) + _xll.RiskBinomial(1,F78-INT(F78))</f>
        <v>0</v>
      </c>
      <c r="H78" s="30">
        <f t="shared" ca="1" si="70"/>
        <v>0</v>
      </c>
      <c r="I78" s="35">
        <f ca="1">_xll.RiskBinomial(1,H78)</f>
        <v>0</v>
      </c>
      <c r="J78" s="88">
        <f ca="1">IF(I78=1,_xll.RiskBinomial(1,Prob_Illness_Given_Infection),0)</f>
        <v>0</v>
      </c>
      <c r="K78" s="30"/>
      <c r="L78" s="87">
        <f t="shared" ca="1" si="104"/>
        <v>5.8591353472992774E-5</v>
      </c>
      <c r="M78" s="37">
        <f ca="1">INT(L78) + _xll.RiskBinomial(1,L78-INT(L78))</f>
        <v>0</v>
      </c>
      <c r="N78" s="30">
        <f t="shared" ca="1" si="71"/>
        <v>0</v>
      </c>
      <c r="O78" s="35">
        <f ca="1">_xll.RiskBinomial(1,N78)</f>
        <v>0</v>
      </c>
      <c r="P78" s="88">
        <f ca="1">IF(O78=1,_xll.RiskBinomial(1,Prob_Illness_Given_Infection),0)</f>
        <v>0</v>
      </c>
      <c r="Q78" s="30"/>
      <c r="R78" s="87">
        <f t="shared" ca="1" si="105"/>
        <v>6.0569263617817206E-6</v>
      </c>
      <c r="S78" s="37">
        <f ca="1">INT(R78) + _xll.RiskBinomial(1,R78-INT(R78))</f>
        <v>0</v>
      </c>
      <c r="T78" s="30">
        <f t="shared" ca="1" si="72"/>
        <v>0</v>
      </c>
      <c r="U78" s="35">
        <f ca="1">_xll.RiskBinomial(1,T78)</f>
        <v>0</v>
      </c>
      <c r="V78" s="88">
        <f ca="1">IF(U78=1,_xll.RiskBinomial(1,Prob_Illness_Given_Infection),0)</f>
        <v>0</v>
      </c>
      <c r="W78" s="30"/>
      <c r="X78" s="87">
        <f t="shared" ca="1" si="106"/>
        <v>2.4883431573937673E-12</v>
      </c>
      <c r="Y78" s="37">
        <f ca="1">INT(X78) + _xll.RiskBinomial(1,X78-INT(X78))</f>
        <v>0</v>
      </c>
      <c r="Z78" s="30">
        <f t="shared" ca="1" si="73"/>
        <v>0</v>
      </c>
      <c r="AA78" s="35">
        <f ca="1">_xll.RiskBinomial(1,Z78)</f>
        <v>0</v>
      </c>
      <c r="AB78" s="88">
        <f ca="1">IF(AA78=1,_xll.RiskBinomial(1,Prob_Illness_Given_Infection),0)</f>
        <v>0</v>
      </c>
      <c r="AC78" s="30"/>
      <c r="AD78" s="87">
        <f t="shared" ca="1" si="107"/>
        <v>1.2536713525639558E-12</v>
      </c>
      <c r="AE78" s="37">
        <f ca="1">INT(AD78) + _xll.RiskBinomial(1,AD78-INT(AD78))</f>
        <v>0</v>
      </c>
      <c r="AF78" s="30">
        <f t="shared" ca="1" si="74"/>
        <v>0</v>
      </c>
      <c r="AG78" s="35">
        <f ca="1">_xll.RiskBinomial(1,AF78)</f>
        <v>0</v>
      </c>
      <c r="AH78" s="88">
        <f ca="1">IF(AG78=1,_xll.RiskBinomial(1,Prob_Illness_Given_Infection),0)</f>
        <v>0</v>
      </c>
      <c r="AI78" s="30"/>
      <c r="AJ78" s="87">
        <f t="shared" ca="1" si="108"/>
        <v>5.8192193390016547E-5</v>
      </c>
      <c r="AK78" s="37">
        <f ca="1">INT(AJ78) + _xll.RiskBinomial(1,AJ78-INT(AJ78))</f>
        <v>0</v>
      </c>
      <c r="AL78" s="30">
        <f t="shared" ca="1" si="75"/>
        <v>0</v>
      </c>
      <c r="AM78" s="35">
        <f ca="1">_xll.RiskBinomial(1,AL78)</f>
        <v>0</v>
      </c>
      <c r="AN78" s="88">
        <f ca="1">IF(AM78=1,_xll.RiskBinomial(1,Prob_Illness_Given_Infection),0)</f>
        <v>0</v>
      </c>
      <c r="AO78" s="30"/>
      <c r="AP78" s="87">
        <f t="shared" ca="1" si="109"/>
        <v>1.4151779115815698E-9</v>
      </c>
      <c r="AQ78" s="37">
        <f ca="1">INT(AP78) + _xll.RiskBinomial(1,AP78-INT(AP78))</f>
        <v>0</v>
      </c>
      <c r="AR78" s="30">
        <f t="shared" ca="1" si="76"/>
        <v>0</v>
      </c>
      <c r="AS78" s="35">
        <f ca="1">_xll.RiskBinomial(1,AR78)</f>
        <v>0</v>
      </c>
      <c r="AT78" s="88">
        <f ca="1">IF(AS78=1,_xll.RiskBinomial(1,Prob_Illness_Given_Infection),0)</f>
        <v>0</v>
      </c>
      <c r="AU78" s="30"/>
      <c r="AV78" s="87">
        <f t="shared" ca="1" si="110"/>
        <v>3.2831390826832815E-5</v>
      </c>
      <c r="AW78" s="37">
        <f ca="1">INT(AV78) + _xll.RiskBinomial(1,AV78-INT(AV78))</f>
        <v>0</v>
      </c>
      <c r="AX78" s="30">
        <f t="shared" ca="1" si="77"/>
        <v>0</v>
      </c>
      <c r="AY78" s="35">
        <f ca="1">_xll.RiskBinomial(1,AX78)</f>
        <v>0</v>
      </c>
      <c r="AZ78" s="88">
        <f ca="1">IF(AY78=1,_xll.RiskBinomial(1,Prob_Illness_Given_Infection),0)</f>
        <v>0</v>
      </c>
      <c r="BB78" s="87">
        <f t="shared" ca="1" si="111"/>
        <v>4.506140822279218E-5</v>
      </c>
      <c r="BC78" s="37">
        <f ca="1">INT(BB78) + _xll.RiskBinomial(1,BB78-INT(BB78))</f>
        <v>0</v>
      </c>
      <c r="BD78" s="30">
        <f t="shared" ca="1" si="78"/>
        <v>0</v>
      </c>
      <c r="BE78" s="35">
        <f ca="1">_xll.RiskBinomial(1,BD78)</f>
        <v>0</v>
      </c>
      <c r="BF78" s="88">
        <f ca="1">IF(BE78=1,_xll.RiskBinomial(1,Prob_Illness_Given_Infection),0)</f>
        <v>0</v>
      </c>
      <c r="BH78" s="87">
        <f t="shared" ca="1" si="112"/>
        <v>5.7050966572313471E-5</v>
      </c>
      <c r="BI78" s="37">
        <f ca="1">INT(BH78) + _xll.RiskBinomial(1,BH78-INT(BH78))</f>
        <v>0</v>
      </c>
      <c r="BJ78" s="30">
        <f t="shared" ca="1" si="79"/>
        <v>0</v>
      </c>
      <c r="BK78" s="35">
        <f ca="1">_xll.RiskBinomial(1,BJ78)</f>
        <v>0</v>
      </c>
      <c r="BL78" s="88">
        <f ca="1">IF(BK78=1,_xll.RiskBinomial(1,Prob_Illness_Given_Infection),0)</f>
        <v>0</v>
      </c>
      <c r="BN78" s="87">
        <f t="shared" ca="1" si="113"/>
        <v>4.3419038590534787E-6</v>
      </c>
      <c r="BO78" s="37">
        <f ca="1">INT(BN78) + _xll.RiskBinomial(1,BN78-INT(BN78))</f>
        <v>0</v>
      </c>
      <c r="BP78" s="30">
        <f t="shared" ca="1" si="80"/>
        <v>0</v>
      </c>
      <c r="BQ78" s="35">
        <f ca="1">_xll.RiskBinomial(1,BP78)</f>
        <v>0</v>
      </c>
      <c r="BR78" s="88">
        <f ca="1">IF(BQ78=1,_xll.RiskBinomial(1,Prob_Illness_Given_Infection),0)</f>
        <v>0</v>
      </c>
      <c r="BT78" s="87">
        <f t="shared" ca="1" si="114"/>
        <v>1.3056059002119085E-5</v>
      </c>
      <c r="BU78" s="37">
        <f ca="1">INT(BT78) + _xll.RiskBinomial(1,BT78-INT(BT78))</f>
        <v>0</v>
      </c>
      <c r="BV78" s="30">
        <f t="shared" ca="1" si="81"/>
        <v>0</v>
      </c>
      <c r="BW78" s="35">
        <f ca="1">_xll.RiskBinomial(1,BV78)</f>
        <v>0</v>
      </c>
      <c r="BX78" s="88">
        <f ca="1">IF(BW78=1,_xll.RiskBinomial(1,Prob_Illness_Given_Infection),0)</f>
        <v>0</v>
      </c>
      <c r="BZ78" s="87">
        <f t="shared" ca="1" si="115"/>
        <v>3.5791058807271427E-5</v>
      </c>
      <c r="CA78" s="37">
        <f ca="1">INT(BZ78) + _xll.RiskBinomial(1,BZ78-INT(BZ78))</f>
        <v>0</v>
      </c>
      <c r="CB78" s="30">
        <f t="shared" ca="1" si="82"/>
        <v>0</v>
      </c>
      <c r="CC78" s="35">
        <f ca="1">_xll.RiskBinomial(1,CB78)</f>
        <v>0</v>
      </c>
      <c r="CD78" s="88">
        <f ca="1">IF(CC78=1,_xll.RiskBinomial(1,Prob_Illness_Given_Infection),0)</f>
        <v>0</v>
      </c>
      <c r="CF78" s="87">
        <f t="shared" ca="1" si="116"/>
        <v>6.7909951676916107E-6</v>
      </c>
      <c r="CG78" s="37">
        <f ca="1">INT(CF78) + _xll.RiskBinomial(1,CF78-INT(CF78))</f>
        <v>0</v>
      </c>
      <c r="CH78" s="30">
        <f t="shared" ca="1" si="83"/>
        <v>0</v>
      </c>
      <c r="CI78" s="35">
        <f ca="1">_xll.RiskBinomial(1,CH78)</f>
        <v>0</v>
      </c>
      <c r="CJ78" s="88">
        <f ca="1">IF(CI78=1,_xll.RiskBinomial(1,Prob_Illness_Given_Infection),0)</f>
        <v>0</v>
      </c>
      <c r="CL78" s="87">
        <f t="shared" ca="1" si="117"/>
        <v>1.3104719496350113E-5</v>
      </c>
      <c r="CM78" s="37">
        <f ca="1">INT(CL78) + _xll.RiskBinomial(1,CL78-INT(CL78))</f>
        <v>0</v>
      </c>
      <c r="CN78" s="30">
        <f t="shared" ca="1" si="84"/>
        <v>0</v>
      </c>
      <c r="CO78" s="35">
        <f ca="1">_xll.RiskBinomial(1,CN78)</f>
        <v>0</v>
      </c>
      <c r="CP78" s="88">
        <f ca="1">IF(CO78=1,_xll.RiskBinomial(1,Prob_Illness_Given_Infection),0)</f>
        <v>0</v>
      </c>
      <c r="CR78" s="87">
        <f t="shared" ca="1" si="118"/>
        <v>9.0313760376127455E-8</v>
      </c>
      <c r="CS78" s="37">
        <f ca="1">INT(CR78) + _xll.RiskBinomial(1,CR78-INT(CR78))</f>
        <v>0</v>
      </c>
      <c r="CT78" s="30">
        <f t="shared" ca="1" si="85"/>
        <v>0</v>
      </c>
      <c r="CU78" s="35">
        <f ca="1">_xll.RiskBinomial(1,CT78)</f>
        <v>0</v>
      </c>
      <c r="CV78" s="88">
        <f ca="1">IF(CU78=1,_xll.RiskBinomial(1,Prob_Illness_Given_Infection),0)</f>
        <v>0</v>
      </c>
      <c r="CX78" s="87">
        <f t="shared" ca="1" si="119"/>
        <v>9.1938381344868585E-10</v>
      </c>
      <c r="CY78" s="37">
        <f ca="1">INT(CX78) + _xll.RiskBinomial(1,CX78-INT(CX78))</f>
        <v>0</v>
      </c>
      <c r="CZ78" s="30">
        <f t="shared" ca="1" si="86"/>
        <v>0</v>
      </c>
      <c r="DA78" s="35">
        <f ca="1">_xll.RiskBinomial(1,CZ78)</f>
        <v>0</v>
      </c>
      <c r="DB78" s="88">
        <f ca="1">IF(DA78=1,_xll.RiskBinomial(1,Prob_Illness_Given_Infection),0)</f>
        <v>0</v>
      </c>
      <c r="DD78" s="87">
        <f t="shared" ca="1" si="120"/>
        <v>9.1938381344868585E-10</v>
      </c>
      <c r="DE78" s="37">
        <f ca="1">INT(DD78) + _xll.RiskBinomial(1,DD78-INT(DD78))</f>
        <v>0</v>
      </c>
      <c r="DF78" s="30">
        <f t="shared" ca="1" si="87"/>
        <v>0</v>
      </c>
      <c r="DG78" s="35">
        <f ca="1">_xll.RiskBinomial(1,DF78)</f>
        <v>0</v>
      </c>
      <c r="DH78" s="88">
        <f ca="1">IF(DG78=1,_xll.RiskBinomial(1,Prob_Illness_Given_Infection),0)</f>
        <v>0</v>
      </c>
      <c r="DJ78" s="87">
        <f t="shared" ca="1" si="121"/>
        <v>1.5012262002157629E-6</v>
      </c>
      <c r="DK78" s="37">
        <f ca="1">INT(DJ78) + _xll.RiskBinomial(1,DJ78-INT(DJ78))</f>
        <v>0</v>
      </c>
      <c r="DL78" s="30">
        <f t="shared" ca="1" si="88"/>
        <v>0</v>
      </c>
      <c r="DM78" s="35">
        <f ca="1">_xll.RiskBinomial(1,DL78)</f>
        <v>0</v>
      </c>
      <c r="DN78" s="88">
        <f ca="1">IF(DM78=1,_xll.RiskBinomial(1,Prob_Illness_Given_Infection),0)</f>
        <v>0</v>
      </c>
      <c r="DP78" s="87">
        <f t="shared" ca="1" si="122"/>
        <v>3.5488213669629356E-10</v>
      </c>
      <c r="DQ78" s="37">
        <f ca="1">INT(DP78) + _xll.RiskBinomial(1,DP78-INT(DP78))</f>
        <v>0</v>
      </c>
      <c r="DR78" s="30">
        <f t="shared" ca="1" si="89"/>
        <v>0</v>
      </c>
      <c r="DS78" s="35">
        <f ca="1">_xll.RiskBinomial(1,DR78)</f>
        <v>0</v>
      </c>
      <c r="DT78" s="88">
        <f ca="1">IF(DS78=1,_xll.RiskBinomial(1,Prob_Illness_Given_Infection),0)</f>
        <v>0</v>
      </c>
      <c r="DV78" s="87">
        <f t="shared" ca="1" si="123"/>
        <v>4.9960518967631295E-9</v>
      </c>
      <c r="DW78" s="37">
        <f ca="1">INT(DV78) + _xll.RiskBinomial(1,DV78-INT(DV78))</f>
        <v>0</v>
      </c>
      <c r="DX78" s="30">
        <f t="shared" ca="1" si="90"/>
        <v>0</v>
      </c>
      <c r="DY78" s="35">
        <f ca="1">_xll.RiskBinomial(1,DX78)</f>
        <v>0</v>
      </c>
      <c r="DZ78" s="88">
        <f ca="1">IF(DY78=1,_xll.RiskBinomial(1,Prob_Illness_Given_Infection),0)</f>
        <v>0</v>
      </c>
      <c r="EB78" s="87">
        <f t="shared" ca="1" si="124"/>
        <v>1.2536713525635347E-12</v>
      </c>
      <c r="EC78" s="37">
        <f ca="1">INT(EB78) + _xll.RiskBinomial(1,EB78-INT(EB78))</f>
        <v>0</v>
      </c>
      <c r="ED78" s="30">
        <f t="shared" ca="1" si="91"/>
        <v>0</v>
      </c>
      <c r="EE78" s="35">
        <f ca="1">_xll.RiskBinomial(1,ED78)</f>
        <v>0</v>
      </c>
      <c r="EF78" s="88">
        <f ca="1">IF(EE78=1,_xll.RiskBinomial(1,Prob_Illness_Given_Infection),0)</f>
        <v>0</v>
      </c>
      <c r="EH78" s="87">
        <f t="shared" ca="1" si="125"/>
        <v>1.2536713525622459E-12</v>
      </c>
      <c r="EI78" s="37">
        <f ca="1">INT(EH78) + _xll.RiskBinomial(1,EH78-INT(EH78))</f>
        <v>0</v>
      </c>
      <c r="EJ78" s="30">
        <f t="shared" ca="1" si="92"/>
        <v>0</v>
      </c>
      <c r="EK78" s="35">
        <f ca="1">_xll.RiskBinomial(1,EJ78)</f>
        <v>0</v>
      </c>
      <c r="EL78" s="88">
        <f ca="1">IF(EK78=1,_xll.RiskBinomial(1,Prob_Illness_Given_Infection),0)</f>
        <v>0</v>
      </c>
      <c r="EN78" s="87">
        <f t="shared" ca="1" si="126"/>
        <v>1.1438994214022483E-10</v>
      </c>
      <c r="EO78" s="37">
        <f ca="1">INT(EN78) + _xll.RiskBinomial(1,EN78-INT(EN78))</f>
        <v>0</v>
      </c>
      <c r="EP78" s="30">
        <f t="shared" ca="1" si="93"/>
        <v>0</v>
      </c>
      <c r="EQ78" s="35">
        <f ca="1">_xll.RiskBinomial(1,EP78)</f>
        <v>0</v>
      </c>
      <c r="ER78" s="88">
        <f ca="1">IF(EQ78=1,_xll.RiskBinomial(1,Prob_Illness_Given_Infection),0)</f>
        <v>0</v>
      </c>
      <c r="ET78" s="87">
        <f t="shared" ca="1" si="127"/>
        <v>1.2536713525610504E-12</v>
      </c>
      <c r="EU78" s="37">
        <f ca="1">INT(ET78) + _xll.RiskBinomial(1,ET78-INT(ET78))</f>
        <v>0</v>
      </c>
      <c r="EV78" s="30">
        <f t="shared" ca="1" si="94"/>
        <v>0</v>
      </c>
      <c r="EW78" s="35">
        <f ca="1">_xll.RiskBinomial(1,EV78)</f>
        <v>0</v>
      </c>
      <c r="EX78" s="88">
        <f ca="1">IF(EW78=1,_xll.RiskBinomial(1,Prob_Illness_Given_Infection),0)</f>
        <v>0</v>
      </c>
      <c r="EZ78" s="87">
        <f t="shared" ca="1" si="128"/>
        <v>9.4554444032816202E-6</v>
      </c>
      <c r="FA78" s="37">
        <f ca="1">INT(EZ78) + _xll.RiskBinomial(1,EZ78-INT(EZ78))</f>
        <v>0</v>
      </c>
      <c r="FB78" s="30">
        <f t="shared" ca="1" si="95"/>
        <v>0</v>
      </c>
      <c r="FC78" s="35">
        <f ca="1">_xll.RiskBinomial(1,FB78)</f>
        <v>0</v>
      </c>
      <c r="FD78" s="88">
        <f ca="1">IF(FC78=1,_xll.RiskBinomial(1,Prob_Illness_Given_Infection),0)</f>
        <v>0</v>
      </c>
      <c r="FF78" s="87">
        <f t="shared" ca="1" si="129"/>
        <v>6.5865562824970529E-5</v>
      </c>
      <c r="FG78" s="37">
        <f ca="1">INT(FF78) + _xll.RiskBinomial(1,FF78-INT(FF78))</f>
        <v>0</v>
      </c>
      <c r="FH78" s="30">
        <f t="shared" ca="1" si="96"/>
        <v>0</v>
      </c>
      <c r="FI78" s="35">
        <f ca="1">_xll.RiskBinomial(1,FH78)</f>
        <v>0</v>
      </c>
      <c r="FJ78" s="88">
        <f ca="1">IF(FI78=1,_xll.RiskBinomial(1,Prob_Illness_Given_Infection),0)</f>
        <v>0</v>
      </c>
      <c r="FL78" s="87" t="e">
        <f t="shared" ca="1" si="130"/>
        <v>#NAME?</v>
      </c>
      <c r="FM78" s="37" t="e">
        <f ca="1">INT(FL78) + _xll.RiskBinomial(1,FL78-INT(FL78))</f>
        <v>#NAME?</v>
      </c>
      <c r="FN78" s="30" t="e">
        <f t="shared" ca="1" si="97"/>
        <v>#NAME?</v>
      </c>
      <c r="FO78" s="35" t="e">
        <f ca="1">_xll.RiskBinomial(1,FN78)</f>
        <v>#VALUE!</v>
      </c>
      <c r="FP78" s="88" t="e">
        <f ca="1">IF(FO78=1,_xll.RiskBinomial(1,Prob_Illness_Given_Infection),0)</f>
        <v>#VALUE!</v>
      </c>
      <c r="FR78" s="87" t="e">
        <f t="shared" ca="1" si="131"/>
        <v>#NAME?</v>
      </c>
      <c r="FS78" s="37" t="e">
        <f ca="1">INT(FR78) + _xll.RiskBinomial(1,FR78-INT(FR78))</f>
        <v>#NAME?</v>
      </c>
      <c r="FT78" s="30" t="e">
        <f t="shared" ca="1" si="98"/>
        <v>#NAME?</v>
      </c>
      <c r="FU78" s="35" t="e">
        <f ca="1">_xll.RiskBinomial(1,FT78)</f>
        <v>#VALUE!</v>
      </c>
      <c r="FV78" s="88" t="e">
        <f ca="1">IF(FU78=1,_xll.RiskBinomial(1,Prob_Illness_Given_Infection),0)</f>
        <v>#VALUE!</v>
      </c>
      <c r="FX78" s="87">
        <f t="shared" ca="1" si="132"/>
        <v>1.3235849123282787E-7</v>
      </c>
      <c r="FY78" s="37">
        <f ca="1">INT(FX78) + _xll.RiskBinomial(1,FX78-INT(FX78))</f>
        <v>0</v>
      </c>
      <c r="FZ78" s="30">
        <f t="shared" ca="1" si="99"/>
        <v>0</v>
      </c>
      <c r="GA78" s="35">
        <f ca="1">_xll.RiskBinomial(1,FZ78)</f>
        <v>0</v>
      </c>
      <c r="GB78" s="88">
        <f ca="1">IF(GA78=1,_xll.RiskBinomial(1,Prob_Illness_Given_Infection),0)</f>
        <v>0</v>
      </c>
      <c r="GD78" s="87" t="e">
        <f t="shared" ca="1" si="133"/>
        <v>#NAME?</v>
      </c>
      <c r="GE78" s="37" t="e">
        <f ca="1">INT(GD78) + _xll.RiskBinomial(1,GD78-INT(GD78))</f>
        <v>#NAME?</v>
      </c>
      <c r="GF78" s="30" t="e">
        <f t="shared" ca="1" si="100"/>
        <v>#NAME?</v>
      </c>
      <c r="GG78" s="35" t="e">
        <f ca="1">_xll.RiskBinomial(1,GF78)</f>
        <v>#VALUE!</v>
      </c>
      <c r="GH78" s="88" t="e">
        <f ca="1">IF(GG78=1,_xll.RiskBinomial(1,Prob_Illness_Given_Infection),0)</f>
        <v>#VALUE!</v>
      </c>
      <c r="GJ78" s="87" t="e">
        <f t="shared" ca="1" si="134"/>
        <v>#NAME?</v>
      </c>
      <c r="GK78" s="37" t="e">
        <f ca="1">INT(GJ78) + _xll.RiskBinomial(1,GJ78-INT(GJ78))</f>
        <v>#NAME?</v>
      </c>
      <c r="GL78" s="30" t="e">
        <f t="shared" ca="1" si="101"/>
        <v>#NAME?</v>
      </c>
      <c r="GM78" s="35" t="e">
        <f ca="1">_xll.RiskBinomial(1,GL78)</f>
        <v>#VALUE!</v>
      </c>
      <c r="GN78" s="88" t="e">
        <f ca="1">IF(GM78=1,_xll.RiskBinomial(1,Prob_Illness_Given_Infection),0)</f>
        <v>#VALUE!</v>
      </c>
      <c r="GP78" s="87" t="e">
        <f t="shared" ca="1" si="135"/>
        <v>#NAME?</v>
      </c>
      <c r="GQ78" s="37" t="e">
        <f ca="1">INT(GP78) + _xll.RiskBinomial(1,GP78-INT(GP78))</f>
        <v>#NAME?</v>
      </c>
      <c r="GR78" s="30" t="e">
        <f t="shared" ca="1" si="102"/>
        <v>#NAME?</v>
      </c>
      <c r="GS78" s="35" t="e">
        <f ca="1">_xll.RiskBinomial(1,GR78)</f>
        <v>#VALUE!</v>
      </c>
      <c r="GT78" s="88" t="e">
        <f ca="1">IF(GS78=1,_xll.RiskBinomial(1,Prob_Illness_Given_Infection),0)</f>
        <v>#VALUE!</v>
      </c>
    </row>
    <row r="79" spans="2:202">
      <c r="B79" s="108">
        <v>71</v>
      </c>
      <c r="C79" s="87">
        <f ca="1">_xll.RiskLoglogistic(LogLogistic_gamma, LogLogistic_beta, LogLogistic_alpha, _xll.RiskTruncate(5,800))</f>
        <v>86.466088056336062</v>
      </c>
      <c r="D79" s="38">
        <f t="shared" ca="1" si="69"/>
        <v>5.5547230702026811</v>
      </c>
      <c r="E79" s="30"/>
      <c r="F79" s="87">
        <f t="shared" ca="1" si="103"/>
        <v>2.0054727239619476E-9</v>
      </c>
      <c r="G79" s="37">
        <f ca="1">INT(F79) + _xll.RiskBinomial(1,F79-INT(F79))</f>
        <v>0</v>
      </c>
      <c r="H79" s="30">
        <f t="shared" ca="1" si="70"/>
        <v>0</v>
      </c>
      <c r="I79" s="35">
        <f ca="1">_xll.RiskBinomial(1,H79)</f>
        <v>0</v>
      </c>
      <c r="J79" s="88">
        <f ca="1">IF(I79=1,_xll.RiskBinomial(1,Prob_Illness_Given_Infection),0)</f>
        <v>0</v>
      </c>
      <c r="K79" s="30"/>
      <c r="L79" s="87">
        <f t="shared" ca="1" si="104"/>
        <v>1.0243432122891955E-4</v>
      </c>
      <c r="M79" s="37">
        <f ca="1">INT(L79) + _xll.RiskBinomial(1,L79-INT(L79))</f>
        <v>0</v>
      </c>
      <c r="N79" s="30">
        <f t="shared" ca="1" si="71"/>
        <v>0</v>
      </c>
      <c r="O79" s="35">
        <f ca="1">_xll.RiskBinomial(1,N79)</f>
        <v>0</v>
      </c>
      <c r="P79" s="88">
        <f ca="1">IF(O79=1,_xll.RiskBinomial(1,Prob_Illness_Given_Infection),0)</f>
        <v>0</v>
      </c>
      <c r="Q79" s="30"/>
      <c r="R79" s="87">
        <f t="shared" ca="1" si="105"/>
        <v>1.058922697337322E-5</v>
      </c>
      <c r="S79" s="37">
        <f ca="1">INT(R79) + _xll.RiskBinomial(1,R79-INT(R79))</f>
        <v>0</v>
      </c>
      <c r="T79" s="30">
        <f t="shared" ca="1" si="72"/>
        <v>0</v>
      </c>
      <c r="U79" s="35">
        <f ca="1">_xll.RiskBinomial(1,T79)</f>
        <v>0</v>
      </c>
      <c r="V79" s="88">
        <f ca="1">IF(U79=1,_xll.RiskBinomial(1,Prob_Illness_Given_Infection),0)</f>
        <v>0</v>
      </c>
      <c r="W79" s="30"/>
      <c r="X79" s="87">
        <f t="shared" ca="1" si="106"/>
        <v>4.3503303338050968E-12</v>
      </c>
      <c r="Y79" s="37">
        <f ca="1">INT(X79) + _xll.RiskBinomial(1,X79-INT(X79))</f>
        <v>0</v>
      </c>
      <c r="Z79" s="30">
        <f t="shared" ca="1" si="73"/>
        <v>0</v>
      </c>
      <c r="AA79" s="35">
        <f ca="1">_xll.RiskBinomial(1,Z79)</f>
        <v>0</v>
      </c>
      <c r="AB79" s="88">
        <f ca="1">IF(AA79=1,_xll.RiskBinomial(1,Prob_Illness_Given_Infection),0)</f>
        <v>0</v>
      </c>
      <c r="AC79" s="30"/>
      <c r="AD79" s="87">
        <f t="shared" ca="1" si="107"/>
        <v>2.1917734688143709E-12</v>
      </c>
      <c r="AE79" s="37">
        <f ca="1">INT(AD79) + _xll.RiskBinomial(1,AD79-INT(AD79))</f>
        <v>0</v>
      </c>
      <c r="AF79" s="30">
        <f t="shared" ca="1" si="74"/>
        <v>0</v>
      </c>
      <c r="AG79" s="35">
        <f ca="1">_xll.RiskBinomial(1,AF79)</f>
        <v>0</v>
      </c>
      <c r="AH79" s="88">
        <f ca="1">IF(AG79=1,_xll.RiskBinomial(1,Prob_Illness_Given_Infection),0)</f>
        <v>0</v>
      </c>
      <c r="AI79" s="30"/>
      <c r="AJ79" s="87">
        <f t="shared" ca="1" si="108"/>
        <v>1.0173647607365793E-4</v>
      </c>
      <c r="AK79" s="37">
        <f ca="1">INT(AJ79) + _xll.RiskBinomial(1,AJ79-INT(AJ79))</f>
        <v>0</v>
      </c>
      <c r="AL79" s="30">
        <f t="shared" ca="1" si="75"/>
        <v>0</v>
      </c>
      <c r="AM79" s="35">
        <f ca="1">_xll.RiskBinomial(1,AL79)</f>
        <v>0</v>
      </c>
      <c r="AN79" s="88">
        <f ca="1">IF(AM79=1,_xll.RiskBinomial(1,Prob_Illness_Given_Infection),0)</f>
        <v>0</v>
      </c>
      <c r="AO79" s="30"/>
      <c r="AP79" s="87">
        <f t="shared" ca="1" si="109"/>
        <v>2.4741327891979403E-9</v>
      </c>
      <c r="AQ79" s="37">
        <f ca="1">INT(AP79) + _xll.RiskBinomial(1,AP79-INT(AP79))</f>
        <v>0</v>
      </c>
      <c r="AR79" s="30">
        <f t="shared" ca="1" si="76"/>
        <v>0</v>
      </c>
      <c r="AS79" s="35">
        <f ca="1">_xll.RiskBinomial(1,AR79)</f>
        <v>0</v>
      </c>
      <c r="AT79" s="88">
        <f ca="1">IF(AS79=1,_xll.RiskBinomial(1,Prob_Illness_Given_Infection),0)</f>
        <v>0</v>
      </c>
      <c r="AU79" s="30"/>
      <c r="AV79" s="87">
        <f t="shared" ca="1" si="110"/>
        <v>5.7398592710410288E-5</v>
      </c>
      <c r="AW79" s="37">
        <f ca="1">INT(AV79) + _xll.RiskBinomial(1,AV79-INT(AV79))</f>
        <v>0</v>
      </c>
      <c r="AX79" s="30">
        <f t="shared" ca="1" si="77"/>
        <v>0</v>
      </c>
      <c r="AY79" s="35">
        <f ca="1">_xll.RiskBinomial(1,AX79)</f>
        <v>0</v>
      </c>
      <c r="AZ79" s="88">
        <f ca="1">IF(AY79=1,_xll.RiskBinomial(1,Prob_Illness_Given_Infection),0)</f>
        <v>0</v>
      </c>
      <c r="BB79" s="87">
        <f t="shared" ca="1" si="111"/>
        <v>7.8780135486178931E-5</v>
      </c>
      <c r="BC79" s="37">
        <f ca="1">INT(BB79) + _xll.RiskBinomial(1,BB79-INT(BB79))</f>
        <v>0</v>
      </c>
      <c r="BD79" s="30">
        <f t="shared" ca="1" si="78"/>
        <v>0</v>
      </c>
      <c r="BE79" s="35">
        <f ca="1">_xll.RiskBinomial(1,BD79)</f>
        <v>0</v>
      </c>
      <c r="BF79" s="88">
        <f ca="1">IF(BE79=1,_xll.RiskBinomial(1,Prob_Illness_Given_Infection),0)</f>
        <v>0</v>
      </c>
      <c r="BH79" s="87">
        <f t="shared" ca="1" si="112"/>
        <v>9.9741287577226646E-5</v>
      </c>
      <c r="BI79" s="37">
        <f ca="1">INT(BH79) + _xll.RiskBinomial(1,BH79-INT(BH79))</f>
        <v>0</v>
      </c>
      <c r="BJ79" s="30">
        <f t="shared" ca="1" si="79"/>
        <v>0</v>
      </c>
      <c r="BK79" s="35">
        <f ca="1">_xll.RiskBinomial(1,BJ79)</f>
        <v>0</v>
      </c>
      <c r="BL79" s="88">
        <f ca="1">IF(BK79=1,_xll.RiskBinomial(1,Prob_Illness_Given_Infection),0)</f>
        <v>0</v>
      </c>
      <c r="BN79" s="87">
        <f t="shared" ca="1" si="113"/>
        <v>7.5908807064574492E-6</v>
      </c>
      <c r="BO79" s="37">
        <f ca="1">INT(BN79) + _xll.RiskBinomial(1,BN79-INT(BN79))</f>
        <v>0</v>
      </c>
      <c r="BP79" s="30">
        <f t="shared" ca="1" si="80"/>
        <v>0</v>
      </c>
      <c r="BQ79" s="35">
        <f ca="1">_xll.RiskBinomial(1,BP79)</f>
        <v>0</v>
      </c>
      <c r="BR79" s="88">
        <f ca="1">IF(BQ79=1,_xll.RiskBinomial(1,Prob_Illness_Given_Infection),0)</f>
        <v>0</v>
      </c>
      <c r="BT79" s="87">
        <f t="shared" ca="1" si="114"/>
        <v>2.2825698034493298E-5</v>
      </c>
      <c r="BU79" s="37">
        <f ca="1">INT(BT79) + _xll.RiskBinomial(1,BT79-INT(BT79))</f>
        <v>0</v>
      </c>
      <c r="BV79" s="30">
        <f t="shared" ca="1" si="81"/>
        <v>0</v>
      </c>
      <c r="BW79" s="35">
        <f ca="1">_xll.RiskBinomial(1,BV79)</f>
        <v>0</v>
      </c>
      <c r="BX79" s="88">
        <f ca="1">IF(BW79=1,_xll.RiskBinomial(1,Prob_Illness_Given_Infection),0)</f>
        <v>0</v>
      </c>
      <c r="BZ79" s="87">
        <f t="shared" ca="1" si="115"/>
        <v>6.2572932654254414E-5</v>
      </c>
      <c r="CA79" s="37">
        <f ca="1">INT(BZ79) + _xll.RiskBinomial(1,BZ79-INT(BZ79))</f>
        <v>0</v>
      </c>
      <c r="CB79" s="30">
        <f t="shared" ca="1" si="82"/>
        <v>0</v>
      </c>
      <c r="CC79" s="35">
        <f ca="1">_xll.RiskBinomial(1,CB79)</f>
        <v>0</v>
      </c>
      <c r="CD79" s="88">
        <f ca="1">IF(CC79=1,_xll.RiskBinomial(1,Prob_Illness_Given_Infection),0)</f>
        <v>0</v>
      </c>
      <c r="CF79" s="87">
        <f t="shared" ca="1" si="116"/>
        <v>1.18725876641851E-5</v>
      </c>
      <c r="CG79" s="37">
        <f ca="1">INT(CF79) + _xll.RiskBinomial(1,CF79-INT(CF79))</f>
        <v>0</v>
      </c>
      <c r="CH79" s="30">
        <f t="shared" ca="1" si="83"/>
        <v>0</v>
      </c>
      <c r="CI79" s="35">
        <f ca="1">_xll.RiskBinomial(1,CH79)</f>
        <v>0</v>
      </c>
      <c r="CJ79" s="88">
        <f ca="1">IF(CI79=1,_xll.RiskBinomial(1,Prob_Illness_Given_Infection),0)</f>
        <v>0</v>
      </c>
      <c r="CL79" s="87">
        <f t="shared" ca="1" si="117"/>
        <v>2.2910770394180581E-5</v>
      </c>
      <c r="CM79" s="37">
        <f ca="1">INT(CL79) + _xll.RiskBinomial(1,CL79-INT(CL79))</f>
        <v>0</v>
      </c>
      <c r="CN79" s="30">
        <f t="shared" ca="1" si="84"/>
        <v>0</v>
      </c>
      <c r="CO79" s="35">
        <f ca="1">_xll.RiskBinomial(1,CN79)</f>
        <v>0</v>
      </c>
      <c r="CP79" s="88">
        <f ca="1">IF(CO79=1,_xll.RiskBinomial(1,Prob_Illness_Given_Infection),0)</f>
        <v>0</v>
      </c>
      <c r="CR79" s="87">
        <f t="shared" ca="1" si="118"/>
        <v>1.5789409517607726E-7</v>
      </c>
      <c r="CS79" s="37">
        <f ca="1">INT(CR79) + _xll.RiskBinomial(1,CR79-INT(CR79))</f>
        <v>0</v>
      </c>
      <c r="CT79" s="30">
        <f t="shared" ca="1" si="85"/>
        <v>0</v>
      </c>
      <c r="CU79" s="35">
        <f ca="1">_xll.RiskBinomial(1,CT79)</f>
        <v>0</v>
      </c>
      <c r="CV79" s="88">
        <f ca="1">IF(CU79=1,_xll.RiskBinomial(1,Prob_Illness_Given_Infection),0)</f>
        <v>0</v>
      </c>
      <c r="CX79" s="87">
        <f t="shared" ca="1" si="119"/>
        <v>1.6073439389462413E-9</v>
      </c>
      <c r="CY79" s="37">
        <f ca="1">INT(CX79) + _xll.RiskBinomial(1,CX79-INT(CX79))</f>
        <v>0</v>
      </c>
      <c r="CZ79" s="30">
        <f t="shared" ca="1" si="86"/>
        <v>0</v>
      </c>
      <c r="DA79" s="35">
        <f ca="1">_xll.RiskBinomial(1,CZ79)</f>
        <v>0</v>
      </c>
      <c r="DB79" s="88">
        <f ca="1">IF(DA79=1,_xll.RiskBinomial(1,Prob_Illness_Given_Infection),0)</f>
        <v>0</v>
      </c>
      <c r="DD79" s="87">
        <f t="shared" ca="1" si="120"/>
        <v>1.6073439389462413E-9</v>
      </c>
      <c r="DE79" s="37">
        <f ca="1">INT(DD79) + _xll.RiskBinomial(1,DD79-INT(DD79))</f>
        <v>0</v>
      </c>
      <c r="DF79" s="30">
        <f t="shared" ca="1" si="87"/>
        <v>0</v>
      </c>
      <c r="DG79" s="35">
        <f ca="1">_xll.RiskBinomial(1,DF79)</f>
        <v>0</v>
      </c>
      <c r="DH79" s="88">
        <f ca="1">IF(DG79=1,_xll.RiskBinomial(1,Prob_Illness_Given_Infection),0)</f>
        <v>0</v>
      </c>
      <c r="DJ79" s="87">
        <f t="shared" ca="1" si="121"/>
        <v>2.6245696287090227E-6</v>
      </c>
      <c r="DK79" s="37">
        <f ca="1">INT(DJ79) + _xll.RiskBinomial(1,DJ79-INT(DJ79))</f>
        <v>0</v>
      </c>
      <c r="DL79" s="30">
        <f t="shared" ca="1" si="88"/>
        <v>0</v>
      </c>
      <c r="DM79" s="35">
        <f ca="1">_xll.RiskBinomial(1,DL79)</f>
        <v>0</v>
      </c>
      <c r="DN79" s="88">
        <f ca="1">IF(DM79=1,_xll.RiskBinomial(1,Prob_Illness_Given_Infection),0)</f>
        <v>0</v>
      </c>
      <c r="DP79" s="87">
        <f t="shared" ca="1" si="122"/>
        <v>6.2043473369342283E-10</v>
      </c>
      <c r="DQ79" s="37">
        <f ca="1">INT(DP79) + _xll.RiskBinomial(1,DP79-INT(DP79))</f>
        <v>0</v>
      </c>
      <c r="DR79" s="30">
        <f t="shared" ca="1" si="89"/>
        <v>0</v>
      </c>
      <c r="DS79" s="35">
        <f ca="1">_xll.RiskBinomial(1,DR79)</f>
        <v>0</v>
      </c>
      <c r="DT79" s="88">
        <f ca="1">IF(DS79=1,_xll.RiskBinomial(1,Prob_Illness_Given_Infection),0)</f>
        <v>0</v>
      </c>
      <c r="DV79" s="87">
        <f t="shared" ca="1" si="123"/>
        <v>8.7345172032129665E-9</v>
      </c>
      <c r="DW79" s="37">
        <f ca="1">INT(DV79) + _xll.RiskBinomial(1,DV79-INT(DV79))</f>
        <v>0</v>
      </c>
      <c r="DX79" s="30">
        <f t="shared" ca="1" si="90"/>
        <v>0</v>
      </c>
      <c r="DY79" s="35">
        <f ca="1">_xll.RiskBinomial(1,DX79)</f>
        <v>0</v>
      </c>
      <c r="DZ79" s="88">
        <f ca="1">IF(DY79=1,_xll.RiskBinomial(1,Prob_Illness_Given_Infection),0)</f>
        <v>0</v>
      </c>
      <c r="EB79" s="87">
        <f t="shared" ca="1" si="124"/>
        <v>2.1917734688136346E-12</v>
      </c>
      <c r="EC79" s="37">
        <f ca="1">INT(EB79) + _xll.RiskBinomial(1,EB79-INT(EB79))</f>
        <v>0</v>
      </c>
      <c r="ED79" s="30">
        <f t="shared" ca="1" si="91"/>
        <v>0</v>
      </c>
      <c r="EE79" s="35">
        <f ca="1">_xll.RiskBinomial(1,ED79)</f>
        <v>0</v>
      </c>
      <c r="EF79" s="88">
        <f ca="1">IF(EE79=1,_xll.RiskBinomial(1,Prob_Illness_Given_Infection),0)</f>
        <v>0</v>
      </c>
      <c r="EH79" s="87">
        <f t="shared" ca="1" si="125"/>
        <v>2.1917734688113817E-12</v>
      </c>
      <c r="EI79" s="37">
        <f ca="1">INT(EH79) + _xll.RiskBinomial(1,EH79-INT(EH79))</f>
        <v>0</v>
      </c>
      <c r="EJ79" s="30">
        <f t="shared" ca="1" si="92"/>
        <v>0</v>
      </c>
      <c r="EK79" s="35">
        <f ca="1">_xll.RiskBinomial(1,EJ79)</f>
        <v>0</v>
      </c>
      <c r="EL79" s="88">
        <f ca="1">IF(EK79=1,_xll.RiskBinomial(1,Prob_Illness_Given_Infection),0)</f>
        <v>0</v>
      </c>
      <c r="EN79" s="87">
        <f t="shared" ca="1" si="126"/>
        <v>1.9998609665076914E-10</v>
      </c>
      <c r="EO79" s="37">
        <f ca="1">INT(EN79) + _xll.RiskBinomial(1,EN79-INT(EN79))</f>
        <v>0</v>
      </c>
      <c r="EP79" s="30">
        <f t="shared" ca="1" si="93"/>
        <v>0</v>
      </c>
      <c r="EQ79" s="35">
        <f ca="1">_xll.RiskBinomial(1,EP79)</f>
        <v>0</v>
      </c>
      <c r="ER79" s="88">
        <f ca="1">IF(EQ79=1,_xll.RiskBinomial(1,Prob_Illness_Given_Infection),0)</f>
        <v>0</v>
      </c>
      <c r="ET79" s="87">
        <f t="shared" ca="1" si="127"/>
        <v>2.1917734688092915E-12</v>
      </c>
      <c r="EU79" s="37">
        <f ca="1">INT(ET79) + _xll.RiskBinomial(1,ET79-INT(ET79))</f>
        <v>0</v>
      </c>
      <c r="EV79" s="30">
        <f t="shared" ca="1" si="94"/>
        <v>0</v>
      </c>
      <c r="EW79" s="35">
        <f ca="1">_xll.RiskBinomial(1,EV79)</f>
        <v>0</v>
      </c>
      <c r="EX79" s="88">
        <f ca="1">IF(EW79=1,_xll.RiskBinomial(1,Prob_Illness_Given_Infection),0)</f>
        <v>0</v>
      </c>
      <c r="EZ79" s="87">
        <f t="shared" ca="1" si="128"/>
        <v>1.6530801423018673E-5</v>
      </c>
      <c r="FA79" s="37">
        <f ca="1">INT(EZ79) + _xll.RiskBinomial(1,EZ79-INT(EZ79))</f>
        <v>0</v>
      </c>
      <c r="FB79" s="30">
        <f t="shared" ca="1" si="95"/>
        <v>0</v>
      </c>
      <c r="FC79" s="35">
        <f ca="1">_xll.RiskBinomial(1,FB79)</f>
        <v>0</v>
      </c>
      <c r="FD79" s="88">
        <f ca="1">IF(FC79=1,_xll.RiskBinomial(1,Prob_Illness_Given_Infection),0)</f>
        <v>0</v>
      </c>
      <c r="FF79" s="87">
        <f t="shared" ca="1" si="129"/>
        <v>1.1515170448224143E-4</v>
      </c>
      <c r="FG79" s="37">
        <f ca="1">INT(FF79) + _xll.RiskBinomial(1,FF79-INT(FF79))</f>
        <v>0</v>
      </c>
      <c r="FH79" s="30">
        <f t="shared" ca="1" si="96"/>
        <v>0</v>
      </c>
      <c r="FI79" s="35">
        <f ca="1">_xll.RiskBinomial(1,FH79)</f>
        <v>0</v>
      </c>
      <c r="FJ79" s="88">
        <f ca="1">IF(FI79=1,_xll.RiskBinomial(1,Prob_Illness_Given_Infection),0)</f>
        <v>0</v>
      </c>
      <c r="FL79" s="87" t="e">
        <f t="shared" ca="1" si="130"/>
        <v>#NAME?</v>
      </c>
      <c r="FM79" s="37" t="e">
        <f ca="1">INT(FL79) + _xll.RiskBinomial(1,FL79-INT(FL79))</f>
        <v>#NAME?</v>
      </c>
      <c r="FN79" s="30" t="e">
        <f t="shared" ca="1" si="97"/>
        <v>#NAME?</v>
      </c>
      <c r="FO79" s="35" t="e">
        <f ca="1">_xll.RiskBinomial(1,FN79)</f>
        <v>#VALUE!</v>
      </c>
      <c r="FP79" s="88" t="e">
        <f ca="1">IF(FO79=1,_xll.RiskBinomial(1,Prob_Illness_Given_Infection),0)</f>
        <v>#VALUE!</v>
      </c>
      <c r="FR79" s="87" t="e">
        <f t="shared" ca="1" si="131"/>
        <v>#NAME?</v>
      </c>
      <c r="FS79" s="37" t="e">
        <f ca="1">INT(FR79) + _xll.RiskBinomial(1,FR79-INT(FR79))</f>
        <v>#NAME?</v>
      </c>
      <c r="FT79" s="30" t="e">
        <f t="shared" ca="1" si="98"/>
        <v>#NAME?</v>
      </c>
      <c r="FU79" s="35" t="e">
        <f ca="1">_xll.RiskBinomial(1,FT79)</f>
        <v>#VALUE!</v>
      </c>
      <c r="FV79" s="88" t="e">
        <f ca="1">IF(FU79=1,_xll.RiskBinomial(1,Prob_Illness_Given_Infection),0)</f>
        <v>#VALUE!</v>
      </c>
      <c r="FX79" s="87">
        <f t="shared" ca="1" si="132"/>
        <v>2.3140022212608727E-7</v>
      </c>
      <c r="FY79" s="37">
        <f ca="1">INT(FX79) + _xll.RiskBinomial(1,FX79-INT(FX79))</f>
        <v>0</v>
      </c>
      <c r="FZ79" s="30">
        <f t="shared" ca="1" si="99"/>
        <v>0</v>
      </c>
      <c r="GA79" s="35">
        <f ca="1">_xll.RiskBinomial(1,FZ79)</f>
        <v>0</v>
      </c>
      <c r="GB79" s="88">
        <f ca="1">IF(GA79=1,_xll.RiskBinomial(1,Prob_Illness_Given_Infection),0)</f>
        <v>0</v>
      </c>
      <c r="GD79" s="87" t="e">
        <f t="shared" ca="1" si="133"/>
        <v>#NAME?</v>
      </c>
      <c r="GE79" s="37" t="e">
        <f ca="1">INT(GD79) + _xll.RiskBinomial(1,GD79-INT(GD79))</f>
        <v>#NAME?</v>
      </c>
      <c r="GF79" s="30" t="e">
        <f t="shared" ca="1" si="100"/>
        <v>#NAME?</v>
      </c>
      <c r="GG79" s="35" t="e">
        <f ca="1">_xll.RiskBinomial(1,GF79)</f>
        <v>#VALUE!</v>
      </c>
      <c r="GH79" s="88" t="e">
        <f ca="1">IF(GG79=1,_xll.RiskBinomial(1,Prob_Illness_Given_Infection),0)</f>
        <v>#VALUE!</v>
      </c>
      <c r="GJ79" s="87" t="e">
        <f t="shared" ca="1" si="134"/>
        <v>#NAME?</v>
      </c>
      <c r="GK79" s="37" t="e">
        <f ca="1">INT(GJ79) + _xll.RiskBinomial(1,GJ79-INT(GJ79))</f>
        <v>#NAME?</v>
      </c>
      <c r="GL79" s="30" t="e">
        <f t="shared" ca="1" si="101"/>
        <v>#NAME?</v>
      </c>
      <c r="GM79" s="35" t="e">
        <f ca="1">_xll.RiskBinomial(1,GL79)</f>
        <v>#VALUE!</v>
      </c>
      <c r="GN79" s="88" t="e">
        <f ca="1">IF(GM79=1,_xll.RiskBinomial(1,Prob_Illness_Given_Infection),0)</f>
        <v>#VALUE!</v>
      </c>
      <c r="GP79" s="87" t="e">
        <f t="shared" ca="1" si="135"/>
        <v>#NAME?</v>
      </c>
      <c r="GQ79" s="37" t="e">
        <f ca="1">INT(GP79) + _xll.RiskBinomial(1,GP79-INT(GP79))</f>
        <v>#NAME?</v>
      </c>
      <c r="GR79" s="30" t="e">
        <f t="shared" ca="1" si="102"/>
        <v>#NAME?</v>
      </c>
      <c r="GS79" s="35" t="e">
        <f ca="1">_xll.RiskBinomial(1,GR79)</f>
        <v>#VALUE!</v>
      </c>
      <c r="GT79" s="88" t="e">
        <f ca="1">IF(GS79=1,_xll.RiskBinomial(1,Prob_Illness_Given_Infection),0)</f>
        <v>#VALUE!</v>
      </c>
    </row>
    <row r="80" spans="2:202">
      <c r="B80" s="108">
        <v>72</v>
      </c>
      <c r="C80" s="87">
        <f ca="1">_xll.RiskLoglogistic(LogLogistic_gamma, LogLogistic_beta, LogLogistic_alpha, _xll.RiskTruncate(5,800))</f>
        <v>81.275956973183526</v>
      </c>
      <c r="D80" s="38">
        <f t="shared" ca="1" si="69"/>
        <v>5.2213005514670146</v>
      </c>
      <c r="E80" s="30"/>
      <c r="F80" s="87">
        <f t="shared" ca="1" si="103"/>
        <v>1.8850941275084122E-9</v>
      </c>
      <c r="G80" s="37">
        <f ca="1">INT(F80) + _xll.RiskBinomial(1,F80-INT(F80))</f>
        <v>0</v>
      </c>
      <c r="H80" s="30">
        <f t="shared" ca="1" si="70"/>
        <v>0</v>
      </c>
      <c r="I80" s="35">
        <f ca="1">_xll.RiskBinomial(1,H80)</f>
        <v>0</v>
      </c>
      <c r="J80" s="88">
        <f ca="1">IF(I80=1,_xll.RiskBinomial(1,Prob_Illness_Given_Infection),0)</f>
        <v>0</v>
      </c>
      <c r="K80" s="30"/>
      <c r="L80" s="87">
        <f t="shared" ca="1" si="104"/>
        <v>9.6285696183624818E-5</v>
      </c>
      <c r="M80" s="37">
        <f ca="1">INT(L80) + _xll.RiskBinomial(1,L80-INT(L80))</f>
        <v>0</v>
      </c>
      <c r="N80" s="30">
        <f t="shared" ca="1" si="71"/>
        <v>0</v>
      </c>
      <c r="O80" s="35">
        <f ca="1">_xll.RiskBinomial(1,N80)</f>
        <v>0</v>
      </c>
      <c r="P80" s="88">
        <f ca="1">IF(O80=1,_xll.RiskBinomial(1,Prob_Illness_Given_Infection),0)</f>
        <v>0</v>
      </c>
      <c r="Q80" s="30"/>
      <c r="R80" s="87">
        <f t="shared" ca="1" si="105"/>
        <v>9.9536081163566577E-6</v>
      </c>
      <c r="S80" s="37">
        <f ca="1">INT(R80) + _xll.RiskBinomial(1,R80-INT(R80))</f>
        <v>0</v>
      </c>
      <c r="T80" s="30">
        <f t="shared" ca="1" si="72"/>
        <v>0</v>
      </c>
      <c r="U80" s="35">
        <f ca="1">_xll.RiskBinomial(1,T80)</f>
        <v>0</v>
      </c>
      <c r="V80" s="88">
        <f ca="1">IF(U80=1,_xll.RiskBinomial(1,Prob_Illness_Given_Infection),0)</f>
        <v>0</v>
      </c>
      <c r="W80" s="30"/>
      <c r="X80" s="87">
        <f t="shared" ca="1" si="106"/>
        <v>4.0892015468435281E-12</v>
      </c>
      <c r="Y80" s="37">
        <f ca="1">INT(X80) + _xll.RiskBinomial(1,X80-INT(X80))</f>
        <v>0</v>
      </c>
      <c r="Z80" s="30">
        <f t="shared" ca="1" si="73"/>
        <v>0</v>
      </c>
      <c r="AA80" s="35">
        <f ca="1">_xll.RiskBinomial(1,Z80)</f>
        <v>0</v>
      </c>
      <c r="AB80" s="88">
        <f ca="1">IF(AA80=1,_xll.RiskBinomial(1,Prob_Illness_Given_Infection),0)</f>
        <v>0</v>
      </c>
      <c r="AC80" s="30"/>
      <c r="AD80" s="87">
        <f t="shared" ca="1" si="107"/>
        <v>2.060212161214669E-12</v>
      </c>
      <c r="AE80" s="37">
        <f ca="1">INT(AD80) + _xll.RiskBinomial(1,AD80-INT(AD80))</f>
        <v>0</v>
      </c>
      <c r="AF80" s="30">
        <f t="shared" ca="1" si="74"/>
        <v>0</v>
      </c>
      <c r="AG80" s="35">
        <f ca="1">_xll.RiskBinomial(1,AF80)</f>
        <v>0</v>
      </c>
      <c r="AH80" s="88">
        <f ca="1">IF(AG80=1,_xll.RiskBinomial(1,Prob_Illness_Given_Infection),0)</f>
        <v>0</v>
      </c>
      <c r="AI80" s="30"/>
      <c r="AJ80" s="87">
        <f t="shared" ca="1" si="108"/>
        <v>9.5629739217281736E-5</v>
      </c>
      <c r="AK80" s="37">
        <f ca="1">INT(AJ80) + _xll.RiskBinomial(1,AJ80-INT(AJ80))</f>
        <v>0</v>
      </c>
      <c r="AL80" s="30">
        <f t="shared" ca="1" si="75"/>
        <v>0</v>
      </c>
      <c r="AM80" s="35">
        <f ca="1">_xll.RiskBinomial(1,AL80)</f>
        <v>0</v>
      </c>
      <c r="AN80" s="88">
        <f ca="1">IF(AM80=1,_xll.RiskBinomial(1,Prob_Illness_Given_Infection),0)</f>
        <v>0</v>
      </c>
      <c r="AO80" s="30"/>
      <c r="AP80" s="87">
        <f t="shared" ca="1" si="109"/>
        <v>2.3256228498481149E-9</v>
      </c>
      <c r="AQ80" s="37">
        <f ca="1">INT(AP80) + _xll.RiskBinomial(1,AP80-INT(AP80))</f>
        <v>0</v>
      </c>
      <c r="AR80" s="30">
        <f t="shared" ca="1" si="76"/>
        <v>0</v>
      </c>
      <c r="AS80" s="35">
        <f ca="1">_xll.RiskBinomial(1,AR80)</f>
        <v>0</v>
      </c>
      <c r="AT80" s="88">
        <f ca="1">IF(AS80=1,_xll.RiskBinomial(1,Prob_Illness_Given_Infection),0)</f>
        <v>0</v>
      </c>
      <c r="AU80" s="30"/>
      <c r="AV80" s="87">
        <f t="shared" ca="1" si="110"/>
        <v>5.3953239429695007E-5</v>
      </c>
      <c r="AW80" s="37">
        <f ca="1">INT(AV80) + _xll.RiskBinomial(1,AV80-INT(AV80))</f>
        <v>0</v>
      </c>
      <c r="AX80" s="30">
        <f t="shared" ca="1" si="77"/>
        <v>0</v>
      </c>
      <c r="AY80" s="35">
        <f ca="1">_xll.RiskBinomial(1,AX80)</f>
        <v>0</v>
      </c>
      <c r="AZ80" s="88">
        <f ca="1">IF(AY80=1,_xll.RiskBinomial(1,Prob_Illness_Given_Infection),0)</f>
        <v>0</v>
      </c>
      <c r="BB80" s="87">
        <f t="shared" ca="1" si="111"/>
        <v>7.4051354074726773E-5</v>
      </c>
      <c r="BC80" s="37">
        <f ca="1">INT(BB80) + _xll.RiskBinomial(1,BB80-INT(BB80))</f>
        <v>0</v>
      </c>
      <c r="BD80" s="30">
        <f t="shared" ca="1" si="78"/>
        <v>0</v>
      </c>
      <c r="BE80" s="35">
        <f ca="1">_xll.RiskBinomial(1,BD80)</f>
        <v>0</v>
      </c>
      <c r="BF80" s="88">
        <f ca="1">IF(BE80=1,_xll.RiskBinomial(1,Prob_Illness_Given_Infection),0)</f>
        <v>0</v>
      </c>
      <c r="BH80" s="87">
        <f t="shared" ca="1" si="112"/>
        <v>9.3754312006053139E-5</v>
      </c>
      <c r="BI80" s="37">
        <f ca="1">INT(BH80) + _xll.RiskBinomial(1,BH80-INT(BH80))</f>
        <v>0</v>
      </c>
      <c r="BJ80" s="30">
        <f t="shared" ca="1" si="79"/>
        <v>0</v>
      </c>
      <c r="BK80" s="35">
        <f ca="1">_xll.RiskBinomial(1,BJ80)</f>
        <v>0</v>
      </c>
      <c r="BL80" s="88">
        <f ca="1">IF(BK80=1,_xll.RiskBinomial(1,Prob_Illness_Given_Infection),0)</f>
        <v>0</v>
      </c>
      <c r="BN80" s="87">
        <f t="shared" ca="1" si="113"/>
        <v>7.1352377279359892E-6</v>
      </c>
      <c r="BO80" s="37">
        <f ca="1">INT(BN80) + _xll.RiskBinomial(1,BN80-INT(BN80))</f>
        <v>0</v>
      </c>
      <c r="BP80" s="30">
        <f t="shared" ca="1" si="80"/>
        <v>0</v>
      </c>
      <c r="BQ80" s="35">
        <f ca="1">_xll.RiskBinomial(1,BP80)</f>
        <v>0</v>
      </c>
      <c r="BR80" s="88">
        <f ca="1">IF(BQ80=1,_xll.RiskBinomial(1,Prob_Illness_Given_Infection),0)</f>
        <v>0</v>
      </c>
      <c r="BT80" s="87">
        <f t="shared" ca="1" si="114"/>
        <v>2.1455584415078817E-5</v>
      </c>
      <c r="BU80" s="37">
        <f ca="1">INT(BT80) + _xll.RiskBinomial(1,BT80-INT(BT80))</f>
        <v>0</v>
      </c>
      <c r="BV80" s="30">
        <f t="shared" ca="1" si="81"/>
        <v>0</v>
      </c>
      <c r="BW80" s="35">
        <f ca="1">_xll.RiskBinomial(1,BV80)</f>
        <v>0</v>
      </c>
      <c r="BX80" s="88">
        <f ca="1">IF(BW80=1,_xll.RiskBinomial(1,Prob_Illness_Given_Infection),0)</f>
        <v>0</v>
      </c>
      <c r="BZ80" s="87">
        <f t="shared" ca="1" si="115"/>
        <v>5.88169893702092E-5</v>
      </c>
      <c r="CA80" s="37">
        <f ca="1">INT(BZ80) + _xll.RiskBinomial(1,BZ80-INT(BZ80))</f>
        <v>0</v>
      </c>
      <c r="CB80" s="30">
        <f t="shared" ca="1" si="82"/>
        <v>0</v>
      </c>
      <c r="CC80" s="35">
        <f ca="1">_xll.RiskBinomial(1,CB80)</f>
        <v>0</v>
      </c>
      <c r="CD80" s="88">
        <f ca="1">IF(CC80=1,_xll.RiskBinomial(1,Prob_Illness_Given_Infection),0)</f>
        <v>0</v>
      </c>
      <c r="CF80" s="87">
        <f t="shared" ca="1" si="116"/>
        <v>1.1159935020142818E-5</v>
      </c>
      <c r="CG80" s="37">
        <f ca="1">INT(CF80) + _xll.RiskBinomial(1,CF80-INT(CF80))</f>
        <v>0</v>
      </c>
      <c r="CH80" s="30">
        <f t="shared" ca="1" si="83"/>
        <v>0</v>
      </c>
      <c r="CI80" s="35">
        <f ca="1">_xll.RiskBinomial(1,CH80)</f>
        <v>0</v>
      </c>
      <c r="CJ80" s="88">
        <f ca="1">IF(CI80=1,_xll.RiskBinomial(1,Prob_Illness_Given_Infection),0)</f>
        <v>0</v>
      </c>
      <c r="CL80" s="87">
        <f t="shared" ca="1" si="117"/>
        <v>2.1535550302295153E-5</v>
      </c>
      <c r="CM80" s="37">
        <f ca="1">INT(CL80) + _xll.RiskBinomial(1,CL80-INT(CL80))</f>
        <v>0</v>
      </c>
      <c r="CN80" s="30">
        <f t="shared" ca="1" si="84"/>
        <v>0</v>
      </c>
      <c r="CO80" s="35">
        <f ca="1">_xll.RiskBinomial(1,CN80)</f>
        <v>0</v>
      </c>
      <c r="CP80" s="88">
        <f ca="1">IF(CO80=1,_xll.RiskBinomial(1,Prob_Illness_Given_Infection),0)</f>
        <v>0</v>
      </c>
      <c r="CR80" s="87">
        <f t="shared" ca="1" si="118"/>
        <v>1.4841649453933197E-7</v>
      </c>
      <c r="CS80" s="37">
        <f ca="1">INT(CR80) + _xll.RiskBinomial(1,CR80-INT(CR80))</f>
        <v>0</v>
      </c>
      <c r="CT80" s="30">
        <f t="shared" ca="1" si="85"/>
        <v>0</v>
      </c>
      <c r="CU80" s="35">
        <f ca="1">_xll.RiskBinomial(1,CT80)</f>
        <v>0</v>
      </c>
      <c r="CV80" s="88">
        <f ca="1">IF(CU80=1,_xll.RiskBinomial(1,Prob_Illness_Given_Infection),0)</f>
        <v>0</v>
      </c>
      <c r="CX80" s="87">
        <f t="shared" ca="1" si="119"/>
        <v>1.5108630419105572E-9</v>
      </c>
      <c r="CY80" s="37">
        <f ca="1">INT(CX80) + _xll.RiskBinomial(1,CX80-INT(CX80))</f>
        <v>0</v>
      </c>
      <c r="CZ80" s="30">
        <f t="shared" ca="1" si="86"/>
        <v>0</v>
      </c>
      <c r="DA80" s="35">
        <f ca="1">_xll.RiskBinomial(1,CZ80)</f>
        <v>0</v>
      </c>
      <c r="DB80" s="88">
        <f ca="1">IF(DA80=1,_xll.RiskBinomial(1,Prob_Illness_Given_Infection),0)</f>
        <v>0</v>
      </c>
      <c r="DD80" s="87">
        <f t="shared" ca="1" si="120"/>
        <v>1.5108630419105572E-9</v>
      </c>
      <c r="DE80" s="37">
        <f ca="1">INT(DD80) + _xll.RiskBinomial(1,DD80-INT(DD80))</f>
        <v>0</v>
      </c>
      <c r="DF80" s="30">
        <f t="shared" ca="1" si="87"/>
        <v>0</v>
      </c>
      <c r="DG80" s="35">
        <f ca="1">_xll.RiskBinomial(1,DF80)</f>
        <v>0</v>
      </c>
      <c r="DH80" s="88">
        <f ca="1">IF(DG80=1,_xll.RiskBinomial(1,Prob_Illness_Given_Infection),0)</f>
        <v>0</v>
      </c>
      <c r="DJ80" s="87">
        <f t="shared" ca="1" si="121"/>
        <v>2.4670297108514496E-6</v>
      </c>
      <c r="DK80" s="37">
        <f ca="1">INT(DJ80) + _xll.RiskBinomial(1,DJ80-INT(DJ80))</f>
        <v>0</v>
      </c>
      <c r="DL80" s="30">
        <f t="shared" ca="1" si="88"/>
        <v>0</v>
      </c>
      <c r="DM80" s="35">
        <f ca="1">_xll.RiskBinomial(1,DL80)</f>
        <v>0</v>
      </c>
      <c r="DN80" s="88">
        <f ca="1">IF(DM80=1,_xll.RiskBinomial(1,Prob_Illness_Given_Infection),0)</f>
        <v>0</v>
      </c>
      <c r="DP80" s="87">
        <f t="shared" ca="1" si="122"/>
        <v>5.8319310904270815E-10</v>
      </c>
      <c r="DQ80" s="37">
        <f ca="1">INT(DP80) + _xll.RiskBinomial(1,DP80-INT(DP80))</f>
        <v>0</v>
      </c>
      <c r="DR80" s="30">
        <f t="shared" ca="1" si="89"/>
        <v>0</v>
      </c>
      <c r="DS80" s="35">
        <f ca="1">_xll.RiskBinomial(1,DR80)</f>
        <v>0</v>
      </c>
      <c r="DT80" s="88">
        <f ca="1">IF(DS80=1,_xll.RiskBinomial(1,Prob_Illness_Given_Infection),0)</f>
        <v>0</v>
      </c>
      <c r="DV80" s="87">
        <f t="shared" ca="1" si="123"/>
        <v>8.2102273891162554E-9</v>
      </c>
      <c r="DW80" s="37">
        <f ca="1">INT(DV80) + _xll.RiskBinomial(1,DV80-INT(DV80))</f>
        <v>0</v>
      </c>
      <c r="DX80" s="30">
        <f t="shared" ca="1" si="90"/>
        <v>0</v>
      </c>
      <c r="DY80" s="35">
        <f ca="1">_xll.RiskBinomial(1,DX80)</f>
        <v>0</v>
      </c>
      <c r="DZ80" s="88">
        <f ca="1">IF(DY80=1,_xll.RiskBinomial(1,Prob_Illness_Given_Infection),0)</f>
        <v>0</v>
      </c>
      <c r="EB80" s="87">
        <f t="shared" ca="1" si="124"/>
        <v>2.0602121612139767E-12</v>
      </c>
      <c r="EC80" s="37">
        <f ca="1">INT(EB80) + _xll.RiskBinomial(1,EB80-INT(EB80))</f>
        <v>0</v>
      </c>
      <c r="ED80" s="30">
        <f t="shared" ca="1" si="91"/>
        <v>0</v>
      </c>
      <c r="EE80" s="35">
        <f ca="1">_xll.RiskBinomial(1,ED80)</f>
        <v>0</v>
      </c>
      <c r="EF80" s="88">
        <f ca="1">IF(EE80=1,_xll.RiskBinomial(1,Prob_Illness_Given_Infection),0)</f>
        <v>0</v>
      </c>
      <c r="EH80" s="87">
        <f t="shared" ca="1" si="125"/>
        <v>2.0602121612118591E-12</v>
      </c>
      <c r="EI80" s="37">
        <f ca="1">INT(EH80) + _xll.RiskBinomial(1,EH80-INT(EH80))</f>
        <v>0</v>
      </c>
      <c r="EJ80" s="30">
        <f t="shared" ca="1" si="92"/>
        <v>0</v>
      </c>
      <c r="EK80" s="35">
        <f ca="1">_xll.RiskBinomial(1,EJ80)</f>
        <v>0</v>
      </c>
      <c r="EL80" s="88">
        <f ca="1">IF(EK80=1,_xll.RiskBinomial(1,Prob_Illness_Given_Infection),0)</f>
        <v>0</v>
      </c>
      <c r="EN80" s="87">
        <f t="shared" ca="1" si="126"/>
        <v>1.8798192160645305E-10</v>
      </c>
      <c r="EO80" s="37">
        <f ca="1">INT(EN80) + _xll.RiskBinomial(1,EN80-INT(EN80))</f>
        <v>0</v>
      </c>
      <c r="EP80" s="30">
        <f t="shared" ca="1" si="93"/>
        <v>0</v>
      </c>
      <c r="EQ80" s="35">
        <f ca="1">_xll.RiskBinomial(1,EP80)</f>
        <v>0</v>
      </c>
      <c r="ER80" s="88">
        <f ca="1">IF(EQ80=1,_xll.RiskBinomial(1,Prob_Illness_Given_Infection),0)</f>
        <v>0</v>
      </c>
      <c r="ET80" s="87">
        <f t="shared" ca="1" si="127"/>
        <v>2.0602121612098941E-12</v>
      </c>
      <c r="EU80" s="37">
        <f ca="1">INT(ET80) + _xll.RiskBinomial(1,ET80-INT(ET80))</f>
        <v>0</v>
      </c>
      <c r="EV80" s="30">
        <f t="shared" ca="1" si="94"/>
        <v>0</v>
      </c>
      <c r="EW80" s="35">
        <f ca="1">_xll.RiskBinomial(1,EV80)</f>
        <v>0</v>
      </c>
      <c r="EX80" s="88">
        <f ca="1">IF(EW80=1,_xll.RiskBinomial(1,Prob_Illness_Given_Infection),0)</f>
        <v>0</v>
      </c>
      <c r="EZ80" s="87">
        <f t="shared" ca="1" si="128"/>
        <v>1.553853927465906E-5</v>
      </c>
      <c r="FA80" s="37">
        <f ca="1">INT(EZ80) + _xll.RiskBinomial(1,EZ80-INT(EZ80))</f>
        <v>0</v>
      </c>
      <c r="FB80" s="30">
        <f t="shared" ca="1" si="95"/>
        <v>0</v>
      </c>
      <c r="FC80" s="35">
        <f ca="1">_xll.RiskBinomial(1,FB80)</f>
        <v>0</v>
      </c>
      <c r="FD80" s="88">
        <f ca="1">IF(FC80=1,_xll.RiskBinomial(1,Prob_Illness_Given_Infection),0)</f>
        <v>0</v>
      </c>
      <c r="FF80" s="87">
        <f t="shared" ca="1" si="129"/>
        <v>1.0823971789714365E-4</v>
      </c>
      <c r="FG80" s="37">
        <f ca="1">INT(FF80) + _xll.RiskBinomial(1,FF80-INT(FF80))</f>
        <v>0</v>
      </c>
      <c r="FH80" s="30">
        <f t="shared" ca="1" si="96"/>
        <v>0</v>
      </c>
      <c r="FI80" s="35">
        <f ca="1">_xll.RiskBinomial(1,FH80)</f>
        <v>0</v>
      </c>
      <c r="FJ80" s="88">
        <f ca="1">IF(FI80=1,_xll.RiskBinomial(1,Prob_Illness_Given_Infection),0)</f>
        <v>0</v>
      </c>
      <c r="FL80" s="87" t="e">
        <f t="shared" ca="1" si="130"/>
        <v>#NAME?</v>
      </c>
      <c r="FM80" s="37" t="e">
        <f ca="1">INT(FL80) + _xll.RiskBinomial(1,FL80-INT(FL80))</f>
        <v>#NAME?</v>
      </c>
      <c r="FN80" s="30" t="e">
        <f t="shared" ca="1" si="97"/>
        <v>#NAME?</v>
      </c>
      <c r="FO80" s="35" t="e">
        <f ca="1">_xll.RiskBinomial(1,FN80)</f>
        <v>#VALUE!</v>
      </c>
      <c r="FP80" s="88" t="e">
        <f ca="1">IF(FO80=1,_xll.RiskBinomial(1,Prob_Illness_Given_Infection),0)</f>
        <v>#VALUE!</v>
      </c>
      <c r="FR80" s="87" t="e">
        <f t="shared" ca="1" si="131"/>
        <v>#NAME?</v>
      </c>
      <c r="FS80" s="37" t="e">
        <f ca="1">INT(FR80) + _xll.RiskBinomial(1,FR80-INT(FR80))</f>
        <v>#NAME?</v>
      </c>
      <c r="FT80" s="30" t="e">
        <f t="shared" ca="1" si="98"/>
        <v>#NAME?</v>
      </c>
      <c r="FU80" s="35" t="e">
        <f ca="1">_xll.RiskBinomial(1,FT80)</f>
        <v>#VALUE!</v>
      </c>
      <c r="FV80" s="88" t="e">
        <f ca="1">IF(FU80=1,_xll.RiskBinomial(1,Prob_Illness_Given_Infection),0)</f>
        <v>#VALUE!</v>
      </c>
      <c r="FX80" s="87">
        <f t="shared" ca="1" si="132"/>
        <v>2.1751041269325492E-7</v>
      </c>
      <c r="FY80" s="37">
        <f ca="1">INT(FX80) + _xll.RiskBinomial(1,FX80-INT(FX80))</f>
        <v>0</v>
      </c>
      <c r="FZ80" s="30">
        <f t="shared" ca="1" si="99"/>
        <v>0</v>
      </c>
      <c r="GA80" s="35">
        <f ca="1">_xll.RiskBinomial(1,FZ80)</f>
        <v>0</v>
      </c>
      <c r="GB80" s="88">
        <f ca="1">IF(GA80=1,_xll.RiskBinomial(1,Prob_Illness_Given_Infection),0)</f>
        <v>0</v>
      </c>
      <c r="GD80" s="87" t="e">
        <f t="shared" ca="1" si="133"/>
        <v>#NAME?</v>
      </c>
      <c r="GE80" s="37" t="e">
        <f ca="1">INT(GD80) + _xll.RiskBinomial(1,GD80-INT(GD80))</f>
        <v>#NAME?</v>
      </c>
      <c r="GF80" s="30" t="e">
        <f t="shared" ca="1" si="100"/>
        <v>#NAME?</v>
      </c>
      <c r="GG80" s="35" t="e">
        <f ca="1">_xll.RiskBinomial(1,GF80)</f>
        <v>#VALUE!</v>
      </c>
      <c r="GH80" s="88" t="e">
        <f ca="1">IF(GG80=1,_xll.RiskBinomial(1,Prob_Illness_Given_Infection),0)</f>
        <v>#VALUE!</v>
      </c>
      <c r="GJ80" s="87" t="e">
        <f t="shared" ca="1" si="134"/>
        <v>#NAME?</v>
      </c>
      <c r="GK80" s="37" t="e">
        <f ca="1">INT(GJ80) + _xll.RiskBinomial(1,GJ80-INT(GJ80))</f>
        <v>#NAME?</v>
      </c>
      <c r="GL80" s="30" t="e">
        <f t="shared" ca="1" si="101"/>
        <v>#NAME?</v>
      </c>
      <c r="GM80" s="35" t="e">
        <f ca="1">_xll.RiskBinomial(1,GL80)</f>
        <v>#VALUE!</v>
      </c>
      <c r="GN80" s="88" t="e">
        <f ca="1">IF(GM80=1,_xll.RiskBinomial(1,Prob_Illness_Given_Infection),0)</f>
        <v>#VALUE!</v>
      </c>
      <c r="GP80" s="87" t="e">
        <f t="shared" ca="1" si="135"/>
        <v>#NAME?</v>
      </c>
      <c r="GQ80" s="37" t="e">
        <f ca="1">INT(GP80) + _xll.RiskBinomial(1,GP80-INT(GP80))</f>
        <v>#NAME?</v>
      </c>
      <c r="GR80" s="30" t="e">
        <f t="shared" ca="1" si="102"/>
        <v>#NAME?</v>
      </c>
      <c r="GS80" s="35" t="e">
        <f ca="1">_xll.RiskBinomial(1,GR80)</f>
        <v>#VALUE!</v>
      </c>
      <c r="GT80" s="88" t="e">
        <f ca="1">IF(GS80=1,_xll.RiskBinomial(1,Prob_Illness_Given_Infection),0)</f>
        <v>#VALUE!</v>
      </c>
    </row>
    <row r="81" spans="2:202">
      <c r="B81" s="108">
        <v>73</v>
      </c>
      <c r="C81" s="87">
        <f ca="1">_xll.RiskLoglogistic(LogLogistic_gamma, LogLogistic_beta, LogLogistic_alpha, _xll.RiskTruncate(5,800))</f>
        <v>18.582905945032401</v>
      </c>
      <c r="D81" s="38">
        <f t="shared" ca="1" si="69"/>
        <v>1.1937963042461714</v>
      </c>
      <c r="E81" s="30"/>
      <c r="F81" s="87">
        <f t="shared" ca="1" si="103"/>
        <v>4.3100725200417926E-10</v>
      </c>
      <c r="G81" s="37">
        <f ca="1">INT(F81) + _xll.RiskBinomial(1,F81-INT(F81))</f>
        <v>0</v>
      </c>
      <c r="H81" s="30">
        <f t="shared" ca="1" si="70"/>
        <v>0</v>
      </c>
      <c r="I81" s="35">
        <f ca="1">_xll.RiskBinomial(1,H81)</f>
        <v>0</v>
      </c>
      <c r="J81" s="88">
        <f ca="1">IF(I81=1,_xll.RiskBinomial(1,Prob_Illness_Given_Infection),0)</f>
        <v>0</v>
      </c>
      <c r="K81" s="30"/>
      <c r="L81" s="87">
        <f t="shared" ca="1" si="104"/>
        <v>2.2014727388846648E-5</v>
      </c>
      <c r="M81" s="37">
        <f ca="1">INT(L81) + _xll.RiskBinomial(1,L81-INT(L81))</f>
        <v>0</v>
      </c>
      <c r="N81" s="30">
        <f t="shared" ca="1" si="71"/>
        <v>0</v>
      </c>
      <c r="O81" s="35">
        <f ca="1">_xll.RiskBinomial(1,N81)</f>
        <v>0</v>
      </c>
      <c r="P81" s="88">
        <f ca="1">IF(O81=1,_xll.RiskBinomial(1,Prob_Illness_Given_Infection),0)</f>
        <v>0</v>
      </c>
      <c r="Q81" s="30"/>
      <c r="R81" s="87">
        <f t="shared" ca="1" si="105"/>
        <v>2.2757894256599839E-6</v>
      </c>
      <c r="S81" s="37">
        <f ca="1">INT(R81) + _xll.RiskBinomial(1,R81-INT(R81))</f>
        <v>0</v>
      </c>
      <c r="T81" s="30">
        <f t="shared" ca="1" si="72"/>
        <v>0</v>
      </c>
      <c r="U81" s="35">
        <f ca="1">_xll.RiskBinomial(1,T81)</f>
        <v>0</v>
      </c>
      <c r="V81" s="88">
        <f ca="1">IF(U81=1,_xll.RiskBinomial(1,Prob_Illness_Given_Infection),0)</f>
        <v>0</v>
      </c>
      <c r="W81" s="30"/>
      <c r="X81" s="87">
        <f t="shared" ca="1" si="106"/>
        <v>9.3495358978481727E-13</v>
      </c>
      <c r="Y81" s="37">
        <f ca="1">INT(X81) + _xll.RiskBinomial(1,X81-INT(X81))</f>
        <v>0</v>
      </c>
      <c r="Z81" s="30">
        <f t="shared" ca="1" si="73"/>
        <v>0</v>
      </c>
      <c r="AA81" s="35">
        <f ca="1">_xll.RiskBinomial(1,Z81)</f>
        <v>0</v>
      </c>
      <c r="AB81" s="88">
        <f ca="1">IF(AA81=1,_xll.RiskBinomial(1,Prob_Illness_Given_Infection),0)</f>
        <v>0</v>
      </c>
      <c r="AC81" s="30"/>
      <c r="AD81" s="87">
        <f t="shared" ca="1" si="107"/>
        <v>4.7104617705449986E-13</v>
      </c>
      <c r="AE81" s="37">
        <f ca="1">INT(AD81) + _xll.RiskBinomial(1,AD81-INT(AD81))</f>
        <v>0</v>
      </c>
      <c r="AF81" s="30">
        <f t="shared" ca="1" si="74"/>
        <v>0</v>
      </c>
      <c r="AG81" s="35">
        <f ca="1">_xll.RiskBinomial(1,AF81)</f>
        <v>0</v>
      </c>
      <c r="AH81" s="88">
        <f ca="1">IF(AG81=1,_xll.RiskBinomial(1,Prob_Illness_Given_Infection),0)</f>
        <v>0</v>
      </c>
      <c r="AI81" s="30"/>
      <c r="AJ81" s="87">
        <f t="shared" ca="1" si="108"/>
        <v>2.186474962096181E-5</v>
      </c>
      <c r="AK81" s="37">
        <f ca="1">INT(AJ81) + _xll.RiskBinomial(1,AJ81-INT(AJ81))</f>
        <v>0</v>
      </c>
      <c r="AL81" s="30">
        <f t="shared" ca="1" si="75"/>
        <v>0</v>
      </c>
      <c r="AM81" s="35">
        <f ca="1">_xll.RiskBinomial(1,AL81)</f>
        <v>0</v>
      </c>
      <c r="AN81" s="88">
        <f ca="1">IF(AM81=1,_xll.RiskBinomial(1,Prob_Illness_Given_Infection),0)</f>
        <v>0</v>
      </c>
      <c r="AO81" s="30"/>
      <c r="AP81" s="87">
        <f t="shared" ca="1" si="109"/>
        <v>5.3172958266864624E-10</v>
      </c>
      <c r="AQ81" s="37">
        <f ca="1">INT(AP81) + _xll.RiskBinomial(1,AP81-INT(AP81))</f>
        <v>0</v>
      </c>
      <c r="AR81" s="30">
        <f t="shared" ca="1" si="76"/>
        <v>0</v>
      </c>
      <c r="AS81" s="35">
        <f ca="1">_xll.RiskBinomial(1,AR81)</f>
        <v>0</v>
      </c>
      <c r="AT81" s="88">
        <f ca="1">IF(AS81=1,_xll.RiskBinomial(1,Prob_Illness_Given_Infection),0)</f>
        <v>0</v>
      </c>
      <c r="AU81" s="30"/>
      <c r="AV81" s="87">
        <f t="shared" ca="1" si="110"/>
        <v>1.2335849506916786E-5</v>
      </c>
      <c r="AW81" s="37">
        <f ca="1">INT(AV81) + _xll.RiskBinomial(1,AV81-INT(AV81))</f>
        <v>0</v>
      </c>
      <c r="AX81" s="30">
        <f t="shared" ca="1" si="77"/>
        <v>0</v>
      </c>
      <c r="AY81" s="35">
        <f ca="1">_xll.RiskBinomial(1,AX81)</f>
        <v>0</v>
      </c>
      <c r="AZ81" s="88">
        <f ca="1">IF(AY81=1,_xll.RiskBinomial(1,Prob_Illness_Given_Infection),0)</f>
        <v>0</v>
      </c>
      <c r="BB81" s="87">
        <f t="shared" ca="1" si="111"/>
        <v>1.6931075303450088E-5</v>
      </c>
      <c r="BC81" s="37">
        <f ca="1">INT(BB81) + _xll.RiskBinomial(1,BB81-INT(BB81))</f>
        <v>0</v>
      </c>
      <c r="BD81" s="30">
        <f t="shared" ca="1" si="78"/>
        <v>0</v>
      </c>
      <c r="BE81" s="35">
        <f ca="1">_xll.RiskBinomial(1,BD81)</f>
        <v>0</v>
      </c>
      <c r="BF81" s="88">
        <f ca="1">IF(BE81=1,_xll.RiskBinomial(1,Prob_Illness_Given_Infection),0)</f>
        <v>0</v>
      </c>
      <c r="BH81" s="87">
        <f t="shared" ca="1" si="112"/>
        <v>2.1435952609263577E-5</v>
      </c>
      <c r="BI81" s="37">
        <f ca="1">INT(BH81) + _xll.RiskBinomial(1,BH81-INT(BH81))</f>
        <v>0</v>
      </c>
      <c r="BJ81" s="30">
        <f t="shared" ca="1" si="79"/>
        <v>0</v>
      </c>
      <c r="BK81" s="35">
        <f ca="1">_xll.RiskBinomial(1,BJ81)</f>
        <v>0</v>
      </c>
      <c r="BL81" s="88">
        <f ca="1">IF(BK81=1,_xll.RiskBinomial(1,Prob_Illness_Given_Infection),0)</f>
        <v>0</v>
      </c>
      <c r="BN81" s="87">
        <f t="shared" ca="1" si="113"/>
        <v>1.631398220723867E-6</v>
      </c>
      <c r="BO81" s="37">
        <f ca="1">INT(BN81) + _xll.RiskBinomial(1,BN81-INT(BN81))</f>
        <v>0</v>
      </c>
      <c r="BP81" s="30">
        <f t="shared" ca="1" si="80"/>
        <v>0</v>
      </c>
      <c r="BQ81" s="35">
        <f ca="1">_xll.RiskBinomial(1,BP81)</f>
        <v>0</v>
      </c>
      <c r="BR81" s="88">
        <f ca="1">IF(BQ81=1,_xll.RiskBinomial(1,Prob_Illness_Given_Infection),0)</f>
        <v>0</v>
      </c>
      <c r="BT81" s="87">
        <f t="shared" ca="1" si="114"/>
        <v>4.905597202782411E-6</v>
      </c>
      <c r="BU81" s="37">
        <f ca="1">INT(BT81) + _xll.RiskBinomial(1,BT81-INT(BT81))</f>
        <v>0</v>
      </c>
      <c r="BV81" s="30">
        <f t="shared" ca="1" si="81"/>
        <v>0</v>
      </c>
      <c r="BW81" s="35">
        <f ca="1">_xll.RiskBinomial(1,BV81)</f>
        <v>0</v>
      </c>
      <c r="BX81" s="88">
        <f ca="1">IF(BW81=1,_xll.RiskBinomial(1,Prob_Illness_Given_Infection),0)</f>
        <v>0</v>
      </c>
      <c r="BZ81" s="87">
        <f t="shared" ca="1" si="115"/>
        <v>1.3447895566424315E-5</v>
      </c>
      <c r="CA81" s="37">
        <f ca="1">INT(BZ81) + _xll.RiskBinomial(1,BZ81-INT(BZ81))</f>
        <v>0</v>
      </c>
      <c r="CB81" s="30">
        <f t="shared" ca="1" si="82"/>
        <v>0</v>
      </c>
      <c r="CC81" s="35">
        <f ca="1">_xll.RiskBinomial(1,CB81)</f>
        <v>0</v>
      </c>
      <c r="CD81" s="88">
        <f ca="1">IF(CC81=1,_xll.RiskBinomial(1,Prob_Illness_Given_Infection),0)</f>
        <v>0</v>
      </c>
      <c r="CF81" s="87">
        <f t="shared" ca="1" si="116"/>
        <v>2.5516035806310134E-6</v>
      </c>
      <c r="CG81" s="37">
        <f ca="1">INT(CF81) + _xll.RiskBinomial(1,CF81-INT(CF81))</f>
        <v>0</v>
      </c>
      <c r="CH81" s="30">
        <f t="shared" ca="1" si="83"/>
        <v>0</v>
      </c>
      <c r="CI81" s="35">
        <f ca="1">_xll.RiskBinomial(1,CH81)</f>
        <v>0</v>
      </c>
      <c r="CJ81" s="88">
        <f ca="1">IF(CI81=1,_xll.RiskBinomial(1,Prob_Illness_Given_Infection),0)</f>
        <v>0</v>
      </c>
      <c r="CL81" s="87">
        <f t="shared" ca="1" si="117"/>
        <v>4.9238805748433827E-6</v>
      </c>
      <c r="CM81" s="37">
        <f ca="1">INT(CL81) + _xll.RiskBinomial(1,CL81-INT(CL81))</f>
        <v>0</v>
      </c>
      <c r="CN81" s="30">
        <f t="shared" ca="1" si="84"/>
        <v>0</v>
      </c>
      <c r="CO81" s="35">
        <f ca="1">_xll.RiskBinomial(1,CN81)</f>
        <v>0</v>
      </c>
      <c r="CP81" s="88">
        <f ca="1">IF(CO81=1,_xll.RiskBinomial(1,Prob_Illness_Given_Infection),0)</f>
        <v>0</v>
      </c>
      <c r="CR81" s="87">
        <f t="shared" ca="1" si="118"/>
        <v>3.393389461567101E-8</v>
      </c>
      <c r="CS81" s="37">
        <f ca="1">INT(CR81) + _xll.RiskBinomial(1,CR81-INT(CR81))</f>
        <v>0</v>
      </c>
      <c r="CT81" s="30">
        <f t="shared" ca="1" si="85"/>
        <v>0</v>
      </c>
      <c r="CU81" s="35">
        <f ca="1">_xll.RiskBinomial(1,CT81)</f>
        <v>0</v>
      </c>
      <c r="CV81" s="88">
        <f ca="1">IF(CU81=1,_xll.RiskBinomial(1,Prob_Illness_Given_Infection),0)</f>
        <v>0</v>
      </c>
      <c r="CX81" s="87">
        <f t="shared" ca="1" si="119"/>
        <v>3.4544318946515757E-10</v>
      </c>
      <c r="CY81" s="37">
        <f ca="1">INT(CX81) + _xll.RiskBinomial(1,CX81-INT(CX81))</f>
        <v>0</v>
      </c>
      <c r="CZ81" s="30">
        <f t="shared" ca="1" si="86"/>
        <v>0</v>
      </c>
      <c r="DA81" s="35">
        <f ca="1">_xll.RiskBinomial(1,CZ81)</f>
        <v>0</v>
      </c>
      <c r="DB81" s="88">
        <f ca="1">IF(DA81=1,_xll.RiskBinomial(1,Prob_Illness_Given_Infection),0)</f>
        <v>0</v>
      </c>
      <c r="DD81" s="87">
        <f t="shared" ca="1" si="120"/>
        <v>3.4544318946515757E-10</v>
      </c>
      <c r="DE81" s="37">
        <f ca="1">INT(DD81) + _xll.RiskBinomial(1,DD81-INT(DD81))</f>
        <v>0</v>
      </c>
      <c r="DF81" s="30">
        <f t="shared" ca="1" si="87"/>
        <v>0</v>
      </c>
      <c r="DG81" s="35">
        <f ca="1">_xll.RiskBinomial(1,DF81)</f>
        <v>0</v>
      </c>
      <c r="DH81" s="88">
        <f ca="1">IF(DG81=1,_xll.RiskBinomial(1,Prob_Illness_Given_Infection),0)</f>
        <v>0</v>
      </c>
      <c r="DJ81" s="87">
        <f t="shared" ca="1" si="121"/>
        <v>5.6406079716144217E-7</v>
      </c>
      <c r="DK81" s="37">
        <f ca="1">INT(DJ81) + _xll.RiskBinomial(1,DJ81-INT(DJ81))</f>
        <v>0</v>
      </c>
      <c r="DL81" s="30">
        <f t="shared" ca="1" si="88"/>
        <v>0</v>
      </c>
      <c r="DM81" s="35">
        <f ca="1">_xll.RiskBinomial(1,DL81)</f>
        <v>0</v>
      </c>
      <c r="DN81" s="88">
        <f ca="1">IF(DM81=1,_xll.RiskBinomial(1,Prob_Illness_Given_Infection),0)</f>
        <v>0</v>
      </c>
      <c r="DP81" s="87">
        <f t="shared" ca="1" si="122"/>
        <v>1.3334106538674663E-10</v>
      </c>
      <c r="DQ81" s="37">
        <f ca="1">INT(DP81) + _xll.RiskBinomial(1,DP81-INT(DP81))</f>
        <v>0</v>
      </c>
      <c r="DR81" s="30">
        <f t="shared" ca="1" si="89"/>
        <v>0</v>
      </c>
      <c r="DS81" s="35">
        <f ca="1">_xll.RiskBinomial(1,DR81)</f>
        <v>0</v>
      </c>
      <c r="DT81" s="88">
        <f ca="1">IF(DS81=1,_xll.RiskBinomial(1,Prob_Illness_Given_Infection),0)</f>
        <v>0</v>
      </c>
      <c r="DV81" s="87">
        <f t="shared" ca="1" si="123"/>
        <v>1.8771834751772381E-9</v>
      </c>
      <c r="DW81" s="37">
        <f ca="1">INT(DV81) + _xll.RiskBinomial(1,DV81-INT(DV81))</f>
        <v>0</v>
      </c>
      <c r="DX81" s="30">
        <f t="shared" ca="1" si="90"/>
        <v>0</v>
      </c>
      <c r="DY81" s="35">
        <f ca="1">_xll.RiskBinomial(1,DX81)</f>
        <v>0</v>
      </c>
      <c r="DZ81" s="88">
        <f ca="1">IF(DY81=1,_xll.RiskBinomial(1,Prob_Illness_Given_Infection),0)</f>
        <v>0</v>
      </c>
      <c r="EB81" s="87">
        <f t="shared" ca="1" si="124"/>
        <v>4.7104617705434163E-13</v>
      </c>
      <c r="EC81" s="37">
        <f ca="1">INT(EB81) + _xll.RiskBinomial(1,EB81-INT(EB81))</f>
        <v>0</v>
      </c>
      <c r="ED81" s="30">
        <f t="shared" ca="1" si="91"/>
        <v>0</v>
      </c>
      <c r="EE81" s="35">
        <f ca="1">_xll.RiskBinomial(1,ED81)</f>
        <v>0</v>
      </c>
      <c r="EF81" s="88">
        <f ca="1">IF(EE81=1,_xll.RiskBinomial(1,Prob_Illness_Given_Infection),0)</f>
        <v>0</v>
      </c>
      <c r="EH81" s="87">
        <f t="shared" ca="1" si="125"/>
        <v>4.7104617705385746E-13</v>
      </c>
      <c r="EI81" s="37">
        <f ca="1">INT(EH81) + _xll.RiskBinomial(1,EH81-INT(EH81))</f>
        <v>0</v>
      </c>
      <c r="EJ81" s="30">
        <f t="shared" ca="1" si="92"/>
        <v>0</v>
      </c>
      <c r="EK81" s="35">
        <f ca="1">_xll.RiskBinomial(1,EJ81)</f>
        <v>0</v>
      </c>
      <c r="EL81" s="88">
        <f ca="1">IF(EK81=1,_xll.RiskBinomial(1,Prob_Illness_Given_Infection),0)</f>
        <v>0</v>
      </c>
      <c r="EN81" s="87">
        <f t="shared" ca="1" si="126"/>
        <v>4.2980119812452611E-11</v>
      </c>
      <c r="EO81" s="37">
        <f ca="1">INT(EN81) + _xll.RiskBinomial(1,EN81-INT(EN81))</f>
        <v>0</v>
      </c>
      <c r="EP81" s="30">
        <f t="shared" ca="1" si="93"/>
        <v>0</v>
      </c>
      <c r="EQ81" s="35">
        <f ca="1">_xll.RiskBinomial(1,EP81)</f>
        <v>0</v>
      </c>
      <c r="ER81" s="88">
        <f ca="1">IF(EQ81=1,_xll.RiskBinomial(1,Prob_Illness_Given_Infection),0)</f>
        <v>0</v>
      </c>
      <c r="ET81" s="87">
        <f t="shared" ca="1" si="127"/>
        <v>4.7104617705340823E-13</v>
      </c>
      <c r="EU81" s="37">
        <f ca="1">INT(ET81) + _xll.RiskBinomial(1,ET81-INT(ET81))</f>
        <v>0</v>
      </c>
      <c r="EV81" s="30">
        <f t="shared" ca="1" si="94"/>
        <v>0</v>
      </c>
      <c r="EW81" s="35">
        <f ca="1">_xll.RiskBinomial(1,EV81)</f>
        <v>0</v>
      </c>
      <c r="EX81" s="88">
        <f ca="1">IF(EW81=1,_xll.RiskBinomial(1,Prob_Illness_Given_Infection),0)</f>
        <v>0</v>
      </c>
      <c r="EZ81" s="87">
        <f t="shared" ca="1" si="128"/>
        <v>3.5527261027446634E-6</v>
      </c>
      <c r="FA81" s="37">
        <f ca="1">INT(EZ81) + _xll.RiskBinomial(1,EZ81-INT(EZ81))</f>
        <v>0</v>
      </c>
      <c r="FB81" s="30">
        <f t="shared" ca="1" si="95"/>
        <v>0</v>
      </c>
      <c r="FC81" s="35">
        <f ca="1">_xll.RiskBinomial(1,FB81)</f>
        <v>0</v>
      </c>
      <c r="FD81" s="88">
        <f ca="1">IF(FC81=1,_xll.RiskBinomial(1,Prob_Illness_Given_Infection),0)</f>
        <v>0</v>
      </c>
      <c r="FF81" s="87">
        <f t="shared" ca="1" si="129"/>
        <v>2.4747890669107863E-5</v>
      </c>
      <c r="FG81" s="37">
        <f ca="1">INT(FF81) + _xll.RiskBinomial(1,FF81-INT(FF81))</f>
        <v>0</v>
      </c>
      <c r="FH81" s="30">
        <f t="shared" ca="1" si="96"/>
        <v>0</v>
      </c>
      <c r="FI81" s="35">
        <f ca="1">_xll.RiskBinomial(1,FH81)</f>
        <v>0</v>
      </c>
      <c r="FJ81" s="88">
        <f ca="1">IF(FI81=1,_xll.RiskBinomial(1,Prob_Illness_Given_Infection),0)</f>
        <v>0</v>
      </c>
      <c r="FL81" s="87" t="e">
        <f t="shared" ca="1" si="130"/>
        <v>#NAME?</v>
      </c>
      <c r="FM81" s="37" t="e">
        <f ca="1">INT(FL81) + _xll.RiskBinomial(1,FL81-INT(FL81))</f>
        <v>#NAME?</v>
      </c>
      <c r="FN81" s="30" t="e">
        <f t="shared" ca="1" si="97"/>
        <v>#NAME?</v>
      </c>
      <c r="FO81" s="35" t="e">
        <f ca="1">_xll.RiskBinomial(1,FN81)</f>
        <v>#VALUE!</v>
      </c>
      <c r="FP81" s="88" t="e">
        <f ca="1">IF(FO81=1,_xll.RiskBinomial(1,Prob_Illness_Given_Infection),0)</f>
        <v>#VALUE!</v>
      </c>
      <c r="FR81" s="87" t="e">
        <f t="shared" ca="1" si="131"/>
        <v>#NAME?</v>
      </c>
      <c r="FS81" s="37" t="e">
        <f ca="1">INT(FR81) + _xll.RiskBinomial(1,FR81-INT(FR81))</f>
        <v>#NAME?</v>
      </c>
      <c r="FT81" s="30" t="e">
        <f t="shared" ca="1" si="98"/>
        <v>#NAME?</v>
      </c>
      <c r="FU81" s="35" t="e">
        <f ca="1">_xll.RiskBinomial(1,FT81)</f>
        <v>#VALUE!</v>
      </c>
      <c r="FV81" s="88" t="e">
        <f ca="1">IF(FU81=1,_xll.RiskBinomial(1,Prob_Illness_Given_Infection),0)</f>
        <v>#VALUE!</v>
      </c>
      <c r="FX81" s="87">
        <f t="shared" ca="1" si="132"/>
        <v>4.9731503530343682E-8</v>
      </c>
      <c r="FY81" s="37">
        <f ca="1">INT(FX81) + _xll.RiskBinomial(1,FX81-INT(FX81))</f>
        <v>0</v>
      </c>
      <c r="FZ81" s="30">
        <f t="shared" ca="1" si="99"/>
        <v>0</v>
      </c>
      <c r="GA81" s="35">
        <f ca="1">_xll.RiskBinomial(1,FZ81)</f>
        <v>0</v>
      </c>
      <c r="GB81" s="88">
        <f ca="1">IF(GA81=1,_xll.RiskBinomial(1,Prob_Illness_Given_Infection),0)</f>
        <v>0</v>
      </c>
      <c r="GD81" s="87" t="e">
        <f t="shared" ca="1" si="133"/>
        <v>#NAME?</v>
      </c>
      <c r="GE81" s="37" t="e">
        <f ca="1">INT(GD81) + _xll.RiskBinomial(1,GD81-INT(GD81))</f>
        <v>#NAME?</v>
      </c>
      <c r="GF81" s="30" t="e">
        <f t="shared" ca="1" si="100"/>
        <v>#NAME?</v>
      </c>
      <c r="GG81" s="35" t="e">
        <f ca="1">_xll.RiskBinomial(1,GF81)</f>
        <v>#VALUE!</v>
      </c>
      <c r="GH81" s="88" t="e">
        <f ca="1">IF(GG81=1,_xll.RiskBinomial(1,Prob_Illness_Given_Infection),0)</f>
        <v>#VALUE!</v>
      </c>
      <c r="GJ81" s="87" t="e">
        <f t="shared" ca="1" si="134"/>
        <v>#NAME?</v>
      </c>
      <c r="GK81" s="37" t="e">
        <f ca="1">INT(GJ81) + _xll.RiskBinomial(1,GJ81-INT(GJ81))</f>
        <v>#NAME?</v>
      </c>
      <c r="GL81" s="30" t="e">
        <f t="shared" ca="1" si="101"/>
        <v>#NAME?</v>
      </c>
      <c r="GM81" s="35" t="e">
        <f ca="1">_xll.RiskBinomial(1,GL81)</f>
        <v>#VALUE!</v>
      </c>
      <c r="GN81" s="88" t="e">
        <f ca="1">IF(GM81=1,_xll.RiskBinomial(1,Prob_Illness_Given_Infection),0)</f>
        <v>#VALUE!</v>
      </c>
      <c r="GP81" s="87" t="e">
        <f t="shared" ca="1" si="135"/>
        <v>#NAME?</v>
      </c>
      <c r="GQ81" s="37" t="e">
        <f ca="1">INT(GP81) + _xll.RiskBinomial(1,GP81-INT(GP81))</f>
        <v>#NAME?</v>
      </c>
      <c r="GR81" s="30" t="e">
        <f t="shared" ca="1" si="102"/>
        <v>#NAME?</v>
      </c>
      <c r="GS81" s="35" t="e">
        <f ca="1">_xll.RiskBinomial(1,GR81)</f>
        <v>#VALUE!</v>
      </c>
      <c r="GT81" s="88" t="e">
        <f ca="1">IF(GS81=1,_xll.RiskBinomial(1,Prob_Illness_Given_Infection),0)</f>
        <v>#VALUE!</v>
      </c>
    </row>
    <row r="82" spans="2:202">
      <c r="B82" s="108">
        <v>74</v>
      </c>
      <c r="C82" s="87">
        <f ca="1">_xll.RiskLoglogistic(LogLogistic_gamma, LogLogistic_beta, LogLogistic_alpha, _xll.RiskTruncate(5,800))</f>
        <v>80.819510833546587</v>
      </c>
      <c r="D82" s="38">
        <f t="shared" ca="1" si="69"/>
        <v>5.1919777041040778</v>
      </c>
      <c r="E82" s="30"/>
      <c r="F82" s="87">
        <f t="shared" ca="1" si="103"/>
        <v>1.8745074304162165E-9</v>
      </c>
      <c r="G82" s="37">
        <f ca="1">INT(F82) + _xll.RiskBinomial(1,F82-INT(F82))</f>
        <v>0</v>
      </c>
      <c r="H82" s="30">
        <f t="shared" ca="1" si="70"/>
        <v>0</v>
      </c>
      <c r="I82" s="35">
        <f ca="1">_xll.RiskBinomial(1,H82)</f>
        <v>0</v>
      </c>
      <c r="J82" s="88">
        <f ca="1">IF(I82=1,_xll.RiskBinomial(1,Prob_Illness_Given_Infection),0)</f>
        <v>0</v>
      </c>
      <c r="K82" s="30"/>
      <c r="L82" s="87">
        <f t="shared" ca="1" si="104"/>
        <v>9.5744955281124329E-5</v>
      </c>
      <c r="M82" s="37">
        <f ca="1">INT(L82) + _xll.RiskBinomial(1,L82-INT(L82))</f>
        <v>0</v>
      </c>
      <c r="N82" s="30">
        <f t="shared" ca="1" si="71"/>
        <v>0</v>
      </c>
      <c r="O82" s="35">
        <f ca="1">_xll.RiskBinomial(1,N82)</f>
        <v>0</v>
      </c>
      <c r="P82" s="88">
        <f ca="1">IF(O82=1,_xll.RiskBinomial(1,Prob_Illness_Given_Infection),0)</f>
        <v>0</v>
      </c>
      <c r="Q82" s="30"/>
      <c r="R82" s="87">
        <f t="shared" ca="1" si="105"/>
        <v>9.8977086084410662E-6</v>
      </c>
      <c r="S82" s="37">
        <f ca="1">INT(R82) + _xll.RiskBinomial(1,R82-INT(R82))</f>
        <v>0</v>
      </c>
      <c r="T82" s="30">
        <f t="shared" ca="1" si="72"/>
        <v>0</v>
      </c>
      <c r="U82" s="35">
        <f ca="1">_xll.RiskBinomial(1,T82)</f>
        <v>0</v>
      </c>
      <c r="V82" s="88">
        <f ca="1">IF(U82=1,_xll.RiskBinomial(1,Prob_Illness_Given_Infection),0)</f>
        <v>0</v>
      </c>
      <c r="W82" s="30"/>
      <c r="X82" s="87">
        <f t="shared" ca="1" si="106"/>
        <v>4.0662365725785078E-12</v>
      </c>
      <c r="Y82" s="37">
        <f ca="1">INT(X82) + _xll.RiskBinomial(1,X82-INT(X82))</f>
        <v>0</v>
      </c>
      <c r="Z82" s="30">
        <f t="shared" ca="1" si="73"/>
        <v>0</v>
      </c>
      <c r="AA82" s="35">
        <f ca="1">_xll.RiskBinomial(1,Z82)</f>
        <v>0</v>
      </c>
      <c r="AB82" s="88">
        <f ca="1">IF(AA82=1,_xll.RiskBinomial(1,Prob_Illness_Given_Infection),0)</f>
        <v>0</v>
      </c>
      <c r="AC82" s="30"/>
      <c r="AD82" s="87">
        <f t="shared" ca="1" si="107"/>
        <v>2.0486420004581518E-12</v>
      </c>
      <c r="AE82" s="37">
        <f ca="1">INT(AD82) + _xll.RiskBinomial(1,AD82-INT(AD82))</f>
        <v>0</v>
      </c>
      <c r="AF82" s="30">
        <f t="shared" ca="1" si="74"/>
        <v>0</v>
      </c>
      <c r="AG82" s="35">
        <f ca="1">_xll.RiskBinomial(1,AF82)</f>
        <v>0</v>
      </c>
      <c r="AH82" s="88">
        <f ca="1">IF(AG82=1,_xll.RiskBinomial(1,Prob_Illness_Given_Infection),0)</f>
        <v>0</v>
      </c>
      <c r="AI82" s="30"/>
      <c r="AJ82" s="87">
        <f t="shared" ca="1" si="108"/>
        <v>9.5092682172052276E-5</v>
      </c>
      <c r="AK82" s="37">
        <f ca="1">INT(AJ82) + _xll.RiskBinomial(1,AJ82-INT(AJ82))</f>
        <v>0</v>
      </c>
      <c r="AL82" s="30">
        <f t="shared" ca="1" si="75"/>
        <v>0</v>
      </c>
      <c r="AM82" s="35">
        <f ca="1">_xll.RiskBinomial(1,AL82)</f>
        <v>0</v>
      </c>
      <c r="AN82" s="88">
        <f ca="1">IF(AM82=1,_xll.RiskBinomial(1,Prob_Illness_Given_Infection),0)</f>
        <v>0</v>
      </c>
      <c r="AO82" s="30"/>
      <c r="AP82" s="87">
        <f t="shared" ca="1" si="109"/>
        <v>2.3125621414714068E-9</v>
      </c>
      <c r="AQ82" s="37">
        <f ca="1">INT(AP82) + _xll.RiskBinomial(1,AP82-INT(AP82))</f>
        <v>0</v>
      </c>
      <c r="AR82" s="30">
        <f t="shared" ca="1" si="76"/>
        <v>0</v>
      </c>
      <c r="AS82" s="35">
        <f ca="1">_xll.RiskBinomial(1,AR82)</f>
        <v>0</v>
      </c>
      <c r="AT82" s="88">
        <f ca="1">IF(AS82=1,_xll.RiskBinomial(1,Prob_Illness_Given_Infection),0)</f>
        <v>0</v>
      </c>
      <c r="AU82" s="30"/>
      <c r="AV82" s="87">
        <f t="shared" ca="1" si="110"/>
        <v>5.3650237794577794E-5</v>
      </c>
      <c r="AW82" s="37">
        <f ca="1">INT(AV82) + _xll.RiskBinomial(1,AV82-INT(AV82))</f>
        <v>0</v>
      </c>
      <c r="AX82" s="30">
        <f t="shared" ca="1" si="77"/>
        <v>0</v>
      </c>
      <c r="AY82" s="35">
        <f ca="1">_xll.RiskBinomial(1,AX82)</f>
        <v>0</v>
      </c>
      <c r="AZ82" s="88">
        <f ca="1">IF(AY82=1,_xll.RiskBinomial(1,Prob_Illness_Given_Infection),0)</f>
        <v>0</v>
      </c>
      <c r="BB82" s="87">
        <f t="shared" ca="1" si="111"/>
        <v>7.363548133743685E-5</v>
      </c>
      <c r="BC82" s="37">
        <f ca="1">INT(BB82) + _xll.RiskBinomial(1,BB82-INT(BB82))</f>
        <v>0</v>
      </c>
      <c r="BD82" s="30">
        <f t="shared" ca="1" si="78"/>
        <v>0</v>
      </c>
      <c r="BE82" s="35">
        <f ca="1">_xll.RiskBinomial(1,BD82)</f>
        <v>0</v>
      </c>
      <c r="BF82" s="88">
        <f ca="1">IF(BE82=1,_xll.RiskBinomial(1,Prob_Illness_Given_Infection),0)</f>
        <v>0</v>
      </c>
      <c r="BH82" s="87">
        <f t="shared" ca="1" si="112"/>
        <v>9.3227787368470614E-5</v>
      </c>
      <c r="BI82" s="37">
        <f ca="1">INT(BH82) + _xll.RiskBinomial(1,BH82-INT(BH82))</f>
        <v>0</v>
      </c>
      <c r="BJ82" s="30">
        <f t="shared" ca="1" si="79"/>
        <v>0</v>
      </c>
      <c r="BK82" s="35">
        <f ca="1">_xll.RiskBinomial(1,BJ82)</f>
        <v>0</v>
      </c>
      <c r="BL82" s="88">
        <f ca="1">IF(BK82=1,_xll.RiskBinomial(1,Prob_Illness_Given_Infection),0)</f>
        <v>0</v>
      </c>
      <c r="BN82" s="87">
        <f t="shared" ca="1" si="113"/>
        <v>7.0951662007882654E-6</v>
      </c>
      <c r="BO82" s="37">
        <f ca="1">INT(BN82) + _xll.RiskBinomial(1,BN82-INT(BN82))</f>
        <v>0</v>
      </c>
      <c r="BP82" s="30">
        <f t="shared" ca="1" si="80"/>
        <v>0</v>
      </c>
      <c r="BQ82" s="35">
        <f ca="1">_xll.RiskBinomial(1,BP82)</f>
        <v>0</v>
      </c>
      <c r="BR82" s="88">
        <f ca="1">IF(BQ82=1,_xll.RiskBinomial(1,Prob_Illness_Given_Infection),0)</f>
        <v>0</v>
      </c>
      <c r="BT82" s="87">
        <f t="shared" ca="1" si="114"/>
        <v>2.1335089756576695E-5</v>
      </c>
      <c r="BU82" s="37">
        <f ca="1">INT(BT82) + _xll.RiskBinomial(1,BT82-INT(BT82))</f>
        <v>0</v>
      </c>
      <c r="BV82" s="30">
        <f t="shared" ca="1" si="81"/>
        <v>0</v>
      </c>
      <c r="BW82" s="35">
        <f ca="1">_xll.RiskBinomial(1,BV82)</f>
        <v>0</v>
      </c>
      <c r="BX82" s="88">
        <f ca="1">IF(BW82=1,_xll.RiskBinomial(1,Prob_Illness_Given_Infection),0)</f>
        <v>0</v>
      </c>
      <c r="BZ82" s="87">
        <f t="shared" ca="1" si="115"/>
        <v>5.8486672893567088E-5</v>
      </c>
      <c r="CA82" s="37">
        <f ca="1">INT(BZ82) + _xll.RiskBinomial(1,BZ82-INT(BZ82))</f>
        <v>0</v>
      </c>
      <c r="CB82" s="30">
        <f t="shared" ca="1" si="82"/>
        <v>0</v>
      </c>
      <c r="CC82" s="35">
        <f ca="1">_xll.RiskBinomial(1,CB82)</f>
        <v>0</v>
      </c>
      <c r="CD82" s="88">
        <f ca="1">IF(CC82=1,_xll.RiskBinomial(1,Prob_Illness_Given_Infection),0)</f>
        <v>0</v>
      </c>
      <c r="CF82" s="87">
        <f t="shared" ca="1" si="116"/>
        <v>1.1097260774914013E-5</v>
      </c>
      <c r="CG82" s="37">
        <f ca="1">INT(CF82) + _xll.RiskBinomial(1,CF82-INT(CF82))</f>
        <v>0</v>
      </c>
      <c r="CH82" s="30">
        <f t="shared" ca="1" si="83"/>
        <v>0</v>
      </c>
      <c r="CI82" s="35">
        <f ca="1">_xll.RiskBinomial(1,CH82)</f>
        <v>0</v>
      </c>
      <c r="CJ82" s="88">
        <f ca="1">IF(CI82=1,_xll.RiskBinomial(1,Prob_Illness_Given_Infection),0)</f>
        <v>0</v>
      </c>
      <c r="CL82" s="87">
        <f t="shared" ca="1" si="117"/>
        <v>2.1414606555011037E-5</v>
      </c>
      <c r="CM82" s="37">
        <f ca="1">INT(CL82) + _xll.RiskBinomial(1,CL82-INT(CL82))</f>
        <v>0</v>
      </c>
      <c r="CN82" s="30">
        <f t="shared" ca="1" si="84"/>
        <v>0</v>
      </c>
      <c r="CO82" s="35">
        <f ca="1">_xll.RiskBinomial(1,CN82)</f>
        <v>0</v>
      </c>
      <c r="CP82" s="88">
        <f ca="1">IF(CO82=1,_xll.RiskBinomial(1,Prob_Illness_Given_Infection),0)</f>
        <v>0</v>
      </c>
      <c r="CR82" s="87">
        <f t="shared" ca="1" si="118"/>
        <v>1.4758298683897632E-7</v>
      </c>
      <c r="CS82" s="37">
        <f ca="1">INT(CR82) + _xll.RiskBinomial(1,CR82-INT(CR82))</f>
        <v>0</v>
      </c>
      <c r="CT82" s="30">
        <f t="shared" ca="1" si="85"/>
        <v>0</v>
      </c>
      <c r="CU82" s="35">
        <f ca="1">_xll.RiskBinomial(1,CT82)</f>
        <v>0</v>
      </c>
      <c r="CV82" s="88">
        <f ca="1">IF(CU82=1,_xll.RiskBinomial(1,Prob_Illness_Given_Infection),0)</f>
        <v>0</v>
      </c>
      <c r="CX82" s="87">
        <f t="shared" ca="1" si="119"/>
        <v>1.5023780282769717E-9</v>
      </c>
      <c r="CY82" s="37">
        <f ca="1">INT(CX82) + _xll.RiskBinomial(1,CX82-INT(CX82))</f>
        <v>0</v>
      </c>
      <c r="CZ82" s="30">
        <f t="shared" ca="1" si="86"/>
        <v>0</v>
      </c>
      <c r="DA82" s="35">
        <f ca="1">_xll.RiskBinomial(1,CZ82)</f>
        <v>0</v>
      </c>
      <c r="DB82" s="88">
        <f ca="1">IF(DA82=1,_xll.RiskBinomial(1,Prob_Illness_Given_Infection),0)</f>
        <v>0</v>
      </c>
      <c r="DD82" s="87">
        <f t="shared" ca="1" si="120"/>
        <v>1.5023780282769717E-9</v>
      </c>
      <c r="DE82" s="37">
        <f ca="1">INT(DD82) + _xll.RiskBinomial(1,DD82-INT(DD82))</f>
        <v>0</v>
      </c>
      <c r="DF82" s="30">
        <f t="shared" ca="1" si="87"/>
        <v>0</v>
      </c>
      <c r="DG82" s="35">
        <f ca="1">_xll.RiskBinomial(1,DF82)</f>
        <v>0</v>
      </c>
      <c r="DH82" s="88">
        <f ca="1">IF(DG82=1,_xll.RiskBinomial(1,Prob_Illness_Given_Infection),0)</f>
        <v>0</v>
      </c>
      <c r="DJ82" s="87">
        <f t="shared" ca="1" si="121"/>
        <v>2.4531748609078274E-6</v>
      </c>
      <c r="DK82" s="37">
        <f ca="1">INT(DJ82) + _xll.RiskBinomial(1,DJ82-INT(DJ82))</f>
        <v>0</v>
      </c>
      <c r="DL82" s="30">
        <f t="shared" ca="1" si="88"/>
        <v>0</v>
      </c>
      <c r="DM82" s="35">
        <f ca="1">_xll.RiskBinomial(1,DL82)</f>
        <v>0</v>
      </c>
      <c r="DN82" s="88">
        <f ca="1">IF(DM82=1,_xll.RiskBinomial(1,Prob_Illness_Given_Infection),0)</f>
        <v>0</v>
      </c>
      <c r="DP82" s="87">
        <f t="shared" ca="1" si="122"/>
        <v>5.7991789392130109E-10</v>
      </c>
      <c r="DQ82" s="37">
        <f ca="1">INT(DP82) + _xll.RiskBinomial(1,DP82-INT(DP82))</f>
        <v>0</v>
      </c>
      <c r="DR82" s="30">
        <f t="shared" ca="1" si="89"/>
        <v>0</v>
      </c>
      <c r="DS82" s="35">
        <f ca="1">_xll.RiskBinomial(1,DR82)</f>
        <v>0</v>
      </c>
      <c r="DT82" s="88">
        <f ca="1">IF(DS82=1,_xll.RiskBinomial(1,Prob_Illness_Given_Infection),0)</f>
        <v>0</v>
      </c>
      <c r="DV82" s="87">
        <f t="shared" ca="1" si="123"/>
        <v>8.1641187152000568E-9</v>
      </c>
      <c r="DW82" s="37">
        <f ca="1">INT(DV82) + _xll.RiskBinomial(1,DV82-INT(DV82))</f>
        <v>0</v>
      </c>
      <c r="DX82" s="30">
        <f t="shared" ca="1" si="90"/>
        <v>0</v>
      </c>
      <c r="DY82" s="35">
        <f ca="1">_xll.RiskBinomial(1,DX82)</f>
        <v>0</v>
      </c>
      <c r="DZ82" s="88">
        <f ca="1">IF(DY82=1,_xll.RiskBinomial(1,Prob_Illness_Given_Infection),0)</f>
        <v>0</v>
      </c>
      <c r="EB82" s="87">
        <f t="shared" ca="1" si="124"/>
        <v>2.0486420004574636E-12</v>
      </c>
      <c r="EC82" s="37">
        <f ca="1">INT(EB82) + _xll.RiskBinomial(1,EB82-INT(EB82))</f>
        <v>0</v>
      </c>
      <c r="ED82" s="30">
        <f t="shared" ca="1" si="91"/>
        <v>0</v>
      </c>
      <c r="EE82" s="35">
        <f ca="1">_xll.RiskBinomial(1,ED82)</f>
        <v>0</v>
      </c>
      <c r="EF82" s="88">
        <f ca="1">IF(EE82=1,_xll.RiskBinomial(1,Prob_Illness_Given_Infection),0)</f>
        <v>0</v>
      </c>
      <c r="EH82" s="87">
        <f t="shared" ca="1" si="125"/>
        <v>2.0486420004553577E-12</v>
      </c>
      <c r="EI82" s="37">
        <f ca="1">INT(EH82) + _xll.RiskBinomial(1,EH82-INT(EH82))</f>
        <v>0</v>
      </c>
      <c r="EJ82" s="30">
        <f t="shared" ca="1" si="92"/>
        <v>0</v>
      </c>
      <c r="EK82" s="35">
        <f ca="1">_xll.RiskBinomial(1,EJ82)</f>
        <v>0</v>
      </c>
      <c r="EL82" s="88">
        <f ca="1">IF(EK82=1,_xll.RiskBinomial(1,Prob_Illness_Given_Infection),0)</f>
        <v>0</v>
      </c>
      <c r="EN82" s="87">
        <f t="shared" ca="1" si="126"/>
        <v>1.8692621428987101E-10</v>
      </c>
      <c r="EO82" s="37">
        <f ca="1">INT(EN82) + _xll.RiskBinomial(1,EN82-INT(EN82))</f>
        <v>0</v>
      </c>
      <c r="EP82" s="30">
        <f t="shared" ca="1" si="93"/>
        <v>0</v>
      </c>
      <c r="EQ82" s="35">
        <f ca="1">_xll.RiskBinomial(1,EP82)</f>
        <v>0</v>
      </c>
      <c r="ER82" s="88">
        <f ca="1">IF(EQ82=1,_xll.RiskBinomial(1,Prob_Illness_Given_Infection),0)</f>
        <v>0</v>
      </c>
      <c r="ET82" s="87">
        <f t="shared" ca="1" si="127"/>
        <v>2.048642000453404E-12</v>
      </c>
      <c r="EU82" s="37">
        <f ca="1">INT(ET82) + _xll.RiskBinomial(1,ET82-INT(ET82))</f>
        <v>0</v>
      </c>
      <c r="EV82" s="30">
        <f t="shared" ca="1" si="94"/>
        <v>0</v>
      </c>
      <c r="EW82" s="35">
        <f ca="1">_xll.RiskBinomial(1,EV82)</f>
        <v>0</v>
      </c>
      <c r="EX82" s="88">
        <f ca="1">IF(EW82=1,_xll.RiskBinomial(1,Prob_Illness_Given_Infection),0)</f>
        <v>0</v>
      </c>
      <c r="EZ82" s="87">
        <f t="shared" ca="1" si="128"/>
        <v>1.5451274768258291E-5</v>
      </c>
      <c r="FA82" s="37">
        <f ca="1">INT(EZ82) + _xll.RiskBinomial(1,EZ82-INT(EZ82))</f>
        <v>0</v>
      </c>
      <c r="FB82" s="30">
        <f t="shared" ca="1" si="95"/>
        <v>0</v>
      </c>
      <c r="FC82" s="35">
        <f ca="1">_xll.RiskBinomial(1,FB82)</f>
        <v>0</v>
      </c>
      <c r="FD82" s="88">
        <f ca="1">IF(FC82=1,_xll.RiskBinomial(1,Prob_Illness_Given_Infection),0)</f>
        <v>0</v>
      </c>
      <c r="FF82" s="87">
        <f t="shared" ca="1" si="129"/>
        <v>1.0763184315497553E-4</v>
      </c>
      <c r="FG82" s="37">
        <f ca="1">INT(FF82) + _xll.RiskBinomial(1,FF82-INT(FF82))</f>
        <v>0</v>
      </c>
      <c r="FH82" s="30">
        <f t="shared" ca="1" si="96"/>
        <v>0</v>
      </c>
      <c r="FI82" s="35">
        <f ca="1">_xll.RiskBinomial(1,FH82)</f>
        <v>0</v>
      </c>
      <c r="FJ82" s="88">
        <f ca="1">IF(FI82=1,_xll.RiskBinomial(1,Prob_Illness_Given_Infection),0)</f>
        <v>0</v>
      </c>
      <c r="FL82" s="87" t="e">
        <f t="shared" ca="1" si="130"/>
        <v>#NAME?</v>
      </c>
      <c r="FM82" s="37" t="e">
        <f ca="1">INT(FL82) + _xll.RiskBinomial(1,FL82-INT(FL82))</f>
        <v>#NAME?</v>
      </c>
      <c r="FN82" s="30" t="e">
        <f t="shared" ca="1" si="97"/>
        <v>#NAME?</v>
      </c>
      <c r="FO82" s="35" t="e">
        <f ca="1">_xll.RiskBinomial(1,FN82)</f>
        <v>#VALUE!</v>
      </c>
      <c r="FP82" s="88" t="e">
        <f ca="1">IF(FO82=1,_xll.RiskBinomial(1,Prob_Illness_Given_Infection),0)</f>
        <v>#VALUE!</v>
      </c>
      <c r="FR82" s="87" t="e">
        <f t="shared" ca="1" si="131"/>
        <v>#NAME?</v>
      </c>
      <c r="FS82" s="37" t="e">
        <f ca="1">INT(FR82) + _xll.RiskBinomial(1,FR82-INT(FR82))</f>
        <v>#NAME?</v>
      </c>
      <c r="FT82" s="30" t="e">
        <f t="shared" ca="1" si="98"/>
        <v>#NAME?</v>
      </c>
      <c r="FU82" s="35" t="e">
        <f ca="1">_xll.RiskBinomial(1,FT82)</f>
        <v>#VALUE!</v>
      </c>
      <c r="FV82" s="88" t="e">
        <f ca="1">IF(FU82=1,_xll.RiskBinomial(1,Prob_Illness_Given_Infection),0)</f>
        <v>#VALUE!</v>
      </c>
      <c r="FX82" s="87">
        <f t="shared" ca="1" si="132"/>
        <v>2.1628887323802057E-7</v>
      </c>
      <c r="FY82" s="37">
        <f ca="1">INT(FX82) + _xll.RiskBinomial(1,FX82-INT(FX82))</f>
        <v>0</v>
      </c>
      <c r="FZ82" s="30">
        <f t="shared" ca="1" si="99"/>
        <v>0</v>
      </c>
      <c r="GA82" s="35">
        <f ca="1">_xll.RiskBinomial(1,FZ82)</f>
        <v>0</v>
      </c>
      <c r="GB82" s="88">
        <f ca="1">IF(GA82=1,_xll.RiskBinomial(1,Prob_Illness_Given_Infection),0)</f>
        <v>0</v>
      </c>
      <c r="GD82" s="87" t="e">
        <f t="shared" ca="1" si="133"/>
        <v>#NAME?</v>
      </c>
      <c r="GE82" s="37" t="e">
        <f ca="1">INT(GD82) + _xll.RiskBinomial(1,GD82-INT(GD82))</f>
        <v>#NAME?</v>
      </c>
      <c r="GF82" s="30" t="e">
        <f t="shared" ca="1" si="100"/>
        <v>#NAME?</v>
      </c>
      <c r="GG82" s="35" t="e">
        <f ca="1">_xll.RiskBinomial(1,GF82)</f>
        <v>#VALUE!</v>
      </c>
      <c r="GH82" s="88" t="e">
        <f ca="1">IF(GG82=1,_xll.RiskBinomial(1,Prob_Illness_Given_Infection),0)</f>
        <v>#VALUE!</v>
      </c>
      <c r="GJ82" s="87" t="e">
        <f t="shared" ca="1" si="134"/>
        <v>#NAME?</v>
      </c>
      <c r="GK82" s="37" t="e">
        <f ca="1">INT(GJ82) + _xll.RiskBinomial(1,GJ82-INT(GJ82))</f>
        <v>#NAME?</v>
      </c>
      <c r="GL82" s="30" t="e">
        <f t="shared" ca="1" si="101"/>
        <v>#NAME?</v>
      </c>
      <c r="GM82" s="35" t="e">
        <f ca="1">_xll.RiskBinomial(1,GL82)</f>
        <v>#VALUE!</v>
      </c>
      <c r="GN82" s="88" t="e">
        <f ca="1">IF(GM82=1,_xll.RiskBinomial(1,Prob_Illness_Given_Infection),0)</f>
        <v>#VALUE!</v>
      </c>
      <c r="GP82" s="87" t="e">
        <f t="shared" ca="1" si="135"/>
        <v>#NAME?</v>
      </c>
      <c r="GQ82" s="37" t="e">
        <f ca="1">INT(GP82) + _xll.RiskBinomial(1,GP82-INT(GP82))</f>
        <v>#NAME?</v>
      </c>
      <c r="GR82" s="30" t="e">
        <f t="shared" ca="1" si="102"/>
        <v>#NAME?</v>
      </c>
      <c r="GS82" s="35" t="e">
        <f ca="1">_xll.RiskBinomial(1,GR82)</f>
        <v>#VALUE!</v>
      </c>
      <c r="GT82" s="88" t="e">
        <f ca="1">IF(GS82=1,_xll.RiskBinomial(1,Prob_Illness_Given_Infection),0)</f>
        <v>#VALUE!</v>
      </c>
    </row>
    <row r="83" spans="2:202">
      <c r="B83" s="108">
        <v>75</v>
      </c>
      <c r="C83" s="87">
        <f ca="1">_xll.RiskLoglogistic(LogLogistic_gamma, LogLogistic_beta, LogLogistic_alpha, _xll.RiskTruncate(5,800))</f>
        <v>72.733462488864745</v>
      </c>
      <c r="D83" s="38">
        <f t="shared" ca="1" si="69"/>
        <v>4.6725167189174455</v>
      </c>
      <c r="E83" s="30"/>
      <c r="F83" s="87">
        <f t="shared" ca="1" si="103"/>
        <v>1.6869616565247052E-9</v>
      </c>
      <c r="G83" s="37">
        <f ca="1">INT(F83) + _xll.RiskBinomial(1,F83-INT(F83))</f>
        <v>0</v>
      </c>
      <c r="H83" s="30">
        <f t="shared" ca="1" si="70"/>
        <v>0</v>
      </c>
      <c r="I83" s="35">
        <f ca="1">_xll.RiskBinomial(1,H83)</f>
        <v>0</v>
      </c>
      <c r="J83" s="88">
        <f ca="1">IF(I83=1,_xll.RiskBinomial(1,Prob_Illness_Given_Infection),0)</f>
        <v>0</v>
      </c>
      <c r="K83" s="30"/>
      <c r="L83" s="87">
        <f t="shared" ca="1" si="104"/>
        <v>8.6165605824814359E-5</v>
      </c>
      <c r="M83" s="37">
        <f ca="1">INT(L83) + _xll.RiskBinomial(1,L83-INT(L83))</f>
        <v>0</v>
      </c>
      <c r="N83" s="30">
        <f t="shared" ca="1" si="71"/>
        <v>0</v>
      </c>
      <c r="O83" s="35">
        <f ca="1">_xll.RiskBinomial(1,N83)</f>
        <v>0</v>
      </c>
      <c r="P83" s="88">
        <f ca="1">IF(O83=1,_xll.RiskBinomial(1,Prob_Illness_Given_Infection),0)</f>
        <v>0</v>
      </c>
      <c r="Q83" s="30"/>
      <c r="R83" s="87">
        <f t="shared" ca="1" si="105"/>
        <v>8.9074359690252898E-6</v>
      </c>
      <c r="S83" s="37">
        <f ca="1">INT(R83) + _xll.RiskBinomial(1,R83-INT(R83))</f>
        <v>0</v>
      </c>
      <c r="T83" s="30">
        <f t="shared" ca="1" si="72"/>
        <v>0</v>
      </c>
      <c r="U83" s="35">
        <f ca="1">_xll.RiskBinomial(1,T83)</f>
        <v>0</v>
      </c>
      <c r="V83" s="88">
        <f ca="1">IF(U83=1,_xll.RiskBinomial(1,Prob_Illness_Given_Infection),0)</f>
        <v>0</v>
      </c>
      <c r="W83" s="30"/>
      <c r="X83" s="87">
        <f t="shared" ca="1" si="106"/>
        <v>3.6594067716100081E-12</v>
      </c>
      <c r="Y83" s="37">
        <f ca="1">INT(X83) + _xll.RiskBinomial(1,X83-INT(X83))</f>
        <v>0</v>
      </c>
      <c r="Z83" s="30">
        <f t="shared" ca="1" si="73"/>
        <v>0</v>
      </c>
      <c r="AA83" s="35">
        <f ca="1">_xll.RiskBinomial(1,Z83)</f>
        <v>0</v>
      </c>
      <c r="AB83" s="88">
        <f ca="1">IF(AA83=1,_xll.RiskBinomial(1,Prob_Illness_Given_Infection),0)</f>
        <v>0</v>
      </c>
      <c r="AC83" s="30"/>
      <c r="AD83" s="87">
        <f t="shared" ca="1" si="107"/>
        <v>1.8436739415599981E-12</v>
      </c>
      <c r="AE83" s="37">
        <f ca="1">INT(AD83) + _xll.RiskBinomial(1,AD83-INT(AD83))</f>
        <v>0</v>
      </c>
      <c r="AF83" s="30">
        <f t="shared" ca="1" si="74"/>
        <v>0</v>
      </c>
      <c r="AG83" s="35">
        <f ca="1">_xll.RiskBinomial(1,AF83)</f>
        <v>0</v>
      </c>
      <c r="AH83" s="88">
        <f ca="1">IF(AG83=1,_xll.RiskBinomial(1,Prob_Illness_Given_Infection),0)</f>
        <v>0</v>
      </c>
      <c r="AI83" s="30"/>
      <c r="AJ83" s="87">
        <f t="shared" ca="1" si="108"/>
        <v>8.5578593094572802E-5</v>
      </c>
      <c r="AK83" s="37">
        <f ca="1">INT(AJ83) + _xll.RiskBinomial(1,AJ83-INT(AJ83))</f>
        <v>0</v>
      </c>
      <c r="AL83" s="30">
        <f t="shared" ca="1" si="75"/>
        <v>0</v>
      </c>
      <c r="AM83" s="35">
        <f ca="1">_xll.RiskBinomial(1,AL83)</f>
        <v>0</v>
      </c>
      <c r="AN83" s="88">
        <f ca="1">IF(AM83=1,_xll.RiskBinomial(1,Prob_Illness_Given_Infection),0)</f>
        <v>0</v>
      </c>
      <c r="AO83" s="30"/>
      <c r="AP83" s="87">
        <f t="shared" ca="1" si="109"/>
        <v>2.0811886886608389E-9</v>
      </c>
      <c r="AQ83" s="37">
        <f ca="1">INT(AP83) + _xll.RiskBinomial(1,AP83-INT(AP83))</f>
        <v>0</v>
      </c>
      <c r="AR83" s="30">
        <f t="shared" ca="1" si="76"/>
        <v>0</v>
      </c>
      <c r="AS83" s="35">
        <f ca="1">_xll.RiskBinomial(1,AR83)</f>
        <v>0</v>
      </c>
      <c r="AT83" s="88">
        <f ca="1">IF(AS83=1,_xll.RiskBinomial(1,Prob_Illness_Given_Infection),0)</f>
        <v>0</v>
      </c>
      <c r="AU83" s="30"/>
      <c r="AV83" s="87">
        <f t="shared" ca="1" si="110"/>
        <v>4.8282494139161314E-5</v>
      </c>
      <c r="AW83" s="37">
        <f ca="1">INT(AV83) + _xll.RiskBinomial(1,AV83-INT(AV83))</f>
        <v>0</v>
      </c>
      <c r="AX83" s="30">
        <f t="shared" ca="1" si="77"/>
        <v>0</v>
      </c>
      <c r="AY83" s="35">
        <f ca="1">_xll.RiskBinomial(1,AX83)</f>
        <v>0</v>
      </c>
      <c r="AZ83" s="88">
        <f ca="1">IF(AY83=1,_xll.RiskBinomial(1,Prob_Illness_Given_Infection),0)</f>
        <v>0</v>
      </c>
      <c r="BB83" s="87">
        <f t="shared" ca="1" si="111"/>
        <v>6.626820014707255E-5</v>
      </c>
      <c r="BC83" s="37">
        <f ca="1">INT(BB83) + _xll.RiskBinomial(1,BB83-INT(BB83))</f>
        <v>0</v>
      </c>
      <c r="BD83" s="30">
        <f t="shared" ca="1" si="78"/>
        <v>0</v>
      </c>
      <c r="BE83" s="35">
        <f ca="1">_xll.RiskBinomial(1,BD83)</f>
        <v>0</v>
      </c>
      <c r="BF83" s="88">
        <f ca="1">IF(BE83=1,_xll.RiskBinomial(1,Prob_Illness_Given_Infection),0)</f>
        <v>0</v>
      </c>
      <c r="BH83" s="87">
        <f t="shared" ca="1" si="112"/>
        <v>8.3900282314873241E-5</v>
      </c>
      <c r="BI83" s="37">
        <f ca="1">INT(BH83) + _xll.RiskBinomial(1,BH83-INT(BH83))</f>
        <v>0</v>
      </c>
      <c r="BJ83" s="30">
        <f t="shared" ca="1" si="79"/>
        <v>0</v>
      </c>
      <c r="BK83" s="35">
        <f ca="1">_xll.RiskBinomial(1,BJ83)</f>
        <v>0</v>
      </c>
      <c r="BL83" s="88">
        <f ca="1">IF(BK83=1,_xll.RiskBinomial(1,Prob_Illness_Given_Infection),0)</f>
        <v>0</v>
      </c>
      <c r="BN83" s="87">
        <f t="shared" ca="1" si="113"/>
        <v>6.3852898810554245E-6</v>
      </c>
      <c r="BO83" s="37">
        <f ca="1">INT(BN83) + _xll.RiskBinomial(1,BN83-INT(BN83))</f>
        <v>0</v>
      </c>
      <c r="BP83" s="30">
        <f t="shared" ca="1" si="80"/>
        <v>0</v>
      </c>
      <c r="BQ83" s="35">
        <f ca="1">_xll.RiskBinomial(1,BP83)</f>
        <v>0</v>
      </c>
      <c r="BR83" s="88">
        <f ca="1">IF(BQ83=1,_xll.RiskBinomial(1,Prob_Illness_Given_Infection),0)</f>
        <v>0</v>
      </c>
      <c r="BT83" s="87">
        <f t="shared" ca="1" si="114"/>
        <v>1.9200499167862104E-5</v>
      </c>
      <c r="BU83" s="37">
        <f ca="1">INT(BT83) + _xll.RiskBinomial(1,BT83-INT(BT83))</f>
        <v>0</v>
      </c>
      <c r="BV83" s="30">
        <f t="shared" ca="1" si="81"/>
        <v>0</v>
      </c>
      <c r="BW83" s="35">
        <f ca="1">_xll.RiskBinomial(1,BV83)</f>
        <v>0</v>
      </c>
      <c r="BX83" s="88">
        <f ca="1">IF(BW83=1,_xll.RiskBinomial(1,Prob_Illness_Given_Infection),0)</f>
        <v>0</v>
      </c>
      <c r="BZ83" s="87">
        <f t="shared" ca="1" si="115"/>
        <v>5.2635040538219124E-5</v>
      </c>
      <c r="CA83" s="37">
        <f ca="1">INT(BZ83) + _xll.RiskBinomial(1,BZ83-INT(BZ83))</f>
        <v>0</v>
      </c>
      <c r="CB83" s="30">
        <f t="shared" ca="1" si="82"/>
        <v>0</v>
      </c>
      <c r="CC83" s="35">
        <f ca="1">_xll.RiskBinomial(1,CB83)</f>
        <v>0</v>
      </c>
      <c r="CD83" s="88">
        <f ca="1">IF(CC83=1,_xll.RiskBinomial(1,Prob_Illness_Given_Infection),0)</f>
        <v>0</v>
      </c>
      <c r="CF83" s="87">
        <f t="shared" ca="1" si="116"/>
        <v>9.9869721058288024E-6</v>
      </c>
      <c r="CG83" s="37">
        <f ca="1">INT(CF83) + _xll.RiskBinomial(1,CF83-INT(CF83))</f>
        <v>0</v>
      </c>
      <c r="CH83" s="30">
        <f t="shared" ca="1" si="83"/>
        <v>0</v>
      </c>
      <c r="CI83" s="35">
        <f ca="1">_xll.RiskBinomial(1,CH83)</f>
        <v>0</v>
      </c>
      <c r="CJ83" s="88">
        <f ca="1">IF(CI83=1,_xll.RiskBinomial(1,Prob_Illness_Given_Infection),0)</f>
        <v>0</v>
      </c>
      <c r="CL83" s="87">
        <f t="shared" ca="1" si="117"/>
        <v>1.9272060255234563E-5</v>
      </c>
      <c r="CM83" s="37">
        <f ca="1">INT(CL83) + _xll.RiskBinomial(1,CL83-INT(CL83))</f>
        <v>0</v>
      </c>
      <c r="CN83" s="30">
        <f t="shared" ca="1" si="84"/>
        <v>0</v>
      </c>
      <c r="CO83" s="35">
        <f ca="1">_xll.RiskBinomial(1,CN83)</f>
        <v>0</v>
      </c>
      <c r="CP83" s="88">
        <f ca="1">IF(CO83=1,_xll.RiskBinomial(1,Prob_Illness_Given_Infection),0)</f>
        <v>0</v>
      </c>
      <c r="CR83" s="87">
        <f t="shared" ca="1" si="118"/>
        <v>1.3281720622332373E-7</v>
      </c>
      <c r="CS83" s="37">
        <f ca="1">INT(CR83) + _xll.RiskBinomial(1,CR83-INT(CR83))</f>
        <v>0</v>
      </c>
      <c r="CT83" s="30">
        <f t="shared" ca="1" si="85"/>
        <v>0</v>
      </c>
      <c r="CU83" s="35">
        <f ca="1">_xll.RiskBinomial(1,CT83)</f>
        <v>0</v>
      </c>
      <c r="CV83" s="88">
        <f ca="1">IF(CU83=1,_xll.RiskBinomial(1,Prob_Illness_Given_Infection),0)</f>
        <v>0</v>
      </c>
      <c r="CX83" s="87">
        <f t="shared" ca="1" si="119"/>
        <v>1.3520640602345808E-9</v>
      </c>
      <c r="CY83" s="37">
        <f ca="1">INT(CX83) + _xll.RiskBinomial(1,CX83-INT(CX83))</f>
        <v>0</v>
      </c>
      <c r="CZ83" s="30">
        <f t="shared" ca="1" si="86"/>
        <v>0</v>
      </c>
      <c r="DA83" s="35">
        <f ca="1">_xll.RiskBinomial(1,CZ83)</f>
        <v>0</v>
      </c>
      <c r="DB83" s="88">
        <f ca="1">IF(DA83=1,_xll.RiskBinomial(1,Prob_Illness_Given_Infection),0)</f>
        <v>0</v>
      </c>
      <c r="DD83" s="87">
        <f t="shared" ca="1" si="120"/>
        <v>1.3520640602345808E-9</v>
      </c>
      <c r="DE83" s="37">
        <f ca="1">INT(DD83) + _xll.RiskBinomial(1,DD83-INT(DD83))</f>
        <v>0</v>
      </c>
      <c r="DF83" s="30">
        <f t="shared" ca="1" si="87"/>
        <v>0</v>
      </c>
      <c r="DG83" s="35">
        <f ca="1">_xll.RiskBinomial(1,DF83)</f>
        <v>0</v>
      </c>
      <c r="DH83" s="88">
        <f ca="1">IF(DG83=1,_xll.RiskBinomial(1,Prob_Illness_Given_Infection),0)</f>
        <v>0</v>
      </c>
      <c r="DJ83" s="87">
        <f t="shared" ca="1" si="121"/>
        <v>2.2077330075895926E-6</v>
      </c>
      <c r="DK83" s="37">
        <f ca="1">INT(DJ83) + _xll.RiskBinomial(1,DJ83-INT(DJ83))</f>
        <v>0</v>
      </c>
      <c r="DL83" s="30">
        <f t="shared" ca="1" si="88"/>
        <v>0</v>
      </c>
      <c r="DM83" s="35">
        <f ca="1">_xll.RiskBinomial(1,DL83)</f>
        <v>0</v>
      </c>
      <c r="DN83" s="88">
        <f ca="1">IF(DM83=1,_xll.RiskBinomial(1,Prob_Illness_Given_Infection),0)</f>
        <v>0</v>
      </c>
      <c r="DP83" s="87">
        <f t="shared" ca="1" si="122"/>
        <v>5.2189670475756632E-10</v>
      </c>
      <c r="DQ83" s="37">
        <f ca="1">INT(DP83) + _xll.RiskBinomial(1,DP83-INT(DP83))</f>
        <v>0</v>
      </c>
      <c r="DR83" s="30">
        <f t="shared" ca="1" si="89"/>
        <v>0</v>
      </c>
      <c r="DS83" s="35">
        <f ca="1">_xll.RiskBinomial(1,DR83)</f>
        <v>0</v>
      </c>
      <c r="DT83" s="88">
        <f ca="1">IF(DS83=1,_xll.RiskBinomial(1,Prob_Illness_Given_Infection),0)</f>
        <v>0</v>
      </c>
      <c r="DV83" s="87">
        <f t="shared" ca="1" si="123"/>
        <v>7.3472929519410731E-9</v>
      </c>
      <c r="DW83" s="37">
        <f ca="1">INT(DV83) + _xll.RiskBinomial(1,DV83-INT(DV83))</f>
        <v>0</v>
      </c>
      <c r="DX83" s="30">
        <f t="shared" ca="1" si="90"/>
        <v>0</v>
      </c>
      <c r="DY83" s="35">
        <f ca="1">_xll.RiskBinomial(1,DX83)</f>
        <v>0</v>
      </c>
      <c r="DZ83" s="88">
        <f ca="1">IF(DY83=1,_xll.RiskBinomial(1,Prob_Illness_Given_Infection),0)</f>
        <v>0</v>
      </c>
      <c r="EB83" s="87">
        <f t="shared" ca="1" si="124"/>
        <v>1.843673941559379E-12</v>
      </c>
      <c r="EC83" s="37">
        <f ca="1">INT(EB83) + _xll.RiskBinomial(1,EB83-INT(EB83))</f>
        <v>0</v>
      </c>
      <c r="ED83" s="30">
        <f t="shared" ca="1" si="91"/>
        <v>0</v>
      </c>
      <c r="EE83" s="35">
        <f ca="1">_xll.RiskBinomial(1,ED83)</f>
        <v>0</v>
      </c>
      <c r="EF83" s="88">
        <f ca="1">IF(EE83=1,_xll.RiskBinomial(1,Prob_Illness_Given_Infection),0)</f>
        <v>0</v>
      </c>
      <c r="EH83" s="87">
        <f t="shared" ca="1" si="125"/>
        <v>1.8436739415574839E-12</v>
      </c>
      <c r="EI83" s="37">
        <f ca="1">INT(EH83) + _xll.RiskBinomial(1,EH83-INT(EH83))</f>
        <v>0</v>
      </c>
      <c r="EJ83" s="30">
        <f t="shared" ca="1" si="92"/>
        <v>0</v>
      </c>
      <c r="EK83" s="35">
        <f ca="1">_xll.RiskBinomial(1,EJ83)</f>
        <v>0</v>
      </c>
      <c r="EL83" s="88">
        <f ca="1">IF(EK83=1,_xll.RiskBinomial(1,Prob_Illness_Given_Infection),0)</f>
        <v>0</v>
      </c>
      <c r="EN83" s="87">
        <f t="shared" ca="1" si="126"/>
        <v>1.6822411636763436E-10</v>
      </c>
      <c r="EO83" s="37">
        <f ca="1">INT(EN83) + _xll.RiskBinomial(1,EN83-INT(EN83))</f>
        <v>0</v>
      </c>
      <c r="EP83" s="30">
        <f t="shared" ca="1" si="93"/>
        <v>0</v>
      </c>
      <c r="EQ83" s="35">
        <f ca="1">_xll.RiskBinomial(1,EP83)</f>
        <v>0</v>
      </c>
      <c r="ER83" s="88">
        <f ca="1">IF(EQ83=1,_xll.RiskBinomial(1,Prob_Illness_Given_Infection),0)</f>
        <v>0</v>
      </c>
      <c r="ET83" s="87">
        <f t="shared" ca="1" si="127"/>
        <v>1.8436739415557257E-12</v>
      </c>
      <c r="EU83" s="37">
        <f ca="1">INT(ET83) + _xll.RiskBinomial(1,ET83-INT(ET83))</f>
        <v>0</v>
      </c>
      <c r="EV83" s="30">
        <f t="shared" ca="1" si="94"/>
        <v>0</v>
      </c>
      <c r="EW83" s="35">
        <f ca="1">_xll.RiskBinomial(1,EV83)</f>
        <v>0</v>
      </c>
      <c r="EX83" s="88">
        <f ca="1">IF(EW83=1,_xll.RiskBinomial(1,Prob_Illness_Given_Infection),0)</f>
        <v>0</v>
      </c>
      <c r="EZ83" s="87">
        <f t="shared" ca="1" si="128"/>
        <v>1.3905363966837809E-5</v>
      </c>
      <c r="FA83" s="37">
        <f ca="1">INT(EZ83) + _xll.RiskBinomial(1,EZ83-INT(EZ83))</f>
        <v>0</v>
      </c>
      <c r="FB83" s="30">
        <f t="shared" ca="1" si="95"/>
        <v>0</v>
      </c>
      <c r="FC83" s="35">
        <f ca="1">_xll.RiskBinomial(1,FB83)</f>
        <v>0</v>
      </c>
      <c r="FD83" s="88">
        <f ca="1">IF(FC83=1,_xll.RiskBinomial(1,Prob_Illness_Given_Infection),0)</f>
        <v>0</v>
      </c>
      <c r="FF83" s="87">
        <f t="shared" ca="1" si="129"/>
        <v>9.6863202288405289E-5</v>
      </c>
      <c r="FG83" s="37">
        <f ca="1">INT(FF83) + _xll.RiskBinomial(1,FF83-INT(FF83))</f>
        <v>0</v>
      </c>
      <c r="FH83" s="30">
        <f t="shared" ca="1" si="96"/>
        <v>0</v>
      </c>
      <c r="FI83" s="35">
        <f ca="1">_xll.RiskBinomial(1,FH83)</f>
        <v>0</v>
      </c>
      <c r="FJ83" s="88">
        <f ca="1">IF(FI83=1,_xll.RiskBinomial(1,Prob_Illness_Given_Infection),0)</f>
        <v>0</v>
      </c>
      <c r="FL83" s="87" t="e">
        <f t="shared" ca="1" si="130"/>
        <v>#NAME?</v>
      </c>
      <c r="FM83" s="37" t="e">
        <f ca="1">INT(FL83) + _xll.RiskBinomial(1,FL83-INT(FL83))</f>
        <v>#NAME?</v>
      </c>
      <c r="FN83" s="30" t="e">
        <f t="shared" ca="1" si="97"/>
        <v>#NAME?</v>
      </c>
      <c r="FO83" s="35" t="e">
        <f ca="1">_xll.RiskBinomial(1,FN83)</f>
        <v>#VALUE!</v>
      </c>
      <c r="FP83" s="88" t="e">
        <f ca="1">IF(FO83=1,_xll.RiskBinomial(1,Prob_Illness_Given_Infection),0)</f>
        <v>#VALUE!</v>
      </c>
      <c r="FR83" s="87" t="e">
        <f t="shared" ca="1" si="131"/>
        <v>#NAME?</v>
      </c>
      <c r="FS83" s="37" t="e">
        <f ca="1">INT(FR83) + _xll.RiskBinomial(1,FR83-INT(FR83))</f>
        <v>#NAME?</v>
      </c>
      <c r="FT83" s="30" t="e">
        <f t="shared" ca="1" si="98"/>
        <v>#NAME?</v>
      </c>
      <c r="FU83" s="35" t="e">
        <f ca="1">_xll.RiskBinomial(1,FT83)</f>
        <v>#VALUE!</v>
      </c>
      <c r="FV83" s="88" t="e">
        <f ca="1">IF(FU83=1,_xll.RiskBinomial(1,Prob_Illness_Given_Infection),0)</f>
        <v>#VALUE!</v>
      </c>
      <c r="FX83" s="87">
        <f t="shared" ca="1" si="132"/>
        <v>1.9464902083874754E-7</v>
      </c>
      <c r="FY83" s="37">
        <f ca="1">INT(FX83) + _xll.RiskBinomial(1,FX83-INT(FX83))</f>
        <v>0</v>
      </c>
      <c r="FZ83" s="30">
        <f t="shared" ca="1" si="99"/>
        <v>0</v>
      </c>
      <c r="GA83" s="35">
        <f ca="1">_xll.RiskBinomial(1,FZ83)</f>
        <v>0</v>
      </c>
      <c r="GB83" s="88">
        <f ca="1">IF(GA83=1,_xll.RiskBinomial(1,Prob_Illness_Given_Infection),0)</f>
        <v>0</v>
      </c>
      <c r="GD83" s="87" t="e">
        <f t="shared" ca="1" si="133"/>
        <v>#NAME?</v>
      </c>
      <c r="GE83" s="37" t="e">
        <f ca="1">INT(GD83) + _xll.RiskBinomial(1,GD83-INT(GD83))</f>
        <v>#NAME?</v>
      </c>
      <c r="GF83" s="30" t="e">
        <f t="shared" ca="1" si="100"/>
        <v>#NAME?</v>
      </c>
      <c r="GG83" s="35" t="e">
        <f ca="1">_xll.RiskBinomial(1,GF83)</f>
        <v>#VALUE!</v>
      </c>
      <c r="GH83" s="88" t="e">
        <f ca="1">IF(GG83=1,_xll.RiskBinomial(1,Prob_Illness_Given_Infection),0)</f>
        <v>#VALUE!</v>
      </c>
      <c r="GJ83" s="87" t="e">
        <f t="shared" ca="1" si="134"/>
        <v>#NAME?</v>
      </c>
      <c r="GK83" s="37" t="e">
        <f ca="1">INT(GJ83) + _xll.RiskBinomial(1,GJ83-INT(GJ83))</f>
        <v>#NAME?</v>
      </c>
      <c r="GL83" s="30" t="e">
        <f t="shared" ca="1" si="101"/>
        <v>#NAME?</v>
      </c>
      <c r="GM83" s="35" t="e">
        <f ca="1">_xll.RiskBinomial(1,GL83)</f>
        <v>#VALUE!</v>
      </c>
      <c r="GN83" s="88" t="e">
        <f ca="1">IF(GM83=1,_xll.RiskBinomial(1,Prob_Illness_Given_Infection),0)</f>
        <v>#VALUE!</v>
      </c>
      <c r="GP83" s="87" t="e">
        <f t="shared" ca="1" si="135"/>
        <v>#NAME?</v>
      </c>
      <c r="GQ83" s="37" t="e">
        <f ca="1">INT(GP83) + _xll.RiskBinomial(1,GP83-INT(GP83))</f>
        <v>#NAME?</v>
      </c>
      <c r="GR83" s="30" t="e">
        <f t="shared" ca="1" si="102"/>
        <v>#NAME?</v>
      </c>
      <c r="GS83" s="35" t="e">
        <f ca="1">_xll.RiskBinomial(1,GR83)</f>
        <v>#VALUE!</v>
      </c>
      <c r="GT83" s="88" t="e">
        <f ca="1">IF(GS83=1,_xll.RiskBinomial(1,Prob_Illness_Given_Infection),0)</f>
        <v>#VALUE!</v>
      </c>
    </row>
    <row r="84" spans="2:202">
      <c r="B84" s="108">
        <v>76</v>
      </c>
      <c r="C84" s="87">
        <f ca="1">_xll.RiskLoglogistic(LogLogistic_gamma, LogLogistic_beta, LogLogistic_alpha, _xll.RiskTruncate(5,800))</f>
        <v>135.14765392051956</v>
      </c>
      <c r="D84" s="38">
        <f t="shared" ca="1" si="69"/>
        <v>8.6821065690743655</v>
      </c>
      <c r="E84" s="30"/>
      <c r="F84" s="87">
        <f t="shared" ca="1" si="103"/>
        <v>3.1345807326042209E-9</v>
      </c>
      <c r="G84" s="37">
        <f ca="1">INT(F84) + _xll.RiskBinomial(1,F84-INT(F84))</f>
        <v>0</v>
      </c>
      <c r="H84" s="30">
        <f t="shared" ca="1" si="70"/>
        <v>0</v>
      </c>
      <c r="I84" s="35">
        <f ca="1">_xll.RiskBinomial(1,H84)</f>
        <v>0</v>
      </c>
      <c r="J84" s="88">
        <f ca="1">IF(I84=1,_xll.RiskBinomial(1,Prob_Illness_Given_Infection),0)</f>
        <v>0</v>
      </c>
      <c r="K84" s="30"/>
      <c r="L84" s="87">
        <f t="shared" ca="1" si="104"/>
        <v>1.6010621627764169E-4</v>
      </c>
      <c r="M84" s="37">
        <f ca="1">INT(L84) + _xll.RiskBinomial(1,L84-INT(L84))</f>
        <v>0</v>
      </c>
      <c r="N84" s="30">
        <f t="shared" ca="1" si="71"/>
        <v>0</v>
      </c>
      <c r="O84" s="35">
        <f ca="1">_xll.RiskBinomial(1,N84)</f>
        <v>0</v>
      </c>
      <c r="P84" s="88">
        <f ca="1">IF(O84=1,_xll.RiskBinomial(1,Prob_Illness_Given_Infection),0)</f>
        <v>0</v>
      </c>
      <c r="Q84" s="30"/>
      <c r="R84" s="87">
        <f t="shared" ca="1" si="105"/>
        <v>1.6551103611289214E-5</v>
      </c>
      <c r="S84" s="37">
        <f ca="1">INT(R84) + _xll.RiskBinomial(1,R84-INT(R84))</f>
        <v>0</v>
      </c>
      <c r="T84" s="30">
        <f t="shared" ca="1" si="72"/>
        <v>0</v>
      </c>
      <c r="U84" s="35">
        <f ca="1">_xll.RiskBinomial(1,T84)</f>
        <v>0</v>
      </c>
      <c r="V84" s="88">
        <f ca="1">IF(U84=1,_xll.RiskBinomial(1,Prob_Illness_Given_Infection),0)</f>
        <v>0</v>
      </c>
      <c r="W84" s="30"/>
      <c r="X84" s="87">
        <f t="shared" ca="1" si="106"/>
        <v>6.7996245881965373E-12</v>
      </c>
      <c r="Y84" s="37">
        <f ca="1">INT(X84) + _xll.RiskBinomial(1,X84-INT(X84))</f>
        <v>0</v>
      </c>
      <c r="Z84" s="30">
        <f t="shared" ca="1" si="73"/>
        <v>0</v>
      </c>
      <c r="AA84" s="35">
        <f ca="1">_xll.RiskBinomial(1,Z84)</f>
        <v>0</v>
      </c>
      <c r="AB84" s="88">
        <f ca="1">IF(AA84=1,_xll.RiskBinomial(1,Prob_Illness_Given_Infection),0)</f>
        <v>0</v>
      </c>
      <c r="AC84" s="30"/>
      <c r="AD84" s="87">
        <f t="shared" ca="1" si="107"/>
        <v>3.4257712924690987E-12</v>
      </c>
      <c r="AE84" s="37">
        <f ca="1">INT(AD84) + _xll.RiskBinomial(1,AD84-INT(AD84))</f>
        <v>0</v>
      </c>
      <c r="AF84" s="30">
        <f t="shared" ca="1" si="74"/>
        <v>0</v>
      </c>
      <c r="AG84" s="35">
        <f ca="1">_xll.RiskBinomial(1,AF84)</f>
        <v>0</v>
      </c>
      <c r="AH84" s="88">
        <f ca="1">IF(AG84=1,_xll.RiskBinomial(1,Prob_Illness_Given_Infection),0)</f>
        <v>0</v>
      </c>
      <c r="AI84" s="30"/>
      <c r="AJ84" s="87">
        <f t="shared" ca="1" si="108"/>
        <v>1.5901547495172485E-4</v>
      </c>
      <c r="AK84" s="37">
        <f ca="1">INT(AJ84) + _xll.RiskBinomial(1,AJ84-INT(AJ84))</f>
        <v>0</v>
      </c>
      <c r="AL84" s="30">
        <f t="shared" ca="1" si="75"/>
        <v>0</v>
      </c>
      <c r="AM84" s="35">
        <f ca="1">_xll.RiskBinomial(1,AL84)</f>
        <v>0</v>
      </c>
      <c r="AN84" s="88">
        <f ca="1">IF(AM84=1,_xll.RiskBinomial(1,Prob_Illness_Given_Infection),0)</f>
        <v>0</v>
      </c>
      <c r="AO84" s="30"/>
      <c r="AP84" s="87">
        <f t="shared" ca="1" si="109"/>
        <v>3.8671026926773386E-9</v>
      </c>
      <c r="AQ84" s="37">
        <f ca="1">INT(AP84) + _xll.RiskBinomial(1,AP84-INT(AP84))</f>
        <v>0</v>
      </c>
      <c r="AR84" s="30">
        <f t="shared" ca="1" si="76"/>
        <v>0</v>
      </c>
      <c r="AS84" s="35">
        <f ca="1">_xll.RiskBinomial(1,AR84)</f>
        <v>0</v>
      </c>
      <c r="AT84" s="88">
        <f ca="1">IF(AS84=1,_xll.RiskBinomial(1,Prob_Illness_Given_Infection),0)</f>
        <v>0</v>
      </c>
      <c r="AU84" s="30"/>
      <c r="AV84" s="87">
        <f t="shared" ca="1" si="110"/>
        <v>8.9714769310451635E-5</v>
      </c>
      <c r="AW84" s="37">
        <f ca="1">INT(AV84) + _xll.RiskBinomial(1,AV84-INT(AV84))</f>
        <v>0</v>
      </c>
      <c r="AX84" s="30">
        <f t="shared" ca="1" si="77"/>
        <v>0</v>
      </c>
      <c r="AY84" s="35">
        <f ca="1">_xll.RiskBinomial(1,AX84)</f>
        <v>0</v>
      </c>
      <c r="AZ84" s="88">
        <f ca="1">IF(AY84=1,_xll.RiskBinomial(1,Prob_Illness_Given_Infection),0)</f>
        <v>0</v>
      </c>
      <c r="BB84" s="87">
        <f t="shared" ca="1" si="111"/>
        <v>1.2313440709334328E-4</v>
      </c>
      <c r="BC84" s="37">
        <f ca="1">INT(BB84) + _xll.RiskBinomial(1,BB84-INT(BB84))</f>
        <v>0</v>
      </c>
      <c r="BD84" s="30">
        <f t="shared" ca="1" si="78"/>
        <v>0</v>
      </c>
      <c r="BE84" s="35">
        <f ca="1">_xll.RiskBinomial(1,BD84)</f>
        <v>0</v>
      </c>
      <c r="BF84" s="88">
        <f ca="1">IF(BE84=1,_xll.RiskBinomial(1,Prob_Illness_Given_Infection),0)</f>
        <v>0</v>
      </c>
      <c r="BH84" s="87">
        <f t="shared" ca="1" si="112"/>
        <v>1.5589696860451722E-4</v>
      </c>
      <c r="BI84" s="37">
        <f ca="1">INT(BH84) + _xll.RiskBinomial(1,BH84-INT(BH84))</f>
        <v>0</v>
      </c>
      <c r="BJ84" s="30">
        <f t="shared" ca="1" si="79"/>
        <v>0</v>
      </c>
      <c r="BK84" s="35">
        <f ca="1">_xll.RiskBinomial(1,BJ84)</f>
        <v>0</v>
      </c>
      <c r="BL84" s="88">
        <f ca="1">IF(BK84=1,_xll.RiskBinomial(1,Prob_Illness_Given_Infection),0)</f>
        <v>0</v>
      </c>
      <c r="BN84" s="87">
        <f t="shared" ca="1" si="113"/>
        <v>1.1864648230643358E-5</v>
      </c>
      <c r="BO84" s="37">
        <f ca="1">INT(BN84) + _xll.RiskBinomial(1,BN84-INT(BN84))</f>
        <v>0</v>
      </c>
      <c r="BP84" s="30">
        <f t="shared" ca="1" si="80"/>
        <v>0</v>
      </c>
      <c r="BQ84" s="35">
        <f ca="1">_xll.RiskBinomial(1,BP84)</f>
        <v>0</v>
      </c>
      <c r="BR84" s="88">
        <f ca="1">IF(BQ84=1,_xll.RiskBinomial(1,Prob_Illness_Given_Infection),0)</f>
        <v>0</v>
      </c>
      <c r="BT84" s="87">
        <f t="shared" ca="1" si="114"/>
        <v>3.5676871797994257E-5</v>
      </c>
      <c r="BU84" s="37">
        <f ca="1">INT(BT84) + _xll.RiskBinomial(1,BT84-INT(BT84))</f>
        <v>0</v>
      </c>
      <c r="BV84" s="30">
        <f t="shared" ca="1" si="81"/>
        <v>0</v>
      </c>
      <c r="BW84" s="35">
        <f ca="1">_xll.RiskBinomial(1,BV84)</f>
        <v>0</v>
      </c>
      <c r="BX84" s="88">
        <f ca="1">IF(BW84=1,_xll.RiskBinomial(1,Prob_Illness_Given_Infection),0)</f>
        <v>0</v>
      </c>
      <c r="BZ84" s="87">
        <f t="shared" ca="1" si="115"/>
        <v>9.78023319574647E-5</v>
      </c>
      <c r="CA84" s="37">
        <f ca="1">INT(BZ84) + _xll.RiskBinomial(1,BZ84-INT(BZ84))</f>
        <v>0</v>
      </c>
      <c r="CB84" s="30">
        <f t="shared" ca="1" si="82"/>
        <v>0</v>
      </c>
      <c r="CC84" s="35">
        <f ca="1">_xll.RiskBinomial(1,CB84)</f>
        <v>0</v>
      </c>
      <c r="CD84" s="88">
        <f ca="1">IF(CC84=1,_xll.RiskBinomial(1,Prob_Illness_Given_Infection),0)</f>
        <v>0</v>
      </c>
      <c r="CF84" s="87">
        <f t="shared" ca="1" si="116"/>
        <v>1.8557013562761027E-5</v>
      </c>
      <c r="CG84" s="37">
        <f ca="1">INT(CF84) + _xll.RiskBinomial(1,CF84-INT(CF84))</f>
        <v>0</v>
      </c>
      <c r="CH84" s="30">
        <f t="shared" ca="1" si="83"/>
        <v>0</v>
      </c>
      <c r="CI84" s="35">
        <f ca="1">_xll.RiskBinomial(1,CH84)</f>
        <v>0</v>
      </c>
      <c r="CJ84" s="88">
        <f ca="1">IF(CI84=1,_xll.RiskBinomial(1,Prob_Illness_Given_Infection),0)</f>
        <v>0</v>
      </c>
      <c r="CL84" s="87">
        <f t="shared" ca="1" si="117"/>
        <v>3.580984103580374E-5</v>
      </c>
      <c r="CM84" s="37">
        <f ca="1">INT(CL84) + _xll.RiskBinomial(1,CL84-INT(CL84))</f>
        <v>0</v>
      </c>
      <c r="CN84" s="30">
        <f t="shared" ca="1" si="84"/>
        <v>0</v>
      </c>
      <c r="CO84" s="35">
        <f ca="1">_xll.RiskBinomial(1,CN84)</f>
        <v>0</v>
      </c>
      <c r="CP84" s="88">
        <f ca="1">IF(CO84=1,_xll.RiskBinomial(1,Prob_Illness_Given_Infection),0)</f>
        <v>0</v>
      </c>
      <c r="CR84" s="87">
        <f t="shared" ca="1" si="118"/>
        <v>2.4679058588896564E-7</v>
      </c>
      <c r="CS84" s="37">
        <f ca="1">INT(CR84) + _xll.RiskBinomial(1,CR84-INT(CR84))</f>
        <v>0</v>
      </c>
      <c r="CT84" s="30">
        <f t="shared" ca="1" si="85"/>
        <v>0</v>
      </c>
      <c r="CU84" s="35">
        <f ca="1">_xll.RiskBinomial(1,CT84)</f>
        <v>0</v>
      </c>
      <c r="CV84" s="88">
        <f ca="1">IF(CU84=1,_xll.RiskBinomial(1,Prob_Illness_Given_Infection),0)</f>
        <v>0</v>
      </c>
      <c r="CX84" s="87">
        <f t="shared" ca="1" si="119"/>
        <v>2.5123001083432647E-9</v>
      </c>
      <c r="CY84" s="37">
        <f ca="1">INT(CX84) + _xll.RiskBinomial(1,CX84-INT(CX84))</f>
        <v>0</v>
      </c>
      <c r="CZ84" s="30">
        <f t="shared" ca="1" si="86"/>
        <v>0</v>
      </c>
      <c r="DA84" s="35">
        <f ca="1">_xll.RiskBinomial(1,CZ84)</f>
        <v>0</v>
      </c>
      <c r="DB84" s="88">
        <f ca="1">IF(DA84=1,_xll.RiskBinomial(1,Prob_Illness_Given_Infection),0)</f>
        <v>0</v>
      </c>
      <c r="DD84" s="87">
        <f t="shared" ca="1" si="120"/>
        <v>2.5123001083432647E-9</v>
      </c>
      <c r="DE84" s="37">
        <f ca="1">INT(DD84) + _xll.RiskBinomial(1,DD84-INT(DD84))</f>
        <v>0</v>
      </c>
      <c r="DF84" s="30">
        <f t="shared" ca="1" si="87"/>
        <v>0</v>
      </c>
      <c r="DG84" s="35">
        <f ca="1">_xll.RiskBinomial(1,DF84)</f>
        <v>0</v>
      </c>
      <c r="DH84" s="88">
        <f ca="1">IF(DG84=1,_xll.RiskBinomial(1,Prob_Illness_Given_Infection),0)</f>
        <v>0</v>
      </c>
      <c r="DJ84" s="87">
        <f t="shared" ca="1" si="121"/>
        <v>4.10223748806549E-6</v>
      </c>
      <c r="DK84" s="37">
        <f ca="1">INT(DJ84) + _xll.RiskBinomial(1,DJ84-INT(DJ84))</f>
        <v>0</v>
      </c>
      <c r="DL84" s="30">
        <f t="shared" ca="1" si="88"/>
        <v>0</v>
      </c>
      <c r="DM84" s="35">
        <f ca="1">_xll.RiskBinomial(1,DL84)</f>
        <v>0</v>
      </c>
      <c r="DN84" s="88">
        <f ca="1">IF(DM84=1,_xll.RiskBinomial(1,Prob_Illness_Given_Infection),0)</f>
        <v>0</v>
      </c>
      <c r="DP84" s="87">
        <f t="shared" ca="1" si="122"/>
        <v>9.6974780002579336E-10</v>
      </c>
      <c r="DQ84" s="37">
        <f ca="1">INT(DP84) + _xll.RiskBinomial(1,DP84-INT(DP84))</f>
        <v>0</v>
      </c>
      <c r="DR84" s="30">
        <f t="shared" ca="1" si="89"/>
        <v>0</v>
      </c>
      <c r="DS84" s="35">
        <f ca="1">_xll.RiskBinomial(1,DR84)</f>
        <v>0</v>
      </c>
      <c r="DT84" s="88">
        <f ca="1">IF(DS84=1,_xll.RiskBinomial(1,Prob_Illness_Given_Infection),0)</f>
        <v>0</v>
      </c>
      <c r="DV84" s="87">
        <f t="shared" ca="1" si="123"/>
        <v>1.3652167395077955E-8</v>
      </c>
      <c r="DW84" s="37">
        <f ca="1">INT(DV84) + _xll.RiskBinomial(1,DV84-INT(DV84))</f>
        <v>0</v>
      </c>
      <c r="DX84" s="30">
        <f t="shared" ca="1" si="90"/>
        <v>0</v>
      </c>
      <c r="DY84" s="35">
        <f ca="1">_xll.RiskBinomial(1,DX84)</f>
        <v>0</v>
      </c>
      <c r="DZ84" s="88">
        <f ca="1">IF(DY84=1,_xll.RiskBinomial(1,Prob_Illness_Given_Infection),0)</f>
        <v>0</v>
      </c>
      <c r="EB84" s="87">
        <f t="shared" ca="1" si="124"/>
        <v>3.425771292467948E-12</v>
      </c>
      <c r="EC84" s="37">
        <f ca="1">INT(EB84) + _xll.RiskBinomial(1,EB84-INT(EB84))</f>
        <v>0</v>
      </c>
      <c r="ED84" s="30">
        <f t="shared" ca="1" si="91"/>
        <v>0</v>
      </c>
      <c r="EE84" s="35">
        <f ca="1">_xll.RiskBinomial(1,ED84)</f>
        <v>0</v>
      </c>
      <c r="EF84" s="88">
        <f ca="1">IF(EE84=1,_xll.RiskBinomial(1,Prob_Illness_Given_Infection),0)</f>
        <v>0</v>
      </c>
      <c r="EH84" s="87">
        <f t="shared" ca="1" si="125"/>
        <v>3.4257712924644264E-12</v>
      </c>
      <c r="EI84" s="37">
        <f ca="1">INT(EH84) + _xll.RiskBinomial(1,EH84-INT(EH84))</f>
        <v>0</v>
      </c>
      <c r="EJ84" s="30">
        <f t="shared" ca="1" si="92"/>
        <v>0</v>
      </c>
      <c r="EK84" s="35">
        <f ca="1">_xll.RiskBinomial(1,EJ84)</f>
        <v>0</v>
      </c>
      <c r="EL84" s="88">
        <f ca="1">IF(EK84=1,_xll.RiskBinomial(1,Prob_Illness_Given_Infection),0)</f>
        <v>0</v>
      </c>
      <c r="EN84" s="87">
        <f t="shared" ca="1" si="126"/>
        <v>3.1258094805288458E-10</v>
      </c>
      <c r="EO84" s="37">
        <f ca="1">INT(EN84) + _xll.RiskBinomial(1,EN84-INT(EN84))</f>
        <v>0</v>
      </c>
      <c r="EP84" s="30">
        <f t="shared" ca="1" si="93"/>
        <v>0</v>
      </c>
      <c r="EQ84" s="35">
        <f ca="1">_xll.RiskBinomial(1,EP84)</f>
        <v>0</v>
      </c>
      <c r="ER84" s="88">
        <f ca="1">IF(EQ84=1,_xll.RiskBinomial(1,Prob_Illness_Given_Infection),0)</f>
        <v>0</v>
      </c>
      <c r="ET84" s="87">
        <f t="shared" ca="1" si="127"/>
        <v>3.4257712924611593E-12</v>
      </c>
      <c r="EU84" s="37">
        <f ca="1">INT(ET84) + _xll.RiskBinomial(1,ET84-INT(ET84))</f>
        <v>0</v>
      </c>
      <c r="EV84" s="30">
        <f t="shared" ca="1" si="94"/>
        <v>0</v>
      </c>
      <c r="EW84" s="35">
        <f ca="1">_xll.RiskBinomial(1,EV84)</f>
        <v>0</v>
      </c>
      <c r="EX84" s="88">
        <f ca="1">IF(EW84=1,_xll.RiskBinomial(1,Prob_Illness_Given_Infection),0)</f>
        <v>0</v>
      </c>
      <c r="EZ84" s="87">
        <f t="shared" ca="1" si="128"/>
        <v>2.5837864068643381E-5</v>
      </c>
      <c r="FA84" s="37">
        <f ca="1">INT(EZ84) + _xll.RiskBinomial(1,EZ84-INT(EZ84))</f>
        <v>0</v>
      </c>
      <c r="FB84" s="30">
        <f t="shared" ca="1" si="95"/>
        <v>0</v>
      </c>
      <c r="FC84" s="35">
        <f ca="1">_xll.RiskBinomial(1,FB84)</f>
        <v>0</v>
      </c>
      <c r="FD84" s="88">
        <f ca="1">IF(FC84=1,_xll.RiskBinomial(1,Prob_Illness_Given_Infection),0)</f>
        <v>0</v>
      </c>
      <c r="FF84" s="87">
        <f t="shared" ca="1" si="129"/>
        <v>1.7998365666299529E-4</v>
      </c>
      <c r="FG84" s="37">
        <f ca="1">INT(FF84) + _xll.RiskBinomial(1,FF84-INT(FF84))</f>
        <v>0</v>
      </c>
      <c r="FH84" s="30">
        <f t="shared" ca="1" si="96"/>
        <v>0</v>
      </c>
      <c r="FI84" s="35">
        <f ca="1">_xll.RiskBinomial(1,FH84)</f>
        <v>0</v>
      </c>
      <c r="FJ84" s="88">
        <f ca="1">IF(FI84=1,_xll.RiskBinomial(1,Prob_Illness_Given_Infection),0)</f>
        <v>0</v>
      </c>
      <c r="FL84" s="87" t="e">
        <f t="shared" ca="1" si="130"/>
        <v>#NAME?</v>
      </c>
      <c r="FM84" s="37" t="e">
        <f ca="1">INT(FL84) + _xll.RiskBinomial(1,FL84-INT(FL84))</f>
        <v>#NAME?</v>
      </c>
      <c r="FN84" s="30" t="e">
        <f t="shared" ca="1" si="97"/>
        <v>#NAME?</v>
      </c>
      <c r="FO84" s="35" t="e">
        <f ca="1">_xll.RiskBinomial(1,FN84)</f>
        <v>#VALUE!</v>
      </c>
      <c r="FP84" s="88" t="e">
        <f ca="1">IF(FO84=1,_xll.RiskBinomial(1,Prob_Illness_Given_Infection),0)</f>
        <v>#VALUE!</v>
      </c>
      <c r="FR84" s="87" t="e">
        <f t="shared" ca="1" si="131"/>
        <v>#NAME?</v>
      </c>
      <c r="FS84" s="37" t="e">
        <f ca="1">INT(FR84) + _xll.RiskBinomial(1,FR84-INT(FR84))</f>
        <v>#NAME?</v>
      </c>
      <c r="FT84" s="30" t="e">
        <f t="shared" ca="1" si="98"/>
        <v>#NAME?</v>
      </c>
      <c r="FU84" s="35" t="e">
        <f ca="1">_xll.RiskBinomial(1,FT84)</f>
        <v>#VALUE!</v>
      </c>
      <c r="FV84" s="88" t="e">
        <f ca="1">IF(FU84=1,_xll.RiskBinomial(1,Prob_Illness_Given_Infection),0)</f>
        <v>#VALUE!</v>
      </c>
      <c r="FX84" s="87">
        <f t="shared" ca="1" si="132"/>
        <v>3.6168164699034466E-7</v>
      </c>
      <c r="FY84" s="37">
        <f ca="1">INT(FX84) + _xll.RiskBinomial(1,FX84-INT(FX84))</f>
        <v>0</v>
      </c>
      <c r="FZ84" s="30">
        <f t="shared" ca="1" si="99"/>
        <v>0</v>
      </c>
      <c r="GA84" s="35">
        <f ca="1">_xll.RiskBinomial(1,FZ84)</f>
        <v>0</v>
      </c>
      <c r="GB84" s="88">
        <f ca="1">IF(GA84=1,_xll.RiskBinomial(1,Prob_Illness_Given_Infection),0)</f>
        <v>0</v>
      </c>
      <c r="GD84" s="87" t="e">
        <f t="shared" ca="1" si="133"/>
        <v>#NAME?</v>
      </c>
      <c r="GE84" s="37" t="e">
        <f ca="1">INT(GD84) + _xll.RiskBinomial(1,GD84-INT(GD84))</f>
        <v>#NAME?</v>
      </c>
      <c r="GF84" s="30" t="e">
        <f t="shared" ca="1" si="100"/>
        <v>#NAME?</v>
      </c>
      <c r="GG84" s="35" t="e">
        <f ca="1">_xll.RiskBinomial(1,GF84)</f>
        <v>#VALUE!</v>
      </c>
      <c r="GH84" s="88" t="e">
        <f ca="1">IF(GG84=1,_xll.RiskBinomial(1,Prob_Illness_Given_Infection),0)</f>
        <v>#VALUE!</v>
      </c>
      <c r="GJ84" s="87" t="e">
        <f t="shared" ca="1" si="134"/>
        <v>#NAME?</v>
      </c>
      <c r="GK84" s="37" t="e">
        <f ca="1">INT(GJ84) + _xll.RiskBinomial(1,GJ84-INT(GJ84))</f>
        <v>#NAME?</v>
      </c>
      <c r="GL84" s="30" t="e">
        <f t="shared" ca="1" si="101"/>
        <v>#NAME?</v>
      </c>
      <c r="GM84" s="35" t="e">
        <f ca="1">_xll.RiskBinomial(1,GL84)</f>
        <v>#VALUE!</v>
      </c>
      <c r="GN84" s="88" t="e">
        <f ca="1">IF(GM84=1,_xll.RiskBinomial(1,Prob_Illness_Given_Infection),0)</f>
        <v>#VALUE!</v>
      </c>
      <c r="GP84" s="87" t="e">
        <f t="shared" ca="1" si="135"/>
        <v>#NAME?</v>
      </c>
      <c r="GQ84" s="37" t="e">
        <f ca="1">INT(GP84) + _xll.RiskBinomial(1,GP84-INT(GP84))</f>
        <v>#NAME?</v>
      </c>
      <c r="GR84" s="30" t="e">
        <f t="shared" ca="1" si="102"/>
        <v>#NAME?</v>
      </c>
      <c r="GS84" s="35" t="e">
        <f ca="1">_xll.RiskBinomial(1,GR84)</f>
        <v>#VALUE!</v>
      </c>
      <c r="GT84" s="88" t="e">
        <f ca="1">IF(GS84=1,_xll.RiskBinomial(1,Prob_Illness_Given_Infection),0)</f>
        <v>#VALUE!</v>
      </c>
    </row>
    <row r="85" spans="2:202">
      <c r="B85" s="108">
        <v>77</v>
      </c>
      <c r="C85" s="87">
        <f ca="1">_xll.RiskLoglogistic(LogLogistic_gamma, LogLogistic_beta, LogLogistic_alpha, _xll.RiskTruncate(5,800))</f>
        <v>82.58045501907641</v>
      </c>
      <c r="D85" s="38">
        <f t="shared" ca="1" si="69"/>
        <v>5.3051036418281097</v>
      </c>
      <c r="E85" s="30"/>
      <c r="F85" s="87">
        <f t="shared" ca="1" si="103"/>
        <v>1.9153503274627265E-9</v>
      </c>
      <c r="G85" s="37">
        <f ca="1">INT(F85) + _xll.RiskBinomial(1,F85-INT(F85))</f>
        <v>0</v>
      </c>
      <c r="H85" s="30">
        <f t="shared" ca="1" si="70"/>
        <v>0</v>
      </c>
      <c r="I85" s="35">
        <f ca="1">_xll.RiskBinomial(1,H85)</f>
        <v>0</v>
      </c>
      <c r="J85" s="88">
        <f ca="1">IF(I85=1,_xll.RiskBinomial(1,Prob_Illness_Given_Infection),0)</f>
        <v>0</v>
      </c>
      <c r="K85" s="30"/>
      <c r="L85" s="87">
        <f t="shared" ca="1" si="104"/>
        <v>9.7831104040962225E-5</v>
      </c>
      <c r="M85" s="37">
        <f ca="1">INT(L85) + _xll.RiskBinomial(1,L85-INT(L85))</f>
        <v>0</v>
      </c>
      <c r="N85" s="30">
        <f t="shared" ca="1" si="71"/>
        <v>0</v>
      </c>
      <c r="O85" s="35">
        <f ca="1">_xll.RiskBinomial(1,N85)</f>
        <v>0</v>
      </c>
      <c r="P85" s="88">
        <f ca="1">IF(O85=1,_xll.RiskBinomial(1,Prob_Illness_Given_Infection),0)</f>
        <v>0</v>
      </c>
      <c r="Q85" s="30"/>
      <c r="R85" s="87">
        <f t="shared" ca="1" si="105"/>
        <v>1.0113365845713878E-5</v>
      </c>
      <c r="S85" s="37">
        <f ca="1">INT(R85) + _xll.RiskBinomial(1,R85-INT(R85))</f>
        <v>0</v>
      </c>
      <c r="T85" s="30">
        <f t="shared" ca="1" si="72"/>
        <v>0</v>
      </c>
      <c r="U85" s="35">
        <f ca="1">_xll.RiskBinomial(1,T85)</f>
        <v>0</v>
      </c>
      <c r="V85" s="88">
        <f ca="1">IF(U85=1,_xll.RiskBinomial(1,Prob_Illness_Given_Infection),0)</f>
        <v>0</v>
      </c>
      <c r="W85" s="30"/>
      <c r="X85" s="87">
        <f t="shared" ca="1" si="106"/>
        <v>4.1548341844128351E-12</v>
      </c>
      <c r="Y85" s="37">
        <f ca="1">INT(X85) + _xll.RiskBinomial(1,X85-INT(X85))</f>
        <v>0</v>
      </c>
      <c r="Z85" s="30">
        <f t="shared" ca="1" si="73"/>
        <v>0</v>
      </c>
      <c r="AA85" s="35">
        <f ca="1">_xll.RiskBinomial(1,Z85)</f>
        <v>0</v>
      </c>
      <c r="AB85" s="88">
        <f ca="1">IF(AA85=1,_xll.RiskBinomial(1,Prob_Illness_Given_Infection),0)</f>
        <v>0</v>
      </c>
      <c r="AC85" s="30"/>
      <c r="AD85" s="87">
        <f t="shared" ca="1" si="107"/>
        <v>2.0932790464106933E-12</v>
      </c>
      <c r="AE85" s="37">
        <f ca="1">INT(AD85) + _xll.RiskBinomial(1,AD85-INT(AD85))</f>
        <v>0</v>
      </c>
      <c r="AF85" s="30">
        <f t="shared" ca="1" si="74"/>
        <v>0</v>
      </c>
      <c r="AG85" s="35">
        <f ca="1">_xll.RiskBinomial(1,AF85)</f>
        <v>0</v>
      </c>
      <c r="AH85" s="88">
        <f ca="1">IF(AG85=1,_xll.RiskBinomial(1,Prob_Illness_Given_Infection),0)</f>
        <v>0</v>
      </c>
      <c r="AI85" s="30"/>
      <c r="AJ85" s="87">
        <f t="shared" ca="1" si="108"/>
        <v>9.7164618812478019E-5</v>
      </c>
      <c r="AK85" s="37">
        <f ca="1">INT(AJ85) + _xll.RiskBinomial(1,AJ85-INT(AJ85))</f>
        <v>0</v>
      </c>
      <c r="AL85" s="30">
        <f t="shared" ca="1" si="75"/>
        <v>0</v>
      </c>
      <c r="AM85" s="35">
        <f ca="1">_xll.RiskBinomial(1,AL85)</f>
        <v>0</v>
      </c>
      <c r="AN85" s="88">
        <f ca="1">IF(AM85=1,_xll.RiskBinomial(1,Prob_Illness_Given_Infection),0)</f>
        <v>0</v>
      </c>
      <c r="AO85" s="30"/>
      <c r="AP85" s="87">
        <f t="shared" ca="1" si="109"/>
        <v>2.3629496384347034E-9</v>
      </c>
      <c r="AQ85" s="37">
        <f ca="1">INT(AP85) + _xll.RiskBinomial(1,AP85-INT(AP85))</f>
        <v>0</v>
      </c>
      <c r="AR85" s="30">
        <f t="shared" ca="1" si="76"/>
        <v>0</v>
      </c>
      <c r="AS85" s="35">
        <f ca="1">_xll.RiskBinomial(1,AR85)</f>
        <v>0</v>
      </c>
      <c r="AT85" s="88">
        <f ca="1">IF(AS85=1,_xll.RiskBinomial(1,Prob_Illness_Given_Infection),0)</f>
        <v>0</v>
      </c>
      <c r="AU85" s="30"/>
      <c r="AV85" s="87">
        <f t="shared" ca="1" si="110"/>
        <v>5.4819201493098951E-5</v>
      </c>
      <c r="AW85" s="37">
        <f ca="1">INT(AV85) + _xll.RiskBinomial(1,AV85-INT(AV85))</f>
        <v>0</v>
      </c>
      <c r="AX85" s="30">
        <f t="shared" ca="1" si="77"/>
        <v>0</v>
      </c>
      <c r="AY85" s="35">
        <f ca="1">_xll.RiskBinomial(1,AX85)</f>
        <v>0</v>
      </c>
      <c r="AZ85" s="88">
        <f ca="1">IF(AY85=1,_xll.RiskBinomial(1,Prob_Illness_Given_Infection),0)</f>
        <v>0</v>
      </c>
      <c r="BB85" s="87">
        <f t="shared" ca="1" si="111"/>
        <v>7.5239895560840265E-5</v>
      </c>
      <c r="BC85" s="37">
        <f ca="1">INT(BB85) + _xll.RiskBinomial(1,BB85-INT(BB85))</f>
        <v>0</v>
      </c>
      <c r="BD85" s="30">
        <f t="shared" ca="1" si="78"/>
        <v>0</v>
      </c>
      <c r="BE85" s="35">
        <f ca="1">_xll.RiskBinomial(1,BD85)</f>
        <v>0</v>
      </c>
      <c r="BF85" s="88">
        <f ca="1">IF(BE85=1,_xll.RiskBinomial(1,Prob_Illness_Given_Infection),0)</f>
        <v>0</v>
      </c>
      <c r="BH85" s="87">
        <f t="shared" ca="1" si="112"/>
        <v>9.5259090557553701E-5</v>
      </c>
      <c r="BI85" s="37">
        <f ca="1">INT(BH85) + _xll.RiskBinomial(1,BH85-INT(BH85))</f>
        <v>0</v>
      </c>
      <c r="BJ85" s="30">
        <f t="shared" ca="1" si="79"/>
        <v>0</v>
      </c>
      <c r="BK85" s="35">
        <f ca="1">_xll.RiskBinomial(1,BJ85)</f>
        <v>0</v>
      </c>
      <c r="BL85" s="88">
        <f ca="1">IF(BK85=1,_xll.RiskBinomial(1,Prob_Illness_Given_Infection),0)</f>
        <v>0</v>
      </c>
      <c r="BN85" s="87">
        <f t="shared" ca="1" si="113"/>
        <v>7.2497599559073537E-6</v>
      </c>
      <c r="BO85" s="37">
        <f ca="1">INT(BN85) + _xll.RiskBinomial(1,BN85-INT(BN85))</f>
        <v>0</v>
      </c>
      <c r="BP85" s="30">
        <f t="shared" ca="1" si="80"/>
        <v>0</v>
      </c>
      <c r="BQ85" s="35">
        <f ca="1">_xll.RiskBinomial(1,BP85)</f>
        <v>0</v>
      </c>
      <c r="BR85" s="88">
        <f ca="1">IF(BQ85=1,_xll.RiskBinomial(1,Prob_Illness_Given_Infection),0)</f>
        <v>0</v>
      </c>
      <c r="BT85" s="87">
        <f t="shared" ca="1" si="114"/>
        <v>2.1799951543874296E-5</v>
      </c>
      <c r="BU85" s="37">
        <f ca="1">INT(BT85) + _xll.RiskBinomial(1,BT85-INT(BT85))</f>
        <v>0</v>
      </c>
      <c r="BV85" s="30">
        <f t="shared" ca="1" si="81"/>
        <v>0</v>
      </c>
      <c r="BW85" s="35">
        <f ca="1">_xll.RiskBinomial(1,BV85)</f>
        <v>0</v>
      </c>
      <c r="BX85" s="88">
        <f ca="1">IF(BW85=1,_xll.RiskBinomial(1,Prob_Illness_Given_Infection),0)</f>
        <v>0</v>
      </c>
      <c r="BZ85" s="87">
        <f t="shared" ca="1" si="115"/>
        <v>5.9761015753362786E-5</v>
      </c>
      <c r="CA85" s="37">
        <f ca="1">INT(BZ85) + _xll.RiskBinomial(1,BZ85-INT(BZ85))</f>
        <v>0</v>
      </c>
      <c r="CB85" s="30">
        <f t="shared" ca="1" si="82"/>
        <v>0</v>
      </c>
      <c r="CC85" s="35">
        <f ca="1">_xll.RiskBinomial(1,CB85)</f>
        <v>0</v>
      </c>
      <c r="CD85" s="88">
        <f ca="1">IF(CC85=1,_xll.RiskBinomial(1,Prob_Illness_Given_Infection),0)</f>
        <v>0</v>
      </c>
      <c r="CF85" s="87">
        <f t="shared" ca="1" si="116"/>
        <v>1.1339054577367734E-5</v>
      </c>
      <c r="CG85" s="37">
        <f ca="1">INT(CF85) + _xll.RiskBinomial(1,CF85-INT(CF85))</f>
        <v>0</v>
      </c>
      <c r="CH85" s="30">
        <f t="shared" ca="1" si="83"/>
        <v>0</v>
      </c>
      <c r="CI85" s="35">
        <f ca="1">_xll.RiskBinomial(1,CH85)</f>
        <v>0</v>
      </c>
      <c r="CJ85" s="88">
        <f ca="1">IF(CI85=1,_xll.RiskBinomial(1,Prob_Illness_Given_Infection),0)</f>
        <v>0</v>
      </c>
      <c r="CL85" s="87">
        <f t="shared" ca="1" si="117"/>
        <v>2.1881200902211699E-5</v>
      </c>
      <c r="CM85" s="37">
        <f ca="1">INT(CL85) + _xll.RiskBinomial(1,CL85-INT(CL85))</f>
        <v>0</v>
      </c>
      <c r="CN85" s="30">
        <f t="shared" ca="1" si="84"/>
        <v>0</v>
      </c>
      <c r="CO85" s="35">
        <f ca="1">_xll.RiskBinomial(1,CN85)</f>
        <v>0</v>
      </c>
      <c r="CP85" s="88">
        <f ca="1">IF(CO85=1,_xll.RiskBinomial(1,Prob_Illness_Given_Infection),0)</f>
        <v>0</v>
      </c>
      <c r="CR85" s="87">
        <f t="shared" ca="1" si="118"/>
        <v>1.5079861385622553E-7</v>
      </c>
      <c r="CS85" s="37">
        <f ca="1">INT(CR85) + _xll.RiskBinomial(1,CR85-INT(CR85))</f>
        <v>0</v>
      </c>
      <c r="CT85" s="30">
        <f t="shared" ca="1" si="85"/>
        <v>0</v>
      </c>
      <c r="CU85" s="35">
        <f ca="1">_xll.RiskBinomial(1,CT85)</f>
        <v>0</v>
      </c>
      <c r="CV85" s="88">
        <f ca="1">IF(CU85=1,_xll.RiskBinomial(1,Prob_Illness_Given_Infection),0)</f>
        <v>0</v>
      </c>
      <c r="CX85" s="87">
        <f t="shared" ca="1" si="119"/>
        <v>1.5351127457489802E-9</v>
      </c>
      <c r="CY85" s="37">
        <f ca="1">INT(CX85) + _xll.RiskBinomial(1,CX85-INT(CX85))</f>
        <v>0</v>
      </c>
      <c r="CZ85" s="30">
        <f t="shared" ca="1" si="86"/>
        <v>0</v>
      </c>
      <c r="DA85" s="35">
        <f ca="1">_xll.RiskBinomial(1,CZ85)</f>
        <v>0</v>
      </c>
      <c r="DB85" s="88">
        <f ca="1">IF(DA85=1,_xll.RiskBinomial(1,Prob_Illness_Given_Infection),0)</f>
        <v>0</v>
      </c>
      <c r="DD85" s="87">
        <f t="shared" ca="1" si="120"/>
        <v>1.5351127457489802E-9</v>
      </c>
      <c r="DE85" s="37">
        <f ca="1">INT(DD85) + _xll.RiskBinomial(1,DD85-INT(DD85))</f>
        <v>0</v>
      </c>
      <c r="DF85" s="30">
        <f t="shared" ca="1" si="87"/>
        <v>0</v>
      </c>
      <c r="DG85" s="35">
        <f ca="1">_xll.RiskBinomial(1,DF85)</f>
        <v>0</v>
      </c>
      <c r="DH85" s="88">
        <f ca="1">IF(DG85=1,_xll.RiskBinomial(1,Prob_Illness_Given_Infection),0)</f>
        <v>0</v>
      </c>
      <c r="DJ85" s="87">
        <f t="shared" ca="1" si="121"/>
        <v>2.5066261125035062E-6</v>
      </c>
      <c r="DK85" s="37">
        <f ca="1">INT(DJ85) + _xll.RiskBinomial(1,DJ85-INT(DJ85))</f>
        <v>0</v>
      </c>
      <c r="DL85" s="30">
        <f t="shared" ca="1" si="88"/>
        <v>0</v>
      </c>
      <c r="DM85" s="35">
        <f ca="1">_xll.RiskBinomial(1,DL85)</f>
        <v>0</v>
      </c>
      <c r="DN85" s="88">
        <f ca="1">IF(DM85=1,_xll.RiskBinomial(1,Prob_Illness_Given_Infection),0)</f>
        <v>0</v>
      </c>
      <c r="DP85" s="87">
        <f t="shared" ca="1" si="122"/>
        <v>5.9255349432092054E-10</v>
      </c>
      <c r="DQ85" s="37">
        <f ca="1">INT(DP85) + _xll.RiskBinomial(1,DP85-INT(DP85))</f>
        <v>0</v>
      </c>
      <c r="DR85" s="30">
        <f t="shared" ca="1" si="89"/>
        <v>0</v>
      </c>
      <c r="DS85" s="35">
        <f ca="1">_xll.RiskBinomial(1,DR85)</f>
        <v>0</v>
      </c>
      <c r="DT85" s="88">
        <f ca="1">IF(DS85=1,_xll.RiskBinomial(1,Prob_Illness_Given_Infection),0)</f>
        <v>0</v>
      </c>
      <c r="DV85" s="87">
        <f t="shared" ca="1" si="123"/>
        <v>8.3420034516112467E-9</v>
      </c>
      <c r="DW85" s="37">
        <f ca="1">INT(DV85) + _xll.RiskBinomial(1,DV85-INT(DV85))</f>
        <v>0</v>
      </c>
      <c r="DX85" s="30">
        <f t="shared" ca="1" si="90"/>
        <v>0</v>
      </c>
      <c r="DY85" s="35">
        <f ca="1">_xll.RiskBinomial(1,DX85)</f>
        <v>0</v>
      </c>
      <c r="DZ85" s="88">
        <f ca="1">IF(DY85=1,_xll.RiskBinomial(1,Prob_Illness_Given_Infection),0)</f>
        <v>0</v>
      </c>
      <c r="EB85" s="87">
        <f t="shared" ca="1" si="124"/>
        <v>2.0932790464099905E-12</v>
      </c>
      <c r="EC85" s="37">
        <f ca="1">INT(EB85) + _xll.RiskBinomial(1,EB85-INT(EB85))</f>
        <v>0</v>
      </c>
      <c r="ED85" s="30">
        <f t="shared" ca="1" si="91"/>
        <v>0</v>
      </c>
      <c r="EE85" s="35">
        <f ca="1">_xll.RiskBinomial(1,ED85)</f>
        <v>0</v>
      </c>
      <c r="EF85" s="88">
        <f ca="1">IF(EE85=1,_xll.RiskBinomial(1,Prob_Illness_Given_Infection),0)</f>
        <v>0</v>
      </c>
      <c r="EH85" s="87">
        <f t="shared" ca="1" si="125"/>
        <v>2.0932790464078385E-12</v>
      </c>
      <c r="EI85" s="37">
        <f ca="1">INT(EH85) + _xll.RiskBinomial(1,EH85-INT(EH85))</f>
        <v>0</v>
      </c>
      <c r="EJ85" s="30">
        <f t="shared" ca="1" si="92"/>
        <v>0</v>
      </c>
      <c r="EK85" s="35">
        <f ca="1">_xll.RiskBinomial(1,EJ85)</f>
        <v>0</v>
      </c>
      <c r="EL85" s="88">
        <f ca="1">IF(EK85=1,_xll.RiskBinomial(1,Prob_Illness_Given_Infection),0)</f>
        <v>0</v>
      </c>
      <c r="EN85" s="87">
        <f t="shared" ca="1" si="126"/>
        <v>1.9099907524611697E-10</v>
      </c>
      <c r="EO85" s="37">
        <f ca="1">INT(EN85) + _xll.RiskBinomial(1,EN85-INT(EN85))</f>
        <v>0</v>
      </c>
      <c r="EP85" s="30">
        <f t="shared" ca="1" si="93"/>
        <v>0</v>
      </c>
      <c r="EQ85" s="35">
        <f ca="1">_xll.RiskBinomial(1,EP85)</f>
        <v>0</v>
      </c>
      <c r="ER85" s="88">
        <f ca="1">IF(EQ85=1,_xll.RiskBinomial(1,Prob_Illness_Given_Infection),0)</f>
        <v>0</v>
      </c>
      <c r="ET85" s="87">
        <f t="shared" ca="1" si="127"/>
        <v>2.0932790464058425E-12</v>
      </c>
      <c r="EU85" s="37">
        <f ca="1">INT(ET85) + _xll.RiskBinomial(1,ET85-INT(ET85))</f>
        <v>0</v>
      </c>
      <c r="EV85" s="30">
        <f t="shared" ca="1" si="94"/>
        <v>0</v>
      </c>
      <c r="EW85" s="35">
        <f ca="1">_xll.RiskBinomial(1,EV85)</f>
        <v>0</v>
      </c>
      <c r="EX85" s="88">
        <f ca="1">IF(EW85=1,_xll.RiskBinomial(1,Prob_Illness_Given_Infection),0)</f>
        <v>0</v>
      </c>
      <c r="EZ85" s="87">
        <f t="shared" ca="1" si="128"/>
        <v>1.5787936450339324E-5</v>
      </c>
      <c r="FA85" s="37">
        <f ca="1">INT(EZ85) + _xll.RiskBinomial(1,EZ85-INT(EZ85))</f>
        <v>0</v>
      </c>
      <c r="FB85" s="30">
        <f t="shared" ca="1" si="95"/>
        <v>0</v>
      </c>
      <c r="FC85" s="35">
        <f ca="1">_xll.RiskBinomial(1,FB85)</f>
        <v>0</v>
      </c>
      <c r="FD85" s="88">
        <f ca="1">IF(FC85=1,_xll.RiskBinomial(1,Prob_Illness_Given_Infection),0)</f>
        <v>0</v>
      </c>
      <c r="FF85" s="87">
        <f t="shared" ca="1" si="129"/>
        <v>1.099769905881488E-4</v>
      </c>
      <c r="FG85" s="37">
        <f ca="1">INT(FF85) + _xll.RiskBinomial(1,FF85-INT(FF85))</f>
        <v>0</v>
      </c>
      <c r="FH85" s="30">
        <f t="shared" ca="1" si="96"/>
        <v>0</v>
      </c>
      <c r="FI85" s="35">
        <f ca="1">_xll.RiskBinomial(1,FH85)</f>
        <v>0</v>
      </c>
      <c r="FJ85" s="88">
        <f ca="1">IF(FI85=1,_xll.RiskBinomial(1,Prob_Illness_Given_Infection),0)</f>
        <v>0</v>
      </c>
      <c r="FL85" s="87" t="e">
        <f t="shared" ca="1" si="130"/>
        <v>#NAME?</v>
      </c>
      <c r="FM85" s="37" t="e">
        <f ca="1">INT(FL85) + _xll.RiskBinomial(1,FL85-INT(FL85))</f>
        <v>#NAME?</v>
      </c>
      <c r="FN85" s="30" t="e">
        <f t="shared" ca="1" si="97"/>
        <v>#NAME?</v>
      </c>
      <c r="FO85" s="35" t="e">
        <f ca="1">_xll.RiskBinomial(1,FN85)</f>
        <v>#VALUE!</v>
      </c>
      <c r="FP85" s="88" t="e">
        <f ca="1">IF(FO85=1,_xll.RiskBinomial(1,Prob_Illness_Given_Infection),0)</f>
        <v>#VALUE!</v>
      </c>
      <c r="FR85" s="87" t="e">
        <f t="shared" ca="1" si="131"/>
        <v>#NAME?</v>
      </c>
      <c r="FS85" s="37" t="e">
        <f ca="1">INT(FR85) + _xll.RiskBinomial(1,FR85-INT(FR85))</f>
        <v>#NAME?</v>
      </c>
      <c r="FT85" s="30" t="e">
        <f t="shared" ca="1" si="98"/>
        <v>#NAME?</v>
      </c>
      <c r="FU85" s="35" t="e">
        <f ca="1">_xll.RiskBinomial(1,FT85)</f>
        <v>#VALUE!</v>
      </c>
      <c r="FV85" s="88" t="e">
        <f ca="1">IF(FU85=1,_xll.RiskBinomial(1,Prob_Illness_Given_Infection),0)</f>
        <v>#VALUE!</v>
      </c>
      <c r="FX85" s="87">
        <f t="shared" ca="1" si="132"/>
        <v>2.2100150549470079E-7</v>
      </c>
      <c r="FY85" s="37">
        <f ca="1">INT(FX85) + _xll.RiskBinomial(1,FX85-INT(FX85))</f>
        <v>0</v>
      </c>
      <c r="FZ85" s="30">
        <f t="shared" ca="1" si="99"/>
        <v>0</v>
      </c>
      <c r="GA85" s="35">
        <f ca="1">_xll.RiskBinomial(1,FZ85)</f>
        <v>0</v>
      </c>
      <c r="GB85" s="88">
        <f ca="1">IF(GA85=1,_xll.RiskBinomial(1,Prob_Illness_Given_Infection),0)</f>
        <v>0</v>
      </c>
      <c r="GD85" s="87" t="e">
        <f t="shared" ca="1" si="133"/>
        <v>#NAME?</v>
      </c>
      <c r="GE85" s="37" t="e">
        <f ca="1">INT(GD85) + _xll.RiskBinomial(1,GD85-INT(GD85))</f>
        <v>#NAME?</v>
      </c>
      <c r="GF85" s="30" t="e">
        <f t="shared" ca="1" si="100"/>
        <v>#NAME?</v>
      </c>
      <c r="GG85" s="35" t="e">
        <f ca="1">_xll.RiskBinomial(1,GF85)</f>
        <v>#VALUE!</v>
      </c>
      <c r="GH85" s="88" t="e">
        <f ca="1">IF(GG85=1,_xll.RiskBinomial(1,Prob_Illness_Given_Infection),0)</f>
        <v>#VALUE!</v>
      </c>
      <c r="GJ85" s="87" t="e">
        <f t="shared" ca="1" si="134"/>
        <v>#NAME?</v>
      </c>
      <c r="GK85" s="37" t="e">
        <f ca="1">INT(GJ85) + _xll.RiskBinomial(1,GJ85-INT(GJ85))</f>
        <v>#NAME?</v>
      </c>
      <c r="GL85" s="30" t="e">
        <f t="shared" ca="1" si="101"/>
        <v>#NAME?</v>
      </c>
      <c r="GM85" s="35" t="e">
        <f ca="1">_xll.RiskBinomial(1,GL85)</f>
        <v>#VALUE!</v>
      </c>
      <c r="GN85" s="88" t="e">
        <f ca="1">IF(GM85=1,_xll.RiskBinomial(1,Prob_Illness_Given_Infection),0)</f>
        <v>#VALUE!</v>
      </c>
      <c r="GP85" s="87" t="e">
        <f t="shared" ca="1" si="135"/>
        <v>#NAME?</v>
      </c>
      <c r="GQ85" s="37" t="e">
        <f ca="1">INT(GP85) + _xll.RiskBinomial(1,GP85-INT(GP85))</f>
        <v>#NAME?</v>
      </c>
      <c r="GR85" s="30" t="e">
        <f t="shared" ca="1" si="102"/>
        <v>#NAME?</v>
      </c>
      <c r="GS85" s="35" t="e">
        <f ca="1">_xll.RiskBinomial(1,GR85)</f>
        <v>#VALUE!</v>
      </c>
      <c r="GT85" s="88" t="e">
        <f ca="1">IF(GS85=1,_xll.RiskBinomial(1,Prob_Illness_Given_Infection),0)</f>
        <v>#VALUE!</v>
      </c>
    </row>
    <row r="86" spans="2:202">
      <c r="B86" s="108">
        <v>78</v>
      </c>
      <c r="C86" s="87">
        <f ca="1">_xll.RiskLoglogistic(LogLogistic_gamma, LogLogistic_beta, LogLogistic_alpha, _xll.RiskTruncate(5,800))</f>
        <v>618.29647394347762</v>
      </c>
      <c r="D86" s="38">
        <f t="shared" ca="1" si="69"/>
        <v>39.720377841092066</v>
      </c>
      <c r="E86" s="30"/>
      <c r="F86" s="87">
        <f t="shared" ca="1" si="103"/>
        <v>1.4340613085301139E-8</v>
      </c>
      <c r="G86" s="37">
        <f ca="1">INT(F86) + _xll.RiskBinomial(1,F86-INT(F86))</f>
        <v>0</v>
      </c>
      <c r="H86" s="30">
        <f t="shared" ca="1" si="70"/>
        <v>0</v>
      </c>
      <c r="I86" s="35">
        <f ca="1">_xll.RiskBinomial(1,H86)</f>
        <v>0</v>
      </c>
      <c r="J86" s="88">
        <f ca="1">IF(I86=1,_xll.RiskBinomial(1,Prob_Illness_Given_Infection),0)</f>
        <v>0</v>
      </c>
      <c r="K86" s="30"/>
      <c r="L86" s="87">
        <f t="shared" ca="1" si="104"/>
        <v>7.3248115012869994E-4</v>
      </c>
      <c r="M86" s="37">
        <f ca="1">INT(L86) + _xll.RiskBinomial(1,L86-INT(L86))</f>
        <v>0</v>
      </c>
      <c r="N86" s="30">
        <f t="shared" ca="1" si="71"/>
        <v>0</v>
      </c>
      <c r="O86" s="35">
        <f ca="1">_xll.RiskBinomial(1,N86)</f>
        <v>0</v>
      </c>
      <c r="P86" s="88">
        <f ca="1">IF(O86=1,_xll.RiskBinomial(1,Prob_Illness_Given_Infection),0)</f>
        <v>0</v>
      </c>
      <c r="Q86" s="30"/>
      <c r="R86" s="87">
        <f t="shared" ca="1" si="105"/>
        <v>7.5720803919775042E-5</v>
      </c>
      <c r="S86" s="37">
        <f ca="1">INT(R86) + _xll.RiskBinomial(1,R86-INT(R86))</f>
        <v>0</v>
      </c>
      <c r="T86" s="30">
        <f t="shared" ca="1" si="72"/>
        <v>0</v>
      </c>
      <c r="U86" s="35">
        <f ca="1">_xll.RiskBinomial(1,T86)</f>
        <v>0</v>
      </c>
      <c r="V86" s="88">
        <f ca="1">IF(U86=1,_xll.RiskBinomial(1,Prob_Illness_Given_Infection),0)</f>
        <v>0</v>
      </c>
      <c r="W86" s="30"/>
      <c r="X86" s="87">
        <f t="shared" ca="1" si="106"/>
        <v>3.1108079090250238E-11</v>
      </c>
      <c r="Y86" s="37">
        <f ca="1">INT(X86) + _xll.RiskBinomial(1,X86-INT(X86))</f>
        <v>0</v>
      </c>
      <c r="Z86" s="30">
        <f t="shared" ca="1" si="73"/>
        <v>0</v>
      </c>
      <c r="AA86" s="35">
        <f ca="1">_xll.RiskBinomial(1,Z86)</f>
        <v>0</v>
      </c>
      <c r="AB86" s="88">
        <f ca="1">IF(AA86=1,_xll.RiskBinomial(1,Prob_Illness_Given_Infection),0)</f>
        <v>0</v>
      </c>
      <c r="AC86" s="30"/>
      <c r="AD86" s="87">
        <f t="shared" ca="1" si="107"/>
        <v>1.5672801186146486E-11</v>
      </c>
      <c r="AE86" s="37">
        <f ca="1">INT(AD86) + _xll.RiskBinomial(1,AD86-INT(AD86))</f>
        <v>0</v>
      </c>
      <c r="AF86" s="30">
        <f t="shared" ca="1" si="74"/>
        <v>0</v>
      </c>
      <c r="AG86" s="35">
        <f ca="1">_xll.RiskBinomial(1,AF86)</f>
        <v>0</v>
      </c>
      <c r="AH86" s="88">
        <f ca="1">IF(AG86=1,_xll.RiskBinomial(1,Prob_Illness_Given_Infection),0)</f>
        <v>0</v>
      </c>
      <c r="AI86" s="30"/>
      <c r="AJ86" s="87">
        <f t="shared" ca="1" si="108"/>
        <v>7.2749104119054981E-4</v>
      </c>
      <c r="AK86" s="37">
        <f ca="1">INT(AJ86) + _xll.RiskBinomial(1,AJ86-INT(AJ86))</f>
        <v>0</v>
      </c>
      <c r="AL86" s="30">
        <f t="shared" ca="1" si="75"/>
        <v>0</v>
      </c>
      <c r="AM86" s="35">
        <f ca="1">_xll.RiskBinomial(1,AL86)</f>
        <v>0</v>
      </c>
      <c r="AN86" s="88">
        <f ca="1">IF(AM86=1,_xll.RiskBinomial(1,Prob_Illness_Given_Infection),0)</f>
        <v>0</v>
      </c>
      <c r="AO86" s="30"/>
      <c r="AP86" s="87">
        <f t="shared" ca="1" si="109"/>
        <v>1.7691879140320737E-8</v>
      </c>
      <c r="AQ86" s="37">
        <f ca="1">INT(AP86) + _xll.RiskBinomial(1,AP86-INT(AP86))</f>
        <v>0</v>
      </c>
      <c r="AR86" s="30">
        <f t="shared" ca="1" si="76"/>
        <v>0</v>
      </c>
      <c r="AS86" s="35">
        <f ca="1">_xll.RiskBinomial(1,AR86)</f>
        <v>0</v>
      </c>
      <c r="AT86" s="88">
        <f ca="1">IF(AS86=1,_xll.RiskBinomial(1,Prob_Illness_Given_Infection),0)</f>
        <v>0</v>
      </c>
      <c r="AU86" s="30"/>
      <c r="AV86" s="87">
        <f t="shared" ca="1" si="110"/>
        <v>4.1044238591020533E-4</v>
      </c>
      <c r="AW86" s="37">
        <f ca="1">INT(AV86) + _xll.RiskBinomial(1,AV86-INT(AV86))</f>
        <v>0</v>
      </c>
      <c r="AX86" s="30">
        <f t="shared" ca="1" si="77"/>
        <v>0</v>
      </c>
      <c r="AY86" s="35">
        <f ca="1">_xll.RiskBinomial(1,AX86)</f>
        <v>0</v>
      </c>
      <c r="AZ86" s="88">
        <f ca="1">IF(AY86=1,_xll.RiskBinomial(1,Prob_Illness_Given_Infection),0)</f>
        <v>0</v>
      </c>
      <c r="BB86" s="87">
        <f t="shared" ca="1" si="111"/>
        <v>5.6333622906772106E-4</v>
      </c>
      <c r="BC86" s="37">
        <f ca="1">INT(BB86) + _xll.RiskBinomial(1,BB86-INT(BB86))</f>
        <v>0</v>
      </c>
      <c r="BD86" s="30">
        <f t="shared" ca="1" si="78"/>
        <v>0</v>
      </c>
      <c r="BE86" s="35">
        <f ca="1">_xll.RiskBinomial(1,BD86)</f>
        <v>0</v>
      </c>
      <c r="BF86" s="88">
        <f ca="1">IF(BE86=1,_xll.RiskBinomial(1,Prob_Illness_Given_Infection),0)</f>
        <v>0</v>
      </c>
      <c r="BH86" s="87">
        <f t="shared" ca="1" si="112"/>
        <v>7.1322396793759653E-4</v>
      </c>
      <c r="BI86" s="37">
        <f ca="1">INT(BH86) + _xll.RiskBinomial(1,BH86-INT(BH86))</f>
        <v>0</v>
      </c>
      <c r="BJ86" s="30">
        <f t="shared" ca="1" si="79"/>
        <v>0</v>
      </c>
      <c r="BK86" s="35">
        <f ca="1">_xll.RiskBinomial(1,BJ86)</f>
        <v>0</v>
      </c>
      <c r="BL86" s="88">
        <f ca="1">IF(BK86=1,_xll.RiskBinomial(1,Prob_Illness_Given_Infection),0)</f>
        <v>0</v>
      </c>
      <c r="BN86" s="87">
        <f t="shared" ca="1" si="113"/>
        <v>5.4280410741726528E-5</v>
      </c>
      <c r="BO86" s="37">
        <f ca="1">INT(BN86) + _xll.RiskBinomial(1,BN86-INT(BN86))</f>
        <v>0</v>
      </c>
      <c r="BP86" s="30">
        <f t="shared" ca="1" si="80"/>
        <v>0</v>
      </c>
      <c r="BQ86" s="35">
        <f ca="1">_xll.RiskBinomial(1,BP86)</f>
        <v>0</v>
      </c>
      <c r="BR86" s="88">
        <f ca="1">IF(BQ86=1,_xll.RiskBinomial(1,Prob_Illness_Given_Infection),0)</f>
        <v>0</v>
      </c>
      <c r="BT86" s="87">
        <f t="shared" ca="1" si="114"/>
        <v>1.6322062125478104E-4</v>
      </c>
      <c r="BU86" s="37">
        <f ca="1">INT(BT86) + _xll.RiskBinomial(1,BT86-INT(BT86))</f>
        <v>0</v>
      </c>
      <c r="BV86" s="30">
        <f t="shared" ca="1" si="81"/>
        <v>0</v>
      </c>
      <c r="BW86" s="35">
        <f ca="1">_xll.RiskBinomial(1,BV86)</f>
        <v>0</v>
      </c>
      <c r="BX86" s="88">
        <f ca="1">IF(BW86=1,_xll.RiskBinomial(1,Prob_Illness_Given_Infection),0)</f>
        <v>0</v>
      </c>
      <c r="BZ86" s="87">
        <f t="shared" ca="1" si="115"/>
        <v>4.474427430927722E-4</v>
      </c>
      <c r="CA86" s="37">
        <f ca="1">INT(BZ86) + _xll.RiskBinomial(1,BZ86-INT(BZ86))</f>
        <v>0</v>
      </c>
      <c r="CB86" s="30">
        <f t="shared" ca="1" si="82"/>
        <v>0</v>
      </c>
      <c r="CC86" s="35">
        <f ca="1">_xll.RiskBinomial(1,CB86)</f>
        <v>0</v>
      </c>
      <c r="CD86" s="88">
        <f ca="1">IF(CC86=1,_xll.RiskBinomial(1,Prob_Illness_Given_Infection),0)</f>
        <v>0</v>
      </c>
      <c r="CF86" s="87">
        <f t="shared" ca="1" si="116"/>
        <v>8.4897781943918521E-5</v>
      </c>
      <c r="CG86" s="37">
        <f ca="1">INT(CF86) + _xll.RiskBinomial(1,CF86-INT(CF86))</f>
        <v>0</v>
      </c>
      <c r="CH86" s="30">
        <f t="shared" ca="1" si="83"/>
        <v>0</v>
      </c>
      <c r="CI86" s="35">
        <f ca="1">_xll.RiskBinomial(1,CH86)</f>
        <v>0</v>
      </c>
      <c r="CJ86" s="88">
        <f ca="1">IF(CI86=1,_xll.RiskBinomial(1,Prob_Illness_Given_Infection),0)</f>
        <v>0</v>
      </c>
      <c r="CL86" s="87">
        <f t="shared" ca="1" si="117"/>
        <v>1.6382895154018064E-4</v>
      </c>
      <c r="CM86" s="37">
        <f ca="1">INT(CL86) + _xll.RiskBinomial(1,CL86-INT(CL86))</f>
        <v>0</v>
      </c>
      <c r="CN86" s="30">
        <f t="shared" ca="1" si="84"/>
        <v>0</v>
      </c>
      <c r="CO86" s="35">
        <f ca="1">_xll.RiskBinomial(1,CN86)</f>
        <v>0</v>
      </c>
      <c r="CP86" s="88">
        <f ca="1">IF(CO86=1,_xll.RiskBinomial(1,Prob_Illness_Given_Infection),0)</f>
        <v>0</v>
      </c>
      <c r="CR86" s="87">
        <f t="shared" ca="1" si="118"/>
        <v>1.1290595480653371E-6</v>
      </c>
      <c r="CS86" s="37">
        <f ca="1">INT(CR86) + _xll.RiskBinomial(1,CR86-INT(CR86))</f>
        <v>0</v>
      </c>
      <c r="CT86" s="30">
        <f t="shared" ca="1" si="85"/>
        <v>0</v>
      </c>
      <c r="CU86" s="35">
        <f ca="1">_xll.RiskBinomial(1,CT86)</f>
        <v>0</v>
      </c>
      <c r="CV86" s="88">
        <f ca="1">IF(CU86=1,_xll.RiskBinomial(1,Prob_Illness_Given_Infection),0)</f>
        <v>0</v>
      </c>
      <c r="CX86" s="87">
        <f t="shared" ca="1" si="119"/>
        <v>1.1493697843915081E-8</v>
      </c>
      <c r="CY86" s="37">
        <f ca="1">INT(CX86) + _xll.RiskBinomial(1,CX86-INT(CX86))</f>
        <v>0</v>
      </c>
      <c r="CZ86" s="30">
        <f t="shared" ca="1" si="86"/>
        <v>0</v>
      </c>
      <c r="DA86" s="35">
        <f ca="1">_xll.RiskBinomial(1,CZ86)</f>
        <v>0</v>
      </c>
      <c r="DB86" s="88">
        <f ca="1">IF(DA86=1,_xll.RiskBinomial(1,Prob_Illness_Given_Infection),0)</f>
        <v>0</v>
      </c>
      <c r="DD86" s="87">
        <f t="shared" ca="1" si="120"/>
        <v>1.1493697843915081E-8</v>
      </c>
      <c r="DE86" s="37">
        <f ca="1">INT(DD86) + _xll.RiskBinomial(1,DD86-INT(DD86))</f>
        <v>0</v>
      </c>
      <c r="DF86" s="30">
        <f t="shared" ca="1" si="87"/>
        <v>0</v>
      </c>
      <c r="DG86" s="35">
        <f ca="1">_xll.RiskBinomial(1,DF86)</f>
        <v>0</v>
      </c>
      <c r="DH86" s="88">
        <f ca="1">IF(DG86=1,_xll.RiskBinomial(1,Prob_Illness_Given_Infection),0)</f>
        <v>0</v>
      </c>
      <c r="DJ86" s="87">
        <f t="shared" ca="1" si="121"/>
        <v>1.8767613795510649E-5</v>
      </c>
      <c r="DK86" s="37">
        <f ca="1">INT(DJ86) + _xll.RiskBinomial(1,DJ86-INT(DJ86))</f>
        <v>0</v>
      </c>
      <c r="DL86" s="30">
        <f t="shared" ca="1" si="88"/>
        <v>0</v>
      </c>
      <c r="DM86" s="35">
        <f ca="1">_xll.RiskBinomial(1,DL86)</f>
        <v>0</v>
      </c>
      <c r="DN86" s="88">
        <f ca="1">IF(DM86=1,_xll.RiskBinomial(1,Prob_Illness_Given_Infection),0)</f>
        <v>0</v>
      </c>
      <c r="DP86" s="87">
        <f t="shared" ca="1" si="122"/>
        <v>4.4365671765416885E-9</v>
      </c>
      <c r="DQ86" s="37">
        <f ca="1">INT(DP86) + _xll.RiskBinomial(1,DP86-INT(DP86))</f>
        <v>0</v>
      </c>
      <c r="DR86" s="30">
        <f t="shared" ca="1" si="89"/>
        <v>0</v>
      </c>
      <c r="DS86" s="35">
        <f ca="1">_xll.RiskBinomial(1,DR86)</f>
        <v>0</v>
      </c>
      <c r="DT86" s="88">
        <f ca="1">IF(DS86=1,_xll.RiskBinomial(1,Prob_Illness_Given_Infection),0)</f>
        <v>0</v>
      </c>
      <c r="DV86" s="87">
        <f t="shared" ca="1" si="123"/>
        <v>6.2458257448013284E-8</v>
      </c>
      <c r="DW86" s="37">
        <f ca="1">INT(DV86) + _xll.RiskBinomial(1,DV86-INT(DV86))</f>
        <v>0</v>
      </c>
      <c r="DX86" s="30">
        <f t="shared" ca="1" si="90"/>
        <v>0</v>
      </c>
      <c r="DY86" s="35">
        <f ca="1">_xll.RiskBinomial(1,DX86)</f>
        <v>0</v>
      </c>
      <c r="DZ86" s="88">
        <f ca="1">IF(DY86=1,_xll.RiskBinomial(1,Prob_Illness_Given_Infection),0)</f>
        <v>0</v>
      </c>
      <c r="EB86" s="87">
        <f t="shared" ca="1" si="124"/>
        <v>1.5672801186141223E-11</v>
      </c>
      <c r="EC86" s="37">
        <f ca="1">INT(EB86) + _xll.RiskBinomial(1,EB86-INT(EB86))</f>
        <v>0</v>
      </c>
      <c r="ED86" s="30">
        <f t="shared" ca="1" si="91"/>
        <v>0</v>
      </c>
      <c r="EE86" s="35">
        <f ca="1">_xll.RiskBinomial(1,ED86)</f>
        <v>0</v>
      </c>
      <c r="EF86" s="88">
        <f ca="1">IF(EE86=1,_xll.RiskBinomial(1,Prob_Illness_Given_Infection),0)</f>
        <v>0</v>
      </c>
      <c r="EH86" s="87">
        <f t="shared" ca="1" si="125"/>
        <v>1.5672801186125109E-11</v>
      </c>
      <c r="EI86" s="37">
        <f ca="1">INT(EH86) + _xll.RiskBinomial(1,EH86-INT(EH86))</f>
        <v>0</v>
      </c>
      <c r="EJ86" s="30">
        <f t="shared" ca="1" si="92"/>
        <v>0</v>
      </c>
      <c r="EK86" s="35">
        <f ca="1">_xll.RiskBinomial(1,EJ86)</f>
        <v>0</v>
      </c>
      <c r="EL86" s="88">
        <f ca="1">IF(EK86=1,_xll.RiskBinomial(1,Prob_Illness_Given_Infection),0)</f>
        <v>0</v>
      </c>
      <c r="EN86" s="87">
        <f t="shared" ca="1" si="126"/>
        <v>1.4300484869435378E-9</v>
      </c>
      <c r="EO86" s="37">
        <f ca="1">INT(EN86) + _xll.RiskBinomial(1,EN86-INT(EN86))</f>
        <v>0</v>
      </c>
      <c r="EP86" s="30">
        <f t="shared" ca="1" si="93"/>
        <v>0</v>
      </c>
      <c r="EQ86" s="35">
        <f ca="1">_xll.RiskBinomial(1,EP86)</f>
        <v>0</v>
      </c>
      <c r="ER86" s="88">
        <f ca="1">IF(EQ86=1,_xll.RiskBinomial(1,Prob_Illness_Given_Infection),0)</f>
        <v>0</v>
      </c>
      <c r="ET86" s="87">
        <f t="shared" ca="1" si="127"/>
        <v>1.5672801186110165E-11</v>
      </c>
      <c r="EU86" s="37">
        <f ca="1">INT(ET86) + _xll.RiskBinomial(1,ET86-INT(ET86))</f>
        <v>0</v>
      </c>
      <c r="EV86" s="30">
        <f t="shared" ca="1" si="94"/>
        <v>0</v>
      </c>
      <c r="EW86" s="35">
        <f ca="1">_xll.RiskBinomial(1,EV86)</f>
        <v>0</v>
      </c>
      <c r="EX86" s="88">
        <f ca="1">IF(EW86=1,_xll.RiskBinomial(1,Prob_Illness_Given_Infection),0)</f>
        <v>0</v>
      </c>
      <c r="EZ86" s="87">
        <f t="shared" ca="1" si="128"/>
        <v>1.1820745521241721E-4</v>
      </c>
      <c r="FA86" s="37">
        <f ca="1">INT(EZ86) + _xll.RiskBinomial(1,EZ86-INT(EZ86))</f>
        <v>0</v>
      </c>
      <c r="FB86" s="30">
        <f t="shared" ca="1" si="95"/>
        <v>0</v>
      </c>
      <c r="FC86" s="35">
        <f ca="1">_xll.RiskBinomial(1,FB86)</f>
        <v>0</v>
      </c>
      <c r="FD86" s="88">
        <f ca="1">IF(FC86=1,_xll.RiskBinomial(1,Prob_Illness_Given_Infection),0)</f>
        <v>0</v>
      </c>
      <c r="FF86" s="87">
        <f t="shared" ca="1" si="129"/>
        <v>8.2341984528735697E-4</v>
      </c>
      <c r="FG86" s="37">
        <f ca="1">INT(FF86) + _xll.RiskBinomial(1,FF86-INT(FF86))</f>
        <v>0</v>
      </c>
      <c r="FH86" s="30">
        <f t="shared" ca="1" si="96"/>
        <v>0</v>
      </c>
      <c r="FI86" s="35">
        <f ca="1">_xll.RiskBinomial(1,FH86)</f>
        <v>0</v>
      </c>
      <c r="FJ86" s="88">
        <f ca="1">IF(FI86=1,_xll.RiskBinomial(1,Prob_Illness_Given_Infection),0)</f>
        <v>0</v>
      </c>
      <c r="FL86" s="87" t="e">
        <f t="shared" ca="1" si="130"/>
        <v>#NAME?</v>
      </c>
      <c r="FM86" s="37" t="e">
        <f ca="1">INT(FL86) + _xll.RiskBinomial(1,FL86-INT(FL86))</f>
        <v>#NAME?</v>
      </c>
      <c r="FN86" s="30" t="e">
        <f t="shared" ca="1" si="97"/>
        <v>#NAME?</v>
      </c>
      <c r="FO86" s="35" t="e">
        <f ca="1">_xll.RiskBinomial(1,FN86)</f>
        <v>#VALUE!</v>
      </c>
      <c r="FP86" s="88" t="e">
        <f ca="1">IF(FO86=1,_xll.RiskBinomial(1,Prob_Illness_Given_Infection),0)</f>
        <v>#VALUE!</v>
      </c>
      <c r="FR86" s="87" t="e">
        <f t="shared" ca="1" si="131"/>
        <v>#NAME?</v>
      </c>
      <c r="FS86" s="37" t="e">
        <f ca="1">INT(FR86) + _xll.RiskBinomial(1,FR86-INT(FR86))</f>
        <v>#NAME?</v>
      </c>
      <c r="FT86" s="30" t="e">
        <f t="shared" ca="1" si="98"/>
        <v>#NAME?</v>
      </c>
      <c r="FU86" s="35" t="e">
        <f ca="1">_xll.RiskBinomial(1,FT86)</f>
        <v>#VALUE!</v>
      </c>
      <c r="FV86" s="88" t="e">
        <f ca="1">IF(FU86=1,_xll.RiskBinomial(1,Prob_Illness_Given_Infection),0)</f>
        <v>#VALUE!</v>
      </c>
      <c r="FX86" s="87">
        <f t="shared" ca="1" si="132"/>
        <v>1.654682715807369E-6</v>
      </c>
      <c r="FY86" s="37">
        <f ca="1">INT(FX86) + _xll.RiskBinomial(1,FX86-INT(FX86))</f>
        <v>0</v>
      </c>
      <c r="FZ86" s="30">
        <f t="shared" ca="1" si="99"/>
        <v>0</v>
      </c>
      <c r="GA86" s="35">
        <f ca="1">_xll.RiskBinomial(1,FZ86)</f>
        <v>0</v>
      </c>
      <c r="GB86" s="88">
        <f ca="1">IF(GA86=1,_xll.RiskBinomial(1,Prob_Illness_Given_Infection),0)</f>
        <v>0</v>
      </c>
      <c r="GD86" s="87" t="e">
        <f t="shared" ca="1" si="133"/>
        <v>#NAME?</v>
      </c>
      <c r="GE86" s="37" t="e">
        <f ca="1">INT(GD86) + _xll.RiskBinomial(1,GD86-INT(GD86))</f>
        <v>#NAME?</v>
      </c>
      <c r="GF86" s="30" t="e">
        <f t="shared" ca="1" si="100"/>
        <v>#NAME?</v>
      </c>
      <c r="GG86" s="35" t="e">
        <f ca="1">_xll.RiskBinomial(1,GF86)</f>
        <v>#VALUE!</v>
      </c>
      <c r="GH86" s="88" t="e">
        <f ca="1">IF(GG86=1,_xll.RiskBinomial(1,Prob_Illness_Given_Infection),0)</f>
        <v>#VALUE!</v>
      </c>
      <c r="GJ86" s="87" t="e">
        <f t="shared" ca="1" si="134"/>
        <v>#NAME?</v>
      </c>
      <c r="GK86" s="37" t="e">
        <f ca="1">INT(GJ86) + _xll.RiskBinomial(1,GJ86-INT(GJ86))</f>
        <v>#NAME?</v>
      </c>
      <c r="GL86" s="30" t="e">
        <f t="shared" ca="1" si="101"/>
        <v>#NAME?</v>
      </c>
      <c r="GM86" s="35" t="e">
        <f ca="1">_xll.RiskBinomial(1,GL86)</f>
        <v>#VALUE!</v>
      </c>
      <c r="GN86" s="88" t="e">
        <f ca="1">IF(GM86=1,_xll.RiskBinomial(1,Prob_Illness_Given_Infection),0)</f>
        <v>#VALUE!</v>
      </c>
      <c r="GP86" s="87" t="e">
        <f t="shared" ca="1" si="135"/>
        <v>#NAME?</v>
      </c>
      <c r="GQ86" s="37" t="e">
        <f ca="1">INT(GP86) + _xll.RiskBinomial(1,GP86-INT(GP86))</f>
        <v>#NAME?</v>
      </c>
      <c r="GR86" s="30" t="e">
        <f t="shared" ca="1" si="102"/>
        <v>#NAME?</v>
      </c>
      <c r="GS86" s="35" t="e">
        <f ca="1">_xll.RiskBinomial(1,GR86)</f>
        <v>#VALUE!</v>
      </c>
      <c r="GT86" s="88" t="e">
        <f ca="1">IF(GS86=1,_xll.RiskBinomial(1,Prob_Illness_Given_Infection),0)</f>
        <v>#VALUE!</v>
      </c>
    </row>
    <row r="87" spans="2:202">
      <c r="B87" s="108">
        <v>79</v>
      </c>
      <c r="C87" s="87">
        <f ca="1">_xll.RiskLoglogistic(LogLogistic_gamma, LogLogistic_beta, LogLogistic_alpha, _xll.RiskTruncate(5,800))</f>
        <v>82.912630888796016</v>
      </c>
      <c r="D87" s="38">
        <f t="shared" ca="1" si="69"/>
        <v>5.3264431635801985</v>
      </c>
      <c r="E87" s="30"/>
      <c r="F87" s="87">
        <f t="shared" ca="1" si="103"/>
        <v>1.9230547311342214E-9</v>
      </c>
      <c r="G87" s="37">
        <f ca="1">INT(F87) + _xll.RiskBinomial(1,F87-INT(F87))</f>
        <v>0</v>
      </c>
      <c r="H87" s="30">
        <f t="shared" ca="1" si="70"/>
        <v>0</v>
      </c>
      <c r="I87" s="35">
        <f ca="1">_xll.RiskBinomial(1,H87)</f>
        <v>0</v>
      </c>
      <c r="J87" s="88">
        <f ca="1">IF(I87=1,_xll.RiskBinomial(1,Prob_Illness_Given_Infection),0)</f>
        <v>0</v>
      </c>
      <c r="K87" s="30"/>
      <c r="L87" s="87">
        <f t="shared" ca="1" si="104"/>
        <v>9.8224624905710796E-5</v>
      </c>
      <c r="M87" s="37">
        <f ca="1">INT(L87) + _xll.RiskBinomial(1,L87-INT(L87))</f>
        <v>0</v>
      </c>
      <c r="N87" s="30">
        <f t="shared" ca="1" si="71"/>
        <v>0</v>
      </c>
      <c r="O87" s="35">
        <f ca="1">_xll.RiskBinomial(1,N87)</f>
        <v>0</v>
      </c>
      <c r="P87" s="88">
        <f ca="1">IF(O87=1,_xll.RiskBinomial(1,Prob_Illness_Given_Infection),0)</f>
        <v>0</v>
      </c>
      <c r="Q87" s="30"/>
      <c r="R87" s="87">
        <f t="shared" ca="1" si="105"/>
        <v>1.0154046368663486E-5</v>
      </c>
      <c r="S87" s="37">
        <f ca="1">INT(R87) + _xll.RiskBinomial(1,R87-INT(R87))</f>
        <v>0</v>
      </c>
      <c r="T87" s="30">
        <f t="shared" ca="1" si="72"/>
        <v>0</v>
      </c>
      <c r="U87" s="35">
        <f ca="1">_xll.RiskBinomial(1,T87)</f>
        <v>0</v>
      </c>
      <c r="V87" s="88">
        <f ca="1">IF(U87=1,_xll.RiskBinomial(1,Prob_Illness_Given_Infection),0)</f>
        <v>0</v>
      </c>
      <c r="W87" s="30"/>
      <c r="X87" s="87">
        <f t="shared" ca="1" si="106"/>
        <v>4.1715468031363495E-12</v>
      </c>
      <c r="Y87" s="37">
        <f ca="1">INT(X87) + _xll.RiskBinomial(1,X87-INT(X87))</f>
        <v>0</v>
      </c>
      <c r="Z87" s="30">
        <f t="shared" ca="1" si="73"/>
        <v>0</v>
      </c>
      <c r="AA87" s="35">
        <f ca="1">_xll.RiskBinomial(1,Z87)</f>
        <v>0</v>
      </c>
      <c r="AB87" s="88">
        <f ca="1">IF(AA87=1,_xll.RiskBinomial(1,Prob_Illness_Given_Infection),0)</f>
        <v>0</v>
      </c>
      <c r="AC87" s="30"/>
      <c r="AD87" s="87">
        <f t="shared" ca="1" si="107"/>
        <v>2.101699159712887E-12</v>
      </c>
      <c r="AE87" s="37">
        <f ca="1">INT(AD87) + _xll.RiskBinomial(1,AD87-INT(AD87))</f>
        <v>0</v>
      </c>
      <c r="AF87" s="30">
        <f t="shared" ca="1" si="74"/>
        <v>0</v>
      </c>
      <c r="AG87" s="35">
        <f ca="1">_xll.RiskBinomial(1,AF87)</f>
        <v>0</v>
      </c>
      <c r="AH87" s="88">
        <f ca="1">IF(AG87=1,_xll.RiskBinomial(1,Prob_Illness_Given_Infection),0)</f>
        <v>0</v>
      </c>
      <c r="AI87" s="30"/>
      <c r="AJ87" s="87">
        <f t="shared" ca="1" si="108"/>
        <v>9.7555458772763469E-5</v>
      </c>
      <c r="AK87" s="37">
        <f ca="1">INT(AJ87) + _xll.RiskBinomial(1,AJ87-INT(AJ87))</f>
        <v>0</v>
      </c>
      <c r="AL87" s="30">
        <f t="shared" ca="1" si="75"/>
        <v>0</v>
      </c>
      <c r="AM87" s="35">
        <f ca="1">_xll.RiskBinomial(1,AL87)</f>
        <v>0</v>
      </c>
      <c r="AN87" s="88">
        <f ca="1">IF(AM87=1,_xll.RiskBinomial(1,Prob_Illness_Given_Infection),0)</f>
        <v>0</v>
      </c>
      <c r="AO87" s="30"/>
      <c r="AP87" s="87">
        <f t="shared" ca="1" si="109"/>
        <v>2.3724544885965172E-9</v>
      </c>
      <c r="AQ87" s="37">
        <f ca="1">INT(AP87) + _xll.RiskBinomial(1,AP87-INT(AP87))</f>
        <v>0</v>
      </c>
      <c r="AR87" s="30">
        <f t="shared" ca="1" si="76"/>
        <v>0</v>
      </c>
      <c r="AS87" s="35">
        <f ca="1">_xll.RiskBinomial(1,AR87)</f>
        <v>0</v>
      </c>
      <c r="AT87" s="88">
        <f ca="1">IF(AS87=1,_xll.RiskBinomial(1,Prob_Illness_Given_Infection),0)</f>
        <v>0</v>
      </c>
      <c r="AU87" s="30"/>
      <c r="AV87" s="87">
        <f t="shared" ca="1" si="110"/>
        <v>5.5039709068760758E-5</v>
      </c>
      <c r="AW87" s="37">
        <f ca="1">INT(AV87) + _xll.RiskBinomial(1,AV87-INT(AV87))</f>
        <v>0</v>
      </c>
      <c r="AX87" s="30">
        <f t="shared" ca="1" si="77"/>
        <v>0</v>
      </c>
      <c r="AY87" s="35">
        <f ca="1">_xll.RiskBinomial(1,AX87)</f>
        <v>0</v>
      </c>
      <c r="AZ87" s="88">
        <f ca="1">IF(AY87=1,_xll.RiskBinomial(1,Prob_Illness_Given_Infection),0)</f>
        <v>0</v>
      </c>
      <c r="BB87" s="87">
        <f t="shared" ca="1" si="111"/>
        <v>7.5542544386640045E-5</v>
      </c>
      <c r="BC87" s="37">
        <f ca="1">INT(BB87) + _xll.RiskBinomial(1,BB87-INT(BB87))</f>
        <v>0</v>
      </c>
      <c r="BD87" s="30">
        <f t="shared" ca="1" si="78"/>
        <v>0</v>
      </c>
      <c r="BE87" s="35">
        <f ca="1">_xll.RiskBinomial(1,BD87)</f>
        <v>0</v>
      </c>
      <c r="BF87" s="88">
        <f ca="1">IF(BE87=1,_xll.RiskBinomial(1,Prob_Illness_Given_Infection),0)</f>
        <v>0</v>
      </c>
      <c r="BH87" s="87">
        <f t="shared" ca="1" si="112"/>
        <v>9.564226562297742E-5</v>
      </c>
      <c r="BI87" s="37">
        <f ca="1">INT(BH87) + _xll.RiskBinomial(1,BH87-INT(BH87))</f>
        <v>0</v>
      </c>
      <c r="BJ87" s="30">
        <f t="shared" ca="1" si="79"/>
        <v>0</v>
      </c>
      <c r="BK87" s="35">
        <f ca="1">_xll.RiskBinomial(1,BJ87)</f>
        <v>0</v>
      </c>
      <c r="BL87" s="88">
        <f ca="1">IF(BK87=1,_xll.RiskBinomial(1,Prob_Illness_Given_Infection),0)</f>
        <v>0</v>
      </c>
      <c r="BN87" s="87">
        <f t="shared" ca="1" si="113"/>
        <v>7.2789217632388304E-6</v>
      </c>
      <c r="BO87" s="37">
        <f ca="1">INT(BN87) + _xll.RiskBinomial(1,BN87-INT(BN87))</f>
        <v>0</v>
      </c>
      <c r="BP87" s="30">
        <f t="shared" ca="1" si="80"/>
        <v>0</v>
      </c>
      <c r="BQ87" s="35">
        <f ca="1">_xll.RiskBinomial(1,BP87)</f>
        <v>0</v>
      </c>
      <c r="BR87" s="88">
        <f ca="1">IF(BQ87=1,_xll.RiskBinomial(1,Prob_Illness_Given_Infection),0)</f>
        <v>0</v>
      </c>
      <c r="BT87" s="87">
        <f t="shared" ca="1" si="114"/>
        <v>2.1887640790225134E-5</v>
      </c>
      <c r="BU87" s="37">
        <f ca="1">INT(BT87) + _xll.RiskBinomial(1,BT87-INT(BT87))</f>
        <v>0</v>
      </c>
      <c r="BV87" s="30">
        <f t="shared" ca="1" si="81"/>
        <v>0</v>
      </c>
      <c r="BW87" s="35">
        <f ca="1">_xll.RiskBinomial(1,BV87)</f>
        <v>0</v>
      </c>
      <c r="BX87" s="88">
        <f ca="1">IF(BW87=1,_xll.RiskBinomial(1,Prob_Illness_Given_Infection),0)</f>
        <v>0</v>
      </c>
      <c r="BZ87" s="87">
        <f t="shared" ca="1" si="115"/>
        <v>6.0001401536882815E-5</v>
      </c>
      <c r="CA87" s="37">
        <f ca="1">INT(BZ87) + _xll.RiskBinomial(1,BZ87-INT(BZ87))</f>
        <v>0</v>
      </c>
      <c r="CB87" s="30">
        <f t="shared" ca="1" si="82"/>
        <v>0</v>
      </c>
      <c r="CC87" s="35">
        <f ca="1">_xll.RiskBinomial(1,CB87)</f>
        <v>0</v>
      </c>
      <c r="CD87" s="88">
        <f ca="1">IF(CC87=1,_xll.RiskBinomial(1,Prob_Illness_Given_Infection),0)</f>
        <v>0</v>
      </c>
      <c r="CF87" s="87">
        <f t="shared" ca="1" si="116"/>
        <v>1.1384665373713737E-5</v>
      </c>
      <c r="CG87" s="37">
        <f ca="1">INT(CF87) + _xll.RiskBinomial(1,CF87-INT(CF87))</f>
        <v>0</v>
      </c>
      <c r="CH87" s="30">
        <f t="shared" ca="1" si="83"/>
        <v>0</v>
      </c>
      <c r="CI87" s="35">
        <f ca="1">_xll.RiskBinomial(1,CH87)</f>
        <v>0</v>
      </c>
      <c r="CJ87" s="88">
        <f ca="1">IF(CI87=1,_xll.RiskBinomial(1,Prob_Illness_Given_Infection),0)</f>
        <v>0</v>
      </c>
      <c r="CL87" s="87">
        <f t="shared" ca="1" si="117"/>
        <v>2.1969216970160499E-5</v>
      </c>
      <c r="CM87" s="37">
        <f ca="1">INT(CL87) + _xll.RiskBinomial(1,CL87-INT(CL87))</f>
        <v>0</v>
      </c>
      <c r="CN87" s="30">
        <f t="shared" ca="1" si="84"/>
        <v>0</v>
      </c>
      <c r="CO87" s="35">
        <f ca="1">_xll.RiskBinomial(1,CN87)</f>
        <v>0</v>
      </c>
      <c r="CP87" s="88">
        <f ca="1">IF(CO87=1,_xll.RiskBinomial(1,Prob_Illness_Given_Infection),0)</f>
        <v>0</v>
      </c>
      <c r="CR87" s="87">
        <f t="shared" ca="1" si="118"/>
        <v>1.514051939567909E-7</v>
      </c>
      <c r="CS87" s="37">
        <f ca="1">INT(CR87) + _xll.RiskBinomial(1,CR87-INT(CR87))</f>
        <v>0</v>
      </c>
      <c r="CT87" s="30">
        <f t="shared" ca="1" si="85"/>
        <v>0</v>
      </c>
      <c r="CU87" s="35">
        <f ca="1">_xll.RiskBinomial(1,CT87)</f>
        <v>0</v>
      </c>
      <c r="CV87" s="88">
        <f ca="1">IF(CU87=1,_xll.RiskBinomial(1,Prob_Illness_Given_Infection),0)</f>
        <v>0</v>
      </c>
      <c r="CX87" s="87">
        <f t="shared" ca="1" si="119"/>
        <v>1.5412876622146143E-9</v>
      </c>
      <c r="CY87" s="37">
        <f ca="1">INT(CX87) + _xll.RiskBinomial(1,CX87-INT(CX87))</f>
        <v>0</v>
      </c>
      <c r="CZ87" s="30">
        <f t="shared" ca="1" si="86"/>
        <v>0</v>
      </c>
      <c r="DA87" s="35">
        <f ca="1">_xll.RiskBinomial(1,CZ87)</f>
        <v>0</v>
      </c>
      <c r="DB87" s="88">
        <f ca="1">IF(DA87=1,_xll.RiskBinomial(1,Prob_Illness_Given_Infection),0)</f>
        <v>0</v>
      </c>
      <c r="DD87" s="87">
        <f t="shared" ca="1" si="120"/>
        <v>1.5412876622146143E-9</v>
      </c>
      <c r="DE87" s="37">
        <f ca="1">INT(DD87) + _xll.RiskBinomial(1,DD87-INT(DD87))</f>
        <v>0</v>
      </c>
      <c r="DF87" s="30">
        <f t="shared" ca="1" si="87"/>
        <v>0</v>
      </c>
      <c r="DG87" s="35">
        <f ca="1">_xll.RiskBinomial(1,DF87)</f>
        <v>0</v>
      </c>
      <c r="DH87" s="88">
        <f ca="1">IF(DG87=1,_xll.RiskBinomial(1,Prob_Illness_Given_Infection),0)</f>
        <v>0</v>
      </c>
      <c r="DJ87" s="87">
        <f t="shared" ca="1" si="121"/>
        <v>2.5167088943044832E-6</v>
      </c>
      <c r="DK87" s="37">
        <f ca="1">INT(DJ87) + _xll.RiskBinomial(1,DJ87-INT(DJ87))</f>
        <v>0</v>
      </c>
      <c r="DL87" s="30">
        <f t="shared" ca="1" si="88"/>
        <v>0</v>
      </c>
      <c r="DM87" s="35">
        <f ca="1">_xll.RiskBinomial(1,DL87)</f>
        <v>0</v>
      </c>
      <c r="DN87" s="88">
        <f ca="1">IF(DM87=1,_xll.RiskBinomial(1,Prob_Illness_Given_Infection),0)</f>
        <v>0</v>
      </c>
      <c r="DP87" s="87">
        <f t="shared" ca="1" si="122"/>
        <v>5.9493701197392915E-10</v>
      </c>
      <c r="DQ87" s="37">
        <f ca="1">INT(DP87) + _xll.RiskBinomial(1,DP87-INT(DP87))</f>
        <v>0</v>
      </c>
      <c r="DR87" s="30">
        <f t="shared" ca="1" si="89"/>
        <v>0</v>
      </c>
      <c r="DS87" s="35">
        <f ca="1">_xll.RiskBinomial(1,DR87)</f>
        <v>0</v>
      </c>
      <c r="DT87" s="88">
        <f ca="1">IF(DS87=1,_xll.RiskBinomial(1,Prob_Illness_Given_Infection),0)</f>
        <v>0</v>
      </c>
      <c r="DV87" s="87">
        <f t="shared" ca="1" si="123"/>
        <v>8.3755587553583974E-9</v>
      </c>
      <c r="DW87" s="37">
        <f ca="1">INT(DV87) + _xll.RiskBinomial(1,DV87-INT(DV87))</f>
        <v>0</v>
      </c>
      <c r="DX87" s="30">
        <f t="shared" ca="1" si="90"/>
        <v>0</v>
      </c>
      <c r="DY87" s="35">
        <f ca="1">_xll.RiskBinomial(1,DX87)</f>
        <v>0</v>
      </c>
      <c r="DZ87" s="88">
        <f ca="1">IF(DY87=1,_xll.RiskBinomial(1,Prob_Illness_Given_Infection),0)</f>
        <v>0</v>
      </c>
      <c r="EB87" s="87">
        <f t="shared" ca="1" si="124"/>
        <v>2.1016991597121814E-12</v>
      </c>
      <c r="EC87" s="37">
        <f ca="1">INT(EB87) + _xll.RiskBinomial(1,EB87-INT(EB87))</f>
        <v>0</v>
      </c>
      <c r="ED87" s="30">
        <f t="shared" ca="1" si="91"/>
        <v>0</v>
      </c>
      <c r="EE87" s="35">
        <f ca="1">_xll.RiskBinomial(1,ED87)</f>
        <v>0</v>
      </c>
      <c r="EF87" s="88">
        <f ca="1">IF(EE87=1,_xll.RiskBinomial(1,Prob_Illness_Given_Infection),0)</f>
        <v>0</v>
      </c>
      <c r="EH87" s="87">
        <f t="shared" ca="1" si="125"/>
        <v>2.1016991597100205E-12</v>
      </c>
      <c r="EI87" s="37">
        <f ca="1">INT(EH87) + _xll.RiskBinomial(1,EH87-INT(EH87))</f>
        <v>0</v>
      </c>
      <c r="EJ87" s="30">
        <f t="shared" ca="1" si="92"/>
        <v>0</v>
      </c>
      <c r="EK87" s="35">
        <f ca="1">_xll.RiskBinomial(1,EJ87)</f>
        <v>0</v>
      </c>
      <c r="EL87" s="88">
        <f ca="1">IF(EK87=1,_xll.RiskBinomial(1,Prob_Illness_Given_Infection),0)</f>
        <v>0</v>
      </c>
      <c r="EN87" s="87">
        <f t="shared" ca="1" si="126"/>
        <v>1.9176735975025135E-10</v>
      </c>
      <c r="EO87" s="37">
        <f ca="1">INT(EN87) + _xll.RiskBinomial(1,EN87-INT(EN87))</f>
        <v>0</v>
      </c>
      <c r="EP87" s="30">
        <f t="shared" ca="1" si="93"/>
        <v>0</v>
      </c>
      <c r="EQ87" s="35">
        <f ca="1">_xll.RiskBinomial(1,EP87)</f>
        <v>0</v>
      </c>
      <c r="ER87" s="88">
        <f ca="1">IF(EQ87=1,_xll.RiskBinomial(1,Prob_Illness_Given_Infection),0)</f>
        <v>0</v>
      </c>
      <c r="ET87" s="87">
        <f t="shared" ca="1" si="127"/>
        <v>2.1016991597080164E-12</v>
      </c>
      <c r="EU87" s="37">
        <f ca="1">INT(ET87) + _xll.RiskBinomial(1,ET87-INT(ET87))</f>
        <v>0</v>
      </c>
      <c r="EV87" s="30">
        <f t="shared" ca="1" si="94"/>
        <v>0</v>
      </c>
      <c r="EW87" s="35">
        <f ca="1">_xll.RiskBinomial(1,EV87)</f>
        <v>0</v>
      </c>
      <c r="EX87" s="88">
        <f ca="1">IF(EW87=1,_xll.RiskBinomial(1,Prob_Illness_Given_Infection),0)</f>
        <v>0</v>
      </c>
      <c r="EZ87" s="87">
        <f t="shared" ca="1" si="128"/>
        <v>1.5851442657955377E-5</v>
      </c>
      <c r="FA87" s="37">
        <f ca="1">INT(EZ87) + _xll.RiskBinomial(1,EZ87-INT(EZ87))</f>
        <v>0</v>
      </c>
      <c r="FB87" s="30">
        <f t="shared" ca="1" si="95"/>
        <v>0</v>
      </c>
      <c r="FC87" s="35">
        <f ca="1">_xll.RiskBinomial(1,FB87)</f>
        <v>0</v>
      </c>
      <c r="FD87" s="88">
        <f ca="1">IF(FC87=1,_xll.RiskBinomial(1,Prob_Illness_Given_Infection),0)</f>
        <v>0</v>
      </c>
      <c r="FF87" s="87">
        <f t="shared" ca="1" si="129"/>
        <v>1.1041936769165744E-4</v>
      </c>
      <c r="FG87" s="37">
        <f ca="1">INT(FF87) + _xll.RiskBinomial(1,FF87-INT(FF87))</f>
        <v>0</v>
      </c>
      <c r="FH87" s="30">
        <f t="shared" ca="1" si="96"/>
        <v>0</v>
      </c>
      <c r="FI87" s="35">
        <f ca="1">_xll.RiskBinomial(1,FH87)</f>
        <v>0</v>
      </c>
      <c r="FJ87" s="88">
        <f ca="1">IF(FI87=1,_xll.RiskBinomial(1,Prob_Illness_Given_Infection),0)</f>
        <v>0</v>
      </c>
      <c r="FL87" s="87" t="e">
        <f t="shared" ca="1" si="130"/>
        <v>#NAME?</v>
      </c>
      <c r="FM87" s="37" t="e">
        <f ca="1">INT(FL87) + _xll.RiskBinomial(1,FL87-INT(FL87))</f>
        <v>#NAME?</v>
      </c>
      <c r="FN87" s="30" t="e">
        <f t="shared" ca="1" si="97"/>
        <v>#NAME?</v>
      </c>
      <c r="FO87" s="35" t="e">
        <f ca="1">_xll.RiskBinomial(1,FN87)</f>
        <v>#VALUE!</v>
      </c>
      <c r="FP87" s="88" t="e">
        <f ca="1">IF(FO87=1,_xll.RiskBinomial(1,Prob_Illness_Given_Infection),0)</f>
        <v>#VALUE!</v>
      </c>
      <c r="FR87" s="87" t="e">
        <f t="shared" ca="1" si="131"/>
        <v>#NAME?</v>
      </c>
      <c r="FS87" s="37" t="e">
        <f ca="1">INT(FR87) + _xll.RiskBinomial(1,FR87-INT(FR87))</f>
        <v>#NAME?</v>
      </c>
      <c r="FT87" s="30" t="e">
        <f t="shared" ca="1" si="98"/>
        <v>#NAME?</v>
      </c>
      <c r="FU87" s="35" t="e">
        <f ca="1">_xll.RiskBinomial(1,FT87)</f>
        <v>#VALUE!</v>
      </c>
      <c r="FV87" s="88" t="e">
        <f ca="1">IF(FU87=1,_xll.RiskBinomial(1,Prob_Illness_Given_Infection),0)</f>
        <v>#VALUE!</v>
      </c>
      <c r="FX87" s="87">
        <f t="shared" ca="1" si="132"/>
        <v>2.2189047331741488E-7</v>
      </c>
      <c r="FY87" s="37">
        <f ca="1">INT(FX87) + _xll.RiskBinomial(1,FX87-INT(FX87))</f>
        <v>0</v>
      </c>
      <c r="FZ87" s="30">
        <f t="shared" ca="1" si="99"/>
        <v>0</v>
      </c>
      <c r="GA87" s="35">
        <f ca="1">_xll.RiskBinomial(1,FZ87)</f>
        <v>0</v>
      </c>
      <c r="GB87" s="88">
        <f ca="1">IF(GA87=1,_xll.RiskBinomial(1,Prob_Illness_Given_Infection),0)</f>
        <v>0</v>
      </c>
      <c r="GD87" s="87" t="e">
        <f t="shared" ca="1" si="133"/>
        <v>#NAME?</v>
      </c>
      <c r="GE87" s="37" t="e">
        <f ca="1">INT(GD87) + _xll.RiskBinomial(1,GD87-INT(GD87))</f>
        <v>#NAME?</v>
      </c>
      <c r="GF87" s="30" t="e">
        <f t="shared" ca="1" si="100"/>
        <v>#NAME?</v>
      </c>
      <c r="GG87" s="35" t="e">
        <f ca="1">_xll.RiskBinomial(1,GF87)</f>
        <v>#VALUE!</v>
      </c>
      <c r="GH87" s="88" t="e">
        <f ca="1">IF(GG87=1,_xll.RiskBinomial(1,Prob_Illness_Given_Infection),0)</f>
        <v>#VALUE!</v>
      </c>
      <c r="GJ87" s="87" t="e">
        <f t="shared" ca="1" si="134"/>
        <v>#NAME?</v>
      </c>
      <c r="GK87" s="37" t="e">
        <f ca="1">INT(GJ87) + _xll.RiskBinomial(1,GJ87-INT(GJ87))</f>
        <v>#NAME?</v>
      </c>
      <c r="GL87" s="30" t="e">
        <f t="shared" ca="1" si="101"/>
        <v>#NAME?</v>
      </c>
      <c r="GM87" s="35" t="e">
        <f ca="1">_xll.RiskBinomial(1,GL87)</f>
        <v>#VALUE!</v>
      </c>
      <c r="GN87" s="88" t="e">
        <f ca="1">IF(GM87=1,_xll.RiskBinomial(1,Prob_Illness_Given_Infection),0)</f>
        <v>#VALUE!</v>
      </c>
      <c r="GP87" s="87" t="e">
        <f t="shared" ca="1" si="135"/>
        <v>#NAME?</v>
      </c>
      <c r="GQ87" s="37" t="e">
        <f ca="1">INT(GP87) + _xll.RiskBinomial(1,GP87-INT(GP87))</f>
        <v>#NAME?</v>
      </c>
      <c r="GR87" s="30" t="e">
        <f t="shared" ca="1" si="102"/>
        <v>#NAME?</v>
      </c>
      <c r="GS87" s="35" t="e">
        <f ca="1">_xll.RiskBinomial(1,GR87)</f>
        <v>#VALUE!</v>
      </c>
      <c r="GT87" s="88" t="e">
        <f ca="1">IF(GS87=1,_xll.RiskBinomial(1,Prob_Illness_Given_Infection),0)</f>
        <v>#VALUE!</v>
      </c>
    </row>
    <row r="88" spans="2:202">
      <c r="B88" s="108">
        <v>80</v>
      </c>
      <c r="C88" s="87">
        <f ca="1">_xll.RiskLoglogistic(LogLogistic_gamma, LogLogistic_beta, LogLogistic_alpha, _xll.RiskTruncate(5,800))</f>
        <v>70.572365337319539</v>
      </c>
      <c r="D88" s="38">
        <f t="shared" ca="1" si="69"/>
        <v>4.5336842994743893</v>
      </c>
      <c r="E88" s="30"/>
      <c r="F88" s="87">
        <f t="shared" ca="1" si="103"/>
        <v>1.6368377121127411E-9</v>
      </c>
      <c r="G88" s="37">
        <f ca="1">INT(F88) + _xll.RiskBinomial(1,F88-INT(F88))</f>
        <v>0</v>
      </c>
      <c r="H88" s="30">
        <f t="shared" ca="1" si="70"/>
        <v>0</v>
      </c>
      <c r="I88" s="35">
        <f ca="1">_xll.RiskBinomial(1,H88)</f>
        <v>0</v>
      </c>
      <c r="J88" s="88">
        <f ca="1">IF(I88=1,_xll.RiskBinomial(1,Prob_Illness_Given_Infection),0)</f>
        <v>0</v>
      </c>
      <c r="K88" s="30"/>
      <c r="L88" s="87">
        <f t="shared" ca="1" si="104"/>
        <v>8.3605405348483643E-5</v>
      </c>
      <c r="M88" s="37">
        <f ca="1">INT(L88) + _xll.RiskBinomial(1,L88-INT(L88))</f>
        <v>0</v>
      </c>
      <c r="N88" s="30">
        <f t="shared" ca="1" si="71"/>
        <v>0</v>
      </c>
      <c r="O88" s="35">
        <f ca="1">_xll.RiskBinomial(1,N88)</f>
        <v>0</v>
      </c>
      <c r="P88" s="88">
        <f ca="1">IF(O88=1,_xll.RiskBinomial(1,Prob_Illness_Given_Infection),0)</f>
        <v>0</v>
      </c>
      <c r="Q88" s="30"/>
      <c r="R88" s="87">
        <f t="shared" ca="1" si="105"/>
        <v>8.6427732698834884E-6</v>
      </c>
      <c r="S88" s="37">
        <f ca="1">INT(R88) + _xll.RiskBinomial(1,R88-INT(R88))</f>
        <v>0</v>
      </c>
      <c r="T88" s="30">
        <f t="shared" ca="1" si="72"/>
        <v>0</v>
      </c>
      <c r="U88" s="35">
        <f ca="1">_xll.RiskBinomial(1,T88)</f>
        <v>0</v>
      </c>
      <c r="V88" s="88">
        <f ca="1">IF(U88=1,_xll.RiskBinomial(1,Prob_Illness_Given_Infection),0)</f>
        <v>0</v>
      </c>
      <c r="W88" s="30"/>
      <c r="X88" s="87">
        <f t="shared" ca="1" si="106"/>
        <v>3.5506764392450069E-12</v>
      </c>
      <c r="Y88" s="37">
        <f ca="1">INT(X88) + _xll.RiskBinomial(1,X88-INT(X88))</f>
        <v>0</v>
      </c>
      <c r="Z88" s="30">
        <f t="shared" ca="1" si="73"/>
        <v>0</v>
      </c>
      <c r="AA88" s="35">
        <f ca="1">_xll.RiskBinomial(1,Z88)</f>
        <v>0</v>
      </c>
      <c r="AB88" s="88">
        <f ca="1">IF(AA88=1,_xll.RiskBinomial(1,Prob_Illness_Given_Infection),0)</f>
        <v>0</v>
      </c>
      <c r="AC88" s="30"/>
      <c r="AD88" s="87">
        <f t="shared" ca="1" si="107"/>
        <v>1.7888936744430101E-12</v>
      </c>
      <c r="AE88" s="37">
        <f ca="1">INT(AD88) + _xll.RiskBinomial(1,AD88-INT(AD88))</f>
        <v>0</v>
      </c>
      <c r="AF88" s="30">
        <f t="shared" ca="1" si="74"/>
        <v>0</v>
      </c>
      <c r="AG88" s="35">
        <f ca="1">_xll.RiskBinomial(1,AF88)</f>
        <v>0</v>
      </c>
      <c r="AH88" s="88">
        <f ca="1">IF(AG88=1,_xll.RiskBinomial(1,Prob_Illness_Given_Infection),0)</f>
        <v>0</v>
      </c>
      <c r="AI88" s="30"/>
      <c r="AJ88" s="87">
        <f t="shared" ca="1" si="108"/>
        <v>8.3035834267461517E-5</v>
      </c>
      <c r="AK88" s="37">
        <f ca="1">INT(AJ88) + _xll.RiskBinomial(1,AJ88-INT(AJ88))</f>
        <v>0</v>
      </c>
      <c r="AL88" s="30">
        <f t="shared" ca="1" si="75"/>
        <v>0</v>
      </c>
      <c r="AM88" s="35">
        <f ca="1">_xll.RiskBinomial(1,AL88)</f>
        <v>0</v>
      </c>
      <c r="AN88" s="88">
        <f ca="1">IF(AM88=1,_xll.RiskBinomial(1,Prob_Illness_Given_Infection),0)</f>
        <v>0</v>
      </c>
      <c r="AO88" s="30"/>
      <c r="AP88" s="87">
        <f t="shared" ca="1" si="109"/>
        <v>2.019351251077256E-9</v>
      </c>
      <c r="AQ88" s="37">
        <f ca="1">INT(AP88) + _xll.RiskBinomial(1,AP88-INT(AP88))</f>
        <v>0</v>
      </c>
      <c r="AR88" s="30">
        <f t="shared" ca="1" si="76"/>
        <v>0</v>
      </c>
      <c r="AS88" s="35">
        <f ca="1">_xll.RiskBinomial(1,AR88)</f>
        <v>0</v>
      </c>
      <c r="AT88" s="88">
        <f ca="1">IF(AS88=1,_xll.RiskBinomial(1,Prob_Illness_Given_Infection),0)</f>
        <v>0</v>
      </c>
      <c r="AU88" s="30"/>
      <c r="AV88" s="87">
        <f t="shared" ca="1" si="110"/>
        <v>4.6847897778928714E-5</v>
      </c>
      <c r="AW88" s="37">
        <f ca="1">INT(AV88) + _xll.RiskBinomial(1,AV88-INT(AV88))</f>
        <v>0</v>
      </c>
      <c r="AX88" s="30">
        <f t="shared" ca="1" si="77"/>
        <v>0</v>
      </c>
      <c r="AY88" s="35">
        <f ca="1">_xll.RiskBinomial(1,AX88)</f>
        <v>0</v>
      </c>
      <c r="AZ88" s="88">
        <f ca="1">IF(AY88=1,_xll.RiskBinomial(1,Prob_Illness_Given_Infection),0)</f>
        <v>0</v>
      </c>
      <c r="BB88" s="87">
        <f t="shared" ca="1" si="111"/>
        <v>6.4299202471514451E-5</v>
      </c>
      <c r="BC88" s="37">
        <f ca="1">INT(BB88) + _xll.RiskBinomial(1,BB88-INT(BB88))</f>
        <v>0</v>
      </c>
      <c r="BD88" s="30">
        <f t="shared" ca="1" si="78"/>
        <v>0</v>
      </c>
      <c r="BE88" s="35">
        <f ca="1">_xll.RiskBinomial(1,BD88)</f>
        <v>0</v>
      </c>
      <c r="BF88" s="88">
        <f ca="1">IF(BE88=1,_xll.RiskBinomial(1,Prob_Illness_Given_Infection),0)</f>
        <v>0</v>
      </c>
      <c r="BH88" s="87">
        <f t="shared" ca="1" si="112"/>
        <v>8.1407390392502981E-5</v>
      </c>
      <c r="BI88" s="37">
        <f ca="1">INT(BH88) + _xll.RiskBinomial(1,BH88-INT(BH88))</f>
        <v>0</v>
      </c>
      <c r="BJ88" s="30">
        <f t="shared" ca="1" si="79"/>
        <v>0</v>
      </c>
      <c r="BK88" s="35">
        <f ca="1">_xll.RiskBinomial(1,BJ88)</f>
        <v>0</v>
      </c>
      <c r="BL88" s="88">
        <f ca="1">IF(BK88=1,_xll.RiskBinomial(1,Prob_Illness_Given_Infection),0)</f>
        <v>0</v>
      </c>
      <c r="BN88" s="87">
        <f t="shared" ca="1" si="113"/>
        <v>6.1955665913680689E-6</v>
      </c>
      <c r="BO88" s="37">
        <f ca="1">INT(BN88) + _xll.RiskBinomial(1,BN88-INT(BN88))</f>
        <v>0</v>
      </c>
      <c r="BP88" s="30">
        <f t="shared" ca="1" si="80"/>
        <v>0</v>
      </c>
      <c r="BQ88" s="35">
        <f ca="1">_xll.RiskBinomial(1,BP88)</f>
        <v>0</v>
      </c>
      <c r="BR88" s="88">
        <f ca="1">IF(BQ88=1,_xll.RiskBinomial(1,Prob_Illness_Given_Infection),0)</f>
        <v>0</v>
      </c>
      <c r="BT88" s="87">
        <f t="shared" ca="1" si="114"/>
        <v>1.8630003241502684E-5</v>
      </c>
      <c r="BU88" s="37">
        <f ca="1">INT(BT88) + _xll.RiskBinomial(1,BT88-INT(BT88))</f>
        <v>0</v>
      </c>
      <c r="BV88" s="30">
        <f t="shared" ca="1" si="81"/>
        <v>0</v>
      </c>
      <c r="BW88" s="35">
        <f ca="1">_xll.RiskBinomial(1,BV88)</f>
        <v>0</v>
      </c>
      <c r="BX88" s="88">
        <f ca="1">IF(BW88=1,_xll.RiskBinomial(1,Prob_Illness_Given_Infection),0)</f>
        <v>0</v>
      </c>
      <c r="BZ88" s="87">
        <f t="shared" ca="1" si="115"/>
        <v>5.1071118894917362E-5</v>
      </c>
      <c r="CA88" s="37">
        <f ca="1">INT(BZ88) + _xll.RiskBinomial(1,BZ88-INT(BZ88))</f>
        <v>0</v>
      </c>
      <c r="CB88" s="30">
        <f t="shared" ca="1" si="82"/>
        <v>0</v>
      </c>
      <c r="CC88" s="35">
        <f ca="1">_xll.RiskBinomial(1,CB88)</f>
        <v>0</v>
      </c>
      <c r="CD88" s="88">
        <f ca="1">IF(CC88=1,_xll.RiskBinomial(1,Prob_Illness_Given_Infection),0)</f>
        <v>0</v>
      </c>
      <c r="CF88" s="87">
        <f t="shared" ca="1" si="116"/>
        <v>9.6902336276658468E-6</v>
      </c>
      <c r="CG88" s="37">
        <f ca="1">INT(CF88) + _xll.RiskBinomial(1,CF88-INT(CF88))</f>
        <v>0</v>
      </c>
      <c r="CH88" s="30">
        <f t="shared" ca="1" si="83"/>
        <v>0</v>
      </c>
      <c r="CI88" s="35">
        <f ca="1">_xll.RiskBinomial(1,CH88)</f>
        <v>0</v>
      </c>
      <c r="CJ88" s="88">
        <f ca="1">IF(CI88=1,_xll.RiskBinomial(1,Prob_Illness_Given_Infection),0)</f>
        <v>0</v>
      </c>
      <c r="CL88" s="87">
        <f t="shared" ca="1" si="117"/>
        <v>1.8699438065986096E-5</v>
      </c>
      <c r="CM88" s="37">
        <f ca="1">INT(CL88) + _xll.RiskBinomial(1,CL88-INT(CL88))</f>
        <v>0</v>
      </c>
      <c r="CN88" s="30">
        <f t="shared" ca="1" si="84"/>
        <v>0</v>
      </c>
      <c r="CO88" s="35">
        <f ca="1">_xll.RiskBinomial(1,CN88)</f>
        <v>0</v>
      </c>
      <c r="CP88" s="88">
        <f ca="1">IF(CO88=1,_xll.RiskBinomial(1,Prob_Illness_Given_Infection),0)</f>
        <v>0</v>
      </c>
      <c r="CR88" s="87">
        <f t="shared" ca="1" si="118"/>
        <v>1.2887086741002494E-7</v>
      </c>
      <c r="CS88" s="37">
        <f ca="1">INT(CR88) + _xll.RiskBinomial(1,CR88-INT(CR88))</f>
        <v>0</v>
      </c>
      <c r="CT88" s="30">
        <f t="shared" ca="1" si="85"/>
        <v>0</v>
      </c>
      <c r="CU88" s="35">
        <f ca="1">_xll.RiskBinomial(1,CT88)</f>
        <v>0</v>
      </c>
      <c r="CV88" s="88">
        <f ca="1">IF(CU88=1,_xll.RiskBinomial(1,Prob_Illness_Given_Infection),0)</f>
        <v>0</v>
      </c>
      <c r="CX88" s="87">
        <f t="shared" ca="1" si="119"/>
        <v>1.3118907797486294E-9</v>
      </c>
      <c r="CY88" s="37">
        <f ca="1">INT(CX88) + _xll.RiskBinomial(1,CX88-INT(CX88))</f>
        <v>0</v>
      </c>
      <c r="CZ88" s="30">
        <f t="shared" ca="1" si="86"/>
        <v>0</v>
      </c>
      <c r="DA88" s="35">
        <f ca="1">_xll.RiskBinomial(1,CZ88)</f>
        <v>0</v>
      </c>
      <c r="DB88" s="88">
        <f ca="1">IF(DA88=1,_xll.RiskBinomial(1,Prob_Illness_Given_Infection),0)</f>
        <v>0</v>
      </c>
      <c r="DD88" s="87">
        <f t="shared" ca="1" si="120"/>
        <v>1.3118907797486294E-9</v>
      </c>
      <c r="DE88" s="37">
        <f ca="1">INT(DD88) + _xll.RiskBinomial(1,DD88-INT(DD88))</f>
        <v>0</v>
      </c>
      <c r="DF88" s="30">
        <f t="shared" ca="1" si="87"/>
        <v>0</v>
      </c>
      <c r="DG88" s="35">
        <f ca="1">_xll.RiskBinomial(1,DF88)</f>
        <v>0</v>
      </c>
      <c r="DH88" s="88">
        <f ca="1">IF(DG88=1,_xll.RiskBinomial(1,Prob_Illness_Given_Infection),0)</f>
        <v>0</v>
      </c>
      <c r="DJ88" s="87">
        <f t="shared" ca="1" si="121"/>
        <v>2.1421356147141377E-6</v>
      </c>
      <c r="DK88" s="37">
        <f ca="1">INT(DJ88) + _xll.RiskBinomial(1,DJ88-INT(DJ88))</f>
        <v>0</v>
      </c>
      <c r="DL88" s="30">
        <f t="shared" ca="1" si="88"/>
        <v>0</v>
      </c>
      <c r="DM88" s="35">
        <f ca="1">_xll.RiskBinomial(1,DL88)</f>
        <v>0</v>
      </c>
      <c r="DN88" s="88">
        <f ca="1">IF(DM88=1,_xll.RiskBinomial(1,Prob_Illness_Given_Infection),0)</f>
        <v>0</v>
      </c>
      <c r="DP88" s="87">
        <f t="shared" ca="1" si="122"/>
        <v>5.0638981915831299E-10</v>
      </c>
      <c r="DQ88" s="37">
        <f ca="1">INT(DP88) + _xll.RiskBinomial(1,DP88-INT(DP88))</f>
        <v>0</v>
      </c>
      <c r="DR88" s="30">
        <f t="shared" ca="1" si="89"/>
        <v>0</v>
      </c>
      <c r="DS88" s="35">
        <f ca="1">_xll.RiskBinomial(1,DR88)</f>
        <v>0</v>
      </c>
      <c r="DT88" s="88">
        <f ca="1">IF(DS88=1,_xll.RiskBinomial(1,Prob_Illness_Given_Infection),0)</f>
        <v>0</v>
      </c>
      <c r="DV88" s="87">
        <f t="shared" ca="1" si="123"/>
        <v>7.1289860911555171E-9</v>
      </c>
      <c r="DW88" s="37">
        <f ca="1">INT(DV88) + _xll.RiskBinomial(1,DV88-INT(DV88))</f>
        <v>0</v>
      </c>
      <c r="DX88" s="30">
        <f t="shared" ca="1" si="90"/>
        <v>0</v>
      </c>
      <c r="DY88" s="35">
        <f ca="1">_xll.RiskBinomial(1,DX88)</f>
        <v>0</v>
      </c>
      <c r="DZ88" s="88">
        <f ca="1">IF(DY88=1,_xll.RiskBinomial(1,Prob_Illness_Given_Infection),0)</f>
        <v>0</v>
      </c>
      <c r="EB88" s="87">
        <f t="shared" ca="1" si="124"/>
        <v>1.7888936744424093E-12</v>
      </c>
      <c r="EC88" s="37">
        <f ca="1">INT(EB88) + _xll.RiskBinomial(1,EB88-INT(EB88))</f>
        <v>0</v>
      </c>
      <c r="ED88" s="30">
        <f t="shared" ca="1" si="91"/>
        <v>0</v>
      </c>
      <c r="EE88" s="35">
        <f ca="1">_xll.RiskBinomial(1,ED88)</f>
        <v>0</v>
      </c>
      <c r="EF88" s="88">
        <f ca="1">IF(EE88=1,_xll.RiskBinomial(1,Prob_Illness_Given_Infection),0)</f>
        <v>0</v>
      </c>
      <c r="EH88" s="87">
        <f t="shared" ca="1" si="125"/>
        <v>1.7888936744405704E-12</v>
      </c>
      <c r="EI88" s="37">
        <f ca="1">INT(EH88) + _xll.RiskBinomial(1,EH88-INT(EH88))</f>
        <v>0</v>
      </c>
      <c r="EJ88" s="30">
        <f t="shared" ca="1" si="92"/>
        <v>0</v>
      </c>
      <c r="EK88" s="35">
        <f ca="1">_xll.RiskBinomial(1,EJ88)</f>
        <v>0</v>
      </c>
      <c r="EL88" s="88">
        <f ca="1">IF(EK88=1,_xll.RiskBinomial(1,Prob_Illness_Given_Infection),0)</f>
        <v>0</v>
      </c>
      <c r="EN88" s="87">
        <f t="shared" ca="1" si="126"/>
        <v>1.6322574771773042E-10</v>
      </c>
      <c r="EO88" s="37">
        <f ca="1">INT(EN88) + _xll.RiskBinomial(1,EN88-INT(EN88))</f>
        <v>0</v>
      </c>
      <c r="EP88" s="30">
        <f t="shared" ca="1" si="93"/>
        <v>0</v>
      </c>
      <c r="EQ88" s="35">
        <f ca="1">_xll.RiskBinomial(1,EP88)</f>
        <v>0</v>
      </c>
      <c r="ER88" s="88">
        <f ca="1">IF(EQ88=1,_xll.RiskBinomial(1,Prob_Illness_Given_Infection),0)</f>
        <v>0</v>
      </c>
      <c r="ET88" s="87">
        <f t="shared" ca="1" si="127"/>
        <v>1.7888936744388645E-12</v>
      </c>
      <c r="EU88" s="37">
        <f ca="1">INT(ET88) + _xll.RiskBinomial(1,ET88-INT(ET88))</f>
        <v>0</v>
      </c>
      <c r="EV88" s="30">
        <f t="shared" ca="1" si="94"/>
        <v>0</v>
      </c>
      <c r="EW88" s="35">
        <f ca="1">_xll.RiskBinomial(1,EV88)</f>
        <v>0</v>
      </c>
      <c r="EX88" s="88">
        <f ca="1">IF(EW88=1,_xll.RiskBinomial(1,Prob_Illness_Given_Infection),0)</f>
        <v>0</v>
      </c>
      <c r="EZ88" s="87">
        <f t="shared" ca="1" si="128"/>
        <v>1.3492200047073461E-5</v>
      </c>
      <c r="FA88" s="37">
        <f ca="1">INT(EZ88) + _xll.RiskBinomial(1,EZ88-INT(EZ88))</f>
        <v>0</v>
      </c>
      <c r="FB88" s="30">
        <f t="shared" ca="1" si="95"/>
        <v>0</v>
      </c>
      <c r="FC88" s="35">
        <f ca="1">_xll.RiskBinomial(1,FB88)</f>
        <v>0</v>
      </c>
      <c r="FD88" s="88">
        <f ca="1">IF(FC88=1,_xll.RiskBinomial(1,Prob_Illness_Given_Infection),0)</f>
        <v>0</v>
      </c>
      <c r="FF88" s="87">
        <f t="shared" ca="1" si="129"/>
        <v>9.3985148867161005E-5</v>
      </c>
      <c r="FG88" s="37">
        <f ca="1">INT(FF88) + _xll.RiskBinomial(1,FF88-INT(FF88))</f>
        <v>0</v>
      </c>
      <c r="FH88" s="30">
        <f t="shared" ca="1" si="96"/>
        <v>0</v>
      </c>
      <c r="FI88" s="35">
        <f ca="1">_xll.RiskBinomial(1,FH88)</f>
        <v>0</v>
      </c>
      <c r="FJ88" s="88">
        <f ca="1">IF(FI88=1,_xll.RiskBinomial(1,Prob_Illness_Given_Infection),0)</f>
        <v>0</v>
      </c>
      <c r="FL88" s="87" t="e">
        <f t="shared" ca="1" si="130"/>
        <v>#NAME?</v>
      </c>
      <c r="FM88" s="37" t="e">
        <f ca="1">INT(FL88) + _xll.RiskBinomial(1,FL88-INT(FL88))</f>
        <v>#NAME?</v>
      </c>
      <c r="FN88" s="30" t="e">
        <f t="shared" ca="1" si="97"/>
        <v>#NAME?</v>
      </c>
      <c r="FO88" s="35" t="e">
        <f ca="1">_xll.RiskBinomial(1,FN88)</f>
        <v>#VALUE!</v>
      </c>
      <c r="FP88" s="88" t="e">
        <f ca="1">IF(FO88=1,_xll.RiskBinomial(1,Prob_Illness_Given_Infection),0)</f>
        <v>#VALUE!</v>
      </c>
      <c r="FR88" s="87" t="e">
        <f t="shared" ca="1" si="131"/>
        <v>#NAME?</v>
      </c>
      <c r="FS88" s="37" t="e">
        <f ca="1">INT(FR88) + _xll.RiskBinomial(1,FR88-INT(FR88))</f>
        <v>#NAME?</v>
      </c>
      <c r="FT88" s="30" t="e">
        <f t="shared" ca="1" si="98"/>
        <v>#NAME?</v>
      </c>
      <c r="FU88" s="35" t="e">
        <f ca="1">_xll.RiskBinomial(1,FT88)</f>
        <v>#VALUE!</v>
      </c>
      <c r="FV88" s="88" t="e">
        <f ca="1">IF(FU88=1,_xll.RiskBinomial(1,Prob_Illness_Given_Infection),0)</f>
        <v>#VALUE!</v>
      </c>
      <c r="FX88" s="87">
        <f t="shared" ca="1" si="132"/>
        <v>1.8886550070796753E-7</v>
      </c>
      <c r="FY88" s="37">
        <f ca="1">INT(FX88) + _xll.RiskBinomial(1,FX88-INT(FX88))</f>
        <v>0</v>
      </c>
      <c r="FZ88" s="30">
        <f t="shared" ca="1" si="99"/>
        <v>0</v>
      </c>
      <c r="GA88" s="35">
        <f ca="1">_xll.RiskBinomial(1,FZ88)</f>
        <v>0</v>
      </c>
      <c r="GB88" s="88">
        <f ca="1">IF(GA88=1,_xll.RiskBinomial(1,Prob_Illness_Given_Infection),0)</f>
        <v>0</v>
      </c>
      <c r="GD88" s="87" t="e">
        <f t="shared" ca="1" si="133"/>
        <v>#NAME?</v>
      </c>
      <c r="GE88" s="37" t="e">
        <f ca="1">INT(GD88) + _xll.RiskBinomial(1,GD88-INT(GD88))</f>
        <v>#NAME?</v>
      </c>
      <c r="GF88" s="30" t="e">
        <f t="shared" ca="1" si="100"/>
        <v>#NAME?</v>
      </c>
      <c r="GG88" s="35" t="e">
        <f ca="1">_xll.RiskBinomial(1,GF88)</f>
        <v>#VALUE!</v>
      </c>
      <c r="GH88" s="88" t="e">
        <f ca="1">IF(GG88=1,_xll.RiskBinomial(1,Prob_Illness_Given_Infection),0)</f>
        <v>#VALUE!</v>
      </c>
      <c r="GJ88" s="87" t="e">
        <f t="shared" ca="1" si="134"/>
        <v>#NAME?</v>
      </c>
      <c r="GK88" s="37" t="e">
        <f ca="1">INT(GJ88) + _xll.RiskBinomial(1,GJ88-INT(GJ88))</f>
        <v>#NAME?</v>
      </c>
      <c r="GL88" s="30" t="e">
        <f t="shared" ca="1" si="101"/>
        <v>#NAME?</v>
      </c>
      <c r="GM88" s="35" t="e">
        <f ca="1">_xll.RiskBinomial(1,GL88)</f>
        <v>#VALUE!</v>
      </c>
      <c r="GN88" s="88" t="e">
        <f ca="1">IF(GM88=1,_xll.RiskBinomial(1,Prob_Illness_Given_Infection),0)</f>
        <v>#VALUE!</v>
      </c>
      <c r="GP88" s="87" t="e">
        <f t="shared" ca="1" si="135"/>
        <v>#NAME?</v>
      </c>
      <c r="GQ88" s="37" t="e">
        <f ca="1">INT(GP88) + _xll.RiskBinomial(1,GP88-INT(GP88))</f>
        <v>#NAME?</v>
      </c>
      <c r="GR88" s="30" t="e">
        <f t="shared" ca="1" si="102"/>
        <v>#NAME?</v>
      </c>
      <c r="GS88" s="35" t="e">
        <f ca="1">_xll.RiskBinomial(1,GR88)</f>
        <v>#VALUE!</v>
      </c>
      <c r="GT88" s="88" t="e">
        <f ca="1">IF(GS88=1,_xll.RiskBinomial(1,Prob_Illness_Given_Infection),0)</f>
        <v>#VALUE!</v>
      </c>
    </row>
    <row r="89" spans="2:202">
      <c r="B89" s="108">
        <v>81</v>
      </c>
      <c r="C89" s="87">
        <f ca="1">_xll.RiskLoglogistic(LogLogistic_gamma, LogLogistic_beta, LogLogistic_alpha, _xll.RiskTruncate(5,800))</f>
        <v>54.463023560884139</v>
      </c>
      <c r="D89" s="38">
        <f t="shared" ca="1" si="69"/>
        <v>3.4987938074580986</v>
      </c>
      <c r="E89" s="30"/>
      <c r="F89" s="87">
        <f t="shared" ca="1" si="103"/>
        <v>1.2632016860145938E-9</v>
      </c>
      <c r="G89" s="37">
        <f ca="1">INT(F89) + _xll.RiskBinomial(1,F89-INT(F89))</f>
        <v>0</v>
      </c>
      <c r="H89" s="30">
        <f t="shared" ca="1" si="70"/>
        <v>0</v>
      </c>
      <c r="I89" s="35">
        <f ca="1">_xll.RiskBinomial(1,H89)</f>
        <v>0</v>
      </c>
      <c r="J89" s="88">
        <f ca="1">IF(I89=1,_xll.RiskBinomial(1,Prob_Illness_Given_Infection),0)</f>
        <v>0</v>
      </c>
      <c r="K89" s="30"/>
      <c r="L89" s="87">
        <f t="shared" ca="1" si="104"/>
        <v>6.4521050690982554E-5</v>
      </c>
      <c r="M89" s="37">
        <f ca="1">INT(L89) + _xll.RiskBinomial(1,L89-INT(L89))</f>
        <v>0</v>
      </c>
      <c r="N89" s="30">
        <f t="shared" ca="1" si="71"/>
        <v>0</v>
      </c>
      <c r="O89" s="35">
        <f ca="1">_xll.RiskBinomial(1,N89)</f>
        <v>0</v>
      </c>
      <c r="P89" s="88">
        <f ca="1">IF(O89=1,_xll.RiskBinomial(1,Prob_Illness_Given_Infection),0)</f>
        <v>0</v>
      </c>
      <c r="Q89" s="30"/>
      <c r="R89" s="87">
        <f t="shared" ca="1" si="105"/>
        <v>6.6699133857729151E-6</v>
      </c>
      <c r="S89" s="37">
        <f ca="1">INT(R89) + _xll.RiskBinomial(1,R89-INT(R89))</f>
        <v>0</v>
      </c>
      <c r="T89" s="30">
        <f t="shared" ca="1" si="72"/>
        <v>0</v>
      </c>
      <c r="U89" s="35">
        <f ca="1">_xll.RiskBinomial(1,T89)</f>
        <v>0</v>
      </c>
      <c r="V89" s="88">
        <f ca="1">IF(U89=1,_xll.RiskBinomial(1,Prob_Illness_Given_Infection),0)</f>
        <v>0</v>
      </c>
      <c r="W89" s="30"/>
      <c r="X89" s="87">
        <f t="shared" ca="1" si="106"/>
        <v>2.7401741976956946E-12</v>
      </c>
      <c r="Y89" s="37">
        <f ca="1">INT(X89) + _xll.RiskBinomial(1,X89-INT(X89))</f>
        <v>0</v>
      </c>
      <c r="Z89" s="30">
        <f t="shared" ca="1" si="73"/>
        <v>0</v>
      </c>
      <c r="AA89" s="35">
        <f ca="1">_xll.RiskBinomial(1,Z89)</f>
        <v>0</v>
      </c>
      <c r="AB89" s="88">
        <f ca="1">IF(AA89=1,_xll.RiskBinomial(1,Prob_Illness_Given_Infection),0)</f>
        <v>0</v>
      </c>
      <c r="AC89" s="30"/>
      <c r="AD89" s="87">
        <f t="shared" ca="1" si="107"/>
        <v>1.380548290728536E-12</v>
      </c>
      <c r="AE89" s="37">
        <f ca="1">INT(AD89) + _xll.RiskBinomial(1,AD89-INT(AD89))</f>
        <v>0</v>
      </c>
      <c r="AF89" s="30">
        <f t="shared" ca="1" si="74"/>
        <v>0</v>
      </c>
      <c r="AG89" s="35">
        <f ca="1">_xll.RiskBinomial(1,AF89)</f>
        <v>0</v>
      </c>
      <c r="AH89" s="88">
        <f ca="1">IF(AG89=1,_xll.RiskBinomial(1,Prob_Illness_Given_Infection),0)</f>
        <v>0</v>
      </c>
      <c r="AI89" s="30"/>
      <c r="AJ89" s="87">
        <f t="shared" ca="1" si="108"/>
        <v>6.4081493889151756E-5</v>
      </c>
      <c r="AK89" s="37">
        <f ca="1">INT(AJ89) + _xll.RiskBinomial(1,AJ89-INT(AJ89))</f>
        <v>0</v>
      </c>
      <c r="AL89" s="30">
        <f t="shared" ca="1" si="75"/>
        <v>0</v>
      </c>
      <c r="AM89" s="35">
        <f ca="1">_xll.RiskBinomial(1,AL89)</f>
        <v>0</v>
      </c>
      <c r="AN89" s="88">
        <f ca="1">IF(AM89=1,_xll.RiskBinomial(1,Prob_Illness_Given_Infection),0)</f>
        <v>0</v>
      </c>
      <c r="AO89" s="30"/>
      <c r="AP89" s="87">
        <f t="shared" ca="1" si="109"/>
        <v>1.558400008834091E-9</v>
      </c>
      <c r="AQ89" s="37">
        <f ca="1">INT(AP89) + _xll.RiskBinomial(1,AP89-INT(AP89))</f>
        <v>0</v>
      </c>
      <c r="AR89" s="30">
        <f t="shared" ca="1" si="76"/>
        <v>0</v>
      </c>
      <c r="AS89" s="35">
        <f ca="1">_xll.RiskBinomial(1,AR89)</f>
        <v>0</v>
      </c>
      <c r="AT89" s="88">
        <f ca="1">IF(AS89=1,_xll.RiskBinomial(1,Prob_Illness_Given_Infection),0)</f>
        <v>0</v>
      </c>
      <c r="AU89" s="30"/>
      <c r="AV89" s="87">
        <f t="shared" ca="1" si="110"/>
        <v>3.6154068923667392E-5</v>
      </c>
      <c r="AW89" s="37">
        <f ca="1">INT(AV89) + _xll.RiskBinomial(1,AV89-INT(AV89))</f>
        <v>0</v>
      </c>
      <c r="AX89" s="30">
        <f t="shared" ca="1" si="77"/>
        <v>0</v>
      </c>
      <c r="AY89" s="35">
        <f ca="1">_xll.RiskBinomial(1,AX89)</f>
        <v>0</v>
      </c>
      <c r="AZ89" s="88">
        <f ca="1">IF(AY89=1,_xll.RiskBinomial(1,Prob_Illness_Given_Infection),0)</f>
        <v>0</v>
      </c>
      <c r="BB89" s="87">
        <f t="shared" ca="1" si="111"/>
        <v>4.9621816732565826E-5</v>
      </c>
      <c r="BC89" s="37">
        <f ca="1">INT(BB89) + _xll.RiskBinomial(1,BB89-INT(BB89))</f>
        <v>0</v>
      </c>
      <c r="BD89" s="30">
        <f t="shared" ca="1" si="78"/>
        <v>0</v>
      </c>
      <c r="BE89" s="35">
        <f ca="1">_xll.RiskBinomial(1,BD89)</f>
        <v>0</v>
      </c>
      <c r="BF89" s="88">
        <f ca="1">IF(BE89=1,_xll.RiskBinomial(1,Prob_Illness_Given_Infection),0)</f>
        <v>0</v>
      </c>
      <c r="BH89" s="87">
        <f t="shared" ca="1" si="112"/>
        <v>6.2824770004306376E-5</v>
      </c>
      <c r="BI89" s="37">
        <f ca="1">INT(BH89) + _xll.RiskBinomial(1,BH89-INT(BH89))</f>
        <v>0</v>
      </c>
      <c r="BJ89" s="30">
        <f t="shared" ca="1" si="79"/>
        <v>0</v>
      </c>
      <c r="BK89" s="35">
        <f ca="1">_xll.RiskBinomial(1,BJ89)</f>
        <v>0</v>
      </c>
      <c r="BL89" s="88">
        <f ca="1">IF(BK89=1,_xll.RiskBinomial(1,Prob_Illness_Given_Infection),0)</f>
        <v>0</v>
      </c>
      <c r="BN89" s="87">
        <f t="shared" ca="1" si="113"/>
        <v>4.7813232222821501E-6</v>
      </c>
      <c r="BO89" s="37">
        <f ca="1">INT(BN89) + _xll.RiskBinomial(1,BN89-INT(BN89))</f>
        <v>0</v>
      </c>
      <c r="BP89" s="30">
        <f t="shared" ca="1" si="80"/>
        <v>0</v>
      </c>
      <c r="BQ89" s="35">
        <f ca="1">_xll.RiskBinomial(1,BP89)</f>
        <v>0</v>
      </c>
      <c r="BR89" s="88">
        <f ca="1">IF(BQ89=1,_xll.RiskBinomial(1,Prob_Illness_Given_Infection),0)</f>
        <v>0</v>
      </c>
      <c r="BT89" s="87">
        <f t="shared" ca="1" si="114"/>
        <v>1.4377388381862144E-5</v>
      </c>
      <c r="BU89" s="37">
        <f ca="1">INT(BT89) + _xll.RiskBinomial(1,BT89-INT(BT89))</f>
        <v>0</v>
      </c>
      <c r="BV89" s="30">
        <f t="shared" ca="1" si="81"/>
        <v>0</v>
      </c>
      <c r="BW89" s="35">
        <f ca="1">_xll.RiskBinomial(1,BV89)</f>
        <v>0</v>
      </c>
      <c r="BX89" s="88">
        <f ca="1">IF(BW89=1,_xll.RiskBinomial(1,Prob_Illness_Given_Infection),0)</f>
        <v>0</v>
      </c>
      <c r="BZ89" s="87">
        <f t="shared" ca="1" si="115"/>
        <v>3.941326804563988E-5</v>
      </c>
      <c r="CA89" s="37">
        <f ca="1">INT(BZ89) + _xll.RiskBinomial(1,BZ89-INT(BZ89))</f>
        <v>0</v>
      </c>
      <c r="CB89" s="30">
        <f t="shared" ca="1" si="82"/>
        <v>0</v>
      </c>
      <c r="CC89" s="35">
        <f ca="1">_xll.RiskBinomial(1,CB89)</f>
        <v>0</v>
      </c>
      <c r="CD89" s="88">
        <f ca="1">IF(CC89=1,_xll.RiskBinomial(1,Prob_Illness_Given_Infection),0)</f>
        <v>0</v>
      </c>
      <c r="CF89" s="87">
        <f t="shared" ca="1" si="116"/>
        <v>7.4782731151417298E-6</v>
      </c>
      <c r="CG89" s="37">
        <f ca="1">INT(CF89) + _xll.RiskBinomial(1,CF89-INT(CF89))</f>
        <v>0</v>
      </c>
      <c r="CH89" s="30">
        <f t="shared" ca="1" si="83"/>
        <v>0</v>
      </c>
      <c r="CI89" s="35">
        <f ca="1">_xll.RiskBinomial(1,CH89)</f>
        <v>0</v>
      </c>
      <c r="CJ89" s="88">
        <f ca="1">IF(CI89=1,_xll.RiskBinomial(1,Prob_Illness_Given_Infection),0)</f>
        <v>0</v>
      </c>
      <c r="CL89" s="87">
        <f t="shared" ca="1" si="117"/>
        <v>1.4430973527601706E-5</v>
      </c>
      <c r="CM89" s="37">
        <f ca="1">INT(CL89) + _xll.RiskBinomial(1,CL89-INT(CL89))</f>
        <v>0</v>
      </c>
      <c r="CN89" s="30">
        <f t="shared" ca="1" si="84"/>
        <v>0</v>
      </c>
      <c r="CO89" s="35">
        <f ca="1">_xll.RiskBinomial(1,CN89)</f>
        <v>0</v>
      </c>
      <c r="CP89" s="88">
        <f ca="1">IF(CO89=1,_xll.RiskBinomial(1,Prob_Illness_Given_Infection),0)</f>
        <v>0</v>
      </c>
      <c r="CR89" s="87">
        <f t="shared" ca="1" si="118"/>
        <v>9.9453901743494363E-8</v>
      </c>
      <c r="CS89" s="37">
        <f ca="1">INT(CR89) + _xll.RiskBinomial(1,CR89-INT(CR89))</f>
        <v>0</v>
      </c>
      <c r="CT89" s="30">
        <f t="shared" ca="1" si="85"/>
        <v>0</v>
      </c>
      <c r="CU89" s="35">
        <f ca="1">_xll.RiskBinomial(1,CT89)</f>
        <v>0</v>
      </c>
      <c r="CV89" s="88">
        <f ca="1">IF(CU89=1,_xll.RiskBinomial(1,Prob_Illness_Given_Infection),0)</f>
        <v>0</v>
      </c>
      <c r="CX89" s="87">
        <f t="shared" ca="1" si="119"/>
        <v>1.0124294134856333E-9</v>
      </c>
      <c r="CY89" s="37">
        <f ca="1">INT(CX89) + _xll.RiskBinomial(1,CX89-INT(CX89))</f>
        <v>0</v>
      </c>
      <c r="CZ89" s="30">
        <f t="shared" ca="1" si="86"/>
        <v>0</v>
      </c>
      <c r="DA89" s="35">
        <f ca="1">_xll.RiskBinomial(1,CZ89)</f>
        <v>0</v>
      </c>
      <c r="DB89" s="88">
        <f ca="1">IF(DA89=1,_xll.RiskBinomial(1,Prob_Illness_Given_Infection),0)</f>
        <v>0</v>
      </c>
      <c r="DD89" s="87">
        <f t="shared" ca="1" si="120"/>
        <v>1.0124294134856333E-9</v>
      </c>
      <c r="DE89" s="37">
        <f ca="1">INT(DD89) + _xll.RiskBinomial(1,DD89-INT(DD89))</f>
        <v>0</v>
      </c>
      <c r="DF89" s="30">
        <f t="shared" ca="1" si="87"/>
        <v>0</v>
      </c>
      <c r="DG89" s="35">
        <f ca="1">_xll.RiskBinomial(1,DF89)</f>
        <v>0</v>
      </c>
      <c r="DH89" s="88">
        <f ca="1">IF(DG89=1,_xll.RiskBinomial(1,Prob_Illness_Given_Infection),0)</f>
        <v>0</v>
      </c>
      <c r="DJ89" s="87">
        <f t="shared" ca="1" si="121"/>
        <v>1.6531567547317288E-6</v>
      </c>
      <c r="DK89" s="37">
        <f ca="1">INT(DJ89) + _xll.RiskBinomial(1,DJ89-INT(DJ89))</f>
        <v>0</v>
      </c>
      <c r="DL89" s="30">
        <f t="shared" ca="1" si="88"/>
        <v>0</v>
      </c>
      <c r="DM89" s="35">
        <f ca="1">_xll.RiskBinomial(1,DL89)</f>
        <v>0</v>
      </c>
      <c r="DN89" s="88">
        <f ca="1">IF(DM89=1,_xll.RiskBinomial(1,Prob_Illness_Given_Infection),0)</f>
        <v>0</v>
      </c>
      <c r="DP89" s="87">
        <f t="shared" ca="1" si="122"/>
        <v>3.9079773676264566E-10</v>
      </c>
      <c r="DQ89" s="37">
        <f ca="1">INT(DP89) + _xll.RiskBinomial(1,DP89-INT(DP89))</f>
        <v>0</v>
      </c>
      <c r="DR89" s="30">
        <f t="shared" ca="1" si="89"/>
        <v>0</v>
      </c>
      <c r="DS89" s="35">
        <f ca="1">_xll.RiskBinomial(1,DR89)</f>
        <v>0</v>
      </c>
      <c r="DT89" s="88">
        <f ca="1">IF(DS89=1,_xll.RiskBinomial(1,Prob_Illness_Given_Infection),0)</f>
        <v>0</v>
      </c>
      <c r="DV89" s="87">
        <f t="shared" ca="1" si="123"/>
        <v>5.5016738576352961E-9</v>
      </c>
      <c r="DW89" s="37">
        <f ca="1">INT(DV89) + _xll.RiskBinomial(1,DV89-INT(DV89))</f>
        <v>0</v>
      </c>
      <c r="DX89" s="30">
        <f t="shared" ca="1" si="90"/>
        <v>0</v>
      </c>
      <c r="DY89" s="35">
        <f ca="1">_xll.RiskBinomial(1,DX89)</f>
        <v>0</v>
      </c>
      <c r="DZ89" s="88">
        <f ca="1">IF(DY89=1,_xll.RiskBinomial(1,Prob_Illness_Given_Infection),0)</f>
        <v>0</v>
      </c>
      <c r="EB89" s="87">
        <f t="shared" ca="1" si="124"/>
        <v>1.3805482907280722E-12</v>
      </c>
      <c r="EC89" s="37">
        <f ca="1">INT(EB89) + _xll.RiskBinomial(1,EB89-INT(EB89))</f>
        <v>0</v>
      </c>
      <c r="ED89" s="30">
        <f t="shared" ca="1" si="91"/>
        <v>0</v>
      </c>
      <c r="EE89" s="35">
        <f ca="1">_xll.RiskBinomial(1,ED89)</f>
        <v>0</v>
      </c>
      <c r="EF89" s="88">
        <f ca="1">IF(EE89=1,_xll.RiskBinomial(1,Prob_Illness_Given_Infection),0)</f>
        <v>0</v>
      </c>
      <c r="EH89" s="87">
        <f t="shared" ca="1" si="125"/>
        <v>1.3805482907266531E-12</v>
      </c>
      <c r="EI89" s="37">
        <f ca="1">INT(EH89) + _xll.RiskBinomial(1,EH89-INT(EH89))</f>
        <v>0</v>
      </c>
      <c r="EJ89" s="30">
        <f t="shared" ca="1" si="92"/>
        <v>0</v>
      </c>
      <c r="EK89" s="35">
        <f ca="1">_xll.RiskBinomial(1,EJ89)</f>
        <v>0</v>
      </c>
      <c r="EL89" s="88">
        <f ca="1">IF(EK89=1,_xll.RiskBinomial(1,Prob_Illness_Given_Infection),0)</f>
        <v>0</v>
      </c>
      <c r="EN89" s="87">
        <f t="shared" ca="1" si="126"/>
        <v>1.2596669675449668E-10</v>
      </c>
      <c r="EO89" s="37">
        <f ca="1">INT(EN89) + _xll.RiskBinomial(1,EN89-INT(EN89))</f>
        <v>0</v>
      </c>
      <c r="EP89" s="30">
        <f t="shared" ca="1" si="93"/>
        <v>0</v>
      </c>
      <c r="EQ89" s="35">
        <f ca="1">_xll.RiskBinomial(1,EP89)</f>
        <v>0</v>
      </c>
      <c r="ER89" s="88">
        <f ca="1">IF(EQ89=1,_xll.RiskBinomial(1,Prob_Illness_Given_Infection),0)</f>
        <v>0</v>
      </c>
      <c r="ET89" s="87">
        <f t="shared" ca="1" si="127"/>
        <v>1.3805482907253366E-12</v>
      </c>
      <c r="EU89" s="37">
        <f ca="1">INT(ET89) + _xll.RiskBinomial(1,ET89-INT(ET89))</f>
        <v>0</v>
      </c>
      <c r="EV89" s="30">
        <f t="shared" ca="1" si="94"/>
        <v>0</v>
      </c>
      <c r="EW89" s="35">
        <f ca="1">_xll.RiskBinomial(1,EV89)</f>
        <v>0</v>
      </c>
      <c r="EX89" s="88">
        <f ca="1">IF(EW89=1,_xll.RiskBinomial(1,Prob_Illness_Given_Infection),0)</f>
        <v>0</v>
      </c>
      <c r="EZ89" s="87">
        <f t="shared" ca="1" si="128"/>
        <v>1.0412376084316092E-5</v>
      </c>
      <c r="FA89" s="37">
        <f ca="1">INT(EZ89) + _xll.RiskBinomial(1,EZ89-INT(EZ89))</f>
        <v>0</v>
      </c>
      <c r="FB89" s="30">
        <f t="shared" ca="1" si="95"/>
        <v>0</v>
      </c>
      <c r="FC89" s="35">
        <f ca="1">_xll.RiskBinomial(1,FB89)</f>
        <v>0</v>
      </c>
      <c r="FD89" s="88">
        <f ca="1">IF(FC89=1,_xll.RiskBinomial(1,Prob_Illness_Given_Infection),0)</f>
        <v>0</v>
      </c>
      <c r="FF89" s="87">
        <f t="shared" ca="1" si="129"/>
        <v>7.2531441346185876E-5</v>
      </c>
      <c r="FG89" s="37">
        <f ca="1">INT(FF89) + _xll.RiskBinomial(1,FF89-INT(FF89))</f>
        <v>0</v>
      </c>
      <c r="FH89" s="30">
        <f t="shared" ca="1" si="96"/>
        <v>0</v>
      </c>
      <c r="FI89" s="35">
        <f ca="1">_xll.RiskBinomial(1,FH89)</f>
        <v>0</v>
      </c>
      <c r="FJ89" s="88">
        <f ca="1">IF(FI89=1,_xll.RiskBinomial(1,Prob_Illness_Given_Infection),0)</f>
        <v>0</v>
      </c>
      <c r="FL89" s="87" t="e">
        <f t="shared" ca="1" si="130"/>
        <v>#NAME?</v>
      </c>
      <c r="FM89" s="37" t="e">
        <f ca="1">INT(FL89) + _xll.RiskBinomial(1,FL89-INT(FL89))</f>
        <v>#NAME?</v>
      </c>
      <c r="FN89" s="30" t="e">
        <f t="shared" ca="1" si="97"/>
        <v>#NAME?</v>
      </c>
      <c r="FO89" s="35" t="e">
        <f ca="1">_xll.RiskBinomial(1,FN89)</f>
        <v>#VALUE!</v>
      </c>
      <c r="FP89" s="88" t="e">
        <f ca="1">IF(FO89=1,_xll.RiskBinomial(1,Prob_Illness_Given_Infection),0)</f>
        <v>#VALUE!</v>
      </c>
      <c r="FR89" s="87" t="e">
        <f t="shared" ca="1" si="131"/>
        <v>#NAME?</v>
      </c>
      <c r="FS89" s="37" t="e">
        <f ca="1">INT(FR89) + _xll.RiskBinomial(1,FR89-INT(FR89))</f>
        <v>#NAME?</v>
      </c>
      <c r="FT89" s="30" t="e">
        <f t="shared" ca="1" si="98"/>
        <v>#NAME?</v>
      </c>
      <c r="FU89" s="35" t="e">
        <f ca="1">_xll.RiskBinomial(1,FT89)</f>
        <v>#VALUE!</v>
      </c>
      <c r="FV89" s="88" t="e">
        <f ca="1">IF(FU89=1,_xll.RiskBinomial(1,Prob_Illness_Given_Infection),0)</f>
        <v>#VALUE!</v>
      </c>
      <c r="FX89" s="87">
        <f t="shared" ca="1" si="132"/>
        <v>1.4575374037317059E-7</v>
      </c>
      <c r="FY89" s="37">
        <f ca="1">INT(FX89) + _xll.RiskBinomial(1,FX89-INT(FX89))</f>
        <v>0</v>
      </c>
      <c r="FZ89" s="30">
        <f t="shared" ca="1" si="99"/>
        <v>0</v>
      </c>
      <c r="GA89" s="35">
        <f ca="1">_xll.RiskBinomial(1,FZ89)</f>
        <v>0</v>
      </c>
      <c r="GB89" s="88">
        <f ca="1">IF(GA89=1,_xll.RiskBinomial(1,Prob_Illness_Given_Infection),0)</f>
        <v>0</v>
      </c>
      <c r="GD89" s="87" t="e">
        <f t="shared" ca="1" si="133"/>
        <v>#NAME?</v>
      </c>
      <c r="GE89" s="37" t="e">
        <f ca="1">INT(GD89) + _xll.RiskBinomial(1,GD89-INT(GD89))</f>
        <v>#NAME?</v>
      </c>
      <c r="GF89" s="30" t="e">
        <f t="shared" ca="1" si="100"/>
        <v>#NAME?</v>
      </c>
      <c r="GG89" s="35" t="e">
        <f ca="1">_xll.RiskBinomial(1,GF89)</f>
        <v>#VALUE!</v>
      </c>
      <c r="GH89" s="88" t="e">
        <f ca="1">IF(GG89=1,_xll.RiskBinomial(1,Prob_Illness_Given_Infection),0)</f>
        <v>#VALUE!</v>
      </c>
      <c r="GJ89" s="87" t="e">
        <f t="shared" ca="1" si="134"/>
        <v>#NAME?</v>
      </c>
      <c r="GK89" s="37" t="e">
        <f ca="1">INT(GJ89) + _xll.RiskBinomial(1,GJ89-INT(GJ89))</f>
        <v>#NAME?</v>
      </c>
      <c r="GL89" s="30" t="e">
        <f t="shared" ca="1" si="101"/>
        <v>#NAME?</v>
      </c>
      <c r="GM89" s="35" t="e">
        <f ca="1">_xll.RiskBinomial(1,GL89)</f>
        <v>#VALUE!</v>
      </c>
      <c r="GN89" s="88" t="e">
        <f ca="1">IF(GM89=1,_xll.RiskBinomial(1,Prob_Illness_Given_Infection),0)</f>
        <v>#VALUE!</v>
      </c>
      <c r="GP89" s="87" t="e">
        <f t="shared" ca="1" si="135"/>
        <v>#NAME?</v>
      </c>
      <c r="GQ89" s="37" t="e">
        <f ca="1">INT(GP89) + _xll.RiskBinomial(1,GP89-INT(GP89))</f>
        <v>#NAME?</v>
      </c>
      <c r="GR89" s="30" t="e">
        <f t="shared" ca="1" si="102"/>
        <v>#NAME?</v>
      </c>
      <c r="GS89" s="35" t="e">
        <f ca="1">_xll.RiskBinomial(1,GR89)</f>
        <v>#VALUE!</v>
      </c>
      <c r="GT89" s="88" t="e">
        <f ca="1">IF(GS89=1,_xll.RiskBinomial(1,Prob_Illness_Given_Infection),0)</f>
        <v>#VALUE!</v>
      </c>
    </row>
    <row r="90" spans="2:202">
      <c r="B90" s="108">
        <v>82</v>
      </c>
      <c r="C90" s="87">
        <f ca="1">_xll.RiskLoglogistic(LogLogistic_gamma, LogLogistic_beta, LogLogistic_alpha, _xll.RiskTruncate(5,800))</f>
        <v>229.90937299155368</v>
      </c>
      <c r="D90" s="38">
        <f t="shared" ca="1" si="69"/>
        <v>14.769754558341376</v>
      </c>
      <c r="E90" s="30"/>
      <c r="F90" s="87">
        <f t="shared" ca="1" si="103"/>
        <v>5.3324602382536925E-9</v>
      </c>
      <c r="G90" s="37">
        <f ca="1">INT(F90) + _xll.RiskBinomial(1,F90-INT(F90))</f>
        <v>0</v>
      </c>
      <c r="H90" s="30">
        <f t="shared" ca="1" si="70"/>
        <v>0</v>
      </c>
      <c r="I90" s="35">
        <f ca="1">_xll.RiskBinomial(1,H90)</f>
        <v>0</v>
      </c>
      <c r="J90" s="88">
        <f ca="1">IF(I90=1,_xll.RiskBinomial(1,Prob_Illness_Given_Infection),0)</f>
        <v>0</v>
      </c>
      <c r="K90" s="30"/>
      <c r="L90" s="87">
        <f t="shared" ca="1" si="104"/>
        <v>2.7236817457512523E-4</v>
      </c>
      <c r="M90" s="37">
        <f ca="1">INT(L90) + _xll.RiskBinomial(1,L90-INT(L90))</f>
        <v>0</v>
      </c>
      <c r="N90" s="30">
        <f t="shared" ca="1" si="71"/>
        <v>0</v>
      </c>
      <c r="O90" s="35">
        <f ca="1">_xll.RiskBinomial(1,N90)</f>
        <v>0</v>
      </c>
      <c r="P90" s="88">
        <f ca="1">IF(O90=1,_xll.RiskBinomial(1,Prob_Illness_Given_Infection),0)</f>
        <v>0</v>
      </c>
      <c r="Q90" s="30"/>
      <c r="R90" s="87">
        <f t="shared" ca="1" si="105"/>
        <v>2.8156270147520391E-5</v>
      </c>
      <c r="S90" s="37">
        <f ca="1">INT(R90) + _xll.RiskBinomial(1,R90-INT(R90))</f>
        <v>0</v>
      </c>
      <c r="T90" s="30">
        <f t="shared" ca="1" si="72"/>
        <v>0</v>
      </c>
      <c r="U90" s="35">
        <f ca="1">_xll.RiskBinomial(1,T90)</f>
        <v>0</v>
      </c>
      <c r="V90" s="88">
        <f ca="1">IF(U90=1,_xll.RiskBinomial(1,Prob_Illness_Given_Infection),0)</f>
        <v>0</v>
      </c>
      <c r="W90" s="30"/>
      <c r="X90" s="87">
        <f t="shared" ca="1" si="106"/>
        <v>1.1567329363849656E-11</v>
      </c>
      <c r="Y90" s="37">
        <f ca="1">INT(X90) + _xll.RiskBinomial(1,X90-INT(X90))</f>
        <v>0</v>
      </c>
      <c r="Z90" s="30">
        <f t="shared" ca="1" si="73"/>
        <v>0</v>
      </c>
      <c r="AA90" s="35">
        <f ca="1">_xll.RiskBinomial(1,Z90)</f>
        <v>0</v>
      </c>
      <c r="AB90" s="88">
        <f ca="1">IF(AA90=1,_xll.RiskBinomial(1,Prob_Illness_Given_Infection),0)</f>
        <v>0</v>
      </c>
      <c r="AC90" s="30"/>
      <c r="AD90" s="87">
        <f t="shared" ca="1" si="107"/>
        <v>5.8278253970078753E-12</v>
      </c>
      <c r="AE90" s="37">
        <f ca="1">INT(AD90) + _xll.RiskBinomial(1,AD90-INT(AD90))</f>
        <v>0</v>
      </c>
      <c r="AF90" s="30">
        <f t="shared" ca="1" si="74"/>
        <v>0</v>
      </c>
      <c r="AG90" s="35">
        <f ca="1">_xll.RiskBinomial(1,AF90)</f>
        <v>0</v>
      </c>
      <c r="AH90" s="88">
        <f ca="1">IF(AG90=1,_xll.RiskBinomial(1,Prob_Illness_Given_Infection),0)</f>
        <v>0</v>
      </c>
      <c r="AI90" s="30"/>
      <c r="AJ90" s="87">
        <f t="shared" ca="1" si="108"/>
        <v>2.7051263622826651E-4</v>
      </c>
      <c r="AK90" s="37">
        <f ca="1">INT(AJ90) + _xll.RiskBinomial(1,AJ90-INT(AJ90))</f>
        <v>0</v>
      </c>
      <c r="AL90" s="30">
        <f t="shared" ca="1" si="75"/>
        <v>0</v>
      </c>
      <c r="AM90" s="35">
        <f ca="1">_xll.RiskBinomial(1,AL90)</f>
        <v>0</v>
      </c>
      <c r="AN90" s="88">
        <f ca="1">IF(AM90=1,_xll.RiskBinomial(1,Prob_Illness_Given_Infection),0)</f>
        <v>0</v>
      </c>
      <c r="AO90" s="30"/>
      <c r="AP90" s="87">
        <f t="shared" ca="1" si="109"/>
        <v>6.5786059141675234E-9</v>
      </c>
      <c r="AQ90" s="37">
        <f ca="1">INT(AP90) + _xll.RiskBinomial(1,AP90-INT(AP90))</f>
        <v>0</v>
      </c>
      <c r="AR90" s="30">
        <f t="shared" ca="1" si="76"/>
        <v>0</v>
      </c>
      <c r="AS90" s="35">
        <f ca="1">_xll.RiskBinomial(1,AR90)</f>
        <v>0</v>
      </c>
      <c r="AT90" s="88">
        <f ca="1">IF(AS90=1,_xll.RiskBinomial(1,Prob_Illness_Given_Infection),0)</f>
        <v>0</v>
      </c>
      <c r="AU90" s="30"/>
      <c r="AV90" s="87">
        <f t="shared" ca="1" si="110"/>
        <v>1.5262023247830954E-4</v>
      </c>
      <c r="AW90" s="37">
        <f ca="1">INT(AV90) + _xll.RiskBinomial(1,AV90-INT(AV90))</f>
        <v>0</v>
      </c>
      <c r="AX90" s="30">
        <f t="shared" ca="1" si="77"/>
        <v>0</v>
      </c>
      <c r="AY90" s="35">
        <f ca="1">_xll.RiskBinomial(1,AX90)</f>
        <v>0</v>
      </c>
      <c r="AZ90" s="88">
        <f ca="1">IF(AY90=1,_xll.RiskBinomial(1,Prob_Illness_Given_Infection),0)</f>
        <v>0</v>
      </c>
      <c r="BB90" s="87">
        <f t="shared" ca="1" si="111"/>
        <v>2.0947277667998778E-4</v>
      </c>
      <c r="BC90" s="37">
        <f ca="1">INT(BB90) + _xll.RiskBinomial(1,BB90-INT(BB90))</f>
        <v>0</v>
      </c>
      <c r="BD90" s="30">
        <f t="shared" ca="1" si="78"/>
        <v>0</v>
      </c>
      <c r="BE90" s="35">
        <f ca="1">_xll.RiskBinomial(1,BD90)</f>
        <v>0</v>
      </c>
      <c r="BF90" s="88">
        <f ca="1">IF(BE90=1,_xll.RiskBinomial(1,Prob_Illness_Given_Infection),0)</f>
        <v>0</v>
      </c>
      <c r="BH90" s="87">
        <f t="shared" ca="1" si="112"/>
        <v>2.652075212805935E-4</v>
      </c>
      <c r="BI90" s="37">
        <f ca="1">INT(BH90) + _xll.RiskBinomial(1,BH90-INT(BH90))</f>
        <v>0</v>
      </c>
      <c r="BJ90" s="30">
        <f t="shared" ca="1" si="79"/>
        <v>0</v>
      </c>
      <c r="BK90" s="35">
        <f ca="1">_xll.RiskBinomial(1,BJ90)</f>
        <v>0</v>
      </c>
      <c r="BL90" s="88">
        <f ca="1">IF(BK90=1,_xll.RiskBinomial(1,Prob_Illness_Given_Infection),0)</f>
        <v>0</v>
      </c>
      <c r="BN90" s="87">
        <f t="shared" ca="1" si="113"/>
        <v>2.0183804574785874E-5</v>
      </c>
      <c r="BO90" s="37">
        <f ca="1">INT(BN90) + _xll.RiskBinomial(1,BN90-INT(BN90))</f>
        <v>0</v>
      </c>
      <c r="BP90" s="30">
        <f t="shared" ca="1" si="80"/>
        <v>0</v>
      </c>
      <c r="BQ90" s="35">
        <f ca="1">_xll.RiskBinomial(1,BP90)</f>
        <v>0</v>
      </c>
      <c r="BR90" s="88">
        <f ca="1">IF(BQ90=1,_xll.RiskBinomial(1,Prob_Illness_Given_Infection),0)</f>
        <v>0</v>
      </c>
      <c r="BT90" s="87">
        <f t="shared" ca="1" si="114"/>
        <v>6.069248697576924E-5</v>
      </c>
      <c r="BU90" s="37">
        <f ca="1">INT(BT90) + _xll.RiskBinomial(1,BT90-INT(BT90))</f>
        <v>0</v>
      </c>
      <c r="BV90" s="30">
        <f t="shared" ca="1" si="81"/>
        <v>0</v>
      </c>
      <c r="BW90" s="35">
        <f ca="1">_xll.RiskBinomial(1,BV90)</f>
        <v>0</v>
      </c>
      <c r="BX90" s="88">
        <f ca="1">IF(BW90=1,_xll.RiskBinomial(1,Prob_Illness_Given_Infection),0)</f>
        <v>0</v>
      </c>
      <c r="BZ90" s="87">
        <f t="shared" ca="1" si="115"/>
        <v>1.6637856570322958E-4</v>
      </c>
      <c r="CA90" s="37">
        <f ca="1">INT(BZ90) + _xll.RiskBinomial(1,BZ90-INT(BZ90))</f>
        <v>0</v>
      </c>
      <c r="CB90" s="30">
        <f t="shared" ca="1" si="82"/>
        <v>0</v>
      </c>
      <c r="CC90" s="35">
        <f ca="1">_xll.RiskBinomial(1,CB90)</f>
        <v>0</v>
      </c>
      <c r="CD90" s="88">
        <f ca="1">IF(CC90=1,_xll.RiskBinomial(1,Prob_Illness_Given_Infection),0)</f>
        <v>0</v>
      </c>
      <c r="CF90" s="87">
        <f t="shared" ca="1" si="116"/>
        <v>3.156866752063071E-5</v>
      </c>
      <c r="CG90" s="37">
        <f ca="1">INT(CF90) + _xll.RiskBinomial(1,CF90-INT(CF90))</f>
        <v>0</v>
      </c>
      <c r="CH90" s="30">
        <f t="shared" ca="1" si="83"/>
        <v>0</v>
      </c>
      <c r="CI90" s="35">
        <f ca="1">_xll.RiskBinomial(1,CH90)</f>
        <v>0</v>
      </c>
      <c r="CJ90" s="88">
        <f ca="1">IF(CI90=1,_xll.RiskBinomial(1,Prob_Illness_Given_Infection),0)</f>
        <v>0</v>
      </c>
      <c r="CL90" s="87">
        <f t="shared" ca="1" si="117"/>
        <v>6.0918690488779708E-5</v>
      </c>
      <c r="CM90" s="37">
        <f ca="1">INT(CL90) + _xll.RiskBinomial(1,CL90-INT(CL90))</f>
        <v>0</v>
      </c>
      <c r="CN90" s="30">
        <f t="shared" ca="1" si="84"/>
        <v>0</v>
      </c>
      <c r="CO90" s="35">
        <f ca="1">_xll.RiskBinomial(1,CN90)</f>
        <v>0</v>
      </c>
      <c r="CP90" s="88">
        <f ca="1">IF(CO90=1,_xll.RiskBinomial(1,Prob_Illness_Given_Infection),0)</f>
        <v>0</v>
      </c>
      <c r="CR90" s="87">
        <f t="shared" ca="1" si="118"/>
        <v>4.1983317664780757E-7</v>
      </c>
      <c r="CS90" s="37">
        <f ca="1">INT(CR90) + _xll.RiskBinomial(1,CR90-INT(CR90))</f>
        <v>0</v>
      </c>
      <c r="CT90" s="30">
        <f t="shared" ca="1" si="85"/>
        <v>0</v>
      </c>
      <c r="CU90" s="35">
        <f ca="1">_xll.RiskBinomial(1,CT90)</f>
        <v>0</v>
      </c>
      <c r="CV90" s="88">
        <f ca="1">IF(CU90=1,_xll.RiskBinomial(1,Prob_Illness_Given_Infection),0)</f>
        <v>0</v>
      </c>
      <c r="CX90" s="87">
        <f t="shared" ca="1" si="119"/>
        <v>4.2738540101887382E-9</v>
      </c>
      <c r="CY90" s="37">
        <f ca="1">INT(CX90) + _xll.RiskBinomial(1,CX90-INT(CX90))</f>
        <v>0</v>
      </c>
      <c r="CZ90" s="30">
        <f t="shared" ca="1" si="86"/>
        <v>0</v>
      </c>
      <c r="DA90" s="35">
        <f ca="1">_xll.RiskBinomial(1,CZ90)</f>
        <v>0</v>
      </c>
      <c r="DB90" s="88">
        <f ca="1">IF(DA90=1,_xll.RiskBinomial(1,Prob_Illness_Given_Infection),0)</f>
        <v>0</v>
      </c>
      <c r="DD90" s="87">
        <f t="shared" ca="1" si="120"/>
        <v>4.2738540101887382E-9</v>
      </c>
      <c r="DE90" s="37">
        <f ca="1">INT(DD90) + _xll.RiskBinomial(1,DD90-INT(DD90))</f>
        <v>0</v>
      </c>
      <c r="DF90" s="30">
        <f t="shared" ca="1" si="87"/>
        <v>0</v>
      </c>
      <c r="DG90" s="35">
        <f ca="1">_xll.RiskBinomial(1,DF90)</f>
        <v>0</v>
      </c>
      <c r="DH90" s="88">
        <f ca="1">IF(DG90=1,_xll.RiskBinomial(1,Prob_Illness_Given_Infection),0)</f>
        <v>0</v>
      </c>
      <c r="DJ90" s="87">
        <f t="shared" ca="1" si="121"/>
        <v>6.9786105891134886E-6</v>
      </c>
      <c r="DK90" s="37">
        <f ca="1">INT(DJ90) + _xll.RiskBinomial(1,DJ90-INT(DJ90))</f>
        <v>0</v>
      </c>
      <c r="DL90" s="30">
        <f t="shared" ca="1" si="88"/>
        <v>0</v>
      </c>
      <c r="DM90" s="35">
        <f ca="1">_xll.RiskBinomial(1,DL90)</f>
        <v>0</v>
      </c>
      <c r="DN90" s="88">
        <f ca="1">IF(DM90=1,_xll.RiskBinomial(1,Prob_Illness_Given_Infection),0)</f>
        <v>0</v>
      </c>
      <c r="DP90" s="87">
        <f t="shared" ca="1" si="122"/>
        <v>1.6497075768328779E-9</v>
      </c>
      <c r="DQ90" s="37">
        <f ca="1">INT(DP90) + _xll.RiskBinomial(1,DP90-INT(DP90))</f>
        <v>0</v>
      </c>
      <c r="DR90" s="30">
        <f t="shared" ca="1" si="89"/>
        <v>0</v>
      </c>
      <c r="DS90" s="35">
        <f ca="1">_xll.RiskBinomial(1,DR90)</f>
        <v>0</v>
      </c>
      <c r="DT90" s="88">
        <f ca="1">IF(DS90=1,_xll.RiskBinomial(1,Prob_Illness_Given_Infection),0)</f>
        <v>0</v>
      </c>
      <c r="DV90" s="87">
        <f t="shared" ca="1" si="123"/>
        <v>2.3224681707194212E-8</v>
      </c>
      <c r="DW90" s="37">
        <f ca="1">INT(DV90) + _xll.RiskBinomial(1,DV90-INT(DV90))</f>
        <v>0</v>
      </c>
      <c r="DX90" s="30">
        <f t="shared" ca="1" si="90"/>
        <v>0</v>
      </c>
      <c r="DY90" s="35">
        <f ca="1">_xll.RiskBinomial(1,DX90)</f>
        <v>0</v>
      </c>
      <c r="DZ90" s="88">
        <f ca="1">IF(DY90=1,_xll.RiskBinomial(1,Prob_Illness_Given_Infection),0)</f>
        <v>0</v>
      </c>
      <c r="EB90" s="87">
        <f t="shared" ca="1" si="124"/>
        <v>5.827825397005918E-12</v>
      </c>
      <c r="EC90" s="37">
        <f ca="1">INT(EB90) + _xll.RiskBinomial(1,EB90-INT(EB90))</f>
        <v>0</v>
      </c>
      <c r="ED90" s="30">
        <f t="shared" ca="1" si="91"/>
        <v>0</v>
      </c>
      <c r="EE90" s="35">
        <f ca="1">_xll.RiskBinomial(1,ED90)</f>
        <v>0</v>
      </c>
      <c r="EF90" s="88">
        <f ca="1">IF(EE90=1,_xll.RiskBinomial(1,Prob_Illness_Given_Infection),0)</f>
        <v>0</v>
      </c>
      <c r="EH90" s="87">
        <f t="shared" ca="1" si="125"/>
        <v>5.8278253969999266E-12</v>
      </c>
      <c r="EI90" s="37">
        <f ca="1">INT(EH90) + _xll.RiskBinomial(1,EH90-INT(EH90))</f>
        <v>0</v>
      </c>
      <c r="EJ90" s="30">
        <f t="shared" ca="1" si="92"/>
        <v>0</v>
      </c>
      <c r="EK90" s="35">
        <f ca="1">_xll.RiskBinomial(1,EJ90)</f>
        <v>0</v>
      </c>
      <c r="EL90" s="88">
        <f ca="1">IF(EK90=1,_xll.RiskBinomial(1,Prob_Illness_Given_Infection),0)</f>
        <v>0</v>
      </c>
      <c r="EN90" s="87">
        <f t="shared" ca="1" si="126"/>
        <v>5.317538831877032E-10</v>
      </c>
      <c r="EO90" s="37">
        <f ca="1">INT(EN90) + _xll.RiskBinomial(1,EN90-INT(EN90))</f>
        <v>0</v>
      </c>
      <c r="EP90" s="30">
        <f t="shared" ca="1" si="93"/>
        <v>0</v>
      </c>
      <c r="EQ90" s="35">
        <f ca="1">_xll.RiskBinomial(1,EP90)</f>
        <v>0</v>
      </c>
      <c r="ER90" s="88">
        <f ca="1">IF(EQ90=1,_xll.RiskBinomial(1,Prob_Illness_Given_Infection),0)</f>
        <v>0</v>
      </c>
      <c r="ET90" s="87">
        <f t="shared" ca="1" si="127"/>
        <v>5.827825396994369E-12</v>
      </c>
      <c r="EU90" s="37">
        <f ca="1">INT(ET90) + _xll.RiskBinomial(1,ET90-INT(ET90))</f>
        <v>0</v>
      </c>
      <c r="EV90" s="30">
        <f t="shared" ca="1" si="94"/>
        <v>0</v>
      </c>
      <c r="EW90" s="35">
        <f ca="1">_xll.RiskBinomial(1,EV90)</f>
        <v>0</v>
      </c>
      <c r="EX90" s="88">
        <f ca="1">IF(EW90=1,_xll.RiskBinomial(1,Prob_Illness_Given_Infection),0)</f>
        <v>0</v>
      </c>
      <c r="EZ90" s="87">
        <f t="shared" ca="1" si="128"/>
        <v>4.3954644828361781E-5</v>
      </c>
      <c r="FA90" s="37">
        <f ca="1">INT(EZ90) + _xll.RiskBinomial(1,EZ90-INT(EZ90))</f>
        <v>0</v>
      </c>
      <c r="FB90" s="30">
        <f t="shared" ca="1" si="95"/>
        <v>0</v>
      </c>
      <c r="FC90" s="35">
        <f ca="1">_xll.RiskBinomial(1,FB90)</f>
        <v>0</v>
      </c>
      <c r="FD90" s="88">
        <f ca="1">IF(FC90=1,_xll.RiskBinomial(1,Prob_Illness_Given_Infection),0)</f>
        <v>0</v>
      </c>
      <c r="FF90" s="87">
        <f t="shared" ca="1" si="129"/>
        <v>3.0618311492445056E-4</v>
      </c>
      <c r="FG90" s="37">
        <f ca="1">INT(FF90) + _xll.RiskBinomial(1,FF90-INT(FF90))</f>
        <v>0</v>
      </c>
      <c r="FH90" s="30">
        <f t="shared" ca="1" si="96"/>
        <v>0</v>
      </c>
      <c r="FI90" s="35">
        <f ca="1">_xll.RiskBinomial(1,FH90)</f>
        <v>0</v>
      </c>
      <c r="FJ90" s="88">
        <f ca="1">IF(FI90=1,_xll.RiskBinomial(1,Prob_Illness_Given_Infection),0)</f>
        <v>0</v>
      </c>
      <c r="FL90" s="87" t="e">
        <f t="shared" ca="1" si="130"/>
        <v>#NAME?</v>
      </c>
      <c r="FM90" s="37" t="e">
        <f ca="1">INT(FL90) + _xll.RiskBinomial(1,FL90-INT(FL90))</f>
        <v>#NAME?</v>
      </c>
      <c r="FN90" s="30" t="e">
        <f t="shared" ca="1" si="97"/>
        <v>#NAME?</v>
      </c>
      <c r="FO90" s="35" t="e">
        <f ca="1">_xll.RiskBinomial(1,FN90)</f>
        <v>#VALUE!</v>
      </c>
      <c r="FP90" s="88" t="e">
        <f ca="1">IF(FO90=1,_xll.RiskBinomial(1,Prob_Illness_Given_Infection),0)</f>
        <v>#VALUE!</v>
      </c>
      <c r="FR90" s="87" t="e">
        <f t="shared" ca="1" si="131"/>
        <v>#NAME?</v>
      </c>
      <c r="FS90" s="37" t="e">
        <f ca="1">INT(FR90) + _xll.RiskBinomial(1,FR90-INT(FR90))</f>
        <v>#NAME?</v>
      </c>
      <c r="FT90" s="30" t="e">
        <f t="shared" ca="1" si="98"/>
        <v>#NAME?</v>
      </c>
      <c r="FU90" s="35" t="e">
        <f ca="1">_xll.RiskBinomial(1,FT90)</f>
        <v>#VALUE!</v>
      </c>
      <c r="FV90" s="88" t="e">
        <f ca="1">IF(FU90=1,_xll.RiskBinomial(1,Prob_Illness_Given_Infection),0)</f>
        <v>#VALUE!</v>
      </c>
      <c r="FX90" s="87">
        <f t="shared" ca="1" si="132"/>
        <v>6.1528260587494561E-7</v>
      </c>
      <c r="FY90" s="37">
        <f ca="1">INT(FX90) + _xll.RiskBinomial(1,FX90-INT(FX90))</f>
        <v>0</v>
      </c>
      <c r="FZ90" s="30">
        <f t="shared" ca="1" si="99"/>
        <v>0</v>
      </c>
      <c r="GA90" s="35">
        <f ca="1">_xll.RiskBinomial(1,FZ90)</f>
        <v>0</v>
      </c>
      <c r="GB90" s="88">
        <f ca="1">IF(GA90=1,_xll.RiskBinomial(1,Prob_Illness_Given_Infection),0)</f>
        <v>0</v>
      </c>
      <c r="GD90" s="87" t="e">
        <f t="shared" ca="1" si="133"/>
        <v>#NAME?</v>
      </c>
      <c r="GE90" s="37" t="e">
        <f ca="1">INT(GD90) + _xll.RiskBinomial(1,GD90-INT(GD90))</f>
        <v>#NAME?</v>
      </c>
      <c r="GF90" s="30" t="e">
        <f t="shared" ca="1" si="100"/>
        <v>#NAME?</v>
      </c>
      <c r="GG90" s="35" t="e">
        <f ca="1">_xll.RiskBinomial(1,GF90)</f>
        <v>#VALUE!</v>
      </c>
      <c r="GH90" s="88" t="e">
        <f ca="1">IF(GG90=1,_xll.RiskBinomial(1,Prob_Illness_Given_Infection),0)</f>
        <v>#VALUE!</v>
      </c>
      <c r="GJ90" s="87" t="e">
        <f t="shared" ca="1" si="134"/>
        <v>#NAME?</v>
      </c>
      <c r="GK90" s="37" t="e">
        <f ca="1">INT(GJ90) + _xll.RiskBinomial(1,GJ90-INT(GJ90))</f>
        <v>#NAME?</v>
      </c>
      <c r="GL90" s="30" t="e">
        <f t="shared" ca="1" si="101"/>
        <v>#NAME?</v>
      </c>
      <c r="GM90" s="35" t="e">
        <f ca="1">_xll.RiskBinomial(1,GL90)</f>
        <v>#VALUE!</v>
      </c>
      <c r="GN90" s="88" t="e">
        <f ca="1">IF(GM90=1,_xll.RiskBinomial(1,Prob_Illness_Given_Infection),0)</f>
        <v>#VALUE!</v>
      </c>
      <c r="GP90" s="87" t="e">
        <f t="shared" ca="1" si="135"/>
        <v>#NAME?</v>
      </c>
      <c r="GQ90" s="37" t="e">
        <f ca="1">INT(GP90) + _xll.RiskBinomial(1,GP90-INT(GP90))</f>
        <v>#NAME?</v>
      </c>
      <c r="GR90" s="30" t="e">
        <f t="shared" ca="1" si="102"/>
        <v>#NAME?</v>
      </c>
      <c r="GS90" s="35" t="e">
        <f ca="1">_xll.RiskBinomial(1,GR90)</f>
        <v>#VALUE!</v>
      </c>
      <c r="GT90" s="88" t="e">
        <f ca="1">IF(GS90=1,_xll.RiskBinomial(1,Prob_Illness_Given_Infection),0)</f>
        <v>#VALUE!</v>
      </c>
    </row>
    <row r="91" spans="2:202">
      <c r="B91" s="108">
        <v>83</v>
      </c>
      <c r="C91" s="87">
        <f ca="1">_xll.RiskLoglogistic(LogLogistic_gamma, LogLogistic_beta, LogLogistic_alpha, _xll.RiskTruncate(5,800))</f>
        <v>44.394131570120571</v>
      </c>
      <c r="D91" s="38">
        <f t="shared" ca="1" si="69"/>
        <v>2.8519516998790806</v>
      </c>
      <c r="E91" s="30"/>
      <c r="F91" s="87">
        <f t="shared" ca="1" si="103"/>
        <v>1.0296663347351559E-9</v>
      </c>
      <c r="G91" s="37">
        <f ca="1">INT(F91) + _xll.RiskBinomial(1,F91-INT(F91))</f>
        <v>0</v>
      </c>
      <c r="H91" s="30">
        <f t="shared" ca="1" si="70"/>
        <v>0</v>
      </c>
      <c r="I91" s="35">
        <f ca="1">_xll.RiskBinomial(1,H91)</f>
        <v>0</v>
      </c>
      <c r="J91" s="88">
        <f ca="1">IF(I91=1,_xll.RiskBinomial(1,Prob_Illness_Given_Infection),0)</f>
        <v>0</v>
      </c>
      <c r="K91" s="30"/>
      <c r="L91" s="87">
        <f t="shared" ca="1" si="104"/>
        <v>5.2592673453317154E-5</v>
      </c>
      <c r="M91" s="37">
        <f ca="1">INT(L91) + _xll.RiskBinomial(1,L91-INT(L91))</f>
        <v>0</v>
      </c>
      <c r="N91" s="30">
        <f t="shared" ca="1" si="71"/>
        <v>0</v>
      </c>
      <c r="O91" s="35">
        <f ca="1">_xll.RiskBinomial(1,N91)</f>
        <v>0</v>
      </c>
      <c r="P91" s="88">
        <f ca="1">IF(O91=1,_xll.RiskBinomial(1,Prob_Illness_Given_Infection),0)</f>
        <v>0</v>
      </c>
      <c r="Q91" s="30"/>
      <c r="R91" s="87">
        <f t="shared" ca="1" si="105"/>
        <v>5.4368081874539295E-6</v>
      </c>
      <c r="S91" s="37">
        <f ca="1">INT(R91) + _xll.RiskBinomial(1,R91-INT(R91))</f>
        <v>0</v>
      </c>
      <c r="T91" s="30">
        <f t="shared" ca="1" si="72"/>
        <v>0</v>
      </c>
      <c r="U91" s="35">
        <f ca="1">_xll.RiskBinomial(1,T91)</f>
        <v>0</v>
      </c>
      <c r="V91" s="88">
        <f ca="1">IF(U91=1,_xll.RiskBinomial(1,Prob_Illness_Given_Infection),0)</f>
        <v>0</v>
      </c>
      <c r="W91" s="30"/>
      <c r="X91" s="87">
        <f t="shared" ca="1" si="106"/>
        <v>2.2335824547376164E-12</v>
      </c>
      <c r="Y91" s="37">
        <f ca="1">INT(X91) + _xll.RiskBinomial(1,X91-INT(X91))</f>
        <v>0</v>
      </c>
      <c r="Z91" s="30">
        <f t="shared" ca="1" si="73"/>
        <v>0</v>
      </c>
      <c r="AA91" s="35">
        <f ca="1">_xll.RiskBinomial(1,Z91)</f>
        <v>0</v>
      </c>
      <c r="AB91" s="88">
        <f ca="1">IF(AA91=1,_xll.RiskBinomial(1,Prob_Illness_Given_Infection),0)</f>
        <v>0</v>
      </c>
      <c r="AC91" s="30"/>
      <c r="AD91" s="87">
        <f t="shared" ca="1" si="107"/>
        <v>1.1253183986194533E-12</v>
      </c>
      <c r="AE91" s="37">
        <f ca="1">INT(AD91) + _xll.RiskBinomial(1,AD91-INT(AD91))</f>
        <v>0</v>
      </c>
      <c r="AF91" s="30">
        <f t="shared" ca="1" si="74"/>
        <v>0</v>
      </c>
      <c r="AG91" s="35">
        <f ca="1">_xll.RiskBinomial(1,AF91)</f>
        <v>0</v>
      </c>
      <c r="AH91" s="88">
        <f ca="1">IF(AG91=1,_xll.RiskBinomial(1,Prob_Illness_Given_Infection),0)</f>
        <v>0</v>
      </c>
      <c r="AI91" s="30"/>
      <c r="AJ91" s="87">
        <f t="shared" ca="1" si="108"/>
        <v>5.2234380042169997E-5</v>
      </c>
      <c r="AK91" s="37">
        <f ca="1">INT(AJ91) + _xll.RiskBinomial(1,AJ91-INT(AJ91))</f>
        <v>0</v>
      </c>
      <c r="AL91" s="30">
        <f t="shared" ca="1" si="75"/>
        <v>0</v>
      </c>
      <c r="AM91" s="35">
        <f ca="1">_xll.RiskBinomial(1,AL91)</f>
        <v>0</v>
      </c>
      <c r="AN91" s="88">
        <f ca="1">IF(AM91=1,_xll.RiskBinomial(1,Prob_Illness_Given_Infection),0)</f>
        <v>0</v>
      </c>
      <c r="AO91" s="30"/>
      <c r="AP91" s="87">
        <f t="shared" ca="1" si="109"/>
        <v>1.2702896480529989E-9</v>
      </c>
      <c r="AQ91" s="37">
        <f ca="1">INT(AP91) + _xll.RiskBinomial(1,AP91-INT(AP91))</f>
        <v>0</v>
      </c>
      <c r="AR91" s="30">
        <f t="shared" ca="1" si="76"/>
        <v>0</v>
      </c>
      <c r="AS91" s="35">
        <f ca="1">_xll.RiskBinomial(1,AR91)</f>
        <v>0</v>
      </c>
      <c r="AT91" s="88">
        <f ca="1">IF(AS91=1,_xll.RiskBinomial(1,Prob_Illness_Given_Infection),0)</f>
        <v>0</v>
      </c>
      <c r="AU91" s="30"/>
      <c r="AV91" s="87">
        <f t="shared" ca="1" si="110"/>
        <v>2.9470058539776783E-5</v>
      </c>
      <c r="AW91" s="37">
        <f ca="1">INT(AV91) + _xll.RiskBinomial(1,AV91-INT(AV91))</f>
        <v>0</v>
      </c>
      <c r="AX91" s="30">
        <f t="shared" ca="1" si="77"/>
        <v>0</v>
      </c>
      <c r="AY91" s="35">
        <f ca="1">_xll.RiskBinomial(1,AX91)</f>
        <v>0</v>
      </c>
      <c r="AZ91" s="88">
        <f ca="1">IF(AY91=1,_xll.RiskBinomial(1,Prob_Illness_Given_Infection),0)</f>
        <v>0</v>
      </c>
      <c r="BB91" s="87">
        <f t="shared" ca="1" si="111"/>
        <v>4.0447946455108196E-5</v>
      </c>
      <c r="BC91" s="37">
        <f ca="1">INT(BB91) + _xll.RiskBinomial(1,BB91-INT(BB91))</f>
        <v>0</v>
      </c>
      <c r="BD91" s="30">
        <f t="shared" ca="1" si="78"/>
        <v>0</v>
      </c>
      <c r="BE91" s="35">
        <f ca="1">_xll.RiskBinomial(1,BD91)</f>
        <v>0</v>
      </c>
      <c r="BF91" s="88">
        <f ca="1">IF(BE91=1,_xll.RiskBinomial(1,Prob_Illness_Given_Infection),0)</f>
        <v>0</v>
      </c>
      <c r="BH91" s="87">
        <f t="shared" ca="1" si="112"/>
        <v>5.1209993920294657E-5</v>
      </c>
      <c r="BI91" s="37">
        <f ca="1">INT(BH91) + _xll.RiskBinomial(1,BH91-INT(BH91))</f>
        <v>0</v>
      </c>
      <c r="BJ91" s="30">
        <f t="shared" ca="1" si="79"/>
        <v>0</v>
      </c>
      <c r="BK91" s="35">
        <f ca="1">_xll.RiskBinomial(1,BJ91)</f>
        <v>0</v>
      </c>
      <c r="BL91" s="88">
        <f ca="1">IF(BK91=1,_xll.RiskBinomial(1,Prob_Illness_Given_Infection),0)</f>
        <v>0</v>
      </c>
      <c r="BN91" s="87">
        <f t="shared" ca="1" si="113"/>
        <v>3.8973725351839571E-6</v>
      </c>
      <c r="BO91" s="37">
        <f ca="1">INT(BN91) + _xll.RiskBinomial(1,BN91-INT(BN91))</f>
        <v>0</v>
      </c>
      <c r="BP91" s="30">
        <f t="shared" ca="1" si="80"/>
        <v>0</v>
      </c>
      <c r="BQ91" s="35">
        <f ca="1">_xll.RiskBinomial(1,BP91)</f>
        <v>0</v>
      </c>
      <c r="BR91" s="88">
        <f ca="1">IF(BQ91=1,_xll.RiskBinomial(1,Prob_Illness_Given_Infection),0)</f>
        <v>0</v>
      </c>
      <c r="BT91" s="87">
        <f t="shared" ca="1" si="114"/>
        <v>1.1719358010771986E-5</v>
      </c>
      <c r="BU91" s="37">
        <f ca="1">INT(BT91) + _xll.RiskBinomial(1,BT91-INT(BT91))</f>
        <v>0</v>
      </c>
      <c r="BV91" s="30">
        <f t="shared" ca="1" si="81"/>
        <v>0</v>
      </c>
      <c r="BW91" s="35">
        <f ca="1">_xll.RiskBinomial(1,BV91)</f>
        <v>0</v>
      </c>
      <c r="BX91" s="88">
        <f ca="1">IF(BW91=1,_xll.RiskBinomial(1,Prob_Illness_Given_Infection),0)</f>
        <v>0</v>
      </c>
      <c r="BZ91" s="87">
        <f t="shared" ca="1" si="115"/>
        <v>3.2126710799861465E-5</v>
      </c>
      <c r="CA91" s="37">
        <f ca="1">INT(BZ91) + _xll.RiskBinomial(1,BZ91-INT(BZ91))</f>
        <v>0</v>
      </c>
      <c r="CB91" s="30">
        <f t="shared" ca="1" si="82"/>
        <v>0</v>
      </c>
      <c r="CC91" s="35">
        <f ca="1">_xll.RiskBinomial(1,CB91)</f>
        <v>0</v>
      </c>
      <c r="CD91" s="88">
        <f ca="1">IF(CC91=1,_xll.RiskBinomial(1,Prob_Illness_Given_Infection),0)</f>
        <v>0</v>
      </c>
      <c r="CF91" s="87">
        <f t="shared" ca="1" si="116"/>
        <v>6.0957218105925504E-6</v>
      </c>
      <c r="CG91" s="37">
        <f ca="1">INT(CF91) + _xll.RiskBinomial(1,CF91-INT(CF91))</f>
        <v>0</v>
      </c>
      <c r="CH91" s="30">
        <f t="shared" ca="1" si="83"/>
        <v>0</v>
      </c>
      <c r="CI91" s="35">
        <f ca="1">_xll.RiskBinomial(1,CH91)</f>
        <v>0</v>
      </c>
      <c r="CJ91" s="88">
        <f ca="1">IF(CI91=1,_xll.RiskBinomial(1,Prob_Illness_Given_Infection),0)</f>
        <v>0</v>
      </c>
      <c r="CL91" s="87">
        <f t="shared" ca="1" si="117"/>
        <v>1.1763036562835971E-5</v>
      </c>
      <c r="CM91" s="37">
        <f ca="1">INT(CL91) + _xll.RiskBinomial(1,CL91-INT(CL91))</f>
        <v>0</v>
      </c>
      <c r="CN91" s="30">
        <f t="shared" ca="1" si="84"/>
        <v>0</v>
      </c>
      <c r="CO91" s="35">
        <f ca="1">_xll.RiskBinomial(1,CN91)</f>
        <v>0</v>
      </c>
      <c r="CP91" s="88">
        <f ca="1">IF(CO91=1,_xll.RiskBinomial(1,Prob_Illness_Given_Infection),0)</f>
        <v>0</v>
      </c>
      <c r="CR91" s="87">
        <f t="shared" ca="1" si="118"/>
        <v>8.1067287684217905E-8</v>
      </c>
      <c r="CS91" s="37">
        <f ca="1">INT(CR91) + _xll.RiskBinomial(1,CR91-INT(CR91))</f>
        <v>0</v>
      </c>
      <c r="CT91" s="30">
        <f t="shared" ca="1" si="85"/>
        <v>0</v>
      </c>
      <c r="CU91" s="35">
        <f ca="1">_xll.RiskBinomial(1,CT91)</f>
        <v>0</v>
      </c>
      <c r="CV91" s="88">
        <f ca="1">IF(CU91=1,_xll.RiskBinomial(1,Prob_Illness_Given_Infection),0)</f>
        <v>0</v>
      </c>
      <c r="CX91" s="87">
        <f t="shared" ca="1" si="119"/>
        <v>8.2525577261600664E-10</v>
      </c>
      <c r="CY91" s="37">
        <f ca="1">INT(CX91) + _xll.RiskBinomial(1,CX91-INT(CX91))</f>
        <v>0</v>
      </c>
      <c r="CZ91" s="30">
        <f t="shared" ca="1" si="86"/>
        <v>0</v>
      </c>
      <c r="DA91" s="35">
        <f ca="1">_xll.RiskBinomial(1,CZ91)</f>
        <v>0</v>
      </c>
      <c r="DB91" s="88">
        <f ca="1">IF(DA91=1,_xll.RiskBinomial(1,Prob_Illness_Given_Infection),0)</f>
        <v>0</v>
      </c>
      <c r="DD91" s="87">
        <f t="shared" ca="1" si="120"/>
        <v>8.2525577261600664E-10</v>
      </c>
      <c r="DE91" s="37">
        <f ca="1">INT(DD91) + _xll.RiskBinomial(1,DD91-INT(DD91))</f>
        <v>0</v>
      </c>
      <c r="DF91" s="30">
        <f t="shared" ca="1" si="87"/>
        <v>0</v>
      </c>
      <c r="DG91" s="35">
        <f ca="1">_xll.RiskBinomial(1,DF91)</f>
        <v>0</v>
      </c>
      <c r="DH91" s="88">
        <f ca="1">IF(DG91=1,_xll.RiskBinomial(1,Prob_Illness_Given_Infection),0)</f>
        <v>0</v>
      </c>
      <c r="DJ91" s="87">
        <f t="shared" ca="1" si="121"/>
        <v>1.3475281700721375E-6</v>
      </c>
      <c r="DK91" s="37">
        <f ca="1">INT(DJ91) + _xll.RiskBinomial(1,DJ91-INT(DJ91))</f>
        <v>0</v>
      </c>
      <c r="DL91" s="30">
        <f t="shared" ca="1" si="88"/>
        <v>0</v>
      </c>
      <c r="DM91" s="35">
        <f ca="1">_xll.RiskBinomial(1,DL91)</f>
        <v>0</v>
      </c>
      <c r="DN91" s="88">
        <f ca="1">IF(DM91=1,_xll.RiskBinomial(1,Prob_Illness_Given_Infection),0)</f>
        <v>0</v>
      </c>
      <c r="DP91" s="87">
        <f t="shared" ca="1" si="122"/>
        <v>3.1854871450079652E-10</v>
      </c>
      <c r="DQ91" s="37">
        <f ca="1">INT(DP91) + _xll.RiskBinomial(1,DP91-INT(DP91))</f>
        <v>0</v>
      </c>
      <c r="DR91" s="30">
        <f t="shared" ca="1" si="89"/>
        <v>0</v>
      </c>
      <c r="DS91" s="35">
        <f ca="1">_xll.RiskBinomial(1,DR91)</f>
        <v>0</v>
      </c>
      <c r="DT91" s="88">
        <f ca="1">IF(DS91=1,_xll.RiskBinomial(1,Prob_Illness_Given_Infection),0)</f>
        <v>0</v>
      </c>
      <c r="DV91" s="87">
        <f t="shared" ca="1" si="123"/>
        <v>4.4845478110247831E-9</v>
      </c>
      <c r="DW91" s="37">
        <f ca="1">INT(DV91) + _xll.RiskBinomial(1,DV91-INT(DV91))</f>
        <v>0</v>
      </c>
      <c r="DX91" s="30">
        <f t="shared" ca="1" si="90"/>
        <v>0</v>
      </c>
      <c r="DY91" s="35">
        <f ca="1">_xll.RiskBinomial(1,DX91)</f>
        <v>0</v>
      </c>
      <c r="DZ91" s="88">
        <f ca="1">IF(DY91=1,_xll.RiskBinomial(1,Prob_Illness_Given_Infection),0)</f>
        <v>0</v>
      </c>
      <c r="EB91" s="87">
        <f t="shared" ca="1" si="124"/>
        <v>1.1253183986190753E-12</v>
      </c>
      <c r="EC91" s="37">
        <f ca="1">INT(EB91) + _xll.RiskBinomial(1,EB91-INT(EB91))</f>
        <v>0</v>
      </c>
      <c r="ED91" s="30">
        <f t="shared" ca="1" si="91"/>
        <v>0</v>
      </c>
      <c r="EE91" s="35">
        <f ca="1">_xll.RiskBinomial(1,ED91)</f>
        <v>0</v>
      </c>
      <c r="EF91" s="88">
        <f ca="1">IF(EE91=1,_xll.RiskBinomial(1,Prob_Illness_Given_Infection),0)</f>
        <v>0</v>
      </c>
      <c r="EH91" s="87">
        <f t="shared" ca="1" si="125"/>
        <v>1.1253183986179185E-12</v>
      </c>
      <c r="EI91" s="37">
        <f ca="1">INT(EH91) + _xll.RiskBinomial(1,EH91-INT(EH91))</f>
        <v>0</v>
      </c>
      <c r="EJ91" s="30">
        <f t="shared" ca="1" si="92"/>
        <v>0</v>
      </c>
      <c r="EK91" s="35">
        <f ca="1">_xll.RiskBinomial(1,EJ91)</f>
        <v>0</v>
      </c>
      <c r="EL91" s="88">
        <f ca="1">IF(EK91=1,_xll.RiskBinomial(1,Prob_Illness_Given_Infection),0)</f>
        <v>0</v>
      </c>
      <c r="EN91" s="87">
        <f t="shared" ca="1" si="126"/>
        <v>1.0267850999717475E-10</v>
      </c>
      <c r="EO91" s="37">
        <f ca="1">INT(EN91) + _xll.RiskBinomial(1,EN91-INT(EN91))</f>
        <v>0</v>
      </c>
      <c r="EP91" s="30">
        <f t="shared" ca="1" si="93"/>
        <v>0</v>
      </c>
      <c r="EQ91" s="35">
        <f ca="1">_xll.RiskBinomial(1,EP91)</f>
        <v>0</v>
      </c>
      <c r="ER91" s="88">
        <f ca="1">IF(EQ91=1,_xll.RiskBinomial(1,Prob_Illness_Given_Infection),0)</f>
        <v>0</v>
      </c>
      <c r="ET91" s="87">
        <f t="shared" ca="1" si="127"/>
        <v>1.1253183986168453E-12</v>
      </c>
      <c r="EU91" s="37">
        <f ca="1">INT(ET91) + _xll.RiskBinomial(1,ET91-INT(ET91))</f>
        <v>0</v>
      </c>
      <c r="EV91" s="30">
        <f t="shared" ca="1" si="94"/>
        <v>0</v>
      </c>
      <c r="EW91" s="35">
        <f ca="1">_xll.RiskBinomial(1,EV91)</f>
        <v>0</v>
      </c>
      <c r="EX91" s="88">
        <f ca="1">IF(EW91=1,_xll.RiskBinomial(1,Prob_Illness_Given_Infection),0)</f>
        <v>0</v>
      </c>
      <c r="EZ91" s="87">
        <f t="shared" ca="1" si="128"/>
        <v>8.4873803109362571E-6</v>
      </c>
      <c r="FA91" s="37">
        <f ca="1">INT(EZ91) + _xll.RiskBinomial(1,EZ91-INT(EZ91))</f>
        <v>0</v>
      </c>
      <c r="FB91" s="30">
        <f t="shared" ca="1" si="95"/>
        <v>0</v>
      </c>
      <c r="FC91" s="35">
        <f ca="1">_xll.RiskBinomial(1,FB91)</f>
        <v>0</v>
      </c>
      <c r="FD91" s="88">
        <f ca="1">IF(FC91=1,_xll.RiskBinomial(1,Prob_Illness_Given_Infection),0)</f>
        <v>0</v>
      </c>
      <c r="FF91" s="87">
        <f t="shared" ca="1" si="129"/>
        <v>5.9122137177959991E-5</v>
      </c>
      <c r="FG91" s="37">
        <f ca="1">INT(FF91) + _xll.RiskBinomial(1,FF91-INT(FF91))</f>
        <v>0</v>
      </c>
      <c r="FH91" s="30">
        <f t="shared" ca="1" si="96"/>
        <v>0</v>
      </c>
      <c r="FI91" s="35">
        <f ca="1">_xll.RiskBinomial(1,FH91)</f>
        <v>0</v>
      </c>
      <c r="FJ91" s="88">
        <f ca="1">IF(FI91=1,_xll.RiskBinomial(1,Prob_Illness_Given_Infection),0)</f>
        <v>0</v>
      </c>
      <c r="FL91" s="87" t="e">
        <f t="shared" ca="1" si="130"/>
        <v>#NAME?</v>
      </c>
      <c r="FM91" s="37" t="e">
        <f ca="1">INT(FL91) + _xll.RiskBinomial(1,FL91-INT(FL91))</f>
        <v>#NAME?</v>
      </c>
      <c r="FN91" s="30" t="e">
        <f t="shared" ca="1" si="97"/>
        <v>#NAME?</v>
      </c>
      <c r="FO91" s="35" t="e">
        <f ca="1">_xll.RiskBinomial(1,FN91)</f>
        <v>#VALUE!</v>
      </c>
      <c r="FP91" s="88" t="e">
        <f ca="1">IF(FO91=1,_xll.RiskBinomial(1,Prob_Illness_Given_Infection),0)</f>
        <v>#VALUE!</v>
      </c>
      <c r="FR91" s="87" t="e">
        <f t="shared" ca="1" si="131"/>
        <v>#NAME?</v>
      </c>
      <c r="FS91" s="37" t="e">
        <f ca="1">INT(FR91) + _xll.RiskBinomial(1,FR91-INT(FR91))</f>
        <v>#NAME?</v>
      </c>
      <c r="FT91" s="30" t="e">
        <f t="shared" ca="1" si="98"/>
        <v>#NAME?</v>
      </c>
      <c r="FU91" s="35" t="e">
        <f ca="1">_xll.RiskBinomial(1,FT91)</f>
        <v>#VALUE!</v>
      </c>
      <c r="FV91" s="88" t="e">
        <f ca="1">IF(FU91=1,_xll.RiskBinomial(1,Prob_Illness_Given_Infection),0)</f>
        <v>#VALUE!</v>
      </c>
      <c r="FX91" s="87">
        <f t="shared" ca="1" si="132"/>
        <v>1.1880740920911678E-7</v>
      </c>
      <c r="FY91" s="37">
        <f ca="1">INT(FX91) + _xll.RiskBinomial(1,FX91-INT(FX91))</f>
        <v>0</v>
      </c>
      <c r="FZ91" s="30">
        <f t="shared" ca="1" si="99"/>
        <v>0</v>
      </c>
      <c r="GA91" s="35">
        <f ca="1">_xll.RiskBinomial(1,FZ91)</f>
        <v>0</v>
      </c>
      <c r="GB91" s="88">
        <f ca="1">IF(GA91=1,_xll.RiskBinomial(1,Prob_Illness_Given_Infection),0)</f>
        <v>0</v>
      </c>
      <c r="GD91" s="87" t="e">
        <f t="shared" ca="1" si="133"/>
        <v>#NAME?</v>
      </c>
      <c r="GE91" s="37" t="e">
        <f ca="1">INT(GD91) + _xll.RiskBinomial(1,GD91-INT(GD91))</f>
        <v>#NAME?</v>
      </c>
      <c r="GF91" s="30" t="e">
        <f t="shared" ca="1" si="100"/>
        <v>#NAME?</v>
      </c>
      <c r="GG91" s="35" t="e">
        <f ca="1">_xll.RiskBinomial(1,GF91)</f>
        <v>#VALUE!</v>
      </c>
      <c r="GH91" s="88" t="e">
        <f ca="1">IF(GG91=1,_xll.RiskBinomial(1,Prob_Illness_Given_Infection),0)</f>
        <v>#VALUE!</v>
      </c>
      <c r="GJ91" s="87" t="e">
        <f t="shared" ca="1" si="134"/>
        <v>#NAME?</v>
      </c>
      <c r="GK91" s="37" t="e">
        <f ca="1">INT(GJ91) + _xll.RiskBinomial(1,GJ91-INT(GJ91))</f>
        <v>#NAME?</v>
      </c>
      <c r="GL91" s="30" t="e">
        <f t="shared" ca="1" si="101"/>
        <v>#NAME?</v>
      </c>
      <c r="GM91" s="35" t="e">
        <f ca="1">_xll.RiskBinomial(1,GL91)</f>
        <v>#VALUE!</v>
      </c>
      <c r="GN91" s="88" t="e">
        <f ca="1">IF(GM91=1,_xll.RiskBinomial(1,Prob_Illness_Given_Infection),0)</f>
        <v>#VALUE!</v>
      </c>
      <c r="GP91" s="87" t="e">
        <f t="shared" ca="1" si="135"/>
        <v>#NAME?</v>
      </c>
      <c r="GQ91" s="37" t="e">
        <f ca="1">INT(GP91) + _xll.RiskBinomial(1,GP91-INT(GP91))</f>
        <v>#NAME?</v>
      </c>
      <c r="GR91" s="30" t="e">
        <f t="shared" ca="1" si="102"/>
        <v>#NAME?</v>
      </c>
      <c r="GS91" s="35" t="e">
        <f ca="1">_xll.RiskBinomial(1,GR91)</f>
        <v>#VALUE!</v>
      </c>
      <c r="GT91" s="88" t="e">
        <f ca="1">IF(GS91=1,_xll.RiskBinomial(1,Prob_Illness_Given_Infection),0)</f>
        <v>#VALUE!</v>
      </c>
    </row>
    <row r="92" spans="2:202">
      <c r="B92" s="108">
        <v>84</v>
      </c>
      <c r="C92" s="87">
        <f ca="1">_xll.RiskLoglogistic(LogLogistic_gamma, LogLogistic_beta, LogLogistic_alpha, _xll.RiskTruncate(5,800))</f>
        <v>18.628046380528531</v>
      </c>
      <c r="D92" s="38">
        <f t="shared" ca="1" si="69"/>
        <v>1.1966961997322028</v>
      </c>
      <c r="E92" s="30"/>
      <c r="F92" s="87">
        <f t="shared" ca="1" si="103"/>
        <v>4.3205422792468433E-10</v>
      </c>
      <c r="G92" s="37">
        <f ca="1">INT(F92) + _xll.RiskBinomial(1,F92-INT(F92))</f>
        <v>0</v>
      </c>
      <c r="H92" s="30">
        <f t="shared" ca="1" si="70"/>
        <v>0</v>
      </c>
      <c r="I92" s="35">
        <f ca="1">_xll.RiskBinomial(1,H92)</f>
        <v>0</v>
      </c>
      <c r="J92" s="88">
        <f ca="1">IF(I92=1,_xll.RiskBinomial(1,Prob_Illness_Given_Infection),0)</f>
        <v>0</v>
      </c>
      <c r="K92" s="30"/>
      <c r="L92" s="87">
        <f t="shared" ca="1" si="104"/>
        <v>2.2068204190838794E-5</v>
      </c>
      <c r="M92" s="37">
        <f ca="1">INT(L92) + _xll.RiskBinomial(1,L92-INT(L92))</f>
        <v>0</v>
      </c>
      <c r="N92" s="30">
        <f t="shared" ca="1" si="71"/>
        <v>0</v>
      </c>
      <c r="O92" s="35">
        <f ca="1">_xll.RiskBinomial(1,N92)</f>
        <v>0</v>
      </c>
      <c r="P92" s="88">
        <f ca="1">IF(O92=1,_xll.RiskBinomial(1,Prob_Illness_Given_Infection),0)</f>
        <v>0</v>
      </c>
      <c r="Q92" s="30"/>
      <c r="R92" s="87">
        <f t="shared" ca="1" si="105"/>
        <v>2.2813176313171429E-6</v>
      </c>
      <c r="S92" s="37">
        <f ca="1">INT(R92) + _xll.RiskBinomial(1,R92-INT(R92))</f>
        <v>0</v>
      </c>
      <c r="T92" s="30">
        <f t="shared" ca="1" si="72"/>
        <v>0</v>
      </c>
      <c r="U92" s="35">
        <f ca="1">_xll.RiskBinomial(1,T92)</f>
        <v>0</v>
      </c>
      <c r="V92" s="88">
        <f ca="1">IF(U92=1,_xll.RiskBinomial(1,Prob_Illness_Given_Infection),0)</f>
        <v>0</v>
      </c>
      <c r="W92" s="30"/>
      <c r="X92" s="87">
        <f t="shared" ca="1" si="106"/>
        <v>9.3722472070139178E-13</v>
      </c>
      <c r="Y92" s="37">
        <f ca="1">INT(X92) + _xll.RiskBinomial(1,X92-INT(X92))</f>
        <v>0</v>
      </c>
      <c r="Z92" s="30">
        <f t="shared" ca="1" si="73"/>
        <v>0</v>
      </c>
      <c r="AA92" s="35">
        <f ca="1">_xll.RiskBinomial(1,Z92)</f>
        <v>0</v>
      </c>
      <c r="AB92" s="88">
        <f ca="1">IF(AA92=1,_xll.RiskBinomial(1,Prob_Illness_Given_Infection),0)</f>
        <v>0</v>
      </c>
      <c r="AC92" s="30"/>
      <c r="AD92" s="87">
        <f t="shared" ca="1" si="107"/>
        <v>4.7219041303319572E-13</v>
      </c>
      <c r="AE92" s="37">
        <f ca="1">INT(AD92) + _xll.RiskBinomial(1,AD92-INT(AD92))</f>
        <v>0</v>
      </c>
      <c r="AF92" s="30">
        <f t="shared" ca="1" si="74"/>
        <v>0</v>
      </c>
      <c r="AG92" s="35">
        <f ca="1">_xll.RiskBinomial(1,AF92)</f>
        <v>0</v>
      </c>
      <c r="AH92" s="88">
        <f ca="1">IF(AG92=1,_xll.RiskBinomial(1,Prob_Illness_Given_Infection),0)</f>
        <v>0</v>
      </c>
      <c r="AI92" s="30"/>
      <c r="AJ92" s="87">
        <f t="shared" ca="1" si="108"/>
        <v>2.1917862106319242E-5</v>
      </c>
      <c r="AK92" s="37">
        <f ca="1">INT(AJ92) + _xll.RiskBinomial(1,AJ92-INT(AJ92))</f>
        <v>0</v>
      </c>
      <c r="AL92" s="30">
        <f t="shared" ca="1" si="75"/>
        <v>0</v>
      </c>
      <c r="AM92" s="35">
        <f ca="1">_xll.RiskBinomial(1,AL92)</f>
        <v>0</v>
      </c>
      <c r="AN92" s="88">
        <f ca="1">IF(AM92=1,_xll.RiskBinomial(1,Prob_Illness_Given_Infection),0)</f>
        <v>0</v>
      </c>
      <c r="AO92" s="30"/>
      <c r="AP92" s="87">
        <f t="shared" ca="1" si="109"/>
        <v>5.3302122698944502E-10</v>
      </c>
      <c r="AQ92" s="37">
        <f ca="1">INT(AP92) + _xll.RiskBinomial(1,AP92-INT(AP92))</f>
        <v>0</v>
      </c>
      <c r="AR92" s="30">
        <f t="shared" ca="1" si="76"/>
        <v>0</v>
      </c>
      <c r="AS92" s="35">
        <f ca="1">_xll.RiskBinomial(1,AR92)</f>
        <v>0</v>
      </c>
      <c r="AT92" s="88">
        <f ca="1">IF(AS92=1,_xll.RiskBinomial(1,Prob_Illness_Given_Infection),0)</f>
        <v>0</v>
      </c>
      <c r="AU92" s="30"/>
      <c r="AV92" s="87">
        <f t="shared" ca="1" si="110"/>
        <v>1.236581498274732E-5</v>
      </c>
      <c r="AW92" s="37">
        <f ca="1">INT(AV92) + _xll.RiskBinomial(1,AV92-INT(AV92))</f>
        <v>0</v>
      </c>
      <c r="AX92" s="30">
        <f t="shared" ca="1" si="77"/>
        <v>0</v>
      </c>
      <c r="AY92" s="35">
        <f ca="1">_xll.RiskBinomial(1,AX92)</f>
        <v>0</v>
      </c>
      <c r="AZ92" s="88">
        <f ca="1">IF(AY92=1,_xll.RiskBinomial(1,Prob_Illness_Given_Infection),0)</f>
        <v>0</v>
      </c>
      <c r="BB92" s="87">
        <f t="shared" ca="1" si="111"/>
        <v>1.697220321503056E-5</v>
      </c>
      <c r="BC92" s="37">
        <f ca="1">INT(BB92) + _xll.RiskBinomial(1,BB92-INT(BB92))</f>
        <v>0</v>
      </c>
      <c r="BD92" s="30">
        <f t="shared" ca="1" si="78"/>
        <v>0</v>
      </c>
      <c r="BE92" s="35">
        <f ca="1">_xll.RiskBinomial(1,BD92)</f>
        <v>0</v>
      </c>
      <c r="BF92" s="88">
        <f ca="1">IF(BE92=1,_xll.RiskBinomial(1,Prob_Illness_Given_Infection),0)</f>
        <v>0</v>
      </c>
      <c r="BH92" s="87">
        <f t="shared" ca="1" si="112"/>
        <v>2.1488023487678329E-5</v>
      </c>
      <c r="BI92" s="37">
        <f ca="1">INT(BH92) + _xll.RiskBinomial(1,BH92-INT(BH92))</f>
        <v>0</v>
      </c>
      <c r="BJ92" s="30">
        <f t="shared" ca="1" si="79"/>
        <v>0</v>
      </c>
      <c r="BK92" s="35">
        <f ca="1">_xll.RiskBinomial(1,BJ92)</f>
        <v>0</v>
      </c>
      <c r="BL92" s="88">
        <f ca="1">IF(BK92=1,_xll.RiskBinomial(1,Prob_Illness_Given_Infection),0)</f>
        <v>0</v>
      </c>
      <c r="BN92" s="87">
        <f t="shared" ca="1" si="113"/>
        <v>1.6353611114778169E-6</v>
      </c>
      <c r="BO92" s="37">
        <f ca="1">INT(BN92) + _xll.RiskBinomial(1,BN92-INT(BN92))</f>
        <v>0</v>
      </c>
      <c r="BP92" s="30">
        <f t="shared" ca="1" si="80"/>
        <v>0</v>
      </c>
      <c r="BQ92" s="35">
        <f ca="1">_xll.RiskBinomial(1,BP92)</f>
        <v>0</v>
      </c>
      <c r="BR92" s="88">
        <f ca="1">IF(BQ92=1,_xll.RiskBinomial(1,Prob_Illness_Given_Infection),0)</f>
        <v>0</v>
      </c>
      <c r="BT92" s="87">
        <f t="shared" ca="1" si="114"/>
        <v>4.9175135733843615E-6</v>
      </c>
      <c r="BU92" s="37">
        <f ca="1">INT(BT92) + _xll.RiskBinomial(1,BT92-INT(BT92))</f>
        <v>0</v>
      </c>
      <c r="BV92" s="30">
        <f t="shared" ca="1" si="81"/>
        <v>0</v>
      </c>
      <c r="BW92" s="35">
        <f ca="1">_xll.RiskBinomial(1,BV92)</f>
        <v>0</v>
      </c>
      <c r="BX92" s="88">
        <f ca="1">IF(BW92=1,_xll.RiskBinomial(1,Prob_Illness_Given_Infection),0)</f>
        <v>0</v>
      </c>
      <c r="BZ92" s="87">
        <f t="shared" ca="1" si="115"/>
        <v>1.3480562355147806E-5</v>
      </c>
      <c r="CA92" s="37">
        <f ca="1">INT(BZ92) + _xll.RiskBinomial(1,BZ92-INT(BZ92))</f>
        <v>0</v>
      </c>
      <c r="CB92" s="30">
        <f t="shared" ca="1" si="82"/>
        <v>0</v>
      </c>
      <c r="CC92" s="35">
        <f ca="1">_xll.RiskBinomial(1,CB92)</f>
        <v>0</v>
      </c>
      <c r="CD92" s="88">
        <f ca="1">IF(CC92=1,_xll.RiskBinomial(1,Prob_Illness_Given_Infection),0)</f>
        <v>0</v>
      </c>
      <c r="CF92" s="87">
        <f t="shared" ca="1" si="116"/>
        <v>2.5578017768218498E-6</v>
      </c>
      <c r="CG92" s="37">
        <f ca="1">INT(CF92) + _xll.RiskBinomial(1,CF92-INT(CF92))</f>
        <v>0</v>
      </c>
      <c r="CH92" s="30">
        <f t="shared" ca="1" si="83"/>
        <v>0</v>
      </c>
      <c r="CI92" s="35">
        <f ca="1">_xll.RiskBinomial(1,CH92)</f>
        <v>0</v>
      </c>
      <c r="CJ92" s="88">
        <f ca="1">IF(CI92=1,_xll.RiskBinomial(1,Prob_Illness_Given_Infection),0)</f>
        <v>0</v>
      </c>
      <c r="CL92" s="87">
        <f t="shared" ca="1" si="117"/>
        <v>4.93584135827181E-6</v>
      </c>
      <c r="CM92" s="37">
        <f ca="1">INT(CL92) + _xll.RiskBinomial(1,CL92-INT(CL92))</f>
        <v>0</v>
      </c>
      <c r="CN92" s="30">
        <f t="shared" ca="1" si="84"/>
        <v>0</v>
      </c>
      <c r="CO92" s="35">
        <f ca="1">_xll.RiskBinomial(1,CN92)</f>
        <v>0</v>
      </c>
      <c r="CP92" s="88">
        <f ca="1">IF(CO92=1,_xll.RiskBinomial(1,Prob_Illness_Given_Infection),0)</f>
        <v>0</v>
      </c>
      <c r="CR92" s="87">
        <f t="shared" ca="1" si="118"/>
        <v>3.4016324714901031E-8</v>
      </c>
      <c r="CS92" s="37">
        <f ca="1">INT(CR92) + _xll.RiskBinomial(1,CR92-INT(CR92))</f>
        <v>0</v>
      </c>
      <c r="CT92" s="30">
        <f t="shared" ca="1" si="85"/>
        <v>0</v>
      </c>
      <c r="CU92" s="35">
        <f ca="1">_xll.RiskBinomial(1,CT92)</f>
        <v>0</v>
      </c>
      <c r="CV92" s="88">
        <f ca="1">IF(CU92=1,_xll.RiskBinomial(1,Prob_Illness_Given_Infection),0)</f>
        <v>0</v>
      </c>
      <c r="CX92" s="87">
        <f t="shared" ca="1" si="119"/>
        <v>3.462823185043808E-10</v>
      </c>
      <c r="CY92" s="37">
        <f ca="1">INT(CX92) + _xll.RiskBinomial(1,CX92-INT(CX92))</f>
        <v>0</v>
      </c>
      <c r="CZ92" s="30">
        <f t="shared" ca="1" si="86"/>
        <v>0</v>
      </c>
      <c r="DA92" s="35">
        <f ca="1">_xll.RiskBinomial(1,CZ92)</f>
        <v>0</v>
      </c>
      <c r="DB92" s="88">
        <f ca="1">IF(DA92=1,_xll.RiskBinomial(1,Prob_Illness_Given_Infection),0)</f>
        <v>0</v>
      </c>
      <c r="DD92" s="87">
        <f t="shared" ca="1" si="120"/>
        <v>3.462823185043808E-10</v>
      </c>
      <c r="DE92" s="37">
        <f ca="1">INT(DD92) + _xll.RiskBinomial(1,DD92-INT(DD92))</f>
        <v>0</v>
      </c>
      <c r="DF92" s="30">
        <f t="shared" ca="1" si="87"/>
        <v>0</v>
      </c>
      <c r="DG92" s="35">
        <f ca="1">_xll.RiskBinomial(1,DF92)</f>
        <v>0</v>
      </c>
      <c r="DH92" s="88">
        <f ca="1">IF(DG92=1,_xll.RiskBinomial(1,Prob_Illness_Given_Infection),0)</f>
        <v>0</v>
      </c>
      <c r="DJ92" s="87">
        <f t="shared" ca="1" si="121"/>
        <v>5.6543097845092821E-7</v>
      </c>
      <c r="DK92" s="37">
        <f ca="1">INT(DJ92) + _xll.RiskBinomial(1,DJ92-INT(DJ92))</f>
        <v>0</v>
      </c>
      <c r="DL92" s="30">
        <f t="shared" ca="1" si="88"/>
        <v>0</v>
      </c>
      <c r="DM92" s="35">
        <f ca="1">_xll.RiskBinomial(1,DL92)</f>
        <v>0</v>
      </c>
      <c r="DN92" s="88">
        <f ca="1">IF(DM92=1,_xll.RiskBinomial(1,Prob_Illness_Given_Infection),0)</f>
        <v>0</v>
      </c>
      <c r="DP92" s="87">
        <f t="shared" ca="1" si="122"/>
        <v>1.33664969181927E-10</v>
      </c>
      <c r="DQ92" s="37">
        <f ca="1">INT(DP92) + _xll.RiskBinomial(1,DP92-INT(DP92))</f>
        <v>0</v>
      </c>
      <c r="DR92" s="30">
        <f t="shared" ca="1" si="89"/>
        <v>0</v>
      </c>
      <c r="DS92" s="35">
        <f ca="1">_xll.RiskBinomial(1,DR92)</f>
        <v>0</v>
      </c>
      <c r="DT92" s="88">
        <f ca="1">IF(DS92=1,_xll.RiskBinomial(1,Prob_Illness_Given_Infection),0)</f>
        <v>0</v>
      </c>
      <c r="DV92" s="87">
        <f t="shared" ca="1" si="123"/>
        <v>1.8817434121336155E-9</v>
      </c>
      <c r="DW92" s="37">
        <f ca="1">INT(DV92) + _xll.RiskBinomial(1,DV92-INT(DV92))</f>
        <v>0</v>
      </c>
      <c r="DX92" s="30">
        <f t="shared" ca="1" si="90"/>
        <v>0</v>
      </c>
      <c r="DY92" s="35">
        <f ca="1">_xll.RiskBinomial(1,DX92)</f>
        <v>0</v>
      </c>
      <c r="DZ92" s="88">
        <f ca="1">IF(DY92=1,_xll.RiskBinomial(1,Prob_Illness_Given_Infection),0)</f>
        <v>0</v>
      </c>
      <c r="EB92" s="87">
        <f t="shared" ca="1" si="124"/>
        <v>4.7219041303303719E-13</v>
      </c>
      <c r="EC92" s="37">
        <f ca="1">INT(EB92) + _xll.RiskBinomial(1,EB92-INT(EB92))</f>
        <v>0</v>
      </c>
      <c r="ED92" s="30">
        <f t="shared" ca="1" si="91"/>
        <v>0</v>
      </c>
      <c r="EE92" s="35">
        <f ca="1">_xll.RiskBinomial(1,ED92)</f>
        <v>0</v>
      </c>
      <c r="EF92" s="88">
        <f ca="1">IF(EE92=1,_xll.RiskBinomial(1,Prob_Illness_Given_Infection),0)</f>
        <v>0</v>
      </c>
      <c r="EH92" s="87">
        <f t="shared" ca="1" si="125"/>
        <v>4.7219041303255181E-13</v>
      </c>
      <c r="EI92" s="37">
        <f ca="1">INT(EH92) + _xll.RiskBinomial(1,EH92-INT(EH92))</f>
        <v>0</v>
      </c>
      <c r="EJ92" s="30">
        <f t="shared" ca="1" si="92"/>
        <v>0</v>
      </c>
      <c r="EK92" s="35">
        <f ca="1">_xll.RiskBinomial(1,EJ92)</f>
        <v>0</v>
      </c>
      <c r="EL92" s="88">
        <f ca="1">IF(EK92=1,_xll.RiskBinomial(1,Prob_Illness_Given_Infection),0)</f>
        <v>0</v>
      </c>
      <c r="EN92" s="87">
        <f t="shared" ca="1" si="126"/>
        <v>4.3084524437420787E-11</v>
      </c>
      <c r="EO92" s="37">
        <f ca="1">INT(EN92) + _xll.RiskBinomial(1,EN92-INT(EN92))</f>
        <v>0</v>
      </c>
      <c r="EP92" s="30">
        <f t="shared" ca="1" si="93"/>
        <v>0</v>
      </c>
      <c r="EQ92" s="35">
        <f ca="1">_xll.RiskBinomial(1,EP92)</f>
        <v>0</v>
      </c>
      <c r="ER92" s="88">
        <f ca="1">IF(EQ92=1,_xll.RiskBinomial(1,Prob_Illness_Given_Infection),0)</f>
        <v>0</v>
      </c>
      <c r="ET92" s="87">
        <f t="shared" ca="1" si="127"/>
        <v>4.7219041303210146E-13</v>
      </c>
      <c r="EU92" s="37">
        <f ca="1">INT(ET92) + _xll.RiskBinomial(1,ET92-INT(ET92))</f>
        <v>0</v>
      </c>
      <c r="EV92" s="30">
        <f t="shared" ca="1" si="94"/>
        <v>0</v>
      </c>
      <c r="EW92" s="35">
        <f ca="1">_xll.RiskBinomial(1,EV92)</f>
        <v>0</v>
      </c>
      <c r="EX92" s="88">
        <f ca="1">IF(EW92=1,_xll.RiskBinomial(1,Prob_Illness_Given_Infection),0)</f>
        <v>0</v>
      </c>
      <c r="EZ92" s="87">
        <f t="shared" ca="1" si="128"/>
        <v>3.5613561632933604E-6</v>
      </c>
      <c r="FA92" s="37">
        <f ca="1">INT(EZ92) + _xll.RiskBinomial(1,EZ92-INT(EZ92))</f>
        <v>0</v>
      </c>
      <c r="FB92" s="30">
        <f t="shared" ca="1" si="95"/>
        <v>0</v>
      </c>
      <c r="FC92" s="35">
        <f ca="1">_xll.RiskBinomial(1,FB92)</f>
        <v>0</v>
      </c>
      <c r="FD92" s="88">
        <f ca="1">IF(FC92=1,_xll.RiskBinomial(1,Prob_Illness_Given_Infection),0)</f>
        <v>0</v>
      </c>
      <c r="FF92" s="87">
        <f t="shared" ca="1" si="129"/>
        <v>2.4808006700783351E-5</v>
      </c>
      <c r="FG92" s="37">
        <f ca="1">INT(FF92) + _xll.RiskBinomial(1,FF92-INT(FF92))</f>
        <v>0</v>
      </c>
      <c r="FH92" s="30">
        <f t="shared" ca="1" si="96"/>
        <v>0</v>
      </c>
      <c r="FI92" s="35">
        <f ca="1">_xll.RiskBinomial(1,FH92)</f>
        <v>0</v>
      </c>
      <c r="FJ92" s="88">
        <f ca="1">IF(FI92=1,_xll.RiskBinomial(1,Prob_Illness_Given_Infection),0)</f>
        <v>0</v>
      </c>
      <c r="FL92" s="87" t="e">
        <f t="shared" ca="1" si="130"/>
        <v>#NAME?</v>
      </c>
      <c r="FM92" s="37" t="e">
        <f ca="1">INT(FL92) + _xll.RiskBinomial(1,FL92-INT(FL92))</f>
        <v>#NAME?</v>
      </c>
      <c r="FN92" s="30" t="e">
        <f t="shared" ca="1" si="97"/>
        <v>#NAME?</v>
      </c>
      <c r="FO92" s="35" t="e">
        <f ca="1">_xll.RiskBinomial(1,FN92)</f>
        <v>#VALUE!</v>
      </c>
      <c r="FP92" s="88" t="e">
        <f ca="1">IF(FO92=1,_xll.RiskBinomial(1,Prob_Illness_Given_Infection),0)</f>
        <v>#VALUE!</v>
      </c>
      <c r="FR92" s="87" t="e">
        <f t="shared" ca="1" si="131"/>
        <v>#NAME?</v>
      </c>
      <c r="FS92" s="37" t="e">
        <f ca="1">INT(FR92) + _xll.RiskBinomial(1,FR92-INT(FR92))</f>
        <v>#NAME?</v>
      </c>
      <c r="FT92" s="30" t="e">
        <f t="shared" ca="1" si="98"/>
        <v>#NAME?</v>
      </c>
      <c r="FU92" s="35" t="e">
        <f ca="1">_xll.RiskBinomial(1,FT92)</f>
        <v>#VALUE!</v>
      </c>
      <c r="FV92" s="88" t="e">
        <f ca="1">IF(FU92=1,_xll.RiskBinomial(1,Prob_Illness_Given_Infection),0)</f>
        <v>#VALUE!</v>
      </c>
      <c r="FX92" s="87">
        <f t="shared" ca="1" si="132"/>
        <v>4.985230819533405E-8</v>
      </c>
      <c r="FY92" s="37">
        <f ca="1">INT(FX92) + _xll.RiskBinomial(1,FX92-INT(FX92))</f>
        <v>0</v>
      </c>
      <c r="FZ92" s="30">
        <f t="shared" ca="1" si="99"/>
        <v>0</v>
      </c>
      <c r="GA92" s="35">
        <f ca="1">_xll.RiskBinomial(1,FZ92)</f>
        <v>0</v>
      </c>
      <c r="GB92" s="88">
        <f ca="1">IF(GA92=1,_xll.RiskBinomial(1,Prob_Illness_Given_Infection),0)</f>
        <v>0</v>
      </c>
      <c r="GD92" s="87" t="e">
        <f t="shared" ca="1" si="133"/>
        <v>#NAME?</v>
      </c>
      <c r="GE92" s="37" t="e">
        <f ca="1">INT(GD92) + _xll.RiskBinomial(1,GD92-INT(GD92))</f>
        <v>#NAME?</v>
      </c>
      <c r="GF92" s="30" t="e">
        <f t="shared" ca="1" si="100"/>
        <v>#NAME?</v>
      </c>
      <c r="GG92" s="35" t="e">
        <f ca="1">_xll.RiskBinomial(1,GF92)</f>
        <v>#VALUE!</v>
      </c>
      <c r="GH92" s="88" t="e">
        <f ca="1">IF(GG92=1,_xll.RiskBinomial(1,Prob_Illness_Given_Infection),0)</f>
        <v>#VALUE!</v>
      </c>
      <c r="GJ92" s="87" t="e">
        <f t="shared" ca="1" si="134"/>
        <v>#NAME?</v>
      </c>
      <c r="GK92" s="37" t="e">
        <f ca="1">INT(GJ92) + _xll.RiskBinomial(1,GJ92-INT(GJ92))</f>
        <v>#NAME?</v>
      </c>
      <c r="GL92" s="30" t="e">
        <f t="shared" ca="1" si="101"/>
        <v>#NAME?</v>
      </c>
      <c r="GM92" s="35" t="e">
        <f ca="1">_xll.RiskBinomial(1,GL92)</f>
        <v>#VALUE!</v>
      </c>
      <c r="GN92" s="88" t="e">
        <f ca="1">IF(GM92=1,_xll.RiskBinomial(1,Prob_Illness_Given_Infection),0)</f>
        <v>#VALUE!</v>
      </c>
      <c r="GP92" s="87" t="e">
        <f t="shared" ca="1" si="135"/>
        <v>#NAME?</v>
      </c>
      <c r="GQ92" s="37" t="e">
        <f ca="1">INT(GP92) + _xll.RiskBinomial(1,GP92-INT(GP92))</f>
        <v>#NAME?</v>
      </c>
      <c r="GR92" s="30" t="e">
        <f t="shared" ca="1" si="102"/>
        <v>#NAME?</v>
      </c>
      <c r="GS92" s="35" t="e">
        <f ca="1">_xll.RiskBinomial(1,GR92)</f>
        <v>#VALUE!</v>
      </c>
      <c r="GT92" s="88" t="e">
        <f ca="1">IF(GS92=1,_xll.RiskBinomial(1,Prob_Illness_Given_Infection),0)</f>
        <v>#VALUE!</v>
      </c>
    </row>
    <row r="93" spans="2:202">
      <c r="B93" s="108">
        <v>85</v>
      </c>
      <c r="C93" s="87">
        <f ca="1">_xll.RiskLoglogistic(LogLogistic_gamma, LogLogistic_beta, LogLogistic_alpha, _xll.RiskTruncate(5,800))</f>
        <v>86.800344891472236</v>
      </c>
      <c r="D93" s="38">
        <f t="shared" ca="1" si="69"/>
        <v>5.5761962765803545</v>
      </c>
      <c r="E93" s="30"/>
      <c r="F93" s="87">
        <f t="shared" ca="1" si="103"/>
        <v>2.0132253930225238E-9</v>
      </c>
      <c r="G93" s="37">
        <f ca="1">INT(F93) + _xll.RiskBinomial(1,F93-INT(F93))</f>
        <v>0</v>
      </c>
      <c r="H93" s="30">
        <f t="shared" ca="1" si="70"/>
        <v>0</v>
      </c>
      <c r="I93" s="35">
        <f ca="1">_xll.RiskBinomial(1,H93)</f>
        <v>0</v>
      </c>
      <c r="J93" s="88">
        <f ca="1">IF(I93=1,_xll.RiskBinomial(1,Prob_Illness_Given_Infection),0)</f>
        <v>0</v>
      </c>
      <c r="K93" s="30"/>
      <c r="L93" s="87">
        <f t="shared" ca="1" si="104"/>
        <v>1.0283030736398087E-4</v>
      </c>
      <c r="M93" s="37">
        <f ca="1">INT(L93) + _xll.RiskBinomial(1,L93-INT(L93))</f>
        <v>0</v>
      </c>
      <c r="N93" s="30">
        <f t="shared" ca="1" si="71"/>
        <v>0</v>
      </c>
      <c r="O93" s="35">
        <f ca="1">_xll.RiskBinomial(1,N93)</f>
        <v>0</v>
      </c>
      <c r="P93" s="88">
        <f ca="1">IF(O93=1,_xll.RiskBinomial(1,Prob_Illness_Given_Infection),0)</f>
        <v>0</v>
      </c>
      <c r="Q93" s="30"/>
      <c r="R93" s="87">
        <f t="shared" ca="1" si="105"/>
        <v>1.0630162345543082E-5</v>
      </c>
      <c r="S93" s="37">
        <f ca="1">INT(R93) + _xll.RiskBinomial(1,R93-INT(R93))</f>
        <v>0</v>
      </c>
      <c r="T93" s="30">
        <f t="shared" ca="1" si="72"/>
        <v>0</v>
      </c>
      <c r="U93" s="35">
        <f ca="1">_xll.RiskBinomial(1,T93)</f>
        <v>0</v>
      </c>
      <c r="V93" s="88">
        <f ca="1">IF(U93=1,_xll.RiskBinomial(1,Prob_Illness_Given_Infection),0)</f>
        <v>0</v>
      </c>
      <c r="W93" s="30"/>
      <c r="X93" s="87">
        <f t="shared" ca="1" si="106"/>
        <v>4.3671476512281676E-12</v>
      </c>
      <c r="Y93" s="37">
        <f ca="1">INT(X93) + _xll.RiskBinomial(1,X93-INT(X93))</f>
        <v>0</v>
      </c>
      <c r="Z93" s="30">
        <f t="shared" ca="1" si="73"/>
        <v>0</v>
      </c>
      <c r="AA93" s="35">
        <f ca="1">_xll.RiskBinomial(1,Z93)</f>
        <v>0</v>
      </c>
      <c r="AB93" s="88">
        <f ca="1">IF(AA93=1,_xll.RiskBinomial(1,Prob_Illness_Given_Infection),0)</f>
        <v>0</v>
      </c>
      <c r="AC93" s="30"/>
      <c r="AD93" s="87">
        <f t="shared" ca="1" si="107"/>
        <v>2.2002463311756698E-12</v>
      </c>
      <c r="AE93" s="37">
        <f ca="1">INT(AD93) + _xll.RiskBinomial(1,AD93-INT(AD93))</f>
        <v>0</v>
      </c>
      <c r="AF93" s="30">
        <f t="shared" ca="1" si="74"/>
        <v>0</v>
      </c>
      <c r="AG93" s="35">
        <f ca="1">_xll.RiskBinomial(1,AF93)</f>
        <v>0</v>
      </c>
      <c r="AH93" s="88">
        <f ca="1">IF(AG93=1,_xll.RiskBinomial(1,Prob_Illness_Given_Infection),0)</f>
        <v>0</v>
      </c>
      <c r="AI93" s="30"/>
      <c r="AJ93" s="87">
        <f t="shared" ca="1" si="108"/>
        <v>1.0212976450932916E-4</v>
      </c>
      <c r="AK93" s="37">
        <f ca="1">INT(AJ93) + _xll.RiskBinomial(1,AJ93-INT(AJ93))</f>
        <v>0</v>
      </c>
      <c r="AL93" s="30">
        <f t="shared" ca="1" si="75"/>
        <v>0</v>
      </c>
      <c r="AM93" s="35">
        <f ca="1">_xll.RiskBinomial(1,AL93)</f>
        <v>0</v>
      </c>
      <c r="AN93" s="88">
        <f ca="1">IF(AM93=1,_xll.RiskBinomial(1,Prob_Illness_Given_Infection),0)</f>
        <v>0</v>
      </c>
      <c r="AO93" s="30"/>
      <c r="AP93" s="87">
        <f t="shared" ca="1" si="109"/>
        <v>2.4836971839151512E-9</v>
      </c>
      <c r="AQ93" s="37">
        <f ca="1">INT(AP93) + _xll.RiskBinomial(1,AP93-INT(AP93))</f>
        <v>0</v>
      </c>
      <c r="AR93" s="30">
        <f t="shared" ca="1" si="76"/>
        <v>0</v>
      </c>
      <c r="AS93" s="35">
        <f ca="1">_xll.RiskBinomial(1,AR93)</f>
        <v>0</v>
      </c>
      <c r="AT93" s="88">
        <f ca="1">IF(AS93=1,_xll.RiskBinomial(1,Prob_Illness_Given_Infection),0)</f>
        <v>0</v>
      </c>
      <c r="AU93" s="30"/>
      <c r="AV93" s="87">
        <f t="shared" ca="1" si="110"/>
        <v>5.7620481688759247E-5</v>
      </c>
      <c r="AW93" s="37">
        <f ca="1">INT(AV93) + _xll.RiskBinomial(1,AV93-INT(AV93))</f>
        <v>0</v>
      </c>
      <c r="AX93" s="30">
        <f t="shared" ca="1" si="77"/>
        <v>0</v>
      </c>
      <c r="AY93" s="35">
        <f ca="1">_xll.RiskBinomial(1,AX93)</f>
        <v>0</v>
      </c>
      <c r="AZ93" s="88">
        <f ca="1">IF(AY93=1,_xll.RiskBinomial(1,Prob_Illness_Given_Infection),0)</f>
        <v>0</v>
      </c>
      <c r="BB93" s="87">
        <f t="shared" ca="1" si="111"/>
        <v>7.9084680300812513E-5</v>
      </c>
      <c r="BC93" s="37">
        <f ca="1">INT(BB93) + _xll.RiskBinomial(1,BB93-INT(BB93))</f>
        <v>0</v>
      </c>
      <c r="BD93" s="30">
        <f t="shared" ca="1" si="78"/>
        <v>0</v>
      </c>
      <c r="BE93" s="35">
        <f ca="1">_xll.RiskBinomial(1,BD93)</f>
        <v>0</v>
      </c>
      <c r="BF93" s="88">
        <f ca="1">IF(BE93=1,_xll.RiskBinomial(1,Prob_Illness_Given_Infection),0)</f>
        <v>0</v>
      </c>
      <c r="BH93" s="87">
        <f t="shared" ca="1" si="112"/>
        <v>1.0012686310015592E-4</v>
      </c>
      <c r="BI93" s="37">
        <f ca="1">INT(BH93) + _xll.RiskBinomial(1,BH93-INT(BH93))</f>
        <v>0</v>
      </c>
      <c r="BJ93" s="30">
        <f t="shared" ca="1" si="79"/>
        <v>0</v>
      </c>
      <c r="BK93" s="35">
        <f ca="1">_xll.RiskBinomial(1,BJ93)</f>
        <v>0</v>
      </c>
      <c r="BL93" s="88">
        <f ca="1">IF(BK93=1,_xll.RiskBinomial(1,Prob_Illness_Given_Infection),0)</f>
        <v>0</v>
      </c>
      <c r="BN93" s="87">
        <f t="shared" ca="1" si="113"/>
        <v>7.6202252022924348E-6</v>
      </c>
      <c r="BO93" s="37">
        <f ca="1">INT(BN93) + _xll.RiskBinomial(1,BN93-INT(BN93))</f>
        <v>0</v>
      </c>
      <c r="BP93" s="30">
        <f t="shared" ca="1" si="80"/>
        <v>0</v>
      </c>
      <c r="BQ93" s="35">
        <f ca="1">_xll.RiskBinomial(1,BP93)</f>
        <v>0</v>
      </c>
      <c r="BR93" s="88">
        <f ca="1">IF(BQ93=1,_xll.RiskBinomial(1,Prob_Illness_Given_Infection),0)</f>
        <v>0</v>
      </c>
      <c r="BT93" s="87">
        <f t="shared" ca="1" si="114"/>
        <v>2.2913936623242827E-5</v>
      </c>
      <c r="BU93" s="37">
        <f ca="1">INT(BT93) + _xll.RiskBinomial(1,BT93-INT(BT93))</f>
        <v>0</v>
      </c>
      <c r="BV93" s="30">
        <f t="shared" ca="1" si="81"/>
        <v>0</v>
      </c>
      <c r="BW93" s="35">
        <f ca="1">_xll.RiskBinomial(1,BV93)</f>
        <v>0</v>
      </c>
      <c r="BX93" s="88">
        <f ca="1">IF(BW93=1,_xll.RiskBinomial(1,Prob_Illness_Given_Infection),0)</f>
        <v>0</v>
      </c>
      <c r="BZ93" s="87">
        <f t="shared" ca="1" si="115"/>
        <v>6.2814824370467735E-5</v>
      </c>
      <c r="CA93" s="37">
        <f ca="1">INT(BZ93) + _xll.RiskBinomial(1,BZ93-INT(BZ93))</f>
        <v>0</v>
      </c>
      <c r="CB93" s="30">
        <f t="shared" ca="1" si="82"/>
        <v>0</v>
      </c>
      <c r="CC93" s="35">
        <f ca="1">_xll.RiskBinomial(1,CB93)</f>
        <v>0</v>
      </c>
      <c r="CD93" s="88">
        <f ca="1">IF(CC93=1,_xll.RiskBinomial(1,Prob_Illness_Given_Infection),0)</f>
        <v>0</v>
      </c>
      <c r="CF93" s="87">
        <f t="shared" ca="1" si="116"/>
        <v>1.1918484196186426E-5</v>
      </c>
      <c r="CG93" s="37">
        <f ca="1">INT(CF93) + _xll.RiskBinomial(1,CF93-INT(CF93))</f>
        <v>0</v>
      </c>
      <c r="CH93" s="30">
        <f t="shared" ca="1" si="83"/>
        <v>0</v>
      </c>
      <c r="CI93" s="35">
        <f ca="1">_xll.RiskBinomial(1,CH93)</f>
        <v>0</v>
      </c>
      <c r="CJ93" s="88">
        <f ca="1">IF(CI93=1,_xll.RiskBinomial(1,Prob_Illness_Given_Infection),0)</f>
        <v>0</v>
      </c>
      <c r="CL93" s="87">
        <f t="shared" ca="1" si="117"/>
        <v>2.2999337851950854E-5</v>
      </c>
      <c r="CM93" s="37">
        <f ca="1">INT(CL93) + _xll.RiskBinomial(1,CL93-INT(CL93))</f>
        <v>0</v>
      </c>
      <c r="CN93" s="30">
        <f t="shared" ca="1" si="84"/>
        <v>0</v>
      </c>
      <c r="CO93" s="35">
        <f ca="1">_xll.RiskBinomial(1,CN93)</f>
        <v>0</v>
      </c>
      <c r="CP93" s="88">
        <f ca="1">IF(CO93=1,_xll.RiskBinomial(1,Prob_Illness_Given_Infection),0)</f>
        <v>0</v>
      </c>
      <c r="CR93" s="87">
        <f t="shared" ca="1" si="118"/>
        <v>1.585044752884036E-7</v>
      </c>
      <c r="CS93" s="37">
        <f ca="1">INT(CR93) + _xll.RiskBinomial(1,CR93-INT(CR93))</f>
        <v>0</v>
      </c>
      <c r="CT93" s="30">
        <f t="shared" ca="1" si="85"/>
        <v>0</v>
      </c>
      <c r="CU93" s="35">
        <f ca="1">_xll.RiskBinomial(1,CT93)</f>
        <v>0</v>
      </c>
      <c r="CV93" s="88">
        <f ca="1">IF(CU93=1,_xll.RiskBinomial(1,Prob_Illness_Given_Infection),0)</f>
        <v>0</v>
      </c>
      <c r="CX93" s="87">
        <f t="shared" ca="1" si="119"/>
        <v>1.6135575390996033E-9</v>
      </c>
      <c r="CY93" s="37">
        <f ca="1">INT(CX93) + _xll.RiskBinomial(1,CX93-INT(CX93))</f>
        <v>0</v>
      </c>
      <c r="CZ93" s="30">
        <f t="shared" ca="1" si="86"/>
        <v>0</v>
      </c>
      <c r="DA93" s="35">
        <f ca="1">_xll.RiskBinomial(1,CZ93)</f>
        <v>0</v>
      </c>
      <c r="DB93" s="88">
        <f ca="1">IF(DA93=1,_xll.RiskBinomial(1,Prob_Illness_Given_Infection),0)</f>
        <v>0</v>
      </c>
      <c r="DD93" s="87">
        <f t="shared" ca="1" si="120"/>
        <v>1.6135575390996033E-9</v>
      </c>
      <c r="DE93" s="37">
        <f ca="1">INT(DD93) + _xll.RiskBinomial(1,DD93-INT(DD93))</f>
        <v>0</v>
      </c>
      <c r="DF93" s="30">
        <f t="shared" ca="1" si="87"/>
        <v>0</v>
      </c>
      <c r="DG93" s="35">
        <f ca="1">_xll.RiskBinomial(1,DF93)</f>
        <v>0</v>
      </c>
      <c r="DH93" s="88">
        <f ca="1">IF(DG93=1,_xll.RiskBinomial(1,Prob_Illness_Given_Infection),0)</f>
        <v>0</v>
      </c>
      <c r="DJ93" s="87">
        <f t="shared" ca="1" si="121"/>
        <v>2.6347155756045869E-6</v>
      </c>
      <c r="DK93" s="37">
        <f ca="1">INT(DJ93) + _xll.RiskBinomial(1,DJ93-INT(DJ93))</f>
        <v>0</v>
      </c>
      <c r="DL93" s="30">
        <f t="shared" ca="1" si="88"/>
        <v>0</v>
      </c>
      <c r="DM93" s="35">
        <f ca="1">_xll.RiskBinomial(1,DL93)</f>
        <v>0</v>
      </c>
      <c r="DN93" s="88">
        <f ca="1">IF(DM93=1,_xll.RiskBinomial(1,Prob_Illness_Given_Infection),0)</f>
        <v>0</v>
      </c>
      <c r="DP93" s="87">
        <f t="shared" ca="1" si="122"/>
        <v>6.2283318324925086E-10</v>
      </c>
      <c r="DQ93" s="37">
        <f ca="1">INT(DP93) + _xll.RiskBinomial(1,DP93-INT(DP93))</f>
        <v>0</v>
      </c>
      <c r="DR93" s="30">
        <f t="shared" ca="1" si="89"/>
        <v>0</v>
      </c>
      <c r="DS93" s="35">
        <f ca="1">_xll.RiskBinomial(1,DR93)</f>
        <v>0</v>
      </c>
      <c r="DT93" s="88">
        <f ca="1">IF(DS93=1,_xll.RiskBinomial(1,Prob_Illness_Given_Infection),0)</f>
        <v>0</v>
      </c>
      <c r="DV93" s="87">
        <f t="shared" ca="1" si="123"/>
        <v>8.7682827191790199E-9</v>
      </c>
      <c r="DW93" s="37">
        <f ca="1">INT(DV93) + _xll.RiskBinomial(1,DV93-INT(DV93))</f>
        <v>0</v>
      </c>
      <c r="DX93" s="30">
        <f t="shared" ca="1" si="90"/>
        <v>0</v>
      </c>
      <c r="DY93" s="35">
        <f ca="1">_xll.RiskBinomial(1,DX93)</f>
        <v>0</v>
      </c>
      <c r="DZ93" s="88">
        <f ca="1">IF(DY93=1,_xll.RiskBinomial(1,Prob_Illness_Given_Infection),0)</f>
        <v>0</v>
      </c>
      <c r="EB93" s="87">
        <f t="shared" ca="1" si="124"/>
        <v>2.2002463311749311E-12</v>
      </c>
      <c r="EC93" s="37">
        <f ca="1">INT(EB93) + _xll.RiskBinomial(1,EB93-INT(EB93))</f>
        <v>0</v>
      </c>
      <c r="ED93" s="30">
        <f t="shared" ca="1" si="91"/>
        <v>0</v>
      </c>
      <c r="EE93" s="35">
        <f ca="1">_xll.RiskBinomial(1,ED93)</f>
        <v>0</v>
      </c>
      <c r="EF93" s="88">
        <f ca="1">IF(EE93=1,_xll.RiskBinomial(1,Prob_Illness_Given_Infection),0)</f>
        <v>0</v>
      </c>
      <c r="EH93" s="87">
        <f t="shared" ca="1" si="125"/>
        <v>2.2002463311726693E-12</v>
      </c>
      <c r="EI93" s="37">
        <f ca="1">INT(EH93) + _xll.RiskBinomial(1,EH93-INT(EH93))</f>
        <v>0</v>
      </c>
      <c r="EJ93" s="30">
        <f t="shared" ca="1" si="92"/>
        <v>0</v>
      </c>
      <c r="EK93" s="35">
        <f ca="1">_xll.RiskBinomial(1,EJ93)</f>
        <v>0</v>
      </c>
      <c r="EL93" s="88">
        <f ca="1">IF(EK93=1,_xll.RiskBinomial(1,Prob_Illness_Given_Infection),0)</f>
        <v>0</v>
      </c>
      <c r="EN93" s="87">
        <f t="shared" ca="1" si="126"/>
        <v>2.0075919418808539E-10</v>
      </c>
      <c r="EO93" s="37">
        <f ca="1">INT(EN93) + _xll.RiskBinomial(1,EN93-INT(EN93))</f>
        <v>0</v>
      </c>
      <c r="EP93" s="30">
        <f t="shared" ca="1" si="93"/>
        <v>0</v>
      </c>
      <c r="EQ93" s="35">
        <f ca="1">_xll.RiskBinomial(1,EP93)</f>
        <v>0</v>
      </c>
      <c r="ER93" s="88">
        <f ca="1">IF(EQ93=1,_xll.RiskBinomial(1,Prob_Illness_Given_Infection),0)</f>
        <v>0</v>
      </c>
      <c r="ET93" s="87">
        <f t="shared" ca="1" si="127"/>
        <v>2.200246331170571E-12</v>
      </c>
      <c r="EU93" s="37">
        <f ca="1">INT(ET93) + _xll.RiskBinomial(1,ET93-INT(ET93))</f>
        <v>0</v>
      </c>
      <c r="EV93" s="30">
        <f t="shared" ca="1" si="94"/>
        <v>0</v>
      </c>
      <c r="EW93" s="35">
        <f ca="1">_xll.RiskBinomial(1,EV93)</f>
        <v>0</v>
      </c>
      <c r="EX93" s="88">
        <f ca="1">IF(EW93=1,_xll.RiskBinomial(1,Prob_Illness_Given_Infection),0)</f>
        <v>0</v>
      </c>
      <c r="EZ93" s="87">
        <f t="shared" ca="1" si="128"/>
        <v>1.6594705474770413E-5</v>
      </c>
      <c r="FA93" s="37">
        <f ca="1">INT(EZ93) + _xll.RiskBinomial(1,EZ93-INT(EZ93))</f>
        <v>0</v>
      </c>
      <c r="FB93" s="30">
        <f t="shared" ca="1" si="95"/>
        <v>0</v>
      </c>
      <c r="FC93" s="35">
        <f ca="1">_xll.RiskBinomial(1,FB93)</f>
        <v>0</v>
      </c>
      <c r="FD93" s="88">
        <f ca="1">IF(FC93=1,_xll.RiskBinomial(1,Prob_Illness_Given_Infection),0)</f>
        <v>0</v>
      </c>
      <c r="FF93" s="87">
        <f t="shared" ca="1" si="129"/>
        <v>1.1559685292327753E-4</v>
      </c>
      <c r="FG93" s="37">
        <f ca="1">INT(FF93) + _xll.RiskBinomial(1,FF93-INT(FF93))</f>
        <v>0</v>
      </c>
      <c r="FH93" s="30">
        <f t="shared" ca="1" si="96"/>
        <v>0</v>
      </c>
      <c r="FI93" s="35">
        <f ca="1">_xll.RiskBinomial(1,FH93)</f>
        <v>0</v>
      </c>
      <c r="FJ93" s="88">
        <f ca="1">IF(FI93=1,_xll.RiskBinomial(1,Prob_Illness_Given_Infection),0)</f>
        <v>0</v>
      </c>
      <c r="FL93" s="87" t="e">
        <f t="shared" ca="1" si="130"/>
        <v>#NAME?</v>
      </c>
      <c r="FM93" s="37" t="e">
        <f ca="1">INT(FL93) + _xll.RiskBinomial(1,FL93-INT(FL93))</f>
        <v>#NAME?</v>
      </c>
      <c r="FN93" s="30" t="e">
        <f t="shared" ca="1" si="97"/>
        <v>#NAME?</v>
      </c>
      <c r="FO93" s="35" t="e">
        <f ca="1">_xll.RiskBinomial(1,FN93)</f>
        <v>#VALUE!</v>
      </c>
      <c r="FP93" s="88" t="e">
        <f ca="1">IF(FO93=1,_xll.RiskBinomial(1,Prob_Illness_Given_Infection),0)</f>
        <v>#VALUE!</v>
      </c>
      <c r="FR93" s="87" t="e">
        <f t="shared" ca="1" si="131"/>
        <v>#NAME?</v>
      </c>
      <c r="FS93" s="37" t="e">
        <f ca="1">INT(FR93) + _xll.RiskBinomial(1,FR93-INT(FR93))</f>
        <v>#NAME?</v>
      </c>
      <c r="FT93" s="30" t="e">
        <f t="shared" ca="1" si="98"/>
        <v>#NAME?</v>
      </c>
      <c r="FU93" s="35" t="e">
        <f ca="1">_xll.RiskBinomial(1,FT93)</f>
        <v>#VALUE!</v>
      </c>
      <c r="FV93" s="88" t="e">
        <f ca="1">IF(FU93=1,_xll.RiskBinomial(1,Prob_Illness_Given_Infection),0)</f>
        <v>#VALUE!</v>
      </c>
      <c r="FX93" s="87">
        <f t="shared" ca="1" si="132"/>
        <v>2.3229475902068203E-7</v>
      </c>
      <c r="FY93" s="37">
        <f ca="1">INT(FX93) + _xll.RiskBinomial(1,FX93-INT(FX93))</f>
        <v>0</v>
      </c>
      <c r="FZ93" s="30">
        <f t="shared" ca="1" si="99"/>
        <v>0</v>
      </c>
      <c r="GA93" s="35">
        <f ca="1">_xll.RiskBinomial(1,FZ93)</f>
        <v>0</v>
      </c>
      <c r="GB93" s="88">
        <f ca="1">IF(GA93=1,_xll.RiskBinomial(1,Prob_Illness_Given_Infection),0)</f>
        <v>0</v>
      </c>
      <c r="GD93" s="87" t="e">
        <f t="shared" ca="1" si="133"/>
        <v>#NAME?</v>
      </c>
      <c r="GE93" s="37" t="e">
        <f ca="1">INT(GD93) + _xll.RiskBinomial(1,GD93-INT(GD93))</f>
        <v>#NAME?</v>
      </c>
      <c r="GF93" s="30" t="e">
        <f t="shared" ca="1" si="100"/>
        <v>#NAME?</v>
      </c>
      <c r="GG93" s="35" t="e">
        <f ca="1">_xll.RiskBinomial(1,GF93)</f>
        <v>#VALUE!</v>
      </c>
      <c r="GH93" s="88" t="e">
        <f ca="1">IF(GG93=1,_xll.RiskBinomial(1,Prob_Illness_Given_Infection),0)</f>
        <v>#VALUE!</v>
      </c>
      <c r="GJ93" s="87" t="e">
        <f t="shared" ca="1" si="134"/>
        <v>#NAME?</v>
      </c>
      <c r="GK93" s="37" t="e">
        <f ca="1">INT(GJ93) + _xll.RiskBinomial(1,GJ93-INT(GJ93))</f>
        <v>#NAME?</v>
      </c>
      <c r="GL93" s="30" t="e">
        <f t="shared" ca="1" si="101"/>
        <v>#NAME?</v>
      </c>
      <c r="GM93" s="35" t="e">
        <f ca="1">_xll.RiskBinomial(1,GL93)</f>
        <v>#VALUE!</v>
      </c>
      <c r="GN93" s="88" t="e">
        <f ca="1">IF(GM93=1,_xll.RiskBinomial(1,Prob_Illness_Given_Infection),0)</f>
        <v>#VALUE!</v>
      </c>
      <c r="GP93" s="87" t="e">
        <f t="shared" ca="1" si="135"/>
        <v>#NAME?</v>
      </c>
      <c r="GQ93" s="37" t="e">
        <f ca="1">INT(GP93) + _xll.RiskBinomial(1,GP93-INT(GP93))</f>
        <v>#NAME?</v>
      </c>
      <c r="GR93" s="30" t="e">
        <f t="shared" ca="1" si="102"/>
        <v>#NAME?</v>
      </c>
      <c r="GS93" s="35" t="e">
        <f ca="1">_xll.RiskBinomial(1,GR93)</f>
        <v>#VALUE!</v>
      </c>
      <c r="GT93" s="88" t="e">
        <f ca="1">IF(GS93=1,_xll.RiskBinomial(1,Prob_Illness_Given_Infection),0)</f>
        <v>#VALUE!</v>
      </c>
    </row>
    <row r="94" spans="2:202">
      <c r="B94" s="108">
        <v>86</v>
      </c>
      <c r="C94" s="87">
        <f ca="1">_xll.RiskLoglogistic(LogLogistic_gamma, LogLogistic_beta, LogLogistic_alpha, _xll.RiskTruncate(5,800))</f>
        <v>120.64816379421495</v>
      </c>
      <c r="D94" s="38">
        <f t="shared" ca="1" si="69"/>
        <v>7.7506355829198297</v>
      </c>
      <c r="E94" s="30"/>
      <c r="F94" s="87">
        <f t="shared" ca="1" si="103"/>
        <v>2.7982832012447147E-9</v>
      </c>
      <c r="G94" s="37">
        <f ca="1">INT(F94) + _xll.RiskBinomial(1,F94-INT(F94))</f>
        <v>0</v>
      </c>
      <c r="H94" s="30">
        <f t="shared" ca="1" si="70"/>
        <v>0</v>
      </c>
      <c r="I94" s="35">
        <f ca="1">_xll.RiskBinomial(1,H94)</f>
        <v>0</v>
      </c>
      <c r="J94" s="88">
        <f ca="1">IF(I94=1,_xll.RiskBinomial(1,Prob_Illness_Given_Infection),0)</f>
        <v>0</v>
      </c>
      <c r="K94" s="30"/>
      <c r="L94" s="87">
        <f t="shared" ca="1" si="104"/>
        <v>1.4292901464125286E-4</v>
      </c>
      <c r="M94" s="37">
        <f ca="1">INT(L94) + _xll.RiskBinomial(1,L94-INT(L94))</f>
        <v>0</v>
      </c>
      <c r="N94" s="30">
        <f t="shared" ca="1" si="71"/>
        <v>0</v>
      </c>
      <c r="O94" s="35">
        <f ca="1">_xll.RiskBinomial(1,N94)</f>
        <v>0</v>
      </c>
      <c r="P94" s="88">
        <f ca="1">IF(O94=1,_xll.RiskBinomial(1,Prob_Illness_Given_Infection),0)</f>
        <v>0</v>
      </c>
      <c r="Q94" s="30"/>
      <c r="R94" s="87">
        <f t="shared" ca="1" si="105"/>
        <v>1.4775397141886002E-5</v>
      </c>
      <c r="S94" s="37">
        <f ca="1">INT(R94) + _xll.RiskBinomial(1,R94-INT(R94))</f>
        <v>0</v>
      </c>
      <c r="T94" s="30">
        <f t="shared" ca="1" si="72"/>
        <v>0</v>
      </c>
      <c r="U94" s="35">
        <f ca="1">_xll.RiskBinomial(1,T94)</f>
        <v>0</v>
      </c>
      <c r="V94" s="88">
        <f ca="1">IF(U94=1,_xll.RiskBinomial(1,Prob_Illness_Given_Infection),0)</f>
        <v>0</v>
      </c>
      <c r="W94" s="30"/>
      <c r="X94" s="87">
        <f t="shared" ca="1" si="106"/>
        <v>6.0701181060705857E-12</v>
      </c>
      <c r="Y94" s="37">
        <f ca="1">INT(X94) + _xll.RiskBinomial(1,X94-INT(X94))</f>
        <v>0</v>
      </c>
      <c r="Z94" s="30">
        <f t="shared" ca="1" si="73"/>
        <v>0</v>
      </c>
      <c r="AA94" s="35">
        <f ca="1">_xll.RiskBinomial(1,Z94)</f>
        <v>0</v>
      </c>
      <c r="AB94" s="88">
        <f ca="1">IF(AA94=1,_xll.RiskBinomial(1,Prob_Illness_Given_Infection),0)</f>
        <v>0</v>
      </c>
      <c r="AC94" s="30"/>
      <c r="AD94" s="87">
        <f t="shared" ca="1" si="107"/>
        <v>3.0582330068297073E-12</v>
      </c>
      <c r="AE94" s="37">
        <f ca="1">INT(AD94) + _xll.RiskBinomial(1,AD94-INT(AD94))</f>
        <v>0</v>
      </c>
      <c r="AF94" s="30">
        <f t="shared" ca="1" si="74"/>
        <v>0</v>
      </c>
      <c r="AG94" s="35">
        <f ca="1">_xll.RiskBinomial(1,AF94)</f>
        <v>0</v>
      </c>
      <c r="AH94" s="88">
        <f ca="1">IF(AG94=1,_xll.RiskBinomial(1,Prob_Illness_Given_Infection),0)</f>
        <v>0</v>
      </c>
      <c r="AI94" s="30"/>
      <c r="AJ94" s="87">
        <f t="shared" ca="1" si="108"/>
        <v>1.4195529490340433E-4</v>
      </c>
      <c r="AK94" s="37">
        <f ca="1">INT(AJ94) + _xll.RiskBinomial(1,AJ94-INT(AJ94))</f>
        <v>0</v>
      </c>
      <c r="AL94" s="30">
        <f t="shared" ca="1" si="75"/>
        <v>0</v>
      </c>
      <c r="AM94" s="35">
        <f ca="1">_xll.RiskBinomial(1,AL94)</f>
        <v>0</v>
      </c>
      <c r="AN94" s="88">
        <f ca="1">IF(AM94=1,_xll.RiskBinomial(1,Prob_Illness_Given_Infection),0)</f>
        <v>0</v>
      </c>
      <c r="AO94" s="30"/>
      <c r="AP94" s="87">
        <f t="shared" ca="1" si="109"/>
        <v>3.4522155993145747E-9</v>
      </c>
      <c r="AQ94" s="37">
        <f ca="1">INT(AP94) + _xll.RiskBinomial(1,AP94-INT(AP94))</f>
        <v>0</v>
      </c>
      <c r="AR94" s="30">
        <f t="shared" ca="1" si="76"/>
        <v>0</v>
      </c>
      <c r="AS94" s="35">
        <f ca="1">_xll.RiskBinomial(1,AR94)</f>
        <v>0</v>
      </c>
      <c r="AT94" s="88">
        <f ca="1">IF(AS94=1,_xll.RiskBinomial(1,Prob_Illness_Given_Infection),0)</f>
        <v>0</v>
      </c>
      <c r="AU94" s="30"/>
      <c r="AV94" s="87">
        <f t="shared" ca="1" si="110"/>
        <v>8.0089604728862944E-5</v>
      </c>
      <c r="AW94" s="37">
        <f ca="1">INT(AV94) + _xll.RiskBinomial(1,AV94-INT(AV94))</f>
        <v>0</v>
      </c>
      <c r="AX94" s="30">
        <f t="shared" ca="1" si="77"/>
        <v>0</v>
      </c>
      <c r="AY94" s="35">
        <f ca="1">_xll.RiskBinomial(1,AX94)</f>
        <v>0</v>
      </c>
      <c r="AZ94" s="88">
        <f ca="1">IF(AY94=1,_xll.RiskBinomial(1,Prob_Illness_Given_Infection),0)</f>
        <v>0</v>
      </c>
      <c r="BB94" s="87">
        <f t="shared" ca="1" si="111"/>
        <v>1.0992377362642205E-4</v>
      </c>
      <c r="BC94" s="37">
        <f ca="1">INT(BB94) + _xll.RiskBinomial(1,BB94-INT(BB94))</f>
        <v>0</v>
      </c>
      <c r="BD94" s="30">
        <f t="shared" ca="1" si="78"/>
        <v>0</v>
      </c>
      <c r="BE94" s="35">
        <f ca="1">_xll.RiskBinomial(1,BD94)</f>
        <v>0</v>
      </c>
      <c r="BF94" s="88">
        <f ca="1">IF(BE94=1,_xll.RiskBinomial(1,Prob_Illness_Given_Infection),0)</f>
        <v>0</v>
      </c>
      <c r="BH94" s="87">
        <f t="shared" ca="1" si="112"/>
        <v>1.3917136152641449E-4</v>
      </c>
      <c r="BI94" s="37">
        <f ca="1">INT(BH94) + _xll.RiskBinomial(1,BH94-INT(BH94))</f>
        <v>0</v>
      </c>
      <c r="BJ94" s="30">
        <f t="shared" ca="1" si="79"/>
        <v>0</v>
      </c>
      <c r="BK94" s="35">
        <f ca="1">_xll.RiskBinomial(1,BJ94)</f>
        <v>0</v>
      </c>
      <c r="BL94" s="88">
        <f ca="1">IF(BK94=1,_xll.RiskBinomial(1,Prob_Illness_Given_Infection),0)</f>
        <v>0</v>
      </c>
      <c r="BN94" s="87">
        <f t="shared" ca="1" si="113"/>
        <v>1.0591734163089786E-5</v>
      </c>
      <c r="BO94" s="37">
        <f ca="1">INT(BN94) + _xll.RiskBinomial(1,BN94-INT(BN94))</f>
        <v>0</v>
      </c>
      <c r="BP94" s="30">
        <f t="shared" ca="1" si="80"/>
        <v>0</v>
      </c>
      <c r="BQ94" s="35">
        <f ca="1">_xll.RiskBinomial(1,BP94)</f>
        <v>0</v>
      </c>
      <c r="BR94" s="88">
        <f ca="1">IF(BQ94=1,_xll.RiskBinomial(1,Prob_Illness_Given_Infection),0)</f>
        <v>0</v>
      </c>
      <c r="BT94" s="87">
        <f t="shared" ca="1" si="114"/>
        <v>3.1849232653946102E-5</v>
      </c>
      <c r="BU94" s="37">
        <f ca="1">INT(BT94) + _xll.RiskBinomial(1,BT94-INT(BT94))</f>
        <v>0</v>
      </c>
      <c r="BV94" s="30">
        <f t="shared" ca="1" si="81"/>
        <v>0</v>
      </c>
      <c r="BW94" s="35">
        <f ca="1">_xll.RiskBinomial(1,BV94)</f>
        <v>0</v>
      </c>
      <c r="BX94" s="88">
        <f ca="1">IF(BW94=1,_xll.RiskBinomial(1,Prob_Illness_Given_Infection),0)</f>
        <v>0</v>
      </c>
      <c r="BZ94" s="87">
        <f t="shared" ca="1" si="115"/>
        <v>8.7309482800195548E-5</v>
      </c>
      <c r="CA94" s="37">
        <f ca="1">INT(BZ94) + _xll.RiskBinomial(1,BZ94-INT(BZ94))</f>
        <v>0</v>
      </c>
      <c r="CB94" s="30">
        <f t="shared" ca="1" si="82"/>
        <v>0</v>
      </c>
      <c r="CC94" s="35">
        <f ca="1">_xll.RiskBinomial(1,CB94)</f>
        <v>0</v>
      </c>
      <c r="CD94" s="88">
        <f ca="1">IF(CC94=1,_xll.RiskBinomial(1,Prob_Illness_Given_Infection),0)</f>
        <v>0</v>
      </c>
      <c r="CF94" s="87">
        <f t="shared" ca="1" si="116"/>
        <v>1.6566100460524025E-5</v>
      </c>
      <c r="CG94" s="37">
        <f ca="1">INT(CF94) + _xll.RiskBinomial(1,CF94-INT(CF94))</f>
        <v>0</v>
      </c>
      <c r="CH94" s="30">
        <f t="shared" ca="1" si="83"/>
        <v>0</v>
      </c>
      <c r="CI94" s="35">
        <f ca="1">_xll.RiskBinomial(1,CH94)</f>
        <v>0</v>
      </c>
      <c r="CJ94" s="88">
        <f ca="1">IF(CI94=1,_xll.RiskBinomial(1,Prob_Illness_Given_Infection),0)</f>
        <v>0</v>
      </c>
      <c r="CL94" s="87">
        <f t="shared" ca="1" si="117"/>
        <v>3.196793611580764E-5</v>
      </c>
      <c r="CM94" s="37">
        <f ca="1">INT(CL94) + _xll.RiskBinomial(1,CL94-INT(CL94))</f>
        <v>0</v>
      </c>
      <c r="CN94" s="30">
        <f t="shared" ca="1" si="84"/>
        <v>0</v>
      </c>
      <c r="CO94" s="35">
        <f ca="1">_xll.RiskBinomial(1,CN94)</f>
        <v>0</v>
      </c>
      <c r="CP94" s="88">
        <f ca="1">IF(CO94=1,_xll.RiskBinomial(1,Prob_Illness_Given_Infection),0)</f>
        <v>0</v>
      </c>
      <c r="CR94" s="87">
        <f t="shared" ca="1" si="118"/>
        <v>2.2031334000598186E-7</v>
      </c>
      <c r="CS94" s="37">
        <f ca="1">INT(CR94) + _xll.RiskBinomial(1,CR94-INT(CR94))</f>
        <v>0</v>
      </c>
      <c r="CT94" s="30">
        <f t="shared" ca="1" si="85"/>
        <v>0</v>
      </c>
      <c r="CU94" s="35">
        <f ca="1">_xll.RiskBinomial(1,CT94)</f>
        <v>0</v>
      </c>
      <c r="CV94" s="88">
        <f ca="1">IF(CU94=1,_xll.RiskBinomial(1,Prob_Illness_Given_Infection),0)</f>
        <v>0</v>
      </c>
      <c r="CX94" s="87">
        <f t="shared" ca="1" si="119"/>
        <v>2.2427647552792744E-9</v>
      </c>
      <c r="CY94" s="37">
        <f ca="1">INT(CX94) + _xll.RiskBinomial(1,CX94-INT(CX94))</f>
        <v>0</v>
      </c>
      <c r="CZ94" s="30">
        <f t="shared" ca="1" si="86"/>
        <v>0</v>
      </c>
      <c r="DA94" s="35">
        <f ca="1">_xll.RiskBinomial(1,CZ94)</f>
        <v>0</v>
      </c>
      <c r="DB94" s="88">
        <f ca="1">IF(DA94=1,_xll.RiskBinomial(1,Prob_Illness_Given_Infection),0)</f>
        <v>0</v>
      </c>
      <c r="DD94" s="87">
        <f t="shared" ca="1" si="120"/>
        <v>2.2427647552792744E-9</v>
      </c>
      <c r="DE94" s="37">
        <f ca="1">INT(DD94) + _xll.RiskBinomial(1,DD94-INT(DD94))</f>
        <v>0</v>
      </c>
      <c r="DF94" s="30">
        <f t="shared" ca="1" si="87"/>
        <v>0</v>
      </c>
      <c r="DG94" s="35">
        <f ca="1">_xll.RiskBinomial(1,DF94)</f>
        <v>0</v>
      </c>
      <c r="DH94" s="88">
        <f ca="1">IF(DG94=1,_xll.RiskBinomial(1,Prob_Illness_Given_Infection),0)</f>
        <v>0</v>
      </c>
      <c r="DJ94" s="87">
        <f t="shared" ca="1" si="121"/>
        <v>3.6621236553167344E-6</v>
      </c>
      <c r="DK94" s="37">
        <f ca="1">INT(DJ94) + _xll.RiskBinomial(1,DJ94-INT(DJ94))</f>
        <v>0</v>
      </c>
      <c r="DL94" s="30">
        <f t="shared" ca="1" si="88"/>
        <v>0</v>
      </c>
      <c r="DM94" s="35">
        <f ca="1">_xll.RiskBinomial(1,DL94)</f>
        <v>0</v>
      </c>
      <c r="DN94" s="88">
        <f ca="1">IF(DM94=1,_xll.RiskBinomial(1,Prob_Illness_Given_Infection),0)</f>
        <v>0</v>
      </c>
      <c r="DP94" s="87">
        <f t="shared" ca="1" si="122"/>
        <v>8.6570715822709207E-10</v>
      </c>
      <c r="DQ94" s="37">
        <f ca="1">INT(DP94) + _xll.RiskBinomial(1,DP94-INT(DP94))</f>
        <v>0</v>
      </c>
      <c r="DR94" s="30">
        <f t="shared" ca="1" si="89"/>
        <v>0</v>
      </c>
      <c r="DS94" s="35">
        <f ca="1">_xll.RiskBinomial(1,DR94)</f>
        <v>0</v>
      </c>
      <c r="DT94" s="88">
        <f ca="1">IF(DS94=1,_xll.RiskBinomial(1,Prob_Illness_Given_Infection),0)</f>
        <v>0</v>
      </c>
      <c r="DV94" s="87">
        <f t="shared" ca="1" si="123"/>
        <v>1.2187477031573717E-8</v>
      </c>
      <c r="DW94" s="37">
        <f ca="1">INT(DV94) + _xll.RiskBinomial(1,DV94-INT(DV94))</f>
        <v>0</v>
      </c>
      <c r="DX94" s="30">
        <f t="shared" ca="1" si="90"/>
        <v>0</v>
      </c>
      <c r="DY94" s="35">
        <f ca="1">_xll.RiskBinomial(1,DX94)</f>
        <v>0</v>
      </c>
      <c r="DZ94" s="88">
        <f ca="1">IF(DY94=1,_xll.RiskBinomial(1,Prob_Illness_Given_Infection),0)</f>
        <v>0</v>
      </c>
      <c r="EB94" s="87">
        <f t="shared" ca="1" si="124"/>
        <v>3.0582330068286802E-12</v>
      </c>
      <c r="EC94" s="37">
        <f ca="1">INT(EB94) + _xll.RiskBinomial(1,EB94-INT(EB94))</f>
        <v>0</v>
      </c>
      <c r="ED94" s="30">
        <f t="shared" ca="1" si="91"/>
        <v>0</v>
      </c>
      <c r="EE94" s="35">
        <f ca="1">_xll.RiskBinomial(1,ED94)</f>
        <v>0</v>
      </c>
      <c r="EF94" s="88">
        <f ca="1">IF(EE94=1,_xll.RiskBinomial(1,Prob_Illness_Given_Infection),0)</f>
        <v>0</v>
      </c>
      <c r="EH94" s="87">
        <f t="shared" ca="1" si="125"/>
        <v>3.0582330068255363E-12</v>
      </c>
      <c r="EI94" s="37">
        <f ca="1">INT(EH94) + _xll.RiskBinomial(1,EH94-INT(EH94))</f>
        <v>0</v>
      </c>
      <c r="EJ94" s="30">
        <f t="shared" ca="1" si="92"/>
        <v>0</v>
      </c>
      <c r="EK94" s="35">
        <f ca="1">_xll.RiskBinomial(1,EJ94)</f>
        <v>0</v>
      </c>
      <c r="EL94" s="88">
        <f ca="1">IF(EK94=1,_xll.RiskBinomial(1,Prob_Illness_Given_Infection),0)</f>
        <v>0</v>
      </c>
      <c r="EN94" s="87">
        <f t="shared" ca="1" si="126"/>
        <v>2.7904529842459604E-10</v>
      </c>
      <c r="EO94" s="37">
        <f ca="1">INT(EN94) + _xll.RiskBinomial(1,EN94-INT(EN94))</f>
        <v>0</v>
      </c>
      <c r="EP94" s="30">
        <f t="shared" ca="1" si="93"/>
        <v>0</v>
      </c>
      <c r="EQ94" s="35">
        <f ca="1">_xll.RiskBinomial(1,EP94)</f>
        <v>0</v>
      </c>
      <c r="ER94" s="88">
        <f ca="1">IF(EQ94=1,_xll.RiskBinomial(1,Prob_Illness_Given_Infection),0)</f>
        <v>0</v>
      </c>
      <c r="ET94" s="87">
        <f t="shared" ca="1" si="127"/>
        <v>3.0582330068226197E-12</v>
      </c>
      <c r="EU94" s="37">
        <f ca="1">INT(ET94) + _xll.RiskBinomial(1,ET94-INT(ET94))</f>
        <v>0</v>
      </c>
      <c r="EV94" s="30">
        <f t="shared" ca="1" si="94"/>
        <v>0</v>
      </c>
      <c r="EW94" s="35">
        <f ca="1">_xll.RiskBinomial(1,EV94)</f>
        <v>0</v>
      </c>
      <c r="EX94" s="88">
        <f ca="1">IF(EW94=1,_xll.RiskBinomial(1,Prob_Illness_Given_Infection),0)</f>
        <v>0</v>
      </c>
      <c r="EZ94" s="87">
        <f t="shared" ca="1" si="128"/>
        <v>2.3065815541863778E-5</v>
      </c>
      <c r="FA94" s="37">
        <f ca="1">INT(EZ94) + _xll.RiskBinomial(1,EZ94-INT(EZ94))</f>
        <v>0</v>
      </c>
      <c r="FB94" s="30">
        <f t="shared" ca="1" si="95"/>
        <v>0</v>
      </c>
      <c r="FC94" s="35">
        <f ca="1">_xll.RiskBinomial(1,FB94)</f>
        <v>0</v>
      </c>
      <c r="FD94" s="88">
        <f ca="1">IF(FC94=1,_xll.RiskBinomial(1,Prob_Illness_Given_Infection),0)</f>
        <v>0</v>
      </c>
      <c r="FF94" s="87">
        <f t="shared" ca="1" si="129"/>
        <v>1.6067387823194643E-4</v>
      </c>
      <c r="FG94" s="37">
        <f ca="1">INT(FF94) + _xll.RiskBinomial(1,FF94-INT(FF94))</f>
        <v>0</v>
      </c>
      <c r="FH94" s="30">
        <f t="shared" ca="1" si="96"/>
        <v>0</v>
      </c>
      <c r="FI94" s="35">
        <f ca="1">_xll.RiskBinomial(1,FH94)</f>
        <v>0</v>
      </c>
      <c r="FJ94" s="88">
        <f ca="1">IF(FI94=1,_xll.RiskBinomial(1,Prob_Illness_Given_Infection),0)</f>
        <v>0</v>
      </c>
      <c r="FL94" s="87" t="e">
        <f t="shared" ca="1" si="130"/>
        <v>#NAME?</v>
      </c>
      <c r="FM94" s="37" t="e">
        <f ca="1">INT(FL94) + _xll.RiskBinomial(1,FL94-INT(FL94))</f>
        <v>#NAME?</v>
      </c>
      <c r="FN94" s="30" t="e">
        <f t="shared" ca="1" si="97"/>
        <v>#NAME?</v>
      </c>
      <c r="FO94" s="35" t="e">
        <f ca="1">_xll.RiskBinomial(1,FN94)</f>
        <v>#VALUE!</v>
      </c>
      <c r="FP94" s="88" t="e">
        <f ca="1">IF(FO94=1,_xll.RiskBinomial(1,Prob_Illness_Given_Infection),0)</f>
        <v>#VALUE!</v>
      </c>
      <c r="FR94" s="87" t="e">
        <f t="shared" ca="1" si="131"/>
        <v>#NAME?</v>
      </c>
      <c r="FS94" s="37" t="e">
        <f ca="1">INT(FR94) + _xll.RiskBinomial(1,FR94-INT(FR94))</f>
        <v>#NAME?</v>
      </c>
      <c r="FT94" s="30" t="e">
        <f t="shared" ca="1" si="98"/>
        <v>#NAME?</v>
      </c>
      <c r="FU94" s="35" t="e">
        <f ca="1">_xll.RiskBinomial(1,FT94)</f>
        <v>#VALUE!</v>
      </c>
      <c r="FV94" s="88" t="e">
        <f ca="1">IF(FU94=1,_xll.RiskBinomial(1,Prob_Illness_Given_Infection),0)</f>
        <v>#VALUE!</v>
      </c>
      <c r="FX94" s="87">
        <f t="shared" ca="1" si="132"/>
        <v>3.2287816563293823E-7</v>
      </c>
      <c r="FY94" s="37">
        <f ca="1">INT(FX94) + _xll.RiskBinomial(1,FX94-INT(FX94))</f>
        <v>0</v>
      </c>
      <c r="FZ94" s="30">
        <f t="shared" ca="1" si="99"/>
        <v>0</v>
      </c>
      <c r="GA94" s="35">
        <f ca="1">_xll.RiskBinomial(1,FZ94)</f>
        <v>0</v>
      </c>
      <c r="GB94" s="88">
        <f ca="1">IF(GA94=1,_xll.RiskBinomial(1,Prob_Illness_Given_Infection),0)</f>
        <v>0</v>
      </c>
      <c r="GD94" s="87" t="e">
        <f t="shared" ca="1" si="133"/>
        <v>#NAME?</v>
      </c>
      <c r="GE94" s="37" t="e">
        <f ca="1">INT(GD94) + _xll.RiskBinomial(1,GD94-INT(GD94))</f>
        <v>#NAME?</v>
      </c>
      <c r="GF94" s="30" t="e">
        <f t="shared" ca="1" si="100"/>
        <v>#NAME?</v>
      </c>
      <c r="GG94" s="35" t="e">
        <f ca="1">_xll.RiskBinomial(1,GF94)</f>
        <v>#VALUE!</v>
      </c>
      <c r="GH94" s="88" t="e">
        <f ca="1">IF(GG94=1,_xll.RiskBinomial(1,Prob_Illness_Given_Infection),0)</f>
        <v>#VALUE!</v>
      </c>
      <c r="GJ94" s="87" t="e">
        <f t="shared" ca="1" si="134"/>
        <v>#NAME?</v>
      </c>
      <c r="GK94" s="37" t="e">
        <f ca="1">INT(GJ94) + _xll.RiskBinomial(1,GJ94-INT(GJ94))</f>
        <v>#NAME?</v>
      </c>
      <c r="GL94" s="30" t="e">
        <f t="shared" ca="1" si="101"/>
        <v>#NAME?</v>
      </c>
      <c r="GM94" s="35" t="e">
        <f ca="1">_xll.RiskBinomial(1,GL94)</f>
        <v>#VALUE!</v>
      </c>
      <c r="GN94" s="88" t="e">
        <f ca="1">IF(GM94=1,_xll.RiskBinomial(1,Prob_Illness_Given_Infection),0)</f>
        <v>#VALUE!</v>
      </c>
      <c r="GP94" s="87" t="e">
        <f t="shared" ca="1" si="135"/>
        <v>#NAME?</v>
      </c>
      <c r="GQ94" s="37" t="e">
        <f ca="1">INT(GP94) + _xll.RiskBinomial(1,GP94-INT(GP94))</f>
        <v>#NAME?</v>
      </c>
      <c r="GR94" s="30" t="e">
        <f t="shared" ca="1" si="102"/>
        <v>#NAME?</v>
      </c>
      <c r="GS94" s="35" t="e">
        <f ca="1">_xll.RiskBinomial(1,GR94)</f>
        <v>#VALUE!</v>
      </c>
      <c r="GT94" s="88" t="e">
        <f ca="1">IF(GS94=1,_xll.RiskBinomial(1,Prob_Illness_Given_Infection),0)</f>
        <v>#VALUE!</v>
      </c>
    </row>
    <row r="95" spans="2:202">
      <c r="B95" s="108">
        <v>87</v>
      </c>
      <c r="C95" s="87">
        <f ca="1">_xll.RiskLoglogistic(LogLogistic_gamma, LogLogistic_beta, LogLogistic_alpha, _xll.RiskTruncate(5,800))</f>
        <v>172.56871703049347</v>
      </c>
      <c r="D95" s="38">
        <f t="shared" ca="1" si="69"/>
        <v>11.086096933863983</v>
      </c>
      <c r="E95" s="30"/>
      <c r="F95" s="87">
        <f t="shared" ca="1" si="103"/>
        <v>4.0025154692817411E-9</v>
      </c>
      <c r="G95" s="37">
        <f ca="1">INT(F95) + _xll.RiskBinomial(1,F95-INT(F95))</f>
        <v>0</v>
      </c>
      <c r="H95" s="30">
        <f t="shared" ca="1" si="70"/>
        <v>0</v>
      </c>
      <c r="I95" s="35">
        <f ca="1">_xll.RiskBinomial(1,H95)</f>
        <v>0</v>
      </c>
      <c r="J95" s="88">
        <f ca="1">IF(I95=1,_xll.RiskBinomial(1,Prob_Illness_Given_Infection),0)</f>
        <v>0</v>
      </c>
      <c r="K95" s="30"/>
      <c r="L95" s="87">
        <f t="shared" ca="1" si="104"/>
        <v>2.0443806111416598E-4</v>
      </c>
      <c r="M95" s="37">
        <f ca="1">INT(L95) + _xll.RiskBinomial(1,L95-INT(L95))</f>
        <v>0</v>
      </c>
      <c r="N95" s="30">
        <f t="shared" ca="1" si="71"/>
        <v>0</v>
      </c>
      <c r="O95" s="35">
        <f ca="1">_xll.RiskBinomial(1,N95)</f>
        <v>0</v>
      </c>
      <c r="P95" s="88">
        <f ca="1">IF(O95=1,_xll.RiskBinomial(1,Prob_Illness_Given_Infection),0)</f>
        <v>0</v>
      </c>
      <c r="Q95" s="30"/>
      <c r="R95" s="87">
        <f t="shared" ca="1" si="105"/>
        <v>2.1133942268200094E-5</v>
      </c>
      <c r="S95" s="37">
        <f ca="1">INT(R95) + _xll.RiskBinomial(1,R95-INT(R95))</f>
        <v>0</v>
      </c>
      <c r="T95" s="30">
        <f t="shared" ca="1" si="72"/>
        <v>0</v>
      </c>
      <c r="U95" s="35">
        <f ca="1">_xll.RiskBinomial(1,T95)</f>
        <v>0</v>
      </c>
      <c r="V95" s="88">
        <f ca="1">IF(U95=1,_xll.RiskBinomial(1,Prob_Illness_Given_Infection),0)</f>
        <v>0</v>
      </c>
      <c r="W95" s="30"/>
      <c r="X95" s="87">
        <f t="shared" ca="1" si="106"/>
        <v>8.6823741103500972E-12</v>
      </c>
      <c r="Y95" s="37">
        <f ca="1">INT(X95) + _xll.RiskBinomial(1,X95-INT(X95))</f>
        <v>0</v>
      </c>
      <c r="Z95" s="30">
        <f t="shared" ca="1" si="73"/>
        <v>0</v>
      </c>
      <c r="AA95" s="35">
        <f ca="1">_xll.RiskBinomial(1,Z95)</f>
        <v>0</v>
      </c>
      <c r="AB95" s="88">
        <f ca="1">IF(AA95=1,_xll.RiskBinomial(1,Prob_Illness_Given_Infection),0)</f>
        <v>0</v>
      </c>
      <c r="AC95" s="30"/>
      <c r="AD95" s="87">
        <f t="shared" ca="1" si="107"/>
        <v>4.3743338462165367E-12</v>
      </c>
      <c r="AE95" s="37">
        <f ca="1">INT(AD95) + _xll.RiskBinomial(1,AD95-INT(AD95))</f>
        <v>0</v>
      </c>
      <c r="AF95" s="30">
        <f t="shared" ca="1" si="74"/>
        <v>0</v>
      </c>
      <c r="AG95" s="35">
        <f ca="1">_xll.RiskBinomial(1,AF95)</f>
        <v>0</v>
      </c>
      <c r="AH95" s="88">
        <f ca="1">IF(AG95=1,_xll.RiskBinomial(1,Prob_Illness_Given_Infection),0)</f>
        <v>0</v>
      </c>
      <c r="AI95" s="30"/>
      <c r="AJ95" s="87">
        <f t="shared" ca="1" si="108"/>
        <v>2.0304530418672199E-4</v>
      </c>
      <c r="AK95" s="37">
        <f ca="1">INT(AJ95) + _xll.RiskBinomial(1,AJ95-INT(AJ95))</f>
        <v>0</v>
      </c>
      <c r="AL95" s="30">
        <f t="shared" ca="1" si="75"/>
        <v>0</v>
      </c>
      <c r="AM95" s="35">
        <f ca="1">_xll.RiskBinomial(1,AL95)</f>
        <v>0</v>
      </c>
      <c r="AN95" s="88">
        <f ca="1">IF(AM95=1,_xll.RiskBinomial(1,Prob_Illness_Given_Infection),0)</f>
        <v>0</v>
      </c>
      <c r="AO95" s="30"/>
      <c r="AP95" s="87">
        <f t="shared" ca="1" si="109"/>
        <v>4.9378655932344826E-9</v>
      </c>
      <c r="AQ95" s="37">
        <f ca="1">INT(AP95) + _xll.RiskBinomial(1,AP95-INT(AP95))</f>
        <v>0</v>
      </c>
      <c r="AR95" s="30">
        <f t="shared" ca="1" si="76"/>
        <v>0</v>
      </c>
      <c r="AS95" s="35">
        <f ca="1">_xll.RiskBinomial(1,AR95)</f>
        <v>0</v>
      </c>
      <c r="AT95" s="88">
        <f ca="1">IF(AS95=1,_xll.RiskBinomial(1,Prob_Illness_Given_Infection),0)</f>
        <v>0</v>
      </c>
      <c r="AU95" s="30"/>
      <c r="AV95" s="87">
        <f t="shared" ca="1" si="110"/>
        <v>1.145559111791632E-4</v>
      </c>
      <c r="AW95" s="37">
        <f ca="1">INT(AV95) + _xll.RiskBinomial(1,AV95-INT(AV95))</f>
        <v>0</v>
      </c>
      <c r="AX95" s="30">
        <f t="shared" ca="1" si="77"/>
        <v>0</v>
      </c>
      <c r="AY95" s="35">
        <f ca="1">_xll.RiskBinomial(1,AX95)</f>
        <v>0</v>
      </c>
      <c r="AZ95" s="88">
        <f ca="1">IF(AY95=1,_xll.RiskBinomial(1,Prob_Illness_Given_Infection),0)</f>
        <v>0</v>
      </c>
      <c r="BB95" s="87">
        <f t="shared" ca="1" si="111"/>
        <v>1.5722911969234319E-4</v>
      </c>
      <c r="BC95" s="37">
        <f ca="1">INT(BB95) + _xll.RiskBinomial(1,BB95-INT(BB95))</f>
        <v>0</v>
      </c>
      <c r="BD95" s="30">
        <f t="shared" ca="1" si="78"/>
        <v>0</v>
      </c>
      <c r="BE95" s="35">
        <f ca="1">_xll.RiskBinomial(1,BD95)</f>
        <v>0</v>
      </c>
      <c r="BF95" s="88">
        <f ca="1">IF(BE95=1,_xll.RiskBinomial(1,Prob_Illness_Given_Infection),0)</f>
        <v>0</v>
      </c>
      <c r="BH95" s="87">
        <f t="shared" ca="1" si="112"/>
        <v>1.9906331394288425E-4</v>
      </c>
      <c r="BI95" s="37">
        <f ca="1">INT(BH95) + _xll.RiskBinomial(1,BH95-INT(BH95))</f>
        <v>0</v>
      </c>
      <c r="BJ95" s="30">
        <f t="shared" ca="1" si="79"/>
        <v>0</v>
      </c>
      <c r="BK95" s="35">
        <f ca="1">_xll.RiskBinomial(1,BJ95)</f>
        <v>0</v>
      </c>
      <c r="BL95" s="88">
        <f ca="1">IF(BK95=1,_xll.RiskBinomial(1,Prob_Illness_Given_Infection),0)</f>
        <v>0</v>
      </c>
      <c r="BN95" s="87">
        <f t="shared" ca="1" si="113"/>
        <v>1.5149853244099639E-5</v>
      </c>
      <c r="BO95" s="37">
        <f ca="1">INT(BN95) + _xll.RiskBinomial(1,BN95-INT(BN95))</f>
        <v>0</v>
      </c>
      <c r="BP95" s="30">
        <f t="shared" ca="1" si="80"/>
        <v>0</v>
      </c>
      <c r="BQ95" s="35">
        <f ca="1">_xll.RiskBinomial(1,BP95)</f>
        <v>0</v>
      </c>
      <c r="BR95" s="88">
        <f ca="1">IF(BQ95=1,_xll.RiskBinomial(1,Prob_Illness_Given_Infection),0)</f>
        <v>0</v>
      </c>
      <c r="BT95" s="87">
        <f t="shared" ca="1" si="114"/>
        <v>4.5555448542688208E-5</v>
      </c>
      <c r="BU95" s="37">
        <f ca="1">INT(BT95) + _xll.RiskBinomial(1,BT95-INT(BT95))</f>
        <v>0</v>
      </c>
      <c r="BV95" s="30">
        <f t="shared" ca="1" si="81"/>
        <v>0</v>
      </c>
      <c r="BW95" s="35">
        <f ca="1">_xll.RiskBinomial(1,BV95)</f>
        <v>0</v>
      </c>
      <c r="BX95" s="88">
        <f ca="1">IF(BW95=1,_xll.RiskBinomial(1,Prob_Illness_Given_Infection),0)</f>
        <v>0</v>
      </c>
      <c r="BZ95" s="87">
        <f t="shared" ca="1" si="115"/>
        <v>1.2488284079585914E-4</v>
      </c>
      <c r="CA95" s="37">
        <f ca="1">INT(BZ95) + _xll.RiskBinomial(1,BZ95-INT(BZ95))</f>
        <v>0</v>
      </c>
      <c r="CB95" s="30">
        <f t="shared" ca="1" si="82"/>
        <v>0</v>
      </c>
      <c r="CC95" s="35">
        <f ca="1">_xll.RiskBinomial(1,CB95)</f>
        <v>0</v>
      </c>
      <c r="CD95" s="88">
        <f ca="1">IF(CC95=1,_xll.RiskBinomial(1,Prob_Illness_Given_Infection),0)</f>
        <v>0</v>
      </c>
      <c r="CF95" s="87">
        <f t="shared" ca="1" si="116"/>
        <v>2.3695269059768124E-5</v>
      </c>
      <c r="CG95" s="37">
        <f ca="1">INT(CF95) + _xll.RiskBinomial(1,CF95-INT(CF95))</f>
        <v>0</v>
      </c>
      <c r="CH95" s="30">
        <f t="shared" ca="1" si="83"/>
        <v>0</v>
      </c>
      <c r="CI95" s="35">
        <f ca="1">_xll.RiskBinomial(1,CH95)</f>
        <v>0</v>
      </c>
      <c r="CJ95" s="88">
        <f ca="1">IF(CI95=1,_xll.RiskBinomial(1,Prob_Illness_Given_Infection),0)</f>
        <v>0</v>
      </c>
      <c r="CL95" s="87">
        <f t="shared" ca="1" si="117"/>
        <v>4.5725235661499755E-5</v>
      </c>
      <c r="CM95" s="37">
        <f ca="1">INT(CL95) + _xll.RiskBinomial(1,CL95-INT(CL95))</f>
        <v>0</v>
      </c>
      <c r="CN95" s="30">
        <f t="shared" ca="1" si="84"/>
        <v>0</v>
      </c>
      <c r="CO95" s="35">
        <f ca="1">_xll.RiskBinomial(1,CN95)</f>
        <v>0</v>
      </c>
      <c r="CP95" s="88">
        <f ca="1">IF(CO95=1,_xll.RiskBinomial(1,Prob_Illness_Given_Infection),0)</f>
        <v>0</v>
      </c>
      <c r="CR95" s="87">
        <f t="shared" ca="1" si="118"/>
        <v>3.1512448456640494E-7</v>
      </c>
      <c r="CS95" s="37">
        <f ca="1">INT(CR95) + _xll.RiskBinomial(1,CR95-INT(CR95))</f>
        <v>0</v>
      </c>
      <c r="CT95" s="30">
        <f t="shared" ca="1" si="85"/>
        <v>0</v>
      </c>
      <c r="CU95" s="35">
        <f ca="1">_xll.RiskBinomial(1,CT95)</f>
        <v>0</v>
      </c>
      <c r="CV95" s="88">
        <f ca="1">IF(CU95=1,_xll.RiskBinomial(1,Prob_Illness_Given_Infection),0)</f>
        <v>0</v>
      </c>
      <c r="CX95" s="87">
        <f t="shared" ca="1" si="119"/>
        <v>3.2079314284459179E-9</v>
      </c>
      <c r="CY95" s="37">
        <f ca="1">INT(CX95) + _xll.RiskBinomial(1,CX95-INT(CX95))</f>
        <v>0</v>
      </c>
      <c r="CZ95" s="30">
        <f t="shared" ca="1" si="86"/>
        <v>0</v>
      </c>
      <c r="DA95" s="35">
        <f ca="1">_xll.RiskBinomial(1,CZ95)</f>
        <v>0</v>
      </c>
      <c r="DB95" s="88">
        <f ca="1">IF(DA95=1,_xll.RiskBinomial(1,Prob_Illness_Given_Infection),0)</f>
        <v>0</v>
      </c>
      <c r="DD95" s="87">
        <f t="shared" ca="1" si="120"/>
        <v>3.2079314284459179E-9</v>
      </c>
      <c r="DE95" s="37">
        <f ca="1">INT(DD95) + _xll.RiskBinomial(1,DD95-INT(DD95))</f>
        <v>0</v>
      </c>
      <c r="DF95" s="30">
        <f t="shared" ca="1" si="87"/>
        <v>0</v>
      </c>
      <c r="DG95" s="35">
        <f ca="1">_xll.RiskBinomial(1,DF95)</f>
        <v>0</v>
      </c>
      <c r="DH95" s="88">
        <f ca="1">IF(DG95=1,_xll.RiskBinomial(1,Prob_Illness_Given_Infection),0)</f>
        <v>0</v>
      </c>
      <c r="DJ95" s="87">
        <f t="shared" ca="1" si="121"/>
        <v>5.2381069129485807E-6</v>
      </c>
      <c r="DK95" s="37">
        <f ca="1">INT(DJ95) + _xll.RiskBinomial(1,DJ95-INT(DJ95))</f>
        <v>0</v>
      </c>
      <c r="DL95" s="30">
        <f t="shared" ca="1" si="88"/>
        <v>0</v>
      </c>
      <c r="DM95" s="35">
        <f ca="1">_xll.RiskBinomial(1,DL95)</f>
        <v>0</v>
      </c>
      <c r="DN95" s="88">
        <f ca="1">IF(DM95=1,_xll.RiskBinomial(1,Prob_Illness_Given_Infection),0)</f>
        <v>0</v>
      </c>
      <c r="DP95" s="87">
        <f t="shared" ca="1" si="122"/>
        <v>1.2382614780128723E-9</v>
      </c>
      <c r="DQ95" s="37">
        <f ca="1">INT(DP95) + _xll.RiskBinomial(1,DP95-INT(DP95))</f>
        <v>0</v>
      </c>
      <c r="DR95" s="30">
        <f t="shared" ca="1" si="89"/>
        <v>0</v>
      </c>
      <c r="DS95" s="35">
        <f ca="1">_xll.RiskBinomial(1,DR95)</f>
        <v>0</v>
      </c>
      <c r="DT95" s="88">
        <f ca="1">IF(DS95=1,_xll.RiskBinomial(1,Prob_Illness_Given_Infection),0)</f>
        <v>0</v>
      </c>
      <c r="DV95" s="87">
        <f t="shared" ca="1" si="123"/>
        <v>1.7432318976396477E-8</v>
      </c>
      <c r="DW95" s="37">
        <f ca="1">INT(DV95) + _xll.RiskBinomial(1,DV95-INT(DV95))</f>
        <v>0</v>
      </c>
      <c r="DX95" s="30">
        <f t="shared" ca="1" si="90"/>
        <v>0</v>
      </c>
      <c r="DY95" s="35">
        <f ca="1">_xll.RiskBinomial(1,DX95)</f>
        <v>0</v>
      </c>
      <c r="DZ95" s="88">
        <f ca="1">IF(DY95=1,_xll.RiskBinomial(1,Prob_Illness_Given_Infection),0)</f>
        <v>0</v>
      </c>
      <c r="EB95" s="87">
        <f t="shared" ca="1" si="124"/>
        <v>4.3743338462150673E-12</v>
      </c>
      <c r="EC95" s="37">
        <f ca="1">INT(EB95) + _xll.RiskBinomial(1,EB95-INT(EB95))</f>
        <v>0</v>
      </c>
      <c r="ED95" s="30">
        <f t="shared" ca="1" si="91"/>
        <v>0</v>
      </c>
      <c r="EE95" s="35">
        <f ca="1">_xll.RiskBinomial(1,ED95)</f>
        <v>0</v>
      </c>
      <c r="EF95" s="88">
        <f ca="1">IF(EE95=1,_xll.RiskBinomial(1,Prob_Illness_Given_Infection),0)</f>
        <v>0</v>
      </c>
      <c r="EH95" s="87">
        <f t="shared" ca="1" si="125"/>
        <v>4.3743338462105703E-12</v>
      </c>
      <c r="EI95" s="37">
        <f ca="1">INT(EH95) + _xll.RiskBinomial(1,EH95-INT(EH95))</f>
        <v>0</v>
      </c>
      <c r="EJ95" s="30">
        <f t="shared" ca="1" si="92"/>
        <v>0</v>
      </c>
      <c r="EK95" s="35">
        <f ca="1">_xll.RiskBinomial(1,EJ95)</f>
        <v>0</v>
      </c>
      <c r="EL95" s="88">
        <f ca="1">IF(EK95=1,_xll.RiskBinomial(1,Prob_Illness_Given_Infection),0)</f>
        <v>0</v>
      </c>
      <c r="EN95" s="87">
        <f t="shared" ca="1" si="126"/>
        <v>3.9913155433230653E-10</v>
      </c>
      <c r="EO95" s="37">
        <f ca="1">INT(EN95) + _xll.RiskBinomial(1,EN95-INT(EN95))</f>
        <v>0</v>
      </c>
      <c r="EP95" s="30">
        <f t="shared" ca="1" si="93"/>
        <v>0</v>
      </c>
      <c r="EQ95" s="35">
        <f ca="1">_xll.RiskBinomial(1,EP95)</f>
        <v>0</v>
      </c>
      <c r="ER95" s="88">
        <f ca="1">IF(EQ95=1,_xll.RiskBinomial(1,Prob_Illness_Given_Infection),0)</f>
        <v>0</v>
      </c>
      <c r="ET95" s="87">
        <f t="shared" ca="1" si="127"/>
        <v>4.3743338462063989E-12</v>
      </c>
      <c r="EU95" s="37">
        <f ca="1">INT(ET95) + _xll.RiskBinomial(1,ET95-INT(ET95))</f>
        <v>0</v>
      </c>
      <c r="EV95" s="30">
        <f t="shared" ca="1" si="94"/>
        <v>0</v>
      </c>
      <c r="EW95" s="35">
        <f ca="1">_xll.RiskBinomial(1,EV95)</f>
        <v>0</v>
      </c>
      <c r="EX95" s="88">
        <f ca="1">IF(EW95=1,_xll.RiskBinomial(1,Prob_Illness_Given_Infection),0)</f>
        <v>0</v>
      </c>
      <c r="EZ95" s="87">
        <f t="shared" ca="1" si="128"/>
        <v>3.2992115836182414E-5</v>
      </c>
      <c r="FA95" s="37">
        <f ca="1">INT(EZ95) + _xll.RiskBinomial(1,EZ95-INT(EZ95))</f>
        <v>0</v>
      </c>
      <c r="FB95" s="30">
        <f t="shared" ca="1" si="95"/>
        <v>0</v>
      </c>
      <c r="FC95" s="35">
        <f ca="1">_xll.RiskBinomial(1,FB95)</f>
        <v>0</v>
      </c>
      <c r="FD95" s="88">
        <f ca="1">IF(FC95=1,_xll.RiskBinomial(1,Prob_Illness_Given_Infection),0)</f>
        <v>0</v>
      </c>
      <c r="FF95" s="87">
        <f t="shared" ca="1" si="129"/>
        <v>2.2981937026488129E-4</v>
      </c>
      <c r="FG95" s="37">
        <f ca="1">INT(FF95) + _xll.RiskBinomial(1,FF95-INT(FF95))</f>
        <v>0</v>
      </c>
      <c r="FH95" s="30">
        <f t="shared" ca="1" si="96"/>
        <v>0</v>
      </c>
      <c r="FI95" s="35">
        <f ca="1">_xll.RiskBinomial(1,FH95)</f>
        <v>0</v>
      </c>
      <c r="FJ95" s="88">
        <f ca="1">IF(FI95=1,_xll.RiskBinomial(1,Prob_Illness_Given_Infection),0)</f>
        <v>0</v>
      </c>
      <c r="FL95" s="87" t="e">
        <f t="shared" ca="1" si="130"/>
        <v>#NAME?</v>
      </c>
      <c r="FM95" s="37" t="e">
        <f ca="1">INT(FL95) + _xll.RiskBinomial(1,FL95-INT(FL95))</f>
        <v>#NAME?</v>
      </c>
      <c r="FN95" s="30" t="e">
        <f t="shared" ca="1" si="97"/>
        <v>#NAME?</v>
      </c>
      <c r="FO95" s="35" t="e">
        <f ca="1">_xll.RiskBinomial(1,FN95)</f>
        <v>#VALUE!</v>
      </c>
      <c r="FP95" s="88" t="e">
        <f ca="1">IF(FO95=1,_xll.RiskBinomial(1,Prob_Illness_Given_Infection),0)</f>
        <v>#VALUE!</v>
      </c>
      <c r="FR95" s="87" t="e">
        <f t="shared" ca="1" si="131"/>
        <v>#NAME?</v>
      </c>
      <c r="FS95" s="37" t="e">
        <f ca="1">INT(FR95) + _xll.RiskBinomial(1,FR95-INT(FR95))</f>
        <v>#NAME?</v>
      </c>
      <c r="FT95" s="30" t="e">
        <f t="shared" ca="1" si="98"/>
        <v>#NAME?</v>
      </c>
      <c r="FU95" s="35" t="e">
        <f ca="1">_xll.RiskBinomial(1,FT95)</f>
        <v>#VALUE!</v>
      </c>
      <c r="FV95" s="88" t="e">
        <f ca="1">IF(FU95=1,_xll.RiskBinomial(1,Prob_Illness_Given_Infection),0)</f>
        <v>#VALUE!</v>
      </c>
      <c r="FX95" s="87">
        <f t="shared" ca="1" si="132"/>
        <v>4.6182775641304059E-7</v>
      </c>
      <c r="FY95" s="37">
        <f ca="1">INT(FX95) + _xll.RiskBinomial(1,FX95-INT(FX95))</f>
        <v>0</v>
      </c>
      <c r="FZ95" s="30">
        <f t="shared" ca="1" si="99"/>
        <v>0</v>
      </c>
      <c r="GA95" s="35">
        <f ca="1">_xll.RiskBinomial(1,FZ95)</f>
        <v>0</v>
      </c>
      <c r="GB95" s="88">
        <f ca="1">IF(GA95=1,_xll.RiskBinomial(1,Prob_Illness_Given_Infection),0)</f>
        <v>0</v>
      </c>
      <c r="GD95" s="87" t="e">
        <f t="shared" ca="1" si="133"/>
        <v>#NAME?</v>
      </c>
      <c r="GE95" s="37" t="e">
        <f ca="1">INT(GD95) + _xll.RiskBinomial(1,GD95-INT(GD95))</f>
        <v>#NAME?</v>
      </c>
      <c r="GF95" s="30" t="e">
        <f t="shared" ca="1" si="100"/>
        <v>#NAME?</v>
      </c>
      <c r="GG95" s="35" t="e">
        <f ca="1">_xll.RiskBinomial(1,GF95)</f>
        <v>#VALUE!</v>
      </c>
      <c r="GH95" s="88" t="e">
        <f ca="1">IF(GG95=1,_xll.RiskBinomial(1,Prob_Illness_Given_Infection),0)</f>
        <v>#VALUE!</v>
      </c>
      <c r="GJ95" s="87" t="e">
        <f t="shared" ca="1" si="134"/>
        <v>#NAME?</v>
      </c>
      <c r="GK95" s="37" t="e">
        <f ca="1">INT(GJ95) + _xll.RiskBinomial(1,GJ95-INT(GJ95))</f>
        <v>#NAME?</v>
      </c>
      <c r="GL95" s="30" t="e">
        <f t="shared" ca="1" si="101"/>
        <v>#NAME?</v>
      </c>
      <c r="GM95" s="35" t="e">
        <f ca="1">_xll.RiskBinomial(1,GL95)</f>
        <v>#VALUE!</v>
      </c>
      <c r="GN95" s="88" t="e">
        <f ca="1">IF(GM95=1,_xll.RiskBinomial(1,Prob_Illness_Given_Infection),0)</f>
        <v>#VALUE!</v>
      </c>
      <c r="GP95" s="87" t="e">
        <f t="shared" ca="1" si="135"/>
        <v>#NAME?</v>
      </c>
      <c r="GQ95" s="37" t="e">
        <f ca="1">INT(GP95) + _xll.RiskBinomial(1,GP95-INT(GP95))</f>
        <v>#NAME?</v>
      </c>
      <c r="GR95" s="30" t="e">
        <f t="shared" ca="1" si="102"/>
        <v>#NAME?</v>
      </c>
      <c r="GS95" s="35" t="e">
        <f ca="1">_xll.RiskBinomial(1,GR95)</f>
        <v>#VALUE!</v>
      </c>
      <c r="GT95" s="88" t="e">
        <f ca="1">IF(GS95=1,_xll.RiskBinomial(1,Prob_Illness_Given_Infection),0)</f>
        <v>#VALUE!</v>
      </c>
    </row>
    <row r="96" spans="2:202">
      <c r="B96" s="108">
        <v>88</v>
      </c>
      <c r="C96" s="87">
        <f ca="1">_xll.RiskLoglogistic(LogLogistic_gamma, LogLogistic_beta, LogLogistic_alpha, _xll.RiskTruncate(5,800))</f>
        <v>376.79493309554351</v>
      </c>
      <c r="D96" s="38">
        <f t="shared" ca="1" si="69"/>
        <v>24.205923439460157</v>
      </c>
      <c r="E96" s="30"/>
      <c r="F96" s="87">
        <f t="shared" ca="1" si="103"/>
        <v>8.7392870180254056E-9</v>
      </c>
      <c r="G96" s="37">
        <f ca="1">INT(F96) + _xll.RiskBinomial(1,F96-INT(F96))</f>
        <v>0</v>
      </c>
      <c r="H96" s="30">
        <f t="shared" ca="1" si="70"/>
        <v>0</v>
      </c>
      <c r="I96" s="35">
        <f ca="1">_xll.RiskBinomial(1,H96)</f>
        <v>0</v>
      </c>
      <c r="J96" s="88">
        <f ca="1">IF(I96=1,_xll.RiskBinomial(1,Prob_Illness_Given_Infection),0)</f>
        <v>0</v>
      </c>
      <c r="K96" s="30"/>
      <c r="L96" s="87">
        <f t="shared" ca="1" si="104"/>
        <v>4.4638000957081416E-4</v>
      </c>
      <c r="M96" s="37">
        <f ca="1">INT(L96) + _xll.RiskBinomial(1,L96-INT(L96))</f>
        <v>0</v>
      </c>
      <c r="N96" s="30">
        <f t="shared" ca="1" si="71"/>
        <v>0</v>
      </c>
      <c r="O96" s="35">
        <f ca="1">_xll.RiskBinomial(1,N96)</f>
        <v>0</v>
      </c>
      <c r="P96" s="88">
        <f ca="1">IF(O96=1,_xll.RiskBinomial(1,Prob_Illness_Given_Infection),0)</f>
        <v>0</v>
      </c>
      <c r="Q96" s="30"/>
      <c r="R96" s="87">
        <f t="shared" ca="1" si="105"/>
        <v>4.6144877820378158E-5</v>
      </c>
      <c r="S96" s="37">
        <f ca="1">INT(R96) + _xll.RiskBinomial(1,R96-INT(R96))</f>
        <v>0</v>
      </c>
      <c r="T96" s="30">
        <f t="shared" ca="1" si="72"/>
        <v>0</v>
      </c>
      <c r="U96" s="35">
        <f ca="1">_xll.RiskBinomial(1,T96)</f>
        <v>0</v>
      </c>
      <c r="V96" s="88">
        <f ca="1">IF(U96=1,_xll.RiskBinomial(1,Prob_Illness_Given_Infection),0)</f>
        <v>0</v>
      </c>
      <c r="W96" s="30"/>
      <c r="X96" s="87">
        <f t="shared" ca="1" si="106"/>
        <v>1.895751807346266E-11</v>
      </c>
      <c r="Y96" s="37">
        <f ca="1">INT(X96) + _xll.RiskBinomial(1,X96-INT(X96))</f>
        <v>0</v>
      </c>
      <c r="Z96" s="30">
        <f t="shared" ca="1" si="73"/>
        <v>0</v>
      </c>
      <c r="AA96" s="35">
        <f ca="1">_xll.RiskBinomial(1,Z96)</f>
        <v>0</v>
      </c>
      <c r="AB96" s="88">
        <f ca="1">IF(AA96=1,_xll.RiskBinomial(1,Prob_Illness_Given_Infection),0)</f>
        <v>0</v>
      </c>
      <c r="AC96" s="30"/>
      <c r="AD96" s="87">
        <f t="shared" ca="1" si="107"/>
        <v>9.5511333530484791E-12</v>
      </c>
      <c r="AE96" s="37">
        <f ca="1">INT(AD96) + _xll.RiskBinomial(1,AD96-INT(AD96))</f>
        <v>0</v>
      </c>
      <c r="AF96" s="30">
        <f t="shared" ca="1" si="74"/>
        <v>0</v>
      </c>
      <c r="AG96" s="35">
        <f ca="1">_xll.RiskBinomial(1,AF96)</f>
        <v>0</v>
      </c>
      <c r="AH96" s="88">
        <f ca="1">IF(AG96=1,_xll.RiskBinomial(1,Prob_Illness_Given_Infection),0)</f>
        <v>0</v>
      </c>
      <c r="AI96" s="30"/>
      <c r="AJ96" s="87">
        <f t="shared" ca="1" si="108"/>
        <v>4.4333899633084274E-4</v>
      </c>
      <c r="AK96" s="37">
        <f ca="1">INT(AJ96) + _xll.RiskBinomial(1,AJ96-INT(AJ96))</f>
        <v>0</v>
      </c>
      <c r="AL96" s="30">
        <f t="shared" ca="1" si="75"/>
        <v>0</v>
      </c>
      <c r="AM96" s="35">
        <f ca="1">_xll.RiskBinomial(1,AL96)</f>
        <v>0</v>
      </c>
      <c r="AN96" s="88">
        <f ca="1">IF(AM96=1,_xll.RiskBinomial(1,Prob_Illness_Given_Infection),0)</f>
        <v>0</v>
      </c>
      <c r="AO96" s="30"/>
      <c r="AP96" s="87">
        <f t="shared" ca="1" si="109"/>
        <v>1.0781575988125388E-8</v>
      </c>
      <c r="AQ96" s="37">
        <f ca="1">INT(AP96) + _xll.RiskBinomial(1,AP96-INT(AP96))</f>
        <v>0</v>
      </c>
      <c r="AR96" s="30">
        <f t="shared" ca="1" si="76"/>
        <v>0</v>
      </c>
      <c r="AS96" s="35">
        <f ca="1">_xll.RiskBinomial(1,AR96)</f>
        <v>0</v>
      </c>
      <c r="AT96" s="88">
        <f ca="1">IF(AS96=1,_xll.RiskBinomial(1,Prob_Illness_Given_Infection),0)</f>
        <v>0</v>
      </c>
      <c r="AU96" s="30"/>
      <c r="AV96" s="87">
        <f t="shared" ca="1" si="110"/>
        <v>2.5012695018660061E-4</v>
      </c>
      <c r="AW96" s="37">
        <f ca="1">INT(AV96) + _xll.RiskBinomial(1,AV96-INT(AV96))</f>
        <v>0</v>
      </c>
      <c r="AX96" s="30">
        <f t="shared" ca="1" si="77"/>
        <v>0</v>
      </c>
      <c r="AY96" s="35">
        <f ca="1">_xll.RiskBinomial(1,AX96)</f>
        <v>0</v>
      </c>
      <c r="AZ96" s="88">
        <f ca="1">IF(AY96=1,_xll.RiskBinomial(1,Prob_Illness_Given_Infection),0)</f>
        <v>0</v>
      </c>
      <c r="BB96" s="87">
        <f t="shared" ca="1" si="111"/>
        <v>3.4330170991929659E-4</v>
      </c>
      <c r="BC96" s="37">
        <f ca="1">INT(BB96) + _xll.RiskBinomial(1,BB96-INT(BB96))</f>
        <v>0</v>
      </c>
      <c r="BD96" s="30">
        <f t="shared" ca="1" si="78"/>
        <v>0</v>
      </c>
      <c r="BE96" s="35">
        <f ca="1">_xll.RiskBinomial(1,BD96)</f>
        <v>0</v>
      </c>
      <c r="BF96" s="88">
        <f ca="1">IF(BE96=1,_xll.RiskBinomial(1,Prob_Illness_Given_Infection),0)</f>
        <v>0</v>
      </c>
      <c r="BH96" s="87">
        <f t="shared" ca="1" si="112"/>
        <v>4.3464452508870665E-4</v>
      </c>
      <c r="BI96" s="37">
        <f ca="1">INT(BH96) + _xll.RiskBinomial(1,BH96-INT(BH96))</f>
        <v>0</v>
      </c>
      <c r="BJ96" s="30">
        <f t="shared" ca="1" si="79"/>
        <v>0</v>
      </c>
      <c r="BK96" s="35">
        <f ca="1">_xll.RiskBinomial(1,BJ96)</f>
        <v>0</v>
      </c>
      <c r="BL96" s="88">
        <f ca="1">IF(BK96=1,_xll.RiskBinomial(1,Prob_Illness_Given_Infection),0)</f>
        <v>0</v>
      </c>
      <c r="BN96" s="87">
        <f t="shared" ca="1" si="113"/>
        <v>3.3078926689297541E-5</v>
      </c>
      <c r="BO96" s="37">
        <f ca="1">INT(BN96) + _xll.RiskBinomial(1,BN96-INT(BN96))</f>
        <v>0</v>
      </c>
      <c r="BP96" s="30">
        <f t="shared" ca="1" si="80"/>
        <v>0</v>
      </c>
      <c r="BQ96" s="35">
        <f ca="1">_xll.RiskBinomial(1,BP96)</f>
        <v>0</v>
      </c>
      <c r="BR96" s="88">
        <f ca="1">IF(BQ96=1,_xll.RiskBinomial(1,Prob_Illness_Given_Infection),0)</f>
        <v>0</v>
      </c>
      <c r="BT96" s="87">
        <f t="shared" ca="1" si="114"/>
        <v>9.9467982848516821E-5</v>
      </c>
      <c r="BU96" s="37">
        <f ca="1">INT(BT96) + _xll.RiskBinomial(1,BT96-INT(BT96))</f>
        <v>0</v>
      </c>
      <c r="BV96" s="30">
        <f t="shared" ca="1" si="81"/>
        <v>0</v>
      </c>
      <c r="BW96" s="35">
        <f ca="1">_xll.RiskBinomial(1,BV96)</f>
        <v>0</v>
      </c>
      <c r="BX96" s="88">
        <f ca="1">IF(BW96=1,_xll.RiskBinomial(1,Prob_Illness_Given_Infection),0)</f>
        <v>0</v>
      </c>
      <c r="BZ96" s="87">
        <f t="shared" ca="1" si="115"/>
        <v>2.7267527076846922E-4</v>
      </c>
      <c r="CA96" s="37">
        <f ca="1">INT(BZ96) + _xll.RiskBinomial(1,BZ96-INT(BZ96))</f>
        <v>0</v>
      </c>
      <c r="CB96" s="30">
        <f t="shared" ca="1" si="82"/>
        <v>0</v>
      </c>
      <c r="CC96" s="35">
        <f ca="1">_xll.RiskBinomial(1,CB96)</f>
        <v>0</v>
      </c>
      <c r="CD96" s="88">
        <f ca="1">IF(CC96=1,_xll.RiskBinomial(1,Prob_Illness_Given_Infection),0)</f>
        <v>0</v>
      </c>
      <c r="CF96" s="87">
        <f t="shared" ca="1" si="116"/>
        <v>5.1737403358446351E-5</v>
      </c>
      <c r="CG96" s="37">
        <f ca="1">INT(CF96) + _xll.RiskBinomial(1,CF96-INT(CF96))</f>
        <v>0</v>
      </c>
      <c r="CH96" s="30">
        <f t="shared" ca="1" si="83"/>
        <v>0</v>
      </c>
      <c r="CI96" s="35">
        <f ca="1">_xll.RiskBinomial(1,CH96)</f>
        <v>0</v>
      </c>
      <c r="CJ96" s="88">
        <f ca="1">IF(CI96=1,_xll.RiskBinomial(1,Prob_Illness_Given_Infection),0)</f>
        <v>0</v>
      </c>
      <c r="CL96" s="87">
        <f t="shared" ca="1" si="117"/>
        <v>9.9838704304722455E-5</v>
      </c>
      <c r="CM96" s="37">
        <f ca="1">INT(CL96) + _xll.RiskBinomial(1,CL96-INT(CL96))</f>
        <v>0</v>
      </c>
      <c r="CN96" s="30">
        <f t="shared" ca="1" si="84"/>
        <v>0</v>
      </c>
      <c r="CO96" s="35">
        <f ca="1">_xll.RiskBinomial(1,CN96)</f>
        <v>0</v>
      </c>
      <c r="CP96" s="88">
        <f ca="1">IF(CO96=1,_xll.RiskBinomial(1,Prob_Illness_Given_Infection),0)</f>
        <v>0</v>
      </c>
      <c r="CR96" s="87">
        <f t="shared" ca="1" si="118"/>
        <v>6.880581319845177E-7</v>
      </c>
      <c r="CS96" s="37">
        <f ca="1">INT(CR96) + _xll.RiskBinomial(1,CR96-INT(CR96))</f>
        <v>0</v>
      </c>
      <c r="CT96" s="30">
        <f t="shared" ca="1" si="85"/>
        <v>0</v>
      </c>
      <c r="CU96" s="35">
        <f ca="1">_xll.RiskBinomial(1,CT96)</f>
        <v>0</v>
      </c>
      <c r="CV96" s="88">
        <f ca="1">IF(CU96=1,_xll.RiskBinomial(1,Prob_Illness_Given_Infection),0)</f>
        <v>0</v>
      </c>
      <c r="CX96" s="87">
        <f t="shared" ca="1" si="119"/>
        <v>7.0043535627768729E-9</v>
      </c>
      <c r="CY96" s="37">
        <f ca="1">INT(CX96) + _xll.RiskBinomial(1,CX96-INT(CX96))</f>
        <v>0</v>
      </c>
      <c r="CZ96" s="30">
        <f t="shared" ca="1" si="86"/>
        <v>0</v>
      </c>
      <c r="DA96" s="35">
        <f ca="1">_xll.RiskBinomial(1,CZ96)</f>
        <v>0</v>
      </c>
      <c r="DB96" s="88">
        <f ca="1">IF(DA96=1,_xll.RiskBinomial(1,Prob_Illness_Given_Infection),0)</f>
        <v>0</v>
      </c>
      <c r="DD96" s="87">
        <f t="shared" ca="1" si="120"/>
        <v>7.0043535627768729E-9</v>
      </c>
      <c r="DE96" s="37">
        <f ca="1">INT(DD96) + _xll.RiskBinomial(1,DD96-INT(DD96))</f>
        <v>0</v>
      </c>
      <c r="DF96" s="30">
        <f t="shared" ca="1" si="87"/>
        <v>0</v>
      </c>
      <c r="DG96" s="35">
        <f ca="1">_xll.RiskBinomial(1,DF96)</f>
        <v>0</v>
      </c>
      <c r="DH96" s="88">
        <f ca="1">IF(DG96=1,_xll.RiskBinomial(1,Prob_Illness_Given_Infection),0)</f>
        <v>0</v>
      </c>
      <c r="DJ96" s="87">
        <f t="shared" ca="1" si="121"/>
        <v>1.1437137493830971E-5</v>
      </c>
      <c r="DK96" s="37">
        <f ca="1">INT(DJ96) + _xll.RiskBinomial(1,DJ96-INT(DJ96))</f>
        <v>0</v>
      </c>
      <c r="DL96" s="30">
        <f t="shared" ca="1" si="88"/>
        <v>0</v>
      </c>
      <c r="DM96" s="35">
        <f ca="1">_xll.RiskBinomial(1,DL96)</f>
        <v>0</v>
      </c>
      <c r="DN96" s="88">
        <f ca="1">IF(DM96=1,_xll.RiskBinomial(1,Prob_Illness_Given_Infection),0)</f>
        <v>0</v>
      </c>
      <c r="DP96" s="87">
        <f t="shared" ca="1" si="122"/>
        <v>2.7036803587072179E-9</v>
      </c>
      <c r="DQ96" s="37">
        <f ca="1">INT(DP96) + _xll.RiskBinomial(1,DP96-INT(DP96))</f>
        <v>0</v>
      </c>
      <c r="DR96" s="30">
        <f t="shared" ca="1" si="89"/>
        <v>0</v>
      </c>
      <c r="DS96" s="35">
        <f ca="1">_xll.RiskBinomial(1,DR96)</f>
        <v>0</v>
      </c>
      <c r="DT96" s="88">
        <f ca="1">IF(DS96=1,_xll.RiskBinomial(1,Prob_Illness_Given_Infection),0)</f>
        <v>0</v>
      </c>
      <c r="DV96" s="87">
        <f t="shared" ca="1" si="123"/>
        <v>3.8062573422567791E-8</v>
      </c>
      <c r="DW96" s="37">
        <f ca="1">INT(DV96) + _xll.RiskBinomial(1,DV96-INT(DV96))</f>
        <v>0</v>
      </c>
      <c r="DX96" s="30">
        <f t="shared" ca="1" si="90"/>
        <v>0</v>
      </c>
      <c r="DY96" s="35">
        <f ca="1">_xll.RiskBinomial(1,DX96)</f>
        <v>0</v>
      </c>
      <c r="DZ96" s="88">
        <f ca="1">IF(DY96=1,_xll.RiskBinomial(1,Prob_Illness_Given_Infection),0)</f>
        <v>0</v>
      </c>
      <c r="EB96" s="87">
        <f t="shared" ca="1" si="124"/>
        <v>9.5511333530452705E-12</v>
      </c>
      <c r="EC96" s="37">
        <f ca="1">INT(EB96) + _xll.RiskBinomial(1,EB96-INT(EB96))</f>
        <v>0</v>
      </c>
      <c r="ED96" s="30">
        <f t="shared" ca="1" si="91"/>
        <v>0</v>
      </c>
      <c r="EE96" s="35">
        <f ca="1">_xll.RiskBinomial(1,ED96)</f>
        <v>0</v>
      </c>
      <c r="EF96" s="88">
        <f ca="1">IF(EE96=1,_xll.RiskBinomial(1,Prob_Illness_Given_Infection),0)</f>
        <v>0</v>
      </c>
      <c r="EH96" s="87">
        <f t="shared" ca="1" si="125"/>
        <v>9.5511333530354526E-12</v>
      </c>
      <c r="EI96" s="37">
        <f ca="1">INT(EH96) + _xll.RiskBinomial(1,EH96-INT(EH96))</f>
        <v>0</v>
      </c>
      <c r="EJ96" s="30">
        <f t="shared" ca="1" si="92"/>
        <v>0</v>
      </c>
      <c r="EK96" s="35">
        <f ca="1">_xll.RiskBinomial(1,EJ96)</f>
        <v>0</v>
      </c>
      <c r="EL96" s="88">
        <f ca="1">IF(EK96=1,_xll.RiskBinomial(1,Prob_Illness_Given_Infection),0)</f>
        <v>0</v>
      </c>
      <c r="EN96" s="87">
        <f t="shared" ca="1" si="126"/>
        <v>8.7148325547548213E-10</v>
      </c>
      <c r="EO96" s="37">
        <f ca="1">INT(EN96) + _xll.RiskBinomial(1,EN96-INT(EN96))</f>
        <v>0</v>
      </c>
      <c r="EP96" s="30">
        <f t="shared" ca="1" si="93"/>
        <v>0</v>
      </c>
      <c r="EQ96" s="35">
        <f ca="1">_xll.RiskBinomial(1,EP96)</f>
        <v>0</v>
      </c>
      <c r="ER96" s="88">
        <f ca="1">IF(EQ96=1,_xll.RiskBinomial(1,Prob_Illness_Given_Infection),0)</f>
        <v>0</v>
      </c>
      <c r="ET96" s="87">
        <f t="shared" ca="1" si="127"/>
        <v>9.5511333530263439E-12</v>
      </c>
      <c r="EU96" s="37">
        <f ca="1">INT(ET96) + _xll.RiskBinomial(1,ET96-INT(ET96))</f>
        <v>0</v>
      </c>
      <c r="EV96" s="30">
        <f t="shared" ca="1" si="94"/>
        <v>0</v>
      </c>
      <c r="EW96" s="35">
        <f ca="1">_xll.RiskBinomial(1,EV96)</f>
        <v>0</v>
      </c>
      <c r="EX96" s="88">
        <f ca="1">IF(EW96=1,_xll.RiskBinomial(1,Prob_Illness_Given_Infection),0)</f>
        <v>0</v>
      </c>
      <c r="EZ96" s="87">
        <f t="shared" ca="1" si="128"/>
        <v>7.2036590948161986E-5</v>
      </c>
      <c r="FA96" s="37">
        <f ca="1">INT(EZ96) + _xll.RiskBinomial(1,EZ96-INT(EZ96))</f>
        <v>0</v>
      </c>
      <c r="FB96" s="30">
        <f t="shared" ca="1" si="95"/>
        <v>0</v>
      </c>
      <c r="FC96" s="35">
        <f ca="1">_xll.RiskBinomial(1,FB96)</f>
        <v>0</v>
      </c>
      <c r="FD96" s="88">
        <f ca="1">IF(FC96=1,_xll.RiskBinomial(1,Prob_Illness_Given_Infection),0)</f>
        <v>0</v>
      </c>
      <c r="FF96" s="87">
        <f t="shared" ca="1" si="129"/>
        <v>5.0179879489811751E-4</v>
      </c>
      <c r="FG96" s="37">
        <f ca="1">INT(FF96) + _xll.RiskBinomial(1,FF96-INT(FF96))</f>
        <v>0</v>
      </c>
      <c r="FH96" s="30">
        <f t="shared" ca="1" si="96"/>
        <v>0</v>
      </c>
      <c r="FI96" s="35">
        <f ca="1">_xll.RiskBinomial(1,FH96)</f>
        <v>0</v>
      </c>
      <c r="FJ96" s="88">
        <f ca="1">IF(FI96=1,_xll.RiskBinomial(1,Prob_Illness_Given_Infection),0)</f>
        <v>0</v>
      </c>
      <c r="FL96" s="87" t="e">
        <f t="shared" ca="1" si="130"/>
        <v>#NAME?</v>
      </c>
      <c r="FM96" s="37" t="e">
        <f ca="1">INT(FL96) + _xll.RiskBinomial(1,FL96-INT(FL96))</f>
        <v>#NAME?</v>
      </c>
      <c r="FN96" s="30" t="e">
        <f t="shared" ca="1" si="97"/>
        <v>#NAME?</v>
      </c>
      <c r="FO96" s="35" t="e">
        <f ca="1">_xll.RiskBinomial(1,FN96)</f>
        <v>#VALUE!</v>
      </c>
      <c r="FP96" s="88" t="e">
        <f ca="1">IF(FO96=1,_xll.RiskBinomial(1,Prob_Illness_Given_Infection),0)</f>
        <v>#VALUE!</v>
      </c>
      <c r="FR96" s="87" t="e">
        <f t="shared" ca="1" si="131"/>
        <v>#NAME?</v>
      </c>
      <c r="FS96" s="37" t="e">
        <f ca="1">INT(FR96) + _xll.RiskBinomial(1,FR96-INT(FR96))</f>
        <v>#NAME?</v>
      </c>
      <c r="FT96" s="30" t="e">
        <f t="shared" ca="1" si="98"/>
        <v>#NAME?</v>
      </c>
      <c r="FU96" s="35" t="e">
        <f ca="1">_xll.RiskBinomial(1,FT96)</f>
        <v>#VALUE!</v>
      </c>
      <c r="FV96" s="88" t="e">
        <f ca="1">IF(FU96=1,_xll.RiskBinomial(1,Prob_Illness_Given_Infection),0)</f>
        <v>#VALUE!</v>
      </c>
      <c r="FX96" s="87">
        <f t="shared" ca="1" si="132"/>
        <v>1.0083771935823552E-6</v>
      </c>
      <c r="FY96" s="37">
        <f ca="1">INT(FX96) + _xll.RiskBinomial(1,FX96-INT(FX96))</f>
        <v>0</v>
      </c>
      <c r="FZ96" s="30">
        <f t="shared" ca="1" si="99"/>
        <v>0</v>
      </c>
      <c r="GA96" s="35">
        <f ca="1">_xll.RiskBinomial(1,FZ96)</f>
        <v>0</v>
      </c>
      <c r="GB96" s="88">
        <f ca="1">IF(GA96=1,_xll.RiskBinomial(1,Prob_Illness_Given_Infection),0)</f>
        <v>0</v>
      </c>
      <c r="GD96" s="87" t="e">
        <f t="shared" ca="1" si="133"/>
        <v>#NAME?</v>
      </c>
      <c r="GE96" s="37" t="e">
        <f ca="1">INT(GD96) + _xll.RiskBinomial(1,GD96-INT(GD96))</f>
        <v>#NAME?</v>
      </c>
      <c r="GF96" s="30" t="e">
        <f t="shared" ca="1" si="100"/>
        <v>#NAME?</v>
      </c>
      <c r="GG96" s="35" t="e">
        <f ca="1">_xll.RiskBinomial(1,GF96)</f>
        <v>#VALUE!</v>
      </c>
      <c r="GH96" s="88" t="e">
        <f ca="1">IF(GG96=1,_xll.RiskBinomial(1,Prob_Illness_Given_Infection),0)</f>
        <v>#VALUE!</v>
      </c>
      <c r="GJ96" s="87" t="e">
        <f t="shared" ca="1" si="134"/>
        <v>#NAME?</v>
      </c>
      <c r="GK96" s="37" t="e">
        <f ca="1">INT(GJ96) + _xll.RiskBinomial(1,GJ96-INT(GJ96))</f>
        <v>#NAME?</v>
      </c>
      <c r="GL96" s="30" t="e">
        <f t="shared" ca="1" si="101"/>
        <v>#NAME?</v>
      </c>
      <c r="GM96" s="35" t="e">
        <f ca="1">_xll.RiskBinomial(1,GL96)</f>
        <v>#VALUE!</v>
      </c>
      <c r="GN96" s="88" t="e">
        <f ca="1">IF(GM96=1,_xll.RiskBinomial(1,Prob_Illness_Given_Infection),0)</f>
        <v>#VALUE!</v>
      </c>
      <c r="GP96" s="87" t="e">
        <f t="shared" ca="1" si="135"/>
        <v>#NAME?</v>
      </c>
      <c r="GQ96" s="37" t="e">
        <f ca="1">INT(GP96) + _xll.RiskBinomial(1,GP96-INT(GP96))</f>
        <v>#NAME?</v>
      </c>
      <c r="GR96" s="30" t="e">
        <f t="shared" ca="1" si="102"/>
        <v>#NAME?</v>
      </c>
      <c r="GS96" s="35" t="e">
        <f ca="1">_xll.RiskBinomial(1,GR96)</f>
        <v>#VALUE!</v>
      </c>
      <c r="GT96" s="88" t="e">
        <f ca="1">IF(GS96=1,_xll.RiskBinomial(1,Prob_Illness_Given_Infection),0)</f>
        <v>#VALUE!</v>
      </c>
    </row>
    <row r="97" spans="2:202">
      <c r="B97" s="108">
        <v>89</v>
      </c>
      <c r="C97" s="87">
        <f ca="1">_xll.RiskLoglogistic(LogLogistic_gamma, LogLogistic_beta, LogLogistic_alpha, _xll.RiskTruncate(5,800))</f>
        <v>39.769200833478287</v>
      </c>
      <c r="D97" s="38">
        <f t="shared" ca="1" si="69"/>
        <v>2.5548385768223487</v>
      </c>
      <c r="E97" s="30"/>
      <c r="F97" s="87">
        <f t="shared" ca="1" si="103"/>
        <v>9.2239685312629435E-10</v>
      </c>
      <c r="G97" s="37">
        <f ca="1">INT(F97) + _xll.RiskBinomial(1,F97-INT(F97))</f>
        <v>0</v>
      </c>
      <c r="H97" s="30">
        <f t="shared" ca="1" si="70"/>
        <v>0</v>
      </c>
      <c r="I97" s="35">
        <f ca="1">_xll.RiskBinomial(1,H97)</f>
        <v>0</v>
      </c>
      <c r="J97" s="88">
        <f ca="1">IF(I97=1,_xll.RiskBinomial(1,Prob_Illness_Given_Infection),0)</f>
        <v>0</v>
      </c>
      <c r="K97" s="30"/>
      <c r="L97" s="87">
        <f t="shared" ca="1" si="104"/>
        <v>4.7113627836843198E-5</v>
      </c>
      <c r="M97" s="37">
        <f ca="1">INT(L97) + _xll.RiskBinomial(1,L97-INT(L97))</f>
        <v>0</v>
      </c>
      <c r="N97" s="30">
        <f t="shared" ca="1" si="71"/>
        <v>0</v>
      </c>
      <c r="O97" s="35">
        <f ca="1">_xll.RiskBinomial(1,N97)</f>
        <v>0</v>
      </c>
      <c r="P97" s="88">
        <f ca="1">IF(O97=1,_xll.RiskBinomial(1,Prob_Illness_Given_Infection),0)</f>
        <v>0</v>
      </c>
      <c r="Q97" s="30"/>
      <c r="R97" s="87">
        <f t="shared" ca="1" si="105"/>
        <v>4.8704076203954713E-6</v>
      </c>
      <c r="S97" s="37">
        <f ca="1">INT(R97) + _xll.RiskBinomial(1,R97-INT(R97))</f>
        <v>0</v>
      </c>
      <c r="T97" s="30">
        <f t="shared" ca="1" si="72"/>
        <v>0</v>
      </c>
      <c r="U97" s="35">
        <f ca="1">_xll.RiskBinomial(1,T97)</f>
        <v>0</v>
      </c>
      <c r="V97" s="88">
        <f ca="1">IF(U97=1,_xll.RiskBinomial(1,Prob_Illness_Given_Infection),0)</f>
        <v>0</v>
      </c>
      <c r="W97" s="30"/>
      <c r="X97" s="87">
        <f t="shared" ca="1" si="106"/>
        <v>2.0008903447134699E-12</v>
      </c>
      <c r="Y97" s="37">
        <f ca="1">INT(X97) + _xll.RiskBinomial(1,X97-INT(X97))</f>
        <v>0</v>
      </c>
      <c r="Z97" s="30">
        <f t="shared" ca="1" si="73"/>
        <v>0</v>
      </c>
      <c r="AA97" s="35">
        <f ca="1">_xll.RiskBinomial(1,Z97)</f>
        <v>0</v>
      </c>
      <c r="AB97" s="88">
        <f ca="1">IF(AA97=1,_xll.RiskBinomial(1,Prob_Illness_Given_Infection),0)</f>
        <v>0</v>
      </c>
      <c r="AC97" s="30"/>
      <c r="AD97" s="87">
        <f t="shared" ca="1" si="107"/>
        <v>1.0080839924893628E-12</v>
      </c>
      <c r="AE97" s="37">
        <f ca="1">INT(AD97) + _xll.RiskBinomial(1,AD97-INT(AD97))</f>
        <v>0</v>
      </c>
      <c r="AF97" s="30">
        <f t="shared" ca="1" si="74"/>
        <v>0</v>
      </c>
      <c r="AG97" s="35">
        <f ca="1">_xll.RiskBinomial(1,AF97)</f>
        <v>0</v>
      </c>
      <c r="AH97" s="88">
        <f ca="1">IF(AG97=1,_xll.RiskBinomial(1,Prob_Illness_Given_Infection),0)</f>
        <v>0</v>
      </c>
      <c r="AI97" s="30"/>
      <c r="AJ97" s="87">
        <f t="shared" ca="1" si="108"/>
        <v>4.6792661030617534E-5</v>
      </c>
      <c r="AK97" s="37">
        <f ca="1">INT(AJ97) + _xll.RiskBinomial(1,AJ97-INT(AJ97))</f>
        <v>0</v>
      </c>
      <c r="AL97" s="30">
        <f t="shared" ca="1" si="75"/>
        <v>0</v>
      </c>
      <c r="AM97" s="35">
        <f ca="1">_xll.RiskBinomial(1,AL97)</f>
        <v>0</v>
      </c>
      <c r="AN97" s="88">
        <f ca="1">IF(AM97=1,_xll.RiskBinomial(1,Prob_Illness_Given_Infection),0)</f>
        <v>0</v>
      </c>
      <c r="AO97" s="30"/>
      <c r="AP97" s="87">
        <f t="shared" ca="1" si="109"/>
        <v>1.1379523000762903E-9</v>
      </c>
      <c r="AQ97" s="37">
        <f ca="1">INT(AP97) + _xll.RiskBinomial(1,AP97-INT(AP97))</f>
        <v>0</v>
      </c>
      <c r="AR97" s="30">
        <f t="shared" ca="1" si="76"/>
        <v>0</v>
      </c>
      <c r="AS97" s="35">
        <f ca="1">_xll.RiskBinomial(1,AR97)</f>
        <v>0</v>
      </c>
      <c r="AT97" s="88">
        <f ca="1">IF(AS97=1,_xll.RiskBinomial(1,Prob_Illness_Given_Infection),0)</f>
        <v>0</v>
      </c>
      <c r="AU97" s="30"/>
      <c r="AV97" s="87">
        <f t="shared" ca="1" si="110"/>
        <v>2.6399900959692579E-5</v>
      </c>
      <c r="AW97" s="37">
        <f ca="1">INT(AV97) + _xll.RiskBinomial(1,AV97-INT(AV97))</f>
        <v>0</v>
      </c>
      <c r="AX97" s="30">
        <f t="shared" ca="1" si="77"/>
        <v>0</v>
      </c>
      <c r="AY97" s="35">
        <f ca="1">_xll.RiskBinomial(1,AX97)</f>
        <v>0</v>
      </c>
      <c r="AZ97" s="88">
        <f ca="1">IF(AY97=1,_xll.RiskBinomial(1,Prob_Illness_Given_Infection),0)</f>
        <v>0</v>
      </c>
      <c r="BB97" s="87">
        <f t="shared" ca="1" si="111"/>
        <v>3.6234124849006593E-5</v>
      </c>
      <c r="BC97" s="37">
        <f ca="1">INT(BB97) + _xll.RiskBinomial(1,BB97-INT(BB97))</f>
        <v>0</v>
      </c>
      <c r="BD97" s="30">
        <f t="shared" ca="1" si="78"/>
        <v>0</v>
      </c>
      <c r="BE97" s="35">
        <f ca="1">_xll.RiskBinomial(1,BD97)</f>
        <v>0</v>
      </c>
      <c r="BF97" s="88">
        <f ca="1">IF(BE97=1,_xll.RiskBinomial(1,Prob_Illness_Given_Infection),0)</f>
        <v>0</v>
      </c>
      <c r="BH97" s="87">
        <f t="shared" ca="1" si="112"/>
        <v>4.5874994303709248E-5</v>
      </c>
      <c r="BI97" s="37">
        <f ca="1">INT(BH97) + _xll.RiskBinomial(1,BH97-INT(BH97))</f>
        <v>0</v>
      </c>
      <c r="BJ97" s="30">
        <f t="shared" ca="1" si="79"/>
        <v>0</v>
      </c>
      <c r="BK97" s="35">
        <f ca="1">_xll.RiskBinomial(1,BJ97)</f>
        <v>0</v>
      </c>
      <c r="BL97" s="88">
        <f ca="1">IF(BK97=1,_xll.RiskBinomial(1,Prob_Illness_Given_Infection),0)</f>
        <v>0</v>
      </c>
      <c r="BN97" s="87">
        <f t="shared" ca="1" si="113"/>
        <v>3.4913486443539922E-6</v>
      </c>
      <c r="BO97" s="37">
        <f ca="1">INT(BN97) + _xll.RiskBinomial(1,BN97-INT(BN97))</f>
        <v>0</v>
      </c>
      <c r="BP97" s="30">
        <f t="shared" ca="1" si="80"/>
        <v>0</v>
      </c>
      <c r="BQ97" s="35">
        <f ca="1">_xll.RiskBinomial(1,BP97)</f>
        <v>0</v>
      </c>
      <c r="BR97" s="88">
        <f ca="1">IF(BQ97=1,_xll.RiskBinomial(1,Prob_Illness_Given_Infection),0)</f>
        <v>0</v>
      </c>
      <c r="BT97" s="87">
        <f t="shared" ca="1" si="114"/>
        <v>1.0498448463479153E-5</v>
      </c>
      <c r="BU97" s="37">
        <f ca="1">INT(BT97) + _xll.RiskBinomial(1,BT97-INT(BT97))</f>
        <v>0</v>
      </c>
      <c r="BV97" s="30">
        <f t="shared" ca="1" si="81"/>
        <v>0</v>
      </c>
      <c r="BW97" s="35">
        <f ca="1">_xll.RiskBinomial(1,BV97)</f>
        <v>0</v>
      </c>
      <c r="BX97" s="88">
        <f ca="1">IF(BW97=1,_xll.RiskBinomial(1,Prob_Illness_Given_Infection),0)</f>
        <v>0</v>
      </c>
      <c r="BZ97" s="87">
        <f t="shared" ca="1" si="115"/>
        <v>2.8779786172879882E-5</v>
      </c>
      <c r="CA97" s="37">
        <f ca="1">INT(BZ97) + _xll.RiskBinomial(1,BZ97-INT(BZ97))</f>
        <v>0</v>
      </c>
      <c r="CB97" s="30">
        <f t="shared" ca="1" si="82"/>
        <v>0</v>
      </c>
      <c r="CC97" s="35">
        <f ca="1">_xll.RiskBinomial(1,CB97)</f>
        <v>0</v>
      </c>
      <c r="CD97" s="88">
        <f ca="1">IF(CC97=1,_xll.RiskBinomial(1,Prob_Illness_Given_Infection),0)</f>
        <v>0</v>
      </c>
      <c r="CF97" s="87">
        <f t="shared" ca="1" si="116"/>
        <v>5.4606763627657242E-6</v>
      </c>
      <c r="CG97" s="37">
        <f ca="1">INT(CF97) + _xll.RiskBinomial(1,CF97-INT(CF97))</f>
        <v>0</v>
      </c>
      <c r="CH97" s="30">
        <f t="shared" ca="1" si="83"/>
        <v>0</v>
      </c>
      <c r="CI97" s="35">
        <f ca="1">_xll.RiskBinomial(1,CH97)</f>
        <v>0</v>
      </c>
      <c r="CJ97" s="88">
        <f ca="1">IF(CI97=1,_xll.RiskBinomial(1,Prob_Illness_Given_Infection),0)</f>
        <v>0</v>
      </c>
      <c r="CL97" s="87">
        <f t="shared" ca="1" si="117"/>
        <v>1.0537576633075274E-5</v>
      </c>
      <c r="CM97" s="37">
        <f ca="1">INT(CL97) + _xll.RiskBinomial(1,CL97-INT(CL97))</f>
        <v>0</v>
      </c>
      <c r="CN97" s="30">
        <f t="shared" ca="1" si="84"/>
        <v>0</v>
      </c>
      <c r="CO97" s="35">
        <f ca="1">_xll.RiskBinomial(1,CN97)</f>
        <v>0</v>
      </c>
      <c r="CP97" s="88">
        <f ca="1">IF(CO97=1,_xll.RiskBinomial(1,Prob_Illness_Given_Infection),0)</f>
        <v>0</v>
      </c>
      <c r="CR97" s="87">
        <f t="shared" ca="1" si="118"/>
        <v>7.2621788757073481E-8</v>
      </c>
      <c r="CS97" s="37">
        <f ca="1">INT(CR97) + _xll.RiskBinomial(1,CR97-INT(CR97))</f>
        <v>0</v>
      </c>
      <c r="CT97" s="30">
        <f t="shared" ca="1" si="85"/>
        <v>0</v>
      </c>
      <c r="CU97" s="35">
        <f ca="1">_xll.RiskBinomial(1,CT97)</f>
        <v>0</v>
      </c>
      <c r="CV97" s="88">
        <f ca="1">IF(CU97=1,_xll.RiskBinomial(1,Prob_Illness_Given_Infection),0)</f>
        <v>0</v>
      </c>
      <c r="CX97" s="87">
        <f t="shared" ca="1" si="119"/>
        <v>7.3928155365117143E-10</v>
      </c>
      <c r="CY97" s="37">
        <f ca="1">INT(CX97) + _xll.RiskBinomial(1,CX97-INT(CX97))</f>
        <v>0</v>
      </c>
      <c r="CZ97" s="30">
        <f t="shared" ca="1" si="86"/>
        <v>0</v>
      </c>
      <c r="DA97" s="35">
        <f ca="1">_xll.RiskBinomial(1,CZ97)</f>
        <v>0</v>
      </c>
      <c r="DB97" s="88">
        <f ca="1">IF(DA97=1,_xll.RiskBinomial(1,Prob_Illness_Given_Infection),0)</f>
        <v>0</v>
      </c>
      <c r="DD97" s="87">
        <f t="shared" ca="1" si="120"/>
        <v>7.3928155365117143E-10</v>
      </c>
      <c r="DE97" s="37">
        <f ca="1">INT(DD97) + _xll.RiskBinomial(1,DD97-INT(DD97))</f>
        <v>0</v>
      </c>
      <c r="DF97" s="30">
        <f t="shared" ca="1" si="87"/>
        <v>0</v>
      </c>
      <c r="DG97" s="35">
        <f ca="1">_xll.RiskBinomial(1,DF97)</f>
        <v>0</v>
      </c>
      <c r="DH97" s="88">
        <f ca="1">IF(DG97=1,_xll.RiskBinomial(1,Prob_Illness_Given_Infection),0)</f>
        <v>0</v>
      </c>
      <c r="DJ97" s="87">
        <f t="shared" ca="1" si="121"/>
        <v>1.2071441996724878E-6</v>
      </c>
      <c r="DK97" s="37">
        <f ca="1">INT(DJ97) + _xll.RiskBinomial(1,DJ97-INT(DJ97))</f>
        <v>0</v>
      </c>
      <c r="DL97" s="30">
        <f t="shared" ca="1" si="88"/>
        <v>0</v>
      </c>
      <c r="DM97" s="35">
        <f ca="1">_xll.RiskBinomial(1,DL97)</f>
        <v>0</v>
      </c>
      <c r="DN97" s="88">
        <f ca="1">IF(DM97=1,_xll.RiskBinomial(1,Prob_Illness_Given_Infection),0)</f>
        <v>0</v>
      </c>
      <c r="DP97" s="87">
        <f t="shared" ca="1" si="122"/>
        <v>2.8536266741064007E-10</v>
      </c>
      <c r="DQ97" s="37">
        <f ca="1">INT(DP97) + _xll.RiskBinomial(1,DP97-INT(DP97))</f>
        <v>0</v>
      </c>
      <c r="DR97" s="30">
        <f t="shared" ca="1" si="89"/>
        <v>0</v>
      </c>
      <c r="DS97" s="35">
        <f ca="1">_xll.RiskBinomial(1,DR97)</f>
        <v>0</v>
      </c>
      <c r="DT97" s="88">
        <f ca="1">IF(DS97=1,_xll.RiskBinomial(1,Prob_Illness_Given_Infection),0)</f>
        <v>0</v>
      </c>
      <c r="DV97" s="87">
        <f t="shared" ca="1" si="123"/>
        <v>4.0173526598280435E-9</v>
      </c>
      <c r="DW97" s="37">
        <f ca="1">INT(DV97) + _xll.RiskBinomial(1,DV97-INT(DV97))</f>
        <v>0</v>
      </c>
      <c r="DX97" s="30">
        <f t="shared" ca="1" si="90"/>
        <v>0</v>
      </c>
      <c r="DY97" s="35">
        <f ca="1">_xll.RiskBinomial(1,DX97)</f>
        <v>0</v>
      </c>
      <c r="DZ97" s="88">
        <f ca="1">IF(DY97=1,_xll.RiskBinomial(1,Prob_Illness_Given_Infection),0)</f>
        <v>0</v>
      </c>
      <c r="EB97" s="87">
        <f t="shared" ca="1" si="124"/>
        <v>1.0080839924890241E-12</v>
      </c>
      <c r="EC97" s="37">
        <f ca="1">INT(EB97) + _xll.RiskBinomial(1,EB97-INT(EB97))</f>
        <v>0</v>
      </c>
      <c r="ED97" s="30">
        <f t="shared" ca="1" si="91"/>
        <v>0</v>
      </c>
      <c r="EE97" s="35">
        <f ca="1">_xll.RiskBinomial(1,ED97)</f>
        <v>0</v>
      </c>
      <c r="EF97" s="88">
        <f ca="1">IF(EE97=1,_xll.RiskBinomial(1,Prob_Illness_Given_Infection),0)</f>
        <v>0</v>
      </c>
      <c r="EH97" s="87">
        <f t="shared" ca="1" si="125"/>
        <v>1.0080839924879879E-12</v>
      </c>
      <c r="EI97" s="37">
        <f ca="1">INT(EH97) + _xll.RiskBinomial(1,EH97-INT(EH97))</f>
        <v>0</v>
      </c>
      <c r="EJ97" s="30">
        <f t="shared" ca="1" si="92"/>
        <v>0</v>
      </c>
      <c r="EK97" s="35">
        <f ca="1">_xll.RiskBinomial(1,EJ97)</f>
        <v>0</v>
      </c>
      <c r="EL97" s="88">
        <f ca="1">IF(EK97=1,_xll.RiskBinomial(1,Prob_Illness_Given_Infection),0)</f>
        <v>0</v>
      </c>
      <c r="EN97" s="87">
        <f t="shared" ca="1" si="126"/>
        <v>9.1981578216259271E-11</v>
      </c>
      <c r="EO97" s="37">
        <f ca="1">INT(EN97) + _xll.RiskBinomial(1,EN97-INT(EN97))</f>
        <v>0</v>
      </c>
      <c r="EP97" s="30">
        <f t="shared" ca="1" si="93"/>
        <v>0</v>
      </c>
      <c r="EQ97" s="35">
        <f ca="1">_xll.RiskBinomial(1,EP97)</f>
        <v>0</v>
      </c>
      <c r="ER97" s="88">
        <f ca="1">IF(EQ97=1,_xll.RiskBinomial(1,Prob_Illness_Given_Infection),0)</f>
        <v>0</v>
      </c>
      <c r="ET97" s="87">
        <f t="shared" ca="1" si="127"/>
        <v>1.0080839924870266E-12</v>
      </c>
      <c r="EU97" s="37">
        <f ca="1">INT(ET97) + _xll.RiskBinomial(1,ET97-INT(ET97))</f>
        <v>0</v>
      </c>
      <c r="EV97" s="30">
        <f t="shared" ca="1" si="94"/>
        <v>0</v>
      </c>
      <c r="EW97" s="35">
        <f ca="1">_xll.RiskBinomial(1,EV97)</f>
        <v>0</v>
      </c>
      <c r="EX97" s="88">
        <f ca="1">IF(EW97=1,_xll.RiskBinomial(1,Prob_Illness_Given_Infection),0)</f>
        <v>0</v>
      </c>
      <c r="EZ97" s="87">
        <f t="shared" ca="1" si="128"/>
        <v>7.6031745683006412E-6</v>
      </c>
      <c r="FA97" s="37">
        <f ca="1">INT(EZ97) + _xll.RiskBinomial(1,EZ97-INT(EZ97))</f>
        <v>0</v>
      </c>
      <c r="FB97" s="30">
        <f t="shared" ca="1" si="95"/>
        <v>0</v>
      </c>
      <c r="FC97" s="35">
        <f ca="1">_xll.RiskBinomial(1,FB97)</f>
        <v>0</v>
      </c>
      <c r="FD97" s="88">
        <f ca="1">IF(FC97=1,_xll.RiskBinomial(1,Prob_Illness_Given_Infection),0)</f>
        <v>0</v>
      </c>
      <c r="FF97" s="87">
        <f t="shared" ca="1" si="129"/>
        <v>5.2962859368494638E-5</v>
      </c>
      <c r="FG97" s="37">
        <f ca="1">INT(FF97) + _xll.RiskBinomial(1,FF97-INT(FF97))</f>
        <v>0</v>
      </c>
      <c r="FH97" s="30">
        <f t="shared" ca="1" si="96"/>
        <v>0</v>
      </c>
      <c r="FI97" s="35">
        <f ca="1">_xll.RiskBinomial(1,FH97)</f>
        <v>0</v>
      </c>
      <c r="FJ97" s="88">
        <f ca="1">IF(FI97=1,_xll.RiskBinomial(1,Prob_Illness_Given_Infection),0)</f>
        <v>0</v>
      </c>
      <c r="FL97" s="87" t="e">
        <f t="shared" ca="1" si="130"/>
        <v>#NAME?</v>
      </c>
      <c r="FM97" s="37" t="e">
        <f ca="1">INT(FL97) + _xll.RiskBinomial(1,FL97-INT(FL97))</f>
        <v>#NAME?</v>
      </c>
      <c r="FN97" s="30" t="e">
        <f t="shared" ca="1" si="97"/>
        <v>#NAME?</v>
      </c>
      <c r="FO97" s="35" t="e">
        <f ca="1">_xll.RiskBinomial(1,FN97)</f>
        <v>#VALUE!</v>
      </c>
      <c r="FP97" s="88" t="e">
        <f ca="1">IF(FO97=1,_xll.RiskBinomial(1,Prob_Illness_Given_Infection),0)</f>
        <v>#VALUE!</v>
      </c>
      <c r="FR97" s="87" t="e">
        <f t="shared" ca="1" si="131"/>
        <v>#NAME?</v>
      </c>
      <c r="FS97" s="37" t="e">
        <f ca="1">INT(FR97) + _xll.RiskBinomial(1,FR97-INT(FR97))</f>
        <v>#NAME?</v>
      </c>
      <c r="FT97" s="30" t="e">
        <f t="shared" ca="1" si="98"/>
        <v>#NAME?</v>
      </c>
      <c r="FU97" s="35" t="e">
        <f ca="1">_xll.RiskBinomial(1,FT97)</f>
        <v>#VALUE!</v>
      </c>
      <c r="FV97" s="88" t="e">
        <f ca="1">IF(FU97=1,_xll.RiskBinomial(1,Prob_Illness_Given_Infection),0)</f>
        <v>#VALUE!</v>
      </c>
      <c r="FX97" s="87">
        <f t="shared" ca="1" si="132"/>
        <v>1.0643018683403362E-7</v>
      </c>
      <c r="FY97" s="37">
        <f ca="1">INT(FX97) + _xll.RiskBinomial(1,FX97-INT(FX97))</f>
        <v>0</v>
      </c>
      <c r="FZ97" s="30">
        <f t="shared" ca="1" si="99"/>
        <v>0</v>
      </c>
      <c r="GA97" s="35">
        <f ca="1">_xll.RiskBinomial(1,FZ97)</f>
        <v>0</v>
      </c>
      <c r="GB97" s="88">
        <f ca="1">IF(GA97=1,_xll.RiskBinomial(1,Prob_Illness_Given_Infection),0)</f>
        <v>0</v>
      </c>
      <c r="GD97" s="87" t="e">
        <f t="shared" ca="1" si="133"/>
        <v>#NAME?</v>
      </c>
      <c r="GE97" s="37" t="e">
        <f ca="1">INT(GD97) + _xll.RiskBinomial(1,GD97-INT(GD97))</f>
        <v>#NAME?</v>
      </c>
      <c r="GF97" s="30" t="e">
        <f t="shared" ca="1" si="100"/>
        <v>#NAME?</v>
      </c>
      <c r="GG97" s="35" t="e">
        <f ca="1">_xll.RiskBinomial(1,GF97)</f>
        <v>#VALUE!</v>
      </c>
      <c r="GH97" s="88" t="e">
        <f ca="1">IF(GG97=1,_xll.RiskBinomial(1,Prob_Illness_Given_Infection),0)</f>
        <v>#VALUE!</v>
      </c>
      <c r="GJ97" s="87" t="e">
        <f t="shared" ca="1" si="134"/>
        <v>#NAME?</v>
      </c>
      <c r="GK97" s="37" t="e">
        <f ca="1">INT(GJ97) + _xll.RiskBinomial(1,GJ97-INT(GJ97))</f>
        <v>#NAME?</v>
      </c>
      <c r="GL97" s="30" t="e">
        <f t="shared" ca="1" si="101"/>
        <v>#NAME?</v>
      </c>
      <c r="GM97" s="35" t="e">
        <f ca="1">_xll.RiskBinomial(1,GL97)</f>
        <v>#VALUE!</v>
      </c>
      <c r="GN97" s="88" t="e">
        <f ca="1">IF(GM97=1,_xll.RiskBinomial(1,Prob_Illness_Given_Infection),0)</f>
        <v>#VALUE!</v>
      </c>
      <c r="GP97" s="87" t="e">
        <f t="shared" ca="1" si="135"/>
        <v>#NAME?</v>
      </c>
      <c r="GQ97" s="37" t="e">
        <f ca="1">INT(GP97) + _xll.RiskBinomial(1,GP97-INT(GP97))</f>
        <v>#NAME?</v>
      </c>
      <c r="GR97" s="30" t="e">
        <f t="shared" ca="1" si="102"/>
        <v>#NAME?</v>
      </c>
      <c r="GS97" s="35" t="e">
        <f ca="1">_xll.RiskBinomial(1,GR97)</f>
        <v>#VALUE!</v>
      </c>
      <c r="GT97" s="88" t="e">
        <f ca="1">IF(GS97=1,_xll.RiskBinomial(1,Prob_Illness_Given_Infection),0)</f>
        <v>#VALUE!</v>
      </c>
    </row>
    <row r="98" spans="2:202">
      <c r="B98" s="108">
        <v>90</v>
      </c>
      <c r="C98" s="87">
        <f ca="1">_xll.RiskLoglogistic(LogLogistic_gamma, LogLogistic_beta, LogLogistic_alpha, _xll.RiskTruncate(5,800))</f>
        <v>61.356812457509022</v>
      </c>
      <c r="D98" s="38">
        <f t="shared" ca="1" si="69"/>
        <v>3.9416620935801663</v>
      </c>
      <c r="E98" s="30"/>
      <c r="F98" s="87">
        <f t="shared" ca="1" si="103"/>
        <v>1.4230944937928895E-9</v>
      </c>
      <c r="G98" s="37">
        <f ca="1">INT(F98) + _xll.RiskBinomial(1,F98-INT(F98))</f>
        <v>0</v>
      </c>
      <c r="H98" s="30">
        <f t="shared" ca="1" si="70"/>
        <v>0</v>
      </c>
      <c r="I98" s="35">
        <f ca="1">_xll.RiskBinomial(1,H98)</f>
        <v>0</v>
      </c>
      <c r="J98" s="88">
        <f ca="1">IF(I98=1,_xll.RiskBinomial(1,Prob_Illness_Given_Infection),0)</f>
        <v>0</v>
      </c>
      <c r="K98" s="30"/>
      <c r="L98" s="87">
        <f t="shared" ca="1" si="104"/>
        <v>7.2687958691505729E-5</v>
      </c>
      <c r="M98" s="37">
        <f ca="1">INT(L98) + _xll.RiskBinomial(1,L98-INT(L98))</f>
        <v>0</v>
      </c>
      <c r="N98" s="30">
        <f t="shared" ca="1" si="71"/>
        <v>0</v>
      </c>
      <c r="O98" s="35">
        <f ca="1">_xll.RiskBinomial(1,N98)</f>
        <v>0</v>
      </c>
      <c r="P98" s="88">
        <f ca="1">IF(O98=1,_xll.RiskBinomial(1,Prob_Illness_Given_Infection),0)</f>
        <v>0</v>
      </c>
      <c r="Q98" s="30"/>
      <c r="R98" s="87">
        <f t="shared" ca="1" si="105"/>
        <v>7.5141738001600992E-6</v>
      </c>
      <c r="S98" s="37">
        <f ca="1">INT(R98) + _xll.RiskBinomial(1,R98-INT(R98))</f>
        <v>0</v>
      </c>
      <c r="T98" s="30">
        <f t="shared" ca="1" si="72"/>
        <v>0</v>
      </c>
      <c r="U98" s="35">
        <f ca="1">_xll.RiskBinomial(1,T98)</f>
        <v>0</v>
      </c>
      <c r="V98" s="88">
        <f ca="1">IF(U98=1,_xll.RiskBinomial(1,Prob_Illness_Given_Infection),0)</f>
        <v>0</v>
      </c>
      <c r="W98" s="30"/>
      <c r="X98" s="87">
        <f t="shared" ca="1" si="106"/>
        <v>3.0870183724003044E-12</v>
      </c>
      <c r="Y98" s="37">
        <f ca="1">INT(X98) + _xll.RiskBinomial(1,X98-INT(X98))</f>
        <v>0</v>
      </c>
      <c r="Z98" s="30">
        <f t="shared" ca="1" si="73"/>
        <v>0</v>
      </c>
      <c r="AA98" s="35">
        <f ca="1">_xll.RiskBinomial(1,Z98)</f>
        <v>0</v>
      </c>
      <c r="AB98" s="88">
        <f ca="1">IF(AA98=1,_xll.RiskBinomial(1,Prob_Illness_Given_Infection),0)</f>
        <v>0</v>
      </c>
      <c r="AC98" s="30"/>
      <c r="AD98" s="87">
        <f t="shared" ca="1" si="107"/>
        <v>1.5552945287378813E-12</v>
      </c>
      <c r="AE98" s="37">
        <f ca="1">INT(AD98) + _xll.RiskBinomial(1,AD98-INT(AD98))</f>
        <v>0</v>
      </c>
      <c r="AF98" s="30">
        <f t="shared" ca="1" si="74"/>
        <v>0</v>
      </c>
      <c r="AG98" s="35">
        <f ca="1">_xll.RiskBinomial(1,AF98)</f>
        <v>0</v>
      </c>
      <c r="AH98" s="88">
        <f ca="1">IF(AG98=1,_xll.RiskBinomial(1,Prob_Illness_Given_Infection),0)</f>
        <v>0</v>
      </c>
      <c r="AI98" s="30"/>
      <c r="AJ98" s="87">
        <f t="shared" ca="1" si="108"/>
        <v>7.2192763924652488E-5</v>
      </c>
      <c r="AK98" s="37">
        <f ca="1">INT(AJ98) + _xll.RiskBinomial(1,AJ98-INT(AJ98))</f>
        <v>0</v>
      </c>
      <c r="AL98" s="30">
        <f t="shared" ca="1" si="75"/>
        <v>0</v>
      </c>
      <c r="AM98" s="35">
        <f ca="1">_xll.RiskBinomial(1,AL98)</f>
        <v>0</v>
      </c>
      <c r="AN98" s="88">
        <f ca="1">IF(AM98=1,_xll.RiskBinomial(1,Prob_Illness_Given_Infection),0)</f>
        <v>0</v>
      </c>
      <c r="AO98" s="30"/>
      <c r="AP98" s="87">
        <f t="shared" ca="1" si="109"/>
        <v>1.7556582581009662E-9</v>
      </c>
      <c r="AQ98" s="37">
        <f ca="1">INT(AP98) + _xll.RiskBinomial(1,AP98-INT(AP98))</f>
        <v>0</v>
      </c>
      <c r="AR98" s="30">
        <f t="shared" ca="1" si="76"/>
        <v>0</v>
      </c>
      <c r="AS98" s="35">
        <f ca="1">_xll.RiskBinomial(1,AR98)</f>
        <v>0</v>
      </c>
      <c r="AT98" s="88">
        <f ca="1">IF(AS98=1,_xll.RiskBinomial(1,Prob_Illness_Given_Infection),0)</f>
        <v>0</v>
      </c>
      <c r="AU98" s="30"/>
      <c r="AV98" s="87">
        <f t="shared" ca="1" si="110"/>
        <v>4.073035761676879E-5</v>
      </c>
      <c r="AW98" s="37">
        <f ca="1">INT(AV98) + _xll.RiskBinomial(1,AV98-INT(AV98))</f>
        <v>0</v>
      </c>
      <c r="AX98" s="30">
        <f t="shared" ca="1" si="77"/>
        <v>0</v>
      </c>
      <c r="AY98" s="35">
        <f ca="1">_xll.RiskBinomial(1,AX98)</f>
        <v>0</v>
      </c>
      <c r="AZ98" s="88">
        <f ca="1">IF(AY98=1,_xll.RiskBinomial(1,Prob_Illness_Given_Infection),0)</f>
        <v>0</v>
      </c>
      <c r="BB98" s="87">
        <f t="shared" ca="1" si="111"/>
        <v>5.5902818169052434E-5</v>
      </c>
      <c r="BC98" s="37">
        <f ca="1">INT(BB98) + _xll.RiskBinomial(1,BB98-INT(BB98))</f>
        <v>0</v>
      </c>
      <c r="BD98" s="30">
        <f t="shared" ca="1" si="78"/>
        <v>0</v>
      </c>
      <c r="BE98" s="35">
        <f ca="1">_xll.RiskBinomial(1,BD98)</f>
        <v>0</v>
      </c>
      <c r="BF98" s="88">
        <f ca="1">IF(BE98=1,_xll.RiskBinomial(1,Prob_Illness_Given_Infection),0)</f>
        <v>0</v>
      </c>
      <c r="BH98" s="87">
        <f t="shared" ca="1" si="112"/>
        <v>7.0776967175374865E-5</v>
      </c>
      <c r="BI98" s="37">
        <f ca="1">INT(BH98) + _xll.RiskBinomial(1,BH98-INT(BH98))</f>
        <v>0</v>
      </c>
      <c r="BJ98" s="30">
        <f t="shared" ca="1" si="79"/>
        <v>0</v>
      </c>
      <c r="BK98" s="35">
        <f ca="1">_xll.RiskBinomial(1,BJ98)</f>
        <v>0</v>
      </c>
      <c r="BL98" s="88">
        <f ca="1">IF(BK98=1,_xll.RiskBinomial(1,Prob_Illness_Given_Infection),0)</f>
        <v>0</v>
      </c>
      <c r="BN98" s="87">
        <f t="shared" ca="1" si="113"/>
        <v>5.3865307701902432E-6</v>
      </c>
      <c r="BO98" s="37">
        <f ca="1">INT(BN98) + _xll.RiskBinomial(1,BN98-INT(BN98))</f>
        <v>0</v>
      </c>
      <c r="BP98" s="30">
        <f t="shared" ca="1" si="80"/>
        <v>0</v>
      </c>
      <c r="BQ98" s="35">
        <f ca="1">_xll.RiskBinomial(1,BP98)</f>
        <v>0</v>
      </c>
      <c r="BR98" s="88">
        <f ca="1">IF(BQ98=1,_xll.RiskBinomial(1,Prob_Illness_Given_Infection),0)</f>
        <v>0</v>
      </c>
      <c r="BT98" s="87">
        <f t="shared" ca="1" si="114"/>
        <v>1.6197241080244646E-5</v>
      </c>
      <c r="BU98" s="37">
        <f ca="1">INT(BT98) + _xll.RiskBinomial(1,BT98-INT(BT98))</f>
        <v>0</v>
      </c>
      <c r="BV98" s="30">
        <f t="shared" ca="1" si="81"/>
        <v>0</v>
      </c>
      <c r="BW98" s="35">
        <f ca="1">_xll.RiskBinomial(1,BV98)</f>
        <v>0</v>
      </c>
      <c r="BX98" s="88">
        <f ca="1">IF(BW98=1,_xll.RiskBinomial(1,Prob_Illness_Given_Infection),0)</f>
        <v>0</v>
      </c>
      <c r="BZ98" s="87">
        <f t="shared" ca="1" si="115"/>
        <v>4.4402097748217668E-5</v>
      </c>
      <c r="CA98" s="37">
        <f ca="1">INT(BZ98) + _xll.RiskBinomial(1,BZ98-INT(BZ98))</f>
        <v>0</v>
      </c>
      <c r="CB98" s="30">
        <f t="shared" ca="1" si="82"/>
        <v>0</v>
      </c>
      <c r="CC98" s="35">
        <f ca="1">_xll.RiskBinomial(1,CB98)</f>
        <v>0</v>
      </c>
      <c r="CD98" s="88">
        <f ca="1">IF(CC98=1,_xll.RiskBinomial(1,Prob_Illness_Given_Infection),0)</f>
        <v>0</v>
      </c>
      <c r="CF98" s="87">
        <f t="shared" ca="1" si="116"/>
        <v>8.4248536168551669E-6</v>
      </c>
      <c r="CG98" s="37">
        <f ca="1">INT(CF98) + _xll.RiskBinomial(1,CF98-INT(CF98))</f>
        <v>0</v>
      </c>
      <c r="CH98" s="30">
        <f t="shared" ca="1" si="83"/>
        <v>0</v>
      </c>
      <c r="CI98" s="35">
        <f ca="1">_xll.RiskBinomial(1,CH98)</f>
        <v>0</v>
      </c>
      <c r="CJ98" s="88">
        <f ca="1">IF(CI98=1,_xll.RiskBinomial(1,Prob_Illness_Given_Infection),0)</f>
        <v>0</v>
      </c>
      <c r="CL98" s="87">
        <f t="shared" ca="1" si="117"/>
        <v>1.6257608895372928E-5</v>
      </c>
      <c r="CM98" s="37">
        <f ca="1">INT(CL98) + _xll.RiskBinomial(1,CL98-INT(CL98))</f>
        <v>0</v>
      </c>
      <c r="CN98" s="30">
        <f t="shared" ca="1" si="84"/>
        <v>0</v>
      </c>
      <c r="CO98" s="35">
        <f ca="1">_xll.RiskBinomial(1,CN98)</f>
        <v>0</v>
      </c>
      <c r="CP98" s="88">
        <f ca="1">IF(CO98=1,_xll.RiskBinomial(1,Prob_Illness_Given_Infection),0)</f>
        <v>0</v>
      </c>
      <c r="CR98" s="87">
        <f t="shared" ca="1" si="118"/>
        <v>1.1204251983222161E-7</v>
      </c>
      <c r="CS98" s="37">
        <f ca="1">INT(CR98) + _xll.RiskBinomial(1,CR98-INT(CR98))</f>
        <v>0</v>
      </c>
      <c r="CT98" s="30">
        <f t="shared" ca="1" si="85"/>
        <v>0</v>
      </c>
      <c r="CU98" s="35">
        <f ca="1">_xll.RiskBinomial(1,CT98)</f>
        <v>0</v>
      </c>
      <c r="CV98" s="88">
        <f ca="1">IF(CU98=1,_xll.RiskBinomial(1,Prob_Illness_Given_Infection),0)</f>
        <v>0</v>
      </c>
      <c r="CX98" s="87">
        <f t="shared" ca="1" si="119"/>
        <v>1.1405801145112816E-9</v>
      </c>
      <c r="CY98" s="37">
        <f ca="1">INT(CX98) + _xll.RiskBinomial(1,CX98-INT(CX98))</f>
        <v>0</v>
      </c>
      <c r="CZ98" s="30">
        <f t="shared" ca="1" si="86"/>
        <v>0</v>
      </c>
      <c r="DA98" s="35">
        <f ca="1">_xll.RiskBinomial(1,CZ98)</f>
        <v>0</v>
      </c>
      <c r="DB98" s="88">
        <f ca="1">IF(DA98=1,_xll.RiskBinomial(1,Prob_Illness_Given_Infection),0)</f>
        <v>0</v>
      </c>
      <c r="DD98" s="87">
        <f t="shared" ca="1" si="120"/>
        <v>1.1405801145112816E-9</v>
      </c>
      <c r="DE98" s="37">
        <f ca="1">INT(DD98) + _xll.RiskBinomial(1,DD98-INT(DD98))</f>
        <v>0</v>
      </c>
      <c r="DF98" s="30">
        <f t="shared" ca="1" si="87"/>
        <v>0</v>
      </c>
      <c r="DG98" s="35">
        <f ca="1">_xll.RiskBinomial(1,DF98)</f>
        <v>0</v>
      </c>
      <c r="DH98" s="88">
        <f ca="1">IF(DG98=1,_xll.RiskBinomial(1,Prob_Illness_Given_Infection),0)</f>
        <v>0</v>
      </c>
      <c r="DJ98" s="87">
        <f t="shared" ca="1" si="121"/>
        <v>1.8624090682286076E-6</v>
      </c>
      <c r="DK98" s="37">
        <f ca="1">INT(DJ98) + _xll.RiskBinomial(1,DJ98-INT(DJ98))</f>
        <v>0</v>
      </c>
      <c r="DL98" s="30">
        <f t="shared" ca="1" si="88"/>
        <v>0</v>
      </c>
      <c r="DM98" s="35">
        <f ca="1">_xll.RiskBinomial(1,DL98)</f>
        <v>0</v>
      </c>
      <c r="DN98" s="88">
        <f ca="1">IF(DM98=1,_xll.RiskBinomial(1,Prob_Illness_Given_Infection),0)</f>
        <v>0</v>
      </c>
      <c r="DP98" s="87">
        <f t="shared" ca="1" si="122"/>
        <v>4.4026390522662667E-10</v>
      </c>
      <c r="DQ98" s="37">
        <f ca="1">INT(DP98) + _xll.RiskBinomial(1,DP98-INT(DP98))</f>
        <v>0</v>
      </c>
      <c r="DR98" s="30">
        <f t="shared" ca="1" si="89"/>
        <v>0</v>
      </c>
      <c r="DS98" s="35">
        <f ca="1">_xll.RiskBinomial(1,DR98)</f>
        <v>0</v>
      </c>
      <c r="DT98" s="88">
        <f ca="1">IF(DS98=1,_xll.RiskBinomial(1,Prob_Illness_Given_Infection),0)</f>
        <v>0</v>
      </c>
      <c r="DV98" s="87">
        <f t="shared" ca="1" si="123"/>
        <v>6.1980615289921503E-9</v>
      </c>
      <c r="DW98" s="37">
        <f ca="1">INT(DV98) + _xll.RiskBinomial(1,DV98-INT(DV98))</f>
        <v>0</v>
      </c>
      <c r="DX98" s="30">
        <f t="shared" ca="1" si="90"/>
        <v>0</v>
      </c>
      <c r="DY98" s="35">
        <f ca="1">_xll.RiskBinomial(1,DX98)</f>
        <v>0</v>
      </c>
      <c r="DZ98" s="88">
        <f ca="1">IF(DY98=1,_xll.RiskBinomial(1,Prob_Illness_Given_Infection),0)</f>
        <v>0</v>
      </c>
      <c r="EB98" s="87">
        <f t="shared" ca="1" si="124"/>
        <v>1.555294528737359E-12</v>
      </c>
      <c r="EC98" s="37">
        <f ca="1">INT(EB98) + _xll.RiskBinomial(1,EB98-INT(EB98))</f>
        <v>0</v>
      </c>
      <c r="ED98" s="30">
        <f t="shared" ca="1" si="91"/>
        <v>0</v>
      </c>
      <c r="EE98" s="35">
        <f ca="1">_xll.RiskBinomial(1,ED98)</f>
        <v>0</v>
      </c>
      <c r="EF98" s="88">
        <f ca="1">IF(EE98=1,_xll.RiskBinomial(1,Prob_Illness_Given_Infection),0)</f>
        <v>0</v>
      </c>
      <c r="EH98" s="87">
        <f t="shared" ca="1" si="125"/>
        <v>1.5552945287357602E-12</v>
      </c>
      <c r="EI98" s="37">
        <f ca="1">INT(EH98) + _xll.RiskBinomial(1,EH98-INT(EH98))</f>
        <v>0</v>
      </c>
      <c r="EJ98" s="30">
        <f t="shared" ca="1" si="92"/>
        <v>0</v>
      </c>
      <c r="EK98" s="35">
        <f ca="1">_xll.RiskBinomial(1,EJ98)</f>
        <v>0</v>
      </c>
      <c r="EL98" s="88">
        <f ca="1">IF(EK98=1,_xll.RiskBinomial(1,Prob_Illness_Given_Infection),0)</f>
        <v>0</v>
      </c>
      <c r="EN98" s="87">
        <f t="shared" ca="1" si="126"/>
        <v>1.4191123597861621E-10</v>
      </c>
      <c r="EO98" s="37">
        <f ca="1">INT(EN98) + _xll.RiskBinomial(1,EN98-INT(EN98))</f>
        <v>0</v>
      </c>
      <c r="EP98" s="30">
        <f t="shared" ca="1" si="93"/>
        <v>0</v>
      </c>
      <c r="EQ98" s="35">
        <f ca="1">_xll.RiskBinomial(1,EP98)</f>
        <v>0</v>
      </c>
      <c r="ER98" s="88">
        <f ca="1">IF(EQ98=1,_xll.RiskBinomial(1,Prob_Illness_Given_Infection),0)</f>
        <v>0</v>
      </c>
      <c r="ET98" s="87">
        <f t="shared" ca="1" si="127"/>
        <v>1.5552945287342769E-12</v>
      </c>
      <c r="EU98" s="37">
        <f ca="1">INT(ET98) + _xll.RiskBinomial(1,ET98-INT(ET98))</f>
        <v>0</v>
      </c>
      <c r="EV98" s="30">
        <f t="shared" ca="1" si="94"/>
        <v>0</v>
      </c>
      <c r="EW98" s="35">
        <f ca="1">_xll.RiskBinomial(1,EV98)</f>
        <v>0</v>
      </c>
      <c r="EX98" s="88">
        <f ca="1">IF(EW98=1,_xll.RiskBinomial(1,Prob_Illness_Given_Infection),0)</f>
        <v>0</v>
      </c>
      <c r="EZ98" s="87">
        <f t="shared" ca="1" si="128"/>
        <v>1.1730347763896042E-5</v>
      </c>
      <c r="FA98" s="37">
        <f ca="1">INT(EZ98) + _xll.RiskBinomial(1,EZ98-INT(EZ98))</f>
        <v>0</v>
      </c>
      <c r="FB98" s="30">
        <f t="shared" ca="1" si="95"/>
        <v>0</v>
      </c>
      <c r="FC98" s="35">
        <f ca="1">_xll.RiskBinomial(1,FB98)</f>
        <v>0</v>
      </c>
      <c r="FD98" s="88">
        <f ca="1">IF(FC98=1,_xll.RiskBinomial(1,Prob_Illness_Given_Infection),0)</f>
        <v>0</v>
      </c>
      <c r="FF98" s="87">
        <f t="shared" ca="1" si="129"/>
        <v>8.1712283912694644E-5</v>
      </c>
      <c r="FG98" s="37">
        <f ca="1">INT(FF98) + _xll.RiskBinomial(1,FF98-INT(FF98))</f>
        <v>0</v>
      </c>
      <c r="FH98" s="30">
        <f t="shared" ca="1" si="96"/>
        <v>0</v>
      </c>
      <c r="FI98" s="35">
        <f ca="1">_xll.RiskBinomial(1,FH98)</f>
        <v>0</v>
      </c>
      <c r="FJ98" s="88">
        <f ca="1">IF(FI98=1,_xll.RiskBinomial(1,Prob_Illness_Given_Infection),0)</f>
        <v>0</v>
      </c>
      <c r="FL98" s="87" t="e">
        <f t="shared" ca="1" si="130"/>
        <v>#NAME?</v>
      </c>
      <c r="FM98" s="37" t="e">
        <f ca="1">INT(FL98) + _xll.RiskBinomial(1,FL98-INT(FL98))</f>
        <v>#NAME?</v>
      </c>
      <c r="FN98" s="30" t="e">
        <f t="shared" ca="1" si="97"/>
        <v>#NAME?</v>
      </c>
      <c r="FO98" s="35" t="e">
        <f ca="1">_xll.RiskBinomial(1,FN98)</f>
        <v>#VALUE!</v>
      </c>
      <c r="FP98" s="88" t="e">
        <f ca="1">IF(FO98=1,_xll.RiskBinomial(1,Prob_Illness_Given_Infection),0)</f>
        <v>#VALUE!</v>
      </c>
      <c r="FR98" s="87" t="e">
        <f t="shared" ca="1" si="131"/>
        <v>#NAME?</v>
      </c>
      <c r="FS98" s="37" t="e">
        <f ca="1">INT(FR98) + _xll.RiskBinomial(1,FR98-INT(FR98))</f>
        <v>#NAME?</v>
      </c>
      <c r="FT98" s="30" t="e">
        <f t="shared" ca="1" si="98"/>
        <v>#NAME?</v>
      </c>
      <c r="FU98" s="35" t="e">
        <f ca="1">_xll.RiskBinomial(1,FT98)</f>
        <v>#VALUE!</v>
      </c>
      <c r="FV98" s="88" t="e">
        <f ca="1">IF(FU98=1,_xll.RiskBinomial(1,Prob_Illness_Given_Infection),0)</f>
        <v>#VALUE!</v>
      </c>
      <c r="FX98" s="87">
        <f t="shared" ca="1" si="132"/>
        <v>1.6420287248760142E-7</v>
      </c>
      <c r="FY98" s="37">
        <f ca="1">INT(FX98) + _xll.RiskBinomial(1,FX98-INT(FX98))</f>
        <v>0</v>
      </c>
      <c r="FZ98" s="30">
        <f t="shared" ca="1" si="99"/>
        <v>0</v>
      </c>
      <c r="GA98" s="35">
        <f ca="1">_xll.RiskBinomial(1,FZ98)</f>
        <v>0</v>
      </c>
      <c r="GB98" s="88">
        <f ca="1">IF(GA98=1,_xll.RiskBinomial(1,Prob_Illness_Given_Infection),0)</f>
        <v>0</v>
      </c>
      <c r="GD98" s="87" t="e">
        <f t="shared" ca="1" si="133"/>
        <v>#NAME?</v>
      </c>
      <c r="GE98" s="37" t="e">
        <f ca="1">INT(GD98) + _xll.RiskBinomial(1,GD98-INT(GD98))</f>
        <v>#NAME?</v>
      </c>
      <c r="GF98" s="30" t="e">
        <f t="shared" ca="1" si="100"/>
        <v>#NAME?</v>
      </c>
      <c r="GG98" s="35" t="e">
        <f ca="1">_xll.RiskBinomial(1,GF98)</f>
        <v>#VALUE!</v>
      </c>
      <c r="GH98" s="88" t="e">
        <f ca="1">IF(GG98=1,_xll.RiskBinomial(1,Prob_Illness_Given_Infection),0)</f>
        <v>#VALUE!</v>
      </c>
      <c r="GJ98" s="87" t="e">
        <f t="shared" ca="1" si="134"/>
        <v>#NAME?</v>
      </c>
      <c r="GK98" s="37" t="e">
        <f ca="1">INT(GJ98) + _xll.RiskBinomial(1,GJ98-INT(GJ98))</f>
        <v>#NAME?</v>
      </c>
      <c r="GL98" s="30" t="e">
        <f t="shared" ca="1" si="101"/>
        <v>#NAME?</v>
      </c>
      <c r="GM98" s="35" t="e">
        <f ca="1">_xll.RiskBinomial(1,GL98)</f>
        <v>#VALUE!</v>
      </c>
      <c r="GN98" s="88" t="e">
        <f ca="1">IF(GM98=1,_xll.RiskBinomial(1,Prob_Illness_Given_Infection),0)</f>
        <v>#VALUE!</v>
      </c>
      <c r="GP98" s="87" t="e">
        <f t="shared" ca="1" si="135"/>
        <v>#NAME?</v>
      </c>
      <c r="GQ98" s="37" t="e">
        <f ca="1">INT(GP98) + _xll.RiskBinomial(1,GP98-INT(GP98))</f>
        <v>#NAME?</v>
      </c>
      <c r="GR98" s="30" t="e">
        <f t="shared" ca="1" si="102"/>
        <v>#NAME?</v>
      </c>
      <c r="GS98" s="35" t="e">
        <f ca="1">_xll.RiskBinomial(1,GR98)</f>
        <v>#VALUE!</v>
      </c>
      <c r="GT98" s="88" t="e">
        <f ca="1">IF(GS98=1,_xll.RiskBinomial(1,Prob_Illness_Given_Infection),0)</f>
        <v>#VALUE!</v>
      </c>
    </row>
    <row r="99" spans="2:202">
      <c r="B99" s="108">
        <v>91</v>
      </c>
      <c r="C99" s="87">
        <f ca="1">_xll.RiskLoglogistic(LogLogistic_gamma, LogLogistic_beta, LogLogistic_alpha, _xll.RiskTruncate(5,800))</f>
        <v>102.20137285303143</v>
      </c>
      <c r="D99" s="38">
        <f t="shared" ca="1" si="69"/>
        <v>6.565583529386001</v>
      </c>
      <c r="E99" s="30"/>
      <c r="F99" s="87">
        <f t="shared" ca="1" si="103"/>
        <v>2.3704329664443557E-9</v>
      </c>
      <c r="G99" s="37">
        <f ca="1">INT(F99) + _xll.RiskBinomial(1,F99-INT(F99))</f>
        <v>0</v>
      </c>
      <c r="H99" s="30">
        <f t="shared" ca="1" si="70"/>
        <v>0</v>
      </c>
      <c r="I99" s="35">
        <f ca="1">_xll.RiskBinomial(1,H99)</f>
        <v>0</v>
      </c>
      <c r="J99" s="88">
        <f ca="1">IF(I99=1,_xll.RiskBinomial(1,Prob_Illness_Given_Infection),0)</f>
        <v>0</v>
      </c>
      <c r="K99" s="30"/>
      <c r="L99" s="87">
        <f t="shared" ca="1" si="104"/>
        <v>1.2107553946517253E-4</v>
      </c>
      <c r="M99" s="37">
        <f ca="1">INT(L99) + _xll.RiskBinomial(1,L99-INT(L99))</f>
        <v>0</v>
      </c>
      <c r="N99" s="30">
        <f t="shared" ca="1" si="71"/>
        <v>0</v>
      </c>
      <c r="O99" s="35">
        <f ca="1">_xll.RiskBinomial(1,N99)</f>
        <v>0</v>
      </c>
      <c r="P99" s="88">
        <f ca="1">IF(O99=1,_xll.RiskBinomial(1,Prob_Illness_Given_Infection),0)</f>
        <v>0</v>
      </c>
      <c r="Q99" s="30"/>
      <c r="R99" s="87">
        <f t="shared" ca="1" si="105"/>
        <v>1.2516277288108329E-5</v>
      </c>
      <c r="S99" s="37">
        <f ca="1">INT(R99) + _xll.RiskBinomial(1,R99-INT(R99))</f>
        <v>0</v>
      </c>
      <c r="T99" s="30">
        <f t="shared" ca="1" si="72"/>
        <v>0</v>
      </c>
      <c r="U99" s="35">
        <f ca="1">_xll.RiskBinomial(1,T99)</f>
        <v>0</v>
      </c>
      <c r="V99" s="88">
        <f ca="1">IF(U99=1,_xll.RiskBinomial(1,Prob_Illness_Given_Infection),0)</f>
        <v>0</v>
      </c>
      <c r="W99" s="30"/>
      <c r="X99" s="87">
        <f t="shared" ca="1" si="106"/>
        <v>5.1420128107262891E-12</v>
      </c>
      <c r="Y99" s="37">
        <f ca="1">INT(X99) + _xll.RiskBinomial(1,X99-INT(X99))</f>
        <v>0</v>
      </c>
      <c r="Z99" s="30">
        <f t="shared" ca="1" si="73"/>
        <v>0</v>
      </c>
      <c r="AA99" s="35">
        <f ca="1">_xll.RiskBinomial(1,Z99)</f>
        <v>0</v>
      </c>
      <c r="AB99" s="88">
        <f ca="1">IF(AA99=1,_xll.RiskBinomial(1,Prob_Illness_Given_Infection),0)</f>
        <v>0</v>
      </c>
      <c r="AC99" s="30"/>
      <c r="AD99" s="87">
        <f t="shared" ca="1" si="107"/>
        <v>2.590637121801246E-12</v>
      </c>
      <c r="AE99" s="37">
        <f ca="1">INT(AD99) + _xll.RiskBinomial(1,AD99-INT(AD99))</f>
        <v>0</v>
      </c>
      <c r="AF99" s="30">
        <f t="shared" ca="1" si="74"/>
        <v>0</v>
      </c>
      <c r="AG99" s="35">
        <f ca="1">_xll.RiskBinomial(1,AF99)</f>
        <v>0</v>
      </c>
      <c r="AH99" s="88">
        <f ca="1">IF(AG99=1,_xll.RiskBinomial(1,Prob_Illness_Given_Infection),0)</f>
        <v>0</v>
      </c>
      <c r="AI99" s="30"/>
      <c r="AJ99" s="87">
        <f t="shared" ca="1" si="108"/>
        <v>1.2025069894665496E-4</v>
      </c>
      <c r="AK99" s="37">
        <f ca="1">INT(AJ99) + _xll.RiskBinomial(1,AJ99-INT(AJ99))</f>
        <v>0</v>
      </c>
      <c r="AL99" s="30">
        <f t="shared" ca="1" si="75"/>
        <v>0</v>
      </c>
      <c r="AM99" s="35">
        <f ca="1">_xll.RiskBinomial(1,AL99)</f>
        <v>0</v>
      </c>
      <c r="AN99" s="88">
        <f ca="1">IF(AM99=1,_xll.RiskBinomial(1,Prob_Illness_Given_Infection),0)</f>
        <v>0</v>
      </c>
      <c r="AO99" s="30"/>
      <c r="AP99" s="87">
        <f t="shared" ca="1" si="109"/>
        <v>2.9243807990015831E-9</v>
      </c>
      <c r="AQ99" s="37">
        <f ca="1">INT(AP99) + _xll.RiskBinomial(1,AP99-INT(AP99))</f>
        <v>0</v>
      </c>
      <c r="AR99" s="30">
        <f t="shared" ca="1" si="76"/>
        <v>0</v>
      </c>
      <c r="AS99" s="35">
        <f ca="1">_xll.RiskBinomial(1,AR99)</f>
        <v>0</v>
      </c>
      <c r="AT99" s="88">
        <f ca="1">IF(AS99=1,_xll.RiskBinomial(1,Prob_Illness_Given_Infection),0)</f>
        <v>0</v>
      </c>
      <c r="AU99" s="30"/>
      <c r="AV99" s="87">
        <f t="shared" ca="1" si="110"/>
        <v>6.7844112145028042E-5</v>
      </c>
      <c r="AW99" s="37">
        <f ca="1">INT(AV99) + _xll.RiskBinomial(1,AV99-INT(AV99))</f>
        <v>0</v>
      </c>
      <c r="AX99" s="30">
        <f t="shared" ca="1" si="77"/>
        <v>0</v>
      </c>
      <c r="AY99" s="35">
        <f ca="1">_xll.RiskBinomial(1,AX99)</f>
        <v>0</v>
      </c>
      <c r="AZ99" s="88">
        <f ca="1">IF(AY99=1,_xll.RiskBinomial(1,Prob_Illness_Given_Infection),0)</f>
        <v>0</v>
      </c>
      <c r="BB99" s="87">
        <f t="shared" ca="1" si="111"/>
        <v>9.3116714092459868E-5</v>
      </c>
      <c r="BC99" s="37">
        <f ca="1">INT(BB99) + _xll.RiskBinomial(1,BB99-INT(BB99))</f>
        <v>0</v>
      </c>
      <c r="BD99" s="30">
        <f t="shared" ca="1" si="78"/>
        <v>0</v>
      </c>
      <c r="BE99" s="35">
        <f ca="1">_xll.RiskBinomial(1,BD99)</f>
        <v>0</v>
      </c>
      <c r="BF99" s="88">
        <f ca="1">IF(BE99=1,_xll.RiskBinomial(1,Prob_Illness_Given_Infection),0)</f>
        <v>0</v>
      </c>
      <c r="BH99" s="87">
        <f t="shared" ca="1" si="112"/>
        <v>1.1789242175360099E-4</v>
      </c>
      <c r="BI99" s="37">
        <f ca="1">INT(BH99) + _xll.RiskBinomial(1,BH99-INT(BH99))</f>
        <v>0</v>
      </c>
      <c r="BJ99" s="30">
        <f t="shared" ca="1" si="79"/>
        <v>0</v>
      </c>
      <c r="BK99" s="35">
        <f ca="1">_xll.RiskBinomial(1,BJ99)</f>
        <v>0</v>
      </c>
      <c r="BL99" s="88">
        <f ca="1">IF(BK99=1,_xll.RiskBinomial(1,Prob_Illness_Given_Infection),0)</f>
        <v>0</v>
      </c>
      <c r="BN99" s="87">
        <f t="shared" ca="1" si="113"/>
        <v>8.9722855145022535E-6</v>
      </c>
      <c r="BO99" s="37">
        <f ca="1">INT(BN99) + _xll.RiskBinomial(1,BN99-INT(BN99))</f>
        <v>0</v>
      </c>
      <c r="BP99" s="30">
        <f t="shared" ca="1" si="80"/>
        <v>0</v>
      </c>
      <c r="BQ99" s="35">
        <f ca="1">_xll.RiskBinomial(1,BP99)</f>
        <v>0</v>
      </c>
      <c r="BR99" s="88">
        <f ca="1">IF(BQ99=1,_xll.RiskBinomial(1,Prob_Illness_Given_Infection),0)</f>
        <v>0</v>
      </c>
      <c r="BT99" s="87">
        <f t="shared" ca="1" si="114"/>
        <v>2.6979567688248295E-5</v>
      </c>
      <c r="BU99" s="37">
        <f ca="1">INT(BT99) + _xll.RiskBinomial(1,BT99-INT(BT99))</f>
        <v>0</v>
      </c>
      <c r="BV99" s="30">
        <f t="shared" ca="1" si="81"/>
        <v>0</v>
      </c>
      <c r="BW99" s="35">
        <f ca="1">_xll.RiskBinomial(1,BV99)</f>
        <v>0</v>
      </c>
      <c r="BX99" s="88">
        <f ca="1">IF(BW99=1,_xll.RiskBinomial(1,Prob_Illness_Given_Infection),0)</f>
        <v>0</v>
      </c>
      <c r="BZ99" s="87">
        <f t="shared" ca="1" si="115"/>
        <v>7.396008960806068E-5</v>
      </c>
      <c r="CA99" s="37">
        <f ca="1">INT(BZ99) + _xll.RiskBinomial(1,BZ99-INT(BZ99))</f>
        <v>0</v>
      </c>
      <c r="CB99" s="30">
        <f t="shared" ca="1" si="82"/>
        <v>0</v>
      </c>
      <c r="CC99" s="35">
        <f ca="1">_xll.RiskBinomial(1,CB99)</f>
        <v>0</v>
      </c>
      <c r="CD99" s="88">
        <f ca="1">IF(CC99=1,_xll.RiskBinomial(1,Prob_Illness_Given_Infection),0)</f>
        <v>0</v>
      </c>
      <c r="CF99" s="87">
        <f t="shared" ca="1" si="116"/>
        <v>1.4033186719481381E-5</v>
      </c>
      <c r="CG99" s="37">
        <f ca="1">INT(CF99) + _xll.RiskBinomial(1,CF99-INT(CF99))</f>
        <v>0</v>
      </c>
      <c r="CH99" s="30">
        <f t="shared" ca="1" si="83"/>
        <v>0</v>
      </c>
      <c r="CI99" s="35">
        <f ca="1">_xll.RiskBinomial(1,CH99)</f>
        <v>0</v>
      </c>
      <c r="CJ99" s="88">
        <f ca="1">IF(CI99=1,_xll.RiskBinomial(1,Prob_Illness_Given_Infection),0)</f>
        <v>0</v>
      </c>
      <c r="CL99" s="87">
        <f t="shared" ca="1" si="117"/>
        <v>2.708012169904409E-5</v>
      </c>
      <c r="CM99" s="37">
        <f ca="1">INT(CL99) + _xll.RiskBinomial(1,CL99-INT(CL99))</f>
        <v>0</v>
      </c>
      <c r="CN99" s="30">
        <f t="shared" ca="1" si="84"/>
        <v>0</v>
      </c>
      <c r="CO99" s="35">
        <f ca="1">_xll.RiskBinomial(1,CN99)</f>
        <v>0</v>
      </c>
      <c r="CP99" s="88">
        <f ca="1">IF(CO99=1,_xll.RiskBinomial(1,Prob_Illness_Given_Infection),0)</f>
        <v>0</v>
      </c>
      <c r="CR99" s="87">
        <f t="shared" ca="1" si="118"/>
        <v>1.8662800243568805E-7</v>
      </c>
      <c r="CS99" s="37">
        <f ca="1">INT(CR99) + _xll.RiskBinomial(1,CR99-INT(CR99))</f>
        <v>0</v>
      </c>
      <c r="CT99" s="30">
        <f t="shared" ca="1" si="85"/>
        <v>0</v>
      </c>
      <c r="CU99" s="35">
        <f ca="1">_xll.RiskBinomial(1,CT99)</f>
        <v>0</v>
      </c>
      <c r="CV99" s="88">
        <f ca="1">IF(CU99=1,_xll.RiskBinomial(1,Prob_Illness_Given_Infection),0)</f>
        <v>0</v>
      </c>
      <c r="CX99" s="87">
        <f t="shared" ca="1" si="119"/>
        <v>1.8998518482792331E-9</v>
      </c>
      <c r="CY99" s="37">
        <f ca="1">INT(CX99) + _xll.RiskBinomial(1,CX99-INT(CX99))</f>
        <v>0</v>
      </c>
      <c r="CZ99" s="30">
        <f t="shared" ca="1" si="86"/>
        <v>0</v>
      </c>
      <c r="DA99" s="35">
        <f ca="1">_xll.RiskBinomial(1,CZ99)</f>
        <v>0</v>
      </c>
      <c r="DB99" s="88">
        <f ca="1">IF(DA99=1,_xll.RiskBinomial(1,Prob_Illness_Given_Infection),0)</f>
        <v>0</v>
      </c>
      <c r="DD99" s="87">
        <f t="shared" ca="1" si="120"/>
        <v>1.8998518482792331E-9</v>
      </c>
      <c r="DE99" s="37">
        <f ca="1">INT(DD99) + _xll.RiskBinomial(1,DD99-INT(DD99))</f>
        <v>0</v>
      </c>
      <c r="DF99" s="30">
        <f t="shared" ca="1" si="87"/>
        <v>0</v>
      </c>
      <c r="DG99" s="35">
        <f ca="1">_xll.RiskBinomial(1,DF99)</f>
        <v>0</v>
      </c>
      <c r="DH99" s="88">
        <f ca="1">IF(DG99=1,_xll.RiskBinomial(1,Prob_Illness_Given_Infection),0)</f>
        <v>0</v>
      </c>
      <c r="DJ99" s="87">
        <f t="shared" ca="1" si="121"/>
        <v>3.1021944583368643E-6</v>
      </c>
      <c r="DK99" s="37">
        <f ca="1">INT(DJ99) + _xll.RiskBinomial(1,DJ99-INT(DJ99))</f>
        <v>0</v>
      </c>
      <c r="DL99" s="30">
        <f t="shared" ca="1" si="88"/>
        <v>0</v>
      </c>
      <c r="DM99" s="35">
        <f ca="1">_xll.RiskBinomial(1,DL99)</f>
        <v>0</v>
      </c>
      <c r="DN99" s="88">
        <f ca="1">IF(DM99=1,_xll.RiskBinomial(1,Prob_Illness_Given_Infection),0)</f>
        <v>0</v>
      </c>
      <c r="DP99" s="87">
        <f t="shared" ca="1" si="122"/>
        <v>7.3334278182978643E-10</v>
      </c>
      <c r="DQ99" s="37">
        <f ca="1">INT(DP99) + _xll.RiskBinomial(1,DP99-INT(DP99))</f>
        <v>0</v>
      </c>
      <c r="DR99" s="30">
        <f t="shared" ca="1" si="89"/>
        <v>0</v>
      </c>
      <c r="DS99" s="35">
        <f ca="1">_xll.RiskBinomial(1,DR99)</f>
        <v>0</v>
      </c>
      <c r="DT99" s="88">
        <f ca="1">IF(DS99=1,_xll.RiskBinomial(1,Prob_Illness_Given_Infection),0)</f>
        <v>0</v>
      </c>
      <c r="DV99" s="87">
        <f t="shared" ca="1" si="123"/>
        <v>1.0324043442270336E-8</v>
      </c>
      <c r="DW99" s="37">
        <f ca="1">INT(DV99) + _xll.RiskBinomial(1,DV99-INT(DV99))</f>
        <v>0</v>
      </c>
      <c r="DX99" s="30">
        <f t="shared" ca="1" si="90"/>
        <v>0</v>
      </c>
      <c r="DY99" s="35">
        <f ca="1">_xll.RiskBinomial(1,DX99)</f>
        <v>0</v>
      </c>
      <c r="DZ99" s="88">
        <f ca="1">IF(DY99=1,_xll.RiskBinomial(1,Prob_Illness_Given_Infection),0)</f>
        <v>0</v>
      </c>
      <c r="EB99" s="87">
        <f t="shared" ca="1" si="124"/>
        <v>2.590637121800376E-12</v>
      </c>
      <c r="EC99" s="37">
        <f ca="1">INT(EB99) + _xll.RiskBinomial(1,EB99-INT(EB99))</f>
        <v>0</v>
      </c>
      <c r="ED99" s="30">
        <f t="shared" ca="1" si="91"/>
        <v>0</v>
      </c>
      <c r="EE99" s="35">
        <f ca="1">_xll.RiskBinomial(1,ED99)</f>
        <v>0</v>
      </c>
      <c r="EF99" s="88">
        <f ca="1">IF(EE99=1,_xll.RiskBinomial(1,Prob_Illness_Given_Infection),0)</f>
        <v>0</v>
      </c>
      <c r="EH99" s="87">
        <f t="shared" ca="1" si="125"/>
        <v>2.5906371217977127E-12</v>
      </c>
      <c r="EI99" s="37">
        <f ca="1">INT(EH99) + _xll.RiskBinomial(1,EH99-INT(EH99))</f>
        <v>0</v>
      </c>
      <c r="EJ99" s="30">
        <f t="shared" ca="1" si="92"/>
        <v>0</v>
      </c>
      <c r="EK99" s="35">
        <f ca="1">_xll.RiskBinomial(1,EJ99)</f>
        <v>0</v>
      </c>
      <c r="EL99" s="88">
        <f ca="1">IF(EK99=1,_xll.RiskBinomial(1,Prob_Illness_Given_Infection),0)</f>
        <v>0</v>
      </c>
      <c r="EN99" s="87">
        <f t="shared" ca="1" si="126"/>
        <v>2.3637999692909571E-10</v>
      </c>
      <c r="EO99" s="37">
        <f ca="1">INT(EN99) + _xll.RiskBinomial(1,EN99-INT(EN99))</f>
        <v>0</v>
      </c>
      <c r="EP99" s="30">
        <f t="shared" ca="1" si="93"/>
        <v>0</v>
      </c>
      <c r="EQ99" s="35">
        <f ca="1">_xll.RiskBinomial(1,EP99)</f>
        <v>0</v>
      </c>
      <c r="ER99" s="88">
        <f ca="1">IF(EQ99=1,_xll.RiskBinomial(1,Prob_Illness_Given_Infection),0)</f>
        <v>0</v>
      </c>
      <c r="ET99" s="87">
        <f t="shared" ca="1" si="127"/>
        <v>2.5906371217952425E-12</v>
      </c>
      <c r="EU99" s="37">
        <f ca="1">INT(ET99) + _xll.RiskBinomial(1,ET99-INT(ET99))</f>
        <v>0</v>
      </c>
      <c r="EV99" s="30">
        <f t="shared" ca="1" si="94"/>
        <v>0</v>
      </c>
      <c r="EW99" s="35">
        <f ca="1">_xll.RiskBinomial(1,EV99)</f>
        <v>0</v>
      </c>
      <c r="EX99" s="88">
        <f ca="1">IF(EW99=1,_xll.RiskBinomial(1,Prob_Illness_Given_Infection),0)</f>
        <v>0</v>
      </c>
      <c r="EZ99" s="87">
        <f t="shared" ca="1" si="128"/>
        <v>1.9539112243549139E-5</v>
      </c>
      <c r="FA99" s="37">
        <f ca="1">INT(EZ99) + _xll.RiskBinomial(1,EZ99-INT(EZ99))</f>
        <v>0</v>
      </c>
      <c r="FB99" s="30">
        <f t="shared" ca="1" si="95"/>
        <v>0</v>
      </c>
      <c r="FC99" s="35">
        <f ca="1">_xll.RiskBinomial(1,FB99)</f>
        <v>0</v>
      </c>
      <c r="FD99" s="88">
        <f ca="1">IF(FC99=1,_xll.RiskBinomial(1,Prob_Illness_Given_Infection),0)</f>
        <v>0</v>
      </c>
      <c r="FF99" s="87">
        <f t="shared" ca="1" si="129"/>
        <v>1.3610725949326976E-4</v>
      </c>
      <c r="FG99" s="37">
        <f ca="1">INT(FF99) + _xll.RiskBinomial(1,FF99-INT(FF99))</f>
        <v>0</v>
      </c>
      <c r="FH99" s="30">
        <f t="shared" ca="1" si="96"/>
        <v>0</v>
      </c>
      <c r="FI99" s="35">
        <f ca="1">_xll.RiskBinomial(1,FH99)</f>
        <v>0</v>
      </c>
      <c r="FJ99" s="88">
        <f ca="1">IF(FI99=1,_xll.RiskBinomial(1,Prob_Illness_Given_Infection),0)</f>
        <v>0</v>
      </c>
      <c r="FL99" s="87" t="e">
        <f t="shared" ca="1" si="130"/>
        <v>#NAME?</v>
      </c>
      <c r="FM99" s="37" t="e">
        <f ca="1">INT(FL99) + _xll.RiskBinomial(1,FL99-INT(FL99))</f>
        <v>#NAME?</v>
      </c>
      <c r="FN99" s="30" t="e">
        <f t="shared" ca="1" si="97"/>
        <v>#NAME?</v>
      </c>
      <c r="FO99" s="35" t="e">
        <f ca="1">_xll.RiskBinomial(1,FN99)</f>
        <v>#VALUE!</v>
      </c>
      <c r="FP99" s="88" t="e">
        <f ca="1">IF(FO99=1,_xll.RiskBinomial(1,Prob_Illness_Given_Infection),0)</f>
        <v>#VALUE!</v>
      </c>
      <c r="FR99" s="87" t="e">
        <f t="shared" ca="1" si="131"/>
        <v>#NAME?</v>
      </c>
      <c r="FS99" s="37" t="e">
        <f ca="1">INT(FR99) + _xll.RiskBinomial(1,FR99-INT(FR99))</f>
        <v>#NAME?</v>
      </c>
      <c r="FT99" s="30" t="e">
        <f t="shared" ca="1" si="98"/>
        <v>#NAME?</v>
      </c>
      <c r="FU99" s="35" t="e">
        <f ca="1">_xll.RiskBinomial(1,FT99)</f>
        <v>#VALUE!</v>
      </c>
      <c r="FV99" s="88" t="e">
        <f ca="1">IF(FU99=1,_xll.RiskBinomial(1,Prob_Illness_Given_Infection),0)</f>
        <v>#VALUE!</v>
      </c>
      <c r="FX99" s="87">
        <f t="shared" ca="1" si="132"/>
        <v>2.7351093256785259E-7</v>
      </c>
      <c r="FY99" s="37">
        <f ca="1">INT(FX99) + _xll.RiskBinomial(1,FX99-INT(FX99))</f>
        <v>0</v>
      </c>
      <c r="FZ99" s="30">
        <f t="shared" ca="1" si="99"/>
        <v>0</v>
      </c>
      <c r="GA99" s="35">
        <f ca="1">_xll.RiskBinomial(1,FZ99)</f>
        <v>0</v>
      </c>
      <c r="GB99" s="88">
        <f ca="1">IF(GA99=1,_xll.RiskBinomial(1,Prob_Illness_Given_Infection),0)</f>
        <v>0</v>
      </c>
      <c r="GD99" s="87" t="e">
        <f t="shared" ca="1" si="133"/>
        <v>#NAME?</v>
      </c>
      <c r="GE99" s="37" t="e">
        <f ca="1">INT(GD99) + _xll.RiskBinomial(1,GD99-INT(GD99))</f>
        <v>#NAME?</v>
      </c>
      <c r="GF99" s="30" t="e">
        <f t="shared" ca="1" si="100"/>
        <v>#NAME?</v>
      </c>
      <c r="GG99" s="35" t="e">
        <f ca="1">_xll.RiskBinomial(1,GF99)</f>
        <v>#VALUE!</v>
      </c>
      <c r="GH99" s="88" t="e">
        <f ca="1">IF(GG99=1,_xll.RiskBinomial(1,Prob_Illness_Given_Infection),0)</f>
        <v>#VALUE!</v>
      </c>
      <c r="GJ99" s="87" t="e">
        <f t="shared" ca="1" si="134"/>
        <v>#NAME?</v>
      </c>
      <c r="GK99" s="37" t="e">
        <f ca="1">INT(GJ99) + _xll.RiskBinomial(1,GJ99-INT(GJ99))</f>
        <v>#NAME?</v>
      </c>
      <c r="GL99" s="30" t="e">
        <f t="shared" ca="1" si="101"/>
        <v>#NAME?</v>
      </c>
      <c r="GM99" s="35" t="e">
        <f ca="1">_xll.RiskBinomial(1,GL99)</f>
        <v>#VALUE!</v>
      </c>
      <c r="GN99" s="88" t="e">
        <f ca="1">IF(GM99=1,_xll.RiskBinomial(1,Prob_Illness_Given_Infection),0)</f>
        <v>#VALUE!</v>
      </c>
      <c r="GP99" s="87" t="e">
        <f t="shared" ca="1" si="135"/>
        <v>#NAME?</v>
      </c>
      <c r="GQ99" s="37" t="e">
        <f ca="1">INT(GP99) + _xll.RiskBinomial(1,GP99-INT(GP99))</f>
        <v>#NAME?</v>
      </c>
      <c r="GR99" s="30" t="e">
        <f t="shared" ca="1" si="102"/>
        <v>#NAME?</v>
      </c>
      <c r="GS99" s="35" t="e">
        <f ca="1">_xll.RiskBinomial(1,GR99)</f>
        <v>#VALUE!</v>
      </c>
      <c r="GT99" s="88" t="e">
        <f ca="1">IF(GS99=1,_xll.RiskBinomial(1,Prob_Illness_Given_Infection),0)</f>
        <v>#VALUE!</v>
      </c>
    </row>
    <row r="100" spans="2:202">
      <c r="B100" s="108">
        <v>92</v>
      </c>
      <c r="C100" s="87">
        <f ca="1">_xll.RiskLoglogistic(LogLogistic_gamma, LogLogistic_beta, LogLogistic_alpha, _xll.RiskTruncate(5,800))</f>
        <v>40.911815853783999</v>
      </c>
      <c r="D100" s="38">
        <f t="shared" ca="1" si="69"/>
        <v>2.6282420365638952</v>
      </c>
      <c r="E100" s="30"/>
      <c r="F100" s="87">
        <f t="shared" ca="1" si="103"/>
        <v>9.4889837885415377E-10</v>
      </c>
      <c r="G100" s="37">
        <f ca="1">INT(F100) + _xll.RiskBinomial(1,F100-INT(F100))</f>
        <v>0</v>
      </c>
      <c r="H100" s="30">
        <f t="shared" ca="1" si="70"/>
        <v>0</v>
      </c>
      <c r="I100" s="35">
        <f ca="1">_xll.RiskBinomial(1,H100)</f>
        <v>0</v>
      </c>
      <c r="J100" s="88">
        <f ca="1">IF(I100=1,_xll.RiskBinomial(1,Prob_Illness_Given_Infection),0)</f>
        <v>0</v>
      </c>
      <c r="K100" s="30"/>
      <c r="L100" s="87">
        <f t="shared" ca="1" si="104"/>
        <v>4.8467256717968547E-5</v>
      </c>
      <c r="M100" s="37">
        <f ca="1">INT(L100) + _xll.RiskBinomial(1,L100-INT(L100))</f>
        <v>0</v>
      </c>
      <c r="N100" s="30">
        <f t="shared" ca="1" si="71"/>
        <v>0</v>
      </c>
      <c r="O100" s="35">
        <f ca="1">_xll.RiskBinomial(1,N100)</f>
        <v>0</v>
      </c>
      <c r="P100" s="88">
        <f ca="1">IF(O100=1,_xll.RiskBinomial(1,Prob_Illness_Given_Infection),0)</f>
        <v>0</v>
      </c>
      <c r="Q100" s="30"/>
      <c r="R100" s="87">
        <f t="shared" ca="1" si="105"/>
        <v>5.0103400501512787E-6</v>
      </c>
      <c r="S100" s="37">
        <f ca="1">INT(R100) + _xll.RiskBinomial(1,R100-INT(R100))</f>
        <v>0</v>
      </c>
      <c r="T100" s="30">
        <f t="shared" ca="1" si="72"/>
        <v>0</v>
      </c>
      <c r="U100" s="35">
        <f ca="1">_xll.RiskBinomial(1,T100)</f>
        <v>0</v>
      </c>
      <c r="V100" s="88">
        <f ca="1">IF(U100=1,_xll.RiskBinomial(1,Prob_Illness_Given_Infection),0)</f>
        <v>0</v>
      </c>
      <c r="W100" s="30"/>
      <c r="X100" s="87">
        <f t="shared" ca="1" si="106"/>
        <v>2.0583782326754959E-12</v>
      </c>
      <c r="Y100" s="37">
        <f ca="1">INT(X100) + _xll.RiskBinomial(1,X100-INT(X100))</f>
        <v>0</v>
      </c>
      <c r="Z100" s="30">
        <f t="shared" ca="1" si="73"/>
        <v>0</v>
      </c>
      <c r="AA100" s="35">
        <f ca="1">_xll.RiskBinomial(1,Z100)</f>
        <v>0</v>
      </c>
      <c r="AB100" s="88">
        <f ca="1">IF(AA100=1,_xll.RiskBinomial(1,Prob_Illness_Given_Infection),0)</f>
        <v>0</v>
      </c>
      <c r="AC100" s="30"/>
      <c r="AD100" s="87">
        <f t="shared" ca="1" si="107"/>
        <v>1.0370474085854302E-12</v>
      </c>
      <c r="AE100" s="37">
        <f ca="1">INT(AD100) + _xll.RiskBinomial(1,AD100-INT(AD100))</f>
        <v>0</v>
      </c>
      <c r="AF100" s="30">
        <f t="shared" ca="1" si="74"/>
        <v>0</v>
      </c>
      <c r="AG100" s="35">
        <f ca="1">_xll.RiskBinomial(1,AF100)</f>
        <v>0</v>
      </c>
      <c r="AH100" s="88">
        <f ca="1">IF(AG100=1,_xll.RiskBinomial(1,Prob_Illness_Given_Infection),0)</f>
        <v>0</v>
      </c>
      <c r="AI100" s="30"/>
      <c r="AJ100" s="87">
        <f t="shared" ca="1" si="108"/>
        <v>4.8137068165111654E-5</v>
      </c>
      <c r="AK100" s="37">
        <f ca="1">INT(AJ100) + _xll.RiskBinomial(1,AJ100-INT(AJ100))</f>
        <v>0</v>
      </c>
      <c r="AL100" s="30">
        <f t="shared" ca="1" si="75"/>
        <v>0</v>
      </c>
      <c r="AM100" s="35">
        <f ca="1">_xll.RiskBinomial(1,AL100)</f>
        <v>0</v>
      </c>
      <c r="AN100" s="88">
        <f ca="1">IF(AM100=1,_xll.RiskBinomial(1,Prob_Illness_Given_Infection),0)</f>
        <v>0</v>
      </c>
      <c r="AO100" s="30"/>
      <c r="AP100" s="87">
        <f t="shared" ca="1" si="109"/>
        <v>1.1706469824739323E-9</v>
      </c>
      <c r="AQ100" s="37">
        <f ca="1">INT(AP100) + _xll.RiskBinomial(1,AP100-INT(AP100))</f>
        <v>0</v>
      </c>
      <c r="AR100" s="30">
        <f t="shared" ca="1" si="76"/>
        <v>0</v>
      </c>
      <c r="AS100" s="35">
        <f ca="1">_xll.RiskBinomial(1,AR100)</f>
        <v>0</v>
      </c>
      <c r="AT100" s="88">
        <f ca="1">IF(AS100=1,_xll.RiskBinomial(1,Prob_Illness_Given_Infection),0)</f>
        <v>0</v>
      </c>
      <c r="AU100" s="30"/>
      <c r="AV100" s="87">
        <f t="shared" ca="1" si="110"/>
        <v>2.7158400570922755E-5</v>
      </c>
      <c r="AW100" s="37">
        <f ca="1">INT(AV100) + _xll.RiskBinomial(1,AV100-INT(AV100))</f>
        <v>0</v>
      </c>
      <c r="AX100" s="30">
        <f t="shared" ca="1" si="77"/>
        <v>0</v>
      </c>
      <c r="AY100" s="35">
        <f ca="1">_xll.RiskBinomial(1,AX100)</f>
        <v>0</v>
      </c>
      <c r="AZ100" s="88">
        <f ca="1">IF(AY100=1,_xll.RiskBinomial(1,Prob_Illness_Given_Infection),0)</f>
        <v>0</v>
      </c>
      <c r="BB100" s="87">
        <f t="shared" ca="1" si="111"/>
        <v>3.7275173057982805E-5</v>
      </c>
      <c r="BC100" s="37">
        <f ca="1">INT(BB100) + _xll.RiskBinomial(1,BB100-INT(BB100))</f>
        <v>0</v>
      </c>
      <c r="BD100" s="30">
        <f t="shared" ca="1" si="78"/>
        <v>0</v>
      </c>
      <c r="BE100" s="35">
        <f ca="1">_xll.RiskBinomial(1,BD100)</f>
        <v>0</v>
      </c>
      <c r="BF100" s="88">
        <f ca="1">IF(BE100=1,_xll.RiskBinomial(1,Prob_Illness_Given_Infection),0)</f>
        <v>0</v>
      </c>
      <c r="BH100" s="87">
        <f t="shared" ca="1" si="112"/>
        <v>4.7193035814458733E-5</v>
      </c>
      <c r="BI100" s="37">
        <f ca="1">INT(BH100) + _xll.RiskBinomial(1,BH100-INT(BH100))</f>
        <v>0</v>
      </c>
      <c r="BJ100" s="30">
        <f t="shared" ca="1" si="79"/>
        <v>0</v>
      </c>
      <c r="BK100" s="35">
        <f ca="1">_xll.RiskBinomial(1,BJ100)</f>
        <v>0</v>
      </c>
      <c r="BL100" s="88">
        <f ca="1">IF(BK100=1,_xll.RiskBinomial(1,Prob_Illness_Given_Infection),0)</f>
        <v>0</v>
      </c>
      <c r="BN100" s="87">
        <f t="shared" ca="1" si="113"/>
        <v>3.5916591187551938E-6</v>
      </c>
      <c r="BO100" s="37">
        <f ca="1">INT(BN100) + _xll.RiskBinomial(1,BN100-INT(BN100))</f>
        <v>0</v>
      </c>
      <c r="BP100" s="30">
        <f t="shared" ca="1" si="80"/>
        <v>0</v>
      </c>
      <c r="BQ100" s="35">
        <f ca="1">_xll.RiskBinomial(1,BP100)</f>
        <v>0</v>
      </c>
      <c r="BR100" s="88">
        <f ca="1">IF(BQ100=1,_xll.RiskBinomial(1,Prob_Illness_Given_Infection),0)</f>
        <v>0</v>
      </c>
      <c r="BT100" s="87">
        <f t="shared" ca="1" si="114"/>
        <v>1.0800080999534005E-5</v>
      </c>
      <c r="BU100" s="37">
        <f ca="1">INT(BT100) + _xll.RiskBinomial(1,BT100-INT(BT100))</f>
        <v>0</v>
      </c>
      <c r="BV100" s="30">
        <f t="shared" ca="1" si="81"/>
        <v>0</v>
      </c>
      <c r="BW100" s="35">
        <f ca="1">_xll.RiskBinomial(1,BV100)</f>
        <v>0</v>
      </c>
      <c r="BX100" s="88">
        <f ca="1">IF(BW100=1,_xll.RiskBinomial(1,Prob_Illness_Given_Infection),0)</f>
        <v>0</v>
      </c>
      <c r="BZ100" s="87">
        <f t="shared" ca="1" si="115"/>
        <v>2.9606662631876687E-5</v>
      </c>
      <c r="CA100" s="37">
        <f ca="1">INT(BZ100) + _xll.RiskBinomial(1,BZ100-INT(BZ100))</f>
        <v>0</v>
      </c>
      <c r="CB100" s="30">
        <f t="shared" ca="1" si="82"/>
        <v>0</v>
      </c>
      <c r="CC100" s="35">
        <f ca="1">_xll.RiskBinomial(1,CB100)</f>
        <v>0</v>
      </c>
      <c r="CD100" s="88">
        <f ca="1">IF(CC100=1,_xll.RiskBinomial(1,Prob_Illness_Given_Infection),0)</f>
        <v>0</v>
      </c>
      <c r="CF100" s="87">
        <f t="shared" ca="1" si="116"/>
        <v>5.6175678944625859E-6</v>
      </c>
      <c r="CG100" s="37">
        <f ca="1">INT(CF100) + _xll.RiskBinomial(1,CF100-INT(CF100))</f>
        <v>0</v>
      </c>
      <c r="CH100" s="30">
        <f t="shared" ca="1" si="83"/>
        <v>0</v>
      </c>
      <c r="CI100" s="35">
        <f ca="1">_xll.RiskBinomial(1,CH100)</f>
        <v>0</v>
      </c>
      <c r="CJ100" s="88">
        <f ca="1">IF(CI100=1,_xll.RiskBinomial(1,Prob_Illness_Given_Infection),0)</f>
        <v>0</v>
      </c>
      <c r="CL100" s="87">
        <f t="shared" ca="1" si="117"/>
        <v>1.0840333366583446E-5</v>
      </c>
      <c r="CM100" s="37">
        <f ca="1">INT(CL100) + _xll.RiskBinomial(1,CL100-INT(CL100))</f>
        <v>0</v>
      </c>
      <c r="CN100" s="30">
        <f t="shared" ca="1" si="84"/>
        <v>0</v>
      </c>
      <c r="CO100" s="35">
        <f ca="1">_xll.RiskBinomial(1,CN100)</f>
        <v>0</v>
      </c>
      <c r="CP100" s="88">
        <f ca="1">IF(CO100=1,_xll.RiskBinomial(1,Prob_Illness_Given_Infection),0)</f>
        <v>0</v>
      </c>
      <c r="CR100" s="87">
        <f t="shared" ca="1" si="118"/>
        <v>7.4708296529325419E-8</v>
      </c>
      <c r="CS100" s="37">
        <f ca="1">INT(CR100) + _xll.RiskBinomial(1,CR100-INT(CR100))</f>
        <v>0</v>
      </c>
      <c r="CT100" s="30">
        <f t="shared" ca="1" si="85"/>
        <v>0</v>
      </c>
      <c r="CU100" s="35">
        <f ca="1">_xll.RiskBinomial(1,CT100)</f>
        <v>0</v>
      </c>
      <c r="CV100" s="88">
        <f ca="1">IF(CU100=1,_xll.RiskBinomial(1,Prob_Illness_Given_Infection),0)</f>
        <v>0</v>
      </c>
      <c r="CX100" s="87">
        <f t="shared" ca="1" si="119"/>
        <v>7.6052196557128437E-10</v>
      </c>
      <c r="CY100" s="37">
        <f ca="1">INT(CX100) + _xll.RiskBinomial(1,CX100-INT(CX100))</f>
        <v>0</v>
      </c>
      <c r="CZ100" s="30">
        <f t="shared" ca="1" si="86"/>
        <v>0</v>
      </c>
      <c r="DA100" s="35">
        <f ca="1">_xll.RiskBinomial(1,CZ100)</f>
        <v>0</v>
      </c>
      <c r="DB100" s="88">
        <f ca="1">IF(DA100=1,_xll.RiskBinomial(1,Prob_Illness_Given_Infection),0)</f>
        <v>0</v>
      </c>
      <c r="DD100" s="87">
        <f t="shared" ca="1" si="120"/>
        <v>7.6052196557128437E-10</v>
      </c>
      <c r="DE100" s="37">
        <f ca="1">INT(DD100) + _xll.RiskBinomial(1,DD100-INT(DD100))</f>
        <v>0</v>
      </c>
      <c r="DF100" s="30">
        <f t="shared" ca="1" si="87"/>
        <v>0</v>
      </c>
      <c r="DG100" s="35">
        <f ca="1">_xll.RiskBinomial(1,DF100)</f>
        <v>0</v>
      </c>
      <c r="DH100" s="88">
        <f ca="1">IF(DG100=1,_xll.RiskBinomial(1,Prob_Illness_Given_Infection),0)</f>
        <v>0</v>
      </c>
      <c r="DJ100" s="87">
        <f t="shared" ca="1" si="121"/>
        <v>1.2418268451698445E-6</v>
      </c>
      <c r="DK100" s="37">
        <f ca="1">INT(DJ100) + _xll.RiskBinomial(1,DJ100-INT(DJ100))</f>
        <v>0</v>
      </c>
      <c r="DL100" s="30">
        <f t="shared" ca="1" si="88"/>
        <v>0</v>
      </c>
      <c r="DM100" s="35">
        <f ca="1">_xll.RiskBinomial(1,DL100)</f>
        <v>0</v>
      </c>
      <c r="DN100" s="88">
        <f ca="1">IF(DM100=1,_xll.RiskBinomial(1,Prob_Illness_Given_Infection),0)</f>
        <v>0</v>
      </c>
      <c r="DP100" s="87">
        <f t="shared" ca="1" si="122"/>
        <v>2.9356146605844747E-10</v>
      </c>
      <c r="DQ100" s="37">
        <f ca="1">INT(DP100) + _xll.RiskBinomial(1,DP100-INT(DP100))</f>
        <v>0</v>
      </c>
      <c r="DR100" s="30">
        <f t="shared" ca="1" si="89"/>
        <v>0</v>
      </c>
      <c r="DS100" s="35">
        <f ca="1">_xll.RiskBinomial(1,DR100)</f>
        <v>0</v>
      </c>
      <c r="DT100" s="88">
        <f ca="1">IF(DS100=1,_xll.RiskBinomial(1,Prob_Illness_Given_Infection),0)</f>
        <v>0</v>
      </c>
      <c r="DV100" s="87">
        <f t="shared" ca="1" si="123"/>
        <v>4.1327758364265661E-9</v>
      </c>
      <c r="DW100" s="37">
        <f ca="1">INT(DV100) + _xll.RiskBinomial(1,DV100-INT(DV100))</f>
        <v>0</v>
      </c>
      <c r="DX100" s="30">
        <f t="shared" ca="1" si="90"/>
        <v>0</v>
      </c>
      <c r="DY100" s="35">
        <f ca="1">_xll.RiskBinomial(1,DX100)</f>
        <v>0</v>
      </c>
      <c r="DZ100" s="88">
        <f ca="1">IF(DY100=1,_xll.RiskBinomial(1,Prob_Illness_Given_Infection),0)</f>
        <v>0</v>
      </c>
      <c r="EB100" s="87">
        <f t="shared" ca="1" si="124"/>
        <v>1.0370474085850818E-12</v>
      </c>
      <c r="EC100" s="37">
        <f ca="1">INT(EB100) + _xll.RiskBinomial(1,EB100-INT(EB100))</f>
        <v>0</v>
      </c>
      <c r="ED100" s="30">
        <f t="shared" ca="1" si="91"/>
        <v>0</v>
      </c>
      <c r="EE100" s="35">
        <f ca="1">_xll.RiskBinomial(1,ED100)</f>
        <v>0</v>
      </c>
      <c r="EF100" s="88">
        <f ca="1">IF(EE100=1,_xll.RiskBinomial(1,Prob_Illness_Given_Infection),0)</f>
        <v>0</v>
      </c>
      <c r="EH100" s="87">
        <f t="shared" ca="1" si="125"/>
        <v>1.0370474085840157E-12</v>
      </c>
      <c r="EI100" s="37">
        <f ca="1">INT(EH100) + _xll.RiskBinomial(1,EH100-INT(EH100))</f>
        <v>0</v>
      </c>
      <c r="EJ100" s="30">
        <f t="shared" ca="1" si="92"/>
        <v>0</v>
      </c>
      <c r="EK100" s="35">
        <f ca="1">_xll.RiskBinomial(1,EJ100)</f>
        <v>0</v>
      </c>
      <c r="EL100" s="88">
        <f ca="1">IF(EK100=1,_xll.RiskBinomial(1,Prob_Illness_Given_Infection),0)</f>
        <v>0</v>
      </c>
      <c r="EN100" s="87">
        <f t="shared" ca="1" si="126"/>
        <v>9.4624315074397214E-11</v>
      </c>
      <c r="EO100" s="37">
        <f ca="1">INT(EN100) + _xll.RiskBinomial(1,EN100-INT(EN100))</f>
        <v>0</v>
      </c>
      <c r="EP100" s="30">
        <f t="shared" ca="1" si="93"/>
        <v>0</v>
      </c>
      <c r="EQ100" s="35">
        <f ca="1">_xll.RiskBinomial(1,EP100)</f>
        <v>0</v>
      </c>
      <c r="ER100" s="88">
        <f ca="1">IF(EQ100=1,_xll.RiskBinomial(1,Prob_Illness_Given_Infection),0)</f>
        <v>0</v>
      </c>
      <c r="ET100" s="87">
        <f t="shared" ca="1" si="127"/>
        <v>1.0370474085830268E-12</v>
      </c>
      <c r="EU100" s="37">
        <f ca="1">INT(ET100) + _xll.RiskBinomial(1,ET100-INT(ET100))</f>
        <v>0</v>
      </c>
      <c r="EV100" s="30">
        <f t="shared" ca="1" si="94"/>
        <v>0</v>
      </c>
      <c r="EW100" s="35">
        <f ca="1">_xll.RiskBinomial(1,EV100)</f>
        <v>0</v>
      </c>
      <c r="EX100" s="88">
        <f ca="1">IF(EW100=1,_xll.RiskBinomial(1,Prob_Illness_Given_Infection),0)</f>
        <v>0</v>
      </c>
      <c r="EZ100" s="87">
        <f t="shared" ca="1" si="128"/>
        <v>7.8216225451690497E-6</v>
      </c>
      <c r="FA100" s="37">
        <f ca="1">INT(EZ100) + _xll.RiskBinomial(1,EZ100-INT(EZ100))</f>
        <v>0</v>
      </c>
      <c r="FB100" s="30">
        <f t="shared" ca="1" si="95"/>
        <v>0</v>
      </c>
      <c r="FC100" s="35">
        <f ca="1">_xll.RiskBinomial(1,FB100)</f>
        <v>0</v>
      </c>
      <c r="FD100" s="88">
        <f ca="1">IF(FC100=1,_xll.RiskBinomial(1,Prob_Illness_Given_Infection),0)</f>
        <v>0</v>
      </c>
      <c r="FF100" s="87">
        <f t="shared" ca="1" si="129"/>
        <v>5.4484543419581681E-5</v>
      </c>
      <c r="FG100" s="37">
        <f ca="1">INT(FF100) + _xll.RiskBinomial(1,FF100-INT(FF100))</f>
        <v>0</v>
      </c>
      <c r="FH100" s="30">
        <f t="shared" ca="1" si="96"/>
        <v>0</v>
      </c>
      <c r="FI100" s="35">
        <f ca="1">_xll.RiskBinomial(1,FH100)</f>
        <v>0</v>
      </c>
      <c r="FJ100" s="88">
        <f ca="1">IF(FI100=1,_xll.RiskBinomial(1,Prob_Illness_Given_Infection),0)</f>
        <v>0</v>
      </c>
      <c r="FL100" s="87" t="e">
        <f t="shared" ca="1" si="130"/>
        <v>#NAME?</v>
      </c>
      <c r="FM100" s="37" t="e">
        <f ca="1">INT(FL100) + _xll.RiskBinomial(1,FL100-INT(FL100))</f>
        <v>#NAME?</v>
      </c>
      <c r="FN100" s="30" t="e">
        <f t="shared" ca="1" si="97"/>
        <v>#NAME?</v>
      </c>
      <c r="FO100" s="35" t="e">
        <f ca="1">_xll.RiskBinomial(1,FN100)</f>
        <v>#VALUE!</v>
      </c>
      <c r="FP100" s="88" t="e">
        <f ca="1">IF(FO100=1,_xll.RiskBinomial(1,Prob_Illness_Given_Infection),0)</f>
        <v>#VALUE!</v>
      </c>
      <c r="FR100" s="87" t="e">
        <f t="shared" ca="1" si="131"/>
        <v>#NAME?</v>
      </c>
      <c r="FS100" s="37" t="e">
        <f ca="1">INT(FR100) + _xll.RiskBinomial(1,FR100-INT(FR100))</f>
        <v>#NAME?</v>
      </c>
      <c r="FT100" s="30" t="e">
        <f t="shared" ca="1" si="98"/>
        <v>#NAME?</v>
      </c>
      <c r="FU100" s="35" t="e">
        <f ca="1">_xll.RiskBinomial(1,FT100)</f>
        <v>#VALUE!</v>
      </c>
      <c r="FV100" s="88" t="e">
        <f ca="1">IF(FU100=1,_xll.RiskBinomial(1,Prob_Illness_Given_Infection),0)</f>
        <v>#VALUE!</v>
      </c>
      <c r="FX100" s="87">
        <f t="shared" ca="1" si="132"/>
        <v>1.0948804888662329E-7</v>
      </c>
      <c r="FY100" s="37">
        <f ca="1">INT(FX100) + _xll.RiskBinomial(1,FX100-INT(FX100))</f>
        <v>0</v>
      </c>
      <c r="FZ100" s="30">
        <f t="shared" ca="1" si="99"/>
        <v>0</v>
      </c>
      <c r="GA100" s="35">
        <f ca="1">_xll.RiskBinomial(1,FZ100)</f>
        <v>0</v>
      </c>
      <c r="GB100" s="88">
        <f ca="1">IF(GA100=1,_xll.RiskBinomial(1,Prob_Illness_Given_Infection),0)</f>
        <v>0</v>
      </c>
      <c r="GD100" s="87" t="e">
        <f t="shared" ca="1" si="133"/>
        <v>#NAME?</v>
      </c>
      <c r="GE100" s="37" t="e">
        <f ca="1">INT(GD100) + _xll.RiskBinomial(1,GD100-INT(GD100))</f>
        <v>#NAME?</v>
      </c>
      <c r="GF100" s="30" t="e">
        <f t="shared" ca="1" si="100"/>
        <v>#NAME?</v>
      </c>
      <c r="GG100" s="35" t="e">
        <f ca="1">_xll.RiskBinomial(1,GF100)</f>
        <v>#VALUE!</v>
      </c>
      <c r="GH100" s="88" t="e">
        <f ca="1">IF(GG100=1,_xll.RiskBinomial(1,Prob_Illness_Given_Infection),0)</f>
        <v>#VALUE!</v>
      </c>
      <c r="GJ100" s="87" t="e">
        <f t="shared" ca="1" si="134"/>
        <v>#NAME?</v>
      </c>
      <c r="GK100" s="37" t="e">
        <f ca="1">INT(GJ100) + _xll.RiskBinomial(1,GJ100-INT(GJ100))</f>
        <v>#NAME?</v>
      </c>
      <c r="GL100" s="30" t="e">
        <f t="shared" ca="1" si="101"/>
        <v>#NAME?</v>
      </c>
      <c r="GM100" s="35" t="e">
        <f ca="1">_xll.RiskBinomial(1,GL100)</f>
        <v>#VALUE!</v>
      </c>
      <c r="GN100" s="88" t="e">
        <f ca="1">IF(GM100=1,_xll.RiskBinomial(1,Prob_Illness_Given_Infection),0)</f>
        <v>#VALUE!</v>
      </c>
      <c r="GP100" s="87" t="e">
        <f t="shared" ca="1" si="135"/>
        <v>#NAME?</v>
      </c>
      <c r="GQ100" s="37" t="e">
        <f ca="1">INT(GP100) + _xll.RiskBinomial(1,GP100-INT(GP100))</f>
        <v>#NAME?</v>
      </c>
      <c r="GR100" s="30" t="e">
        <f t="shared" ca="1" si="102"/>
        <v>#NAME?</v>
      </c>
      <c r="GS100" s="35" t="e">
        <f ca="1">_xll.RiskBinomial(1,GR100)</f>
        <v>#VALUE!</v>
      </c>
      <c r="GT100" s="88" t="e">
        <f ca="1">IF(GS100=1,_xll.RiskBinomial(1,Prob_Illness_Given_Infection),0)</f>
        <v>#VALUE!</v>
      </c>
    </row>
    <row r="101" spans="2:202">
      <c r="B101" s="108">
        <v>93</v>
      </c>
      <c r="C101" s="87">
        <f ca="1">_xll.RiskLoglogistic(LogLogistic_gamma, LogLogistic_beta, LogLogistic_alpha, _xll.RiskTruncate(5,800))</f>
        <v>157.40779161543333</v>
      </c>
      <c r="D101" s="38">
        <f t="shared" ca="1" si="69"/>
        <v>10.112134261772383</v>
      </c>
      <c r="E101" s="30"/>
      <c r="F101" s="87">
        <f t="shared" ca="1" si="103"/>
        <v>3.6508767740037192E-9</v>
      </c>
      <c r="G101" s="37">
        <f ca="1">INT(F101) + _xll.RiskBinomial(1,F101-INT(F101))</f>
        <v>0</v>
      </c>
      <c r="H101" s="30">
        <f t="shared" ca="1" si="70"/>
        <v>0</v>
      </c>
      <c r="I101" s="35">
        <f ca="1">_xll.RiskBinomial(1,H101)</f>
        <v>0</v>
      </c>
      <c r="J101" s="88">
        <f ca="1">IF(I101=1,_xll.RiskBinomial(1,Prob_Illness_Given_Infection),0)</f>
        <v>0</v>
      </c>
      <c r="K101" s="30"/>
      <c r="L101" s="87">
        <f t="shared" ca="1" si="104"/>
        <v>1.8647727279814873E-4</v>
      </c>
      <c r="M101" s="37">
        <f ca="1">INT(L101) + _xll.RiskBinomial(1,L101-INT(L101))</f>
        <v>0</v>
      </c>
      <c r="N101" s="30">
        <f t="shared" ca="1" si="71"/>
        <v>0</v>
      </c>
      <c r="O101" s="35">
        <f ca="1">_xll.RiskBinomial(1,N101)</f>
        <v>0</v>
      </c>
      <c r="P101" s="88">
        <f ca="1">IF(O101=1,_xll.RiskBinomial(1,Prob_Illness_Given_Infection),0)</f>
        <v>0</v>
      </c>
      <c r="Q101" s="30"/>
      <c r="R101" s="87">
        <f t="shared" ca="1" si="105"/>
        <v>1.9277231921343016E-5</v>
      </c>
      <c r="S101" s="37">
        <f ca="1">INT(R101) + _xll.RiskBinomial(1,R101-INT(R101))</f>
        <v>0</v>
      </c>
      <c r="T101" s="30">
        <f t="shared" ca="1" si="72"/>
        <v>0</v>
      </c>
      <c r="U101" s="35">
        <f ca="1">_xll.RiskBinomial(1,T101)</f>
        <v>0</v>
      </c>
      <c r="V101" s="88">
        <f ca="1">IF(U101=1,_xll.RiskBinomial(1,Prob_Illness_Given_Infection),0)</f>
        <v>0</v>
      </c>
      <c r="W101" s="30"/>
      <c r="X101" s="87">
        <f t="shared" ca="1" si="106"/>
        <v>7.9195891248801813E-12</v>
      </c>
      <c r="Y101" s="37">
        <f ca="1">INT(X101) + _xll.RiskBinomial(1,X101-INT(X101))</f>
        <v>0</v>
      </c>
      <c r="Z101" s="30">
        <f t="shared" ca="1" si="73"/>
        <v>0</v>
      </c>
      <c r="AA101" s="35">
        <f ca="1">_xll.RiskBinomial(1,Z101)</f>
        <v>0</v>
      </c>
      <c r="AB101" s="88">
        <f ca="1">IF(AA101=1,_xll.RiskBinomial(1,Prob_Illness_Given_Infection),0)</f>
        <v>0</v>
      </c>
      <c r="AC101" s="30"/>
      <c r="AD101" s="87">
        <f t="shared" ca="1" si="107"/>
        <v>3.9900292612126203E-12</v>
      </c>
      <c r="AE101" s="37">
        <f ca="1">INT(AD101) + _xll.RiskBinomial(1,AD101-INT(AD101))</f>
        <v>0</v>
      </c>
      <c r="AF101" s="30">
        <f t="shared" ca="1" si="74"/>
        <v>0</v>
      </c>
      <c r="AG101" s="35">
        <f ca="1">_xll.RiskBinomial(1,AF101)</f>
        <v>0</v>
      </c>
      <c r="AH101" s="88">
        <f ca="1">IF(AG101=1,_xll.RiskBinomial(1,Prob_Illness_Given_Infection),0)</f>
        <v>0</v>
      </c>
      <c r="AI101" s="30"/>
      <c r="AJ101" s="87">
        <f t="shared" ca="1" si="108"/>
        <v>1.8520687572978948E-4</v>
      </c>
      <c r="AK101" s="37">
        <f ca="1">INT(AJ101) + _xll.RiskBinomial(1,AJ101-INT(AJ101))</f>
        <v>0</v>
      </c>
      <c r="AL101" s="30">
        <f t="shared" ca="1" si="75"/>
        <v>0</v>
      </c>
      <c r="AM101" s="35">
        <f ca="1">_xll.RiskBinomial(1,AL101)</f>
        <v>0</v>
      </c>
      <c r="AN101" s="88">
        <f ca="1">IF(AM101=1,_xll.RiskBinomial(1,Prob_Illness_Given_Infection),0)</f>
        <v>0</v>
      </c>
      <c r="AO101" s="30"/>
      <c r="AP101" s="87">
        <f t="shared" ca="1" si="109"/>
        <v>4.5040522506030307E-9</v>
      </c>
      <c r="AQ101" s="37">
        <f ca="1">INT(AP101) + _xll.RiskBinomial(1,AP101-INT(AP101))</f>
        <v>0</v>
      </c>
      <c r="AR101" s="30">
        <f t="shared" ca="1" si="76"/>
        <v>0</v>
      </c>
      <c r="AS101" s="35">
        <f ca="1">_xll.RiskBinomial(1,AR101)</f>
        <v>0</v>
      </c>
      <c r="AT101" s="88">
        <f ca="1">IF(AS101=1,_xll.RiskBinomial(1,Prob_Illness_Given_Infection),0)</f>
        <v>0</v>
      </c>
      <c r="AU101" s="30"/>
      <c r="AV101" s="87">
        <f t="shared" ca="1" si="110"/>
        <v>1.0449166746728202E-4</v>
      </c>
      <c r="AW101" s="37">
        <f ca="1">INT(AV101) + _xll.RiskBinomial(1,AV101-INT(AV101))</f>
        <v>0</v>
      </c>
      <c r="AX101" s="30">
        <f t="shared" ca="1" si="77"/>
        <v>0</v>
      </c>
      <c r="AY101" s="35">
        <f ca="1">_xll.RiskBinomial(1,AX101)</f>
        <v>0</v>
      </c>
      <c r="AZ101" s="88">
        <f ca="1">IF(AY101=1,_xll.RiskBinomial(1,Prob_Illness_Given_Infection),0)</f>
        <v>0</v>
      </c>
      <c r="BB101" s="87">
        <f t="shared" ca="1" si="111"/>
        <v>1.4341584578181186E-4</v>
      </c>
      <c r="BC101" s="37">
        <f ca="1">INT(BB101) + _xll.RiskBinomial(1,BB101-INT(BB101))</f>
        <v>0</v>
      </c>
      <c r="BD101" s="30">
        <f t="shared" ca="1" si="78"/>
        <v>0</v>
      </c>
      <c r="BE101" s="35">
        <f ca="1">_xll.RiskBinomial(1,BD101)</f>
        <v>0</v>
      </c>
      <c r="BF101" s="88">
        <f ca="1">IF(BE101=1,_xll.RiskBinomial(1,Prob_Illness_Given_Infection),0)</f>
        <v>0</v>
      </c>
      <c r="BH101" s="87">
        <f t="shared" ca="1" si="112"/>
        <v>1.815747209493495E-4</v>
      </c>
      <c r="BI101" s="37">
        <f ca="1">INT(BH101) + _xll.RiskBinomial(1,BH101-INT(BH101))</f>
        <v>0</v>
      </c>
      <c r="BJ101" s="30">
        <f t="shared" ca="1" si="79"/>
        <v>0</v>
      </c>
      <c r="BK101" s="35">
        <f ca="1">_xll.RiskBinomial(1,BJ101)</f>
        <v>0</v>
      </c>
      <c r="BL101" s="88">
        <f ca="1">IF(BK101=1,_xll.RiskBinomial(1,Prob_Illness_Given_Infection),0)</f>
        <v>0</v>
      </c>
      <c r="BN101" s="87">
        <f t="shared" ca="1" si="113"/>
        <v>1.3818871597858883E-5</v>
      </c>
      <c r="BO101" s="37">
        <f ca="1">INT(BN101) + _xll.RiskBinomial(1,BN101-INT(BN101))</f>
        <v>0</v>
      </c>
      <c r="BP101" s="30">
        <f t="shared" ca="1" si="80"/>
        <v>0</v>
      </c>
      <c r="BQ101" s="35">
        <f ca="1">_xll.RiskBinomial(1,BP101)</f>
        <v>0</v>
      </c>
      <c r="BR101" s="88">
        <f ca="1">IF(BQ101=1,_xll.RiskBinomial(1,Prob_Illness_Given_Infection),0)</f>
        <v>0</v>
      </c>
      <c r="BT101" s="87">
        <f t="shared" ca="1" si="114"/>
        <v>4.1553200803410737E-5</v>
      </c>
      <c r="BU101" s="37">
        <f ca="1">INT(BT101) + _xll.RiskBinomial(1,BT101-INT(BT101))</f>
        <v>0</v>
      </c>
      <c r="BV101" s="30">
        <f t="shared" ca="1" si="81"/>
        <v>0</v>
      </c>
      <c r="BW101" s="35">
        <f ca="1">_xll.RiskBinomial(1,BV101)</f>
        <v>0</v>
      </c>
      <c r="BX101" s="88">
        <f ca="1">IF(BW101=1,_xll.RiskBinomial(1,Prob_Illness_Given_Infection),0)</f>
        <v>0</v>
      </c>
      <c r="BZ101" s="87">
        <f t="shared" ca="1" si="115"/>
        <v>1.1391133062004732E-4</v>
      </c>
      <c r="CA101" s="37">
        <f ca="1">INT(BZ101) + _xll.RiskBinomial(1,BZ101-INT(BZ101))</f>
        <v>0</v>
      </c>
      <c r="CB101" s="30">
        <f t="shared" ca="1" si="82"/>
        <v>0</v>
      </c>
      <c r="CC101" s="35">
        <f ca="1">_xll.RiskBinomial(1,CB101)</f>
        <v>0</v>
      </c>
      <c r="CD101" s="88">
        <f ca="1">IF(CC101=1,_xll.RiskBinomial(1,Prob_Illness_Given_Infection),0)</f>
        <v>0</v>
      </c>
      <c r="CF101" s="87">
        <f t="shared" ca="1" si="116"/>
        <v>2.1613534820291526E-5</v>
      </c>
      <c r="CG101" s="37">
        <f ca="1">INT(CF101) + _xll.RiskBinomial(1,CF101-INT(CF101))</f>
        <v>0</v>
      </c>
      <c r="CH101" s="30">
        <f t="shared" ca="1" si="83"/>
        <v>0</v>
      </c>
      <c r="CI101" s="35">
        <f ca="1">_xll.RiskBinomial(1,CH101)</f>
        <v>0</v>
      </c>
      <c r="CJ101" s="88">
        <f ca="1">IF(CI101=1,_xll.RiskBinomial(1,Prob_Illness_Given_Infection),0)</f>
        <v>0</v>
      </c>
      <c r="CL101" s="87">
        <f t="shared" ca="1" si="117"/>
        <v>4.1708071372519454E-5</v>
      </c>
      <c r="CM101" s="37">
        <f ca="1">INT(CL101) + _xll.RiskBinomial(1,CL101-INT(CL101))</f>
        <v>0</v>
      </c>
      <c r="CN101" s="30">
        <f t="shared" ca="1" si="84"/>
        <v>0</v>
      </c>
      <c r="CO101" s="35">
        <f ca="1">_xll.RiskBinomial(1,CN101)</f>
        <v>0</v>
      </c>
      <c r="CP101" s="88">
        <f ca="1">IF(CO101=1,_xll.RiskBinomial(1,Prob_Illness_Given_Infection),0)</f>
        <v>0</v>
      </c>
      <c r="CR101" s="87">
        <f t="shared" ca="1" si="118"/>
        <v>2.8743940415796497E-7</v>
      </c>
      <c r="CS101" s="37">
        <f ca="1">INT(CR101) + _xll.RiskBinomial(1,CR101-INT(CR101))</f>
        <v>0</v>
      </c>
      <c r="CT101" s="30">
        <f t="shared" ca="1" si="85"/>
        <v>0</v>
      </c>
      <c r="CU101" s="35">
        <f ca="1">_xll.RiskBinomial(1,CT101)</f>
        <v>0</v>
      </c>
      <c r="CV101" s="88">
        <f ca="1">IF(CU101=1,_xll.RiskBinomial(1,Prob_Illness_Given_Infection),0)</f>
        <v>0</v>
      </c>
      <c r="CX101" s="87">
        <f t="shared" ca="1" si="119"/>
        <v>2.9261004572235853E-9</v>
      </c>
      <c r="CY101" s="37">
        <f ca="1">INT(CX101) + _xll.RiskBinomial(1,CX101-INT(CX101))</f>
        <v>0</v>
      </c>
      <c r="CZ101" s="30">
        <f t="shared" ca="1" si="86"/>
        <v>0</v>
      </c>
      <c r="DA101" s="35">
        <f ca="1">_xll.RiskBinomial(1,CZ101)</f>
        <v>0</v>
      </c>
      <c r="DB101" s="88">
        <f ca="1">IF(DA101=1,_xll.RiskBinomial(1,Prob_Illness_Given_Infection),0)</f>
        <v>0</v>
      </c>
      <c r="DD101" s="87">
        <f t="shared" ca="1" si="120"/>
        <v>2.9261004572235853E-9</v>
      </c>
      <c r="DE101" s="37">
        <f ca="1">INT(DD101) + _xll.RiskBinomial(1,DD101-INT(DD101))</f>
        <v>0</v>
      </c>
      <c r="DF101" s="30">
        <f t="shared" ca="1" si="87"/>
        <v>0</v>
      </c>
      <c r="DG101" s="35">
        <f ca="1">_xll.RiskBinomial(1,DF101)</f>
        <v>0</v>
      </c>
      <c r="DH101" s="88">
        <f ca="1">IF(DG101=1,_xll.RiskBinomial(1,Prob_Illness_Given_Infection),0)</f>
        <v>0</v>
      </c>
      <c r="DJ101" s="87">
        <f t="shared" ca="1" si="121"/>
        <v>4.7779160417996022E-6</v>
      </c>
      <c r="DK101" s="37">
        <f ca="1">INT(DJ101) + _xll.RiskBinomial(1,DJ101-INT(DJ101))</f>
        <v>0</v>
      </c>
      <c r="DL101" s="30">
        <f t="shared" ca="1" si="88"/>
        <v>0</v>
      </c>
      <c r="DM101" s="35">
        <f ca="1">_xll.RiskBinomial(1,DL101)</f>
        <v>0</v>
      </c>
      <c r="DN101" s="88">
        <f ca="1">IF(DM101=1,_xll.RiskBinomial(1,Prob_Illness_Given_Infection),0)</f>
        <v>0</v>
      </c>
      <c r="DP101" s="87">
        <f t="shared" ca="1" si="122"/>
        <v>1.1294747278096009E-9</v>
      </c>
      <c r="DQ101" s="37">
        <f ca="1">INT(DP101) + _xll.RiskBinomial(1,DP101-INT(DP101))</f>
        <v>0</v>
      </c>
      <c r="DR101" s="30">
        <f t="shared" ca="1" si="89"/>
        <v>0</v>
      </c>
      <c r="DS101" s="35">
        <f ca="1">_xll.RiskBinomial(1,DR101)</f>
        <v>0</v>
      </c>
      <c r="DT101" s="88">
        <f ca="1">IF(DS101=1,_xll.RiskBinomial(1,Prob_Illness_Given_Infection),0)</f>
        <v>0</v>
      </c>
      <c r="DV101" s="87">
        <f t="shared" ca="1" si="123"/>
        <v>1.5900812615565251E-8</v>
      </c>
      <c r="DW101" s="37">
        <f ca="1">INT(DV101) + _xll.RiskBinomial(1,DV101-INT(DV101))</f>
        <v>0</v>
      </c>
      <c r="DX101" s="30">
        <f t="shared" ca="1" si="90"/>
        <v>0</v>
      </c>
      <c r="DY101" s="35">
        <f ca="1">_xll.RiskBinomial(1,DX101)</f>
        <v>0</v>
      </c>
      <c r="DZ101" s="88">
        <f ca="1">IF(DY101=1,_xll.RiskBinomial(1,Prob_Illness_Given_Infection),0)</f>
        <v>0</v>
      </c>
      <c r="EB101" s="87">
        <f t="shared" ca="1" si="124"/>
        <v>3.9900292612112802E-12</v>
      </c>
      <c r="EC101" s="37">
        <f ca="1">INT(EB101) + _xll.RiskBinomial(1,EB101-INT(EB101))</f>
        <v>0</v>
      </c>
      <c r="ED101" s="30">
        <f t="shared" ca="1" si="91"/>
        <v>0</v>
      </c>
      <c r="EE101" s="35">
        <f ca="1">_xll.RiskBinomial(1,ED101)</f>
        <v>0</v>
      </c>
      <c r="EF101" s="88">
        <f ca="1">IF(EE101=1,_xll.RiskBinomial(1,Prob_Illness_Given_Infection),0)</f>
        <v>0</v>
      </c>
      <c r="EH101" s="87">
        <f t="shared" ca="1" si="125"/>
        <v>3.990029261207179E-12</v>
      </c>
      <c r="EI101" s="37">
        <f ca="1">INT(EH101) + _xll.RiskBinomial(1,EH101-INT(EH101))</f>
        <v>0</v>
      </c>
      <c r="EJ101" s="30">
        <f t="shared" ca="1" si="92"/>
        <v>0</v>
      </c>
      <c r="EK101" s="35">
        <f ca="1">_xll.RiskBinomial(1,EJ101)</f>
        <v>0</v>
      </c>
      <c r="EL101" s="88">
        <f ca="1">IF(EK101=1,_xll.RiskBinomial(1,Prob_Illness_Given_Infection),0)</f>
        <v>0</v>
      </c>
      <c r="EN101" s="87">
        <f t="shared" ca="1" si="126"/>
        <v>3.6406608111006633E-10</v>
      </c>
      <c r="EO101" s="37">
        <f ca="1">INT(EN101) + _xll.RiskBinomial(1,EN101-INT(EN101))</f>
        <v>0</v>
      </c>
      <c r="EP101" s="30">
        <f t="shared" ca="1" si="93"/>
        <v>0</v>
      </c>
      <c r="EQ101" s="35">
        <f ca="1">_xll.RiskBinomial(1,EP101)</f>
        <v>0</v>
      </c>
      <c r="ER101" s="88">
        <f ca="1">IF(EQ101=1,_xll.RiskBinomial(1,Prob_Illness_Given_Infection),0)</f>
        <v>0</v>
      </c>
      <c r="ET101" s="87">
        <f t="shared" ca="1" si="127"/>
        <v>3.9900292612033735E-12</v>
      </c>
      <c r="EU101" s="37">
        <f ca="1">INT(ET101) + _xll.RiskBinomial(1,ET101-INT(ET101))</f>
        <v>0</v>
      </c>
      <c r="EV101" s="30">
        <f t="shared" ca="1" si="94"/>
        <v>0</v>
      </c>
      <c r="EW101" s="35">
        <f ca="1">_xll.RiskBinomial(1,EV101)</f>
        <v>0</v>
      </c>
      <c r="EX101" s="88">
        <f ca="1">IF(EW101=1,_xll.RiskBinomial(1,Prob_Illness_Given_Infection),0)</f>
        <v>0</v>
      </c>
      <c r="EZ101" s="87">
        <f t="shared" ca="1" si="128"/>
        <v>3.0093612468454413E-5</v>
      </c>
      <c r="FA101" s="37">
        <f ca="1">INT(EZ101) + _xll.RiskBinomial(1,EZ101-INT(EZ101))</f>
        <v>0</v>
      </c>
      <c r="FB101" s="30">
        <f t="shared" ca="1" si="95"/>
        <v>0</v>
      </c>
      <c r="FC101" s="35">
        <f ca="1">_xll.RiskBinomial(1,FB101)</f>
        <v>0</v>
      </c>
      <c r="FD101" s="88">
        <f ca="1">IF(FC101=1,_xll.RiskBinomial(1,Prob_Illness_Given_Infection),0)</f>
        <v>0</v>
      </c>
      <c r="FF101" s="87">
        <f t="shared" ca="1" si="129"/>
        <v>2.0962872162659844E-4</v>
      </c>
      <c r="FG101" s="37">
        <f ca="1">INT(FF101) + _xll.RiskBinomial(1,FF101-INT(FF101))</f>
        <v>0</v>
      </c>
      <c r="FH101" s="30">
        <f t="shared" ca="1" si="96"/>
        <v>0</v>
      </c>
      <c r="FI101" s="35">
        <f ca="1">_xll.RiskBinomial(1,FH101)</f>
        <v>0</v>
      </c>
      <c r="FJ101" s="88">
        <f ca="1">IF(FI101=1,_xll.RiskBinomial(1,Prob_Illness_Given_Infection),0)</f>
        <v>0</v>
      </c>
      <c r="FL101" s="87" t="e">
        <f t="shared" ca="1" si="130"/>
        <v>#NAME?</v>
      </c>
      <c r="FM101" s="37" t="e">
        <f ca="1">INT(FL101) + _xll.RiskBinomial(1,FL101-INT(FL101))</f>
        <v>#NAME?</v>
      </c>
      <c r="FN101" s="30" t="e">
        <f t="shared" ca="1" si="97"/>
        <v>#NAME?</v>
      </c>
      <c r="FO101" s="35" t="e">
        <f ca="1">_xll.RiskBinomial(1,FN101)</f>
        <v>#VALUE!</v>
      </c>
      <c r="FP101" s="88" t="e">
        <f ca="1">IF(FO101=1,_xll.RiskBinomial(1,Prob_Illness_Given_Infection),0)</f>
        <v>#VALUE!</v>
      </c>
      <c r="FR101" s="87" t="e">
        <f t="shared" ca="1" si="131"/>
        <v>#NAME?</v>
      </c>
      <c r="FS101" s="37" t="e">
        <f ca="1">INT(FR101) + _xll.RiskBinomial(1,FR101-INT(FR101))</f>
        <v>#NAME?</v>
      </c>
      <c r="FT101" s="30" t="e">
        <f t="shared" ca="1" si="98"/>
        <v>#NAME?</v>
      </c>
      <c r="FU101" s="35" t="e">
        <f ca="1">_xll.RiskBinomial(1,FT101)</f>
        <v>#VALUE!</v>
      </c>
      <c r="FV101" s="88" t="e">
        <f ca="1">IF(FU101=1,_xll.RiskBinomial(1,Prob_Illness_Given_Infection),0)</f>
        <v>#VALUE!</v>
      </c>
      <c r="FX101" s="87">
        <f t="shared" ca="1" si="132"/>
        <v>4.2125414440464028E-7</v>
      </c>
      <c r="FY101" s="37">
        <f ca="1">INT(FX101) + _xll.RiskBinomial(1,FX101-INT(FX101))</f>
        <v>0</v>
      </c>
      <c r="FZ101" s="30">
        <f t="shared" ca="1" si="99"/>
        <v>0</v>
      </c>
      <c r="GA101" s="35">
        <f ca="1">_xll.RiskBinomial(1,FZ101)</f>
        <v>0</v>
      </c>
      <c r="GB101" s="88">
        <f ca="1">IF(GA101=1,_xll.RiskBinomial(1,Prob_Illness_Given_Infection),0)</f>
        <v>0</v>
      </c>
      <c r="GD101" s="87" t="e">
        <f t="shared" ca="1" si="133"/>
        <v>#NAME?</v>
      </c>
      <c r="GE101" s="37" t="e">
        <f ca="1">INT(GD101) + _xll.RiskBinomial(1,GD101-INT(GD101))</f>
        <v>#NAME?</v>
      </c>
      <c r="GF101" s="30" t="e">
        <f t="shared" ca="1" si="100"/>
        <v>#NAME?</v>
      </c>
      <c r="GG101" s="35" t="e">
        <f ca="1">_xll.RiskBinomial(1,GF101)</f>
        <v>#VALUE!</v>
      </c>
      <c r="GH101" s="88" t="e">
        <f ca="1">IF(GG101=1,_xll.RiskBinomial(1,Prob_Illness_Given_Infection),0)</f>
        <v>#VALUE!</v>
      </c>
      <c r="GJ101" s="87" t="e">
        <f t="shared" ca="1" si="134"/>
        <v>#NAME?</v>
      </c>
      <c r="GK101" s="37" t="e">
        <f ca="1">INT(GJ101) + _xll.RiskBinomial(1,GJ101-INT(GJ101))</f>
        <v>#NAME?</v>
      </c>
      <c r="GL101" s="30" t="e">
        <f t="shared" ca="1" si="101"/>
        <v>#NAME?</v>
      </c>
      <c r="GM101" s="35" t="e">
        <f ca="1">_xll.RiskBinomial(1,GL101)</f>
        <v>#VALUE!</v>
      </c>
      <c r="GN101" s="88" t="e">
        <f ca="1">IF(GM101=1,_xll.RiskBinomial(1,Prob_Illness_Given_Infection),0)</f>
        <v>#VALUE!</v>
      </c>
      <c r="GP101" s="87" t="e">
        <f t="shared" ca="1" si="135"/>
        <v>#NAME?</v>
      </c>
      <c r="GQ101" s="37" t="e">
        <f ca="1">INT(GP101) + _xll.RiskBinomial(1,GP101-INT(GP101))</f>
        <v>#NAME?</v>
      </c>
      <c r="GR101" s="30" t="e">
        <f t="shared" ca="1" si="102"/>
        <v>#NAME?</v>
      </c>
      <c r="GS101" s="35" t="e">
        <f ca="1">_xll.RiskBinomial(1,GR101)</f>
        <v>#VALUE!</v>
      </c>
      <c r="GT101" s="88" t="e">
        <f ca="1">IF(GS101=1,_xll.RiskBinomial(1,Prob_Illness_Given_Infection),0)</f>
        <v>#VALUE!</v>
      </c>
    </row>
    <row r="102" spans="2:202">
      <c r="B102" s="108">
        <v>94</v>
      </c>
      <c r="C102" s="87">
        <f ca="1">_xll.RiskLoglogistic(LogLogistic_gamma, LogLogistic_beta, LogLogistic_alpha, _xll.RiskTruncate(5,800))</f>
        <v>27.160549034446184</v>
      </c>
      <c r="D102" s="38">
        <f t="shared" ca="1" si="69"/>
        <v>1.7448381407368869</v>
      </c>
      <c r="E102" s="30"/>
      <c r="F102" s="87">
        <f t="shared" ca="1" si="103"/>
        <v>6.2995495090426258E-10</v>
      </c>
      <c r="G102" s="37">
        <f ca="1">INT(F102) + _xll.RiskBinomial(1,F102-INT(F102))</f>
        <v>0</v>
      </c>
      <c r="H102" s="30">
        <f t="shared" ca="1" si="70"/>
        <v>0</v>
      </c>
      <c r="I102" s="35">
        <f ca="1">_xll.RiskBinomial(1,H102)</f>
        <v>0</v>
      </c>
      <c r="J102" s="88">
        <f ca="1">IF(I102=1,_xll.RiskBinomial(1,Prob_Illness_Given_Infection),0)</f>
        <v>0</v>
      </c>
      <c r="K102" s="30"/>
      <c r="L102" s="87">
        <f t="shared" ca="1" si="104"/>
        <v>3.217645746544687E-5</v>
      </c>
      <c r="M102" s="37">
        <f ca="1">INT(L102) + _xll.RiskBinomial(1,L102-INT(L102))</f>
        <v>0</v>
      </c>
      <c r="N102" s="30">
        <f t="shared" ca="1" si="71"/>
        <v>0</v>
      </c>
      <c r="O102" s="35">
        <f ca="1">_xll.RiskBinomial(1,N102)</f>
        <v>0</v>
      </c>
      <c r="P102" s="88">
        <f ca="1">IF(O102=1,_xll.RiskBinomial(1,Prob_Illness_Given_Infection),0)</f>
        <v>0</v>
      </c>
      <c r="Q102" s="30"/>
      <c r="R102" s="87">
        <f t="shared" ca="1" si="105"/>
        <v>3.3262661109381372E-6</v>
      </c>
      <c r="S102" s="37">
        <f ca="1">INT(R102) + _xll.RiskBinomial(1,R102-INT(R102))</f>
        <v>0</v>
      </c>
      <c r="T102" s="30">
        <f t="shared" ca="1" si="72"/>
        <v>0</v>
      </c>
      <c r="U102" s="35">
        <f ca="1">_xll.RiskBinomial(1,T102)</f>
        <v>0</v>
      </c>
      <c r="V102" s="88">
        <f ca="1">IF(U102=1,_xll.RiskBinomial(1,Prob_Illness_Given_Infection),0)</f>
        <v>0</v>
      </c>
      <c r="W102" s="30"/>
      <c r="X102" s="87">
        <f t="shared" ca="1" si="106"/>
        <v>1.3665167813578868E-12</v>
      </c>
      <c r="Y102" s="37">
        <f ca="1">INT(X102) + _xll.RiskBinomial(1,X102-INT(X102))</f>
        <v>0</v>
      </c>
      <c r="Z102" s="30">
        <f t="shared" ca="1" si="73"/>
        <v>0</v>
      </c>
      <c r="AA102" s="35">
        <f ca="1">_xll.RiskBinomial(1,Z102)</f>
        <v>0</v>
      </c>
      <c r="AB102" s="88">
        <f ca="1">IF(AA102=1,_xll.RiskBinomial(1,Prob_Illness_Given_Infection),0)</f>
        <v>0</v>
      </c>
      <c r="AC102" s="30"/>
      <c r="AD102" s="87">
        <f t="shared" ca="1" si="107"/>
        <v>6.8847535618062109E-13</v>
      </c>
      <c r="AE102" s="37">
        <f ca="1">INT(AD102) + _xll.RiskBinomial(1,AD102-INT(AD102))</f>
        <v>0</v>
      </c>
      <c r="AF102" s="30">
        <f t="shared" ca="1" si="74"/>
        <v>0</v>
      </c>
      <c r="AG102" s="35">
        <f ca="1">_xll.RiskBinomial(1,AF102)</f>
        <v>0</v>
      </c>
      <c r="AH102" s="88">
        <f ca="1">IF(AG102=1,_xll.RiskBinomial(1,Prob_Illness_Given_Infection),0)</f>
        <v>0</v>
      </c>
      <c r="AI102" s="30"/>
      <c r="AJ102" s="87">
        <f t="shared" ca="1" si="108"/>
        <v>3.1957251786272569E-5</v>
      </c>
      <c r="AK102" s="37">
        <f ca="1">INT(AJ102) + _xll.RiskBinomial(1,AJ102-INT(AJ102))</f>
        <v>0</v>
      </c>
      <c r="AL102" s="30">
        <f t="shared" ca="1" si="75"/>
        <v>0</v>
      </c>
      <c r="AM102" s="35">
        <f ca="1">_xll.RiskBinomial(1,AL102)</f>
        <v>0</v>
      </c>
      <c r="AN102" s="88">
        <f ca="1">IF(AM102=1,_xll.RiskBinomial(1,Prob_Illness_Given_Infection),0)</f>
        <v>0</v>
      </c>
      <c r="AO102" s="30"/>
      <c r="AP102" s="87">
        <f t="shared" ca="1" si="109"/>
        <v>7.7716948284926557E-10</v>
      </c>
      <c r="AQ102" s="37">
        <f ca="1">INT(AP102) + _xll.RiskBinomial(1,AP102-INT(AP102))</f>
        <v>0</v>
      </c>
      <c r="AR102" s="30">
        <f t="shared" ca="1" si="76"/>
        <v>0</v>
      </c>
      <c r="AS102" s="35">
        <f ca="1">_xll.RiskBinomial(1,AR102)</f>
        <v>0</v>
      </c>
      <c r="AT102" s="88">
        <f ca="1">IF(AS102=1,_xll.RiskBinomial(1,Prob_Illness_Given_Infection),0)</f>
        <v>0</v>
      </c>
      <c r="AU102" s="30"/>
      <c r="AV102" s="87">
        <f t="shared" ca="1" si="110"/>
        <v>1.8029927418522376E-5</v>
      </c>
      <c r="AW102" s="37">
        <f ca="1">INT(AV102) + _xll.RiskBinomial(1,AV102-INT(AV102))</f>
        <v>0</v>
      </c>
      <c r="AX102" s="30">
        <f t="shared" ca="1" si="77"/>
        <v>0</v>
      </c>
      <c r="AY102" s="35">
        <f ca="1">_xll.RiskBinomial(1,AX102)</f>
        <v>0</v>
      </c>
      <c r="AZ102" s="88">
        <f ca="1">IF(AY102=1,_xll.RiskBinomial(1,Prob_Illness_Given_Infection),0)</f>
        <v>0</v>
      </c>
      <c r="BB102" s="87">
        <f t="shared" ca="1" si="111"/>
        <v>2.474625348400832E-5</v>
      </c>
      <c r="BC102" s="37">
        <f ca="1">INT(BB102) + _xll.RiskBinomial(1,BB102-INT(BB102))</f>
        <v>0</v>
      </c>
      <c r="BD102" s="30">
        <f t="shared" ca="1" si="78"/>
        <v>0</v>
      </c>
      <c r="BE102" s="35">
        <f ca="1">_xll.RiskBinomial(1,BD102)</f>
        <v>0</v>
      </c>
      <c r="BF102" s="88">
        <f ca="1">IF(BE102=1,_xll.RiskBinomial(1,Prob_Illness_Given_Infection),0)</f>
        <v>0</v>
      </c>
      <c r="BH102" s="87">
        <f t="shared" ca="1" si="112"/>
        <v>3.1330527295684106E-5</v>
      </c>
      <c r="BI102" s="37">
        <f ca="1">INT(BH102) + _xll.RiskBinomial(1,BH102-INT(BH102))</f>
        <v>0</v>
      </c>
      <c r="BJ102" s="30">
        <f t="shared" ca="1" si="79"/>
        <v>0</v>
      </c>
      <c r="BK102" s="35">
        <f ca="1">_xll.RiskBinomial(1,BJ102)</f>
        <v>0</v>
      </c>
      <c r="BL102" s="88">
        <f ca="1">IF(BK102=1,_xll.RiskBinomial(1,Prob_Illness_Given_Infection),0)</f>
        <v>0</v>
      </c>
      <c r="BN102" s="87">
        <f t="shared" ca="1" si="113"/>
        <v>2.3844317729285904E-6</v>
      </c>
      <c r="BO102" s="37">
        <f ca="1">INT(BN102) + _xll.RiskBinomial(1,BN102-INT(BN102))</f>
        <v>0</v>
      </c>
      <c r="BP102" s="30">
        <f t="shared" ca="1" si="80"/>
        <v>0</v>
      </c>
      <c r="BQ102" s="35">
        <f ca="1">_xll.RiskBinomial(1,BP102)</f>
        <v>0</v>
      </c>
      <c r="BR102" s="88">
        <f ca="1">IF(BQ102=1,_xll.RiskBinomial(1,Prob_Illness_Given_Infection),0)</f>
        <v>0</v>
      </c>
      <c r="BT102" s="87">
        <f t="shared" ca="1" si="114"/>
        <v>7.1699611332871868E-6</v>
      </c>
      <c r="BU102" s="37">
        <f ca="1">INT(BT102) + _xll.RiskBinomial(1,BT102-INT(BT102))</f>
        <v>0</v>
      </c>
      <c r="BV102" s="30">
        <f t="shared" ca="1" si="81"/>
        <v>0</v>
      </c>
      <c r="BW102" s="35">
        <f ca="1">_xll.RiskBinomial(1,BV102)</f>
        <v>0</v>
      </c>
      <c r="BX102" s="88">
        <f ca="1">IF(BW102=1,_xll.RiskBinomial(1,Prob_Illness_Given_Infection),0)</f>
        <v>0</v>
      </c>
      <c r="BZ102" s="87">
        <f t="shared" ca="1" si="115"/>
        <v>1.9655280397069364E-5</v>
      </c>
      <c r="CA102" s="37">
        <f ca="1">INT(BZ102) + _xll.RiskBinomial(1,BZ102-INT(BZ102))</f>
        <v>0</v>
      </c>
      <c r="CB102" s="30">
        <f t="shared" ca="1" si="82"/>
        <v>0</v>
      </c>
      <c r="CC102" s="35">
        <f ca="1">_xll.RiskBinomial(1,CB102)</f>
        <v>0</v>
      </c>
      <c r="CD102" s="88">
        <f ca="1">IF(CC102=1,_xll.RiskBinomial(1,Prob_Illness_Given_Infection),0)</f>
        <v>0</v>
      </c>
      <c r="CF102" s="87">
        <f t="shared" ca="1" si="116"/>
        <v>3.7293927210950142E-6</v>
      </c>
      <c r="CG102" s="37">
        <f ca="1">INT(CF102) + _xll.RiskBinomial(1,CF102-INT(CF102))</f>
        <v>0</v>
      </c>
      <c r="CH102" s="30">
        <f t="shared" ca="1" si="83"/>
        <v>0</v>
      </c>
      <c r="CI102" s="35">
        <f ca="1">_xll.RiskBinomial(1,CH102)</f>
        <v>0</v>
      </c>
      <c r="CJ102" s="88">
        <f ca="1">IF(CI102=1,_xll.RiskBinomial(1,Prob_Illness_Given_Infection),0)</f>
        <v>0</v>
      </c>
      <c r="CL102" s="87">
        <f t="shared" ca="1" si="117"/>
        <v>7.1966838872442883E-6</v>
      </c>
      <c r="CM102" s="37">
        <f ca="1">INT(CL102) + _xll.RiskBinomial(1,CL102-INT(CL102))</f>
        <v>0</v>
      </c>
      <c r="CN102" s="30">
        <f t="shared" ca="1" si="84"/>
        <v>0</v>
      </c>
      <c r="CO102" s="35">
        <f ca="1">_xll.RiskBinomial(1,CN102)</f>
        <v>0</v>
      </c>
      <c r="CP102" s="88">
        <f ca="1">IF(CO102=1,_xll.RiskBinomial(1,Prob_Illness_Given_Infection),0)</f>
        <v>0</v>
      </c>
      <c r="CR102" s="87">
        <f t="shared" ca="1" si="118"/>
        <v>4.9597367137567718E-8</v>
      </c>
      <c r="CS102" s="37">
        <f ca="1">INT(CR102) + _xll.RiskBinomial(1,CR102-INT(CR102))</f>
        <v>0</v>
      </c>
      <c r="CT102" s="30">
        <f t="shared" ca="1" si="85"/>
        <v>0</v>
      </c>
      <c r="CU102" s="35">
        <f ca="1">_xll.RiskBinomial(1,CT102)</f>
        <v>0</v>
      </c>
      <c r="CV102" s="88">
        <f ca="1">IF(CU102=1,_xll.RiskBinomial(1,Prob_Illness_Given_Infection),0)</f>
        <v>0</v>
      </c>
      <c r="CX102" s="87">
        <f t="shared" ca="1" si="119"/>
        <v>5.0489555906039629E-10</v>
      </c>
      <c r="CY102" s="37">
        <f ca="1">INT(CX102) + _xll.RiskBinomial(1,CX102-INT(CX102))</f>
        <v>0</v>
      </c>
      <c r="CZ102" s="30">
        <f t="shared" ca="1" si="86"/>
        <v>0</v>
      </c>
      <c r="DA102" s="35">
        <f ca="1">_xll.RiskBinomial(1,CZ102)</f>
        <v>0</v>
      </c>
      <c r="DB102" s="88">
        <f ca="1">IF(DA102=1,_xll.RiskBinomial(1,Prob_Illness_Given_Infection),0)</f>
        <v>0</v>
      </c>
      <c r="DD102" s="87">
        <f t="shared" ca="1" si="120"/>
        <v>5.0489555906039629E-10</v>
      </c>
      <c r="DE102" s="37">
        <f ca="1">INT(DD102) + _xll.RiskBinomial(1,DD102-INT(DD102))</f>
        <v>0</v>
      </c>
      <c r="DF102" s="30">
        <f t="shared" ca="1" si="87"/>
        <v>0</v>
      </c>
      <c r="DG102" s="35">
        <f ca="1">_xll.RiskBinomial(1,DF102)</f>
        <v>0</v>
      </c>
      <c r="DH102" s="88">
        <f ca="1">IF(DG102=1,_xll.RiskBinomial(1,Prob_Illness_Given_Infection),0)</f>
        <v>0</v>
      </c>
      <c r="DJ102" s="87">
        <f t="shared" ca="1" si="121"/>
        <v>8.2442439223600346E-7</v>
      </c>
      <c r="DK102" s="37">
        <f ca="1">INT(DJ102) + _xll.RiskBinomial(1,DJ102-INT(DJ102))</f>
        <v>0</v>
      </c>
      <c r="DL102" s="30">
        <f t="shared" ca="1" si="88"/>
        <v>0</v>
      </c>
      <c r="DM102" s="35">
        <f ca="1">_xll.RiskBinomial(1,DL102)</f>
        <v>0</v>
      </c>
      <c r="DN102" s="88">
        <f ca="1">IF(DM102=1,_xll.RiskBinomial(1,Prob_Illness_Given_Infection),0)</f>
        <v>0</v>
      </c>
      <c r="DP102" s="87">
        <f t="shared" ca="1" si="122"/>
        <v>1.9488967739785394E-10</v>
      </c>
      <c r="DQ102" s="37">
        <f ca="1">INT(DP102) + _xll.RiskBinomial(1,DP102-INT(DP102))</f>
        <v>0</v>
      </c>
      <c r="DR102" s="30">
        <f t="shared" ca="1" si="89"/>
        <v>0</v>
      </c>
      <c r="DS102" s="35">
        <f ca="1">_xll.RiskBinomial(1,DR102)</f>
        <v>0</v>
      </c>
      <c r="DT102" s="88">
        <f ca="1">IF(DS102=1,_xll.RiskBinomial(1,Prob_Illness_Given_Infection),0)</f>
        <v>0</v>
      </c>
      <c r="DV102" s="87">
        <f t="shared" ca="1" si="123"/>
        <v>2.7436685077681787E-9</v>
      </c>
      <c r="DW102" s="37">
        <f ca="1">INT(DV102) + _xll.RiskBinomial(1,DV102-INT(DV102))</f>
        <v>0</v>
      </c>
      <c r="DX102" s="30">
        <f t="shared" ca="1" si="90"/>
        <v>0</v>
      </c>
      <c r="DY102" s="35">
        <f ca="1">_xll.RiskBinomial(1,DX102)</f>
        <v>0</v>
      </c>
      <c r="DZ102" s="88">
        <f ca="1">IF(DY102=1,_xll.RiskBinomial(1,Prob_Illness_Given_Infection),0)</f>
        <v>0</v>
      </c>
      <c r="EB102" s="87">
        <f t="shared" ca="1" si="124"/>
        <v>6.8847535618038986E-13</v>
      </c>
      <c r="EC102" s="37">
        <f ca="1">INT(EB102) + _xll.RiskBinomial(1,EB102-INT(EB102))</f>
        <v>0</v>
      </c>
      <c r="ED102" s="30">
        <f t="shared" ca="1" si="91"/>
        <v>0</v>
      </c>
      <c r="EE102" s="35">
        <f ca="1">_xll.RiskBinomial(1,ED102)</f>
        <v>0</v>
      </c>
      <c r="EF102" s="88">
        <f ca="1">IF(EE102=1,_xll.RiskBinomial(1,Prob_Illness_Given_Infection),0)</f>
        <v>0</v>
      </c>
      <c r="EH102" s="87">
        <f t="shared" ca="1" si="125"/>
        <v>6.8847535617968213E-13</v>
      </c>
      <c r="EI102" s="37">
        <f ca="1">INT(EH102) + _xll.RiskBinomial(1,EH102-INT(EH102))</f>
        <v>0</v>
      </c>
      <c r="EJ102" s="30">
        <f t="shared" ca="1" si="92"/>
        <v>0</v>
      </c>
      <c r="EK102" s="35">
        <f ca="1">_xll.RiskBinomial(1,EJ102)</f>
        <v>0</v>
      </c>
      <c r="EL102" s="88">
        <f ca="1">IF(EK102=1,_xll.RiskBinomial(1,Prob_Illness_Given_Infection),0)</f>
        <v>0</v>
      </c>
      <c r="EN102" s="87">
        <f t="shared" ca="1" si="126"/>
        <v>6.2819219724057845E-11</v>
      </c>
      <c r="EO102" s="37">
        <f ca="1">INT(EN102) + _xll.RiskBinomial(1,EN102-INT(EN102))</f>
        <v>0</v>
      </c>
      <c r="EP102" s="30">
        <f t="shared" ca="1" si="93"/>
        <v>0</v>
      </c>
      <c r="EQ102" s="35">
        <f ca="1">_xll.RiskBinomial(1,EP102)</f>
        <v>0</v>
      </c>
      <c r="ER102" s="88">
        <f ca="1">IF(EQ102=1,_xll.RiskBinomial(1,Prob_Illness_Given_Infection),0)</f>
        <v>0</v>
      </c>
      <c r="ET102" s="87">
        <f t="shared" ca="1" si="127"/>
        <v>6.884753561790256E-13</v>
      </c>
      <c r="EU102" s="37">
        <f ca="1">INT(ET102) + _xll.RiskBinomial(1,ET102-INT(ET102))</f>
        <v>0</v>
      </c>
      <c r="EV102" s="30">
        <f t="shared" ca="1" si="94"/>
        <v>0</v>
      </c>
      <c r="EW102" s="35">
        <f ca="1">_xll.RiskBinomial(1,EV102)</f>
        <v>0</v>
      </c>
      <c r="EX102" s="88">
        <f ca="1">IF(EW102=1,_xll.RiskBinomial(1,Prob_Illness_Given_Infection),0)</f>
        <v>0</v>
      </c>
      <c r="EZ102" s="87">
        <f t="shared" ca="1" si="128"/>
        <v>5.192621208167294E-6</v>
      </c>
      <c r="FA102" s="37">
        <f ca="1">INT(EZ102) + _xll.RiskBinomial(1,EZ102-INT(EZ102))</f>
        <v>0</v>
      </c>
      <c r="FB102" s="30">
        <f t="shared" ca="1" si="95"/>
        <v>0</v>
      </c>
      <c r="FC102" s="35">
        <f ca="1">_xll.RiskBinomial(1,FB102)</f>
        <v>0</v>
      </c>
      <c r="FD102" s="88">
        <f ca="1">IF(FC102=1,_xll.RiskBinomial(1,Prob_Illness_Given_Infection),0)</f>
        <v>0</v>
      </c>
      <c r="FF102" s="87">
        <f t="shared" ca="1" si="129"/>
        <v>3.6171215632563722E-5</v>
      </c>
      <c r="FG102" s="37">
        <f ca="1">INT(FF102) + _xll.RiskBinomial(1,FF102-INT(FF102))</f>
        <v>0</v>
      </c>
      <c r="FH102" s="30">
        <f t="shared" ca="1" si="96"/>
        <v>0</v>
      </c>
      <c r="FI102" s="35">
        <f ca="1">_xll.RiskBinomial(1,FH102)</f>
        <v>0</v>
      </c>
      <c r="FJ102" s="88">
        <f ca="1">IF(FI102=1,_xll.RiskBinomial(1,Prob_Illness_Given_Infection),0)</f>
        <v>0</v>
      </c>
      <c r="FL102" s="87" t="e">
        <f t="shared" ca="1" si="130"/>
        <v>#NAME?</v>
      </c>
      <c r="FM102" s="37" t="e">
        <f ca="1">INT(FL102) + _xll.RiskBinomial(1,FL102-INT(FL102))</f>
        <v>#NAME?</v>
      </c>
      <c r="FN102" s="30" t="e">
        <f t="shared" ca="1" si="97"/>
        <v>#NAME?</v>
      </c>
      <c r="FO102" s="35" t="e">
        <f ca="1">_xll.RiskBinomial(1,FN102)</f>
        <v>#VALUE!</v>
      </c>
      <c r="FP102" s="88" t="e">
        <f ca="1">IF(FO102=1,_xll.RiskBinomial(1,Prob_Illness_Given_Infection),0)</f>
        <v>#VALUE!</v>
      </c>
      <c r="FR102" s="87" t="e">
        <f t="shared" ca="1" si="131"/>
        <v>#NAME?</v>
      </c>
      <c r="FS102" s="37" t="e">
        <f ca="1">INT(FR102) + _xll.RiskBinomial(1,FR102-INT(FR102))</f>
        <v>#NAME?</v>
      </c>
      <c r="FT102" s="30" t="e">
        <f t="shared" ca="1" si="98"/>
        <v>#NAME?</v>
      </c>
      <c r="FU102" s="35" t="e">
        <f ca="1">_xll.RiskBinomial(1,FT102)</f>
        <v>#VALUE!</v>
      </c>
      <c r="FV102" s="88" t="e">
        <f ca="1">IF(FU102=1,_xll.RiskBinomial(1,Prob_Illness_Given_Infection),0)</f>
        <v>#VALUE!</v>
      </c>
      <c r="FX102" s="87">
        <f t="shared" ca="1" si="132"/>
        <v>7.2686959950615949E-8</v>
      </c>
      <c r="FY102" s="37">
        <f ca="1">INT(FX102) + _xll.RiskBinomial(1,FX102-INT(FX102))</f>
        <v>0</v>
      </c>
      <c r="FZ102" s="30">
        <f t="shared" ca="1" si="99"/>
        <v>0</v>
      </c>
      <c r="GA102" s="35">
        <f ca="1">_xll.RiskBinomial(1,FZ102)</f>
        <v>0</v>
      </c>
      <c r="GB102" s="88">
        <f ca="1">IF(GA102=1,_xll.RiskBinomial(1,Prob_Illness_Given_Infection),0)</f>
        <v>0</v>
      </c>
      <c r="GD102" s="87" t="e">
        <f t="shared" ca="1" si="133"/>
        <v>#NAME?</v>
      </c>
      <c r="GE102" s="37" t="e">
        <f ca="1">INT(GD102) + _xll.RiskBinomial(1,GD102-INT(GD102))</f>
        <v>#NAME?</v>
      </c>
      <c r="GF102" s="30" t="e">
        <f t="shared" ca="1" si="100"/>
        <v>#NAME?</v>
      </c>
      <c r="GG102" s="35" t="e">
        <f ca="1">_xll.RiskBinomial(1,GF102)</f>
        <v>#VALUE!</v>
      </c>
      <c r="GH102" s="88" t="e">
        <f ca="1">IF(GG102=1,_xll.RiskBinomial(1,Prob_Illness_Given_Infection),0)</f>
        <v>#VALUE!</v>
      </c>
      <c r="GJ102" s="87" t="e">
        <f t="shared" ca="1" si="134"/>
        <v>#NAME?</v>
      </c>
      <c r="GK102" s="37" t="e">
        <f ca="1">INT(GJ102) + _xll.RiskBinomial(1,GJ102-INT(GJ102))</f>
        <v>#NAME?</v>
      </c>
      <c r="GL102" s="30" t="e">
        <f t="shared" ca="1" si="101"/>
        <v>#NAME?</v>
      </c>
      <c r="GM102" s="35" t="e">
        <f ca="1">_xll.RiskBinomial(1,GL102)</f>
        <v>#VALUE!</v>
      </c>
      <c r="GN102" s="88" t="e">
        <f ca="1">IF(GM102=1,_xll.RiskBinomial(1,Prob_Illness_Given_Infection),0)</f>
        <v>#VALUE!</v>
      </c>
      <c r="GP102" s="87" t="e">
        <f t="shared" ca="1" si="135"/>
        <v>#NAME?</v>
      </c>
      <c r="GQ102" s="37" t="e">
        <f ca="1">INT(GP102) + _xll.RiskBinomial(1,GP102-INT(GP102))</f>
        <v>#NAME?</v>
      </c>
      <c r="GR102" s="30" t="e">
        <f t="shared" ca="1" si="102"/>
        <v>#NAME?</v>
      </c>
      <c r="GS102" s="35" t="e">
        <f ca="1">_xll.RiskBinomial(1,GR102)</f>
        <v>#VALUE!</v>
      </c>
      <c r="GT102" s="88" t="e">
        <f ca="1">IF(GS102=1,_xll.RiskBinomial(1,Prob_Illness_Given_Infection),0)</f>
        <v>#VALUE!</v>
      </c>
    </row>
    <row r="103" spans="2:202">
      <c r="B103" s="108">
        <v>95</v>
      </c>
      <c r="C103" s="87">
        <f ca="1">_xll.RiskLoglogistic(LogLogistic_gamma, LogLogistic_beta, LogLogistic_alpha, _xll.RiskTruncate(5,800))</f>
        <v>179.09007954538015</v>
      </c>
      <c r="D103" s="38">
        <f t="shared" ca="1" si="69"/>
        <v>11.505039939438543</v>
      </c>
      <c r="E103" s="30"/>
      <c r="F103" s="87">
        <f t="shared" ca="1" si="103"/>
        <v>4.1537703131247051E-9</v>
      </c>
      <c r="G103" s="37">
        <f ca="1">INT(F103) + _xll.RiskBinomial(1,F103-INT(F103))</f>
        <v>0</v>
      </c>
      <c r="H103" s="30">
        <f t="shared" ca="1" si="70"/>
        <v>0</v>
      </c>
      <c r="I103" s="35">
        <f ca="1">_xll.RiskBinomial(1,H103)</f>
        <v>0</v>
      </c>
      <c r="J103" s="88">
        <f ca="1">IF(I103=1,_xll.RiskBinomial(1,Prob_Illness_Given_Infection),0)</f>
        <v>0</v>
      </c>
      <c r="K103" s="30"/>
      <c r="L103" s="87">
        <f t="shared" ca="1" si="104"/>
        <v>2.1216376442417234E-4</v>
      </c>
      <c r="M103" s="37">
        <f ca="1">INT(L103) + _xll.RiskBinomial(1,L103-INT(L103))</f>
        <v>0</v>
      </c>
      <c r="N103" s="30">
        <f t="shared" ca="1" si="71"/>
        <v>0</v>
      </c>
      <c r="O103" s="35">
        <f ca="1">_xll.RiskBinomial(1,N103)</f>
        <v>0</v>
      </c>
      <c r="P103" s="88">
        <f ca="1">IF(O103=1,_xll.RiskBinomial(1,Prob_Illness_Given_Infection),0)</f>
        <v>0</v>
      </c>
      <c r="Q103" s="30"/>
      <c r="R103" s="87">
        <f t="shared" ca="1" si="105"/>
        <v>2.1932592807366271E-5</v>
      </c>
      <c r="S103" s="37">
        <f ca="1">INT(R103) + _xll.RiskBinomial(1,R103-INT(R103))</f>
        <v>0</v>
      </c>
      <c r="T103" s="30">
        <f t="shared" ca="1" si="72"/>
        <v>0</v>
      </c>
      <c r="U103" s="35">
        <f ca="1">_xll.RiskBinomial(1,T103)</f>
        <v>0</v>
      </c>
      <c r="V103" s="88">
        <f ca="1">IF(U103=1,_xll.RiskBinomial(1,Prob_Illness_Given_Infection),0)</f>
        <v>0</v>
      </c>
      <c r="W103" s="30"/>
      <c r="X103" s="87">
        <f t="shared" ca="1" si="106"/>
        <v>9.010480559988097E-12</v>
      </c>
      <c r="Y103" s="37">
        <f ca="1">INT(X103) + _xll.RiskBinomial(1,X103-INT(X103))</f>
        <v>0</v>
      </c>
      <c r="Z103" s="30">
        <f t="shared" ca="1" si="73"/>
        <v>0</v>
      </c>
      <c r="AA103" s="35">
        <f ca="1">_xll.RiskBinomial(1,Z103)</f>
        <v>0</v>
      </c>
      <c r="AB103" s="88">
        <f ca="1">IF(AA103=1,_xll.RiskBinomial(1,Prob_Illness_Given_Infection),0)</f>
        <v>0</v>
      </c>
      <c r="AC103" s="30"/>
      <c r="AD103" s="87">
        <f t="shared" ca="1" si="107"/>
        <v>4.5396396864823357E-12</v>
      </c>
      <c r="AE103" s="37">
        <f ca="1">INT(AD103) + _xll.RiskBinomial(1,AD103-INT(AD103))</f>
        <v>0</v>
      </c>
      <c r="AF103" s="30">
        <f t="shared" ca="1" si="74"/>
        <v>0</v>
      </c>
      <c r="AG103" s="35">
        <f ca="1">_xll.RiskBinomial(1,AF103)</f>
        <v>0</v>
      </c>
      <c r="AH103" s="88">
        <f ca="1">IF(AG103=1,_xll.RiskBinomial(1,Prob_Illness_Given_Infection),0)</f>
        <v>0</v>
      </c>
      <c r="AI103" s="30"/>
      <c r="AJ103" s="87">
        <f t="shared" ca="1" si="108"/>
        <v>2.107183752875118E-4</v>
      </c>
      <c r="AK103" s="37">
        <f ca="1">INT(AJ103) + _xll.RiskBinomial(1,AJ103-INT(AJ103))</f>
        <v>0</v>
      </c>
      <c r="AL103" s="30">
        <f t="shared" ca="1" si="75"/>
        <v>0</v>
      </c>
      <c r="AM103" s="35">
        <f ca="1">_xll.RiskBinomial(1,AL103)</f>
        <v>0</v>
      </c>
      <c r="AN103" s="88">
        <f ca="1">IF(AM103=1,_xll.RiskBinomial(1,Prob_Illness_Given_Infection),0)</f>
        <v>0</v>
      </c>
      <c r="AO103" s="30"/>
      <c r="AP103" s="87">
        <f t="shared" ca="1" si="109"/>
        <v>5.1244672678449387E-9</v>
      </c>
      <c r="AQ103" s="37">
        <f ca="1">INT(AP103) + _xll.RiskBinomial(1,AP103-INT(AP103))</f>
        <v>0</v>
      </c>
      <c r="AR103" s="30">
        <f t="shared" ca="1" si="76"/>
        <v>0</v>
      </c>
      <c r="AS103" s="35">
        <f ca="1">_xll.RiskBinomial(1,AR103)</f>
        <v>0</v>
      </c>
      <c r="AT103" s="88">
        <f ca="1">IF(AS103=1,_xll.RiskBinomial(1,Prob_Illness_Given_Infection),0)</f>
        <v>0</v>
      </c>
      <c r="AU103" s="30"/>
      <c r="AV103" s="87">
        <f t="shared" ca="1" si="110"/>
        <v>1.1888497288789965E-4</v>
      </c>
      <c r="AW103" s="37">
        <f ca="1">INT(AV103) + _xll.RiskBinomial(1,AV103-INT(AV103))</f>
        <v>0</v>
      </c>
      <c r="AX103" s="30">
        <f t="shared" ca="1" si="77"/>
        <v>0</v>
      </c>
      <c r="AY103" s="35">
        <f ca="1">_xll.RiskBinomial(1,AX103)</f>
        <v>0</v>
      </c>
      <c r="AZ103" s="88">
        <f ca="1">IF(AY103=1,_xll.RiskBinomial(1,Prob_Illness_Given_Infection),0)</f>
        <v>0</v>
      </c>
      <c r="BB103" s="87">
        <f t="shared" ca="1" si="111"/>
        <v>1.6317079965064694E-4</v>
      </c>
      <c r="BC103" s="37">
        <f ca="1">INT(BB103) + _xll.RiskBinomial(1,BB103-INT(BB103))</f>
        <v>0</v>
      </c>
      <c r="BD103" s="30">
        <f t="shared" ca="1" si="78"/>
        <v>0</v>
      </c>
      <c r="BE103" s="35">
        <f ca="1">_xll.RiskBinomial(1,BD103)</f>
        <v>0</v>
      </c>
      <c r="BF103" s="88">
        <f ca="1">IF(BE103=1,_xll.RiskBinomial(1,Prob_Illness_Given_Infection),0)</f>
        <v>0</v>
      </c>
      <c r="BH103" s="87">
        <f t="shared" ca="1" si="112"/>
        <v>2.0658590584699427E-4</v>
      </c>
      <c r="BI103" s="37">
        <f ca="1">INT(BH103) + _xll.RiskBinomial(1,BH103-INT(BH103))</f>
        <v>0</v>
      </c>
      <c r="BJ103" s="30">
        <f t="shared" ca="1" si="79"/>
        <v>0</v>
      </c>
      <c r="BK103" s="35">
        <f ca="1">_xll.RiskBinomial(1,BJ103)</f>
        <v>0</v>
      </c>
      <c r="BL103" s="88">
        <f ca="1">IF(BK103=1,_xll.RiskBinomial(1,Prob_Illness_Given_Infection),0)</f>
        <v>0</v>
      </c>
      <c r="BN103" s="87">
        <f t="shared" ca="1" si="113"/>
        <v>1.5722365381595845E-5</v>
      </c>
      <c r="BO103" s="37">
        <f ca="1">INT(BN103) + _xll.RiskBinomial(1,BN103-INT(BN103))</f>
        <v>0</v>
      </c>
      <c r="BP103" s="30">
        <f t="shared" ca="1" si="80"/>
        <v>0</v>
      </c>
      <c r="BQ103" s="35">
        <f ca="1">_xll.RiskBinomial(1,BP103)</f>
        <v>0</v>
      </c>
      <c r="BR103" s="88">
        <f ca="1">IF(BQ103=1,_xll.RiskBinomial(1,Prob_Illness_Given_Infection),0)</f>
        <v>0</v>
      </c>
      <c r="BT103" s="87">
        <f t="shared" ca="1" si="114"/>
        <v>4.7276986487613879E-5</v>
      </c>
      <c r="BU103" s="37">
        <f ca="1">INT(BT103) + _xll.RiskBinomial(1,BT103-INT(BT103))</f>
        <v>0</v>
      </c>
      <c r="BV103" s="30">
        <f t="shared" ca="1" si="81"/>
        <v>0</v>
      </c>
      <c r="BW103" s="35">
        <f ca="1">_xll.RiskBinomial(1,BV103)</f>
        <v>0</v>
      </c>
      <c r="BX103" s="88">
        <f ca="1">IF(BW103=1,_xll.RiskBinomial(1,Prob_Illness_Given_Infection),0)</f>
        <v>0</v>
      </c>
      <c r="BZ103" s="87">
        <f t="shared" ca="1" si="115"/>
        <v>1.2960215661817452E-4</v>
      </c>
      <c r="CA103" s="37">
        <f ca="1">INT(BZ103) + _xll.RiskBinomial(1,BZ103-INT(BZ103))</f>
        <v>0</v>
      </c>
      <c r="CB103" s="30">
        <f t="shared" ca="1" si="82"/>
        <v>0</v>
      </c>
      <c r="CC103" s="35">
        <f ca="1">_xll.RiskBinomial(1,CB103)</f>
        <v>0</v>
      </c>
      <c r="CD103" s="88">
        <f ca="1">IF(CC103=1,_xll.RiskBinomial(1,Prob_Illness_Given_Infection),0)</f>
        <v>0</v>
      </c>
      <c r="CF103" s="87">
        <f t="shared" ca="1" si="116"/>
        <v>2.4590712000328552E-5</v>
      </c>
      <c r="CG103" s="37">
        <f ca="1">INT(CF103) + _xll.RiskBinomial(1,CF103-INT(CF103))</f>
        <v>0</v>
      </c>
      <c r="CH103" s="30">
        <f t="shared" ca="1" si="83"/>
        <v>0</v>
      </c>
      <c r="CI103" s="35">
        <f ca="1">_xll.RiskBinomial(1,CH103)</f>
        <v>0</v>
      </c>
      <c r="CJ103" s="88">
        <f ca="1">IF(CI103=1,_xll.RiskBinomial(1,Prob_Illness_Given_Infection),0)</f>
        <v>0</v>
      </c>
      <c r="CL103" s="87">
        <f t="shared" ca="1" si="117"/>
        <v>4.7453189852493557E-5</v>
      </c>
      <c r="CM103" s="37">
        <f ca="1">INT(CL103) + _xll.RiskBinomial(1,CL103-INT(CL103))</f>
        <v>0</v>
      </c>
      <c r="CN103" s="30">
        <f t="shared" ca="1" si="84"/>
        <v>0</v>
      </c>
      <c r="CO103" s="35">
        <f ca="1">_xll.RiskBinomial(1,CN103)</f>
        <v>0</v>
      </c>
      <c r="CP103" s="88">
        <f ca="1">IF(CO103=1,_xll.RiskBinomial(1,Prob_Illness_Given_Infection),0)</f>
        <v>0</v>
      </c>
      <c r="CR103" s="87">
        <f t="shared" ca="1" si="118"/>
        <v>3.2703302185251805E-7</v>
      </c>
      <c r="CS103" s="37">
        <f ca="1">INT(CR103) + _xll.RiskBinomial(1,CR103-INT(CR103))</f>
        <v>0</v>
      </c>
      <c r="CT103" s="30">
        <f t="shared" ca="1" si="85"/>
        <v>0</v>
      </c>
      <c r="CU103" s="35">
        <f ca="1">_xll.RiskBinomial(1,CT103)</f>
        <v>0</v>
      </c>
      <c r="CV103" s="88">
        <f ca="1">IF(CU103=1,_xll.RiskBinomial(1,Prob_Illness_Given_Infection),0)</f>
        <v>0</v>
      </c>
      <c r="CX103" s="87">
        <f t="shared" ca="1" si="119"/>
        <v>3.3291589842148898E-9</v>
      </c>
      <c r="CY103" s="37">
        <f ca="1">INT(CX103) + _xll.RiskBinomial(1,CX103-INT(CX103))</f>
        <v>0</v>
      </c>
      <c r="CZ103" s="30">
        <f t="shared" ca="1" si="86"/>
        <v>0</v>
      </c>
      <c r="DA103" s="35">
        <f ca="1">_xll.RiskBinomial(1,CZ103)</f>
        <v>0</v>
      </c>
      <c r="DB103" s="88">
        <f ca="1">IF(DA103=1,_xll.RiskBinomial(1,Prob_Illness_Given_Infection),0)</f>
        <v>0</v>
      </c>
      <c r="DD103" s="87">
        <f t="shared" ca="1" si="120"/>
        <v>3.3291589842148898E-9</v>
      </c>
      <c r="DE103" s="37">
        <f ca="1">INT(DD103) + _xll.RiskBinomial(1,DD103-INT(DD103))</f>
        <v>0</v>
      </c>
      <c r="DF103" s="30">
        <f t="shared" ca="1" si="87"/>
        <v>0</v>
      </c>
      <c r="DG103" s="35">
        <f ca="1">_xll.RiskBinomial(1,DF103)</f>
        <v>0</v>
      </c>
      <c r="DH103" s="88">
        <f ca="1">IF(DG103=1,_xll.RiskBinomial(1,Prob_Illness_Given_Infection),0)</f>
        <v>0</v>
      </c>
      <c r="DJ103" s="87">
        <f t="shared" ca="1" si="121"/>
        <v>5.4360546908476048E-6</v>
      </c>
      <c r="DK103" s="37">
        <f ca="1">INT(DJ103) + _xll.RiskBinomial(1,DJ103-INT(DJ103))</f>
        <v>0</v>
      </c>
      <c r="DL103" s="30">
        <f t="shared" ca="1" si="88"/>
        <v>0</v>
      </c>
      <c r="DM103" s="35">
        <f ca="1">_xll.RiskBinomial(1,DL103)</f>
        <v>0</v>
      </c>
      <c r="DN103" s="88">
        <f ca="1">IF(DM103=1,_xll.RiskBinomial(1,Prob_Illness_Given_Infection),0)</f>
        <v>0</v>
      </c>
      <c r="DP103" s="87">
        <f t="shared" ca="1" si="122"/>
        <v>1.2850553125229498E-9</v>
      </c>
      <c r="DQ103" s="37">
        <f ca="1">INT(DP103) + _xll.RiskBinomial(1,DP103-INT(DP103))</f>
        <v>0</v>
      </c>
      <c r="DR103" s="30">
        <f t="shared" ca="1" si="89"/>
        <v>0</v>
      </c>
      <c r="DS103" s="35">
        <f ca="1">_xll.RiskBinomial(1,DR103)</f>
        <v>0</v>
      </c>
      <c r="DT103" s="88">
        <f ca="1">IF(DS103=1,_xll.RiskBinomial(1,Prob_Illness_Given_Infection),0)</f>
        <v>0</v>
      </c>
      <c r="DV103" s="87">
        <f t="shared" ca="1" si="123"/>
        <v>1.8091085370888077E-8</v>
      </c>
      <c r="DW103" s="37">
        <f ca="1">INT(DV103) + _xll.RiskBinomial(1,DV103-INT(DV103))</f>
        <v>0</v>
      </c>
      <c r="DX103" s="30">
        <f t="shared" ca="1" si="90"/>
        <v>0</v>
      </c>
      <c r="DY103" s="35">
        <f ca="1">_xll.RiskBinomial(1,DX103)</f>
        <v>0</v>
      </c>
      <c r="DZ103" s="88">
        <f ca="1">IF(DY103=1,_xll.RiskBinomial(1,Prob_Illness_Given_Infection),0)</f>
        <v>0</v>
      </c>
      <c r="EB103" s="87">
        <f t="shared" ca="1" si="124"/>
        <v>4.5396396864808105E-12</v>
      </c>
      <c r="EC103" s="37">
        <f ca="1">INT(EB103) + _xll.RiskBinomial(1,EB103-INT(EB103))</f>
        <v>0</v>
      </c>
      <c r="ED103" s="30">
        <f t="shared" ca="1" si="91"/>
        <v>0</v>
      </c>
      <c r="EE103" s="35">
        <f ca="1">_xll.RiskBinomial(1,ED103)</f>
        <v>0</v>
      </c>
      <c r="EF103" s="88">
        <f ca="1">IF(EE103=1,_xll.RiskBinomial(1,Prob_Illness_Given_Infection),0)</f>
        <v>0</v>
      </c>
      <c r="EH103" s="87">
        <f t="shared" ca="1" si="125"/>
        <v>4.5396396864761439E-12</v>
      </c>
      <c r="EI103" s="37">
        <f ca="1">INT(EH103) + _xll.RiskBinomial(1,EH103-INT(EH103))</f>
        <v>0</v>
      </c>
      <c r="EJ103" s="30">
        <f t="shared" ca="1" si="92"/>
        <v>0</v>
      </c>
      <c r="EK103" s="35">
        <f ca="1">_xll.RiskBinomial(1,EJ103)</f>
        <v>0</v>
      </c>
      <c r="EL103" s="88">
        <f ca="1">IF(EK103=1,_xll.RiskBinomial(1,Prob_Illness_Given_Infection),0)</f>
        <v>0</v>
      </c>
      <c r="EN103" s="87">
        <f t="shared" ca="1" si="126"/>
        <v>4.1421471425677431E-10</v>
      </c>
      <c r="EO103" s="37">
        <f ca="1">INT(EN103) + _xll.RiskBinomial(1,EN103-INT(EN103))</f>
        <v>0</v>
      </c>
      <c r="EP103" s="30">
        <f t="shared" ca="1" si="93"/>
        <v>0</v>
      </c>
      <c r="EQ103" s="35">
        <f ca="1">_xll.RiskBinomial(1,EP103)</f>
        <v>0</v>
      </c>
      <c r="ER103" s="88">
        <f ca="1">IF(EQ103=1,_xll.RiskBinomial(1,Prob_Illness_Given_Infection),0)</f>
        <v>0</v>
      </c>
      <c r="ET103" s="87">
        <f t="shared" ca="1" si="127"/>
        <v>4.539639686471815E-12</v>
      </c>
      <c r="EU103" s="37">
        <f ca="1">INT(ET103) + _xll.RiskBinomial(1,ET103-INT(ET103))</f>
        <v>0</v>
      </c>
      <c r="EV103" s="30">
        <f t="shared" ca="1" si="94"/>
        <v>0</v>
      </c>
      <c r="EW103" s="35">
        <f ca="1">_xll.RiskBinomial(1,EV103)</f>
        <v>0</v>
      </c>
      <c r="EX103" s="88">
        <f ca="1">IF(EW103=1,_xll.RiskBinomial(1,Prob_Illness_Given_Infection),0)</f>
        <v>0</v>
      </c>
      <c r="EZ103" s="87">
        <f t="shared" ca="1" si="128"/>
        <v>3.4238886115310475E-5</v>
      </c>
      <c r="FA103" s="37">
        <f ca="1">INT(EZ103) + _xll.RiskBinomial(1,EZ103-INT(EZ103))</f>
        <v>0</v>
      </c>
      <c r="FB103" s="30">
        <f t="shared" ca="1" si="95"/>
        <v>0</v>
      </c>
      <c r="FC103" s="35">
        <f ca="1">_xll.RiskBinomial(1,FB103)</f>
        <v>0</v>
      </c>
      <c r="FD103" s="88">
        <f ca="1">IF(FC103=1,_xll.RiskBinomial(1,Prob_Illness_Given_Infection),0)</f>
        <v>0</v>
      </c>
      <c r="FF103" s="87">
        <f t="shared" ca="1" si="129"/>
        <v>2.3850423187960504E-4</v>
      </c>
      <c r="FG103" s="37">
        <f ca="1">INT(FF103) + _xll.RiskBinomial(1,FF103-INT(FF103))</f>
        <v>0</v>
      </c>
      <c r="FH103" s="30">
        <f t="shared" ca="1" si="96"/>
        <v>0</v>
      </c>
      <c r="FI103" s="35">
        <f ca="1">_xll.RiskBinomial(1,FH103)</f>
        <v>0</v>
      </c>
      <c r="FJ103" s="88">
        <f ca="1">IF(FI103=1,_xll.RiskBinomial(1,Prob_Illness_Given_Infection),0)</f>
        <v>0</v>
      </c>
      <c r="FL103" s="87" t="e">
        <f t="shared" ca="1" si="130"/>
        <v>#NAME?</v>
      </c>
      <c r="FM103" s="37" t="e">
        <f ca="1">INT(FL103) + _xll.RiskBinomial(1,FL103-INT(FL103))</f>
        <v>#NAME?</v>
      </c>
      <c r="FN103" s="30" t="e">
        <f t="shared" ca="1" si="97"/>
        <v>#NAME?</v>
      </c>
      <c r="FO103" s="35" t="e">
        <f ca="1">_xll.RiskBinomial(1,FN103)</f>
        <v>#VALUE!</v>
      </c>
      <c r="FP103" s="88" t="e">
        <f ca="1">IF(FO103=1,_xll.RiskBinomial(1,Prob_Illness_Given_Infection),0)</f>
        <v>#VALUE!</v>
      </c>
      <c r="FR103" s="87" t="e">
        <f t="shared" ca="1" si="131"/>
        <v>#NAME?</v>
      </c>
      <c r="FS103" s="37" t="e">
        <f ca="1">INT(FR103) + _xll.RiskBinomial(1,FR103-INT(FR103))</f>
        <v>#NAME?</v>
      </c>
      <c r="FT103" s="30" t="e">
        <f t="shared" ca="1" si="98"/>
        <v>#NAME?</v>
      </c>
      <c r="FU103" s="35" t="e">
        <f ca="1">_xll.RiskBinomial(1,FT103)</f>
        <v>#VALUE!</v>
      </c>
      <c r="FV103" s="88" t="e">
        <f ca="1">IF(FU103=1,_xll.RiskBinomial(1,Prob_Illness_Given_Infection),0)</f>
        <v>#VALUE!</v>
      </c>
      <c r="FX103" s="87">
        <f t="shared" ca="1" si="132"/>
        <v>4.7928020243472619E-7</v>
      </c>
      <c r="FY103" s="37">
        <f ca="1">INT(FX103) + _xll.RiskBinomial(1,FX103-INT(FX103))</f>
        <v>0</v>
      </c>
      <c r="FZ103" s="30">
        <f t="shared" ca="1" si="99"/>
        <v>0</v>
      </c>
      <c r="GA103" s="35">
        <f ca="1">_xll.RiskBinomial(1,FZ103)</f>
        <v>0</v>
      </c>
      <c r="GB103" s="88">
        <f ca="1">IF(GA103=1,_xll.RiskBinomial(1,Prob_Illness_Given_Infection),0)</f>
        <v>0</v>
      </c>
      <c r="GD103" s="87" t="e">
        <f t="shared" ca="1" si="133"/>
        <v>#NAME?</v>
      </c>
      <c r="GE103" s="37" t="e">
        <f ca="1">INT(GD103) + _xll.RiskBinomial(1,GD103-INT(GD103))</f>
        <v>#NAME?</v>
      </c>
      <c r="GF103" s="30" t="e">
        <f t="shared" ca="1" si="100"/>
        <v>#NAME?</v>
      </c>
      <c r="GG103" s="35" t="e">
        <f ca="1">_xll.RiskBinomial(1,GF103)</f>
        <v>#VALUE!</v>
      </c>
      <c r="GH103" s="88" t="e">
        <f ca="1">IF(GG103=1,_xll.RiskBinomial(1,Prob_Illness_Given_Infection),0)</f>
        <v>#VALUE!</v>
      </c>
      <c r="GJ103" s="87" t="e">
        <f t="shared" ca="1" si="134"/>
        <v>#NAME?</v>
      </c>
      <c r="GK103" s="37" t="e">
        <f ca="1">INT(GJ103) + _xll.RiskBinomial(1,GJ103-INT(GJ103))</f>
        <v>#NAME?</v>
      </c>
      <c r="GL103" s="30" t="e">
        <f t="shared" ca="1" si="101"/>
        <v>#NAME?</v>
      </c>
      <c r="GM103" s="35" t="e">
        <f ca="1">_xll.RiskBinomial(1,GL103)</f>
        <v>#VALUE!</v>
      </c>
      <c r="GN103" s="88" t="e">
        <f ca="1">IF(GM103=1,_xll.RiskBinomial(1,Prob_Illness_Given_Infection),0)</f>
        <v>#VALUE!</v>
      </c>
      <c r="GP103" s="87" t="e">
        <f t="shared" ca="1" si="135"/>
        <v>#NAME?</v>
      </c>
      <c r="GQ103" s="37" t="e">
        <f ca="1">INT(GP103) + _xll.RiskBinomial(1,GP103-INT(GP103))</f>
        <v>#NAME?</v>
      </c>
      <c r="GR103" s="30" t="e">
        <f t="shared" ca="1" si="102"/>
        <v>#NAME?</v>
      </c>
      <c r="GS103" s="35" t="e">
        <f ca="1">_xll.RiskBinomial(1,GR103)</f>
        <v>#VALUE!</v>
      </c>
      <c r="GT103" s="88" t="e">
        <f ca="1">IF(GS103=1,_xll.RiskBinomial(1,Prob_Illness_Given_Infection),0)</f>
        <v>#VALUE!</v>
      </c>
    </row>
    <row r="104" spans="2:202">
      <c r="B104" s="108">
        <v>96</v>
      </c>
      <c r="C104" s="87">
        <f ca="1">_xll.RiskLoglogistic(LogLogistic_gamma, LogLogistic_beta, LogLogistic_alpha, _xll.RiskTruncate(5,800))</f>
        <v>42.525423190454717</v>
      </c>
      <c r="D104" s="38">
        <f t="shared" ca="1" si="69"/>
        <v>2.7319028138782717</v>
      </c>
      <c r="E104" s="30"/>
      <c r="F104" s="87">
        <f t="shared" ca="1" si="103"/>
        <v>9.8632398204288125E-10</v>
      </c>
      <c r="G104" s="37">
        <f ca="1">INT(F104) + _xll.RiskBinomial(1,F104-INT(F104))</f>
        <v>0</v>
      </c>
      <c r="H104" s="30">
        <f t="shared" ca="1" si="70"/>
        <v>0</v>
      </c>
      <c r="I104" s="35">
        <f ca="1">_xll.RiskBinomial(1,H104)</f>
        <v>0</v>
      </c>
      <c r="J104" s="88">
        <f ca="1">IF(I104=1,_xll.RiskBinomial(1,Prob_Illness_Given_Infection),0)</f>
        <v>0</v>
      </c>
      <c r="K104" s="30"/>
      <c r="L104" s="87">
        <f t="shared" ca="1" si="104"/>
        <v>5.0378859011739227E-5</v>
      </c>
      <c r="M104" s="37">
        <f ca="1">INT(L104) + _xll.RiskBinomial(1,L104-INT(L104))</f>
        <v>0</v>
      </c>
      <c r="N104" s="30">
        <f t="shared" ca="1" si="71"/>
        <v>0</v>
      </c>
      <c r="O104" s="35">
        <f ca="1">_xll.RiskBinomial(1,N104)</f>
        <v>0</v>
      </c>
      <c r="P104" s="88">
        <f ca="1">IF(O104=1,_xll.RiskBinomial(1,Prob_Illness_Given_Infection),0)</f>
        <v>0</v>
      </c>
      <c r="Q104" s="30"/>
      <c r="R104" s="87">
        <f t="shared" ca="1" si="105"/>
        <v>5.2079534118518064E-6</v>
      </c>
      <c r="S104" s="37">
        <f ca="1">INT(R104) + _xll.RiskBinomial(1,R104-INT(R104))</f>
        <v>0</v>
      </c>
      <c r="T104" s="30">
        <f t="shared" ca="1" si="72"/>
        <v>0</v>
      </c>
      <c r="U104" s="35">
        <f ca="1">_xll.RiskBinomial(1,T104)</f>
        <v>0</v>
      </c>
      <c r="V104" s="88">
        <f ca="1">IF(U104=1,_xll.RiskBinomial(1,Prob_Illness_Given_Infection),0)</f>
        <v>0</v>
      </c>
      <c r="W104" s="30"/>
      <c r="X104" s="87">
        <f t="shared" ca="1" si="106"/>
        <v>2.1395629503071695E-12</v>
      </c>
      <c r="Y104" s="37">
        <f ca="1">INT(X104) + _xll.RiskBinomial(1,X104-INT(X104))</f>
        <v>0</v>
      </c>
      <c r="Z104" s="30">
        <f t="shared" ca="1" si="73"/>
        <v>0</v>
      </c>
      <c r="AA104" s="35">
        <f ca="1">_xll.RiskBinomial(1,Z104)</f>
        <v>0</v>
      </c>
      <c r="AB104" s="88">
        <f ca="1">IF(AA104=1,_xll.RiskBinomial(1,Prob_Illness_Given_Infection),0)</f>
        <v>0</v>
      </c>
      <c r="AC104" s="30"/>
      <c r="AD104" s="87">
        <f t="shared" ca="1" si="107"/>
        <v>1.0779497071524107E-12</v>
      </c>
      <c r="AE104" s="37">
        <f ca="1">INT(AD104) + _xll.RiskBinomial(1,AD104-INT(AD104))</f>
        <v>0</v>
      </c>
      <c r="AF104" s="30">
        <f t="shared" ca="1" si="74"/>
        <v>0</v>
      </c>
      <c r="AG104" s="35">
        <f ca="1">_xll.RiskBinomial(1,AF104)</f>
        <v>0</v>
      </c>
      <c r="AH104" s="88">
        <f ca="1">IF(AG104=1,_xll.RiskBinomial(1,Prob_Illness_Given_Infection),0)</f>
        <v>0</v>
      </c>
      <c r="AI104" s="30"/>
      <c r="AJ104" s="87">
        <f t="shared" ca="1" si="108"/>
        <v>5.0035647456596662E-5</v>
      </c>
      <c r="AK104" s="37">
        <f ca="1">INT(AJ104) + _xll.RiskBinomial(1,AJ104-INT(AJ104))</f>
        <v>0</v>
      </c>
      <c r="AL104" s="30">
        <f t="shared" ca="1" si="75"/>
        <v>0</v>
      </c>
      <c r="AM104" s="35">
        <f ca="1">_xll.RiskBinomial(1,AL104)</f>
        <v>0</v>
      </c>
      <c r="AN104" s="88">
        <f ca="1">IF(AM104=1,_xll.RiskBinomial(1,Prob_Illness_Given_Infection),0)</f>
        <v>0</v>
      </c>
      <c r="AO104" s="30"/>
      <c r="AP104" s="87">
        <f t="shared" ca="1" si="109"/>
        <v>1.2168185962278268E-9</v>
      </c>
      <c r="AQ104" s="37">
        <f ca="1">INT(AP104) + _xll.RiskBinomial(1,AP104-INT(AP104))</f>
        <v>0</v>
      </c>
      <c r="AR104" s="30">
        <f t="shared" ca="1" si="76"/>
        <v>0</v>
      </c>
      <c r="AS104" s="35">
        <f ca="1">_xll.RiskBinomial(1,AR104)</f>
        <v>0</v>
      </c>
      <c r="AT104" s="88">
        <f ca="1">IF(AS104=1,_xll.RiskBinomial(1,Prob_Illness_Given_Infection),0)</f>
        <v>0</v>
      </c>
      <c r="AU104" s="30"/>
      <c r="AV104" s="87">
        <f t="shared" ca="1" si="110"/>
        <v>2.8229557973715714E-5</v>
      </c>
      <c r="AW104" s="37">
        <f ca="1">INT(AV104) + _xll.RiskBinomial(1,AV104-INT(AV104))</f>
        <v>0</v>
      </c>
      <c r="AX104" s="30">
        <f t="shared" ca="1" si="77"/>
        <v>0</v>
      </c>
      <c r="AY104" s="35">
        <f ca="1">_xll.RiskBinomial(1,AX104)</f>
        <v>0</v>
      </c>
      <c r="AZ104" s="88">
        <f ca="1">IF(AY104=1,_xll.RiskBinomial(1,Prob_Illness_Given_Infection),0)</f>
        <v>0</v>
      </c>
      <c r="BB104" s="87">
        <f t="shared" ca="1" si="111"/>
        <v>3.8745347174355307E-5</v>
      </c>
      <c r="BC104" s="37">
        <f ca="1">INT(BB104) + _xll.RiskBinomial(1,BB104-INT(BB104))</f>
        <v>0</v>
      </c>
      <c r="BD104" s="30">
        <f t="shared" ca="1" si="78"/>
        <v>0</v>
      </c>
      <c r="BE104" s="35">
        <f ca="1">_xll.RiskBinomial(1,BD104)</f>
        <v>0</v>
      </c>
      <c r="BF104" s="88">
        <f ca="1">IF(BE104=1,_xll.RiskBinomial(1,Prob_Illness_Given_Infection),0)</f>
        <v>0</v>
      </c>
      <c r="BH104" s="87">
        <f t="shared" ca="1" si="112"/>
        <v>4.9054381424297537E-5</v>
      </c>
      <c r="BI104" s="37">
        <f ca="1">INT(BH104) + _xll.RiskBinomial(1,BH104-INT(BH104))</f>
        <v>0</v>
      </c>
      <c r="BJ104" s="30">
        <f t="shared" ca="1" si="79"/>
        <v>0</v>
      </c>
      <c r="BK104" s="35">
        <f ca="1">_xll.RiskBinomial(1,BJ104)</f>
        <v>0</v>
      </c>
      <c r="BL104" s="88">
        <f ca="1">IF(BK104=1,_xll.RiskBinomial(1,Prob_Illness_Given_Infection),0)</f>
        <v>0</v>
      </c>
      <c r="BN104" s="87">
        <f t="shared" ca="1" si="113"/>
        <v>3.733318133000772E-6</v>
      </c>
      <c r="BO104" s="37">
        <f ca="1">INT(BN104) + _xll.RiskBinomial(1,BN104-INT(BN104))</f>
        <v>0</v>
      </c>
      <c r="BP104" s="30">
        <f t="shared" ca="1" si="80"/>
        <v>0</v>
      </c>
      <c r="BQ104" s="35">
        <f ca="1">_xll.RiskBinomial(1,BP104)</f>
        <v>0</v>
      </c>
      <c r="BR104" s="88">
        <f ca="1">IF(BQ104=1,_xll.RiskBinomial(1,Prob_Illness_Given_Infection),0)</f>
        <v>0</v>
      </c>
      <c r="BT104" s="87">
        <f t="shared" ca="1" si="114"/>
        <v>1.1226048157769397E-5</v>
      </c>
      <c r="BU104" s="37">
        <f ca="1">INT(BT104) + _xll.RiskBinomial(1,BT104-INT(BT104))</f>
        <v>0</v>
      </c>
      <c r="BV104" s="30">
        <f t="shared" ca="1" si="81"/>
        <v>0</v>
      </c>
      <c r="BW104" s="35">
        <f ca="1">_xll.RiskBinomial(1,BV104)</f>
        <v>0</v>
      </c>
      <c r="BX104" s="88">
        <f ca="1">IF(BW104=1,_xll.RiskBinomial(1,Prob_Illness_Given_Infection),0)</f>
        <v>0</v>
      </c>
      <c r="BZ104" s="87">
        <f t="shared" ca="1" si="115"/>
        <v>3.0774382202376078E-5</v>
      </c>
      <c r="CA104" s="37">
        <f ca="1">INT(BZ104) + _xll.RiskBinomial(1,BZ104-INT(BZ104))</f>
        <v>0</v>
      </c>
      <c r="CB104" s="30">
        <f t="shared" ca="1" si="82"/>
        <v>0</v>
      </c>
      <c r="CC104" s="35">
        <f ca="1">_xll.RiskBinomial(1,CB104)</f>
        <v>0</v>
      </c>
      <c r="CD104" s="88">
        <f ca="1">IF(CC104=1,_xll.RiskBinomial(1,Prob_Illness_Given_Infection),0)</f>
        <v>0</v>
      </c>
      <c r="CF104" s="87">
        <f t="shared" ca="1" si="116"/>
        <v>5.839130994989504E-6</v>
      </c>
      <c r="CG104" s="37">
        <f ca="1">INT(CF104) + _xll.RiskBinomial(1,CF104-INT(CF104))</f>
        <v>0</v>
      </c>
      <c r="CH104" s="30">
        <f t="shared" ca="1" si="83"/>
        <v>0</v>
      </c>
      <c r="CI104" s="35">
        <f ca="1">_xll.RiskBinomial(1,CH104)</f>
        <v>0</v>
      </c>
      <c r="CJ104" s="88">
        <f ca="1">IF(CI104=1,_xll.RiskBinomial(1,Prob_Illness_Given_Infection),0)</f>
        <v>0</v>
      </c>
      <c r="CL104" s="87">
        <f t="shared" ca="1" si="117"/>
        <v>1.1267888122764173E-5</v>
      </c>
      <c r="CM104" s="37">
        <f ca="1">INT(CL104) + _xll.RiskBinomial(1,CL104-INT(CL104))</f>
        <v>0</v>
      </c>
      <c r="CN104" s="30">
        <f t="shared" ca="1" si="84"/>
        <v>0</v>
      </c>
      <c r="CO104" s="35">
        <f ca="1">_xll.RiskBinomial(1,CN104)</f>
        <v>0</v>
      </c>
      <c r="CP104" s="88">
        <f ca="1">IF(CO104=1,_xll.RiskBinomial(1,Prob_Illness_Given_Infection),0)</f>
        <v>0</v>
      </c>
      <c r="CR104" s="87">
        <f t="shared" ca="1" si="118"/>
        <v>7.7654874501340348E-8</v>
      </c>
      <c r="CS104" s="37">
        <f ca="1">INT(CR104) + _xll.RiskBinomial(1,CR104-INT(CR104))</f>
        <v>0</v>
      </c>
      <c r="CT104" s="30">
        <f t="shared" ca="1" si="85"/>
        <v>0</v>
      </c>
      <c r="CU104" s="35">
        <f ca="1">_xll.RiskBinomial(1,CT104)</f>
        <v>0</v>
      </c>
      <c r="CV104" s="88">
        <f ca="1">IF(CU104=1,_xll.RiskBinomial(1,Prob_Illness_Given_Infection),0)</f>
        <v>0</v>
      </c>
      <c r="CX104" s="87">
        <f t="shared" ca="1" si="119"/>
        <v>7.9051779434923269E-10</v>
      </c>
      <c r="CY104" s="37">
        <f ca="1">INT(CX104) + _xll.RiskBinomial(1,CX104-INT(CX104))</f>
        <v>0</v>
      </c>
      <c r="CZ104" s="30">
        <f t="shared" ca="1" si="86"/>
        <v>0</v>
      </c>
      <c r="DA104" s="35">
        <f ca="1">_xll.RiskBinomial(1,CZ104)</f>
        <v>0</v>
      </c>
      <c r="DB104" s="88">
        <f ca="1">IF(DA104=1,_xll.RiskBinomial(1,Prob_Illness_Given_Infection),0)</f>
        <v>0</v>
      </c>
      <c r="DD104" s="87">
        <f t="shared" ca="1" si="120"/>
        <v>7.9051779434923269E-10</v>
      </c>
      <c r="DE104" s="37">
        <f ca="1">INT(DD104) + _xll.RiskBinomial(1,DD104-INT(DD104))</f>
        <v>0</v>
      </c>
      <c r="DF104" s="30">
        <f t="shared" ca="1" si="87"/>
        <v>0</v>
      </c>
      <c r="DG104" s="35">
        <f ca="1">_xll.RiskBinomial(1,DF104)</f>
        <v>0</v>
      </c>
      <c r="DH104" s="88">
        <f ca="1">IF(DG104=1,_xll.RiskBinomial(1,Prob_Illness_Given_Infection),0)</f>
        <v>0</v>
      </c>
      <c r="DJ104" s="87">
        <f t="shared" ca="1" si="121"/>
        <v>1.290805871556799E-6</v>
      </c>
      <c r="DK104" s="37">
        <f ca="1">INT(DJ104) + _xll.RiskBinomial(1,DJ104-INT(DJ104))</f>
        <v>0</v>
      </c>
      <c r="DL104" s="30">
        <f t="shared" ca="1" si="88"/>
        <v>0</v>
      </c>
      <c r="DM104" s="35">
        <f ca="1">_xll.RiskBinomial(1,DL104)</f>
        <v>0</v>
      </c>
      <c r="DN104" s="88">
        <f ca="1">IF(DM104=1,_xll.RiskBinomial(1,Prob_Illness_Given_Infection),0)</f>
        <v>0</v>
      </c>
      <c r="DP104" s="87">
        <f t="shared" ca="1" si="122"/>
        <v>3.0513985546772392E-10</v>
      </c>
      <c r="DQ104" s="37">
        <f ca="1">INT(DP104) + _xll.RiskBinomial(1,DP104-INT(DP104))</f>
        <v>0</v>
      </c>
      <c r="DR104" s="30">
        <f t="shared" ca="1" si="89"/>
        <v>0</v>
      </c>
      <c r="DS104" s="35">
        <f ca="1">_xll.RiskBinomial(1,DR104)</f>
        <v>0</v>
      </c>
      <c r="DT104" s="88">
        <f ca="1">IF(DS104=1,_xll.RiskBinomial(1,Prob_Illness_Given_Infection),0)</f>
        <v>0</v>
      </c>
      <c r="DV104" s="87">
        <f t="shared" ca="1" si="123"/>
        <v>4.2957770934303307E-9</v>
      </c>
      <c r="DW104" s="37">
        <f ca="1">INT(DV104) + _xll.RiskBinomial(1,DV104-INT(DV104))</f>
        <v>0</v>
      </c>
      <c r="DX104" s="30">
        <f t="shared" ca="1" si="90"/>
        <v>0</v>
      </c>
      <c r="DY104" s="35">
        <f ca="1">_xll.RiskBinomial(1,DX104)</f>
        <v>0</v>
      </c>
      <c r="DZ104" s="88">
        <f ca="1">IF(DY104=1,_xll.RiskBinomial(1,Prob_Illness_Given_Infection),0)</f>
        <v>0</v>
      </c>
      <c r="EB104" s="87">
        <f t="shared" ca="1" si="124"/>
        <v>1.0779497071520486E-12</v>
      </c>
      <c r="EC104" s="37">
        <f ca="1">INT(EB104) + _xll.RiskBinomial(1,EB104-INT(EB104))</f>
        <v>0</v>
      </c>
      <c r="ED104" s="30">
        <f t="shared" ca="1" si="91"/>
        <v>0</v>
      </c>
      <c r="EE104" s="35">
        <f ca="1">_xll.RiskBinomial(1,ED104)</f>
        <v>0</v>
      </c>
      <c r="EF104" s="88">
        <f ca="1">IF(EE104=1,_xll.RiskBinomial(1,Prob_Illness_Given_Infection),0)</f>
        <v>0</v>
      </c>
      <c r="EH104" s="87">
        <f t="shared" ca="1" si="125"/>
        <v>1.0779497071509405E-12</v>
      </c>
      <c r="EI104" s="37">
        <f ca="1">INT(EH104) + _xll.RiskBinomial(1,EH104-INT(EH104))</f>
        <v>0</v>
      </c>
      <c r="EJ104" s="30">
        <f t="shared" ca="1" si="92"/>
        <v>0</v>
      </c>
      <c r="EK104" s="35">
        <f ca="1">_xll.RiskBinomial(1,EJ104)</f>
        <v>0</v>
      </c>
      <c r="EL104" s="88">
        <f ca="1">IF(EK104=1,_xll.RiskBinomial(1,Prob_Illness_Given_Infection),0)</f>
        <v>0</v>
      </c>
      <c r="EN104" s="87">
        <f t="shared" ca="1" si="126"/>
        <v>9.8356402879474829E-11</v>
      </c>
      <c r="EO104" s="37">
        <f ca="1">INT(EN104) + _xll.RiskBinomial(1,EN104-INT(EN104))</f>
        <v>0</v>
      </c>
      <c r="EP104" s="30">
        <f t="shared" ca="1" si="93"/>
        <v>0</v>
      </c>
      <c r="EQ104" s="35">
        <f ca="1">_xll.RiskBinomial(1,EP104)</f>
        <v>0</v>
      </c>
      <c r="ER104" s="88">
        <f ca="1">IF(EQ104=1,_xll.RiskBinomial(1,Prob_Illness_Given_Infection),0)</f>
        <v>0</v>
      </c>
      <c r="ET104" s="87">
        <f t="shared" ca="1" si="127"/>
        <v>1.0779497071499126E-12</v>
      </c>
      <c r="EU104" s="37">
        <f ca="1">INT(ET104) + _xll.RiskBinomial(1,ET104-INT(ET104))</f>
        <v>0</v>
      </c>
      <c r="EV104" s="30">
        <f t="shared" ca="1" si="94"/>
        <v>0</v>
      </c>
      <c r="EW104" s="35">
        <f ca="1">_xll.RiskBinomial(1,EV104)</f>
        <v>0</v>
      </c>
      <c r="EX104" s="88">
        <f ca="1">IF(EW104=1,_xll.RiskBinomial(1,Prob_Illness_Given_Infection),0)</f>
        <v>0</v>
      </c>
      <c r="EZ104" s="87">
        <f t="shared" ca="1" si="128"/>
        <v>8.1301160026254607E-6</v>
      </c>
      <c r="FA104" s="37">
        <f ca="1">INT(EZ104) + _xll.RiskBinomial(1,EZ104-INT(EZ104))</f>
        <v>0</v>
      </c>
      <c r="FB104" s="30">
        <f t="shared" ca="1" si="95"/>
        <v>0</v>
      </c>
      <c r="FC104" s="35">
        <f ca="1">_xll.RiskBinomial(1,FB104)</f>
        <v>0</v>
      </c>
      <c r="FD104" s="88">
        <f ca="1">IF(FC104=1,_xll.RiskBinomial(1,Prob_Illness_Given_Infection),0)</f>
        <v>0</v>
      </c>
      <c r="FF104" s="87">
        <f t="shared" ca="1" si="129"/>
        <v>5.6633474166415291E-5</v>
      </c>
      <c r="FG104" s="37">
        <f ca="1">INT(FF104) + _xll.RiskBinomial(1,FF104-INT(FF104))</f>
        <v>0</v>
      </c>
      <c r="FH104" s="30">
        <f t="shared" ca="1" si="96"/>
        <v>0</v>
      </c>
      <c r="FI104" s="35">
        <f ca="1">_xll.RiskBinomial(1,FH104)</f>
        <v>0</v>
      </c>
      <c r="FJ104" s="88">
        <f ca="1">IF(FI104=1,_xll.RiskBinomial(1,Prob_Illness_Given_Infection),0)</f>
        <v>0</v>
      </c>
      <c r="FL104" s="87" t="e">
        <f t="shared" ca="1" si="130"/>
        <v>#NAME?</v>
      </c>
      <c r="FM104" s="37" t="e">
        <f ca="1">INT(FL104) + _xll.RiskBinomial(1,FL104-INT(FL104))</f>
        <v>#NAME?</v>
      </c>
      <c r="FN104" s="30" t="e">
        <f t="shared" ca="1" si="97"/>
        <v>#NAME?</v>
      </c>
      <c r="FO104" s="35" t="e">
        <f ca="1">_xll.RiskBinomial(1,FN104)</f>
        <v>#VALUE!</v>
      </c>
      <c r="FP104" s="88" t="e">
        <f ca="1">IF(FO104=1,_xll.RiskBinomial(1,Prob_Illness_Given_Infection),0)</f>
        <v>#VALUE!</v>
      </c>
      <c r="FR104" s="87" t="e">
        <f t="shared" ca="1" si="131"/>
        <v>#NAME?</v>
      </c>
      <c r="FS104" s="37" t="e">
        <f ca="1">INT(FR104) + _xll.RiskBinomial(1,FR104-INT(FR104))</f>
        <v>#NAME?</v>
      </c>
      <c r="FT104" s="30" t="e">
        <f t="shared" ca="1" si="98"/>
        <v>#NAME?</v>
      </c>
      <c r="FU104" s="35" t="e">
        <f ca="1">_xll.RiskBinomial(1,FT104)</f>
        <v>#VALUE!</v>
      </c>
      <c r="FV104" s="88" t="e">
        <f ca="1">IF(FU104=1,_xll.RiskBinomial(1,Prob_Illness_Given_Infection),0)</f>
        <v>#VALUE!</v>
      </c>
      <c r="FX104" s="87">
        <f t="shared" ca="1" si="132"/>
        <v>1.1380637881831407E-7</v>
      </c>
      <c r="FY104" s="37">
        <f ca="1">INT(FX104) + _xll.RiskBinomial(1,FX104-INT(FX104))</f>
        <v>0</v>
      </c>
      <c r="FZ104" s="30">
        <f t="shared" ca="1" si="99"/>
        <v>0</v>
      </c>
      <c r="GA104" s="35">
        <f ca="1">_xll.RiskBinomial(1,FZ104)</f>
        <v>0</v>
      </c>
      <c r="GB104" s="88">
        <f ca="1">IF(GA104=1,_xll.RiskBinomial(1,Prob_Illness_Given_Infection),0)</f>
        <v>0</v>
      </c>
      <c r="GD104" s="87" t="e">
        <f t="shared" ca="1" si="133"/>
        <v>#NAME?</v>
      </c>
      <c r="GE104" s="37" t="e">
        <f ca="1">INT(GD104) + _xll.RiskBinomial(1,GD104-INT(GD104))</f>
        <v>#NAME?</v>
      </c>
      <c r="GF104" s="30" t="e">
        <f t="shared" ca="1" si="100"/>
        <v>#NAME?</v>
      </c>
      <c r="GG104" s="35" t="e">
        <f ca="1">_xll.RiskBinomial(1,GF104)</f>
        <v>#VALUE!</v>
      </c>
      <c r="GH104" s="88" t="e">
        <f ca="1">IF(GG104=1,_xll.RiskBinomial(1,Prob_Illness_Given_Infection),0)</f>
        <v>#VALUE!</v>
      </c>
      <c r="GJ104" s="87" t="e">
        <f t="shared" ca="1" si="134"/>
        <v>#NAME?</v>
      </c>
      <c r="GK104" s="37" t="e">
        <f ca="1">INT(GJ104) + _xll.RiskBinomial(1,GJ104-INT(GJ104))</f>
        <v>#NAME?</v>
      </c>
      <c r="GL104" s="30" t="e">
        <f t="shared" ca="1" si="101"/>
        <v>#NAME?</v>
      </c>
      <c r="GM104" s="35" t="e">
        <f ca="1">_xll.RiskBinomial(1,GL104)</f>
        <v>#VALUE!</v>
      </c>
      <c r="GN104" s="88" t="e">
        <f ca="1">IF(GM104=1,_xll.RiskBinomial(1,Prob_Illness_Given_Infection),0)</f>
        <v>#VALUE!</v>
      </c>
      <c r="GP104" s="87" t="e">
        <f t="shared" ca="1" si="135"/>
        <v>#NAME?</v>
      </c>
      <c r="GQ104" s="37" t="e">
        <f ca="1">INT(GP104) + _xll.RiskBinomial(1,GP104-INT(GP104))</f>
        <v>#NAME?</v>
      </c>
      <c r="GR104" s="30" t="e">
        <f t="shared" ca="1" si="102"/>
        <v>#NAME?</v>
      </c>
      <c r="GS104" s="35" t="e">
        <f ca="1">_xll.RiskBinomial(1,GR104)</f>
        <v>#VALUE!</v>
      </c>
      <c r="GT104" s="88" t="e">
        <f ca="1">IF(GS104=1,_xll.RiskBinomial(1,Prob_Illness_Given_Infection),0)</f>
        <v>#VALUE!</v>
      </c>
    </row>
    <row r="105" spans="2:202">
      <c r="B105" s="108">
        <v>97</v>
      </c>
      <c r="C105" s="87">
        <f ca="1">_xll.RiskLoglogistic(LogLogistic_gamma, LogLogistic_beta, LogLogistic_alpha, _xll.RiskTruncate(5,800))</f>
        <v>50.10068791327511</v>
      </c>
      <c r="D105" s="38">
        <f t="shared" ref="D105:D108" ca="1" si="136" xml:space="preserve"> C105*BAF/V</f>
        <v>3.2185502228755096</v>
      </c>
      <c r="E105" s="30"/>
      <c r="F105" s="87">
        <f t="shared" ca="1" si="103"/>
        <v>1.1620227689303982E-9</v>
      </c>
      <c r="G105" s="37">
        <f ca="1">INT(F105) + _xll.RiskBinomial(1,F105-INT(F105))</f>
        <v>0</v>
      </c>
      <c r="H105" s="30">
        <f t="shared" ref="H105:H108" ca="1" si="137" xml:space="preserve"> MAX(1-EXP((GAMMALN(beta+G105)+GAMMALN(alpha+beta)-GAMMALN(alpha+beta+G105)-GAMMALN(beta))),0)</f>
        <v>0</v>
      </c>
      <c r="I105" s="35">
        <f ca="1">_xll.RiskBinomial(1,H105)</f>
        <v>0</v>
      </c>
      <c r="J105" s="88">
        <f ca="1">IF(I105=1,_xll.RiskBinomial(1,Prob_Illness_Given_Infection),0)</f>
        <v>0</v>
      </c>
      <c r="K105" s="30"/>
      <c r="L105" s="87">
        <f t="shared" ca="1" si="104"/>
        <v>5.9353095240697719E-5</v>
      </c>
      <c r="M105" s="37">
        <f ca="1">INT(L105) + _xll.RiskBinomial(1,L105-INT(L105))</f>
        <v>0</v>
      </c>
      <c r="N105" s="30">
        <f t="shared" ca="1" si="71"/>
        <v>0</v>
      </c>
      <c r="O105" s="35">
        <f ca="1">_xll.RiskBinomial(1,N105)</f>
        <v>0</v>
      </c>
      <c r="P105" s="88">
        <f ca="1">IF(O105=1,_xll.RiskBinomial(1,Prob_Illness_Given_Infection),0)</f>
        <v>0</v>
      </c>
      <c r="Q105" s="30"/>
      <c r="R105" s="87">
        <f t="shared" ca="1" si="105"/>
        <v>6.1356720046146512E-6</v>
      </c>
      <c r="S105" s="37">
        <f ca="1">INT(R105) + _xll.RiskBinomial(1,R105-INT(R105))</f>
        <v>0</v>
      </c>
      <c r="T105" s="30">
        <f t="shared" ca="1" si="72"/>
        <v>0</v>
      </c>
      <c r="U105" s="35">
        <f ca="1">_xll.RiskBinomial(1,T105)</f>
        <v>0</v>
      </c>
      <c r="V105" s="88">
        <f ca="1">IF(U105=1,_xll.RiskBinomial(1,Prob_Illness_Given_Infection),0)</f>
        <v>0</v>
      </c>
      <c r="W105" s="30"/>
      <c r="X105" s="87">
        <f t="shared" ca="1" si="106"/>
        <v>2.5206939191191018E-12</v>
      </c>
      <c r="Y105" s="37">
        <f ca="1">INT(X105) + _xll.RiskBinomial(1,X105-INT(X105))</f>
        <v>0</v>
      </c>
      <c r="Z105" s="30">
        <f t="shared" ca="1" si="73"/>
        <v>0</v>
      </c>
      <c r="AA105" s="35">
        <f ca="1">_xll.RiskBinomial(1,Z105)</f>
        <v>0</v>
      </c>
      <c r="AB105" s="88">
        <f ca="1">IF(AA105=1,_xll.RiskBinomial(1,Prob_Illness_Given_Infection),0)</f>
        <v>0</v>
      </c>
      <c r="AC105" s="30"/>
      <c r="AD105" s="87">
        <f t="shared" ca="1" si="107"/>
        <v>1.2699702392702223E-12</v>
      </c>
      <c r="AE105" s="37">
        <f ca="1">INT(AD105) + _xll.RiskBinomial(1,AD105-INT(AD105))</f>
        <v>0</v>
      </c>
      <c r="AF105" s="30">
        <f t="shared" ca="1" si="74"/>
        <v>0</v>
      </c>
      <c r="AG105" s="35">
        <f ca="1">_xll.RiskBinomial(1,AF105)</f>
        <v>0</v>
      </c>
      <c r="AH105" s="88">
        <f ca="1">IF(AG105=1,_xll.RiskBinomial(1,Prob_Illness_Given_Infection),0)</f>
        <v>0</v>
      </c>
      <c r="AI105" s="30"/>
      <c r="AJ105" s="87">
        <f t="shared" ca="1" si="108"/>
        <v>5.8948745707586269E-5</v>
      </c>
      <c r="AK105" s="37">
        <f ca="1">INT(AJ105) + _xll.RiskBinomial(1,AJ105-INT(AJ105))</f>
        <v>0</v>
      </c>
      <c r="AL105" s="30">
        <f t="shared" ca="1" si="75"/>
        <v>0</v>
      </c>
      <c r="AM105" s="35">
        <f ca="1">_xll.RiskBinomial(1,AL105)</f>
        <v>0</v>
      </c>
      <c r="AN105" s="88">
        <f ca="1">IF(AM105=1,_xll.RiskBinomial(1,Prob_Illness_Given_Infection),0)</f>
        <v>0</v>
      </c>
      <c r="AO105" s="30"/>
      <c r="AP105" s="87">
        <f t="shared" ca="1" si="109"/>
        <v>1.4335765328812473E-9</v>
      </c>
      <c r="AQ105" s="37">
        <f ca="1">INT(AP105) + _xll.RiskBinomial(1,AP105-INT(AP105))</f>
        <v>0</v>
      </c>
      <c r="AR105" s="30">
        <f t="shared" ca="1" si="76"/>
        <v>0</v>
      </c>
      <c r="AS105" s="35">
        <f ca="1">_xll.RiskBinomial(1,AR105)</f>
        <v>0</v>
      </c>
      <c r="AT105" s="88">
        <f ca="1">IF(AS105=1,_xll.RiskBinomial(1,Prob_Illness_Given_Infection),0)</f>
        <v>0</v>
      </c>
      <c r="AU105" s="30"/>
      <c r="AV105" s="87">
        <f t="shared" ca="1" si="110"/>
        <v>3.3258229262920001E-5</v>
      </c>
      <c r="AW105" s="37">
        <f ca="1">INT(AV105) + _xll.RiskBinomial(1,AV105-INT(AV105))</f>
        <v>0</v>
      </c>
      <c r="AX105" s="30">
        <f t="shared" ca="1" si="77"/>
        <v>0</v>
      </c>
      <c r="AY105" s="35">
        <f ca="1">_xll.RiskBinomial(1,AX105)</f>
        <v>0</v>
      </c>
      <c r="AZ105" s="88">
        <f ca="1">IF(AY105=1,_xll.RiskBinomial(1,Prob_Illness_Given_Infection),0)</f>
        <v>0</v>
      </c>
      <c r="BB105" s="87">
        <f t="shared" ca="1" si="111"/>
        <v>4.5647248192690221E-5</v>
      </c>
      <c r="BC105" s="37">
        <f ca="1">INT(BB105) + _xll.RiskBinomial(1,BB105-INT(BB105))</f>
        <v>0</v>
      </c>
      <c r="BD105" s="30">
        <f t="shared" ca="1" si="78"/>
        <v>0</v>
      </c>
      <c r="BE105" s="35">
        <f ca="1">_xll.RiskBinomial(1,BD105)</f>
        <v>0</v>
      </c>
      <c r="BF105" s="88">
        <f ca="1">IF(BE105=1,_xll.RiskBinomial(1,Prob_Illness_Given_Infection),0)</f>
        <v>0</v>
      </c>
      <c r="BH105" s="87">
        <f t="shared" ca="1" si="112"/>
        <v>5.7792681886094395E-5</v>
      </c>
      <c r="BI105" s="37">
        <f ca="1">INT(BH105) + _xll.RiskBinomial(1,BH105-INT(BH105))</f>
        <v>0</v>
      </c>
      <c r="BJ105" s="30">
        <f t="shared" ca="1" si="79"/>
        <v>0</v>
      </c>
      <c r="BK105" s="35">
        <f ca="1">_xll.RiskBinomial(1,BJ105)</f>
        <v>0</v>
      </c>
      <c r="BL105" s="88">
        <f ca="1">IF(BK105=1,_xll.RiskBinomial(1,Prob_Illness_Given_Infection),0)</f>
        <v>0</v>
      </c>
      <c r="BN105" s="87">
        <f t="shared" ca="1" si="113"/>
        <v>4.3983526236706823E-6</v>
      </c>
      <c r="BO105" s="37">
        <f ca="1">INT(BN105) + _xll.RiskBinomial(1,BN105-INT(BN105))</f>
        <v>0</v>
      </c>
      <c r="BP105" s="30">
        <f t="shared" ca="1" si="80"/>
        <v>0</v>
      </c>
      <c r="BQ105" s="35">
        <f ca="1">_xll.RiskBinomial(1,BP105)</f>
        <v>0</v>
      </c>
      <c r="BR105" s="88">
        <f ca="1">IF(BQ105=1,_xll.RiskBinomial(1,Prob_Illness_Given_Infection),0)</f>
        <v>0</v>
      </c>
      <c r="BT105" s="87">
        <f t="shared" ca="1" si="114"/>
        <v>1.3225799840553864E-5</v>
      </c>
      <c r="BU105" s="37">
        <f ca="1">INT(BT105) + _xll.RiskBinomial(1,BT105-INT(BT105))</f>
        <v>0</v>
      </c>
      <c r="BV105" s="30">
        <f t="shared" ca="1" si="81"/>
        <v>0</v>
      </c>
      <c r="BW105" s="35">
        <f ca="1">_xll.RiskBinomial(1,BV105)</f>
        <v>0</v>
      </c>
      <c r="BX105" s="88">
        <f ca="1">IF(BW105=1,_xll.RiskBinomial(1,Prob_Illness_Given_Infection),0)</f>
        <v>0</v>
      </c>
      <c r="BZ105" s="87">
        <f t="shared" ca="1" si="115"/>
        <v>3.6256375663562344E-5</v>
      </c>
      <c r="CA105" s="37">
        <f ca="1">INT(BZ105) + _xll.RiskBinomial(1,BZ105-INT(BZ105))</f>
        <v>0</v>
      </c>
      <c r="CB105" s="30">
        <f t="shared" ca="1" si="82"/>
        <v>0</v>
      </c>
      <c r="CC105" s="35">
        <f ca="1">_xll.RiskBinomial(1,CB105)</f>
        <v>0</v>
      </c>
      <c r="CD105" s="88">
        <f ca="1">IF(CC105=1,_xll.RiskBinomial(1,Prob_Illness_Given_Infection),0)</f>
        <v>0</v>
      </c>
      <c r="CF105" s="87">
        <f t="shared" ca="1" si="116"/>
        <v>6.8792843837087414E-6</v>
      </c>
      <c r="CG105" s="37">
        <f ca="1">INT(CF105) + _xll.RiskBinomial(1,CF105-INT(CF105))</f>
        <v>0</v>
      </c>
      <c r="CH105" s="30">
        <f t="shared" ca="1" si="83"/>
        <v>0</v>
      </c>
      <c r="CI105" s="35">
        <f ca="1">_xll.RiskBinomial(1,CH105)</f>
        <v>0</v>
      </c>
      <c r="CJ105" s="88">
        <f ca="1">IF(CI105=1,_xll.RiskBinomial(1,Prob_Illness_Given_Infection),0)</f>
        <v>0</v>
      </c>
      <c r="CL105" s="87">
        <f t="shared" ca="1" si="117"/>
        <v>1.327509296620055E-5</v>
      </c>
      <c r="CM105" s="37">
        <f ca="1">INT(CL105) + _xll.RiskBinomial(1,CL105-INT(CL105))</f>
        <v>0</v>
      </c>
      <c r="CN105" s="30">
        <f t="shared" ca="1" si="84"/>
        <v>0</v>
      </c>
      <c r="CO105" s="35">
        <f ca="1">_xll.RiskBinomial(1,CN105)</f>
        <v>0</v>
      </c>
      <c r="CP105" s="88">
        <f ca="1">IF(CO105=1,_xll.RiskBinomial(1,Prob_Illness_Given_Infection),0)</f>
        <v>0</v>
      </c>
      <c r="CR105" s="87">
        <f t="shared" ca="1" si="118"/>
        <v>9.1487922763564084E-8</v>
      </c>
      <c r="CS105" s="37">
        <f ca="1">INT(CR105) + _xll.RiskBinomial(1,CR105-INT(CR105))</f>
        <v>0</v>
      </c>
      <c r="CT105" s="30">
        <f t="shared" ca="1" si="85"/>
        <v>0</v>
      </c>
      <c r="CU105" s="35">
        <f ca="1">_xll.RiskBinomial(1,CT105)</f>
        <v>0</v>
      </c>
      <c r="CV105" s="88">
        <f ca="1">IF(CU105=1,_xll.RiskBinomial(1,Prob_Illness_Given_Infection),0)</f>
        <v>0</v>
      </c>
      <c r="CX105" s="87">
        <f t="shared" ca="1" si="119"/>
        <v>9.3133665306995406E-10</v>
      </c>
      <c r="CY105" s="37">
        <f ca="1">INT(CX105) + _xll.RiskBinomial(1,CX105-INT(CX105))</f>
        <v>0</v>
      </c>
      <c r="CZ105" s="30">
        <f t="shared" ca="1" si="86"/>
        <v>0</v>
      </c>
      <c r="DA105" s="35">
        <f ca="1">_xll.RiskBinomial(1,CZ105)</f>
        <v>0</v>
      </c>
      <c r="DB105" s="88">
        <f ca="1">IF(DA105=1,_xll.RiskBinomial(1,Prob_Illness_Given_Infection),0)</f>
        <v>0</v>
      </c>
      <c r="DD105" s="87">
        <f t="shared" ca="1" si="120"/>
        <v>9.3133665306995406E-10</v>
      </c>
      <c r="DE105" s="37">
        <f ca="1">INT(DD105) + _xll.RiskBinomial(1,DD105-INT(DD105))</f>
        <v>0</v>
      </c>
      <c r="DF105" s="30">
        <f t="shared" ca="1" si="87"/>
        <v>0</v>
      </c>
      <c r="DG105" s="35">
        <f ca="1">_xll.RiskBinomial(1,DF105)</f>
        <v>0</v>
      </c>
      <c r="DH105" s="88">
        <f ca="1">IF(DG105=1,_xll.RiskBinomial(1,Prob_Illness_Given_Infection),0)</f>
        <v>0</v>
      </c>
      <c r="DJ105" s="87">
        <f t="shared" ca="1" si="121"/>
        <v>1.5207435288264501E-6</v>
      </c>
      <c r="DK105" s="37">
        <f ca="1">INT(DJ105) + _xll.RiskBinomial(1,DJ105-INT(DJ105))</f>
        <v>0</v>
      </c>
      <c r="DL105" s="30">
        <f t="shared" ca="1" si="88"/>
        <v>0</v>
      </c>
      <c r="DM105" s="35">
        <f ca="1">_xll.RiskBinomial(1,DL105)</f>
        <v>0</v>
      </c>
      <c r="DN105" s="88">
        <f ca="1">IF(DM105=1,_xll.RiskBinomial(1,Prob_Illness_Given_Infection),0)</f>
        <v>0</v>
      </c>
      <c r="DP105" s="87">
        <f t="shared" ca="1" si="122"/>
        <v>3.5949593259125521E-10</v>
      </c>
      <c r="DQ105" s="37">
        <f ca="1">INT(DP105) + _xll.RiskBinomial(1,DP105-INT(DP105))</f>
        <v>0</v>
      </c>
      <c r="DR105" s="30">
        <f t="shared" ca="1" si="89"/>
        <v>0</v>
      </c>
      <c r="DS105" s="35">
        <f ca="1">_xll.RiskBinomial(1,DR105)</f>
        <v>0</v>
      </c>
      <c r="DT105" s="88">
        <f ca="1">IF(DS105=1,_xll.RiskBinomial(1,Prob_Illness_Given_Infection),0)</f>
        <v>0</v>
      </c>
      <c r="DV105" s="87">
        <f t="shared" ca="1" si="123"/>
        <v>5.0610051906845639E-9</v>
      </c>
      <c r="DW105" s="37">
        <f ca="1">INT(DV105) + _xll.RiskBinomial(1,DV105-INT(DV105))</f>
        <v>0</v>
      </c>
      <c r="DX105" s="30">
        <f t="shared" ca="1" si="90"/>
        <v>0</v>
      </c>
      <c r="DY105" s="35">
        <f ca="1">_xll.RiskBinomial(1,DX105)</f>
        <v>0</v>
      </c>
      <c r="DZ105" s="88">
        <f ca="1">IF(DY105=1,_xll.RiskBinomial(1,Prob_Illness_Given_Infection),0)</f>
        <v>0</v>
      </c>
      <c r="EB105" s="87">
        <f t="shared" ca="1" si="124"/>
        <v>1.2699702392697956E-12</v>
      </c>
      <c r="EC105" s="37">
        <f ca="1">INT(EB105) + _xll.RiskBinomial(1,EB105-INT(EB105))</f>
        <v>0</v>
      </c>
      <c r="ED105" s="30">
        <f t="shared" ca="1" si="91"/>
        <v>0</v>
      </c>
      <c r="EE105" s="35">
        <f ca="1">_xll.RiskBinomial(1,ED105)</f>
        <v>0</v>
      </c>
      <c r="EF105" s="88">
        <f ca="1">IF(EE105=1,_xll.RiskBinomial(1,Prob_Illness_Given_Infection),0)</f>
        <v>0</v>
      </c>
      <c r="EH105" s="87">
        <f t="shared" ca="1" si="125"/>
        <v>1.2699702392684902E-12</v>
      </c>
      <c r="EI105" s="37">
        <f ca="1">INT(EH105) + _xll.RiskBinomial(1,EH105-INT(EH105))</f>
        <v>0</v>
      </c>
      <c r="EJ105" s="30">
        <f t="shared" ca="1" si="92"/>
        <v>0</v>
      </c>
      <c r="EK105" s="35">
        <f ca="1">_xll.RiskBinomial(1,EJ105)</f>
        <v>0</v>
      </c>
      <c r="EL105" s="88">
        <f ca="1">IF(EK105=1,_xll.RiskBinomial(1,Prob_Illness_Given_Infection),0)</f>
        <v>0</v>
      </c>
      <c r="EN105" s="87">
        <f t="shared" ca="1" si="126"/>
        <v>1.158771171510176E-10</v>
      </c>
      <c r="EO105" s="37">
        <f ca="1">INT(EN105) + _xll.RiskBinomial(1,EN105-INT(EN105))</f>
        <v>0</v>
      </c>
      <c r="EP105" s="30">
        <f t="shared" ca="1" si="93"/>
        <v>0</v>
      </c>
      <c r="EQ105" s="35">
        <f ca="1">_xll.RiskBinomial(1,EP105)</f>
        <v>0</v>
      </c>
      <c r="ER105" s="88">
        <f ca="1">IF(EQ105=1,_xll.RiskBinomial(1,Prob_Illness_Given_Infection),0)</f>
        <v>0</v>
      </c>
      <c r="ET105" s="87">
        <f t="shared" ca="1" si="127"/>
        <v>1.2699702392672791E-12</v>
      </c>
      <c r="EU105" s="37">
        <f ca="1">INT(ET105) + _xll.RiskBinomial(1,ET105-INT(ET105))</f>
        <v>0</v>
      </c>
      <c r="EV105" s="30">
        <f t="shared" ca="1" si="94"/>
        <v>0</v>
      </c>
      <c r="EW105" s="35">
        <f ca="1">_xll.RiskBinomial(1,EV105)</f>
        <v>0</v>
      </c>
      <c r="EX105" s="88">
        <f ca="1">IF(EW105=1,_xll.RiskBinomial(1,Prob_Illness_Given_Infection),0)</f>
        <v>0</v>
      </c>
      <c r="EZ105" s="87">
        <f t="shared" ca="1" si="128"/>
        <v>9.578373922865282E-6</v>
      </c>
      <c r="FA105" s="37">
        <f ca="1">INT(EZ105) + _xll.RiskBinomial(1,EZ105-INT(EZ105))</f>
        <v>0</v>
      </c>
      <c r="FB105" s="30">
        <f t="shared" ca="1" si="95"/>
        <v>0</v>
      </c>
      <c r="FC105" s="35">
        <f ca="1">_xll.RiskBinomial(1,FB105)</f>
        <v>0</v>
      </c>
      <c r="FD105" s="88">
        <f ca="1">IF(FC105=1,_xll.RiskBinomial(1,Prob_Illness_Given_Infection),0)</f>
        <v>0</v>
      </c>
      <c r="FF105" s="87">
        <f t="shared" ca="1" si="129"/>
        <v>6.6721876039859836E-5</v>
      </c>
      <c r="FG105" s="37">
        <f ca="1">INT(FF105) + _xll.RiskBinomial(1,FF105-INT(FF105))</f>
        <v>0</v>
      </c>
      <c r="FH105" s="30">
        <f t="shared" ca="1" si="96"/>
        <v>0</v>
      </c>
      <c r="FI105" s="35">
        <f ca="1">_xll.RiskBinomial(1,FH105)</f>
        <v>0</v>
      </c>
      <c r="FJ105" s="88">
        <f ca="1">IF(FI105=1,_xll.RiskBinomial(1,Prob_Illness_Given_Infection),0)</f>
        <v>0</v>
      </c>
      <c r="FL105" s="87" t="e">
        <f t="shared" ca="1" si="130"/>
        <v>#NAME?</v>
      </c>
      <c r="FM105" s="37" t="e">
        <f ca="1">INT(FL105) + _xll.RiskBinomial(1,FL105-INT(FL105))</f>
        <v>#NAME?</v>
      </c>
      <c r="FN105" s="30" t="e">
        <f t="shared" ca="1" si="97"/>
        <v>#NAME?</v>
      </c>
      <c r="FO105" s="35" t="e">
        <f ca="1">_xll.RiskBinomial(1,FN105)</f>
        <v>#VALUE!</v>
      </c>
      <c r="FP105" s="88" t="e">
        <f ca="1">IF(FO105=1,_xll.RiskBinomial(1,Prob_Illness_Given_Infection),0)</f>
        <v>#VALUE!</v>
      </c>
      <c r="FR105" s="87" t="e">
        <f t="shared" ca="1" si="131"/>
        <v>#NAME?</v>
      </c>
      <c r="FS105" s="37" t="e">
        <f ca="1">INT(FR105) + _xll.RiskBinomial(1,FR105-INT(FR105))</f>
        <v>#NAME?</v>
      </c>
      <c r="FT105" s="30" t="e">
        <f t="shared" ca="1" si="98"/>
        <v>#NAME?</v>
      </c>
      <c r="FU105" s="35" t="e">
        <f ca="1">_xll.RiskBinomial(1,FT105)</f>
        <v>#VALUE!</v>
      </c>
      <c r="FV105" s="88" t="e">
        <f ca="1">IF(FU105=1,_xll.RiskBinomial(1,Prob_Illness_Given_Infection),0)</f>
        <v>#VALUE!</v>
      </c>
      <c r="FX105" s="87">
        <f t="shared" ca="1" si="132"/>
        <v>1.3407927399523542E-7</v>
      </c>
      <c r="FY105" s="37">
        <f ca="1">INT(FX105) + _xll.RiskBinomial(1,FX105-INT(FX105))</f>
        <v>0</v>
      </c>
      <c r="FZ105" s="30">
        <f t="shared" ca="1" si="99"/>
        <v>0</v>
      </c>
      <c r="GA105" s="35">
        <f ca="1">_xll.RiskBinomial(1,FZ105)</f>
        <v>0</v>
      </c>
      <c r="GB105" s="88">
        <f ca="1">IF(GA105=1,_xll.RiskBinomial(1,Prob_Illness_Given_Infection),0)</f>
        <v>0</v>
      </c>
      <c r="GD105" s="87" t="e">
        <f t="shared" ca="1" si="133"/>
        <v>#NAME?</v>
      </c>
      <c r="GE105" s="37" t="e">
        <f ca="1">INT(GD105) + _xll.RiskBinomial(1,GD105-INT(GD105))</f>
        <v>#NAME?</v>
      </c>
      <c r="GF105" s="30" t="e">
        <f t="shared" ca="1" si="100"/>
        <v>#NAME?</v>
      </c>
      <c r="GG105" s="35" t="e">
        <f ca="1">_xll.RiskBinomial(1,GF105)</f>
        <v>#VALUE!</v>
      </c>
      <c r="GH105" s="88" t="e">
        <f ca="1">IF(GG105=1,_xll.RiskBinomial(1,Prob_Illness_Given_Infection),0)</f>
        <v>#VALUE!</v>
      </c>
      <c r="GJ105" s="87" t="e">
        <f t="shared" ca="1" si="134"/>
        <v>#NAME?</v>
      </c>
      <c r="GK105" s="37" t="e">
        <f ca="1">INT(GJ105) + _xll.RiskBinomial(1,GJ105-INT(GJ105))</f>
        <v>#NAME?</v>
      </c>
      <c r="GL105" s="30" t="e">
        <f t="shared" ca="1" si="101"/>
        <v>#NAME?</v>
      </c>
      <c r="GM105" s="35" t="e">
        <f ca="1">_xll.RiskBinomial(1,GL105)</f>
        <v>#VALUE!</v>
      </c>
      <c r="GN105" s="88" t="e">
        <f ca="1">IF(GM105=1,_xll.RiskBinomial(1,Prob_Illness_Given_Infection),0)</f>
        <v>#VALUE!</v>
      </c>
      <c r="GP105" s="87" t="e">
        <f t="shared" ca="1" si="135"/>
        <v>#NAME?</v>
      </c>
      <c r="GQ105" s="37" t="e">
        <f ca="1">INT(GP105) + _xll.RiskBinomial(1,GP105-INT(GP105))</f>
        <v>#NAME?</v>
      </c>
      <c r="GR105" s="30" t="e">
        <f t="shared" ca="1" si="102"/>
        <v>#NAME?</v>
      </c>
      <c r="GS105" s="35" t="e">
        <f ca="1">_xll.RiskBinomial(1,GR105)</f>
        <v>#VALUE!</v>
      </c>
      <c r="GT105" s="88" t="e">
        <f ca="1">IF(GS105=1,_xll.RiskBinomial(1,Prob_Illness_Given_Infection),0)</f>
        <v>#VALUE!</v>
      </c>
    </row>
    <row r="106" spans="2:202">
      <c r="B106" s="108">
        <v>98</v>
      </c>
      <c r="C106" s="87">
        <f ca="1">_xll.RiskLoglogistic(LogLogistic_gamma, LogLogistic_beta, LogLogistic_alpha, _xll.RiskTruncate(5,800))</f>
        <v>91.310852629698275</v>
      </c>
      <c r="D106" s="38">
        <f t="shared" ca="1" si="136"/>
        <v>5.8659586788706939</v>
      </c>
      <c r="E106" s="30"/>
      <c r="F106" s="87">
        <f t="shared" ca="1" si="103"/>
        <v>2.1178409763520024E-9</v>
      </c>
      <c r="G106" s="37">
        <f ca="1">INT(F106) + _xll.RiskBinomial(1,F106-INT(F106))</f>
        <v>0</v>
      </c>
      <c r="H106" s="30">
        <f t="shared" ca="1" si="137"/>
        <v>0</v>
      </c>
      <c r="I106" s="35">
        <f ca="1">_xll.RiskBinomial(1,H106)</f>
        <v>0</v>
      </c>
      <c r="J106" s="88">
        <f ca="1">IF(I106=1,_xll.RiskBinomial(1,Prob_Illness_Given_Infection),0)</f>
        <v>0</v>
      </c>
      <c r="K106" s="30"/>
      <c r="L106" s="87">
        <f t="shared" ca="1" si="104"/>
        <v>1.0817379877140921E-4</v>
      </c>
      <c r="M106" s="37">
        <f ca="1">INT(L106) + _xll.RiskBinomial(1,L106-INT(L106))</f>
        <v>0</v>
      </c>
      <c r="N106" s="30">
        <f t="shared" ca="1" si="71"/>
        <v>0</v>
      </c>
      <c r="O106" s="35">
        <f ca="1">_xll.RiskBinomial(1,N106)</f>
        <v>0</v>
      </c>
      <c r="P106" s="88">
        <f ca="1">IF(O106=1,_xll.RiskBinomial(1,Prob_Illness_Given_Infection),0)</f>
        <v>0</v>
      </c>
      <c r="Q106" s="30"/>
      <c r="R106" s="87">
        <f t="shared" ca="1" si="105"/>
        <v>1.1182549891676922E-5</v>
      </c>
      <c r="S106" s="37">
        <f ca="1">INT(R106) + _xll.RiskBinomial(1,R106-INT(R106))</f>
        <v>0</v>
      </c>
      <c r="T106" s="30">
        <f t="shared" ca="1" si="72"/>
        <v>0</v>
      </c>
      <c r="U106" s="35">
        <f ca="1">_xll.RiskBinomial(1,T106)</f>
        <v>0</v>
      </c>
      <c r="V106" s="88">
        <f ca="1">IF(U106=1,_xll.RiskBinomial(1,Prob_Illness_Given_Infection),0)</f>
        <v>0</v>
      </c>
      <c r="W106" s="30"/>
      <c r="X106" s="87">
        <f t="shared" ca="1" si="106"/>
        <v>4.5940828471593489E-12</v>
      </c>
      <c r="Y106" s="37">
        <f ca="1">INT(X106) + _xll.RiskBinomial(1,X106-INT(X106))</f>
        <v>0</v>
      </c>
      <c r="Z106" s="30">
        <f t="shared" ca="1" si="73"/>
        <v>0</v>
      </c>
      <c r="AA106" s="35">
        <f ca="1">_xll.RiskBinomial(1,Z106)</f>
        <v>0</v>
      </c>
      <c r="AB106" s="88">
        <f ca="1">IF(AA106=1,_xll.RiskBinomial(1,Prob_Illness_Given_Infection),0)</f>
        <v>0</v>
      </c>
      <c r="AC106" s="30"/>
      <c r="AD106" s="87">
        <f t="shared" ca="1" si="107"/>
        <v>2.3145803020277414E-12</v>
      </c>
      <c r="AE106" s="37">
        <f ca="1">INT(AD106) + _xll.RiskBinomial(1,AD106-INT(AD106))</f>
        <v>0</v>
      </c>
      <c r="AF106" s="30">
        <f t="shared" ca="1" si="74"/>
        <v>0</v>
      </c>
      <c r="AG106" s="35">
        <f ca="1">_xll.RiskBinomial(1,AF106)</f>
        <v>0</v>
      </c>
      <c r="AH106" s="88">
        <f ca="1">IF(AG106=1,_xll.RiskBinomial(1,Prob_Illness_Given_Infection),0)</f>
        <v>0</v>
      </c>
      <c r="AI106" s="30"/>
      <c r="AJ106" s="87">
        <f t="shared" ca="1" si="108"/>
        <v>1.0743685278989418E-4</v>
      </c>
      <c r="AK106" s="37">
        <f ca="1">INT(AJ106) + _xll.RiskBinomial(1,AJ106-INT(AJ106))</f>
        <v>0</v>
      </c>
      <c r="AL106" s="30">
        <f t="shared" ca="1" si="75"/>
        <v>0</v>
      </c>
      <c r="AM106" s="35">
        <f ca="1">_xll.RiskBinomial(1,AL106)</f>
        <v>0</v>
      </c>
      <c r="AN106" s="88">
        <f ca="1">IF(AM106=1,_xll.RiskBinomial(1,Prob_Illness_Given_Infection),0)</f>
        <v>0</v>
      </c>
      <c r="AO106" s="30"/>
      <c r="AP106" s="87">
        <f t="shared" ca="1" si="109"/>
        <v>2.6127604426091864E-9</v>
      </c>
      <c r="AQ106" s="37">
        <f ca="1">INT(AP106) + _xll.RiskBinomial(1,AP106-INT(AP106))</f>
        <v>0</v>
      </c>
      <c r="AR106" s="30">
        <f t="shared" ca="1" si="76"/>
        <v>0</v>
      </c>
      <c r="AS106" s="35">
        <f ca="1">_xll.RiskBinomial(1,AR106)</f>
        <v>0</v>
      </c>
      <c r="AT106" s="88">
        <f ca="1">IF(AS106=1,_xll.RiskBinomial(1,Prob_Illness_Given_Infection),0)</f>
        <v>0</v>
      </c>
      <c r="AU106" s="30"/>
      <c r="AV106" s="87">
        <f t="shared" ca="1" si="110"/>
        <v>6.0614682101930588E-5</v>
      </c>
      <c r="AW106" s="37">
        <f ca="1">INT(AV106) + _xll.RiskBinomial(1,AV106-INT(AV106))</f>
        <v>0</v>
      </c>
      <c r="AX106" s="30">
        <f t="shared" ca="1" si="77"/>
        <v>0</v>
      </c>
      <c r="AY106" s="35">
        <f ca="1">_xll.RiskBinomial(1,AX106)</f>
        <v>0</v>
      </c>
      <c r="AZ106" s="88">
        <f ca="1">IF(AY106=1,_xll.RiskBinomial(1,Prob_Illness_Given_Infection),0)</f>
        <v>0</v>
      </c>
      <c r="BB106" s="87">
        <f t="shared" ca="1" si="111"/>
        <v>8.319424994501094E-5</v>
      </c>
      <c r="BC106" s="37">
        <f ca="1">INT(BB106) + _xll.RiskBinomial(1,BB106-INT(BB106))</f>
        <v>0</v>
      </c>
      <c r="BD106" s="30">
        <f t="shared" ca="1" si="78"/>
        <v>0</v>
      </c>
      <c r="BE106" s="35">
        <f ca="1">_xll.RiskBinomial(1,BD106)</f>
        <v>0</v>
      </c>
      <c r="BF106" s="88">
        <f ca="1">IF(BE106=1,_xll.RiskBinomial(1,Prob_Illness_Given_Infection),0)</f>
        <v>0</v>
      </c>
      <c r="BH106" s="87">
        <f t="shared" ca="1" si="112"/>
        <v>1.0532987227462665E-4</v>
      </c>
      <c r="BI106" s="37">
        <f ca="1">INT(BH106) + _xll.RiskBinomial(1,BH106-INT(BH106))</f>
        <v>0</v>
      </c>
      <c r="BJ106" s="30">
        <f t="shared" ca="1" si="79"/>
        <v>0</v>
      </c>
      <c r="BK106" s="35">
        <f ca="1">_xll.RiskBinomial(1,BJ106)</f>
        <v>0</v>
      </c>
      <c r="BL106" s="88">
        <f ca="1">IF(BK106=1,_xll.RiskBinomial(1,Prob_Illness_Given_Infection),0)</f>
        <v>0</v>
      </c>
      <c r="BN106" s="87">
        <f t="shared" ca="1" si="113"/>
        <v>8.0162038678719308E-6</v>
      </c>
      <c r="BO106" s="37">
        <f ca="1">INT(BN106) + _xll.RiskBinomial(1,BN106-INT(BN106))</f>
        <v>0</v>
      </c>
      <c r="BP106" s="30">
        <f t="shared" ca="1" si="80"/>
        <v>0</v>
      </c>
      <c r="BQ106" s="35">
        <f ca="1">_xll.RiskBinomial(1,BP106)</f>
        <v>0</v>
      </c>
      <c r="BR106" s="88">
        <f ca="1">IF(BQ106=1,_xll.RiskBinomial(1,Prob_Illness_Given_Infection),0)</f>
        <v>0</v>
      </c>
      <c r="BT106" s="87">
        <f t="shared" ca="1" si="114"/>
        <v>2.4104640284404338E-5</v>
      </c>
      <c r="BU106" s="37">
        <f ca="1">INT(BT106) + _xll.RiskBinomial(1,BT106-INT(BT106))</f>
        <v>0</v>
      </c>
      <c r="BV106" s="30">
        <f t="shared" ca="1" si="81"/>
        <v>0</v>
      </c>
      <c r="BW106" s="35">
        <f ca="1">_xll.RiskBinomial(1,BV106)</f>
        <v>0</v>
      </c>
      <c r="BX106" s="88">
        <f ca="1">IF(BW106=1,_xll.RiskBinomial(1,Prob_Illness_Given_Infection),0)</f>
        <v>0</v>
      </c>
      <c r="BZ106" s="87">
        <f t="shared" ca="1" si="115"/>
        <v>6.6078944481425266E-5</v>
      </c>
      <c r="CA106" s="37">
        <f ca="1">INT(BZ106) + _xll.RiskBinomial(1,BZ106-INT(BZ106))</f>
        <v>0</v>
      </c>
      <c r="CB106" s="30">
        <f t="shared" ca="1" si="82"/>
        <v>0</v>
      </c>
      <c r="CC106" s="35">
        <f ca="1">_xll.RiskBinomial(1,CB106)</f>
        <v>0</v>
      </c>
      <c r="CD106" s="88">
        <f ca="1">IF(CC106=1,_xll.RiskBinomial(1,Prob_Illness_Given_Infection),0)</f>
        <v>0</v>
      </c>
      <c r="CF106" s="87">
        <f t="shared" ca="1" si="116"/>
        <v>1.2537818315907249E-5</v>
      </c>
      <c r="CG106" s="37">
        <f ca="1">INT(CF106) + _xll.RiskBinomial(1,CF106-INT(CF106))</f>
        <v>0</v>
      </c>
      <c r="CH106" s="30">
        <f t="shared" ca="1" si="83"/>
        <v>0</v>
      </c>
      <c r="CI106" s="35">
        <f ca="1">_xll.RiskBinomial(1,CH106)</f>
        <v>0</v>
      </c>
      <c r="CJ106" s="88">
        <f ca="1">IF(CI106=1,_xll.RiskBinomial(1,Prob_Illness_Given_Infection),0)</f>
        <v>0</v>
      </c>
      <c r="CL106" s="87">
        <f t="shared" ca="1" si="117"/>
        <v>2.4194479316941639E-5</v>
      </c>
      <c r="CM106" s="37">
        <f ca="1">INT(CL106) + _xll.RiskBinomial(1,CL106-INT(CL106))</f>
        <v>0</v>
      </c>
      <c r="CN106" s="30">
        <f t="shared" ca="1" si="84"/>
        <v>0</v>
      </c>
      <c r="CO106" s="35">
        <f ca="1">_xll.RiskBinomial(1,CN106)</f>
        <v>0</v>
      </c>
      <c r="CP106" s="88">
        <f ca="1">IF(CO106=1,_xll.RiskBinomial(1,Prob_Illness_Given_Infection),0)</f>
        <v>0</v>
      </c>
      <c r="CR106" s="87">
        <f t="shared" ca="1" si="118"/>
        <v>1.6674102853281408E-7</v>
      </c>
      <c r="CS106" s="37">
        <f ca="1">INT(CR106) + _xll.RiskBinomial(1,CR106-INT(CR106))</f>
        <v>0</v>
      </c>
      <c r="CT106" s="30">
        <f t="shared" ca="1" si="85"/>
        <v>0</v>
      </c>
      <c r="CU106" s="35">
        <f ca="1">_xll.RiskBinomial(1,CT106)</f>
        <v>0</v>
      </c>
      <c r="CV106" s="88">
        <f ca="1">IF(CU106=1,_xll.RiskBinomial(1,Prob_Illness_Given_Infection),0)</f>
        <v>0</v>
      </c>
      <c r="CX106" s="87">
        <f t="shared" ca="1" si="119"/>
        <v>1.6974047147678739E-9</v>
      </c>
      <c r="CY106" s="37">
        <f ca="1">INT(CX106) + _xll.RiskBinomial(1,CX106-INT(CX106))</f>
        <v>0</v>
      </c>
      <c r="CZ106" s="30">
        <f t="shared" ca="1" si="86"/>
        <v>0</v>
      </c>
      <c r="DA106" s="35">
        <f ca="1">_xll.RiskBinomial(1,CZ106)</f>
        <v>0</v>
      </c>
      <c r="DB106" s="88">
        <f ca="1">IF(DA106=1,_xll.RiskBinomial(1,Prob_Illness_Given_Infection),0)</f>
        <v>0</v>
      </c>
      <c r="DD106" s="87">
        <f t="shared" ca="1" si="120"/>
        <v>1.6974047147678739E-9</v>
      </c>
      <c r="DE106" s="37">
        <f ca="1">INT(DD106) + _xll.RiskBinomial(1,DD106-INT(DD106))</f>
        <v>0</v>
      </c>
      <c r="DF106" s="30">
        <f t="shared" ca="1" si="87"/>
        <v>0</v>
      </c>
      <c r="DG106" s="35">
        <f ca="1">_xll.RiskBinomial(1,DF106)</f>
        <v>0</v>
      </c>
      <c r="DH106" s="88">
        <f ca="1">IF(DG106=1,_xll.RiskBinomial(1,Prob_Illness_Given_Infection),0)</f>
        <v>0</v>
      </c>
      <c r="DJ106" s="87">
        <f t="shared" ca="1" si="121"/>
        <v>2.7716263794343161E-6</v>
      </c>
      <c r="DK106" s="37">
        <f ca="1">INT(DJ106) + _xll.RiskBinomial(1,DJ106-INT(DJ106))</f>
        <v>0</v>
      </c>
      <c r="DL106" s="30">
        <f t="shared" ca="1" si="88"/>
        <v>0</v>
      </c>
      <c r="DM106" s="35">
        <f ca="1">_xll.RiskBinomial(1,DL106)</f>
        <v>0</v>
      </c>
      <c r="DN106" s="88">
        <f ca="1">IF(DM106=1,_xll.RiskBinomial(1,Prob_Illness_Given_Infection),0)</f>
        <v>0</v>
      </c>
      <c r="DP106" s="87">
        <f t="shared" ca="1" si="122"/>
        <v>6.5519819166231899E-10</v>
      </c>
      <c r="DQ106" s="37">
        <f ca="1">INT(DP106) + _xll.RiskBinomial(1,DP106-INT(DP106))</f>
        <v>0</v>
      </c>
      <c r="DR106" s="30">
        <f t="shared" ca="1" si="89"/>
        <v>0</v>
      </c>
      <c r="DS106" s="35">
        <f ca="1">_xll.RiskBinomial(1,DR106)</f>
        <v>0</v>
      </c>
      <c r="DT106" s="88">
        <f ca="1">IF(DS106=1,_xll.RiskBinomial(1,Prob_Illness_Given_Infection),0)</f>
        <v>0</v>
      </c>
      <c r="DV106" s="87">
        <f t="shared" ca="1" si="123"/>
        <v>9.2239192388870918E-9</v>
      </c>
      <c r="DW106" s="37">
        <f ca="1">INT(DV106) + _xll.RiskBinomial(1,DV106-INT(DV106))</f>
        <v>0</v>
      </c>
      <c r="DX106" s="30">
        <f t="shared" ca="1" si="90"/>
        <v>0</v>
      </c>
      <c r="DY106" s="35">
        <f ca="1">_xll.RiskBinomial(1,DX106)</f>
        <v>0</v>
      </c>
      <c r="DZ106" s="88">
        <f ca="1">IF(DY106=1,_xll.RiskBinomial(1,Prob_Illness_Given_Infection),0)</f>
        <v>0</v>
      </c>
      <c r="EB106" s="87">
        <f t="shared" ca="1" si="124"/>
        <v>2.3145803020269639E-12</v>
      </c>
      <c r="EC106" s="37">
        <f ca="1">INT(EB106) + _xll.RiskBinomial(1,EB106-INT(EB106))</f>
        <v>0</v>
      </c>
      <c r="ED106" s="30">
        <f t="shared" ca="1" si="91"/>
        <v>0</v>
      </c>
      <c r="EE106" s="35">
        <f ca="1">_xll.RiskBinomial(1,ED106)</f>
        <v>0</v>
      </c>
      <c r="EF106" s="88">
        <f ca="1">IF(EE106=1,_xll.RiskBinomial(1,Prob_Illness_Given_Infection),0)</f>
        <v>0</v>
      </c>
      <c r="EH106" s="87">
        <f t="shared" ca="1" si="125"/>
        <v>2.3145803020245845E-12</v>
      </c>
      <c r="EI106" s="37">
        <f ca="1">INT(EH106) + _xll.RiskBinomial(1,EH106-INT(EH106))</f>
        <v>0</v>
      </c>
      <c r="EJ106" s="30">
        <f t="shared" ca="1" si="92"/>
        <v>0</v>
      </c>
      <c r="EK106" s="35">
        <f ca="1">_xll.RiskBinomial(1,EJ106)</f>
        <v>0</v>
      </c>
      <c r="EL106" s="88">
        <f ca="1">IF(EK106=1,_xll.RiskBinomial(1,Prob_Illness_Given_Infection),0)</f>
        <v>0</v>
      </c>
      <c r="EN106" s="87">
        <f t="shared" ca="1" si="126"/>
        <v>2.1119147876065912E-10</v>
      </c>
      <c r="EO106" s="37">
        <f ca="1">INT(EN106) + _xll.RiskBinomial(1,EN106-INT(EN106))</f>
        <v>0</v>
      </c>
      <c r="EP106" s="30">
        <f t="shared" ca="1" si="93"/>
        <v>0</v>
      </c>
      <c r="EQ106" s="35">
        <f ca="1">_xll.RiskBinomial(1,EP106)</f>
        <v>0</v>
      </c>
      <c r="ER106" s="88">
        <f ca="1">IF(EQ106=1,_xll.RiskBinomial(1,Prob_Illness_Given_Infection),0)</f>
        <v>0</v>
      </c>
      <c r="ET106" s="87">
        <f t="shared" ca="1" si="127"/>
        <v>2.3145803020223776E-12</v>
      </c>
      <c r="EU106" s="37">
        <f ca="1">INT(ET106) + _xll.RiskBinomial(1,ET106-INT(ET106))</f>
        <v>0</v>
      </c>
      <c r="EV106" s="30">
        <f t="shared" ca="1" si="94"/>
        <v>0</v>
      </c>
      <c r="EW106" s="35">
        <f ca="1">_xll.RiskBinomial(1,EV106)</f>
        <v>0</v>
      </c>
      <c r="EX106" s="88">
        <f ca="1">IF(EW106=1,_xll.RiskBinomial(1,Prob_Illness_Given_Infection),0)</f>
        <v>0</v>
      </c>
      <c r="EZ106" s="87">
        <f t="shared" ca="1" si="128"/>
        <v>1.7457035544439156E-5</v>
      </c>
      <c r="FA106" s="37">
        <f ca="1">INT(EZ106) + _xll.RiskBinomial(1,EZ106-INT(EZ106))</f>
        <v>0</v>
      </c>
      <c r="FB106" s="30">
        <f t="shared" ca="1" si="95"/>
        <v>0</v>
      </c>
      <c r="FC106" s="35">
        <f ca="1">_xll.RiskBinomial(1,FB106)</f>
        <v>0</v>
      </c>
      <c r="FD106" s="88">
        <f ca="1">IF(FC106=1,_xll.RiskBinomial(1,Prob_Illness_Given_Infection),0)</f>
        <v>0</v>
      </c>
      <c r="FF106" s="87">
        <f t="shared" ca="1" si="129"/>
        <v>1.2160374725390417E-4</v>
      </c>
      <c r="FG106" s="37">
        <f ca="1">INT(FF106) + _xll.RiskBinomial(1,FF106-INT(FF106))</f>
        <v>0</v>
      </c>
      <c r="FH106" s="30">
        <f t="shared" ca="1" si="96"/>
        <v>0</v>
      </c>
      <c r="FI106" s="35">
        <f ca="1">_xll.RiskBinomial(1,FH106)</f>
        <v>0</v>
      </c>
      <c r="FJ106" s="88">
        <f ca="1">IF(FI106=1,_xll.RiskBinomial(1,Prob_Illness_Given_Infection),0)</f>
        <v>0</v>
      </c>
      <c r="FL106" s="87" t="e">
        <f t="shared" ca="1" si="130"/>
        <v>#NAME?</v>
      </c>
      <c r="FM106" s="37" t="e">
        <f ca="1">INT(FL106) + _xll.RiskBinomial(1,FL106-INT(FL106))</f>
        <v>#NAME?</v>
      </c>
      <c r="FN106" s="30" t="e">
        <f t="shared" ca="1" si="97"/>
        <v>#NAME?</v>
      </c>
      <c r="FO106" s="35" t="e">
        <f ca="1">_xll.RiskBinomial(1,FN106)</f>
        <v>#VALUE!</v>
      </c>
      <c r="FP106" s="88" t="e">
        <f ca="1">IF(FO106=1,_xll.RiskBinomial(1,Prob_Illness_Given_Infection),0)</f>
        <v>#VALUE!</v>
      </c>
      <c r="FR106" s="87" t="e">
        <f t="shared" ca="1" si="131"/>
        <v>#NAME?</v>
      </c>
      <c r="FS106" s="37" t="e">
        <f ca="1">INT(FR106) + _xll.RiskBinomial(1,FR106-INT(FR106))</f>
        <v>#NAME?</v>
      </c>
      <c r="FT106" s="30" t="e">
        <f t="shared" ca="1" si="98"/>
        <v>#NAME?</v>
      </c>
      <c r="FU106" s="35" t="e">
        <f ca="1">_xll.RiskBinomial(1,FT106)</f>
        <v>#VALUE!</v>
      </c>
      <c r="FV106" s="88" t="e">
        <f ca="1">IF(FU106=1,_xll.RiskBinomial(1,Prob_Illness_Given_Infection),0)</f>
        <v>#VALUE!</v>
      </c>
      <c r="FX106" s="87">
        <f t="shared" ca="1" si="132"/>
        <v>2.4436576299448168E-7</v>
      </c>
      <c r="FY106" s="37">
        <f ca="1">INT(FX106) + _xll.RiskBinomial(1,FX106-INT(FX106))</f>
        <v>0</v>
      </c>
      <c r="FZ106" s="30">
        <f t="shared" ca="1" si="99"/>
        <v>0</v>
      </c>
      <c r="GA106" s="35">
        <f ca="1">_xll.RiskBinomial(1,FZ106)</f>
        <v>0</v>
      </c>
      <c r="GB106" s="88">
        <f ca="1">IF(GA106=1,_xll.RiskBinomial(1,Prob_Illness_Given_Infection),0)</f>
        <v>0</v>
      </c>
      <c r="GD106" s="87" t="e">
        <f t="shared" ca="1" si="133"/>
        <v>#NAME?</v>
      </c>
      <c r="GE106" s="37" t="e">
        <f ca="1">INT(GD106) + _xll.RiskBinomial(1,GD106-INT(GD106))</f>
        <v>#NAME?</v>
      </c>
      <c r="GF106" s="30" t="e">
        <f t="shared" ca="1" si="100"/>
        <v>#NAME?</v>
      </c>
      <c r="GG106" s="35" t="e">
        <f ca="1">_xll.RiskBinomial(1,GF106)</f>
        <v>#VALUE!</v>
      </c>
      <c r="GH106" s="88" t="e">
        <f ca="1">IF(GG106=1,_xll.RiskBinomial(1,Prob_Illness_Given_Infection),0)</f>
        <v>#VALUE!</v>
      </c>
      <c r="GJ106" s="87" t="e">
        <f t="shared" ca="1" si="134"/>
        <v>#NAME?</v>
      </c>
      <c r="GK106" s="37" t="e">
        <f ca="1">INT(GJ106) + _xll.RiskBinomial(1,GJ106-INT(GJ106))</f>
        <v>#NAME?</v>
      </c>
      <c r="GL106" s="30" t="e">
        <f t="shared" ca="1" si="101"/>
        <v>#NAME?</v>
      </c>
      <c r="GM106" s="35" t="e">
        <f ca="1">_xll.RiskBinomial(1,GL106)</f>
        <v>#VALUE!</v>
      </c>
      <c r="GN106" s="88" t="e">
        <f ca="1">IF(GM106=1,_xll.RiskBinomial(1,Prob_Illness_Given_Infection),0)</f>
        <v>#VALUE!</v>
      </c>
      <c r="GP106" s="87" t="e">
        <f t="shared" ca="1" si="135"/>
        <v>#NAME?</v>
      </c>
      <c r="GQ106" s="37" t="e">
        <f ca="1">INT(GP106) + _xll.RiskBinomial(1,GP106-INT(GP106))</f>
        <v>#NAME?</v>
      </c>
      <c r="GR106" s="30" t="e">
        <f t="shared" ca="1" si="102"/>
        <v>#NAME?</v>
      </c>
      <c r="GS106" s="35" t="e">
        <f ca="1">_xll.RiskBinomial(1,GR106)</f>
        <v>#VALUE!</v>
      </c>
      <c r="GT106" s="88" t="e">
        <f ca="1">IF(GS106=1,_xll.RiskBinomial(1,Prob_Illness_Given_Infection),0)</f>
        <v>#VALUE!</v>
      </c>
    </row>
    <row r="107" spans="2:202">
      <c r="B107" s="108">
        <v>99</v>
      </c>
      <c r="C107" s="87">
        <f ca="1">_xll.RiskLoglogistic(LogLogistic_gamma, LogLogistic_beta, LogLogistic_alpha, _xll.RiskTruncate(5,800))</f>
        <v>82.153101743016933</v>
      </c>
      <c r="D107" s="38">
        <f t="shared" ca="1" si="136"/>
        <v>5.2776497676559888</v>
      </c>
      <c r="E107" s="30"/>
      <c r="F107" s="87">
        <f t="shared" ca="1" si="103"/>
        <v>1.9054384029395003E-9</v>
      </c>
      <c r="G107" s="37">
        <f ca="1">INT(F107) + _xll.RiskBinomial(1,F107-INT(F107))</f>
        <v>0</v>
      </c>
      <c r="H107" s="30">
        <f t="shared" ca="1" si="137"/>
        <v>0</v>
      </c>
      <c r="I107" s="35">
        <f ca="1">_xll.RiskBinomial(1,H107)</f>
        <v>0</v>
      </c>
      <c r="J107" s="88">
        <f ca="1">IF(I107=1,_xll.RiskBinomial(1,Prob_Illness_Given_Infection),0)</f>
        <v>0</v>
      </c>
      <c r="K107" s="30"/>
      <c r="L107" s="87">
        <f t="shared" ca="1" si="104"/>
        <v>9.7324828763080046E-5</v>
      </c>
      <c r="M107" s="37">
        <f ca="1">INT(L107) + _xll.RiskBinomial(1,L107-INT(L107))</f>
        <v>0</v>
      </c>
      <c r="N107" s="30">
        <f t="shared" ca="1" si="71"/>
        <v>0</v>
      </c>
      <c r="O107" s="35">
        <f ca="1">_xll.RiskBinomial(1,N107)</f>
        <v>0</v>
      </c>
      <c r="P107" s="88">
        <f ca="1">IF(O107=1,_xll.RiskBinomial(1,Prob_Illness_Given_Infection),0)</f>
        <v>0</v>
      </c>
      <c r="Q107" s="30"/>
      <c r="R107" s="87">
        <f t="shared" ca="1" si="105"/>
        <v>1.0061029248329481E-5</v>
      </c>
      <c r="S107" s="37">
        <f ca="1">INT(R107) + _xll.RiskBinomial(1,R107-INT(R107))</f>
        <v>0</v>
      </c>
      <c r="T107" s="30">
        <f t="shared" ca="1" si="72"/>
        <v>0</v>
      </c>
      <c r="U107" s="35">
        <f ca="1">_xll.RiskBinomial(1,T107)</f>
        <v>0</v>
      </c>
      <c r="V107" s="88">
        <f ca="1">IF(U107=1,_xll.RiskBinomial(1,Prob_Illness_Given_Infection),0)</f>
        <v>0</v>
      </c>
      <c r="W107" s="30"/>
      <c r="X107" s="87">
        <f t="shared" ca="1" si="106"/>
        <v>4.1333329466225798E-12</v>
      </c>
      <c r="Y107" s="37">
        <f ca="1">INT(X107) + _xll.RiskBinomial(1,X107-INT(X107))</f>
        <v>0</v>
      </c>
      <c r="Z107" s="30">
        <f t="shared" ca="1" si="73"/>
        <v>0</v>
      </c>
      <c r="AA107" s="35">
        <f ca="1">_xll.RiskBinomial(1,Z107)</f>
        <v>0</v>
      </c>
      <c r="AB107" s="88">
        <f ca="1">IF(AA107=1,_xll.RiskBinomial(1,Prob_Illness_Given_Infection),0)</f>
        <v>0</v>
      </c>
      <c r="AC107" s="30"/>
      <c r="AD107" s="87">
        <f t="shared" ca="1" si="107"/>
        <v>2.0824463420137075E-12</v>
      </c>
      <c r="AE107" s="37">
        <f ca="1">INT(AD107) + _xll.RiskBinomial(1,AD107-INT(AD107))</f>
        <v>0</v>
      </c>
      <c r="AF107" s="30">
        <f t="shared" ca="1" si="74"/>
        <v>0</v>
      </c>
      <c r="AG107" s="35">
        <f ca="1">_xll.RiskBinomial(1,AF107)</f>
        <v>0</v>
      </c>
      <c r="AH107" s="88">
        <f ca="1">IF(AG107=1,_xll.RiskBinomial(1,Prob_Illness_Given_Infection),0)</f>
        <v>0</v>
      </c>
      <c r="AI107" s="30"/>
      <c r="AJ107" s="87">
        <f t="shared" ca="1" si="108"/>
        <v>9.6661792590983E-5</v>
      </c>
      <c r="AK107" s="37">
        <f ca="1">INT(AJ107) + _xll.RiskBinomial(1,AJ107-INT(AJ107))</f>
        <v>0</v>
      </c>
      <c r="AL107" s="30">
        <f t="shared" ca="1" si="75"/>
        <v>0</v>
      </c>
      <c r="AM107" s="35">
        <f ca="1">_xll.RiskBinomial(1,AL107)</f>
        <v>0</v>
      </c>
      <c r="AN107" s="88">
        <f ca="1">IF(AM107=1,_xll.RiskBinomial(1,Prob_Illness_Given_Infection),0)</f>
        <v>0</v>
      </c>
      <c r="AO107" s="30"/>
      <c r="AP107" s="87">
        <f t="shared" ca="1" si="109"/>
        <v>2.3507213906136507E-9</v>
      </c>
      <c r="AQ107" s="37">
        <f ca="1">INT(AP107) + _xll.RiskBinomial(1,AP107-INT(AP107))</f>
        <v>0</v>
      </c>
      <c r="AR107" s="30">
        <f t="shared" ca="1" si="76"/>
        <v>0</v>
      </c>
      <c r="AS107" s="35">
        <f ca="1">_xll.RiskBinomial(1,AR107)</f>
        <v>0</v>
      </c>
      <c r="AT107" s="88">
        <f ca="1">IF(AS107=1,_xll.RiskBinomial(1,Prob_Illness_Given_Infection),0)</f>
        <v>0</v>
      </c>
      <c r="AU107" s="30"/>
      <c r="AV107" s="87">
        <f t="shared" ca="1" si="110"/>
        <v>5.4535512509505584E-5</v>
      </c>
      <c r="AW107" s="37">
        <f ca="1">INT(AV107) + _xll.RiskBinomial(1,AV107-INT(AV107))</f>
        <v>0</v>
      </c>
      <c r="AX107" s="30">
        <f t="shared" ca="1" si="77"/>
        <v>0</v>
      </c>
      <c r="AY107" s="35">
        <f ca="1">_xll.RiskBinomial(1,AX107)</f>
        <v>0</v>
      </c>
      <c r="AZ107" s="88">
        <f ca="1">IF(AY107=1,_xll.RiskBinomial(1,Prob_Illness_Given_Infection),0)</f>
        <v>0</v>
      </c>
      <c r="BB107" s="87">
        <f t="shared" ca="1" si="111"/>
        <v>7.4850529628539826E-5</v>
      </c>
      <c r="BC107" s="37">
        <f ca="1">INT(BB107) + _xll.RiskBinomial(1,BB107-INT(BB107))</f>
        <v>0</v>
      </c>
      <c r="BD107" s="30">
        <f t="shared" ca="1" si="78"/>
        <v>0</v>
      </c>
      <c r="BE107" s="35">
        <f ca="1">_xll.RiskBinomial(1,BD107)</f>
        <v>0</v>
      </c>
      <c r="BF107" s="88">
        <f ca="1">IF(BE107=1,_xll.RiskBinomial(1,Prob_Illness_Given_Infection),0)</f>
        <v>0</v>
      </c>
      <c r="BH107" s="87">
        <f t="shared" ca="1" si="112"/>
        <v>9.4766125431425345E-5</v>
      </c>
      <c r="BI107" s="37">
        <f ca="1">INT(BH107) + _xll.RiskBinomial(1,BH107-INT(BH107))</f>
        <v>0</v>
      </c>
      <c r="BJ107" s="30">
        <f t="shared" ca="1" si="79"/>
        <v>0</v>
      </c>
      <c r="BK107" s="35">
        <f ca="1">_xll.RiskBinomial(1,BJ107)</f>
        <v>0</v>
      </c>
      <c r="BL107" s="88">
        <f ca="1">IF(BK107=1,_xll.RiskBinomial(1,Prob_Illness_Given_Infection),0)</f>
        <v>0</v>
      </c>
      <c r="BN107" s="87">
        <f t="shared" ca="1" si="113"/>
        <v>7.212242498936621E-6</v>
      </c>
      <c r="BO107" s="37">
        <f ca="1">INT(BN107) + _xll.RiskBinomial(1,BN107-INT(BN107))</f>
        <v>0</v>
      </c>
      <c r="BP107" s="30">
        <f t="shared" ca="1" si="80"/>
        <v>0</v>
      </c>
      <c r="BQ107" s="35">
        <f ca="1">_xll.RiskBinomial(1,BP107)</f>
        <v>0</v>
      </c>
      <c r="BR107" s="88">
        <f ca="1">IF(BQ107=1,_xll.RiskBinomial(1,Prob_Illness_Given_Infection),0)</f>
        <v>0</v>
      </c>
      <c r="BT107" s="87">
        <f t="shared" ca="1" si="114"/>
        <v>2.1687136947393083E-5</v>
      </c>
      <c r="BU107" s="37">
        <f ca="1">INT(BT107) + _xll.RiskBinomial(1,BT107-INT(BT107))</f>
        <v>0</v>
      </c>
      <c r="BV107" s="30">
        <f t="shared" ca="1" si="81"/>
        <v>0</v>
      </c>
      <c r="BW107" s="35">
        <f ca="1">_xll.RiskBinomial(1,BV107)</f>
        <v>0</v>
      </c>
      <c r="BX107" s="88">
        <f ca="1">IF(BW107=1,_xll.RiskBinomial(1,Prob_Illness_Given_Infection),0)</f>
        <v>0</v>
      </c>
      <c r="BZ107" s="87">
        <f t="shared" ca="1" si="115"/>
        <v>5.9451752915601221E-5</v>
      </c>
      <c r="CA107" s="37">
        <f ca="1">INT(BZ107) + _xll.RiskBinomial(1,BZ107-INT(BZ107))</f>
        <v>0</v>
      </c>
      <c r="CB107" s="30">
        <f t="shared" ca="1" si="82"/>
        <v>0</v>
      </c>
      <c r="CC107" s="35">
        <f ca="1">_xll.RiskBinomial(1,CB107)</f>
        <v>0</v>
      </c>
      <c r="CD107" s="88">
        <f ca="1">IF(CC107=1,_xll.RiskBinomial(1,Prob_Illness_Given_Infection),0)</f>
        <v>0</v>
      </c>
      <c r="CF107" s="87">
        <f t="shared" ca="1" si="116"/>
        <v>1.1280375049385771E-5</v>
      </c>
      <c r="CG107" s="37">
        <f ca="1">INT(CF107) + _xll.RiskBinomial(1,CF107-INT(CF107))</f>
        <v>0</v>
      </c>
      <c r="CH107" s="30">
        <f t="shared" ca="1" si="83"/>
        <v>0</v>
      </c>
      <c r="CI107" s="35">
        <f ca="1">_xll.RiskBinomial(1,CH107)</f>
        <v>0</v>
      </c>
      <c r="CJ107" s="88">
        <f ca="1">IF(CI107=1,_xll.RiskBinomial(1,Prob_Illness_Given_Infection),0)</f>
        <v>0</v>
      </c>
      <c r="CL107" s="87">
        <f t="shared" ca="1" si="117"/>
        <v>2.1767965840870423E-5</v>
      </c>
      <c r="CM107" s="37">
        <f ca="1">INT(CL107) + _xll.RiskBinomial(1,CL107-INT(CL107))</f>
        <v>0</v>
      </c>
      <c r="CN107" s="30">
        <f t="shared" ca="1" si="84"/>
        <v>0</v>
      </c>
      <c r="CO107" s="35">
        <f ca="1">_xll.RiskBinomial(1,CN107)</f>
        <v>0</v>
      </c>
      <c r="CP107" s="88">
        <f ca="1">IF(CO107=1,_xll.RiskBinomial(1,Prob_Illness_Given_Infection),0)</f>
        <v>0</v>
      </c>
      <c r="CR107" s="87">
        <f t="shared" ca="1" si="118"/>
        <v>1.5001823208620747E-7</v>
      </c>
      <c r="CS107" s="37">
        <f ca="1">INT(CR107) + _xll.RiskBinomial(1,CR107-INT(CR107))</f>
        <v>0</v>
      </c>
      <c r="CT107" s="30">
        <f t="shared" ca="1" si="85"/>
        <v>0</v>
      </c>
      <c r="CU107" s="35">
        <f ca="1">_xll.RiskBinomial(1,CT107)</f>
        <v>0</v>
      </c>
      <c r="CV107" s="88">
        <f ca="1">IF(CU107=1,_xll.RiskBinomial(1,Prob_Illness_Given_Infection),0)</f>
        <v>0</v>
      </c>
      <c r="CX107" s="87">
        <f t="shared" ca="1" si="119"/>
        <v>1.5271685480466921E-9</v>
      </c>
      <c r="CY107" s="37">
        <f ca="1">INT(CX107) + _xll.RiskBinomial(1,CX107-INT(CX107))</f>
        <v>0</v>
      </c>
      <c r="CZ107" s="30">
        <f t="shared" ca="1" si="86"/>
        <v>0</v>
      </c>
      <c r="DA107" s="35">
        <f ca="1">_xll.RiskBinomial(1,CZ107)</f>
        <v>0</v>
      </c>
      <c r="DB107" s="88">
        <f ca="1">IF(DA107=1,_xll.RiskBinomial(1,Prob_Illness_Given_Infection),0)</f>
        <v>0</v>
      </c>
      <c r="DD107" s="87">
        <f t="shared" ca="1" si="120"/>
        <v>1.5271685480466921E-9</v>
      </c>
      <c r="DE107" s="37">
        <f ca="1">INT(DD107) + _xll.RiskBinomial(1,DD107-INT(DD107))</f>
        <v>0</v>
      </c>
      <c r="DF107" s="30">
        <f t="shared" ca="1" si="87"/>
        <v>0</v>
      </c>
      <c r="DG107" s="35">
        <f ca="1">_xll.RiskBinomial(1,DF107)</f>
        <v>0</v>
      </c>
      <c r="DH107" s="88">
        <f ca="1">IF(DG107=1,_xll.RiskBinomial(1,Prob_Illness_Given_Infection),0)</f>
        <v>0</v>
      </c>
      <c r="DJ107" s="87">
        <f t="shared" ca="1" si="121"/>
        <v>2.4936543399359282E-6</v>
      </c>
      <c r="DK107" s="37">
        <f ca="1">INT(DJ107) + _xll.RiskBinomial(1,DJ107-INT(DJ107))</f>
        <v>0</v>
      </c>
      <c r="DL107" s="30">
        <f t="shared" ca="1" si="88"/>
        <v>0</v>
      </c>
      <c r="DM107" s="35">
        <f ca="1">_xll.RiskBinomial(1,DL107)</f>
        <v>0</v>
      </c>
      <c r="DN107" s="88">
        <f ca="1">IF(DM107=1,_xll.RiskBinomial(1,Prob_Illness_Given_Infection),0)</f>
        <v>0</v>
      </c>
      <c r="DP107" s="87">
        <f t="shared" ca="1" si="122"/>
        <v>5.894870341399972E-10</v>
      </c>
      <c r="DQ107" s="37">
        <f ca="1">INT(DP107) + _xll.RiskBinomial(1,DP107-INT(DP107))</f>
        <v>0</v>
      </c>
      <c r="DR107" s="30">
        <f t="shared" ca="1" si="89"/>
        <v>0</v>
      </c>
      <c r="DS107" s="35">
        <f ca="1">_xll.RiskBinomial(1,DR107)</f>
        <v>0</v>
      </c>
      <c r="DT107" s="88">
        <f ca="1">IF(DS107=1,_xll.RiskBinomial(1,Prob_Illness_Given_Infection),0)</f>
        <v>0</v>
      </c>
      <c r="DV107" s="87">
        <f t="shared" ca="1" si="123"/>
        <v>8.2988336422039016E-9</v>
      </c>
      <c r="DW107" s="37">
        <f ca="1">INT(DV107) + _xll.RiskBinomial(1,DV107-INT(DV107))</f>
        <v>0</v>
      </c>
      <c r="DX107" s="30">
        <f t="shared" ca="1" si="90"/>
        <v>0</v>
      </c>
      <c r="DY107" s="35">
        <f ca="1">_xll.RiskBinomial(1,DX107)</f>
        <v>0</v>
      </c>
      <c r="DZ107" s="88">
        <f ca="1">IF(DY107=1,_xll.RiskBinomial(1,Prob_Illness_Given_Infection),0)</f>
        <v>0</v>
      </c>
      <c r="EB107" s="87">
        <f t="shared" ca="1" si="124"/>
        <v>2.0824463420130083E-12</v>
      </c>
      <c r="EC107" s="37">
        <f ca="1">INT(EB107) + _xll.RiskBinomial(1,EB107-INT(EB107))</f>
        <v>0</v>
      </c>
      <c r="ED107" s="30">
        <f t="shared" ca="1" si="91"/>
        <v>0</v>
      </c>
      <c r="EE107" s="35">
        <f ca="1">_xll.RiskBinomial(1,ED107)</f>
        <v>0</v>
      </c>
      <c r="EF107" s="88">
        <f ca="1">IF(EE107=1,_xll.RiskBinomial(1,Prob_Illness_Given_Infection),0)</f>
        <v>0</v>
      </c>
      <c r="EH107" s="87">
        <f t="shared" ca="1" si="125"/>
        <v>2.0824463420108677E-12</v>
      </c>
      <c r="EI107" s="37">
        <f ca="1">INT(EH107) + _xll.RiskBinomial(1,EH107-INT(EH107))</f>
        <v>0</v>
      </c>
      <c r="EJ107" s="30">
        <f t="shared" ca="1" si="92"/>
        <v>0</v>
      </c>
      <c r="EK107" s="35">
        <f ca="1">_xll.RiskBinomial(1,EJ107)</f>
        <v>0</v>
      </c>
      <c r="EL107" s="88">
        <f ca="1">IF(EK107=1,_xll.RiskBinomial(1,Prob_Illness_Given_Infection),0)</f>
        <v>0</v>
      </c>
      <c r="EN107" s="87">
        <f t="shared" ca="1" si="126"/>
        <v>1.9001065637010205E-10</v>
      </c>
      <c r="EO107" s="37">
        <f ca="1">INT(EN107) + _xll.RiskBinomial(1,EN107-INT(EN107))</f>
        <v>0</v>
      </c>
      <c r="EP107" s="30">
        <f t="shared" ca="1" si="93"/>
        <v>0</v>
      </c>
      <c r="EQ107" s="35">
        <f ca="1">_xll.RiskBinomial(1,EP107)</f>
        <v>0</v>
      </c>
      <c r="ER107" s="88">
        <f ca="1">IF(EQ107=1,_xll.RiskBinomial(1,Prob_Illness_Given_Infection),0)</f>
        <v>0</v>
      </c>
      <c r="ET107" s="87">
        <f t="shared" ca="1" si="127"/>
        <v>2.0824463420088817E-12</v>
      </c>
      <c r="EU107" s="37">
        <f ca="1">INT(ET107) + _xll.RiskBinomial(1,ET107-INT(ET107))</f>
        <v>0</v>
      </c>
      <c r="EV107" s="30">
        <f t="shared" ca="1" si="94"/>
        <v>0</v>
      </c>
      <c r="EW107" s="35">
        <f ca="1">_xll.RiskBinomial(1,EV107)</f>
        <v>0</v>
      </c>
      <c r="EX107" s="88">
        <f ca="1">IF(EW107=1,_xll.RiskBinomial(1,Prob_Illness_Given_Infection),0)</f>
        <v>0</v>
      </c>
      <c r="EZ107" s="87">
        <f t="shared" ca="1" si="128"/>
        <v>1.5706233989839286E-5</v>
      </c>
      <c r="FA107" s="37">
        <f ca="1">INT(EZ107) + _xll.RiskBinomial(1,EZ107-INT(EZ107))</f>
        <v>0</v>
      </c>
      <c r="FB107" s="30">
        <f t="shared" ca="1" si="95"/>
        <v>0</v>
      </c>
      <c r="FC107" s="35">
        <f ca="1">_xll.RiskBinomial(1,FB107)</f>
        <v>0</v>
      </c>
      <c r="FD107" s="88">
        <f ca="1">IF(FC107=1,_xll.RiskBinomial(1,Prob_Illness_Given_Infection),0)</f>
        <v>0</v>
      </c>
      <c r="FF107" s="87">
        <f t="shared" ca="1" si="129"/>
        <v>1.0940786043249455E-4</v>
      </c>
      <c r="FG107" s="37">
        <f ca="1">INT(FF107) + _xll.RiskBinomial(1,FF107-INT(FF107))</f>
        <v>0</v>
      </c>
      <c r="FH107" s="30">
        <f t="shared" ca="1" si="96"/>
        <v>0</v>
      </c>
      <c r="FI107" s="35">
        <f ca="1">_xll.RiskBinomial(1,FH107)</f>
        <v>0</v>
      </c>
      <c r="FJ107" s="88">
        <f ca="1">IF(FI107=1,_xll.RiskBinomial(1,Prob_Illness_Given_Infection),0)</f>
        <v>0</v>
      </c>
      <c r="FL107" s="87" t="e">
        <f t="shared" ca="1" si="130"/>
        <v>#NAME?</v>
      </c>
      <c r="FM107" s="37" t="e">
        <f ca="1">INT(FL107) + _xll.RiskBinomial(1,FL107-INT(FL107))</f>
        <v>#NAME?</v>
      </c>
      <c r="FN107" s="30" t="e">
        <f t="shared" ca="1" si="97"/>
        <v>#NAME?</v>
      </c>
      <c r="FO107" s="35" t="e">
        <f ca="1">_xll.RiskBinomial(1,FN107)</f>
        <v>#VALUE!</v>
      </c>
      <c r="FP107" s="88" t="e">
        <f ca="1">IF(FO107=1,_xll.RiskBinomial(1,Prob_Illness_Given_Infection),0)</f>
        <v>#VALUE!</v>
      </c>
      <c r="FR107" s="87" t="e">
        <f t="shared" ca="1" si="131"/>
        <v>#NAME?</v>
      </c>
      <c r="FS107" s="37" t="e">
        <f ca="1">INT(FR107) + _xll.RiskBinomial(1,FR107-INT(FR107))</f>
        <v>#NAME?</v>
      </c>
      <c r="FT107" s="30" t="e">
        <f t="shared" ca="1" si="98"/>
        <v>#NAME?</v>
      </c>
      <c r="FU107" s="35" t="e">
        <f ca="1">_xll.RiskBinomial(1,FT107)</f>
        <v>#VALUE!</v>
      </c>
      <c r="FV107" s="88" t="e">
        <f ca="1">IF(FU107=1,_xll.RiskBinomial(1,Prob_Illness_Given_Infection),0)</f>
        <v>#VALUE!</v>
      </c>
      <c r="FX107" s="87">
        <f t="shared" ca="1" si="132"/>
        <v>2.1985782425238485E-7</v>
      </c>
      <c r="FY107" s="37">
        <f ca="1">INT(FX107) + _xll.RiskBinomial(1,FX107-INT(FX107))</f>
        <v>0</v>
      </c>
      <c r="FZ107" s="30">
        <f t="shared" ca="1" si="99"/>
        <v>0</v>
      </c>
      <c r="GA107" s="35">
        <f ca="1">_xll.RiskBinomial(1,FZ107)</f>
        <v>0</v>
      </c>
      <c r="GB107" s="88">
        <f ca="1">IF(GA107=1,_xll.RiskBinomial(1,Prob_Illness_Given_Infection),0)</f>
        <v>0</v>
      </c>
      <c r="GD107" s="87" t="e">
        <f t="shared" ca="1" si="133"/>
        <v>#NAME?</v>
      </c>
      <c r="GE107" s="37" t="e">
        <f ca="1">INT(GD107) + _xll.RiskBinomial(1,GD107-INT(GD107))</f>
        <v>#NAME?</v>
      </c>
      <c r="GF107" s="30" t="e">
        <f t="shared" ca="1" si="100"/>
        <v>#NAME?</v>
      </c>
      <c r="GG107" s="35" t="e">
        <f ca="1">_xll.RiskBinomial(1,GF107)</f>
        <v>#VALUE!</v>
      </c>
      <c r="GH107" s="88" t="e">
        <f ca="1">IF(GG107=1,_xll.RiskBinomial(1,Prob_Illness_Given_Infection),0)</f>
        <v>#VALUE!</v>
      </c>
      <c r="GJ107" s="87" t="e">
        <f t="shared" ca="1" si="134"/>
        <v>#NAME?</v>
      </c>
      <c r="GK107" s="37" t="e">
        <f ca="1">INT(GJ107) + _xll.RiskBinomial(1,GJ107-INT(GJ107))</f>
        <v>#NAME?</v>
      </c>
      <c r="GL107" s="30" t="e">
        <f t="shared" ca="1" si="101"/>
        <v>#NAME?</v>
      </c>
      <c r="GM107" s="35" t="e">
        <f ca="1">_xll.RiskBinomial(1,GL107)</f>
        <v>#VALUE!</v>
      </c>
      <c r="GN107" s="88" t="e">
        <f ca="1">IF(GM107=1,_xll.RiskBinomial(1,Prob_Illness_Given_Infection),0)</f>
        <v>#VALUE!</v>
      </c>
      <c r="GP107" s="87" t="e">
        <f t="shared" ca="1" si="135"/>
        <v>#NAME?</v>
      </c>
      <c r="GQ107" s="37" t="e">
        <f ca="1">INT(GP107) + _xll.RiskBinomial(1,GP107-INT(GP107))</f>
        <v>#NAME?</v>
      </c>
      <c r="GR107" s="30" t="e">
        <f t="shared" ca="1" si="102"/>
        <v>#NAME?</v>
      </c>
      <c r="GS107" s="35" t="e">
        <f ca="1">_xll.RiskBinomial(1,GR107)</f>
        <v>#VALUE!</v>
      </c>
      <c r="GT107" s="88" t="e">
        <f ca="1">IF(GS107=1,_xll.RiskBinomial(1,Prob_Illness_Given_Infection),0)</f>
        <v>#VALUE!</v>
      </c>
    </row>
    <row r="108" spans="2:202" ht="12" thickBot="1">
      <c r="B108" s="109">
        <v>100</v>
      </c>
      <c r="C108" s="87">
        <f ca="1">_xll.RiskLoglogistic(LogLogistic_gamma, LogLogistic_beta, LogLogistic_alpha, _xll.RiskTruncate(5,800))</f>
        <v>74.035853853108435</v>
      </c>
      <c r="D108" s="38">
        <f t="shared" ca="1" si="136"/>
        <v>4.7561844726000642</v>
      </c>
      <c r="E108" s="30"/>
      <c r="F108" s="87">
        <f t="shared" ca="1" si="103"/>
        <v>1.7171689946340983E-9</v>
      </c>
      <c r="G108" s="56">
        <f ca="1">INT(F108) + _xll.RiskBinomial(1,F108-INT(F108))</f>
        <v>0</v>
      </c>
      <c r="H108" s="53">
        <f t="shared" ca="1" si="137"/>
        <v>0</v>
      </c>
      <c r="I108" s="54">
        <f ca="1">_xll.RiskBinomial(1,H108)</f>
        <v>0</v>
      </c>
      <c r="J108" s="89">
        <f ca="1">IF(I108=1,_xll.RiskBinomial(1,Prob_Illness_Given_Infection),0)</f>
        <v>0</v>
      </c>
      <c r="K108" s="30"/>
      <c r="L108" s="87">
        <f t="shared" ca="1" si="104"/>
        <v>8.7708517946428864E-5</v>
      </c>
      <c r="M108" s="56">
        <f ca="1">INT(L108) + _xll.RiskBinomial(1,L108-INT(L108))</f>
        <v>0</v>
      </c>
      <c r="N108" s="53">
        <f t="shared" ca="1" si="71"/>
        <v>0</v>
      </c>
      <c r="O108" s="54">
        <f ca="1">_xll.RiskBinomial(1,N108)</f>
        <v>0</v>
      </c>
      <c r="P108" s="89">
        <f ca="1">IF(O108=1,_xll.RiskBinomial(1,Prob_Illness_Given_Infection),0)</f>
        <v>0</v>
      </c>
      <c r="Q108" s="30"/>
      <c r="R108" s="87">
        <f t="shared" ca="1" si="105"/>
        <v>9.0669356997769795E-6</v>
      </c>
      <c r="S108" s="56">
        <f ca="1">INT(R108) + _xll.RiskBinomial(1,R108-INT(R108))</f>
        <v>0</v>
      </c>
      <c r="T108" s="53">
        <f t="shared" ca="1" si="72"/>
        <v>0</v>
      </c>
      <c r="U108" s="54">
        <f ca="1">_xll.RiskBinomial(1,T108)</f>
        <v>0</v>
      </c>
      <c r="V108" s="89">
        <f ca="1">IF(U108=1,_xll.RiskBinomial(1,Prob_Illness_Given_Infection),0)</f>
        <v>0</v>
      </c>
      <c r="W108" s="30"/>
      <c r="X108" s="87">
        <f t="shared" ca="1" si="106"/>
        <v>3.7249334166302343E-12</v>
      </c>
      <c r="Y108" s="56">
        <f ca="1">INT(X108) + _xll.RiskBinomial(1,X108-INT(X108))</f>
        <v>0</v>
      </c>
      <c r="Z108" s="53">
        <f t="shared" ca="1" si="73"/>
        <v>0</v>
      </c>
      <c r="AA108" s="54">
        <f ca="1">_xll.RiskBinomial(1,Z108)</f>
        <v>0</v>
      </c>
      <c r="AB108" s="89">
        <f ca="1">IF(AA108=1,_xll.RiskBinomial(1,Prob_Illness_Given_Infection),0)</f>
        <v>0</v>
      </c>
      <c r="AC108" s="30"/>
      <c r="AD108" s="87">
        <f t="shared" ca="1" si="107"/>
        <v>1.8766874258326117E-12</v>
      </c>
      <c r="AE108" s="56">
        <f ca="1">INT(AD108) + _xll.RiskBinomial(1,AD108-INT(AD108))</f>
        <v>0</v>
      </c>
      <c r="AF108" s="53">
        <f t="shared" ca="1" si="74"/>
        <v>0</v>
      </c>
      <c r="AG108" s="54">
        <f ca="1">_xll.RiskBinomial(1,AF108)</f>
        <v>0</v>
      </c>
      <c r="AH108" s="89">
        <f ca="1">IF(AG108=1,_xll.RiskBinomial(1,Prob_Illness_Given_Infection),0)</f>
        <v>0</v>
      </c>
      <c r="AI108" s="30"/>
      <c r="AJ108" s="87">
        <f t="shared" ca="1" si="108"/>
        <v>8.7110993956522134E-5</v>
      </c>
      <c r="AK108" s="56">
        <f ca="1">INT(AJ108) + _xll.RiskBinomial(1,AJ108-INT(AJ108))</f>
        <v>0</v>
      </c>
      <c r="AL108" s="53">
        <f t="shared" ca="1" si="75"/>
        <v>0</v>
      </c>
      <c r="AM108" s="54">
        <f ca="1">_xll.RiskBinomial(1,AL108)</f>
        <v>0</v>
      </c>
      <c r="AN108" s="89">
        <f ca="1">IF(AM108=1,_xll.RiskBinomial(1,Prob_Illness_Given_Infection),0)</f>
        <v>0</v>
      </c>
      <c r="AO108" s="30"/>
      <c r="AP108" s="87">
        <f t="shared" ca="1" si="109"/>
        <v>2.1184551968500853E-9</v>
      </c>
      <c r="AQ108" s="56">
        <f ca="1">INT(AP108) + _xll.RiskBinomial(1,AP108-INT(AP108))</f>
        <v>0</v>
      </c>
      <c r="AR108" s="53">
        <f t="shared" ca="1" si="76"/>
        <v>0</v>
      </c>
      <c r="AS108" s="54">
        <f ca="1">_xll.RiskBinomial(1,AR108)</f>
        <v>0</v>
      </c>
      <c r="AT108" s="89">
        <f ca="1">IF(AS108=1,_xll.RiskBinomial(1,Prob_Illness_Given_Infection),0)</f>
        <v>0</v>
      </c>
      <c r="AU108" s="30"/>
      <c r="AV108" s="87">
        <f t="shared" ca="1" si="110"/>
        <v>4.9147057728728043E-5</v>
      </c>
      <c r="AW108" s="56">
        <f ca="1">INT(AV108) + _xll.RiskBinomial(1,AV108-INT(AV108))</f>
        <v>0</v>
      </c>
      <c r="AX108" s="53">
        <f t="shared" ca="1" si="77"/>
        <v>0</v>
      </c>
      <c r="AY108" s="54">
        <f ca="1">_xll.RiskBinomial(1,AX108)</f>
        <v>0</v>
      </c>
      <c r="AZ108" s="89">
        <f ca="1">IF(AY108=1,_xll.RiskBinomial(1,Prob_Illness_Given_Infection),0)</f>
        <v>0</v>
      </c>
      <c r="BB108" s="87">
        <f t="shared" ca="1" si="111"/>
        <v>6.7454822214030145E-5</v>
      </c>
      <c r="BC108" s="56">
        <f ca="1">INT(BB108) + _xll.RiskBinomial(1,BB108-INT(BB108))</f>
        <v>0</v>
      </c>
      <c r="BD108" s="53">
        <f t="shared" ca="1" si="78"/>
        <v>0</v>
      </c>
      <c r="BE108" s="54">
        <f ca="1">_xll.RiskBinomial(1,BD108)</f>
        <v>0</v>
      </c>
      <c r="BF108" s="89">
        <f ca="1">IF(BE108=1,_xll.RiskBinomial(1,Prob_Illness_Given_Infection),0)</f>
        <v>0</v>
      </c>
      <c r="BH108" s="87">
        <f t="shared" ca="1" si="112"/>
        <v>8.540263074440425E-5</v>
      </c>
      <c r="BI108" s="56">
        <f ca="1">INT(BH108) + _xll.RiskBinomial(1,BH108-INT(BH108))</f>
        <v>0</v>
      </c>
      <c r="BJ108" s="53">
        <f t="shared" ca="1" si="79"/>
        <v>0</v>
      </c>
      <c r="BK108" s="54">
        <f ca="1">_xll.RiskBinomial(1,BJ108)</f>
        <v>0</v>
      </c>
      <c r="BL108" s="89">
        <f ca="1">IF(BK108=1,_xll.RiskBinomial(1,Prob_Illness_Given_Infection),0)</f>
        <v>0</v>
      </c>
      <c r="BN108" s="87">
        <f t="shared" ca="1" si="113"/>
        <v>6.4996271628884237E-6</v>
      </c>
      <c r="BO108" s="56">
        <f ca="1">INT(BN108) + _xll.RiskBinomial(1,BN108-INT(BN108))</f>
        <v>0</v>
      </c>
      <c r="BP108" s="53">
        <f t="shared" ca="1" si="80"/>
        <v>0</v>
      </c>
      <c r="BQ108" s="54">
        <f ca="1">_xll.RiskBinomial(1,BP108)</f>
        <v>0</v>
      </c>
      <c r="BR108" s="89">
        <f ca="1">IF(BQ108=1,_xll.RiskBinomial(1,Prob_Illness_Given_Infection),0)</f>
        <v>0</v>
      </c>
      <c r="BT108" s="87">
        <f t="shared" ca="1" si="114"/>
        <v>1.9544310165574747E-5</v>
      </c>
      <c r="BU108" s="56">
        <f ca="1">INT(BT108) + _xll.RiskBinomial(1,BT108-INT(BT108))</f>
        <v>0</v>
      </c>
      <c r="BV108" s="53">
        <f t="shared" ca="1" si="81"/>
        <v>0</v>
      </c>
      <c r="BW108" s="54">
        <f ca="1">_xll.RiskBinomial(1,BV108)</f>
        <v>0</v>
      </c>
      <c r="BX108" s="89">
        <f ca="1">IF(BW108=1,_xll.RiskBinomial(1,Prob_Illness_Given_Infection),0)</f>
        <v>0</v>
      </c>
      <c r="BZ108" s="87">
        <f t="shared" ca="1" si="115"/>
        <v>5.3577542378607757E-5</v>
      </c>
      <c r="CA108" s="56">
        <f ca="1">INT(BZ108) + _xll.RiskBinomial(1,BZ108-INT(BZ108))</f>
        <v>0</v>
      </c>
      <c r="CB108" s="53">
        <f t="shared" ca="1" si="82"/>
        <v>0</v>
      </c>
      <c r="CC108" s="54">
        <f ca="1">_xll.RiskBinomial(1,CB108)</f>
        <v>0</v>
      </c>
      <c r="CD108" s="89">
        <f ca="1">IF(CC108=1,_xll.RiskBinomial(1,Prob_Illness_Given_Infection),0)</f>
        <v>0</v>
      </c>
      <c r="CF108" s="87">
        <f t="shared" ca="1" si="116"/>
        <v>1.0165802396323571E-5</v>
      </c>
      <c r="CG108" s="56">
        <f ca="1">INT(CF108) + _xll.RiskBinomial(1,CF108-INT(CF108))</f>
        <v>0</v>
      </c>
      <c r="CH108" s="53">
        <f t="shared" ca="1" si="83"/>
        <v>0</v>
      </c>
      <c r="CI108" s="54">
        <f ca="1">_xll.RiskBinomial(1,CH108)</f>
        <v>0</v>
      </c>
      <c r="CJ108" s="89">
        <f ca="1">IF(CI108=1,_xll.RiskBinomial(1,Prob_Illness_Given_Infection),0)</f>
        <v>0</v>
      </c>
      <c r="CL108" s="87">
        <f t="shared" ca="1" si="117"/>
        <v>1.961715265134377E-5</v>
      </c>
      <c r="CM108" s="56">
        <f ca="1">INT(CL108) + _xll.RiskBinomial(1,CL108-INT(CL108))</f>
        <v>0</v>
      </c>
      <c r="CN108" s="53">
        <f t="shared" ca="1" si="84"/>
        <v>0</v>
      </c>
      <c r="CO108" s="54">
        <f ca="1">_xll.RiskBinomial(1,CN108)</f>
        <v>0</v>
      </c>
      <c r="CP108" s="89">
        <f ca="1">IF(CO108=1,_xll.RiskBinomial(1,Prob_Illness_Given_Infection),0)</f>
        <v>0</v>
      </c>
      <c r="CR108" s="87">
        <f t="shared" ca="1" si="118"/>
        <v>1.3519547856852814E-7</v>
      </c>
      <c r="CS108" s="56">
        <f ca="1">INT(CR108) + _xll.RiskBinomial(1,CR108-INT(CR108))</f>
        <v>0</v>
      </c>
      <c r="CT108" s="53">
        <f t="shared" ca="1" si="85"/>
        <v>0</v>
      </c>
      <c r="CU108" s="54">
        <f ca="1">_xll.RiskBinomial(1,CT108)</f>
        <v>0</v>
      </c>
      <c r="CV108" s="89">
        <f ca="1">IF(CU108=1,_xll.RiskBinomial(1,Prob_Illness_Given_Infection),0)</f>
        <v>0</v>
      </c>
      <c r="CX108" s="87">
        <f t="shared" ca="1" si="119"/>
        <v>1.3762746023385453E-9</v>
      </c>
      <c r="CY108" s="56">
        <f ca="1">INT(CX108) + _xll.RiskBinomial(1,CX108-INT(CX108))</f>
        <v>0</v>
      </c>
      <c r="CZ108" s="53">
        <f t="shared" ca="1" si="86"/>
        <v>0</v>
      </c>
      <c r="DA108" s="54">
        <f ca="1">_xll.RiskBinomial(1,CZ108)</f>
        <v>0</v>
      </c>
      <c r="DB108" s="89">
        <f ca="1">IF(DA108=1,_xll.RiskBinomial(1,Prob_Illness_Given_Infection),0)</f>
        <v>0</v>
      </c>
      <c r="DD108" s="87">
        <f t="shared" ca="1" si="120"/>
        <v>1.3762746023385453E-9</v>
      </c>
      <c r="DE108" s="56">
        <f ca="1">INT(DD108) + _xll.RiskBinomial(1,DD108-INT(DD108))</f>
        <v>0</v>
      </c>
      <c r="DF108" s="53">
        <f t="shared" ca="1" si="87"/>
        <v>0</v>
      </c>
      <c r="DG108" s="54">
        <f ca="1">_xll.RiskBinomial(1,DF108)</f>
        <v>0</v>
      </c>
      <c r="DH108" s="89">
        <f ca="1">IF(DG108=1,_xll.RiskBinomial(1,Prob_Illness_Given_Infection),0)</f>
        <v>0</v>
      </c>
      <c r="DJ108" s="87">
        <f t="shared" ca="1" si="121"/>
        <v>2.2472654635630811E-6</v>
      </c>
      <c r="DK108" s="56">
        <f ca="1">INT(DJ108) + _xll.RiskBinomial(1,DJ108-INT(DJ108))</f>
        <v>0</v>
      </c>
      <c r="DL108" s="53">
        <f t="shared" ca="1" si="88"/>
        <v>0</v>
      </c>
      <c r="DM108" s="54">
        <f ca="1">_xll.RiskBinomial(1,DL108)</f>
        <v>0</v>
      </c>
      <c r="DN108" s="89">
        <f ca="1">IF(DM108=1,_xll.RiskBinomial(1,Prob_Illness_Given_Infection),0)</f>
        <v>0</v>
      </c>
      <c r="DP108" s="87">
        <f t="shared" ca="1" si="122"/>
        <v>5.3124197360692913E-10</v>
      </c>
      <c r="DQ108" s="56">
        <f ca="1">INT(DP108) + _xll.RiskBinomial(1,DP108-INT(DP108))</f>
        <v>0</v>
      </c>
      <c r="DR108" s="53">
        <f t="shared" ca="1" si="89"/>
        <v>0</v>
      </c>
      <c r="DS108" s="54">
        <f ca="1">_xll.RiskBinomial(1,DR108)</f>
        <v>0</v>
      </c>
      <c r="DT108" s="89">
        <f ca="1">IF(DS108=1,_xll.RiskBinomial(1,Prob_Illness_Given_Infection),0)</f>
        <v>0</v>
      </c>
      <c r="DV108" s="87">
        <f t="shared" ca="1" si="123"/>
        <v>7.4788562044487006E-9</v>
      </c>
      <c r="DW108" s="56">
        <f ca="1">INT(DV108) + _xll.RiskBinomial(1,DV108-INT(DV108))</f>
        <v>0</v>
      </c>
      <c r="DX108" s="53">
        <f t="shared" ca="1" si="90"/>
        <v>0</v>
      </c>
      <c r="DY108" s="54">
        <f ca="1">_xll.RiskBinomial(1,DX108)</f>
        <v>0</v>
      </c>
      <c r="DZ108" s="89">
        <f ca="1">IF(DY108=1,_xll.RiskBinomial(1,Prob_Illness_Given_Infection),0)</f>
        <v>0</v>
      </c>
      <c r="EB108" s="87">
        <f t="shared" ca="1" si="124"/>
        <v>1.8766874258319816E-12</v>
      </c>
      <c r="EC108" s="56">
        <f ca="1">INT(EB108) + _xll.RiskBinomial(1,EB108-INT(EB108))</f>
        <v>0</v>
      </c>
      <c r="ED108" s="53">
        <f t="shared" ca="1" si="91"/>
        <v>0</v>
      </c>
      <c r="EE108" s="54">
        <f ca="1">_xll.RiskBinomial(1,ED108)</f>
        <v>0</v>
      </c>
      <c r="EF108" s="89">
        <f ca="1">IF(EE108=1,_xll.RiskBinomial(1,Prob_Illness_Given_Infection),0)</f>
        <v>0</v>
      </c>
      <c r="EH108" s="87">
        <f t="shared" ca="1" si="125"/>
        <v>1.8766874258300522E-12</v>
      </c>
      <c r="EI108" s="56">
        <f ca="1">INT(EH108) + _xll.RiskBinomial(1,EH108-INT(EH108))</f>
        <v>0</v>
      </c>
      <c r="EJ108" s="53">
        <f t="shared" ca="1" si="92"/>
        <v>0</v>
      </c>
      <c r="EK108" s="54">
        <f ca="1">_xll.RiskBinomial(1,EJ108)</f>
        <v>0</v>
      </c>
      <c r="EL108" s="89">
        <f ca="1">IF(EK108=1,_xll.RiskBinomial(1,Prob_Illness_Given_Infection),0)</f>
        <v>0</v>
      </c>
      <c r="EN108" s="87">
        <f t="shared" ca="1" si="126"/>
        <v>1.7123639749543401E-10</v>
      </c>
      <c r="EO108" s="56">
        <f ca="1">INT(EN108) + _xll.RiskBinomial(1,EN108-INT(EN108))</f>
        <v>0</v>
      </c>
      <c r="EP108" s="53">
        <f t="shared" ca="1" si="93"/>
        <v>0</v>
      </c>
      <c r="EQ108" s="54">
        <f ca="1">_xll.RiskBinomial(1,EP108)</f>
        <v>0</v>
      </c>
      <c r="ER108" s="89">
        <f ca="1">IF(EQ108=1,_xll.RiskBinomial(1,Prob_Illness_Given_Infection),0)</f>
        <v>0</v>
      </c>
      <c r="ET108" s="87">
        <f t="shared" ca="1" si="127"/>
        <v>1.8766874258282625E-12</v>
      </c>
      <c r="EU108" s="56">
        <f ca="1">INT(ET108) + _xll.RiskBinomial(1,ET108-INT(ET108))</f>
        <v>0</v>
      </c>
      <c r="EV108" s="53">
        <f t="shared" ca="1" si="94"/>
        <v>0</v>
      </c>
      <c r="EW108" s="54">
        <f ca="1">_xll.RiskBinomial(1,EV108)</f>
        <v>0</v>
      </c>
      <c r="EX108" s="89">
        <f ca="1">IF(EW108=1,_xll.RiskBinomial(1,Prob_Illness_Given_Infection),0)</f>
        <v>0</v>
      </c>
      <c r="EZ108" s="87">
        <f t="shared" ca="1" si="128"/>
        <v>1.415435838188917E-5</v>
      </c>
      <c r="FA108" s="56">
        <f ca="1">INT(EZ108) + _xll.RiskBinomial(1,EZ108-INT(EZ108))</f>
        <v>0</v>
      </c>
      <c r="FB108" s="53">
        <f t="shared" ca="1" si="95"/>
        <v>0</v>
      </c>
      <c r="FC108" s="54">
        <f ca="1">_xll.RiskBinomial(1,FB108)</f>
        <v>0</v>
      </c>
      <c r="FD108" s="89">
        <f ca="1">IF(FC108=1,_xll.RiskBinomial(1,Prob_Illness_Given_Infection),0)</f>
        <v>0</v>
      </c>
      <c r="FF108" s="87">
        <f t="shared" ca="1" si="129"/>
        <v>9.8597669394143893E-5</v>
      </c>
      <c r="FG108" s="56">
        <f ca="1">INT(FF108) + _xll.RiskBinomial(1,FF108-INT(FF108))</f>
        <v>0</v>
      </c>
      <c r="FH108" s="53">
        <f t="shared" ca="1" si="96"/>
        <v>0</v>
      </c>
      <c r="FI108" s="54">
        <f ca="1">_xll.RiskBinomial(1,FH108)</f>
        <v>0</v>
      </c>
      <c r="FJ108" s="89">
        <f ca="1">IF(FI108=1,_xll.RiskBinomial(1,Prob_Illness_Given_Infection),0)</f>
        <v>0</v>
      </c>
      <c r="FL108" s="87" t="e">
        <f t="shared" ca="1" si="130"/>
        <v>#NAME?</v>
      </c>
      <c r="FM108" s="56" t="e">
        <f ca="1">INT(FL108) + _xll.RiskBinomial(1,FL108-INT(FL108))</f>
        <v>#NAME?</v>
      </c>
      <c r="FN108" s="53" t="e">
        <f t="shared" ca="1" si="97"/>
        <v>#NAME?</v>
      </c>
      <c r="FO108" s="54" t="e">
        <f ca="1">_xll.RiskBinomial(1,FN108)</f>
        <v>#VALUE!</v>
      </c>
      <c r="FP108" s="89" t="e">
        <f ca="1">IF(FO108=1,_xll.RiskBinomial(1,Prob_Illness_Given_Infection),0)</f>
        <v>#VALUE!</v>
      </c>
      <c r="FR108" s="87" t="e">
        <f t="shared" ca="1" si="131"/>
        <v>#NAME?</v>
      </c>
      <c r="FS108" s="56" t="e">
        <f ca="1">INT(FR108) + _xll.RiskBinomial(1,FR108-INT(FR108))</f>
        <v>#NAME?</v>
      </c>
      <c r="FT108" s="53" t="e">
        <f t="shared" ca="1" si="98"/>
        <v>#NAME?</v>
      </c>
      <c r="FU108" s="54" t="e">
        <f ca="1">_xll.RiskBinomial(1,FT108)</f>
        <v>#VALUE!</v>
      </c>
      <c r="FV108" s="89" t="e">
        <f ca="1">IF(FU108=1,_xll.RiskBinomial(1,Prob_Illness_Given_Infection),0)</f>
        <v>#VALUE!</v>
      </c>
      <c r="FX108" s="87">
        <f t="shared" ca="1" si="132"/>
        <v>1.981344757466269E-7</v>
      </c>
      <c r="FY108" s="56">
        <f ca="1">INT(FX108) + _xll.RiskBinomial(1,FX108-INT(FX108))</f>
        <v>0</v>
      </c>
      <c r="FZ108" s="53">
        <f t="shared" ca="1" si="99"/>
        <v>0</v>
      </c>
      <c r="GA108" s="54">
        <f ca="1">_xll.RiskBinomial(1,FZ108)</f>
        <v>0</v>
      </c>
      <c r="GB108" s="89">
        <f ca="1">IF(GA108=1,_xll.RiskBinomial(1,Prob_Illness_Given_Infection),0)</f>
        <v>0</v>
      </c>
      <c r="GD108" s="87" t="e">
        <f t="shared" ca="1" si="133"/>
        <v>#NAME?</v>
      </c>
      <c r="GE108" s="56" t="e">
        <f ca="1">INT(GD108) + _xll.RiskBinomial(1,GD108-INT(GD108))</f>
        <v>#NAME?</v>
      </c>
      <c r="GF108" s="53" t="e">
        <f t="shared" ca="1" si="100"/>
        <v>#NAME?</v>
      </c>
      <c r="GG108" s="54" t="e">
        <f ca="1">_xll.RiskBinomial(1,GF108)</f>
        <v>#VALUE!</v>
      </c>
      <c r="GH108" s="89" t="e">
        <f ca="1">IF(GG108=1,_xll.RiskBinomial(1,Prob_Illness_Given_Infection),0)</f>
        <v>#VALUE!</v>
      </c>
      <c r="GJ108" s="87" t="e">
        <f t="shared" ca="1" si="134"/>
        <v>#NAME?</v>
      </c>
      <c r="GK108" s="56" t="e">
        <f ca="1">INT(GJ108) + _xll.RiskBinomial(1,GJ108-INT(GJ108))</f>
        <v>#NAME?</v>
      </c>
      <c r="GL108" s="53" t="e">
        <f t="shared" ca="1" si="101"/>
        <v>#NAME?</v>
      </c>
      <c r="GM108" s="54" t="e">
        <f ca="1">_xll.RiskBinomial(1,GL108)</f>
        <v>#VALUE!</v>
      </c>
      <c r="GN108" s="89" t="e">
        <f ca="1">IF(GM108=1,_xll.RiskBinomial(1,Prob_Illness_Given_Infection),0)</f>
        <v>#VALUE!</v>
      </c>
      <c r="GP108" s="87" t="e">
        <f t="shared" ca="1" si="135"/>
        <v>#NAME?</v>
      </c>
      <c r="GQ108" s="56" t="e">
        <f ca="1">INT(GP108) + _xll.RiskBinomial(1,GP108-INT(GP108))</f>
        <v>#NAME?</v>
      </c>
      <c r="GR108" s="53" t="e">
        <f t="shared" ca="1" si="102"/>
        <v>#NAME?</v>
      </c>
      <c r="GS108" s="54" t="e">
        <f ca="1">_xll.RiskBinomial(1,GR108)</f>
        <v>#VALUE!</v>
      </c>
      <c r="GT108" s="89" t="e">
        <f ca="1">IF(GS108=1,_xll.RiskBinomial(1,Prob_Illness_Given_Infection),0)</f>
        <v>#VALUE!</v>
      </c>
    </row>
    <row r="109" spans="2:202" ht="12" thickBot="1">
      <c r="E109" s="30"/>
      <c r="H109" s="65"/>
      <c r="I109" s="90">
        <f ca="1">SUM(I9:I108)</f>
        <v>0</v>
      </c>
      <c r="J109" s="90">
        <f ca="1">SUM(J9:J108)</f>
        <v>0</v>
      </c>
      <c r="K109" s="30"/>
      <c r="N109" s="65"/>
      <c r="O109" s="90">
        <f ca="1">SUM(O9:O108)</f>
        <v>0</v>
      </c>
      <c r="P109" s="90">
        <f ca="1">SUM(P9:P108)</f>
        <v>0</v>
      </c>
      <c r="Q109" s="30"/>
      <c r="T109" s="65"/>
      <c r="U109" s="90">
        <f ca="1">SUM(U9:U108)</f>
        <v>0</v>
      </c>
      <c r="V109" s="90">
        <f ca="1">SUM(V9:V108)</f>
        <v>0</v>
      </c>
      <c r="W109" s="30"/>
      <c r="Z109" s="65"/>
      <c r="AA109" s="90">
        <f ca="1">SUM(AA9:AA108)</f>
        <v>0</v>
      </c>
      <c r="AB109" s="90">
        <f ca="1">SUM(AB9:AB108)</f>
        <v>0</v>
      </c>
      <c r="AC109" s="30"/>
      <c r="AF109" s="65"/>
      <c r="AG109" s="90">
        <f ca="1">SUM(AG9:AG108)</f>
        <v>0</v>
      </c>
      <c r="AH109" s="90">
        <f ca="1">SUM(AH9:AH108)</f>
        <v>0</v>
      </c>
      <c r="AI109" s="30"/>
      <c r="AL109" s="65"/>
      <c r="AM109" s="90">
        <f ca="1">SUM(AM9:AM108)</f>
        <v>0</v>
      </c>
      <c r="AN109" s="90">
        <f ca="1">SUM(AN9:AN108)</f>
        <v>0</v>
      </c>
      <c r="AO109" s="30"/>
      <c r="AR109" s="65"/>
      <c r="AS109" s="90">
        <f ca="1">SUM(AS9:AS108)</f>
        <v>0</v>
      </c>
      <c r="AT109" s="90">
        <f ca="1">SUM(AT9:AT108)</f>
        <v>0</v>
      </c>
      <c r="AU109" s="30"/>
      <c r="AX109" s="65"/>
      <c r="AY109" s="90">
        <f ca="1">SUM(AY9:AY108)</f>
        <v>0</v>
      </c>
      <c r="AZ109" s="90">
        <f ca="1">SUM(AZ9:AZ108)</f>
        <v>0</v>
      </c>
      <c r="BD109" s="65"/>
      <c r="BE109" s="90">
        <f ca="1">SUM(BE9:BE108)</f>
        <v>0</v>
      </c>
      <c r="BF109" s="90">
        <f ca="1">SUM(BF9:BF108)</f>
        <v>0</v>
      </c>
      <c r="BJ109" s="65"/>
      <c r="BK109" s="90">
        <f ca="1">SUM(BK9:BK108)</f>
        <v>0</v>
      </c>
      <c r="BL109" s="90">
        <f ca="1">SUM(BL9:BL108)</f>
        <v>0</v>
      </c>
      <c r="BP109" s="65"/>
      <c r="BQ109" s="90">
        <f ca="1">SUM(BQ9:BQ108)</f>
        <v>0</v>
      </c>
      <c r="BR109" s="90">
        <f ca="1">SUM(BR9:BR108)</f>
        <v>0</v>
      </c>
      <c r="BV109" s="65"/>
      <c r="BW109" s="90">
        <f ca="1">SUM(BW9:BW108)</f>
        <v>0</v>
      </c>
      <c r="BX109" s="90">
        <f ca="1">SUM(BX9:BX108)</f>
        <v>0</v>
      </c>
      <c r="CB109" s="65"/>
      <c r="CC109" s="90">
        <f ca="1">SUM(CC9:CC108)</f>
        <v>0</v>
      </c>
      <c r="CD109" s="90">
        <f ca="1">SUM(CD9:CD108)</f>
        <v>0</v>
      </c>
      <c r="CH109" s="65"/>
      <c r="CI109" s="90">
        <f ca="1">SUM(CI9:CI108)</f>
        <v>0</v>
      </c>
      <c r="CJ109" s="90">
        <f ca="1">SUM(CJ9:CJ108)</f>
        <v>0</v>
      </c>
      <c r="CN109" s="65"/>
      <c r="CO109" s="90">
        <f ca="1">SUM(CO9:CO108)</f>
        <v>0</v>
      </c>
      <c r="CP109" s="90">
        <f ca="1">SUM(CP9:CP108)</f>
        <v>0</v>
      </c>
      <c r="CT109" s="65"/>
      <c r="CU109" s="90">
        <f ca="1">SUM(CU9:CU108)</f>
        <v>0</v>
      </c>
      <c r="CV109" s="90">
        <f ca="1">SUM(CV9:CV108)</f>
        <v>0</v>
      </c>
      <c r="CZ109" s="65"/>
      <c r="DA109" s="90">
        <f ca="1">SUM(DA9:DA108)</f>
        <v>0</v>
      </c>
      <c r="DB109" s="90">
        <f ca="1">SUM(DB9:DB108)</f>
        <v>0</v>
      </c>
      <c r="DF109" s="65"/>
      <c r="DG109" s="90">
        <f ca="1">SUM(DG9:DG108)</f>
        <v>0</v>
      </c>
      <c r="DH109" s="90">
        <f ca="1">SUM(DH9:DH108)</f>
        <v>0</v>
      </c>
      <c r="DL109" s="65"/>
      <c r="DM109" s="90">
        <f ca="1">SUM(DM9:DM108)</f>
        <v>0</v>
      </c>
      <c r="DN109" s="90">
        <f ca="1">SUM(DN9:DN108)</f>
        <v>0</v>
      </c>
      <c r="DR109" s="65"/>
      <c r="DS109" s="90">
        <f ca="1">SUM(DS9:DS108)</f>
        <v>0</v>
      </c>
      <c r="DT109" s="90">
        <f ca="1">SUM(DT9:DT108)</f>
        <v>0</v>
      </c>
      <c r="DX109" s="65"/>
      <c r="DY109" s="90">
        <f ca="1">SUM(DY9:DY108)</f>
        <v>0</v>
      </c>
      <c r="DZ109" s="90">
        <f ca="1">SUM(DZ9:DZ108)</f>
        <v>0</v>
      </c>
      <c r="ED109" s="65"/>
      <c r="EE109" s="90">
        <f ca="1">SUM(EE9:EE108)</f>
        <v>0</v>
      </c>
      <c r="EF109" s="90">
        <f ca="1">SUM(EF9:EF108)</f>
        <v>0</v>
      </c>
      <c r="EJ109" s="65"/>
      <c r="EK109" s="90">
        <f ca="1">SUM(EK9:EK108)</f>
        <v>0</v>
      </c>
      <c r="EL109" s="90">
        <f ca="1">SUM(EL9:EL108)</f>
        <v>0</v>
      </c>
      <c r="EP109" s="65"/>
      <c r="EQ109" s="90">
        <f ca="1">SUM(EQ9:EQ108)</f>
        <v>0</v>
      </c>
      <c r="ER109" s="90">
        <f ca="1">SUM(ER9:ER108)</f>
        <v>0</v>
      </c>
      <c r="EV109" s="65"/>
      <c r="EW109" s="90">
        <f ca="1">SUM(EW9:EW108)</f>
        <v>0</v>
      </c>
      <c r="EX109" s="90">
        <f ca="1">SUM(EX9:EX108)</f>
        <v>0</v>
      </c>
      <c r="FB109" s="65"/>
      <c r="FC109" s="90">
        <f ca="1">SUM(FC9:FC108)</f>
        <v>0</v>
      </c>
      <c r="FD109" s="90">
        <f ca="1">SUM(FD9:FD108)</f>
        <v>0</v>
      </c>
      <c r="FH109" s="65"/>
      <c r="FI109" s="90">
        <f ca="1">SUM(FI9:FI108)</f>
        <v>0</v>
      </c>
      <c r="FJ109" s="90">
        <f ca="1">SUM(FJ9:FJ108)</f>
        <v>0</v>
      </c>
      <c r="FN109" s="65"/>
      <c r="FO109" s="90" t="e">
        <f ca="1">SUM(FO9:FO108)</f>
        <v>#VALUE!</v>
      </c>
      <c r="FP109" s="90" t="e">
        <f ca="1">SUM(FP9:FP108)</f>
        <v>#VALUE!</v>
      </c>
      <c r="FT109" s="65"/>
      <c r="FU109" s="90" t="e">
        <f ca="1">SUM(FU9:FU108)</f>
        <v>#VALUE!</v>
      </c>
      <c r="FV109" s="90" t="e">
        <f ca="1">SUM(FV9:FV108)</f>
        <v>#VALUE!</v>
      </c>
      <c r="FZ109" s="65"/>
      <c r="GA109" s="90">
        <f ca="1">SUM(GA9:GA108)</f>
        <v>0</v>
      </c>
      <c r="GB109" s="90">
        <f ca="1">SUM(GB9:GB108)</f>
        <v>0</v>
      </c>
      <c r="GF109" s="65"/>
      <c r="GG109" s="90" t="e">
        <f ca="1">SUM(GG9:GG108)</f>
        <v>#VALUE!</v>
      </c>
      <c r="GH109" s="90" t="e">
        <f ca="1">SUM(GH9:GH108)</f>
        <v>#VALUE!</v>
      </c>
      <c r="GL109" s="65"/>
      <c r="GM109" s="90" t="e">
        <f ca="1">SUM(GM9:GM108)</f>
        <v>#VALUE!</v>
      </c>
      <c r="GN109" s="90" t="e">
        <f ca="1">SUM(GN9:GN108)</f>
        <v>#VALUE!</v>
      </c>
      <c r="GR109" s="65"/>
      <c r="GS109" s="90" t="e">
        <f ca="1">SUM(GS9:GS108)</f>
        <v>#VALUE!</v>
      </c>
      <c r="GT109" s="90" t="e">
        <f ca="1">SUM(GT9:GT108)</f>
        <v>#VALUE!</v>
      </c>
    </row>
    <row r="110" spans="2:202">
      <c r="E110" s="30"/>
      <c r="K110" s="30"/>
      <c r="Q110" s="30"/>
      <c r="W110" s="30"/>
      <c r="AC110" s="30"/>
      <c r="AI110" s="30"/>
      <c r="AO110" s="30"/>
      <c r="AU110" s="30"/>
    </row>
    <row r="111" spans="2:202">
      <c r="E111" s="30"/>
      <c r="K111" s="30"/>
      <c r="Q111" s="30"/>
      <c r="W111" s="30"/>
      <c r="AC111" s="30"/>
      <c r="AI111" s="30"/>
      <c r="AO111" s="30"/>
      <c r="AU111" s="30"/>
    </row>
    <row r="112" spans="2:202">
      <c r="E112" s="30"/>
      <c r="K112" s="30"/>
      <c r="Q112" s="30"/>
      <c r="W112" s="30"/>
      <c r="AC112" s="30"/>
      <c r="AI112" s="30"/>
      <c r="AO112" s="30"/>
      <c r="AU112" s="30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S43"/>
  <sheetViews>
    <sheetView topLeftCell="A12" workbookViewId="0">
      <selection activeCell="K31" sqref="K31"/>
    </sheetView>
  </sheetViews>
  <sheetFormatPr defaultRowHeight="14.5"/>
  <cols>
    <col min="1" max="1" width="2.81640625" customWidth="1"/>
    <col min="2" max="2" width="21.1796875" customWidth="1"/>
    <col min="3" max="5" width="10.54296875" bestFit="1" customWidth="1"/>
    <col min="6" max="6" width="11.1796875" bestFit="1" customWidth="1"/>
    <col min="7" max="8" width="10.1796875" bestFit="1" customWidth="1"/>
    <col min="9" max="9" width="10.54296875" bestFit="1" customWidth="1"/>
    <col min="10" max="10" width="12.7265625" customWidth="1"/>
    <col min="11" max="11" width="17.81640625" customWidth="1"/>
    <col min="14" max="14" width="10.54296875" bestFit="1" customWidth="1"/>
  </cols>
  <sheetData>
    <row r="2" spans="2:15">
      <c r="B2" s="2" t="s">
        <v>27</v>
      </c>
    </row>
    <row r="3" spans="2:15">
      <c r="B3" t="s">
        <v>28</v>
      </c>
      <c r="C3" s="30"/>
      <c r="D3" s="30"/>
      <c r="E3" s="30"/>
      <c r="F3" s="35"/>
      <c r="G3" s="8"/>
      <c r="H3" s="36"/>
      <c r="I3" s="30"/>
      <c r="J3" s="35"/>
      <c r="K3" s="8"/>
      <c r="L3" s="8"/>
      <c r="M3" s="8"/>
      <c r="N3" s="8"/>
      <c r="O3" s="8"/>
    </row>
    <row r="4" spans="2:15">
      <c r="B4" t="s">
        <v>29</v>
      </c>
      <c r="C4" s="37"/>
      <c r="D4" s="37"/>
      <c r="E4" s="37"/>
      <c r="F4" s="35"/>
      <c r="G4" s="37"/>
      <c r="H4" s="58"/>
      <c r="I4" s="37"/>
      <c r="J4" s="37"/>
      <c r="K4" s="59"/>
      <c r="L4" s="8"/>
      <c r="M4" s="8"/>
      <c r="N4" s="8"/>
      <c r="O4" s="8"/>
    </row>
    <row r="5" spans="2:15">
      <c r="B5" t="s">
        <v>30</v>
      </c>
      <c r="C5" s="37"/>
      <c r="D5" s="37"/>
      <c r="E5" s="37"/>
      <c r="F5" s="35"/>
      <c r="G5" s="37"/>
      <c r="H5" s="58"/>
      <c r="I5" s="37"/>
      <c r="J5" s="37"/>
      <c r="K5" s="59"/>
      <c r="L5" s="8"/>
      <c r="M5" s="8"/>
      <c r="N5" s="8"/>
      <c r="O5" s="8"/>
    </row>
    <row r="6" spans="2:15" ht="15">
      <c r="B6" t="s">
        <v>31</v>
      </c>
      <c r="C6" s="37"/>
      <c r="D6" s="37"/>
      <c r="E6" s="37"/>
      <c r="F6" s="35"/>
      <c r="G6" s="37"/>
      <c r="H6" s="58"/>
      <c r="I6" s="37"/>
      <c r="J6" s="37"/>
      <c r="K6" s="59"/>
      <c r="L6" s="8"/>
      <c r="M6" s="8"/>
      <c r="N6" s="8"/>
      <c r="O6" s="8"/>
    </row>
    <row r="7" spans="2:15">
      <c r="B7" s="60" t="s">
        <v>32</v>
      </c>
      <c r="C7" s="37"/>
      <c r="D7" s="37"/>
      <c r="E7" s="37"/>
      <c r="F7" s="35"/>
      <c r="G7" s="37"/>
      <c r="H7" s="58"/>
      <c r="I7" s="37"/>
      <c r="J7" s="37"/>
      <c r="K7" s="59"/>
      <c r="L7" s="8"/>
      <c r="M7" s="8"/>
      <c r="N7" s="8"/>
      <c r="O7" s="8"/>
    </row>
    <row r="8" spans="2:15">
      <c r="B8" s="60" t="s">
        <v>33</v>
      </c>
      <c r="C8" s="37"/>
      <c r="D8" s="37"/>
      <c r="E8" s="37"/>
      <c r="F8" s="35"/>
      <c r="G8" s="37"/>
      <c r="H8" s="58"/>
      <c r="I8" s="37"/>
      <c r="J8" s="37"/>
      <c r="K8" s="59"/>
      <c r="L8" s="8"/>
      <c r="M8" s="8"/>
      <c r="N8" s="8"/>
      <c r="O8" s="8"/>
    </row>
    <row r="9" spans="2:15">
      <c r="B9" s="60" t="s">
        <v>34</v>
      </c>
      <c r="C9" s="37"/>
      <c r="D9" s="37"/>
      <c r="E9" s="37"/>
      <c r="F9" s="35"/>
      <c r="G9" s="37"/>
      <c r="H9" s="58"/>
      <c r="I9" s="37"/>
      <c r="J9" s="37"/>
      <c r="K9" s="59"/>
      <c r="L9" s="8"/>
      <c r="M9" s="8"/>
      <c r="N9" s="8"/>
      <c r="O9" s="8"/>
    </row>
    <row r="10" spans="2:15">
      <c r="B10" s="60"/>
      <c r="C10" s="37"/>
      <c r="D10" s="37"/>
      <c r="E10" s="37"/>
      <c r="F10" s="35"/>
      <c r="G10" s="37"/>
      <c r="H10" s="58"/>
      <c r="I10" s="37"/>
      <c r="J10" s="37"/>
      <c r="K10" s="59"/>
      <c r="L10" s="8"/>
      <c r="M10" s="8"/>
      <c r="N10" s="8"/>
      <c r="O10" s="8"/>
    </row>
    <row r="11" spans="2:15">
      <c r="B11" s="60" t="s">
        <v>35</v>
      </c>
      <c r="C11" s="37"/>
      <c r="D11" s="37"/>
      <c r="E11" s="37"/>
      <c r="F11" s="35"/>
      <c r="G11" s="37"/>
      <c r="H11" s="58"/>
      <c r="I11" s="37"/>
      <c r="J11" s="37"/>
      <c r="K11" s="59"/>
      <c r="L11" s="8"/>
      <c r="M11" s="8"/>
      <c r="N11" s="8"/>
      <c r="O11" s="8"/>
    </row>
    <row r="12" spans="2:15">
      <c r="B12" s="60"/>
      <c r="C12" s="8"/>
      <c r="D12" s="8"/>
      <c r="E12" s="30"/>
      <c r="F12" s="35"/>
      <c r="G12" s="43"/>
      <c r="H12" s="43"/>
      <c r="I12" s="35"/>
      <c r="J12" s="8"/>
      <c r="K12" s="8"/>
      <c r="L12" s="8"/>
      <c r="M12" s="8"/>
      <c r="N12" s="8"/>
      <c r="O12" s="8"/>
    </row>
    <row r="13" spans="2:15">
      <c r="B13" s="61" t="s">
        <v>36</v>
      </c>
      <c r="C13" s="43" t="s">
        <v>37</v>
      </c>
      <c r="G13" s="43"/>
    </row>
    <row r="14" spans="2:15">
      <c r="B14" s="60"/>
    </row>
    <row r="15" spans="2:15" ht="16">
      <c r="B15" s="62" t="s">
        <v>38</v>
      </c>
      <c r="C15" s="4" t="s">
        <v>39</v>
      </c>
    </row>
    <row r="16" spans="2:15">
      <c r="B16" s="62"/>
      <c r="C16" s="4"/>
    </row>
    <row r="17" spans="2:15">
      <c r="B17" s="61" t="s">
        <v>40</v>
      </c>
      <c r="C17" s="43" t="s">
        <v>41</v>
      </c>
    </row>
    <row r="18" spans="2:15">
      <c r="B18" s="62"/>
    </row>
    <row r="19" spans="2:15" ht="15.5">
      <c r="B19" t="s">
        <v>42</v>
      </c>
    </row>
    <row r="20" spans="2:15">
      <c r="B20" t="s">
        <v>43</v>
      </c>
    </row>
    <row r="21" spans="2:15">
      <c r="B21" t="s">
        <v>44</v>
      </c>
    </row>
    <row r="22" spans="2:15">
      <c r="B22" t="s">
        <v>45</v>
      </c>
    </row>
    <row r="23" spans="2:15">
      <c r="C23" s="30"/>
      <c r="D23" s="30"/>
      <c r="E23" s="30"/>
      <c r="F23" s="35"/>
      <c r="G23" s="8"/>
      <c r="H23" s="36"/>
      <c r="I23" s="30"/>
      <c r="J23" s="35"/>
      <c r="K23" s="8"/>
      <c r="L23" s="8"/>
      <c r="M23" s="8"/>
      <c r="N23" s="8"/>
      <c r="O23" s="8"/>
    </row>
    <row r="24" spans="2:15" ht="15">
      <c r="B24" s="125" t="s">
        <v>83</v>
      </c>
    </row>
    <row r="25" spans="2:15" ht="15" thickBot="1"/>
    <row r="26" spans="2:15">
      <c r="C26" s="16"/>
      <c r="D26" s="118" t="str">
        <f xml:space="preserve"> Pathogen</f>
        <v>Norovirus</v>
      </c>
      <c r="E26" s="8"/>
      <c r="F26" s="8"/>
      <c r="G26" s="79" t="str">
        <f>CONCATENATE("HOCKEY STICK data and calculations, Effluent ",Pathogen," (gc/L")</f>
        <v>HOCKEY STICK data and calculations, Effluent Norovirus (gc/L</v>
      </c>
      <c r="H26" s="6"/>
      <c r="I26" s="6"/>
      <c r="J26" s="6"/>
      <c r="K26" s="7"/>
    </row>
    <row r="27" spans="2:15">
      <c r="C27" s="16"/>
      <c r="E27" s="8"/>
      <c r="F27" s="8"/>
      <c r="G27" s="63"/>
      <c r="H27" s="64"/>
      <c r="I27" s="64"/>
      <c r="J27" s="65" t="s">
        <v>46</v>
      </c>
      <c r="K27" s="66">
        <v>95</v>
      </c>
    </row>
    <row r="28" spans="2:15">
      <c r="C28" s="16"/>
      <c r="D28" s="8"/>
      <c r="E28" s="8"/>
      <c r="F28" s="8"/>
      <c r="G28" s="63"/>
      <c r="H28" s="64"/>
      <c r="I28" s="64"/>
      <c r="J28" s="65" t="s">
        <v>47</v>
      </c>
      <c r="K28" s="67">
        <f>(100-K27)/100</f>
        <v>0.05</v>
      </c>
    </row>
    <row r="29" spans="2:15" ht="15" thickBot="1">
      <c r="C29" s="16"/>
      <c r="D29" s="8"/>
      <c r="E29" s="8"/>
      <c r="F29" s="8"/>
      <c r="G29" s="68"/>
      <c r="H29" s="69"/>
      <c r="I29" s="69"/>
      <c r="J29" s="70" t="s">
        <v>48</v>
      </c>
      <c r="K29" s="71">
        <f>(K27-50)/100</f>
        <v>0.45</v>
      </c>
    </row>
    <row r="30" spans="2:15">
      <c r="D30" s="100" t="s">
        <v>49</v>
      </c>
      <c r="E30" s="101" t="s">
        <v>50</v>
      </c>
      <c r="F30" s="102" t="s">
        <v>51</v>
      </c>
      <c r="G30" s="101" t="s">
        <v>52</v>
      </c>
      <c r="H30" s="103" t="s">
        <v>53</v>
      </c>
      <c r="I30" s="103" t="s">
        <v>54</v>
      </c>
      <c r="J30" s="101" t="s">
        <v>55</v>
      </c>
      <c r="K30" s="104" t="s">
        <v>56</v>
      </c>
    </row>
    <row r="31" spans="2:15" ht="15" thickBot="1">
      <c r="B31" s="23"/>
      <c r="D31" s="72">
        <f xml:space="preserve"> Pathogen_Conc_in_Effluent_min</f>
        <v>9.9999999999999991E-5</v>
      </c>
      <c r="E31" s="98">
        <f xml:space="preserve"> Pathogen_Conc_in_Effluent_median</f>
        <v>9.9999999999999992E-2</v>
      </c>
      <c r="F31" s="73">
        <f>0.5*(E31 + G31 +1/H31 - SQRT((G31-E31)^2 + 1/(H31^2) + E31*(2-8*K$28)/H31 + G31*(2-8*K$29)/H31))</f>
        <v>0.18981853511028657</v>
      </c>
      <c r="G31" s="98">
        <f xml:space="preserve"> Pathogen_Conc_in_Effluent_max</f>
        <v>10</v>
      </c>
      <c r="H31" s="73">
        <f>1/(E31-D31)</f>
        <v>10.010010010010012</v>
      </c>
      <c r="I31" s="73">
        <f>2*K$28/(G31-F31)</f>
        <v>1.0193491359756841E-2</v>
      </c>
      <c r="J31" s="73">
        <f>H31*(E31-D31)/2 + (H31+I31)*(F31-E31)/2 + I31*(G31-F31)/2</f>
        <v>0.99999999999999867</v>
      </c>
      <c r="K31" s="99">
        <f ca="1" xml:space="preserve"> _xll.RiskGeneral(D31,G31,E31:F31,H31:I31)/Pathogen_Method_Harmonisation_Factor</f>
        <v>3.945783509107883E-3</v>
      </c>
    </row>
    <row r="32" spans="2:15">
      <c r="C32" s="60"/>
    </row>
    <row r="43" spans="19:19">
      <c r="S43" s="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6"/>
  <sheetViews>
    <sheetView topLeftCell="A39" zoomScale="140" zoomScaleNormal="140" workbookViewId="0">
      <selection activeCell="B56" sqref="B56"/>
    </sheetView>
  </sheetViews>
  <sheetFormatPr defaultRowHeight="11.5"/>
  <cols>
    <col min="1" max="1" width="17.54296875" style="8" customWidth="1"/>
    <col min="2" max="2" width="6.7265625" style="8" customWidth="1"/>
    <col min="3" max="3" width="10.7265625" style="8" customWidth="1"/>
    <col min="4" max="4" width="10.81640625" style="8" customWidth="1"/>
    <col min="5" max="5" width="7.54296875" style="8" customWidth="1"/>
    <col min="6" max="6" width="11.26953125" style="8" customWidth="1"/>
    <col min="7" max="7" width="9" style="8" customWidth="1"/>
    <col min="8" max="8" width="7.26953125" style="8" bestFit="1" customWidth="1"/>
    <col min="9" max="9" width="4.54296875" style="8" customWidth="1"/>
    <col min="10" max="11" width="6.54296875" style="8" customWidth="1"/>
    <col min="12" max="12" width="6.81640625" style="8" customWidth="1"/>
    <col min="13" max="14" width="6.453125" style="8" customWidth="1"/>
    <col min="15" max="15" width="6.26953125" style="8" customWidth="1"/>
    <col min="16" max="16" width="5.453125" style="8" customWidth="1"/>
    <col min="17" max="17" width="7.81640625" style="8" customWidth="1"/>
    <col min="18" max="18" width="7.54296875" style="8" customWidth="1"/>
    <col min="19" max="19" width="12.26953125" style="8" customWidth="1"/>
    <col min="20" max="20" width="8.453125" style="8" customWidth="1"/>
    <col min="21" max="256" width="8.81640625" style="8"/>
    <col min="257" max="257" width="17.54296875" style="8" customWidth="1"/>
    <col min="258" max="258" width="6.7265625" style="8" customWidth="1"/>
    <col min="259" max="259" width="10.7265625" style="8" customWidth="1"/>
    <col min="260" max="260" width="10.81640625" style="8" customWidth="1"/>
    <col min="261" max="261" width="7.54296875" style="8" customWidth="1"/>
    <col min="262" max="262" width="11.26953125" style="8" customWidth="1"/>
    <col min="263" max="263" width="9" style="8" customWidth="1"/>
    <col min="264" max="264" width="7.26953125" style="8" bestFit="1" customWidth="1"/>
    <col min="265" max="265" width="4.54296875" style="8" customWidth="1"/>
    <col min="266" max="267" width="6.54296875" style="8" customWidth="1"/>
    <col min="268" max="268" width="6.81640625" style="8" customWidth="1"/>
    <col min="269" max="270" width="6.453125" style="8" customWidth="1"/>
    <col min="271" max="271" width="6.26953125" style="8" customWidth="1"/>
    <col min="272" max="272" width="5.453125" style="8" customWidth="1"/>
    <col min="273" max="273" width="7.81640625" style="8" customWidth="1"/>
    <col min="274" max="274" width="7.54296875" style="8" customWidth="1"/>
    <col min="275" max="275" width="12.26953125" style="8" customWidth="1"/>
    <col min="276" max="276" width="8.453125" style="8" customWidth="1"/>
    <col min="277" max="512" width="8.81640625" style="8"/>
    <col min="513" max="513" width="17.54296875" style="8" customWidth="1"/>
    <col min="514" max="514" width="6.7265625" style="8" customWidth="1"/>
    <col min="515" max="515" width="10.7265625" style="8" customWidth="1"/>
    <col min="516" max="516" width="10.81640625" style="8" customWidth="1"/>
    <col min="517" max="517" width="7.54296875" style="8" customWidth="1"/>
    <col min="518" max="518" width="11.26953125" style="8" customWidth="1"/>
    <col min="519" max="519" width="9" style="8" customWidth="1"/>
    <col min="520" max="520" width="7.26953125" style="8" bestFit="1" customWidth="1"/>
    <col min="521" max="521" width="4.54296875" style="8" customWidth="1"/>
    <col min="522" max="523" width="6.54296875" style="8" customWidth="1"/>
    <col min="524" max="524" width="6.81640625" style="8" customWidth="1"/>
    <col min="525" max="526" width="6.453125" style="8" customWidth="1"/>
    <col min="527" max="527" width="6.26953125" style="8" customWidth="1"/>
    <col min="528" max="528" width="5.453125" style="8" customWidth="1"/>
    <col min="529" max="529" width="7.81640625" style="8" customWidth="1"/>
    <col min="530" max="530" width="7.54296875" style="8" customWidth="1"/>
    <col min="531" max="531" width="12.26953125" style="8" customWidth="1"/>
    <col min="532" max="532" width="8.453125" style="8" customWidth="1"/>
    <col min="533" max="768" width="8.81640625" style="8"/>
    <col min="769" max="769" width="17.54296875" style="8" customWidth="1"/>
    <col min="770" max="770" width="6.7265625" style="8" customWidth="1"/>
    <col min="771" max="771" width="10.7265625" style="8" customWidth="1"/>
    <col min="772" max="772" width="10.81640625" style="8" customWidth="1"/>
    <col min="773" max="773" width="7.54296875" style="8" customWidth="1"/>
    <col min="774" max="774" width="11.26953125" style="8" customWidth="1"/>
    <col min="775" max="775" width="9" style="8" customWidth="1"/>
    <col min="776" max="776" width="7.26953125" style="8" bestFit="1" customWidth="1"/>
    <col min="777" max="777" width="4.54296875" style="8" customWidth="1"/>
    <col min="778" max="779" width="6.54296875" style="8" customWidth="1"/>
    <col min="780" max="780" width="6.81640625" style="8" customWidth="1"/>
    <col min="781" max="782" width="6.453125" style="8" customWidth="1"/>
    <col min="783" max="783" width="6.26953125" style="8" customWidth="1"/>
    <col min="784" max="784" width="5.453125" style="8" customWidth="1"/>
    <col min="785" max="785" width="7.81640625" style="8" customWidth="1"/>
    <col min="786" max="786" width="7.54296875" style="8" customWidth="1"/>
    <col min="787" max="787" width="12.26953125" style="8" customWidth="1"/>
    <col min="788" max="788" width="8.453125" style="8" customWidth="1"/>
    <col min="789" max="1024" width="8.81640625" style="8"/>
    <col min="1025" max="1025" width="17.54296875" style="8" customWidth="1"/>
    <col min="1026" max="1026" width="6.7265625" style="8" customWidth="1"/>
    <col min="1027" max="1027" width="10.7265625" style="8" customWidth="1"/>
    <col min="1028" max="1028" width="10.81640625" style="8" customWidth="1"/>
    <col min="1029" max="1029" width="7.54296875" style="8" customWidth="1"/>
    <col min="1030" max="1030" width="11.26953125" style="8" customWidth="1"/>
    <col min="1031" max="1031" width="9" style="8" customWidth="1"/>
    <col min="1032" max="1032" width="7.26953125" style="8" bestFit="1" customWidth="1"/>
    <col min="1033" max="1033" width="4.54296875" style="8" customWidth="1"/>
    <col min="1034" max="1035" width="6.54296875" style="8" customWidth="1"/>
    <col min="1036" max="1036" width="6.81640625" style="8" customWidth="1"/>
    <col min="1037" max="1038" width="6.453125" style="8" customWidth="1"/>
    <col min="1039" max="1039" width="6.26953125" style="8" customWidth="1"/>
    <col min="1040" max="1040" width="5.453125" style="8" customWidth="1"/>
    <col min="1041" max="1041" width="7.81640625" style="8" customWidth="1"/>
    <col min="1042" max="1042" width="7.54296875" style="8" customWidth="1"/>
    <col min="1043" max="1043" width="12.26953125" style="8" customWidth="1"/>
    <col min="1044" max="1044" width="8.453125" style="8" customWidth="1"/>
    <col min="1045" max="1280" width="8.81640625" style="8"/>
    <col min="1281" max="1281" width="17.54296875" style="8" customWidth="1"/>
    <col min="1282" max="1282" width="6.7265625" style="8" customWidth="1"/>
    <col min="1283" max="1283" width="10.7265625" style="8" customWidth="1"/>
    <col min="1284" max="1284" width="10.81640625" style="8" customWidth="1"/>
    <col min="1285" max="1285" width="7.54296875" style="8" customWidth="1"/>
    <col min="1286" max="1286" width="11.26953125" style="8" customWidth="1"/>
    <col min="1287" max="1287" width="9" style="8" customWidth="1"/>
    <col min="1288" max="1288" width="7.26953125" style="8" bestFit="1" customWidth="1"/>
    <col min="1289" max="1289" width="4.54296875" style="8" customWidth="1"/>
    <col min="1290" max="1291" width="6.54296875" style="8" customWidth="1"/>
    <col min="1292" max="1292" width="6.81640625" style="8" customWidth="1"/>
    <col min="1293" max="1294" width="6.453125" style="8" customWidth="1"/>
    <col min="1295" max="1295" width="6.26953125" style="8" customWidth="1"/>
    <col min="1296" max="1296" width="5.453125" style="8" customWidth="1"/>
    <col min="1297" max="1297" width="7.81640625" style="8" customWidth="1"/>
    <col min="1298" max="1298" width="7.54296875" style="8" customWidth="1"/>
    <col min="1299" max="1299" width="12.26953125" style="8" customWidth="1"/>
    <col min="1300" max="1300" width="8.453125" style="8" customWidth="1"/>
    <col min="1301" max="1536" width="8.81640625" style="8"/>
    <col min="1537" max="1537" width="17.54296875" style="8" customWidth="1"/>
    <col min="1538" max="1538" width="6.7265625" style="8" customWidth="1"/>
    <col min="1539" max="1539" width="10.7265625" style="8" customWidth="1"/>
    <col min="1540" max="1540" width="10.81640625" style="8" customWidth="1"/>
    <col min="1541" max="1541" width="7.54296875" style="8" customWidth="1"/>
    <col min="1542" max="1542" width="11.26953125" style="8" customWidth="1"/>
    <col min="1543" max="1543" width="9" style="8" customWidth="1"/>
    <col min="1544" max="1544" width="7.26953125" style="8" bestFit="1" customWidth="1"/>
    <col min="1545" max="1545" width="4.54296875" style="8" customWidth="1"/>
    <col min="1546" max="1547" width="6.54296875" style="8" customWidth="1"/>
    <col min="1548" max="1548" width="6.81640625" style="8" customWidth="1"/>
    <col min="1549" max="1550" width="6.453125" style="8" customWidth="1"/>
    <col min="1551" max="1551" width="6.26953125" style="8" customWidth="1"/>
    <col min="1552" max="1552" width="5.453125" style="8" customWidth="1"/>
    <col min="1553" max="1553" width="7.81640625" style="8" customWidth="1"/>
    <col min="1554" max="1554" width="7.54296875" style="8" customWidth="1"/>
    <col min="1555" max="1555" width="12.26953125" style="8" customWidth="1"/>
    <col min="1556" max="1556" width="8.453125" style="8" customWidth="1"/>
    <col min="1557" max="1792" width="8.81640625" style="8"/>
    <col min="1793" max="1793" width="17.54296875" style="8" customWidth="1"/>
    <col min="1794" max="1794" width="6.7265625" style="8" customWidth="1"/>
    <col min="1795" max="1795" width="10.7265625" style="8" customWidth="1"/>
    <col min="1796" max="1796" width="10.81640625" style="8" customWidth="1"/>
    <col min="1797" max="1797" width="7.54296875" style="8" customWidth="1"/>
    <col min="1798" max="1798" width="11.26953125" style="8" customWidth="1"/>
    <col min="1799" max="1799" width="9" style="8" customWidth="1"/>
    <col min="1800" max="1800" width="7.26953125" style="8" bestFit="1" customWidth="1"/>
    <col min="1801" max="1801" width="4.54296875" style="8" customWidth="1"/>
    <col min="1802" max="1803" width="6.54296875" style="8" customWidth="1"/>
    <col min="1804" max="1804" width="6.81640625" style="8" customWidth="1"/>
    <col min="1805" max="1806" width="6.453125" style="8" customWidth="1"/>
    <col min="1807" max="1807" width="6.26953125" style="8" customWidth="1"/>
    <col min="1808" max="1808" width="5.453125" style="8" customWidth="1"/>
    <col min="1809" max="1809" width="7.81640625" style="8" customWidth="1"/>
    <col min="1810" max="1810" width="7.54296875" style="8" customWidth="1"/>
    <col min="1811" max="1811" width="12.26953125" style="8" customWidth="1"/>
    <col min="1812" max="1812" width="8.453125" style="8" customWidth="1"/>
    <col min="1813" max="2048" width="8.81640625" style="8"/>
    <col min="2049" max="2049" width="17.54296875" style="8" customWidth="1"/>
    <col min="2050" max="2050" width="6.7265625" style="8" customWidth="1"/>
    <col min="2051" max="2051" width="10.7265625" style="8" customWidth="1"/>
    <col min="2052" max="2052" width="10.81640625" style="8" customWidth="1"/>
    <col min="2053" max="2053" width="7.54296875" style="8" customWidth="1"/>
    <col min="2054" max="2054" width="11.26953125" style="8" customWidth="1"/>
    <col min="2055" max="2055" width="9" style="8" customWidth="1"/>
    <col min="2056" max="2056" width="7.26953125" style="8" bestFit="1" customWidth="1"/>
    <col min="2057" max="2057" width="4.54296875" style="8" customWidth="1"/>
    <col min="2058" max="2059" width="6.54296875" style="8" customWidth="1"/>
    <col min="2060" max="2060" width="6.81640625" style="8" customWidth="1"/>
    <col min="2061" max="2062" width="6.453125" style="8" customWidth="1"/>
    <col min="2063" max="2063" width="6.26953125" style="8" customWidth="1"/>
    <col min="2064" max="2064" width="5.453125" style="8" customWidth="1"/>
    <col min="2065" max="2065" width="7.81640625" style="8" customWidth="1"/>
    <col min="2066" max="2066" width="7.54296875" style="8" customWidth="1"/>
    <col min="2067" max="2067" width="12.26953125" style="8" customWidth="1"/>
    <col min="2068" max="2068" width="8.453125" style="8" customWidth="1"/>
    <col min="2069" max="2304" width="8.81640625" style="8"/>
    <col min="2305" max="2305" width="17.54296875" style="8" customWidth="1"/>
    <col min="2306" max="2306" width="6.7265625" style="8" customWidth="1"/>
    <col min="2307" max="2307" width="10.7265625" style="8" customWidth="1"/>
    <col min="2308" max="2308" width="10.81640625" style="8" customWidth="1"/>
    <col min="2309" max="2309" width="7.54296875" style="8" customWidth="1"/>
    <col min="2310" max="2310" width="11.26953125" style="8" customWidth="1"/>
    <col min="2311" max="2311" width="9" style="8" customWidth="1"/>
    <col min="2312" max="2312" width="7.26953125" style="8" bestFit="1" customWidth="1"/>
    <col min="2313" max="2313" width="4.54296875" style="8" customWidth="1"/>
    <col min="2314" max="2315" width="6.54296875" style="8" customWidth="1"/>
    <col min="2316" max="2316" width="6.81640625" style="8" customWidth="1"/>
    <col min="2317" max="2318" width="6.453125" style="8" customWidth="1"/>
    <col min="2319" max="2319" width="6.26953125" style="8" customWidth="1"/>
    <col min="2320" max="2320" width="5.453125" style="8" customWidth="1"/>
    <col min="2321" max="2321" width="7.81640625" style="8" customWidth="1"/>
    <col min="2322" max="2322" width="7.54296875" style="8" customWidth="1"/>
    <col min="2323" max="2323" width="12.26953125" style="8" customWidth="1"/>
    <col min="2324" max="2324" width="8.453125" style="8" customWidth="1"/>
    <col min="2325" max="2560" width="8.81640625" style="8"/>
    <col min="2561" max="2561" width="17.54296875" style="8" customWidth="1"/>
    <col min="2562" max="2562" width="6.7265625" style="8" customWidth="1"/>
    <col min="2563" max="2563" width="10.7265625" style="8" customWidth="1"/>
    <col min="2564" max="2564" width="10.81640625" style="8" customWidth="1"/>
    <col min="2565" max="2565" width="7.54296875" style="8" customWidth="1"/>
    <col min="2566" max="2566" width="11.26953125" style="8" customWidth="1"/>
    <col min="2567" max="2567" width="9" style="8" customWidth="1"/>
    <col min="2568" max="2568" width="7.26953125" style="8" bestFit="1" customWidth="1"/>
    <col min="2569" max="2569" width="4.54296875" style="8" customWidth="1"/>
    <col min="2570" max="2571" width="6.54296875" style="8" customWidth="1"/>
    <col min="2572" max="2572" width="6.81640625" style="8" customWidth="1"/>
    <col min="2573" max="2574" width="6.453125" style="8" customWidth="1"/>
    <col min="2575" max="2575" width="6.26953125" style="8" customWidth="1"/>
    <col min="2576" max="2576" width="5.453125" style="8" customWidth="1"/>
    <col min="2577" max="2577" width="7.81640625" style="8" customWidth="1"/>
    <col min="2578" max="2578" width="7.54296875" style="8" customWidth="1"/>
    <col min="2579" max="2579" width="12.26953125" style="8" customWidth="1"/>
    <col min="2580" max="2580" width="8.453125" style="8" customWidth="1"/>
    <col min="2581" max="2816" width="8.81640625" style="8"/>
    <col min="2817" max="2817" width="17.54296875" style="8" customWidth="1"/>
    <col min="2818" max="2818" width="6.7265625" style="8" customWidth="1"/>
    <col min="2819" max="2819" width="10.7265625" style="8" customWidth="1"/>
    <col min="2820" max="2820" width="10.81640625" style="8" customWidth="1"/>
    <col min="2821" max="2821" width="7.54296875" style="8" customWidth="1"/>
    <col min="2822" max="2822" width="11.26953125" style="8" customWidth="1"/>
    <col min="2823" max="2823" width="9" style="8" customWidth="1"/>
    <col min="2824" max="2824" width="7.26953125" style="8" bestFit="1" customWidth="1"/>
    <col min="2825" max="2825" width="4.54296875" style="8" customWidth="1"/>
    <col min="2826" max="2827" width="6.54296875" style="8" customWidth="1"/>
    <col min="2828" max="2828" width="6.81640625" style="8" customWidth="1"/>
    <col min="2829" max="2830" width="6.453125" style="8" customWidth="1"/>
    <col min="2831" max="2831" width="6.26953125" style="8" customWidth="1"/>
    <col min="2832" max="2832" width="5.453125" style="8" customWidth="1"/>
    <col min="2833" max="2833" width="7.81640625" style="8" customWidth="1"/>
    <col min="2834" max="2834" width="7.54296875" style="8" customWidth="1"/>
    <col min="2835" max="2835" width="12.26953125" style="8" customWidth="1"/>
    <col min="2836" max="2836" width="8.453125" style="8" customWidth="1"/>
    <col min="2837" max="3072" width="8.81640625" style="8"/>
    <col min="3073" max="3073" width="17.54296875" style="8" customWidth="1"/>
    <col min="3074" max="3074" width="6.7265625" style="8" customWidth="1"/>
    <col min="3075" max="3075" width="10.7265625" style="8" customWidth="1"/>
    <col min="3076" max="3076" width="10.81640625" style="8" customWidth="1"/>
    <col min="3077" max="3077" width="7.54296875" style="8" customWidth="1"/>
    <col min="3078" max="3078" width="11.26953125" style="8" customWidth="1"/>
    <col min="3079" max="3079" width="9" style="8" customWidth="1"/>
    <col min="3080" max="3080" width="7.26953125" style="8" bestFit="1" customWidth="1"/>
    <col min="3081" max="3081" width="4.54296875" style="8" customWidth="1"/>
    <col min="3082" max="3083" width="6.54296875" style="8" customWidth="1"/>
    <col min="3084" max="3084" width="6.81640625" style="8" customWidth="1"/>
    <col min="3085" max="3086" width="6.453125" style="8" customWidth="1"/>
    <col min="3087" max="3087" width="6.26953125" style="8" customWidth="1"/>
    <col min="3088" max="3088" width="5.453125" style="8" customWidth="1"/>
    <col min="3089" max="3089" width="7.81640625" style="8" customWidth="1"/>
    <col min="3090" max="3090" width="7.54296875" style="8" customWidth="1"/>
    <col min="3091" max="3091" width="12.26953125" style="8" customWidth="1"/>
    <col min="3092" max="3092" width="8.453125" style="8" customWidth="1"/>
    <col min="3093" max="3328" width="8.81640625" style="8"/>
    <col min="3329" max="3329" width="17.54296875" style="8" customWidth="1"/>
    <col min="3330" max="3330" width="6.7265625" style="8" customWidth="1"/>
    <col min="3331" max="3331" width="10.7265625" style="8" customWidth="1"/>
    <col min="3332" max="3332" width="10.81640625" style="8" customWidth="1"/>
    <col min="3333" max="3333" width="7.54296875" style="8" customWidth="1"/>
    <col min="3334" max="3334" width="11.26953125" style="8" customWidth="1"/>
    <col min="3335" max="3335" width="9" style="8" customWidth="1"/>
    <col min="3336" max="3336" width="7.26953125" style="8" bestFit="1" customWidth="1"/>
    <col min="3337" max="3337" width="4.54296875" style="8" customWidth="1"/>
    <col min="3338" max="3339" width="6.54296875" style="8" customWidth="1"/>
    <col min="3340" max="3340" width="6.81640625" style="8" customWidth="1"/>
    <col min="3341" max="3342" width="6.453125" style="8" customWidth="1"/>
    <col min="3343" max="3343" width="6.26953125" style="8" customWidth="1"/>
    <col min="3344" max="3344" width="5.453125" style="8" customWidth="1"/>
    <col min="3345" max="3345" width="7.81640625" style="8" customWidth="1"/>
    <col min="3346" max="3346" width="7.54296875" style="8" customWidth="1"/>
    <col min="3347" max="3347" width="12.26953125" style="8" customWidth="1"/>
    <col min="3348" max="3348" width="8.453125" style="8" customWidth="1"/>
    <col min="3349" max="3584" width="8.81640625" style="8"/>
    <col min="3585" max="3585" width="17.54296875" style="8" customWidth="1"/>
    <col min="3586" max="3586" width="6.7265625" style="8" customWidth="1"/>
    <col min="3587" max="3587" width="10.7265625" style="8" customWidth="1"/>
    <col min="3588" max="3588" width="10.81640625" style="8" customWidth="1"/>
    <col min="3589" max="3589" width="7.54296875" style="8" customWidth="1"/>
    <col min="3590" max="3590" width="11.26953125" style="8" customWidth="1"/>
    <col min="3591" max="3591" width="9" style="8" customWidth="1"/>
    <col min="3592" max="3592" width="7.26953125" style="8" bestFit="1" customWidth="1"/>
    <col min="3593" max="3593" width="4.54296875" style="8" customWidth="1"/>
    <col min="3594" max="3595" width="6.54296875" style="8" customWidth="1"/>
    <col min="3596" max="3596" width="6.81640625" style="8" customWidth="1"/>
    <col min="3597" max="3598" width="6.453125" style="8" customWidth="1"/>
    <col min="3599" max="3599" width="6.26953125" style="8" customWidth="1"/>
    <col min="3600" max="3600" width="5.453125" style="8" customWidth="1"/>
    <col min="3601" max="3601" width="7.81640625" style="8" customWidth="1"/>
    <col min="3602" max="3602" width="7.54296875" style="8" customWidth="1"/>
    <col min="3603" max="3603" width="12.26953125" style="8" customWidth="1"/>
    <col min="3604" max="3604" width="8.453125" style="8" customWidth="1"/>
    <col min="3605" max="3840" width="8.81640625" style="8"/>
    <col min="3841" max="3841" width="17.54296875" style="8" customWidth="1"/>
    <col min="3842" max="3842" width="6.7265625" style="8" customWidth="1"/>
    <col min="3843" max="3843" width="10.7265625" style="8" customWidth="1"/>
    <col min="3844" max="3844" width="10.81640625" style="8" customWidth="1"/>
    <col min="3845" max="3845" width="7.54296875" style="8" customWidth="1"/>
    <col min="3846" max="3846" width="11.26953125" style="8" customWidth="1"/>
    <col min="3847" max="3847" width="9" style="8" customWidth="1"/>
    <col min="3848" max="3848" width="7.26953125" style="8" bestFit="1" customWidth="1"/>
    <col min="3849" max="3849" width="4.54296875" style="8" customWidth="1"/>
    <col min="3850" max="3851" width="6.54296875" style="8" customWidth="1"/>
    <col min="3852" max="3852" width="6.81640625" style="8" customWidth="1"/>
    <col min="3853" max="3854" width="6.453125" style="8" customWidth="1"/>
    <col min="3855" max="3855" width="6.26953125" style="8" customWidth="1"/>
    <col min="3856" max="3856" width="5.453125" style="8" customWidth="1"/>
    <col min="3857" max="3857" width="7.81640625" style="8" customWidth="1"/>
    <col min="3858" max="3858" width="7.54296875" style="8" customWidth="1"/>
    <col min="3859" max="3859" width="12.26953125" style="8" customWidth="1"/>
    <col min="3860" max="3860" width="8.453125" style="8" customWidth="1"/>
    <col min="3861" max="4096" width="8.81640625" style="8"/>
    <col min="4097" max="4097" width="17.54296875" style="8" customWidth="1"/>
    <col min="4098" max="4098" width="6.7265625" style="8" customWidth="1"/>
    <col min="4099" max="4099" width="10.7265625" style="8" customWidth="1"/>
    <col min="4100" max="4100" width="10.81640625" style="8" customWidth="1"/>
    <col min="4101" max="4101" width="7.54296875" style="8" customWidth="1"/>
    <col min="4102" max="4102" width="11.26953125" style="8" customWidth="1"/>
    <col min="4103" max="4103" width="9" style="8" customWidth="1"/>
    <col min="4104" max="4104" width="7.26953125" style="8" bestFit="1" customWidth="1"/>
    <col min="4105" max="4105" width="4.54296875" style="8" customWidth="1"/>
    <col min="4106" max="4107" width="6.54296875" style="8" customWidth="1"/>
    <col min="4108" max="4108" width="6.81640625" style="8" customWidth="1"/>
    <col min="4109" max="4110" width="6.453125" style="8" customWidth="1"/>
    <col min="4111" max="4111" width="6.26953125" style="8" customWidth="1"/>
    <col min="4112" max="4112" width="5.453125" style="8" customWidth="1"/>
    <col min="4113" max="4113" width="7.81640625" style="8" customWidth="1"/>
    <col min="4114" max="4114" width="7.54296875" style="8" customWidth="1"/>
    <col min="4115" max="4115" width="12.26953125" style="8" customWidth="1"/>
    <col min="4116" max="4116" width="8.453125" style="8" customWidth="1"/>
    <col min="4117" max="4352" width="8.81640625" style="8"/>
    <col min="4353" max="4353" width="17.54296875" style="8" customWidth="1"/>
    <col min="4354" max="4354" width="6.7265625" style="8" customWidth="1"/>
    <col min="4355" max="4355" width="10.7265625" style="8" customWidth="1"/>
    <col min="4356" max="4356" width="10.81640625" style="8" customWidth="1"/>
    <col min="4357" max="4357" width="7.54296875" style="8" customWidth="1"/>
    <col min="4358" max="4358" width="11.26953125" style="8" customWidth="1"/>
    <col min="4359" max="4359" width="9" style="8" customWidth="1"/>
    <col min="4360" max="4360" width="7.26953125" style="8" bestFit="1" customWidth="1"/>
    <col min="4361" max="4361" width="4.54296875" style="8" customWidth="1"/>
    <col min="4362" max="4363" width="6.54296875" style="8" customWidth="1"/>
    <col min="4364" max="4364" width="6.81640625" style="8" customWidth="1"/>
    <col min="4365" max="4366" width="6.453125" style="8" customWidth="1"/>
    <col min="4367" max="4367" width="6.26953125" style="8" customWidth="1"/>
    <col min="4368" max="4368" width="5.453125" style="8" customWidth="1"/>
    <col min="4369" max="4369" width="7.81640625" style="8" customWidth="1"/>
    <col min="4370" max="4370" width="7.54296875" style="8" customWidth="1"/>
    <col min="4371" max="4371" width="12.26953125" style="8" customWidth="1"/>
    <col min="4372" max="4372" width="8.453125" style="8" customWidth="1"/>
    <col min="4373" max="4608" width="8.81640625" style="8"/>
    <col min="4609" max="4609" width="17.54296875" style="8" customWidth="1"/>
    <col min="4610" max="4610" width="6.7265625" style="8" customWidth="1"/>
    <col min="4611" max="4611" width="10.7265625" style="8" customWidth="1"/>
    <col min="4612" max="4612" width="10.81640625" style="8" customWidth="1"/>
    <col min="4613" max="4613" width="7.54296875" style="8" customWidth="1"/>
    <col min="4614" max="4614" width="11.26953125" style="8" customWidth="1"/>
    <col min="4615" max="4615" width="9" style="8" customWidth="1"/>
    <col min="4616" max="4616" width="7.26953125" style="8" bestFit="1" customWidth="1"/>
    <col min="4617" max="4617" width="4.54296875" style="8" customWidth="1"/>
    <col min="4618" max="4619" width="6.54296875" style="8" customWidth="1"/>
    <col min="4620" max="4620" width="6.81640625" style="8" customWidth="1"/>
    <col min="4621" max="4622" width="6.453125" style="8" customWidth="1"/>
    <col min="4623" max="4623" width="6.26953125" style="8" customWidth="1"/>
    <col min="4624" max="4624" width="5.453125" style="8" customWidth="1"/>
    <col min="4625" max="4625" width="7.81640625" style="8" customWidth="1"/>
    <col min="4626" max="4626" width="7.54296875" style="8" customWidth="1"/>
    <col min="4627" max="4627" width="12.26953125" style="8" customWidth="1"/>
    <col min="4628" max="4628" width="8.453125" style="8" customWidth="1"/>
    <col min="4629" max="4864" width="8.81640625" style="8"/>
    <col min="4865" max="4865" width="17.54296875" style="8" customWidth="1"/>
    <col min="4866" max="4866" width="6.7265625" style="8" customWidth="1"/>
    <col min="4867" max="4867" width="10.7265625" style="8" customWidth="1"/>
    <col min="4868" max="4868" width="10.81640625" style="8" customWidth="1"/>
    <col min="4869" max="4869" width="7.54296875" style="8" customWidth="1"/>
    <col min="4870" max="4870" width="11.26953125" style="8" customWidth="1"/>
    <col min="4871" max="4871" width="9" style="8" customWidth="1"/>
    <col min="4872" max="4872" width="7.26953125" style="8" bestFit="1" customWidth="1"/>
    <col min="4873" max="4873" width="4.54296875" style="8" customWidth="1"/>
    <col min="4874" max="4875" width="6.54296875" style="8" customWidth="1"/>
    <col min="4876" max="4876" width="6.81640625" style="8" customWidth="1"/>
    <col min="4877" max="4878" width="6.453125" style="8" customWidth="1"/>
    <col min="4879" max="4879" width="6.26953125" style="8" customWidth="1"/>
    <col min="4880" max="4880" width="5.453125" style="8" customWidth="1"/>
    <col min="4881" max="4881" width="7.81640625" style="8" customWidth="1"/>
    <col min="4882" max="4882" width="7.54296875" style="8" customWidth="1"/>
    <col min="4883" max="4883" width="12.26953125" style="8" customWidth="1"/>
    <col min="4884" max="4884" width="8.453125" style="8" customWidth="1"/>
    <col min="4885" max="5120" width="8.81640625" style="8"/>
    <col min="5121" max="5121" width="17.54296875" style="8" customWidth="1"/>
    <col min="5122" max="5122" width="6.7265625" style="8" customWidth="1"/>
    <col min="5123" max="5123" width="10.7265625" style="8" customWidth="1"/>
    <col min="5124" max="5124" width="10.81640625" style="8" customWidth="1"/>
    <col min="5125" max="5125" width="7.54296875" style="8" customWidth="1"/>
    <col min="5126" max="5126" width="11.26953125" style="8" customWidth="1"/>
    <col min="5127" max="5127" width="9" style="8" customWidth="1"/>
    <col min="5128" max="5128" width="7.26953125" style="8" bestFit="1" customWidth="1"/>
    <col min="5129" max="5129" width="4.54296875" style="8" customWidth="1"/>
    <col min="5130" max="5131" width="6.54296875" style="8" customWidth="1"/>
    <col min="5132" max="5132" width="6.81640625" style="8" customWidth="1"/>
    <col min="5133" max="5134" width="6.453125" style="8" customWidth="1"/>
    <col min="5135" max="5135" width="6.26953125" style="8" customWidth="1"/>
    <col min="5136" max="5136" width="5.453125" style="8" customWidth="1"/>
    <col min="5137" max="5137" width="7.81640625" style="8" customWidth="1"/>
    <col min="5138" max="5138" width="7.54296875" style="8" customWidth="1"/>
    <col min="5139" max="5139" width="12.26953125" style="8" customWidth="1"/>
    <col min="5140" max="5140" width="8.453125" style="8" customWidth="1"/>
    <col min="5141" max="5376" width="8.81640625" style="8"/>
    <col min="5377" max="5377" width="17.54296875" style="8" customWidth="1"/>
    <col min="5378" max="5378" width="6.7265625" style="8" customWidth="1"/>
    <col min="5379" max="5379" width="10.7265625" style="8" customWidth="1"/>
    <col min="5380" max="5380" width="10.81640625" style="8" customWidth="1"/>
    <col min="5381" max="5381" width="7.54296875" style="8" customWidth="1"/>
    <col min="5382" max="5382" width="11.26953125" style="8" customWidth="1"/>
    <col min="5383" max="5383" width="9" style="8" customWidth="1"/>
    <col min="5384" max="5384" width="7.26953125" style="8" bestFit="1" customWidth="1"/>
    <col min="5385" max="5385" width="4.54296875" style="8" customWidth="1"/>
    <col min="5386" max="5387" width="6.54296875" style="8" customWidth="1"/>
    <col min="5388" max="5388" width="6.81640625" style="8" customWidth="1"/>
    <col min="5389" max="5390" width="6.453125" style="8" customWidth="1"/>
    <col min="5391" max="5391" width="6.26953125" style="8" customWidth="1"/>
    <col min="5392" max="5392" width="5.453125" style="8" customWidth="1"/>
    <col min="5393" max="5393" width="7.81640625" style="8" customWidth="1"/>
    <col min="5394" max="5394" width="7.54296875" style="8" customWidth="1"/>
    <col min="5395" max="5395" width="12.26953125" style="8" customWidth="1"/>
    <col min="5396" max="5396" width="8.453125" style="8" customWidth="1"/>
    <col min="5397" max="5632" width="8.81640625" style="8"/>
    <col min="5633" max="5633" width="17.54296875" style="8" customWidth="1"/>
    <col min="5634" max="5634" width="6.7265625" style="8" customWidth="1"/>
    <col min="5635" max="5635" width="10.7265625" style="8" customWidth="1"/>
    <col min="5636" max="5636" width="10.81640625" style="8" customWidth="1"/>
    <col min="5637" max="5637" width="7.54296875" style="8" customWidth="1"/>
    <col min="5638" max="5638" width="11.26953125" style="8" customWidth="1"/>
    <col min="5639" max="5639" width="9" style="8" customWidth="1"/>
    <col min="5640" max="5640" width="7.26953125" style="8" bestFit="1" customWidth="1"/>
    <col min="5641" max="5641" width="4.54296875" style="8" customWidth="1"/>
    <col min="5642" max="5643" width="6.54296875" style="8" customWidth="1"/>
    <col min="5644" max="5644" width="6.81640625" style="8" customWidth="1"/>
    <col min="5645" max="5646" width="6.453125" style="8" customWidth="1"/>
    <col min="5647" max="5647" width="6.26953125" style="8" customWidth="1"/>
    <col min="5648" max="5648" width="5.453125" style="8" customWidth="1"/>
    <col min="5649" max="5649" width="7.81640625" style="8" customWidth="1"/>
    <col min="5650" max="5650" width="7.54296875" style="8" customWidth="1"/>
    <col min="5651" max="5651" width="12.26953125" style="8" customWidth="1"/>
    <col min="5652" max="5652" width="8.453125" style="8" customWidth="1"/>
    <col min="5653" max="5888" width="8.81640625" style="8"/>
    <col min="5889" max="5889" width="17.54296875" style="8" customWidth="1"/>
    <col min="5890" max="5890" width="6.7265625" style="8" customWidth="1"/>
    <col min="5891" max="5891" width="10.7265625" style="8" customWidth="1"/>
    <col min="5892" max="5892" width="10.81640625" style="8" customWidth="1"/>
    <col min="5893" max="5893" width="7.54296875" style="8" customWidth="1"/>
    <col min="5894" max="5894" width="11.26953125" style="8" customWidth="1"/>
    <col min="5895" max="5895" width="9" style="8" customWidth="1"/>
    <col min="5896" max="5896" width="7.26953125" style="8" bestFit="1" customWidth="1"/>
    <col min="5897" max="5897" width="4.54296875" style="8" customWidth="1"/>
    <col min="5898" max="5899" width="6.54296875" style="8" customWidth="1"/>
    <col min="5900" max="5900" width="6.81640625" style="8" customWidth="1"/>
    <col min="5901" max="5902" width="6.453125" style="8" customWidth="1"/>
    <col min="5903" max="5903" width="6.26953125" style="8" customWidth="1"/>
    <col min="5904" max="5904" width="5.453125" style="8" customWidth="1"/>
    <col min="5905" max="5905" width="7.81640625" style="8" customWidth="1"/>
    <col min="5906" max="5906" width="7.54296875" style="8" customWidth="1"/>
    <col min="5907" max="5907" width="12.26953125" style="8" customWidth="1"/>
    <col min="5908" max="5908" width="8.453125" style="8" customWidth="1"/>
    <col min="5909" max="6144" width="8.81640625" style="8"/>
    <col min="6145" max="6145" width="17.54296875" style="8" customWidth="1"/>
    <col min="6146" max="6146" width="6.7265625" style="8" customWidth="1"/>
    <col min="6147" max="6147" width="10.7265625" style="8" customWidth="1"/>
    <col min="6148" max="6148" width="10.81640625" style="8" customWidth="1"/>
    <col min="6149" max="6149" width="7.54296875" style="8" customWidth="1"/>
    <col min="6150" max="6150" width="11.26953125" style="8" customWidth="1"/>
    <col min="6151" max="6151" width="9" style="8" customWidth="1"/>
    <col min="6152" max="6152" width="7.26953125" style="8" bestFit="1" customWidth="1"/>
    <col min="6153" max="6153" width="4.54296875" style="8" customWidth="1"/>
    <col min="6154" max="6155" width="6.54296875" style="8" customWidth="1"/>
    <col min="6156" max="6156" width="6.81640625" style="8" customWidth="1"/>
    <col min="6157" max="6158" width="6.453125" style="8" customWidth="1"/>
    <col min="6159" max="6159" width="6.26953125" style="8" customWidth="1"/>
    <col min="6160" max="6160" width="5.453125" style="8" customWidth="1"/>
    <col min="6161" max="6161" width="7.81640625" style="8" customWidth="1"/>
    <col min="6162" max="6162" width="7.54296875" style="8" customWidth="1"/>
    <col min="6163" max="6163" width="12.26953125" style="8" customWidth="1"/>
    <col min="6164" max="6164" width="8.453125" style="8" customWidth="1"/>
    <col min="6165" max="6400" width="8.81640625" style="8"/>
    <col min="6401" max="6401" width="17.54296875" style="8" customWidth="1"/>
    <col min="6402" max="6402" width="6.7265625" style="8" customWidth="1"/>
    <col min="6403" max="6403" width="10.7265625" style="8" customWidth="1"/>
    <col min="6404" max="6404" width="10.81640625" style="8" customWidth="1"/>
    <col min="6405" max="6405" width="7.54296875" style="8" customWidth="1"/>
    <col min="6406" max="6406" width="11.26953125" style="8" customWidth="1"/>
    <col min="6407" max="6407" width="9" style="8" customWidth="1"/>
    <col min="6408" max="6408" width="7.26953125" style="8" bestFit="1" customWidth="1"/>
    <col min="6409" max="6409" width="4.54296875" style="8" customWidth="1"/>
    <col min="6410" max="6411" width="6.54296875" style="8" customWidth="1"/>
    <col min="6412" max="6412" width="6.81640625" style="8" customWidth="1"/>
    <col min="6413" max="6414" width="6.453125" style="8" customWidth="1"/>
    <col min="6415" max="6415" width="6.26953125" style="8" customWidth="1"/>
    <col min="6416" max="6416" width="5.453125" style="8" customWidth="1"/>
    <col min="6417" max="6417" width="7.81640625" style="8" customWidth="1"/>
    <col min="6418" max="6418" width="7.54296875" style="8" customWidth="1"/>
    <col min="6419" max="6419" width="12.26953125" style="8" customWidth="1"/>
    <col min="6420" max="6420" width="8.453125" style="8" customWidth="1"/>
    <col min="6421" max="6656" width="8.81640625" style="8"/>
    <col min="6657" max="6657" width="17.54296875" style="8" customWidth="1"/>
    <col min="6658" max="6658" width="6.7265625" style="8" customWidth="1"/>
    <col min="6659" max="6659" width="10.7265625" style="8" customWidth="1"/>
    <col min="6660" max="6660" width="10.81640625" style="8" customWidth="1"/>
    <col min="6661" max="6661" width="7.54296875" style="8" customWidth="1"/>
    <col min="6662" max="6662" width="11.26953125" style="8" customWidth="1"/>
    <col min="6663" max="6663" width="9" style="8" customWidth="1"/>
    <col min="6664" max="6664" width="7.26953125" style="8" bestFit="1" customWidth="1"/>
    <col min="6665" max="6665" width="4.54296875" style="8" customWidth="1"/>
    <col min="6666" max="6667" width="6.54296875" style="8" customWidth="1"/>
    <col min="6668" max="6668" width="6.81640625" style="8" customWidth="1"/>
    <col min="6669" max="6670" width="6.453125" style="8" customWidth="1"/>
    <col min="6671" max="6671" width="6.26953125" style="8" customWidth="1"/>
    <col min="6672" max="6672" width="5.453125" style="8" customWidth="1"/>
    <col min="6673" max="6673" width="7.81640625" style="8" customWidth="1"/>
    <col min="6674" max="6674" width="7.54296875" style="8" customWidth="1"/>
    <col min="6675" max="6675" width="12.26953125" style="8" customWidth="1"/>
    <col min="6676" max="6676" width="8.453125" style="8" customWidth="1"/>
    <col min="6677" max="6912" width="8.81640625" style="8"/>
    <col min="6913" max="6913" width="17.54296875" style="8" customWidth="1"/>
    <col min="6914" max="6914" width="6.7265625" style="8" customWidth="1"/>
    <col min="6915" max="6915" width="10.7265625" style="8" customWidth="1"/>
    <col min="6916" max="6916" width="10.81640625" style="8" customWidth="1"/>
    <col min="6917" max="6917" width="7.54296875" style="8" customWidth="1"/>
    <col min="6918" max="6918" width="11.26953125" style="8" customWidth="1"/>
    <col min="6919" max="6919" width="9" style="8" customWidth="1"/>
    <col min="6920" max="6920" width="7.26953125" style="8" bestFit="1" customWidth="1"/>
    <col min="6921" max="6921" width="4.54296875" style="8" customWidth="1"/>
    <col min="6922" max="6923" width="6.54296875" style="8" customWidth="1"/>
    <col min="6924" max="6924" width="6.81640625" style="8" customWidth="1"/>
    <col min="6925" max="6926" width="6.453125" style="8" customWidth="1"/>
    <col min="6927" max="6927" width="6.26953125" style="8" customWidth="1"/>
    <col min="6928" max="6928" width="5.453125" style="8" customWidth="1"/>
    <col min="6929" max="6929" width="7.81640625" style="8" customWidth="1"/>
    <col min="6930" max="6930" width="7.54296875" style="8" customWidth="1"/>
    <col min="6931" max="6931" width="12.26953125" style="8" customWidth="1"/>
    <col min="6932" max="6932" width="8.453125" style="8" customWidth="1"/>
    <col min="6933" max="7168" width="8.81640625" style="8"/>
    <col min="7169" max="7169" width="17.54296875" style="8" customWidth="1"/>
    <col min="7170" max="7170" width="6.7265625" style="8" customWidth="1"/>
    <col min="7171" max="7171" width="10.7265625" style="8" customWidth="1"/>
    <col min="7172" max="7172" width="10.81640625" style="8" customWidth="1"/>
    <col min="7173" max="7173" width="7.54296875" style="8" customWidth="1"/>
    <col min="7174" max="7174" width="11.26953125" style="8" customWidth="1"/>
    <col min="7175" max="7175" width="9" style="8" customWidth="1"/>
    <col min="7176" max="7176" width="7.26953125" style="8" bestFit="1" customWidth="1"/>
    <col min="7177" max="7177" width="4.54296875" style="8" customWidth="1"/>
    <col min="7178" max="7179" width="6.54296875" style="8" customWidth="1"/>
    <col min="7180" max="7180" width="6.81640625" style="8" customWidth="1"/>
    <col min="7181" max="7182" width="6.453125" style="8" customWidth="1"/>
    <col min="7183" max="7183" width="6.26953125" style="8" customWidth="1"/>
    <col min="7184" max="7184" width="5.453125" style="8" customWidth="1"/>
    <col min="7185" max="7185" width="7.81640625" style="8" customWidth="1"/>
    <col min="7186" max="7186" width="7.54296875" style="8" customWidth="1"/>
    <col min="7187" max="7187" width="12.26953125" style="8" customWidth="1"/>
    <col min="7188" max="7188" width="8.453125" style="8" customWidth="1"/>
    <col min="7189" max="7424" width="8.81640625" style="8"/>
    <col min="7425" max="7425" width="17.54296875" style="8" customWidth="1"/>
    <col min="7426" max="7426" width="6.7265625" style="8" customWidth="1"/>
    <col min="7427" max="7427" width="10.7265625" style="8" customWidth="1"/>
    <col min="7428" max="7428" width="10.81640625" style="8" customWidth="1"/>
    <col min="7429" max="7429" width="7.54296875" style="8" customWidth="1"/>
    <col min="7430" max="7430" width="11.26953125" style="8" customWidth="1"/>
    <col min="7431" max="7431" width="9" style="8" customWidth="1"/>
    <col min="7432" max="7432" width="7.26953125" style="8" bestFit="1" customWidth="1"/>
    <col min="7433" max="7433" width="4.54296875" style="8" customWidth="1"/>
    <col min="7434" max="7435" width="6.54296875" style="8" customWidth="1"/>
    <col min="7436" max="7436" width="6.81640625" style="8" customWidth="1"/>
    <col min="7437" max="7438" width="6.453125" style="8" customWidth="1"/>
    <col min="7439" max="7439" width="6.26953125" style="8" customWidth="1"/>
    <col min="7440" max="7440" width="5.453125" style="8" customWidth="1"/>
    <col min="7441" max="7441" width="7.81640625" style="8" customWidth="1"/>
    <col min="7442" max="7442" width="7.54296875" style="8" customWidth="1"/>
    <col min="7443" max="7443" width="12.26953125" style="8" customWidth="1"/>
    <col min="7444" max="7444" width="8.453125" style="8" customWidth="1"/>
    <col min="7445" max="7680" width="8.81640625" style="8"/>
    <col min="7681" max="7681" width="17.54296875" style="8" customWidth="1"/>
    <col min="7682" max="7682" width="6.7265625" style="8" customWidth="1"/>
    <col min="7683" max="7683" width="10.7265625" style="8" customWidth="1"/>
    <col min="7684" max="7684" width="10.81640625" style="8" customWidth="1"/>
    <col min="7685" max="7685" width="7.54296875" style="8" customWidth="1"/>
    <col min="7686" max="7686" width="11.26953125" style="8" customWidth="1"/>
    <col min="7687" max="7687" width="9" style="8" customWidth="1"/>
    <col min="7688" max="7688" width="7.26953125" style="8" bestFit="1" customWidth="1"/>
    <col min="7689" max="7689" width="4.54296875" style="8" customWidth="1"/>
    <col min="7690" max="7691" width="6.54296875" style="8" customWidth="1"/>
    <col min="7692" max="7692" width="6.81640625" style="8" customWidth="1"/>
    <col min="7693" max="7694" width="6.453125" style="8" customWidth="1"/>
    <col min="7695" max="7695" width="6.26953125" style="8" customWidth="1"/>
    <col min="7696" max="7696" width="5.453125" style="8" customWidth="1"/>
    <col min="7697" max="7697" width="7.81640625" style="8" customWidth="1"/>
    <col min="7698" max="7698" width="7.54296875" style="8" customWidth="1"/>
    <col min="7699" max="7699" width="12.26953125" style="8" customWidth="1"/>
    <col min="7700" max="7700" width="8.453125" style="8" customWidth="1"/>
    <col min="7701" max="7936" width="8.81640625" style="8"/>
    <col min="7937" max="7937" width="17.54296875" style="8" customWidth="1"/>
    <col min="7938" max="7938" width="6.7265625" style="8" customWidth="1"/>
    <col min="7939" max="7939" width="10.7265625" style="8" customWidth="1"/>
    <col min="7940" max="7940" width="10.81640625" style="8" customWidth="1"/>
    <col min="7941" max="7941" width="7.54296875" style="8" customWidth="1"/>
    <col min="7942" max="7942" width="11.26953125" style="8" customWidth="1"/>
    <col min="7943" max="7943" width="9" style="8" customWidth="1"/>
    <col min="7944" max="7944" width="7.26953125" style="8" bestFit="1" customWidth="1"/>
    <col min="7945" max="7945" width="4.54296875" style="8" customWidth="1"/>
    <col min="7946" max="7947" width="6.54296875" style="8" customWidth="1"/>
    <col min="7948" max="7948" width="6.81640625" style="8" customWidth="1"/>
    <col min="7949" max="7950" width="6.453125" style="8" customWidth="1"/>
    <col min="7951" max="7951" width="6.26953125" style="8" customWidth="1"/>
    <col min="7952" max="7952" width="5.453125" style="8" customWidth="1"/>
    <col min="7953" max="7953" width="7.81640625" style="8" customWidth="1"/>
    <col min="7954" max="7954" width="7.54296875" style="8" customWidth="1"/>
    <col min="7955" max="7955" width="12.26953125" style="8" customWidth="1"/>
    <col min="7956" max="7956" width="8.453125" style="8" customWidth="1"/>
    <col min="7957" max="8192" width="8.81640625" style="8"/>
    <col min="8193" max="8193" width="17.54296875" style="8" customWidth="1"/>
    <col min="8194" max="8194" width="6.7265625" style="8" customWidth="1"/>
    <col min="8195" max="8195" width="10.7265625" style="8" customWidth="1"/>
    <col min="8196" max="8196" width="10.81640625" style="8" customWidth="1"/>
    <col min="8197" max="8197" width="7.54296875" style="8" customWidth="1"/>
    <col min="8198" max="8198" width="11.26953125" style="8" customWidth="1"/>
    <col min="8199" max="8199" width="9" style="8" customWidth="1"/>
    <col min="8200" max="8200" width="7.26953125" style="8" bestFit="1" customWidth="1"/>
    <col min="8201" max="8201" width="4.54296875" style="8" customWidth="1"/>
    <col min="8202" max="8203" width="6.54296875" style="8" customWidth="1"/>
    <col min="8204" max="8204" width="6.81640625" style="8" customWidth="1"/>
    <col min="8205" max="8206" width="6.453125" style="8" customWidth="1"/>
    <col min="8207" max="8207" width="6.26953125" style="8" customWidth="1"/>
    <col min="8208" max="8208" width="5.453125" style="8" customWidth="1"/>
    <col min="8209" max="8209" width="7.81640625" style="8" customWidth="1"/>
    <col min="8210" max="8210" width="7.54296875" style="8" customWidth="1"/>
    <col min="8211" max="8211" width="12.26953125" style="8" customWidth="1"/>
    <col min="8212" max="8212" width="8.453125" style="8" customWidth="1"/>
    <col min="8213" max="8448" width="8.81640625" style="8"/>
    <col min="8449" max="8449" width="17.54296875" style="8" customWidth="1"/>
    <col min="8450" max="8450" width="6.7265625" style="8" customWidth="1"/>
    <col min="8451" max="8451" width="10.7265625" style="8" customWidth="1"/>
    <col min="8452" max="8452" width="10.81640625" style="8" customWidth="1"/>
    <col min="8453" max="8453" width="7.54296875" style="8" customWidth="1"/>
    <col min="8454" max="8454" width="11.26953125" style="8" customWidth="1"/>
    <col min="8455" max="8455" width="9" style="8" customWidth="1"/>
    <col min="8456" max="8456" width="7.26953125" style="8" bestFit="1" customWidth="1"/>
    <col min="8457" max="8457" width="4.54296875" style="8" customWidth="1"/>
    <col min="8458" max="8459" width="6.54296875" style="8" customWidth="1"/>
    <col min="8460" max="8460" width="6.81640625" style="8" customWidth="1"/>
    <col min="8461" max="8462" width="6.453125" style="8" customWidth="1"/>
    <col min="8463" max="8463" width="6.26953125" style="8" customWidth="1"/>
    <col min="8464" max="8464" width="5.453125" style="8" customWidth="1"/>
    <col min="8465" max="8465" width="7.81640625" style="8" customWidth="1"/>
    <col min="8466" max="8466" width="7.54296875" style="8" customWidth="1"/>
    <col min="8467" max="8467" width="12.26953125" style="8" customWidth="1"/>
    <col min="8468" max="8468" width="8.453125" style="8" customWidth="1"/>
    <col min="8469" max="8704" width="8.81640625" style="8"/>
    <col min="8705" max="8705" width="17.54296875" style="8" customWidth="1"/>
    <col min="8706" max="8706" width="6.7265625" style="8" customWidth="1"/>
    <col min="8707" max="8707" width="10.7265625" style="8" customWidth="1"/>
    <col min="8708" max="8708" width="10.81640625" style="8" customWidth="1"/>
    <col min="8709" max="8709" width="7.54296875" style="8" customWidth="1"/>
    <col min="8710" max="8710" width="11.26953125" style="8" customWidth="1"/>
    <col min="8711" max="8711" width="9" style="8" customWidth="1"/>
    <col min="8712" max="8712" width="7.26953125" style="8" bestFit="1" customWidth="1"/>
    <col min="8713" max="8713" width="4.54296875" style="8" customWidth="1"/>
    <col min="8714" max="8715" width="6.54296875" style="8" customWidth="1"/>
    <col min="8716" max="8716" width="6.81640625" style="8" customWidth="1"/>
    <col min="8717" max="8718" width="6.453125" style="8" customWidth="1"/>
    <col min="8719" max="8719" width="6.26953125" style="8" customWidth="1"/>
    <col min="8720" max="8720" width="5.453125" style="8" customWidth="1"/>
    <col min="8721" max="8721" width="7.81640625" style="8" customWidth="1"/>
    <col min="8722" max="8722" width="7.54296875" style="8" customWidth="1"/>
    <col min="8723" max="8723" width="12.26953125" style="8" customWidth="1"/>
    <col min="8724" max="8724" width="8.453125" style="8" customWidth="1"/>
    <col min="8725" max="8960" width="8.81640625" style="8"/>
    <col min="8961" max="8961" width="17.54296875" style="8" customWidth="1"/>
    <col min="8962" max="8962" width="6.7265625" style="8" customWidth="1"/>
    <col min="8963" max="8963" width="10.7265625" style="8" customWidth="1"/>
    <col min="8964" max="8964" width="10.81640625" style="8" customWidth="1"/>
    <col min="8965" max="8965" width="7.54296875" style="8" customWidth="1"/>
    <col min="8966" max="8966" width="11.26953125" style="8" customWidth="1"/>
    <col min="8967" max="8967" width="9" style="8" customWidth="1"/>
    <col min="8968" max="8968" width="7.26953125" style="8" bestFit="1" customWidth="1"/>
    <col min="8969" max="8969" width="4.54296875" style="8" customWidth="1"/>
    <col min="8970" max="8971" width="6.54296875" style="8" customWidth="1"/>
    <col min="8972" max="8972" width="6.81640625" style="8" customWidth="1"/>
    <col min="8973" max="8974" width="6.453125" style="8" customWidth="1"/>
    <col min="8975" max="8975" width="6.26953125" style="8" customWidth="1"/>
    <col min="8976" max="8976" width="5.453125" style="8" customWidth="1"/>
    <col min="8977" max="8977" width="7.81640625" style="8" customWidth="1"/>
    <col min="8978" max="8978" width="7.54296875" style="8" customWidth="1"/>
    <col min="8979" max="8979" width="12.26953125" style="8" customWidth="1"/>
    <col min="8980" max="8980" width="8.453125" style="8" customWidth="1"/>
    <col min="8981" max="9216" width="8.81640625" style="8"/>
    <col min="9217" max="9217" width="17.54296875" style="8" customWidth="1"/>
    <col min="9218" max="9218" width="6.7265625" style="8" customWidth="1"/>
    <col min="9219" max="9219" width="10.7265625" style="8" customWidth="1"/>
    <col min="9220" max="9220" width="10.81640625" style="8" customWidth="1"/>
    <col min="9221" max="9221" width="7.54296875" style="8" customWidth="1"/>
    <col min="9222" max="9222" width="11.26953125" style="8" customWidth="1"/>
    <col min="9223" max="9223" width="9" style="8" customWidth="1"/>
    <col min="9224" max="9224" width="7.26953125" style="8" bestFit="1" customWidth="1"/>
    <col min="9225" max="9225" width="4.54296875" style="8" customWidth="1"/>
    <col min="9226" max="9227" width="6.54296875" style="8" customWidth="1"/>
    <col min="9228" max="9228" width="6.81640625" style="8" customWidth="1"/>
    <col min="9229" max="9230" width="6.453125" style="8" customWidth="1"/>
    <col min="9231" max="9231" width="6.26953125" style="8" customWidth="1"/>
    <col min="9232" max="9232" width="5.453125" style="8" customWidth="1"/>
    <col min="9233" max="9233" width="7.81640625" style="8" customWidth="1"/>
    <col min="9234" max="9234" width="7.54296875" style="8" customWidth="1"/>
    <col min="9235" max="9235" width="12.26953125" style="8" customWidth="1"/>
    <col min="9236" max="9236" width="8.453125" style="8" customWidth="1"/>
    <col min="9237" max="9472" width="8.81640625" style="8"/>
    <col min="9473" max="9473" width="17.54296875" style="8" customWidth="1"/>
    <col min="9474" max="9474" width="6.7265625" style="8" customWidth="1"/>
    <col min="9475" max="9475" width="10.7265625" style="8" customWidth="1"/>
    <col min="9476" max="9476" width="10.81640625" style="8" customWidth="1"/>
    <col min="9477" max="9477" width="7.54296875" style="8" customWidth="1"/>
    <col min="9478" max="9478" width="11.26953125" style="8" customWidth="1"/>
    <col min="9479" max="9479" width="9" style="8" customWidth="1"/>
    <col min="9480" max="9480" width="7.26953125" style="8" bestFit="1" customWidth="1"/>
    <col min="9481" max="9481" width="4.54296875" style="8" customWidth="1"/>
    <col min="9482" max="9483" width="6.54296875" style="8" customWidth="1"/>
    <col min="9484" max="9484" width="6.81640625" style="8" customWidth="1"/>
    <col min="9485" max="9486" width="6.453125" style="8" customWidth="1"/>
    <col min="9487" max="9487" width="6.26953125" style="8" customWidth="1"/>
    <col min="9488" max="9488" width="5.453125" style="8" customWidth="1"/>
    <col min="9489" max="9489" width="7.81640625" style="8" customWidth="1"/>
    <col min="9490" max="9490" width="7.54296875" style="8" customWidth="1"/>
    <col min="9491" max="9491" width="12.26953125" style="8" customWidth="1"/>
    <col min="9492" max="9492" width="8.453125" style="8" customWidth="1"/>
    <col min="9493" max="9728" width="8.81640625" style="8"/>
    <col min="9729" max="9729" width="17.54296875" style="8" customWidth="1"/>
    <col min="9730" max="9730" width="6.7265625" style="8" customWidth="1"/>
    <col min="9731" max="9731" width="10.7265625" style="8" customWidth="1"/>
    <col min="9732" max="9732" width="10.81640625" style="8" customWidth="1"/>
    <col min="9733" max="9733" width="7.54296875" style="8" customWidth="1"/>
    <col min="9734" max="9734" width="11.26953125" style="8" customWidth="1"/>
    <col min="9735" max="9735" width="9" style="8" customWidth="1"/>
    <col min="9736" max="9736" width="7.26953125" style="8" bestFit="1" customWidth="1"/>
    <col min="9737" max="9737" width="4.54296875" style="8" customWidth="1"/>
    <col min="9738" max="9739" width="6.54296875" style="8" customWidth="1"/>
    <col min="9740" max="9740" width="6.81640625" style="8" customWidth="1"/>
    <col min="9741" max="9742" width="6.453125" style="8" customWidth="1"/>
    <col min="9743" max="9743" width="6.26953125" style="8" customWidth="1"/>
    <col min="9744" max="9744" width="5.453125" style="8" customWidth="1"/>
    <col min="9745" max="9745" width="7.81640625" style="8" customWidth="1"/>
    <col min="9746" max="9746" width="7.54296875" style="8" customWidth="1"/>
    <col min="9747" max="9747" width="12.26953125" style="8" customWidth="1"/>
    <col min="9748" max="9748" width="8.453125" style="8" customWidth="1"/>
    <col min="9749" max="9984" width="8.81640625" style="8"/>
    <col min="9985" max="9985" width="17.54296875" style="8" customWidth="1"/>
    <col min="9986" max="9986" width="6.7265625" style="8" customWidth="1"/>
    <col min="9987" max="9987" width="10.7265625" style="8" customWidth="1"/>
    <col min="9988" max="9988" width="10.81640625" style="8" customWidth="1"/>
    <col min="9989" max="9989" width="7.54296875" style="8" customWidth="1"/>
    <col min="9990" max="9990" width="11.26953125" style="8" customWidth="1"/>
    <col min="9991" max="9991" width="9" style="8" customWidth="1"/>
    <col min="9992" max="9992" width="7.26953125" style="8" bestFit="1" customWidth="1"/>
    <col min="9993" max="9993" width="4.54296875" style="8" customWidth="1"/>
    <col min="9994" max="9995" width="6.54296875" style="8" customWidth="1"/>
    <col min="9996" max="9996" width="6.81640625" style="8" customWidth="1"/>
    <col min="9997" max="9998" width="6.453125" style="8" customWidth="1"/>
    <col min="9999" max="9999" width="6.26953125" style="8" customWidth="1"/>
    <col min="10000" max="10000" width="5.453125" style="8" customWidth="1"/>
    <col min="10001" max="10001" width="7.81640625" style="8" customWidth="1"/>
    <col min="10002" max="10002" width="7.54296875" style="8" customWidth="1"/>
    <col min="10003" max="10003" width="12.26953125" style="8" customWidth="1"/>
    <col min="10004" max="10004" width="8.453125" style="8" customWidth="1"/>
    <col min="10005" max="10240" width="8.81640625" style="8"/>
    <col min="10241" max="10241" width="17.54296875" style="8" customWidth="1"/>
    <col min="10242" max="10242" width="6.7265625" style="8" customWidth="1"/>
    <col min="10243" max="10243" width="10.7265625" style="8" customWidth="1"/>
    <col min="10244" max="10244" width="10.81640625" style="8" customWidth="1"/>
    <col min="10245" max="10245" width="7.54296875" style="8" customWidth="1"/>
    <col min="10246" max="10246" width="11.26953125" style="8" customWidth="1"/>
    <col min="10247" max="10247" width="9" style="8" customWidth="1"/>
    <col min="10248" max="10248" width="7.26953125" style="8" bestFit="1" customWidth="1"/>
    <col min="10249" max="10249" width="4.54296875" style="8" customWidth="1"/>
    <col min="10250" max="10251" width="6.54296875" style="8" customWidth="1"/>
    <col min="10252" max="10252" width="6.81640625" style="8" customWidth="1"/>
    <col min="10253" max="10254" width="6.453125" style="8" customWidth="1"/>
    <col min="10255" max="10255" width="6.26953125" style="8" customWidth="1"/>
    <col min="10256" max="10256" width="5.453125" style="8" customWidth="1"/>
    <col min="10257" max="10257" width="7.81640625" style="8" customWidth="1"/>
    <col min="10258" max="10258" width="7.54296875" style="8" customWidth="1"/>
    <col min="10259" max="10259" width="12.26953125" style="8" customWidth="1"/>
    <col min="10260" max="10260" width="8.453125" style="8" customWidth="1"/>
    <col min="10261" max="10496" width="8.81640625" style="8"/>
    <col min="10497" max="10497" width="17.54296875" style="8" customWidth="1"/>
    <col min="10498" max="10498" width="6.7265625" style="8" customWidth="1"/>
    <col min="10499" max="10499" width="10.7265625" style="8" customWidth="1"/>
    <col min="10500" max="10500" width="10.81640625" style="8" customWidth="1"/>
    <col min="10501" max="10501" width="7.54296875" style="8" customWidth="1"/>
    <col min="10502" max="10502" width="11.26953125" style="8" customWidth="1"/>
    <col min="10503" max="10503" width="9" style="8" customWidth="1"/>
    <col min="10504" max="10504" width="7.26953125" style="8" bestFit="1" customWidth="1"/>
    <col min="10505" max="10505" width="4.54296875" style="8" customWidth="1"/>
    <col min="10506" max="10507" width="6.54296875" style="8" customWidth="1"/>
    <col min="10508" max="10508" width="6.81640625" style="8" customWidth="1"/>
    <col min="10509" max="10510" width="6.453125" style="8" customWidth="1"/>
    <col min="10511" max="10511" width="6.26953125" style="8" customWidth="1"/>
    <col min="10512" max="10512" width="5.453125" style="8" customWidth="1"/>
    <col min="10513" max="10513" width="7.81640625" style="8" customWidth="1"/>
    <col min="10514" max="10514" width="7.54296875" style="8" customWidth="1"/>
    <col min="10515" max="10515" width="12.26953125" style="8" customWidth="1"/>
    <col min="10516" max="10516" width="8.453125" style="8" customWidth="1"/>
    <col min="10517" max="10752" width="8.81640625" style="8"/>
    <col min="10753" max="10753" width="17.54296875" style="8" customWidth="1"/>
    <col min="10754" max="10754" width="6.7265625" style="8" customWidth="1"/>
    <col min="10755" max="10755" width="10.7265625" style="8" customWidth="1"/>
    <col min="10756" max="10756" width="10.81640625" style="8" customWidth="1"/>
    <col min="10757" max="10757" width="7.54296875" style="8" customWidth="1"/>
    <col min="10758" max="10758" width="11.26953125" style="8" customWidth="1"/>
    <col min="10759" max="10759" width="9" style="8" customWidth="1"/>
    <col min="10760" max="10760" width="7.26953125" style="8" bestFit="1" customWidth="1"/>
    <col min="10761" max="10761" width="4.54296875" style="8" customWidth="1"/>
    <col min="10762" max="10763" width="6.54296875" style="8" customWidth="1"/>
    <col min="10764" max="10764" width="6.81640625" style="8" customWidth="1"/>
    <col min="10765" max="10766" width="6.453125" style="8" customWidth="1"/>
    <col min="10767" max="10767" width="6.26953125" style="8" customWidth="1"/>
    <col min="10768" max="10768" width="5.453125" style="8" customWidth="1"/>
    <col min="10769" max="10769" width="7.81640625" style="8" customWidth="1"/>
    <col min="10770" max="10770" width="7.54296875" style="8" customWidth="1"/>
    <col min="10771" max="10771" width="12.26953125" style="8" customWidth="1"/>
    <col min="10772" max="10772" width="8.453125" style="8" customWidth="1"/>
    <col min="10773" max="11008" width="8.81640625" style="8"/>
    <col min="11009" max="11009" width="17.54296875" style="8" customWidth="1"/>
    <col min="11010" max="11010" width="6.7265625" style="8" customWidth="1"/>
    <col min="11011" max="11011" width="10.7265625" style="8" customWidth="1"/>
    <col min="11012" max="11012" width="10.81640625" style="8" customWidth="1"/>
    <col min="11013" max="11013" width="7.54296875" style="8" customWidth="1"/>
    <col min="11014" max="11014" width="11.26953125" style="8" customWidth="1"/>
    <col min="11015" max="11015" width="9" style="8" customWidth="1"/>
    <col min="11016" max="11016" width="7.26953125" style="8" bestFit="1" customWidth="1"/>
    <col min="11017" max="11017" width="4.54296875" style="8" customWidth="1"/>
    <col min="11018" max="11019" width="6.54296875" style="8" customWidth="1"/>
    <col min="11020" max="11020" width="6.81640625" style="8" customWidth="1"/>
    <col min="11021" max="11022" width="6.453125" style="8" customWidth="1"/>
    <col min="11023" max="11023" width="6.26953125" style="8" customWidth="1"/>
    <col min="11024" max="11024" width="5.453125" style="8" customWidth="1"/>
    <col min="11025" max="11025" width="7.81640625" style="8" customWidth="1"/>
    <col min="11026" max="11026" width="7.54296875" style="8" customWidth="1"/>
    <col min="11027" max="11027" width="12.26953125" style="8" customWidth="1"/>
    <col min="11028" max="11028" width="8.453125" style="8" customWidth="1"/>
    <col min="11029" max="11264" width="8.81640625" style="8"/>
    <col min="11265" max="11265" width="17.54296875" style="8" customWidth="1"/>
    <col min="11266" max="11266" width="6.7265625" style="8" customWidth="1"/>
    <col min="11267" max="11267" width="10.7265625" style="8" customWidth="1"/>
    <col min="11268" max="11268" width="10.81640625" style="8" customWidth="1"/>
    <col min="11269" max="11269" width="7.54296875" style="8" customWidth="1"/>
    <col min="11270" max="11270" width="11.26953125" style="8" customWidth="1"/>
    <col min="11271" max="11271" width="9" style="8" customWidth="1"/>
    <col min="11272" max="11272" width="7.26953125" style="8" bestFit="1" customWidth="1"/>
    <col min="11273" max="11273" width="4.54296875" style="8" customWidth="1"/>
    <col min="11274" max="11275" width="6.54296875" style="8" customWidth="1"/>
    <col min="11276" max="11276" width="6.81640625" style="8" customWidth="1"/>
    <col min="11277" max="11278" width="6.453125" style="8" customWidth="1"/>
    <col min="11279" max="11279" width="6.26953125" style="8" customWidth="1"/>
    <col min="11280" max="11280" width="5.453125" style="8" customWidth="1"/>
    <col min="11281" max="11281" width="7.81640625" style="8" customWidth="1"/>
    <col min="11282" max="11282" width="7.54296875" style="8" customWidth="1"/>
    <col min="11283" max="11283" width="12.26953125" style="8" customWidth="1"/>
    <col min="11284" max="11284" width="8.453125" style="8" customWidth="1"/>
    <col min="11285" max="11520" width="8.81640625" style="8"/>
    <col min="11521" max="11521" width="17.54296875" style="8" customWidth="1"/>
    <col min="11522" max="11522" width="6.7265625" style="8" customWidth="1"/>
    <col min="11523" max="11523" width="10.7265625" style="8" customWidth="1"/>
    <col min="11524" max="11524" width="10.81640625" style="8" customWidth="1"/>
    <col min="11525" max="11525" width="7.54296875" style="8" customWidth="1"/>
    <col min="11526" max="11526" width="11.26953125" style="8" customWidth="1"/>
    <col min="11527" max="11527" width="9" style="8" customWidth="1"/>
    <col min="11528" max="11528" width="7.26953125" style="8" bestFit="1" customWidth="1"/>
    <col min="11529" max="11529" width="4.54296875" style="8" customWidth="1"/>
    <col min="11530" max="11531" width="6.54296875" style="8" customWidth="1"/>
    <col min="11532" max="11532" width="6.81640625" style="8" customWidth="1"/>
    <col min="11533" max="11534" width="6.453125" style="8" customWidth="1"/>
    <col min="11535" max="11535" width="6.26953125" style="8" customWidth="1"/>
    <col min="11536" max="11536" width="5.453125" style="8" customWidth="1"/>
    <col min="11537" max="11537" width="7.81640625" style="8" customWidth="1"/>
    <col min="11538" max="11538" width="7.54296875" style="8" customWidth="1"/>
    <col min="11539" max="11539" width="12.26953125" style="8" customWidth="1"/>
    <col min="11540" max="11540" width="8.453125" style="8" customWidth="1"/>
    <col min="11541" max="11776" width="8.81640625" style="8"/>
    <col min="11777" max="11777" width="17.54296875" style="8" customWidth="1"/>
    <col min="11778" max="11778" width="6.7265625" style="8" customWidth="1"/>
    <col min="11779" max="11779" width="10.7265625" style="8" customWidth="1"/>
    <col min="11780" max="11780" width="10.81640625" style="8" customWidth="1"/>
    <col min="11781" max="11781" width="7.54296875" style="8" customWidth="1"/>
    <col min="11782" max="11782" width="11.26953125" style="8" customWidth="1"/>
    <col min="11783" max="11783" width="9" style="8" customWidth="1"/>
    <col min="11784" max="11784" width="7.26953125" style="8" bestFit="1" customWidth="1"/>
    <col min="11785" max="11785" width="4.54296875" style="8" customWidth="1"/>
    <col min="11786" max="11787" width="6.54296875" style="8" customWidth="1"/>
    <col min="11788" max="11788" width="6.81640625" style="8" customWidth="1"/>
    <col min="11789" max="11790" width="6.453125" style="8" customWidth="1"/>
    <col min="11791" max="11791" width="6.26953125" style="8" customWidth="1"/>
    <col min="11792" max="11792" width="5.453125" style="8" customWidth="1"/>
    <col min="11793" max="11793" width="7.81640625" style="8" customWidth="1"/>
    <col min="11794" max="11794" width="7.54296875" style="8" customWidth="1"/>
    <col min="11795" max="11795" width="12.26953125" style="8" customWidth="1"/>
    <col min="11796" max="11796" width="8.453125" style="8" customWidth="1"/>
    <col min="11797" max="12032" width="8.81640625" style="8"/>
    <col min="12033" max="12033" width="17.54296875" style="8" customWidth="1"/>
    <col min="12034" max="12034" width="6.7265625" style="8" customWidth="1"/>
    <col min="12035" max="12035" width="10.7265625" style="8" customWidth="1"/>
    <col min="12036" max="12036" width="10.81640625" style="8" customWidth="1"/>
    <col min="12037" max="12037" width="7.54296875" style="8" customWidth="1"/>
    <col min="12038" max="12038" width="11.26953125" style="8" customWidth="1"/>
    <col min="12039" max="12039" width="9" style="8" customWidth="1"/>
    <col min="12040" max="12040" width="7.26953125" style="8" bestFit="1" customWidth="1"/>
    <col min="12041" max="12041" width="4.54296875" style="8" customWidth="1"/>
    <col min="12042" max="12043" width="6.54296875" style="8" customWidth="1"/>
    <col min="12044" max="12044" width="6.81640625" style="8" customWidth="1"/>
    <col min="12045" max="12046" width="6.453125" style="8" customWidth="1"/>
    <col min="12047" max="12047" width="6.26953125" style="8" customWidth="1"/>
    <col min="12048" max="12048" width="5.453125" style="8" customWidth="1"/>
    <col min="12049" max="12049" width="7.81640625" style="8" customWidth="1"/>
    <col min="12050" max="12050" width="7.54296875" style="8" customWidth="1"/>
    <col min="12051" max="12051" width="12.26953125" style="8" customWidth="1"/>
    <col min="12052" max="12052" width="8.453125" style="8" customWidth="1"/>
    <col min="12053" max="12288" width="8.81640625" style="8"/>
    <col min="12289" max="12289" width="17.54296875" style="8" customWidth="1"/>
    <col min="12290" max="12290" width="6.7265625" style="8" customWidth="1"/>
    <col min="12291" max="12291" width="10.7265625" style="8" customWidth="1"/>
    <col min="12292" max="12292" width="10.81640625" style="8" customWidth="1"/>
    <col min="12293" max="12293" width="7.54296875" style="8" customWidth="1"/>
    <col min="12294" max="12294" width="11.26953125" style="8" customWidth="1"/>
    <col min="12295" max="12295" width="9" style="8" customWidth="1"/>
    <col min="12296" max="12296" width="7.26953125" style="8" bestFit="1" customWidth="1"/>
    <col min="12297" max="12297" width="4.54296875" style="8" customWidth="1"/>
    <col min="12298" max="12299" width="6.54296875" style="8" customWidth="1"/>
    <col min="12300" max="12300" width="6.81640625" style="8" customWidth="1"/>
    <col min="12301" max="12302" width="6.453125" style="8" customWidth="1"/>
    <col min="12303" max="12303" width="6.26953125" style="8" customWidth="1"/>
    <col min="12304" max="12304" width="5.453125" style="8" customWidth="1"/>
    <col min="12305" max="12305" width="7.81640625" style="8" customWidth="1"/>
    <col min="12306" max="12306" width="7.54296875" style="8" customWidth="1"/>
    <col min="12307" max="12307" width="12.26953125" style="8" customWidth="1"/>
    <col min="12308" max="12308" width="8.453125" style="8" customWidth="1"/>
    <col min="12309" max="12544" width="8.81640625" style="8"/>
    <col min="12545" max="12545" width="17.54296875" style="8" customWidth="1"/>
    <col min="12546" max="12546" width="6.7265625" style="8" customWidth="1"/>
    <col min="12547" max="12547" width="10.7265625" style="8" customWidth="1"/>
    <col min="12548" max="12548" width="10.81640625" style="8" customWidth="1"/>
    <col min="12549" max="12549" width="7.54296875" style="8" customWidth="1"/>
    <col min="12550" max="12550" width="11.26953125" style="8" customWidth="1"/>
    <col min="12551" max="12551" width="9" style="8" customWidth="1"/>
    <col min="12552" max="12552" width="7.26953125" style="8" bestFit="1" customWidth="1"/>
    <col min="12553" max="12553" width="4.54296875" style="8" customWidth="1"/>
    <col min="12554" max="12555" width="6.54296875" style="8" customWidth="1"/>
    <col min="12556" max="12556" width="6.81640625" style="8" customWidth="1"/>
    <col min="12557" max="12558" width="6.453125" style="8" customWidth="1"/>
    <col min="12559" max="12559" width="6.26953125" style="8" customWidth="1"/>
    <col min="12560" max="12560" width="5.453125" style="8" customWidth="1"/>
    <col min="12561" max="12561" width="7.81640625" style="8" customWidth="1"/>
    <col min="12562" max="12562" width="7.54296875" style="8" customWidth="1"/>
    <col min="12563" max="12563" width="12.26953125" style="8" customWidth="1"/>
    <col min="12564" max="12564" width="8.453125" style="8" customWidth="1"/>
    <col min="12565" max="12800" width="8.81640625" style="8"/>
    <col min="12801" max="12801" width="17.54296875" style="8" customWidth="1"/>
    <col min="12802" max="12802" width="6.7265625" style="8" customWidth="1"/>
    <col min="12803" max="12803" width="10.7265625" style="8" customWidth="1"/>
    <col min="12804" max="12804" width="10.81640625" style="8" customWidth="1"/>
    <col min="12805" max="12805" width="7.54296875" style="8" customWidth="1"/>
    <col min="12806" max="12806" width="11.26953125" style="8" customWidth="1"/>
    <col min="12807" max="12807" width="9" style="8" customWidth="1"/>
    <col min="12808" max="12808" width="7.26953125" style="8" bestFit="1" customWidth="1"/>
    <col min="12809" max="12809" width="4.54296875" style="8" customWidth="1"/>
    <col min="12810" max="12811" width="6.54296875" style="8" customWidth="1"/>
    <col min="12812" max="12812" width="6.81640625" style="8" customWidth="1"/>
    <col min="12813" max="12814" width="6.453125" style="8" customWidth="1"/>
    <col min="12815" max="12815" width="6.26953125" style="8" customWidth="1"/>
    <col min="12816" max="12816" width="5.453125" style="8" customWidth="1"/>
    <col min="12817" max="12817" width="7.81640625" style="8" customWidth="1"/>
    <col min="12818" max="12818" width="7.54296875" style="8" customWidth="1"/>
    <col min="12819" max="12819" width="12.26953125" style="8" customWidth="1"/>
    <col min="12820" max="12820" width="8.453125" style="8" customWidth="1"/>
    <col min="12821" max="13056" width="8.81640625" style="8"/>
    <col min="13057" max="13057" width="17.54296875" style="8" customWidth="1"/>
    <col min="13058" max="13058" width="6.7265625" style="8" customWidth="1"/>
    <col min="13059" max="13059" width="10.7265625" style="8" customWidth="1"/>
    <col min="13060" max="13060" width="10.81640625" style="8" customWidth="1"/>
    <col min="13061" max="13061" width="7.54296875" style="8" customWidth="1"/>
    <col min="13062" max="13062" width="11.26953125" style="8" customWidth="1"/>
    <col min="13063" max="13063" width="9" style="8" customWidth="1"/>
    <col min="13064" max="13064" width="7.26953125" style="8" bestFit="1" customWidth="1"/>
    <col min="13065" max="13065" width="4.54296875" style="8" customWidth="1"/>
    <col min="13066" max="13067" width="6.54296875" style="8" customWidth="1"/>
    <col min="13068" max="13068" width="6.81640625" style="8" customWidth="1"/>
    <col min="13069" max="13070" width="6.453125" style="8" customWidth="1"/>
    <col min="13071" max="13071" width="6.26953125" style="8" customWidth="1"/>
    <col min="13072" max="13072" width="5.453125" style="8" customWidth="1"/>
    <col min="13073" max="13073" width="7.81640625" style="8" customWidth="1"/>
    <col min="13074" max="13074" width="7.54296875" style="8" customWidth="1"/>
    <col min="13075" max="13075" width="12.26953125" style="8" customWidth="1"/>
    <col min="13076" max="13076" width="8.453125" style="8" customWidth="1"/>
    <col min="13077" max="13312" width="8.81640625" style="8"/>
    <col min="13313" max="13313" width="17.54296875" style="8" customWidth="1"/>
    <col min="13314" max="13314" width="6.7265625" style="8" customWidth="1"/>
    <col min="13315" max="13315" width="10.7265625" style="8" customWidth="1"/>
    <col min="13316" max="13316" width="10.81640625" style="8" customWidth="1"/>
    <col min="13317" max="13317" width="7.54296875" style="8" customWidth="1"/>
    <col min="13318" max="13318" width="11.26953125" style="8" customWidth="1"/>
    <col min="13319" max="13319" width="9" style="8" customWidth="1"/>
    <col min="13320" max="13320" width="7.26953125" style="8" bestFit="1" customWidth="1"/>
    <col min="13321" max="13321" width="4.54296875" style="8" customWidth="1"/>
    <col min="13322" max="13323" width="6.54296875" style="8" customWidth="1"/>
    <col min="13324" max="13324" width="6.81640625" style="8" customWidth="1"/>
    <col min="13325" max="13326" width="6.453125" style="8" customWidth="1"/>
    <col min="13327" max="13327" width="6.26953125" style="8" customWidth="1"/>
    <col min="13328" max="13328" width="5.453125" style="8" customWidth="1"/>
    <col min="13329" max="13329" width="7.81640625" style="8" customWidth="1"/>
    <col min="13330" max="13330" width="7.54296875" style="8" customWidth="1"/>
    <col min="13331" max="13331" width="12.26953125" style="8" customWidth="1"/>
    <col min="13332" max="13332" width="8.453125" style="8" customWidth="1"/>
    <col min="13333" max="13568" width="8.81640625" style="8"/>
    <col min="13569" max="13569" width="17.54296875" style="8" customWidth="1"/>
    <col min="13570" max="13570" width="6.7265625" style="8" customWidth="1"/>
    <col min="13571" max="13571" width="10.7265625" style="8" customWidth="1"/>
    <col min="13572" max="13572" width="10.81640625" style="8" customWidth="1"/>
    <col min="13573" max="13573" width="7.54296875" style="8" customWidth="1"/>
    <col min="13574" max="13574" width="11.26953125" style="8" customWidth="1"/>
    <col min="13575" max="13575" width="9" style="8" customWidth="1"/>
    <col min="13576" max="13576" width="7.26953125" style="8" bestFit="1" customWidth="1"/>
    <col min="13577" max="13577" width="4.54296875" style="8" customWidth="1"/>
    <col min="13578" max="13579" width="6.54296875" style="8" customWidth="1"/>
    <col min="13580" max="13580" width="6.81640625" style="8" customWidth="1"/>
    <col min="13581" max="13582" width="6.453125" style="8" customWidth="1"/>
    <col min="13583" max="13583" width="6.26953125" style="8" customWidth="1"/>
    <col min="13584" max="13584" width="5.453125" style="8" customWidth="1"/>
    <col min="13585" max="13585" width="7.81640625" style="8" customWidth="1"/>
    <col min="13586" max="13586" width="7.54296875" style="8" customWidth="1"/>
    <col min="13587" max="13587" width="12.26953125" style="8" customWidth="1"/>
    <col min="13588" max="13588" width="8.453125" style="8" customWidth="1"/>
    <col min="13589" max="13824" width="8.81640625" style="8"/>
    <col min="13825" max="13825" width="17.54296875" style="8" customWidth="1"/>
    <col min="13826" max="13826" width="6.7265625" style="8" customWidth="1"/>
    <col min="13827" max="13827" width="10.7265625" style="8" customWidth="1"/>
    <col min="13828" max="13828" width="10.81640625" style="8" customWidth="1"/>
    <col min="13829" max="13829" width="7.54296875" style="8" customWidth="1"/>
    <col min="13830" max="13830" width="11.26953125" style="8" customWidth="1"/>
    <col min="13831" max="13831" width="9" style="8" customWidth="1"/>
    <col min="13832" max="13832" width="7.26953125" style="8" bestFit="1" customWidth="1"/>
    <col min="13833" max="13833" width="4.54296875" style="8" customWidth="1"/>
    <col min="13834" max="13835" width="6.54296875" style="8" customWidth="1"/>
    <col min="13836" max="13836" width="6.81640625" style="8" customWidth="1"/>
    <col min="13837" max="13838" width="6.453125" style="8" customWidth="1"/>
    <col min="13839" max="13839" width="6.26953125" style="8" customWidth="1"/>
    <col min="13840" max="13840" width="5.453125" style="8" customWidth="1"/>
    <col min="13841" max="13841" width="7.81640625" style="8" customWidth="1"/>
    <col min="13842" max="13842" width="7.54296875" style="8" customWidth="1"/>
    <col min="13843" max="13843" width="12.26953125" style="8" customWidth="1"/>
    <col min="13844" max="13844" width="8.453125" style="8" customWidth="1"/>
    <col min="13845" max="14080" width="8.81640625" style="8"/>
    <col min="14081" max="14081" width="17.54296875" style="8" customWidth="1"/>
    <col min="14082" max="14082" width="6.7265625" style="8" customWidth="1"/>
    <col min="14083" max="14083" width="10.7265625" style="8" customWidth="1"/>
    <col min="14084" max="14084" width="10.81640625" style="8" customWidth="1"/>
    <col min="14085" max="14085" width="7.54296875" style="8" customWidth="1"/>
    <col min="14086" max="14086" width="11.26953125" style="8" customWidth="1"/>
    <col min="14087" max="14087" width="9" style="8" customWidth="1"/>
    <col min="14088" max="14088" width="7.26953125" style="8" bestFit="1" customWidth="1"/>
    <col min="14089" max="14089" width="4.54296875" style="8" customWidth="1"/>
    <col min="14090" max="14091" width="6.54296875" style="8" customWidth="1"/>
    <col min="14092" max="14092" width="6.81640625" style="8" customWidth="1"/>
    <col min="14093" max="14094" width="6.453125" style="8" customWidth="1"/>
    <col min="14095" max="14095" width="6.26953125" style="8" customWidth="1"/>
    <col min="14096" max="14096" width="5.453125" style="8" customWidth="1"/>
    <col min="14097" max="14097" width="7.81640625" style="8" customWidth="1"/>
    <col min="14098" max="14098" width="7.54296875" style="8" customWidth="1"/>
    <col min="14099" max="14099" width="12.26953125" style="8" customWidth="1"/>
    <col min="14100" max="14100" width="8.453125" style="8" customWidth="1"/>
    <col min="14101" max="14336" width="8.81640625" style="8"/>
    <col min="14337" max="14337" width="17.54296875" style="8" customWidth="1"/>
    <col min="14338" max="14338" width="6.7265625" style="8" customWidth="1"/>
    <col min="14339" max="14339" width="10.7265625" style="8" customWidth="1"/>
    <col min="14340" max="14340" width="10.81640625" style="8" customWidth="1"/>
    <col min="14341" max="14341" width="7.54296875" style="8" customWidth="1"/>
    <col min="14342" max="14342" width="11.26953125" style="8" customWidth="1"/>
    <col min="14343" max="14343" width="9" style="8" customWidth="1"/>
    <col min="14344" max="14344" width="7.26953125" style="8" bestFit="1" customWidth="1"/>
    <col min="14345" max="14345" width="4.54296875" style="8" customWidth="1"/>
    <col min="14346" max="14347" width="6.54296875" style="8" customWidth="1"/>
    <col min="14348" max="14348" width="6.81640625" style="8" customWidth="1"/>
    <col min="14349" max="14350" width="6.453125" style="8" customWidth="1"/>
    <col min="14351" max="14351" width="6.26953125" style="8" customWidth="1"/>
    <col min="14352" max="14352" width="5.453125" style="8" customWidth="1"/>
    <col min="14353" max="14353" width="7.81640625" style="8" customWidth="1"/>
    <col min="14354" max="14354" width="7.54296875" style="8" customWidth="1"/>
    <col min="14355" max="14355" width="12.26953125" style="8" customWidth="1"/>
    <col min="14356" max="14356" width="8.453125" style="8" customWidth="1"/>
    <col min="14357" max="14592" width="8.81640625" style="8"/>
    <col min="14593" max="14593" width="17.54296875" style="8" customWidth="1"/>
    <col min="14594" max="14594" width="6.7265625" style="8" customWidth="1"/>
    <col min="14595" max="14595" width="10.7265625" style="8" customWidth="1"/>
    <col min="14596" max="14596" width="10.81640625" style="8" customWidth="1"/>
    <col min="14597" max="14597" width="7.54296875" style="8" customWidth="1"/>
    <col min="14598" max="14598" width="11.26953125" style="8" customWidth="1"/>
    <col min="14599" max="14599" width="9" style="8" customWidth="1"/>
    <col min="14600" max="14600" width="7.26953125" style="8" bestFit="1" customWidth="1"/>
    <col min="14601" max="14601" width="4.54296875" style="8" customWidth="1"/>
    <col min="14602" max="14603" width="6.54296875" style="8" customWidth="1"/>
    <col min="14604" max="14604" width="6.81640625" style="8" customWidth="1"/>
    <col min="14605" max="14606" width="6.453125" style="8" customWidth="1"/>
    <col min="14607" max="14607" width="6.26953125" style="8" customWidth="1"/>
    <col min="14608" max="14608" width="5.453125" style="8" customWidth="1"/>
    <col min="14609" max="14609" width="7.81640625" style="8" customWidth="1"/>
    <col min="14610" max="14610" width="7.54296875" style="8" customWidth="1"/>
    <col min="14611" max="14611" width="12.26953125" style="8" customWidth="1"/>
    <col min="14612" max="14612" width="8.453125" style="8" customWidth="1"/>
    <col min="14613" max="14848" width="8.81640625" style="8"/>
    <col min="14849" max="14849" width="17.54296875" style="8" customWidth="1"/>
    <col min="14850" max="14850" width="6.7265625" style="8" customWidth="1"/>
    <col min="14851" max="14851" width="10.7265625" style="8" customWidth="1"/>
    <col min="14852" max="14852" width="10.81640625" style="8" customWidth="1"/>
    <col min="14853" max="14853" width="7.54296875" style="8" customWidth="1"/>
    <col min="14854" max="14854" width="11.26953125" style="8" customWidth="1"/>
    <col min="14855" max="14855" width="9" style="8" customWidth="1"/>
    <col min="14856" max="14856" width="7.26953125" style="8" bestFit="1" customWidth="1"/>
    <col min="14857" max="14857" width="4.54296875" style="8" customWidth="1"/>
    <col min="14858" max="14859" width="6.54296875" style="8" customWidth="1"/>
    <col min="14860" max="14860" width="6.81640625" style="8" customWidth="1"/>
    <col min="14861" max="14862" width="6.453125" style="8" customWidth="1"/>
    <col min="14863" max="14863" width="6.26953125" style="8" customWidth="1"/>
    <col min="14864" max="14864" width="5.453125" style="8" customWidth="1"/>
    <col min="14865" max="14865" width="7.81640625" style="8" customWidth="1"/>
    <col min="14866" max="14866" width="7.54296875" style="8" customWidth="1"/>
    <col min="14867" max="14867" width="12.26953125" style="8" customWidth="1"/>
    <col min="14868" max="14868" width="8.453125" style="8" customWidth="1"/>
    <col min="14869" max="15104" width="8.81640625" style="8"/>
    <col min="15105" max="15105" width="17.54296875" style="8" customWidth="1"/>
    <col min="15106" max="15106" width="6.7265625" style="8" customWidth="1"/>
    <col min="15107" max="15107" width="10.7265625" style="8" customWidth="1"/>
    <col min="15108" max="15108" width="10.81640625" style="8" customWidth="1"/>
    <col min="15109" max="15109" width="7.54296875" style="8" customWidth="1"/>
    <col min="15110" max="15110" width="11.26953125" style="8" customWidth="1"/>
    <col min="15111" max="15111" width="9" style="8" customWidth="1"/>
    <col min="15112" max="15112" width="7.26953125" style="8" bestFit="1" customWidth="1"/>
    <col min="15113" max="15113" width="4.54296875" style="8" customWidth="1"/>
    <col min="15114" max="15115" width="6.54296875" style="8" customWidth="1"/>
    <col min="15116" max="15116" width="6.81640625" style="8" customWidth="1"/>
    <col min="15117" max="15118" width="6.453125" style="8" customWidth="1"/>
    <col min="15119" max="15119" width="6.26953125" style="8" customWidth="1"/>
    <col min="15120" max="15120" width="5.453125" style="8" customWidth="1"/>
    <col min="15121" max="15121" width="7.81640625" style="8" customWidth="1"/>
    <col min="15122" max="15122" width="7.54296875" style="8" customWidth="1"/>
    <col min="15123" max="15123" width="12.26953125" style="8" customWidth="1"/>
    <col min="15124" max="15124" width="8.453125" style="8" customWidth="1"/>
    <col min="15125" max="15360" width="8.81640625" style="8"/>
    <col min="15361" max="15361" width="17.54296875" style="8" customWidth="1"/>
    <col min="15362" max="15362" width="6.7265625" style="8" customWidth="1"/>
    <col min="15363" max="15363" width="10.7265625" style="8" customWidth="1"/>
    <col min="15364" max="15364" width="10.81640625" style="8" customWidth="1"/>
    <col min="15365" max="15365" width="7.54296875" style="8" customWidth="1"/>
    <col min="15366" max="15366" width="11.26953125" style="8" customWidth="1"/>
    <col min="15367" max="15367" width="9" style="8" customWidth="1"/>
    <col min="15368" max="15368" width="7.26953125" style="8" bestFit="1" customWidth="1"/>
    <col min="15369" max="15369" width="4.54296875" style="8" customWidth="1"/>
    <col min="15370" max="15371" width="6.54296875" style="8" customWidth="1"/>
    <col min="15372" max="15372" width="6.81640625" style="8" customWidth="1"/>
    <col min="15373" max="15374" width="6.453125" style="8" customWidth="1"/>
    <col min="15375" max="15375" width="6.26953125" style="8" customWidth="1"/>
    <col min="15376" max="15376" width="5.453125" style="8" customWidth="1"/>
    <col min="15377" max="15377" width="7.81640625" style="8" customWidth="1"/>
    <col min="15378" max="15378" width="7.54296875" style="8" customWidth="1"/>
    <col min="15379" max="15379" width="12.26953125" style="8" customWidth="1"/>
    <col min="15380" max="15380" width="8.453125" style="8" customWidth="1"/>
    <col min="15381" max="15616" width="8.81640625" style="8"/>
    <col min="15617" max="15617" width="17.54296875" style="8" customWidth="1"/>
    <col min="15618" max="15618" width="6.7265625" style="8" customWidth="1"/>
    <col min="15619" max="15619" width="10.7265625" style="8" customWidth="1"/>
    <col min="15620" max="15620" width="10.81640625" style="8" customWidth="1"/>
    <col min="15621" max="15621" width="7.54296875" style="8" customWidth="1"/>
    <col min="15622" max="15622" width="11.26953125" style="8" customWidth="1"/>
    <col min="15623" max="15623" width="9" style="8" customWidth="1"/>
    <col min="15624" max="15624" width="7.26953125" style="8" bestFit="1" customWidth="1"/>
    <col min="15625" max="15625" width="4.54296875" style="8" customWidth="1"/>
    <col min="15626" max="15627" width="6.54296875" style="8" customWidth="1"/>
    <col min="15628" max="15628" width="6.81640625" style="8" customWidth="1"/>
    <col min="15629" max="15630" width="6.453125" style="8" customWidth="1"/>
    <col min="15631" max="15631" width="6.26953125" style="8" customWidth="1"/>
    <col min="15632" max="15632" width="5.453125" style="8" customWidth="1"/>
    <col min="15633" max="15633" width="7.81640625" style="8" customWidth="1"/>
    <col min="15634" max="15634" width="7.54296875" style="8" customWidth="1"/>
    <col min="15635" max="15635" width="12.26953125" style="8" customWidth="1"/>
    <col min="15636" max="15636" width="8.453125" style="8" customWidth="1"/>
    <col min="15637" max="15872" width="8.81640625" style="8"/>
    <col min="15873" max="15873" width="17.54296875" style="8" customWidth="1"/>
    <col min="15874" max="15874" width="6.7265625" style="8" customWidth="1"/>
    <col min="15875" max="15875" width="10.7265625" style="8" customWidth="1"/>
    <col min="15876" max="15876" width="10.81640625" style="8" customWidth="1"/>
    <col min="15877" max="15877" width="7.54296875" style="8" customWidth="1"/>
    <col min="15878" max="15878" width="11.26953125" style="8" customWidth="1"/>
    <col min="15879" max="15879" width="9" style="8" customWidth="1"/>
    <col min="15880" max="15880" width="7.26953125" style="8" bestFit="1" customWidth="1"/>
    <col min="15881" max="15881" width="4.54296875" style="8" customWidth="1"/>
    <col min="15882" max="15883" width="6.54296875" style="8" customWidth="1"/>
    <col min="15884" max="15884" width="6.81640625" style="8" customWidth="1"/>
    <col min="15885" max="15886" width="6.453125" style="8" customWidth="1"/>
    <col min="15887" max="15887" width="6.26953125" style="8" customWidth="1"/>
    <col min="15888" max="15888" width="5.453125" style="8" customWidth="1"/>
    <col min="15889" max="15889" width="7.81640625" style="8" customWidth="1"/>
    <col min="15890" max="15890" width="7.54296875" style="8" customWidth="1"/>
    <col min="15891" max="15891" width="12.26953125" style="8" customWidth="1"/>
    <col min="15892" max="15892" width="8.453125" style="8" customWidth="1"/>
    <col min="15893" max="16128" width="8.81640625" style="8"/>
    <col min="16129" max="16129" width="17.54296875" style="8" customWidth="1"/>
    <col min="16130" max="16130" width="6.7265625" style="8" customWidth="1"/>
    <col min="16131" max="16131" width="10.7265625" style="8" customWidth="1"/>
    <col min="16132" max="16132" width="10.81640625" style="8" customWidth="1"/>
    <col min="16133" max="16133" width="7.54296875" style="8" customWidth="1"/>
    <col min="16134" max="16134" width="11.26953125" style="8" customWidth="1"/>
    <col min="16135" max="16135" width="9" style="8" customWidth="1"/>
    <col min="16136" max="16136" width="7.26953125" style="8" bestFit="1" customWidth="1"/>
    <col min="16137" max="16137" width="4.54296875" style="8" customWidth="1"/>
    <col min="16138" max="16139" width="6.54296875" style="8" customWidth="1"/>
    <col min="16140" max="16140" width="6.81640625" style="8" customWidth="1"/>
    <col min="16141" max="16142" width="6.453125" style="8" customWidth="1"/>
    <col min="16143" max="16143" width="6.26953125" style="8" customWidth="1"/>
    <col min="16144" max="16144" width="5.453125" style="8" customWidth="1"/>
    <col min="16145" max="16145" width="7.81640625" style="8" customWidth="1"/>
    <col min="16146" max="16146" width="7.54296875" style="8" customWidth="1"/>
    <col min="16147" max="16147" width="12.26953125" style="8" customWidth="1"/>
    <col min="16148" max="16148" width="8.453125" style="8" customWidth="1"/>
    <col min="16149" max="16384" width="8.81640625" style="8"/>
  </cols>
  <sheetData>
    <row r="1" spans="1:4">
      <c r="A1" s="138" t="s">
        <v>93</v>
      </c>
    </row>
    <row r="2" spans="1:4">
      <c r="A2" s="138" t="s">
        <v>94</v>
      </c>
    </row>
    <row r="3" spans="1:4">
      <c r="A3" s="118"/>
    </row>
    <row r="4" spans="1:4">
      <c r="A4" s="16" t="s">
        <v>95</v>
      </c>
    </row>
    <row r="5" spans="1:4">
      <c r="A5" s="8" t="s">
        <v>135</v>
      </c>
    </row>
    <row r="6" spans="1:4">
      <c r="A6" s="8" t="s">
        <v>96</v>
      </c>
    </row>
    <row r="7" spans="1:4">
      <c r="A7" s="8" t="s">
        <v>97</v>
      </c>
    </row>
    <row r="8" spans="1:4">
      <c r="A8" s="8" t="s">
        <v>98</v>
      </c>
    </row>
    <row r="10" spans="1:4">
      <c r="A10" s="8" t="s">
        <v>99</v>
      </c>
    </row>
    <row r="11" spans="1:4">
      <c r="A11" s="8" t="s">
        <v>100</v>
      </c>
    </row>
    <row r="12" spans="1:4">
      <c r="A12" s="8" t="s">
        <v>101</v>
      </c>
    </row>
    <row r="13" spans="1:4">
      <c r="A13" s="8" t="s">
        <v>102</v>
      </c>
    </row>
    <row r="15" spans="1:4">
      <c r="A15" s="16" t="s">
        <v>103</v>
      </c>
    </row>
    <row r="16" spans="1:4">
      <c r="A16" s="8" t="s">
        <v>136</v>
      </c>
      <c r="B16" s="10"/>
      <c r="C16" s="10"/>
      <c r="D16" s="10"/>
    </row>
    <row r="17" spans="1:4">
      <c r="A17" s="139" t="s">
        <v>104</v>
      </c>
      <c r="B17" s="10"/>
      <c r="C17" s="10"/>
      <c r="D17" s="10"/>
    </row>
    <row r="18" spans="1:4">
      <c r="A18" s="139" t="s">
        <v>105</v>
      </c>
      <c r="B18" s="10"/>
      <c r="C18" s="10"/>
      <c r="D18" s="10"/>
    </row>
    <row r="19" spans="1:4">
      <c r="A19" s="8" t="s">
        <v>137</v>
      </c>
      <c r="B19" s="10"/>
      <c r="C19" s="10"/>
      <c r="D19" s="10"/>
    </row>
    <row r="20" spans="1:4">
      <c r="A20" s="8" t="s">
        <v>106</v>
      </c>
      <c r="B20" s="10"/>
      <c r="C20" s="10"/>
      <c r="D20" s="10"/>
    </row>
    <row r="21" spans="1:4">
      <c r="A21" s="8" t="s">
        <v>107</v>
      </c>
      <c r="B21" s="10"/>
      <c r="C21" s="10"/>
      <c r="D21" s="10"/>
    </row>
    <row r="22" spans="1:4">
      <c r="A22" s="8" t="s">
        <v>138</v>
      </c>
      <c r="B22" s="10"/>
      <c r="C22" s="10"/>
      <c r="D22" s="10"/>
    </row>
    <row r="23" spans="1:4">
      <c r="A23" s="139" t="s">
        <v>108</v>
      </c>
      <c r="B23" s="10"/>
      <c r="C23" s="10"/>
      <c r="D23" s="10"/>
    </row>
    <row r="24" spans="1:4">
      <c r="A24" s="139" t="s">
        <v>109</v>
      </c>
      <c r="B24" s="10"/>
      <c r="C24" s="10"/>
      <c r="D24" s="10"/>
    </row>
    <row r="25" spans="1:4">
      <c r="A25" s="140" t="s">
        <v>139</v>
      </c>
      <c r="B25" s="141">
        <v>2.2046000000000001</v>
      </c>
      <c r="C25" s="10"/>
      <c r="D25" s="10"/>
    </row>
    <row r="26" spans="1:4">
      <c r="A26" s="140" t="s">
        <v>140</v>
      </c>
      <c r="B26" s="141">
        <v>75.072000000000003</v>
      </c>
      <c r="C26" s="10"/>
      <c r="D26" s="10"/>
    </row>
    <row r="27" spans="1:4">
      <c r="A27" s="140" t="s">
        <v>141</v>
      </c>
      <c r="B27" s="141">
        <v>-0.9032</v>
      </c>
      <c r="C27" s="10"/>
      <c r="D27" s="10"/>
    </row>
    <row r="28" spans="1:4">
      <c r="A28" s="10"/>
      <c r="B28" s="12"/>
      <c r="C28" s="10"/>
      <c r="D28" s="10"/>
    </row>
    <row r="29" spans="1:4">
      <c r="A29" s="12" t="s">
        <v>110</v>
      </c>
      <c r="B29" s="12"/>
      <c r="C29" s="10"/>
      <c r="D29" s="10"/>
    </row>
    <row r="30" spans="1:4">
      <c r="A30" s="142"/>
      <c r="B30" s="10"/>
      <c r="C30" s="10"/>
      <c r="D30" s="10"/>
    </row>
    <row r="31" spans="1:4">
      <c r="A31" s="16" t="s">
        <v>111</v>
      </c>
      <c r="B31" s="10"/>
      <c r="C31" s="10"/>
      <c r="D31" s="10"/>
    </row>
    <row r="32" spans="1:4">
      <c r="A32" s="8" t="s">
        <v>112</v>
      </c>
      <c r="B32" s="10"/>
      <c r="C32" s="10"/>
      <c r="D32" s="10"/>
    </row>
    <row r="33" spans="1:7">
      <c r="A33" s="8" t="s">
        <v>113</v>
      </c>
      <c r="B33" s="10"/>
      <c r="C33" s="10"/>
      <c r="D33" s="10"/>
    </row>
    <row r="34" spans="1:7">
      <c r="A34" s="8" t="s">
        <v>114</v>
      </c>
      <c r="B34" s="10"/>
      <c r="C34" s="10"/>
      <c r="D34" s="10"/>
    </row>
    <row r="35" spans="1:7">
      <c r="B35" s="10"/>
      <c r="C35" s="10"/>
      <c r="D35" s="10"/>
    </row>
    <row r="36" spans="1:7">
      <c r="A36" s="8" t="s">
        <v>115</v>
      </c>
    </row>
    <row r="37" spans="1:7" ht="12" thickBot="1"/>
    <row r="38" spans="1:7">
      <c r="A38" s="143"/>
      <c r="B38" s="144"/>
      <c r="C38" s="145" t="s">
        <v>116</v>
      </c>
      <c r="D38" s="146"/>
      <c r="E38" s="144"/>
      <c r="F38" s="145" t="s">
        <v>117</v>
      </c>
      <c r="G38" s="147"/>
    </row>
    <row r="39" spans="1:7" ht="12">
      <c r="A39" s="148" t="s">
        <v>118</v>
      </c>
      <c r="B39" s="149" t="s">
        <v>142</v>
      </c>
      <c r="C39" s="150" t="s">
        <v>119</v>
      </c>
      <c r="D39" s="150" t="s">
        <v>120</v>
      </c>
      <c r="E39" s="149" t="s">
        <v>142</v>
      </c>
      <c r="F39" s="150" t="s">
        <v>119</v>
      </c>
      <c r="G39" s="151" t="s">
        <v>120</v>
      </c>
    </row>
    <row r="40" spans="1:7">
      <c r="A40" s="152" t="s">
        <v>121</v>
      </c>
      <c r="B40" s="153">
        <v>15</v>
      </c>
      <c r="C40" s="154">
        <v>4.4000000000000004</v>
      </c>
      <c r="D40" s="154">
        <v>0.5</v>
      </c>
      <c r="E40" s="153">
        <v>8</v>
      </c>
      <c r="F40" s="154">
        <v>4.2</v>
      </c>
      <c r="G40" s="155">
        <v>0.5</v>
      </c>
    </row>
    <row r="41" spans="1:7">
      <c r="A41" s="152" t="s">
        <v>122</v>
      </c>
      <c r="B41" s="153">
        <v>15</v>
      </c>
      <c r="C41" s="154">
        <v>2.9</v>
      </c>
      <c r="D41" s="154">
        <v>0.5</v>
      </c>
      <c r="E41" s="153">
        <v>8</v>
      </c>
      <c r="F41" s="154">
        <v>49.9</v>
      </c>
      <c r="G41" s="155">
        <v>7.4</v>
      </c>
    </row>
    <row r="42" spans="1:7" ht="12.5" thickBot="1">
      <c r="A42" s="156" t="s">
        <v>123</v>
      </c>
      <c r="B42" s="157">
        <v>15</v>
      </c>
      <c r="C42" s="158">
        <v>58.1</v>
      </c>
      <c r="D42" s="158">
        <v>7.8</v>
      </c>
      <c r="E42" s="157">
        <v>8</v>
      </c>
      <c r="F42" s="158">
        <v>62</v>
      </c>
      <c r="G42" s="159">
        <v>12.2</v>
      </c>
    </row>
    <row r="43" spans="1:7" ht="12">
      <c r="A43" s="160"/>
      <c r="B43" s="35"/>
      <c r="C43" s="154"/>
      <c r="D43" s="154"/>
      <c r="E43" s="35"/>
      <c r="F43" s="154"/>
      <c r="G43" s="154"/>
    </row>
    <row r="44" spans="1:7">
      <c r="A44" s="8" t="s">
        <v>124</v>
      </c>
      <c r="B44" s="10"/>
      <c r="C44" s="10"/>
      <c r="D44" s="10"/>
    </row>
    <row r="45" spans="1:7">
      <c r="A45" s="8" t="s">
        <v>125</v>
      </c>
      <c r="B45" s="10"/>
      <c r="C45" s="10"/>
      <c r="D45" s="10"/>
    </row>
    <row r="46" spans="1:7">
      <c r="A46" s="8" t="s">
        <v>143</v>
      </c>
      <c r="B46" s="10"/>
      <c r="C46" s="10"/>
      <c r="D46" s="10"/>
    </row>
    <row r="47" spans="1:7">
      <c r="B47" s="10"/>
      <c r="C47" s="10"/>
      <c r="D47" s="10"/>
    </row>
    <row r="48" spans="1:7">
      <c r="A48" s="8" t="s">
        <v>126</v>
      </c>
      <c r="B48" s="10"/>
      <c r="C48" s="10"/>
      <c r="D48" s="10"/>
    </row>
    <row r="49" spans="1:4">
      <c r="A49" s="8" t="s">
        <v>144</v>
      </c>
      <c r="B49" s="10"/>
      <c r="C49" s="10"/>
      <c r="D49" s="10"/>
    </row>
    <row r="50" spans="1:4">
      <c r="A50" s="8" t="s">
        <v>145</v>
      </c>
      <c r="B50" s="10"/>
      <c r="C50" s="10"/>
      <c r="D50" s="10"/>
    </row>
    <row r="51" spans="1:4">
      <c r="A51" s="8" t="s">
        <v>127</v>
      </c>
      <c r="B51" s="10"/>
      <c r="C51" s="10"/>
      <c r="D51" s="10"/>
    </row>
    <row r="52" spans="1:4">
      <c r="A52" s="8" t="s">
        <v>128</v>
      </c>
      <c r="B52" s="10"/>
      <c r="C52" s="10"/>
      <c r="D52" s="10"/>
    </row>
    <row r="53" spans="1:4">
      <c r="A53" s="8" t="s">
        <v>129</v>
      </c>
      <c r="B53" s="10"/>
      <c r="C53" s="10"/>
      <c r="D53" s="10"/>
    </row>
    <row r="54" spans="1:4">
      <c r="A54" s="10" t="s">
        <v>130</v>
      </c>
      <c r="B54" s="141">
        <f xml:space="preserve"> F41</f>
        <v>49.9</v>
      </c>
      <c r="C54" s="10">
        <f>F41</f>
        <v>49.9</v>
      </c>
      <c r="D54" s="10"/>
    </row>
    <row r="55" spans="1:4">
      <c r="A55" s="10" t="s">
        <v>131</v>
      </c>
      <c r="B55" s="141">
        <f xml:space="preserve"> G41*SQRT(E41)</f>
        <v>20.930360723121808</v>
      </c>
      <c r="C55" s="10"/>
      <c r="D55" s="10"/>
    </row>
    <row r="56" spans="1:4">
      <c r="A56" s="10" t="s">
        <v>132</v>
      </c>
      <c r="B56" s="161">
        <f ca="1" xml:space="preserve"> _xll.RiskNormal(BAF_mean,BAF_standard_deviation,_xll.RiskTruncate(1,100))</f>
        <v>64.241637329348819</v>
      </c>
      <c r="C56" s="10"/>
      <c r="D56" s="10"/>
    </row>
    <row r="57" spans="1:4">
      <c r="A57" s="10"/>
      <c r="B57" s="12"/>
      <c r="C57" s="10"/>
      <c r="D57" s="10"/>
    </row>
    <row r="58" spans="1:4">
      <c r="A58" s="12" t="s">
        <v>133</v>
      </c>
      <c r="B58" s="12"/>
      <c r="C58" s="10"/>
      <c r="D58" s="10"/>
    </row>
    <row r="59" spans="1:4">
      <c r="A59" s="10"/>
      <c r="B59" s="12"/>
    </row>
    <row r="60" spans="1:4">
      <c r="A60" s="16" t="s">
        <v>134</v>
      </c>
    </row>
    <row r="61" spans="1:4">
      <c r="A61" s="8" t="s">
        <v>146</v>
      </c>
    </row>
    <row r="62" spans="1:4">
      <c r="A62" s="8" t="s">
        <v>147</v>
      </c>
    </row>
    <row r="63" spans="1:4">
      <c r="A63" s="8" t="s">
        <v>148</v>
      </c>
    </row>
    <row r="64" spans="1:4">
      <c r="A64" s="8" t="s">
        <v>149</v>
      </c>
    </row>
    <row r="65" spans="1:1">
      <c r="A65" s="8" t="s">
        <v>150</v>
      </c>
    </row>
    <row r="66" spans="1:1">
      <c r="A66" s="8" t="s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R44"/>
  <sheetViews>
    <sheetView tabSelected="1" workbookViewId="0">
      <selection activeCell="C4" sqref="C4:AH44"/>
    </sheetView>
  </sheetViews>
  <sheetFormatPr defaultColWidth="9.1796875" defaultRowHeight="10"/>
  <cols>
    <col min="1" max="1" width="2.7265625" style="74" customWidth="1"/>
    <col min="2" max="2" width="23.7265625" style="75" customWidth="1"/>
    <col min="3" max="3" width="33.90625" style="75" customWidth="1"/>
    <col min="4" max="4" width="27.90625" style="75" customWidth="1"/>
    <col min="5" max="5" width="26.1796875" style="75" customWidth="1"/>
    <col min="6" max="6" width="25.26953125" style="75" customWidth="1"/>
    <col min="7" max="7" width="20.08984375" style="75" customWidth="1"/>
    <col min="8" max="8" width="22.81640625" style="75" customWidth="1"/>
    <col min="9" max="10" width="10.7265625" style="75" customWidth="1"/>
    <col min="11" max="11" width="12.1796875" style="75" customWidth="1"/>
    <col min="12" max="12" width="13.08984375" style="75" customWidth="1"/>
    <col min="13" max="13" width="10.54296875" style="75" customWidth="1"/>
    <col min="14" max="14" width="11.453125" style="75" customWidth="1"/>
    <col min="15" max="15" width="12.7265625" style="75" customWidth="1"/>
    <col min="16" max="16" width="10.90625" style="75" customWidth="1"/>
    <col min="17" max="17" width="9.6328125" style="75" bestFit="1" customWidth="1"/>
    <col min="18" max="19" width="9.1796875" style="75"/>
    <col min="20" max="20" width="9.6328125" style="75" bestFit="1" customWidth="1"/>
    <col min="21" max="16384" width="9.1796875" style="75"/>
  </cols>
  <sheetData>
    <row r="2" spans="1:44" ht="12" thickBot="1">
      <c r="C2" s="114">
        <f>Site_name_1</f>
        <v>1</v>
      </c>
      <c r="D2" s="114">
        <f>Site_name_2</f>
        <v>2</v>
      </c>
      <c r="E2" s="114">
        <f>Site_name_3</f>
        <v>3</v>
      </c>
      <c r="F2" s="114">
        <f>Site_name_4</f>
        <v>4</v>
      </c>
      <c r="G2" s="114">
        <f>Site_name_5</f>
        <v>5</v>
      </c>
      <c r="H2" s="114">
        <f>Site_name_6</f>
        <v>6</v>
      </c>
      <c r="I2" s="114">
        <f>Site_name_7</f>
        <v>7</v>
      </c>
      <c r="J2" s="114">
        <f>Site_name_8</f>
        <v>8</v>
      </c>
      <c r="K2" s="114">
        <f>Site_name_9</f>
        <v>9</v>
      </c>
      <c r="L2" s="114">
        <f>Site_name_10</f>
        <v>10</v>
      </c>
      <c r="M2" s="114">
        <f>Site_name_11</f>
        <v>11</v>
      </c>
      <c r="N2" s="114">
        <f>Site_name_12</f>
        <v>12</v>
      </c>
      <c r="O2" s="114">
        <f>Site_name_13</f>
        <v>13</v>
      </c>
      <c r="P2" s="114">
        <f>Site_name_14</f>
        <v>14</v>
      </c>
      <c r="Q2" s="114">
        <f>Site_name_15</f>
        <v>15</v>
      </c>
      <c r="R2" s="114">
        <f>Site_name_16</f>
        <v>16</v>
      </c>
      <c r="S2" s="114">
        <f>Site_name_17</f>
        <v>17</v>
      </c>
      <c r="T2" s="114">
        <f>Site_name_18</f>
        <v>18</v>
      </c>
      <c r="U2" s="114">
        <f>Site_name_19</f>
        <v>19</v>
      </c>
      <c r="V2" s="114">
        <f>Site_name_20</f>
        <v>20</v>
      </c>
      <c r="W2" s="114">
        <f>Site_name_21</f>
        <v>21</v>
      </c>
      <c r="X2" s="114">
        <f>Site_name_22</f>
        <v>22</v>
      </c>
      <c r="Y2" s="114">
        <f>Site_name_23</f>
        <v>23</v>
      </c>
      <c r="Z2" s="114">
        <f>Site_name_24</f>
        <v>24</v>
      </c>
      <c r="AA2" s="114">
        <f>Site_name_25</f>
        <v>25</v>
      </c>
      <c r="AB2" s="114">
        <f>Site_name_26</f>
        <v>26</v>
      </c>
      <c r="AC2" s="114">
        <f>Site_name_27</f>
        <v>27</v>
      </c>
      <c r="AD2" s="114">
        <f>Site_name_28</f>
        <v>28</v>
      </c>
      <c r="AE2" s="114">
        <f>Site_name_29</f>
        <v>29</v>
      </c>
      <c r="AF2" s="114">
        <f>Site_name_30</f>
        <v>30</v>
      </c>
      <c r="AG2" s="114">
        <f>Site_name_31</f>
        <v>31</v>
      </c>
      <c r="AH2" s="114">
        <f>Site_name_32</f>
        <v>32</v>
      </c>
      <c r="AI2" s="114"/>
      <c r="AJ2" s="114"/>
      <c r="AK2" s="114"/>
      <c r="AL2" s="114"/>
      <c r="AM2" s="114"/>
      <c r="AN2" s="114"/>
      <c r="AO2" s="114"/>
      <c r="AP2" s="114"/>
      <c r="AQ2" s="114"/>
      <c r="AR2" s="114"/>
    </row>
    <row r="3" spans="1:44" s="60" customFormat="1" ht="13">
      <c r="A3" s="76"/>
      <c r="B3" s="126" t="s">
        <v>84</v>
      </c>
      <c r="C3" s="115">
        <f ca="1">_xll.RiskCumul(C4,C44,C5:C43,$B5:$B43)</f>
        <v>9.1500000000174785E-8</v>
      </c>
      <c r="D3" s="115">
        <f ca="1">_xll.RiskCumul(D4,D44,D5:D43,$B5:$B43)</f>
        <v>4.6735815852671173E-3</v>
      </c>
      <c r="E3" s="115">
        <f ca="1">_xll.RiskCumul(E4,E44,E5:E43,$B5:$B43)</f>
        <v>4.8313510150930627E-4</v>
      </c>
      <c r="F3" s="115">
        <f ca="1">_xll.RiskCumul(F4,F44,F5:F43,$B5:$B43)</f>
        <v>1.9848448736691947E-10</v>
      </c>
      <c r="G3" s="115">
        <f ca="1">_xll.RiskCumul(G4,G44,G5:G43,$B5:$B43)</f>
        <v>1.0000000000035068E-10</v>
      </c>
      <c r="H3" s="115">
        <f ca="1">_xll.RiskCumul(H4,H44,H5:H43,$B5:$B43)</f>
        <v>4.6417422932420356E-3</v>
      </c>
      <c r="I3" s="115">
        <f ca="1">_xll.RiskCumul(I4,I44,I5:I43,$B5:$B43)</f>
        <v>1.1288268721242376E-7</v>
      </c>
      <c r="J3" s="115">
        <f ca="1">_xll.RiskCumul(J4,J44,J5:J43,$B5:$B43)</f>
        <v>2.618819578177532E-3</v>
      </c>
      <c r="K3" s="115">
        <f ca="1">_xll.RiskCumul(K4,K44,K5:K43,$B5:$B43)</f>
        <v>3.5943557401062489E-3</v>
      </c>
      <c r="L3" s="115">
        <f ca="1">_xll.RiskCumul(L4,L44,L5:L43,$B5:$B43)</f>
        <v>4.550711512697112E-3</v>
      </c>
      <c r="M3" s="115">
        <f ca="1">_xll.RiskCumul(M4,M44,M5:M43,$B5:$B43)</f>
        <v>3.4633509413681875E-4</v>
      </c>
      <c r="N3" s="115">
        <f ca="1">_xll.RiskCumul(N4,N44,N5:N43,$B5:$B43)</f>
        <v>1.0414259666588989E-3</v>
      </c>
      <c r="O3" s="115">
        <f ca="1">_xll.RiskCumul(O4,O44,O5:O43,$B5:$B43)</f>
        <v>2.8548996301302233E-3</v>
      </c>
      <c r="P3" s="115">
        <f ca="1">_xll.RiskCumul(P4,P44,P5:P43,$B5:$B43)</f>
        <v>5.4168862946630853E-4</v>
      </c>
      <c r="Q3" s="115">
        <f ca="1">_xll.RiskCumul(Q4,Q44,Q5:Q43,$B5:$B43)</f>
        <v>1.0453074060913052E-3</v>
      </c>
      <c r="R3" s="115">
        <f ca="1">_xll.RiskCumul(R4,R44,R5:R43,$B5:$B43)</f>
        <v>7.2039422606042862E-6</v>
      </c>
      <c r="S3" s="115">
        <f ca="1">_xll.RiskCumul(S4,S44,S5:S43,$B5:$B43)</f>
        <v>7.3335313243907583E-8</v>
      </c>
      <c r="T3" s="115">
        <f ca="1">_xll.RiskCumul(T4,T44,T5:T43,$B5:$B43)</f>
        <v>1.1974639104186138E-4</v>
      </c>
      <c r="U3" s="115">
        <f ca="1">_xll.RiskCumul(U4,U44,U5:U43,$B5:$B43)</f>
        <v>2.8307429692139653E-8</v>
      </c>
      <c r="V3" s="115">
        <f ca="1">_xll.RiskCumul(V4,V44,V5:V43,$B5:$B43)</f>
        <v>3.9851368435299527E-7</v>
      </c>
      <c r="W3" s="115">
        <f ca="1">_xll.RiskCumul(W4,W44,W5:W43,$B5:$B43)</f>
        <v>1.0000000000031709E-10</v>
      </c>
      <c r="X3" s="115">
        <f ca="1">_xll.RiskCumul(X4,X44,X5:X43,$B5:$B43)</f>
        <v>1.000000000002143E-10</v>
      </c>
      <c r="Y3" s="115">
        <f ca="1">_xll.RiskCumul(Y4,Y44,Y5:Y43,$B5:$B43)</f>
        <v>9.1243962707355858E-9</v>
      </c>
      <c r="Z3" s="115">
        <f ca="1">_xll.RiskCumul(Z4,Z44,Z5:Z43,$B5:$B43)</f>
        <v>1.0000000000011892E-10</v>
      </c>
      <c r="AA3" s="115">
        <f ca="1">_xll.RiskCumul(AA4,AA44,AA5:AA43,$B5:$B43)</f>
        <v>7.5422034522659395E-4</v>
      </c>
      <c r="AB3" s="115">
        <f ca="1">_xll.RiskCumul(AB4,AB44,AB5:AB43,$B5:$B43)</f>
        <v>5.2538141427971559E-3</v>
      </c>
      <c r="AC3" s="115">
        <f ca="1">_xll.RiskCumul(AC4,AC44,AC5:AC43,$B5:$B43)</f>
        <v>1.250650678770795E-4</v>
      </c>
      <c r="AD3" s="115">
        <f ca="1">_xll.RiskCumul(AD4,AD44,AD5:AD43,$B5:$B43)</f>
        <v>1.1591108056704364E-10</v>
      </c>
      <c r="AE3" s="115">
        <f ca="1">_xll.RiskCumul(AE4,AE44,AE5:AE43,$B5:$B43)</f>
        <v>1.0557670553977166E-5</v>
      </c>
      <c r="AF3" s="115">
        <f ca="1">_xll.RiskCumul(AF4,AF44,AF5:AF43,$B5:$B43)</f>
        <v>2.3948000518818216E-4</v>
      </c>
      <c r="AG3" s="115">
        <f ca="1">_xll.RiskCumul(AG4,AG44,AG5:AG43,$B5:$B43)</f>
        <v>1.0000000000026248E-10</v>
      </c>
      <c r="AH3" s="115">
        <f ca="1">_xll.RiskCumul(AH4,AH44,AH5:AH43,$B5:$B43)</f>
        <v>4.7105401120200953E-4</v>
      </c>
      <c r="AI3" s="115"/>
      <c r="AJ3" s="115"/>
      <c r="AK3" s="115"/>
      <c r="AL3" s="115"/>
      <c r="AM3" s="115"/>
      <c r="AN3" s="115"/>
      <c r="AO3" s="115"/>
      <c r="AP3" s="115"/>
      <c r="AQ3" s="115"/>
      <c r="AR3" s="115"/>
    </row>
    <row r="4" spans="1:44" ht="14.5">
      <c r="A4" s="77"/>
      <c r="B4" s="112">
        <v>0</v>
      </c>
      <c r="C4" s="92">
        <v>9.1500000000000005E-8</v>
      </c>
      <c r="D4" s="92">
        <v>9.3999999999999998E-9</v>
      </c>
      <c r="E4" s="92">
        <v>1E-10</v>
      </c>
      <c r="F4" s="92">
        <v>1E-10</v>
      </c>
      <c r="G4" s="92">
        <v>1E-10</v>
      </c>
      <c r="H4" s="92">
        <v>1E-10</v>
      </c>
      <c r="I4" s="92">
        <v>1E-10</v>
      </c>
      <c r="J4" s="92">
        <v>1E-10</v>
      </c>
      <c r="K4" s="92">
        <v>1E-10</v>
      </c>
      <c r="L4" s="92">
        <v>1E-10</v>
      </c>
      <c r="M4" s="92">
        <v>1E-10</v>
      </c>
      <c r="N4" s="92">
        <v>1E-10</v>
      </c>
      <c r="O4" s="92">
        <v>1E-10</v>
      </c>
      <c r="P4" s="92">
        <v>8.0000000000000005E-9</v>
      </c>
      <c r="Q4" s="92">
        <v>1E-10</v>
      </c>
      <c r="R4" s="92">
        <v>1E-10</v>
      </c>
      <c r="S4" s="92">
        <v>1E-10</v>
      </c>
      <c r="T4" s="92">
        <v>1E-10</v>
      </c>
      <c r="U4" s="92">
        <v>1E-10</v>
      </c>
      <c r="V4" s="92">
        <v>1E-10</v>
      </c>
      <c r="W4" s="92">
        <v>1E-10</v>
      </c>
      <c r="X4" s="92">
        <v>1E-10</v>
      </c>
      <c r="Y4" s="92">
        <v>1E-10</v>
      </c>
      <c r="Z4" s="92">
        <v>1E-10</v>
      </c>
      <c r="AA4" s="92">
        <v>1E-10</v>
      </c>
      <c r="AB4" s="92">
        <v>1E-10</v>
      </c>
      <c r="AC4" s="92">
        <v>1E-10</v>
      </c>
      <c r="AD4" s="92">
        <v>1E-10</v>
      </c>
      <c r="AE4" s="92">
        <v>1E-10</v>
      </c>
      <c r="AF4" s="92">
        <v>1E-10</v>
      </c>
      <c r="AG4" s="92">
        <v>1E-10</v>
      </c>
      <c r="AH4" s="92">
        <v>1E-10</v>
      </c>
    </row>
    <row r="5" spans="1:44" ht="14.5">
      <c r="A5" s="77"/>
      <c r="B5" s="112">
        <v>1E-3</v>
      </c>
      <c r="C5" s="92">
        <v>9.1500000000000005E-8</v>
      </c>
      <c r="D5" s="92">
        <v>9.3999999999999998E-9</v>
      </c>
      <c r="E5" s="92">
        <v>1E-10</v>
      </c>
      <c r="F5" s="92">
        <v>1E-10</v>
      </c>
      <c r="G5" s="92">
        <v>1E-10</v>
      </c>
      <c r="H5" s="92">
        <v>1E-10</v>
      </c>
      <c r="I5" s="92">
        <v>1E-10</v>
      </c>
      <c r="J5" s="92">
        <v>1E-10</v>
      </c>
      <c r="K5" s="92">
        <v>1E-10</v>
      </c>
      <c r="L5" s="92">
        <v>1E-10</v>
      </c>
      <c r="M5" s="92">
        <v>1E-10</v>
      </c>
      <c r="N5" s="92">
        <v>1E-10</v>
      </c>
      <c r="O5" s="92">
        <v>1E-10</v>
      </c>
      <c r="P5" s="92">
        <v>8.0000000000000005E-9</v>
      </c>
      <c r="Q5" s="92">
        <v>1E-10</v>
      </c>
      <c r="R5" s="92">
        <v>1E-10</v>
      </c>
      <c r="S5" s="92">
        <v>1E-10</v>
      </c>
      <c r="T5" s="92">
        <v>1E-10</v>
      </c>
      <c r="U5" s="92">
        <v>1E-10</v>
      </c>
      <c r="V5" s="92">
        <v>1E-10</v>
      </c>
      <c r="W5" s="92">
        <v>1E-10</v>
      </c>
      <c r="X5" s="92">
        <v>1E-10</v>
      </c>
      <c r="Y5" s="92">
        <v>1E-10</v>
      </c>
      <c r="Z5" s="92">
        <v>1E-10</v>
      </c>
      <c r="AA5" s="92">
        <v>1E-10</v>
      </c>
      <c r="AB5" s="92">
        <v>1E-10</v>
      </c>
      <c r="AC5" s="92">
        <v>1E-10</v>
      </c>
      <c r="AD5" s="92">
        <v>1E-10</v>
      </c>
      <c r="AE5" s="92">
        <v>1E-10</v>
      </c>
      <c r="AF5" s="92">
        <v>1E-10</v>
      </c>
      <c r="AG5" s="92">
        <v>1E-10</v>
      </c>
      <c r="AH5" s="92">
        <v>1E-10</v>
      </c>
    </row>
    <row r="6" spans="1:44" ht="14.5">
      <c r="A6" s="77"/>
      <c r="B6" s="112">
        <v>5.0000000000000001E-3</v>
      </c>
      <c r="C6" s="92">
        <v>9.1500000000000005E-8</v>
      </c>
      <c r="D6" s="92">
        <v>9.3999999999999998E-9</v>
      </c>
      <c r="E6" s="92">
        <v>1E-10</v>
      </c>
      <c r="F6" s="92">
        <v>1E-10</v>
      </c>
      <c r="G6" s="92">
        <v>1E-10</v>
      </c>
      <c r="H6" s="92">
        <v>1E-10</v>
      </c>
      <c r="I6" s="92">
        <v>1E-10</v>
      </c>
      <c r="J6" s="92">
        <v>1E-10</v>
      </c>
      <c r="K6" s="92">
        <v>1E-10</v>
      </c>
      <c r="L6" s="92">
        <v>1E-10</v>
      </c>
      <c r="M6" s="92">
        <v>1E-10</v>
      </c>
      <c r="N6" s="92">
        <v>1E-10</v>
      </c>
      <c r="O6" s="92">
        <v>1E-10</v>
      </c>
      <c r="P6" s="92">
        <v>8.0000000000000005E-9</v>
      </c>
      <c r="Q6" s="92">
        <v>1E-10</v>
      </c>
      <c r="R6" s="92">
        <v>1E-10</v>
      </c>
      <c r="S6" s="92">
        <v>1E-10</v>
      </c>
      <c r="T6" s="92">
        <v>1E-10</v>
      </c>
      <c r="U6" s="92">
        <v>1E-10</v>
      </c>
      <c r="V6" s="92">
        <v>1E-10</v>
      </c>
      <c r="W6" s="92">
        <v>1E-10</v>
      </c>
      <c r="X6" s="92">
        <v>1E-10</v>
      </c>
      <c r="Y6" s="92">
        <v>1E-10</v>
      </c>
      <c r="Z6" s="92">
        <v>1E-10</v>
      </c>
      <c r="AA6" s="92">
        <v>1E-10</v>
      </c>
      <c r="AB6" s="92">
        <v>1E-10</v>
      </c>
      <c r="AC6" s="92">
        <v>1E-10</v>
      </c>
      <c r="AD6" s="92">
        <v>1E-10</v>
      </c>
      <c r="AE6" s="92">
        <v>1E-10</v>
      </c>
      <c r="AF6" s="92">
        <v>1E-10</v>
      </c>
      <c r="AG6" s="92">
        <v>1E-10</v>
      </c>
      <c r="AH6" s="92">
        <v>1E-10</v>
      </c>
    </row>
    <row r="7" spans="1:44" ht="14.5">
      <c r="A7" s="77"/>
      <c r="B7" s="112">
        <v>0.01</v>
      </c>
      <c r="C7" s="92">
        <v>9.1500000000000005E-8</v>
      </c>
      <c r="D7" s="92">
        <v>9.3999999999999998E-9</v>
      </c>
      <c r="E7" s="92">
        <v>1E-10</v>
      </c>
      <c r="F7" s="92">
        <v>1E-10</v>
      </c>
      <c r="G7" s="92">
        <v>1E-10</v>
      </c>
      <c r="H7" s="92">
        <v>1E-10</v>
      </c>
      <c r="I7" s="92">
        <v>1E-10</v>
      </c>
      <c r="J7" s="92">
        <v>1E-10</v>
      </c>
      <c r="K7" s="92">
        <v>1E-10</v>
      </c>
      <c r="L7" s="92">
        <v>1E-10</v>
      </c>
      <c r="M7" s="92">
        <v>1E-10</v>
      </c>
      <c r="N7" s="92">
        <v>1E-10</v>
      </c>
      <c r="O7" s="92">
        <v>1E-10</v>
      </c>
      <c r="P7" s="92">
        <v>8.0000000000000005E-9</v>
      </c>
      <c r="Q7" s="92">
        <v>1E-10</v>
      </c>
      <c r="R7" s="92">
        <v>1E-10</v>
      </c>
      <c r="S7" s="92">
        <v>1E-10</v>
      </c>
      <c r="T7" s="92">
        <v>1E-10</v>
      </c>
      <c r="U7" s="92">
        <v>1E-10</v>
      </c>
      <c r="V7" s="92">
        <v>1E-10</v>
      </c>
      <c r="W7" s="92">
        <v>1E-10</v>
      </c>
      <c r="X7" s="92">
        <v>1E-10</v>
      </c>
      <c r="Y7" s="92">
        <v>1E-10</v>
      </c>
      <c r="Z7" s="92">
        <v>1E-10</v>
      </c>
      <c r="AA7" s="92">
        <v>1E-10</v>
      </c>
      <c r="AB7" s="92">
        <v>1E-10</v>
      </c>
      <c r="AC7" s="92">
        <v>1E-10</v>
      </c>
      <c r="AD7" s="92">
        <v>1E-10</v>
      </c>
      <c r="AE7" s="92">
        <v>1E-10</v>
      </c>
      <c r="AF7" s="92">
        <v>1E-10</v>
      </c>
      <c r="AG7" s="92">
        <v>1E-10</v>
      </c>
      <c r="AH7" s="92">
        <v>1E-10</v>
      </c>
    </row>
    <row r="8" spans="1:44" ht="14.5">
      <c r="A8" s="77"/>
      <c r="B8" s="112">
        <v>0.02</v>
      </c>
      <c r="C8" s="92">
        <v>9.1500000000000005E-8</v>
      </c>
      <c r="D8" s="92">
        <v>9.3999999999999998E-9</v>
      </c>
      <c r="E8" s="92">
        <v>1E-10</v>
      </c>
      <c r="F8" s="92">
        <v>1E-10</v>
      </c>
      <c r="G8" s="92">
        <v>1E-10</v>
      </c>
      <c r="H8" s="92">
        <v>1E-10</v>
      </c>
      <c r="I8" s="92">
        <v>1E-10</v>
      </c>
      <c r="J8" s="92">
        <v>1E-10</v>
      </c>
      <c r="K8" s="92">
        <v>1E-10</v>
      </c>
      <c r="L8" s="92">
        <v>1E-10</v>
      </c>
      <c r="M8" s="92">
        <v>1E-10</v>
      </c>
      <c r="N8" s="92">
        <v>1E-10</v>
      </c>
      <c r="O8" s="92">
        <v>1E-10</v>
      </c>
      <c r="P8" s="92">
        <v>8.0000000000000005E-9</v>
      </c>
      <c r="Q8" s="92">
        <v>1E-10</v>
      </c>
      <c r="R8" s="92">
        <v>1E-10</v>
      </c>
      <c r="S8" s="92">
        <v>1E-10</v>
      </c>
      <c r="T8" s="92">
        <v>1E-10</v>
      </c>
      <c r="U8" s="92">
        <v>1E-10</v>
      </c>
      <c r="V8" s="92">
        <v>1E-10</v>
      </c>
      <c r="W8" s="92">
        <v>1E-10</v>
      </c>
      <c r="X8" s="92">
        <v>1E-10</v>
      </c>
      <c r="Y8" s="92">
        <v>1E-10</v>
      </c>
      <c r="Z8" s="92">
        <v>1E-10</v>
      </c>
      <c r="AA8" s="92">
        <v>1E-10</v>
      </c>
      <c r="AB8" s="92">
        <v>1E-10</v>
      </c>
      <c r="AC8" s="92">
        <v>1E-10</v>
      </c>
      <c r="AD8" s="92">
        <v>1E-10</v>
      </c>
      <c r="AE8" s="92">
        <v>1E-10</v>
      </c>
      <c r="AF8" s="92">
        <v>1E-10</v>
      </c>
      <c r="AG8" s="92">
        <v>1E-10</v>
      </c>
      <c r="AH8" s="92">
        <v>1E-10</v>
      </c>
    </row>
    <row r="9" spans="1:44" ht="14.5">
      <c r="A9" s="77"/>
      <c r="B9" s="112">
        <v>0.03</v>
      </c>
      <c r="C9" s="92">
        <v>9.1500000000000005E-8</v>
      </c>
      <c r="D9" s="92">
        <v>9.3999999999999998E-9</v>
      </c>
      <c r="E9" s="92">
        <v>1E-10</v>
      </c>
      <c r="F9" s="92">
        <v>1E-10</v>
      </c>
      <c r="G9" s="92">
        <v>1E-10</v>
      </c>
      <c r="H9" s="92">
        <v>1E-10</v>
      </c>
      <c r="I9" s="92">
        <v>1E-10</v>
      </c>
      <c r="J9" s="92">
        <v>1E-10</v>
      </c>
      <c r="K9" s="92">
        <v>1E-10</v>
      </c>
      <c r="L9" s="92">
        <v>1E-10</v>
      </c>
      <c r="M9" s="92">
        <v>1E-10</v>
      </c>
      <c r="N9" s="92">
        <v>1E-10</v>
      </c>
      <c r="O9" s="92">
        <v>1E-10</v>
      </c>
      <c r="P9" s="92">
        <v>8.0000000000000005E-9</v>
      </c>
      <c r="Q9" s="92">
        <v>1E-10</v>
      </c>
      <c r="R9" s="92">
        <v>1E-10</v>
      </c>
      <c r="S9" s="92">
        <v>1E-10</v>
      </c>
      <c r="T9" s="92">
        <v>1E-10</v>
      </c>
      <c r="U9" s="92">
        <v>1E-10</v>
      </c>
      <c r="V9" s="92">
        <v>1E-10</v>
      </c>
      <c r="W9" s="92">
        <v>1E-10</v>
      </c>
      <c r="X9" s="92">
        <v>1E-10</v>
      </c>
      <c r="Y9" s="92">
        <v>1E-10</v>
      </c>
      <c r="Z9" s="92">
        <v>1E-10</v>
      </c>
      <c r="AA9" s="92">
        <v>1E-10</v>
      </c>
      <c r="AB9" s="92">
        <v>1E-10</v>
      </c>
      <c r="AC9" s="92">
        <v>1E-10</v>
      </c>
      <c r="AD9" s="92">
        <v>1E-10</v>
      </c>
      <c r="AE9" s="92">
        <v>1E-10</v>
      </c>
      <c r="AF9" s="92">
        <v>1E-10</v>
      </c>
      <c r="AG9" s="92">
        <v>1E-10</v>
      </c>
      <c r="AH9" s="92">
        <v>1E-10</v>
      </c>
    </row>
    <row r="10" spans="1:44" ht="14.5">
      <c r="A10" s="77"/>
      <c r="B10" s="112">
        <v>0.04</v>
      </c>
      <c r="C10" s="92">
        <v>9.1500000000000005E-8</v>
      </c>
      <c r="D10" s="92">
        <v>9.3999999999999998E-9</v>
      </c>
      <c r="E10" s="92">
        <v>1E-10</v>
      </c>
      <c r="F10" s="92">
        <v>1E-10</v>
      </c>
      <c r="G10" s="92">
        <v>1E-10</v>
      </c>
      <c r="H10" s="92">
        <v>1E-10</v>
      </c>
      <c r="I10" s="92">
        <v>1E-10</v>
      </c>
      <c r="J10" s="92">
        <v>1E-10</v>
      </c>
      <c r="K10" s="92">
        <v>1E-10</v>
      </c>
      <c r="L10" s="92">
        <v>1E-10</v>
      </c>
      <c r="M10" s="92">
        <v>1E-10</v>
      </c>
      <c r="N10" s="92">
        <v>1E-10</v>
      </c>
      <c r="O10" s="92">
        <v>1E-10</v>
      </c>
      <c r="P10" s="92">
        <v>8.0000000000000005E-9</v>
      </c>
      <c r="Q10" s="92">
        <v>1E-10</v>
      </c>
      <c r="R10" s="92">
        <v>1E-10</v>
      </c>
      <c r="S10" s="92">
        <v>1E-10</v>
      </c>
      <c r="T10" s="92">
        <v>1E-10</v>
      </c>
      <c r="U10" s="92">
        <v>1E-10</v>
      </c>
      <c r="V10" s="92">
        <v>1E-10</v>
      </c>
      <c r="W10" s="92">
        <v>1E-10</v>
      </c>
      <c r="X10" s="92">
        <v>1E-10</v>
      </c>
      <c r="Y10" s="92">
        <v>1E-10</v>
      </c>
      <c r="Z10" s="92">
        <v>1E-10</v>
      </c>
      <c r="AA10" s="92">
        <v>1E-10</v>
      </c>
      <c r="AB10" s="92">
        <v>1E-10</v>
      </c>
      <c r="AC10" s="92">
        <v>1E-10</v>
      </c>
      <c r="AD10" s="92">
        <v>1E-10</v>
      </c>
      <c r="AE10" s="92">
        <v>1E-10</v>
      </c>
      <c r="AF10" s="92">
        <v>1E-10</v>
      </c>
      <c r="AG10" s="92">
        <v>1E-10</v>
      </c>
      <c r="AH10" s="92">
        <v>1E-10</v>
      </c>
    </row>
    <row r="11" spans="1:44" ht="14.5">
      <c r="A11" s="77"/>
      <c r="B11" s="112">
        <v>0.05</v>
      </c>
      <c r="C11" s="92">
        <v>9.1500000000000005E-8</v>
      </c>
      <c r="D11" s="92">
        <v>9.3999999999999998E-9</v>
      </c>
      <c r="E11" s="92">
        <v>1E-10</v>
      </c>
      <c r="F11" s="92">
        <v>1E-10</v>
      </c>
      <c r="G11" s="92">
        <v>1E-10</v>
      </c>
      <c r="H11" s="92">
        <v>1E-10</v>
      </c>
      <c r="I11" s="92">
        <v>1E-10</v>
      </c>
      <c r="J11" s="92">
        <v>1E-10</v>
      </c>
      <c r="K11" s="92">
        <v>1E-10</v>
      </c>
      <c r="L11" s="92">
        <v>1E-10</v>
      </c>
      <c r="M11" s="92">
        <v>1E-10</v>
      </c>
      <c r="N11" s="92">
        <v>1E-10</v>
      </c>
      <c r="O11" s="92">
        <v>1E-10</v>
      </c>
      <c r="P11" s="92">
        <v>8.0000000000000005E-9</v>
      </c>
      <c r="Q11" s="92">
        <v>1E-10</v>
      </c>
      <c r="R11" s="92">
        <v>1E-10</v>
      </c>
      <c r="S11" s="92">
        <v>1E-10</v>
      </c>
      <c r="T11" s="92">
        <v>1E-10</v>
      </c>
      <c r="U11" s="92">
        <v>1E-10</v>
      </c>
      <c r="V11" s="92">
        <v>1E-10</v>
      </c>
      <c r="W11" s="92">
        <v>1E-10</v>
      </c>
      <c r="X11" s="92">
        <v>1E-10</v>
      </c>
      <c r="Y11" s="92">
        <v>1E-10</v>
      </c>
      <c r="Z11" s="92">
        <v>1E-10</v>
      </c>
      <c r="AA11" s="92">
        <v>1E-10</v>
      </c>
      <c r="AB11" s="92">
        <v>1E-10</v>
      </c>
      <c r="AC11" s="92">
        <v>1E-10</v>
      </c>
      <c r="AD11" s="92">
        <v>1E-10</v>
      </c>
      <c r="AE11" s="92">
        <v>1E-10</v>
      </c>
      <c r="AF11" s="92">
        <v>1E-10</v>
      </c>
      <c r="AG11" s="92">
        <v>1E-10</v>
      </c>
      <c r="AH11" s="92">
        <v>1E-10</v>
      </c>
    </row>
    <row r="12" spans="1:44" ht="14.5">
      <c r="A12" s="77"/>
      <c r="B12" s="112">
        <v>0.06</v>
      </c>
      <c r="C12" s="92">
        <v>9.1500000000000005E-8</v>
      </c>
      <c r="D12" s="92">
        <v>1.8159999999999999E-8</v>
      </c>
      <c r="E12" s="92">
        <v>1E-10</v>
      </c>
      <c r="F12" s="92">
        <v>1E-10</v>
      </c>
      <c r="G12" s="92">
        <v>1E-10</v>
      </c>
      <c r="H12" s="92">
        <v>1E-10</v>
      </c>
      <c r="I12" s="92">
        <v>1E-10</v>
      </c>
      <c r="J12" s="92">
        <v>1E-10</v>
      </c>
      <c r="K12" s="92">
        <v>1E-10</v>
      </c>
      <c r="L12" s="92">
        <v>1E-10</v>
      </c>
      <c r="M12" s="92">
        <v>1E-10</v>
      </c>
      <c r="N12" s="92">
        <v>1E-10</v>
      </c>
      <c r="O12" s="92">
        <v>1E-10</v>
      </c>
      <c r="P12" s="92">
        <v>8.0000000000000005E-9</v>
      </c>
      <c r="Q12" s="92">
        <v>1E-10</v>
      </c>
      <c r="R12" s="92">
        <v>1E-10</v>
      </c>
      <c r="S12" s="92">
        <v>1E-10</v>
      </c>
      <c r="T12" s="92">
        <v>1E-10</v>
      </c>
      <c r="U12" s="92">
        <v>1E-10</v>
      </c>
      <c r="V12" s="92">
        <v>1E-10</v>
      </c>
      <c r="W12" s="92">
        <v>1E-10</v>
      </c>
      <c r="X12" s="92">
        <v>1E-10</v>
      </c>
      <c r="Y12" s="92">
        <v>1E-10</v>
      </c>
      <c r="Z12" s="92">
        <v>1E-10</v>
      </c>
      <c r="AA12" s="92">
        <v>1E-10</v>
      </c>
      <c r="AB12" s="92">
        <v>1E-10</v>
      </c>
      <c r="AC12" s="92">
        <v>1E-10</v>
      </c>
      <c r="AD12" s="92">
        <v>1E-10</v>
      </c>
      <c r="AE12" s="92">
        <v>1E-10</v>
      </c>
      <c r="AF12" s="92">
        <v>1E-10</v>
      </c>
      <c r="AG12" s="92">
        <v>1E-10</v>
      </c>
      <c r="AH12" s="92">
        <v>1E-10</v>
      </c>
    </row>
    <row r="13" spans="1:44" ht="14.5">
      <c r="A13" s="77"/>
      <c r="B13" s="112">
        <v>7.0000000000000007E-2</v>
      </c>
      <c r="C13" s="92">
        <v>9.1500000000000005E-8</v>
      </c>
      <c r="D13" s="92">
        <v>2.1857999999999999E-7</v>
      </c>
      <c r="E13" s="92">
        <v>1E-10</v>
      </c>
      <c r="F13" s="92">
        <v>1E-10</v>
      </c>
      <c r="G13" s="92">
        <v>1E-10</v>
      </c>
      <c r="H13" s="92">
        <v>1E-10</v>
      </c>
      <c r="I13" s="92">
        <v>1E-10</v>
      </c>
      <c r="J13" s="92">
        <v>1E-10</v>
      </c>
      <c r="K13" s="92">
        <v>1E-10</v>
      </c>
      <c r="L13" s="92">
        <v>1E-10</v>
      </c>
      <c r="M13" s="92">
        <v>1E-10</v>
      </c>
      <c r="N13" s="92">
        <v>1E-10</v>
      </c>
      <c r="O13" s="92">
        <v>1E-10</v>
      </c>
      <c r="P13" s="92">
        <v>8.0000000000000005E-9</v>
      </c>
      <c r="Q13" s="92">
        <v>1E-10</v>
      </c>
      <c r="R13" s="92">
        <v>1E-10</v>
      </c>
      <c r="S13" s="92">
        <v>1E-10</v>
      </c>
      <c r="T13" s="92">
        <v>1E-10</v>
      </c>
      <c r="U13" s="92">
        <v>1E-10</v>
      </c>
      <c r="V13" s="92">
        <v>1E-10</v>
      </c>
      <c r="W13" s="92">
        <v>1E-10</v>
      </c>
      <c r="X13" s="92">
        <v>1E-10</v>
      </c>
      <c r="Y13" s="92">
        <v>1E-10</v>
      </c>
      <c r="Z13" s="92">
        <v>1E-10</v>
      </c>
      <c r="AA13" s="92">
        <v>1E-10</v>
      </c>
      <c r="AB13" s="92">
        <v>1E-10</v>
      </c>
      <c r="AC13" s="92">
        <v>1E-10</v>
      </c>
      <c r="AD13" s="92">
        <v>1E-10</v>
      </c>
      <c r="AE13" s="92">
        <v>1E-10</v>
      </c>
      <c r="AF13" s="92">
        <v>1E-10</v>
      </c>
      <c r="AG13" s="92">
        <v>1E-10</v>
      </c>
      <c r="AH13" s="92">
        <v>1E-10</v>
      </c>
    </row>
    <row r="14" spans="1:44" ht="14.5">
      <c r="A14" s="77"/>
      <c r="B14" s="112">
        <v>0.08</v>
      </c>
      <c r="C14" s="92">
        <v>2.1401200000000002E-6</v>
      </c>
      <c r="D14" s="92">
        <v>4.1114000000000001E-7</v>
      </c>
      <c r="E14" s="92">
        <v>1E-10</v>
      </c>
      <c r="F14" s="92">
        <v>1E-10</v>
      </c>
      <c r="G14" s="92">
        <v>1E-10</v>
      </c>
      <c r="H14" s="92">
        <v>1E-10</v>
      </c>
      <c r="I14" s="92">
        <v>1E-10</v>
      </c>
      <c r="J14" s="92">
        <v>1E-10</v>
      </c>
      <c r="K14" s="92">
        <v>1E-10</v>
      </c>
      <c r="L14" s="92">
        <v>1E-10</v>
      </c>
      <c r="M14" s="92">
        <v>1E-10</v>
      </c>
      <c r="N14" s="92">
        <v>1E-10</v>
      </c>
      <c r="O14" s="92">
        <v>1E-10</v>
      </c>
      <c r="P14" s="92">
        <v>8.0000000000000005E-9</v>
      </c>
      <c r="Q14" s="92">
        <v>1E-10</v>
      </c>
      <c r="R14" s="92">
        <v>1E-10</v>
      </c>
      <c r="S14" s="92">
        <v>1E-10</v>
      </c>
      <c r="T14" s="92">
        <v>1E-10</v>
      </c>
      <c r="U14" s="92">
        <v>1E-10</v>
      </c>
      <c r="V14" s="92">
        <v>1E-10</v>
      </c>
      <c r="W14" s="92">
        <v>1E-10</v>
      </c>
      <c r="X14" s="92">
        <v>1E-10</v>
      </c>
      <c r="Y14" s="92">
        <v>1E-10</v>
      </c>
      <c r="Z14" s="92">
        <v>1E-10</v>
      </c>
      <c r="AA14" s="92">
        <v>1E-10</v>
      </c>
      <c r="AB14" s="92">
        <v>1E-10</v>
      </c>
      <c r="AC14" s="92">
        <v>1E-10</v>
      </c>
      <c r="AD14" s="92">
        <v>1E-10</v>
      </c>
      <c r="AE14" s="92">
        <v>1E-10</v>
      </c>
      <c r="AF14" s="92">
        <v>1E-10</v>
      </c>
      <c r="AG14" s="92">
        <v>1E-10</v>
      </c>
      <c r="AH14" s="92">
        <v>1E-10</v>
      </c>
    </row>
    <row r="15" spans="1:44" ht="14.5">
      <c r="A15" s="77"/>
      <c r="B15" s="112">
        <v>0.09</v>
      </c>
      <c r="C15" s="92">
        <v>5.7166399999999999E-6</v>
      </c>
      <c r="D15" s="92">
        <v>5.7113999999999996E-7</v>
      </c>
      <c r="E15" s="92">
        <v>1E-10</v>
      </c>
      <c r="F15" s="92">
        <v>1E-10</v>
      </c>
      <c r="G15" s="92">
        <v>1E-10</v>
      </c>
      <c r="H15" s="92">
        <v>1E-10</v>
      </c>
      <c r="I15" s="92">
        <v>1E-10</v>
      </c>
      <c r="J15" s="92">
        <v>1E-10</v>
      </c>
      <c r="K15" s="92">
        <v>1E-10</v>
      </c>
      <c r="L15" s="92">
        <v>1E-10</v>
      </c>
      <c r="M15" s="92">
        <v>1E-10</v>
      </c>
      <c r="N15" s="92">
        <v>1E-10</v>
      </c>
      <c r="O15" s="92">
        <v>1E-10</v>
      </c>
      <c r="P15" s="92">
        <v>8.0000000000000005E-9</v>
      </c>
      <c r="Q15" s="92">
        <v>1E-10</v>
      </c>
      <c r="R15" s="92">
        <v>1E-10</v>
      </c>
      <c r="S15" s="92">
        <v>1E-10</v>
      </c>
      <c r="T15" s="92">
        <v>1E-10</v>
      </c>
      <c r="U15" s="92">
        <v>1E-10</v>
      </c>
      <c r="V15" s="92">
        <v>1E-10</v>
      </c>
      <c r="W15" s="92">
        <v>1E-10</v>
      </c>
      <c r="X15" s="92">
        <v>1E-10</v>
      </c>
      <c r="Y15" s="92">
        <v>1E-10</v>
      </c>
      <c r="Z15" s="92">
        <v>1E-10</v>
      </c>
      <c r="AA15" s="92">
        <v>1E-10</v>
      </c>
      <c r="AB15" s="92">
        <v>1E-10</v>
      </c>
      <c r="AC15" s="92">
        <v>1E-10</v>
      </c>
      <c r="AD15" s="92">
        <v>1E-10</v>
      </c>
      <c r="AE15" s="92">
        <v>1E-10</v>
      </c>
      <c r="AF15" s="92">
        <v>1E-10</v>
      </c>
      <c r="AG15" s="92">
        <v>1E-10</v>
      </c>
      <c r="AH15" s="92">
        <v>1E-10</v>
      </c>
    </row>
    <row r="16" spans="1:44" ht="14.5">
      <c r="A16" s="77"/>
      <c r="B16" s="112">
        <v>0.1</v>
      </c>
      <c r="C16" s="92">
        <v>1.03759E-5</v>
      </c>
      <c r="D16" s="92">
        <v>7.4860000000000002E-7</v>
      </c>
      <c r="E16" s="92">
        <v>1E-10</v>
      </c>
      <c r="F16" s="92">
        <v>1E-10</v>
      </c>
      <c r="G16" s="92">
        <v>1E-10</v>
      </c>
      <c r="H16" s="92">
        <v>2.0000000000000001E-10</v>
      </c>
      <c r="I16" s="92">
        <v>2.0000000000000001E-10</v>
      </c>
      <c r="J16" s="92">
        <v>1E-10</v>
      </c>
      <c r="K16" s="92">
        <v>1E-10</v>
      </c>
      <c r="L16" s="92">
        <v>1E-10</v>
      </c>
      <c r="M16" s="92">
        <v>1E-10</v>
      </c>
      <c r="N16" s="92">
        <v>1E-10</v>
      </c>
      <c r="O16" s="92">
        <v>1E-10</v>
      </c>
      <c r="P16" s="92">
        <v>9.9699999999999999E-8</v>
      </c>
      <c r="Q16" s="92">
        <v>1E-10</v>
      </c>
      <c r="R16" s="92">
        <v>1E-10</v>
      </c>
      <c r="S16" s="92">
        <v>1E-10</v>
      </c>
      <c r="T16" s="92">
        <v>1E-10</v>
      </c>
      <c r="U16" s="92">
        <v>1E-10</v>
      </c>
      <c r="V16" s="92">
        <v>1E-10</v>
      </c>
      <c r="W16" s="92">
        <v>1E-10</v>
      </c>
      <c r="X16" s="92">
        <v>1E-10</v>
      </c>
      <c r="Y16" s="92">
        <v>1E-10</v>
      </c>
      <c r="Z16" s="92">
        <v>1E-10</v>
      </c>
      <c r="AA16" s="92">
        <v>1E-10</v>
      </c>
      <c r="AB16" s="92">
        <v>1E-10</v>
      </c>
      <c r="AC16" s="92">
        <v>1E-10</v>
      </c>
      <c r="AD16" s="92">
        <v>1E-10</v>
      </c>
      <c r="AE16" s="92">
        <v>1E-10</v>
      </c>
      <c r="AF16" s="92">
        <v>1E-10</v>
      </c>
      <c r="AG16" s="92">
        <v>1E-10</v>
      </c>
      <c r="AH16" s="92">
        <v>1E-10</v>
      </c>
    </row>
    <row r="17" spans="1:34" ht="14.5">
      <c r="A17" s="77"/>
      <c r="B17" s="112">
        <v>0.15</v>
      </c>
      <c r="C17" s="92">
        <v>8.44379E-5</v>
      </c>
      <c r="D17" s="92">
        <v>1.6293E-6</v>
      </c>
      <c r="E17" s="92">
        <v>1E-10</v>
      </c>
      <c r="F17" s="92">
        <v>1E-10</v>
      </c>
      <c r="G17" s="92">
        <v>1E-10</v>
      </c>
      <c r="H17" s="92">
        <v>2.1695000000000002E-6</v>
      </c>
      <c r="I17" s="92">
        <v>1.744E-7</v>
      </c>
      <c r="J17" s="92">
        <v>3.9612999999999997E-6</v>
      </c>
      <c r="K17" s="92">
        <v>2.66E-8</v>
      </c>
      <c r="L17" s="92">
        <v>1E-10</v>
      </c>
      <c r="M17" s="92">
        <v>1E-10</v>
      </c>
      <c r="N17" s="92">
        <v>1E-10</v>
      </c>
      <c r="O17" s="92">
        <v>1E-10</v>
      </c>
      <c r="P17" s="92">
        <v>6.4169999999999997E-6</v>
      </c>
      <c r="Q17" s="92">
        <v>7.7900000000000003E-8</v>
      </c>
      <c r="R17" s="92">
        <v>1E-10</v>
      </c>
      <c r="S17" s="92">
        <v>1E-10</v>
      </c>
      <c r="T17" s="92">
        <v>1E-10</v>
      </c>
      <c r="U17" s="92">
        <v>1E-10</v>
      </c>
      <c r="V17" s="92">
        <v>1E-10</v>
      </c>
      <c r="W17" s="92">
        <v>1E-10</v>
      </c>
      <c r="X17" s="92">
        <v>1E-10</v>
      </c>
      <c r="Y17" s="92">
        <v>1E-10</v>
      </c>
      <c r="Z17" s="92">
        <v>1E-10</v>
      </c>
      <c r="AA17" s="92">
        <v>4.2339999999999999E-7</v>
      </c>
      <c r="AB17" s="92">
        <v>3.2650000000000002E-7</v>
      </c>
      <c r="AC17" s="92">
        <v>1E-10</v>
      </c>
      <c r="AD17" s="92">
        <v>1E-10</v>
      </c>
      <c r="AE17" s="92">
        <v>1E-10</v>
      </c>
      <c r="AF17" s="92">
        <v>1E-10</v>
      </c>
      <c r="AG17" s="92">
        <v>1E-10</v>
      </c>
      <c r="AH17" s="92">
        <v>1E-10</v>
      </c>
    </row>
    <row r="18" spans="1:34" ht="14.5">
      <c r="A18" s="77"/>
      <c r="B18" s="112">
        <v>0.2</v>
      </c>
      <c r="C18">
        <v>2.372849E-4</v>
      </c>
      <c r="D18" s="92">
        <v>2.9967999999999998E-6</v>
      </c>
      <c r="E18" s="92">
        <v>1E-10</v>
      </c>
      <c r="F18" s="92">
        <v>1E-10</v>
      </c>
      <c r="G18" s="92">
        <v>1E-10</v>
      </c>
      <c r="H18" s="92">
        <v>2.3544899999999999E-5</v>
      </c>
      <c r="I18" s="92">
        <v>9.1972000000000006E-6</v>
      </c>
      <c r="J18">
        <v>1.213007E-4</v>
      </c>
      <c r="K18" s="92">
        <v>6.9071000000000003E-6</v>
      </c>
      <c r="L18" s="92">
        <v>1.2860000000000001E-6</v>
      </c>
      <c r="M18" s="92">
        <v>7.2499999999999994E-8</v>
      </c>
      <c r="N18" s="92">
        <v>1.7060000000000001E-7</v>
      </c>
      <c r="O18" s="92">
        <v>1.3999999999999999E-9</v>
      </c>
      <c r="P18" s="92">
        <v>2.0591300000000001E-5</v>
      </c>
      <c r="Q18" s="92">
        <v>2.7292999999999999E-6</v>
      </c>
      <c r="R18" s="92">
        <v>1E-10</v>
      </c>
      <c r="S18" s="92">
        <v>1E-10</v>
      </c>
      <c r="T18" s="92">
        <v>1E-10</v>
      </c>
      <c r="U18" s="92">
        <v>1E-10</v>
      </c>
      <c r="V18" s="92">
        <v>1E-10</v>
      </c>
      <c r="W18" s="92">
        <v>1E-10</v>
      </c>
      <c r="X18" s="92">
        <v>1E-10</v>
      </c>
      <c r="Y18" s="92">
        <v>1E-10</v>
      </c>
      <c r="Z18" s="92">
        <v>1E-10</v>
      </c>
      <c r="AA18" s="92">
        <v>1.49835E-5</v>
      </c>
      <c r="AB18" s="92">
        <v>1.29948E-5</v>
      </c>
      <c r="AC18" s="92">
        <v>1E-10</v>
      </c>
      <c r="AD18" s="92">
        <v>1E-10</v>
      </c>
      <c r="AE18" s="92">
        <v>1E-10</v>
      </c>
      <c r="AF18" s="92">
        <v>1E-10</v>
      </c>
      <c r="AG18" s="92">
        <v>1E-10</v>
      </c>
      <c r="AH18" s="92">
        <v>1E-10</v>
      </c>
    </row>
    <row r="19" spans="1:34" ht="14.5">
      <c r="A19" s="77"/>
      <c r="B19" s="112">
        <v>0.25</v>
      </c>
      <c r="C19">
        <v>3.8974680000000001E-4</v>
      </c>
      <c r="D19" s="92">
        <v>1.6253099999999999E-5</v>
      </c>
      <c r="E19" s="92">
        <v>1.4049999999999999E-7</v>
      </c>
      <c r="F19" s="92">
        <v>1E-10</v>
      </c>
      <c r="G19" s="92">
        <v>1E-10</v>
      </c>
      <c r="H19">
        <v>1.089714E-4</v>
      </c>
      <c r="I19" s="92">
        <v>6.6289299999999996E-5</v>
      </c>
      <c r="J19">
        <v>2.7218229999999998E-4</v>
      </c>
      <c r="K19">
        <v>1.1215180000000001E-4</v>
      </c>
      <c r="L19" s="92">
        <v>4.16764E-5</v>
      </c>
      <c r="M19" s="92">
        <v>2.7760000000000002E-6</v>
      </c>
      <c r="N19" s="92">
        <v>3.1736899999999998E-5</v>
      </c>
      <c r="O19" s="92">
        <v>8.2600000000000001E-7</v>
      </c>
      <c r="P19" s="92">
        <v>4.9914499999999998E-5</v>
      </c>
      <c r="Q19" s="92">
        <v>4.46617E-5</v>
      </c>
      <c r="R19" s="92">
        <v>1E-10</v>
      </c>
      <c r="S19" s="92">
        <v>1E-10</v>
      </c>
      <c r="T19" s="92">
        <v>1E-10</v>
      </c>
      <c r="U19" s="92">
        <v>1E-10</v>
      </c>
      <c r="V19" s="92">
        <v>1E-10</v>
      </c>
      <c r="W19" s="92">
        <v>1E-10</v>
      </c>
      <c r="X19" s="92">
        <v>1E-10</v>
      </c>
      <c r="Y19" s="92">
        <v>1E-10</v>
      </c>
      <c r="Z19" s="92">
        <v>1E-10</v>
      </c>
      <c r="AA19" s="92">
        <v>9.0408900000000001E-5</v>
      </c>
      <c r="AB19" s="92">
        <v>6.8352500000000007E-5</v>
      </c>
      <c r="AC19" s="92">
        <v>1.7599999999999999E-8</v>
      </c>
      <c r="AD19" s="92">
        <v>3E-10</v>
      </c>
      <c r="AE19" s="92">
        <v>4.0000000000000001E-10</v>
      </c>
      <c r="AF19" s="92">
        <v>1E-10</v>
      </c>
      <c r="AG19" s="92">
        <v>1E-10</v>
      </c>
      <c r="AH19" s="92">
        <v>1E-10</v>
      </c>
    </row>
    <row r="20" spans="1:34" ht="14.5">
      <c r="A20" s="77"/>
      <c r="B20" s="112">
        <v>0.3</v>
      </c>
      <c r="C20">
        <v>6.3463620000000001E-4</v>
      </c>
      <c r="D20" s="92">
        <v>6.1287900000000007E-5</v>
      </c>
      <c r="E20" s="92">
        <v>1.6918500000000001E-5</v>
      </c>
      <c r="F20" s="92">
        <v>2.0000000000000001E-10</v>
      </c>
      <c r="G20" s="92">
        <v>1E-10</v>
      </c>
      <c r="H20">
        <v>1.9819170000000001E-4</v>
      </c>
      <c r="I20">
        <v>1.547675E-4</v>
      </c>
      <c r="J20">
        <v>4.61383E-4</v>
      </c>
      <c r="K20">
        <v>2.4199829999999999E-4</v>
      </c>
      <c r="L20">
        <v>1.7242409999999999E-4</v>
      </c>
      <c r="M20" s="92">
        <v>3.8086800000000003E-5</v>
      </c>
      <c r="N20">
        <v>1.3774100000000001E-4</v>
      </c>
      <c r="O20" s="92">
        <v>3.3047399999999998E-5</v>
      </c>
      <c r="P20">
        <v>1.330619E-4</v>
      </c>
      <c r="Q20">
        <v>1.2912620000000001E-4</v>
      </c>
      <c r="R20" s="92">
        <v>3.7599999999999999E-8</v>
      </c>
      <c r="S20" s="92">
        <v>5.0000000000000003E-10</v>
      </c>
      <c r="T20" s="92">
        <v>1E-10</v>
      </c>
      <c r="U20" s="92">
        <v>2.0000000000000001E-10</v>
      </c>
      <c r="V20" s="92">
        <v>1E-10</v>
      </c>
      <c r="W20" s="92">
        <v>6E-10</v>
      </c>
      <c r="X20" s="92">
        <v>1.42E-7</v>
      </c>
      <c r="Y20" s="92">
        <v>1E-10</v>
      </c>
      <c r="Z20" s="92">
        <v>1E-10</v>
      </c>
      <c r="AA20">
        <v>1.9692860000000001E-4</v>
      </c>
      <c r="AB20">
        <v>1.442192E-4</v>
      </c>
      <c r="AC20" s="92">
        <v>1.5599999999999999E-7</v>
      </c>
      <c r="AD20" s="92">
        <v>2.96E-8</v>
      </c>
      <c r="AE20" s="92">
        <v>4.6499999999999999E-8</v>
      </c>
      <c r="AF20" s="92">
        <v>6.1E-9</v>
      </c>
      <c r="AG20" s="92">
        <v>2.5300000000000002E-8</v>
      </c>
      <c r="AH20" s="92">
        <v>8.5999999999999993E-9</v>
      </c>
    </row>
    <row r="21" spans="1:34" ht="14.5">
      <c r="A21" s="77"/>
      <c r="B21" s="112">
        <v>0.35</v>
      </c>
      <c r="C21">
        <v>9.3673309999999996E-4</v>
      </c>
      <c r="D21">
        <v>2.1740059999999999E-4</v>
      </c>
      <c r="E21">
        <v>1.062706E-4</v>
      </c>
      <c r="F21" s="92">
        <v>6.1799999999999998E-8</v>
      </c>
      <c r="G21" s="92">
        <v>1E-10</v>
      </c>
      <c r="H21">
        <v>3.0114779999999998E-4</v>
      </c>
      <c r="I21">
        <v>2.874819E-4</v>
      </c>
      <c r="J21">
        <v>6.9016349999999999E-4</v>
      </c>
      <c r="K21">
        <v>3.7149490000000003E-4</v>
      </c>
      <c r="L21">
        <v>2.198271E-4</v>
      </c>
      <c r="M21" s="92">
        <v>9.6840899999999996E-5</v>
      </c>
      <c r="N21">
        <v>2.3722890000000001E-4</v>
      </c>
      <c r="O21">
        <v>1.1053900000000001E-4</v>
      </c>
      <c r="P21">
        <v>2.9000679999999999E-4</v>
      </c>
      <c r="Q21">
        <v>2.514172E-4</v>
      </c>
      <c r="R21" s="92">
        <v>1.0849E-6</v>
      </c>
      <c r="S21" s="92">
        <v>1.0050000000000001E-7</v>
      </c>
      <c r="T21" s="92">
        <v>1.195E-7</v>
      </c>
      <c r="U21" s="92">
        <v>6.2999999999999995E-8</v>
      </c>
      <c r="V21" s="92">
        <v>3.99E-8</v>
      </c>
      <c r="W21" s="92">
        <v>1.7980000000000001E-7</v>
      </c>
      <c r="X21" s="92">
        <v>2.0862299999999998E-5</v>
      </c>
      <c r="Y21" s="92">
        <v>1E-10</v>
      </c>
      <c r="Z21" s="92">
        <v>1E-10</v>
      </c>
      <c r="AA21">
        <v>3.2259539999999998E-4</v>
      </c>
      <c r="AB21">
        <v>2.5350269999999998E-4</v>
      </c>
      <c r="AC21" s="92">
        <v>2.8567999999999999E-6</v>
      </c>
      <c r="AD21" s="92">
        <v>5.708E-7</v>
      </c>
      <c r="AE21" s="92">
        <v>7.7960000000000002E-7</v>
      </c>
      <c r="AF21" s="92">
        <v>1.091E-7</v>
      </c>
      <c r="AG21" s="92">
        <v>2.8570000000000002E-7</v>
      </c>
      <c r="AH21" s="92">
        <v>5.3519999999999997E-7</v>
      </c>
    </row>
    <row r="22" spans="1:34" ht="14.5">
      <c r="A22" s="77"/>
      <c r="B22" s="112">
        <v>0.4</v>
      </c>
      <c r="C22">
        <v>1.2984526000000001E-3</v>
      </c>
      <c r="D22">
        <v>2.7415559999999998E-4</v>
      </c>
      <c r="E22">
        <v>2.0620179999999999E-4</v>
      </c>
      <c r="F22" s="92">
        <v>9.1129999999999996E-7</v>
      </c>
      <c r="G22" s="92">
        <v>1E-10</v>
      </c>
      <c r="H22">
        <v>4.5011919999999998E-4</v>
      </c>
      <c r="I22">
        <v>3.7937680000000001E-4</v>
      </c>
      <c r="J22">
        <v>9.4915600000000004E-4</v>
      </c>
      <c r="K22">
        <v>5.2813220000000002E-4</v>
      </c>
      <c r="L22">
        <v>3.2757590000000002E-4</v>
      </c>
      <c r="M22">
        <v>2.607005E-4</v>
      </c>
      <c r="N22">
        <v>3.4076940000000002E-4</v>
      </c>
      <c r="O22">
        <v>2.4968700000000001E-4</v>
      </c>
      <c r="P22">
        <v>3.8567769999999998E-4</v>
      </c>
      <c r="Q22">
        <v>4.1616690000000002E-4</v>
      </c>
      <c r="R22" s="92">
        <v>8.8535999999999994E-6</v>
      </c>
      <c r="S22" s="92">
        <v>3.8515999999999997E-6</v>
      </c>
      <c r="T22" s="92">
        <v>4.3170999999999997E-6</v>
      </c>
      <c r="U22" s="92">
        <v>1.054E-6</v>
      </c>
      <c r="V22" s="92">
        <v>7.2310000000000001E-7</v>
      </c>
      <c r="W22" s="92">
        <v>4.2115999999999996E-6</v>
      </c>
      <c r="X22">
        <v>1.123519E-4</v>
      </c>
      <c r="Y22" s="92">
        <v>1E-10</v>
      </c>
      <c r="Z22" s="92">
        <v>1E-10</v>
      </c>
      <c r="AA22">
        <v>4.7508719999999997E-4</v>
      </c>
      <c r="AB22">
        <v>3.4902499999999999E-4</v>
      </c>
      <c r="AC22" s="92">
        <v>2.9570400000000001E-5</v>
      </c>
      <c r="AD22" s="92">
        <v>1.0223200000000001E-5</v>
      </c>
      <c r="AE22" s="92">
        <v>1.6504800000000002E-5</v>
      </c>
      <c r="AF22" s="92">
        <v>1.2654E-6</v>
      </c>
      <c r="AG22" s="92">
        <v>2.7217999999999999E-6</v>
      </c>
      <c r="AH22" s="92">
        <v>1.01767E-5</v>
      </c>
    </row>
    <row r="23" spans="1:34" ht="14.5">
      <c r="A23" s="77"/>
      <c r="B23" s="112">
        <v>0.45</v>
      </c>
      <c r="C23">
        <v>1.7089722000000001E-3</v>
      </c>
      <c r="D23">
        <v>4.4262309999999999E-4</v>
      </c>
      <c r="E23">
        <v>3.1635689999999999E-4</v>
      </c>
      <c r="F23" s="92">
        <v>1.3512900000000001E-5</v>
      </c>
      <c r="G23" s="92">
        <v>1.0999999999999999E-9</v>
      </c>
      <c r="H23">
        <v>6.1650419999999999E-4</v>
      </c>
      <c r="I23">
        <v>5.5564660000000001E-4</v>
      </c>
      <c r="J23">
        <v>1.2283861E-3</v>
      </c>
      <c r="K23">
        <v>7.4610439999999996E-4</v>
      </c>
      <c r="L23">
        <v>4.3965410000000002E-4</v>
      </c>
      <c r="M23">
        <v>3.7610520000000002E-4</v>
      </c>
      <c r="N23">
        <v>4.497948E-4</v>
      </c>
      <c r="O23">
        <v>3.5052480000000001E-4</v>
      </c>
      <c r="P23">
        <v>5.8641740000000002E-4</v>
      </c>
      <c r="Q23">
        <v>6.5041039999999995E-4</v>
      </c>
      <c r="R23" s="92">
        <v>5.1611399999999999E-5</v>
      </c>
      <c r="S23" s="92">
        <v>4.57464E-5</v>
      </c>
      <c r="T23" s="92">
        <v>4.2465700000000002E-5</v>
      </c>
      <c r="U23" s="92">
        <v>1.06378E-5</v>
      </c>
      <c r="V23" s="92">
        <v>1.36917E-5</v>
      </c>
      <c r="W23" s="92">
        <v>6.5209600000000007E-5</v>
      </c>
      <c r="X23">
        <v>1.7772050000000001E-4</v>
      </c>
      <c r="Y23" s="92">
        <v>1E-10</v>
      </c>
      <c r="Z23" s="92">
        <v>1E-10</v>
      </c>
      <c r="AA23">
        <v>6.5691990000000004E-4</v>
      </c>
      <c r="AB23">
        <v>4.937982E-4</v>
      </c>
      <c r="AC23" s="92">
        <v>7.4761199999999998E-5</v>
      </c>
      <c r="AD23" s="92">
        <v>8.9384999999999999E-5</v>
      </c>
      <c r="AE23" s="92">
        <v>5.73816E-5</v>
      </c>
      <c r="AF23" s="92">
        <v>2.3740600000000001E-5</v>
      </c>
      <c r="AG23" s="92">
        <v>1.7619299999999999E-5</v>
      </c>
      <c r="AH23" s="92">
        <v>5.7903699999999999E-5</v>
      </c>
    </row>
    <row r="24" spans="1:34" ht="14.5">
      <c r="A24" s="77"/>
      <c r="B24" s="112">
        <v>0.5</v>
      </c>
      <c r="C24">
        <v>2.1403453000000002E-3</v>
      </c>
      <c r="D24">
        <v>6.2160690000000001E-4</v>
      </c>
      <c r="E24">
        <v>4.3228869999999999E-4</v>
      </c>
      <c r="F24" s="92">
        <v>6.8823800000000003E-5</v>
      </c>
      <c r="G24" s="92">
        <v>1.7199999999999999E-8</v>
      </c>
      <c r="H24">
        <v>8.3412829999999995E-4</v>
      </c>
      <c r="I24">
        <v>7.3287150000000002E-4</v>
      </c>
      <c r="J24">
        <v>1.53893E-3</v>
      </c>
      <c r="K24">
        <v>9.7423680000000002E-4</v>
      </c>
      <c r="L24">
        <v>6.1203899999999999E-4</v>
      </c>
      <c r="M24">
        <v>4.6820020000000001E-4</v>
      </c>
      <c r="N24">
        <v>5.8468349999999997E-4</v>
      </c>
      <c r="O24">
        <v>4.5993500000000002E-4</v>
      </c>
      <c r="P24">
        <v>8.4147200000000001E-4</v>
      </c>
      <c r="Q24">
        <v>9.5115949999999999E-4</v>
      </c>
      <c r="R24">
        <v>1.396313E-4</v>
      </c>
      <c r="S24">
        <v>1.4626210000000001E-4</v>
      </c>
      <c r="T24">
        <v>1.5990660000000001E-4</v>
      </c>
      <c r="U24" s="92">
        <v>4.5334599999999998E-5</v>
      </c>
      <c r="V24" s="92">
        <v>3.8812300000000001E-5</v>
      </c>
      <c r="W24">
        <v>1.1612290000000001E-4</v>
      </c>
      <c r="X24">
        <v>2.7918760000000001E-4</v>
      </c>
      <c r="Y24" s="92">
        <v>1E-10</v>
      </c>
      <c r="Z24" s="92">
        <v>1E-10</v>
      </c>
      <c r="AA24">
        <v>9.2438850000000001E-4</v>
      </c>
      <c r="AB24">
        <v>6.6683490000000003E-4</v>
      </c>
      <c r="AC24">
        <v>1.6122200000000001E-4</v>
      </c>
      <c r="AD24">
        <v>1.8167929999999999E-4</v>
      </c>
      <c r="AE24">
        <v>1.405759E-4</v>
      </c>
      <c r="AF24" s="92">
        <v>9.2072500000000003E-5</v>
      </c>
      <c r="AG24" s="92">
        <v>6.1326699999999997E-5</v>
      </c>
      <c r="AH24">
        <v>1.3099880000000001E-4</v>
      </c>
    </row>
    <row r="25" spans="1:34" ht="14.5">
      <c r="A25" s="77"/>
      <c r="B25" s="112">
        <v>0.55000000000000004</v>
      </c>
      <c r="C25">
        <v>2.6545485999999998E-3</v>
      </c>
      <c r="D25">
        <v>8.6766640000000004E-4</v>
      </c>
      <c r="E25">
        <v>5.8167210000000002E-4</v>
      </c>
      <c r="F25">
        <v>1.195234E-4</v>
      </c>
      <c r="G25" s="92">
        <v>1.962E-7</v>
      </c>
      <c r="H25">
        <v>1.1231092E-3</v>
      </c>
      <c r="I25">
        <v>9.5905760000000002E-4</v>
      </c>
      <c r="J25">
        <v>1.8681177000000001E-3</v>
      </c>
      <c r="K25">
        <v>1.2185231E-3</v>
      </c>
      <c r="L25">
        <v>7.7655569999999998E-4</v>
      </c>
      <c r="M25">
        <v>6.6825480000000002E-4</v>
      </c>
      <c r="N25">
        <v>7.325357E-4</v>
      </c>
      <c r="O25">
        <v>6.3825239999999999E-4</v>
      </c>
      <c r="P25">
        <v>1.1984178000000001E-3</v>
      </c>
      <c r="Q25">
        <v>1.2957282E-3</v>
      </c>
      <c r="R25">
        <v>3.1202239999999999E-4</v>
      </c>
      <c r="S25">
        <v>1.625753E-4</v>
      </c>
      <c r="T25">
        <v>2.2235500000000001E-4</v>
      </c>
      <c r="U25">
        <v>1.4844829999999999E-4</v>
      </c>
      <c r="V25">
        <v>1.630232E-4</v>
      </c>
      <c r="W25">
        <v>2.212196E-4</v>
      </c>
      <c r="X25">
        <v>3.9040880000000002E-4</v>
      </c>
      <c r="Y25" s="92">
        <v>1.2E-9</v>
      </c>
      <c r="Z25" s="92">
        <v>1E-10</v>
      </c>
      <c r="AA25">
        <v>1.2379331999999999E-3</v>
      </c>
      <c r="AB25">
        <v>8.799163E-4</v>
      </c>
      <c r="AC25">
        <v>2.5099280000000001E-4</v>
      </c>
      <c r="AD25">
        <v>2.148613E-4</v>
      </c>
      <c r="AE25">
        <v>2.8995779999999998E-4</v>
      </c>
      <c r="AF25">
        <v>2.461047E-4</v>
      </c>
      <c r="AG25">
        <v>1.0647259999999999E-4</v>
      </c>
      <c r="AH25">
        <v>2.0904610000000001E-4</v>
      </c>
    </row>
    <row r="26" spans="1:34" ht="14.5">
      <c r="A26" s="77"/>
      <c r="B26" s="112">
        <v>0.6</v>
      </c>
      <c r="C26">
        <v>3.3133136999999998E-3</v>
      </c>
      <c r="D26">
        <v>1.1831189E-3</v>
      </c>
      <c r="E26">
        <v>7.7513729999999996E-4</v>
      </c>
      <c r="F26">
        <v>2.10764E-4</v>
      </c>
      <c r="G26" s="92">
        <v>2.0491E-6</v>
      </c>
      <c r="H26">
        <v>1.5041053E-3</v>
      </c>
      <c r="I26">
        <v>1.2277319E-3</v>
      </c>
      <c r="J26">
        <v>2.2422995999999999E-3</v>
      </c>
      <c r="K26">
        <v>1.5169007000000001E-3</v>
      </c>
      <c r="L26">
        <v>9.5606640000000002E-4</v>
      </c>
      <c r="M26">
        <v>8.4315710000000001E-4</v>
      </c>
      <c r="N26">
        <v>8.9379010000000003E-4</v>
      </c>
      <c r="O26">
        <v>8.0760680000000005E-4</v>
      </c>
      <c r="P26">
        <v>1.6649182000000001E-3</v>
      </c>
      <c r="Q26">
        <v>1.7094472000000001E-3</v>
      </c>
      <c r="R26">
        <v>4.377327E-4</v>
      </c>
      <c r="S26">
        <v>2.742984E-4</v>
      </c>
      <c r="T26">
        <v>3.3583670000000002E-4</v>
      </c>
      <c r="U26">
        <v>3.5229670000000001E-4</v>
      </c>
      <c r="V26">
        <v>2.279359E-4</v>
      </c>
      <c r="W26">
        <v>3.141792E-4</v>
      </c>
      <c r="X26">
        <v>5.2204319999999999E-4</v>
      </c>
      <c r="Y26" s="92">
        <v>4.5999999999999998E-9</v>
      </c>
      <c r="Z26" s="92">
        <v>1E-10</v>
      </c>
      <c r="AA26">
        <v>1.6491017000000001E-3</v>
      </c>
      <c r="AB26">
        <v>1.1705858000000001E-3</v>
      </c>
      <c r="AC26">
        <v>3.4395340000000001E-4</v>
      </c>
      <c r="AD26">
        <v>3.6335849999999999E-4</v>
      </c>
      <c r="AE26">
        <v>3.6384390000000001E-4</v>
      </c>
      <c r="AF26">
        <v>3.5428770000000003E-4</v>
      </c>
      <c r="AG26">
        <v>2.0691089999999999E-4</v>
      </c>
      <c r="AH26">
        <v>3.3119619999999998E-4</v>
      </c>
    </row>
    <row r="27" spans="1:34" ht="14.5">
      <c r="A27" s="77"/>
      <c r="B27" s="112">
        <v>0.65</v>
      </c>
      <c r="C27">
        <v>4.0469169999999997E-3</v>
      </c>
      <c r="D27">
        <v>1.568365E-3</v>
      </c>
      <c r="E27">
        <v>9.8412359999999993E-4</v>
      </c>
      <c r="F27">
        <v>3.1348530000000001E-4</v>
      </c>
      <c r="G27" s="92">
        <v>4.7175700000000003E-5</v>
      </c>
      <c r="H27">
        <v>1.9980566E-3</v>
      </c>
      <c r="I27">
        <v>1.5779979999999999E-3</v>
      </c>
      <c r="J27">
        <v>2.6455785000000002E-3</v>
      </c>
      <c r="K27">
        <v>1.8394041E-3</v>
      </c>
      <c r="L27">
        <v>1.1938236999999999E-3</v>
      </c>
      <c r="M27">
        <v>1.1000560000000001E-3</v>
      </c>
      <c r="N27">
        <v>1.0846835000000001E-3</v>
      </c>
      <c r="O27">
        <v>1.0275204E-3</v>
      </c>
      <c r="P27">
        <v>2.3094511000000002E-3</v>
      </c>
      <c r="Q27">
        <v>2.1769850999999998E-3</v>
      </c>
      <c r="R27">
        <v>6.0927720000000004E-4</v>
      </c>
      <c r="S27">
        <v>3.918134E-4</v>
      </c>
      <c r="T27">
        <v>4.8630480000000001E-4</v>
      </c>
      <c r="U27">
        <v>3.8787240000000002E-4</v>
      </c>
      <c r="V27">
        <v>3.0836729999999998E-4</v>
      </c>
      <c r="W27">
        <v>4.5829120000000001E-4</v>
      </c>
      <c r="X27">
        <v>6.8643600000000001E-4</v>
      </c>
      <c r="Y27" s="92">
        <v>1.77E-8</v>
      </c>
      <c r="Z27" s="92">
        <v>1E-10</v>
      </c>
      <c r="AA27">
        <v>2.132007E-3</v>
      </c>
      <c r="AB27">
        <v>1.5101263E-3</v>
      </c>
      <c r="AC27">
        <v>5.0256189999999998E-4</v>
      </c>
      <c r="AD27">
        <v>5.2116E-4</v>
      </c>
      <c r="AE27">
        <v>5.4860770000000002E-4</v>
      </c>
      <c r="AF27">
        <v>4.9453840000000002E-4</v>
      </c>
      <c r="AG27">
        <v>4.1040949999999999E-4</v>
      </c>
      <c r="AH27">
        <v>4.8747089999999997E-4</v>
      </c>
    </row>
    <row r="28" spans="1:34" ht="14.5">
      <c r="A28" s="77"/>
      <c r="B28" s="112">
        <v>0.7</v>
      </c>
      <c r="C28">
        <v>4.7686613999999997E-3</v>
      </c>
      <c r="D28">
        <v>2.0722760000000001E-3</v>
      </c>
      <c r="E28">
        <v>1.2640754000000001E-3</v>
      </c>
      <c r="F28">
        <v>4.3543740000000003E-4</v>
      </c>
      <c r="G28">
        <v>2.0982250000000001E-4</v>
      </c>
      <c r="H28">
        <v>2.6098328000000001E-3</v>
      </c>
      <c r="I28">
        <v>2.0162597000000001E-3</v>
      </c>
      <c r="J28">
        <v>3.1338760999999999E-3</v>
      </c>
      <c r="K28">
        <v>2.2402526000000001E-3</v>
      </c>
      <c r="L28">
        <v>1.4266328E-3</v>
      </c>
      <c r="M28">
        <v>1.3537823000000001E-3</v>
      </c>
      <c r="N28">
        <v>1.2970271999999999E-3</v>
      </c>
      <c r="O28">
        <v>1.2924023999999999E-3</v>
      </c>
      <c r="P28">
        <v>3.1400912999999999E-3</v>
      </c>
      <c r="Q28">
        <v>2.6814802E-3</v>
      </c>
      <c r="R28">
        <v>9.1985850000000002E-4</v>
      </c>
      <c r="S28">
        <v>5.5647800000000001E-4</v>
      </c>
      <c r="T28">
        <v>7.3803759999999997E-4</v>
      </c>
      <c r="U28">
        <v>5.9997649999999996E-4</v>
      </c>
      <c r="V28">
        <v>4.7937890000000001E-4</v>
      </c>
      <c r="W28">
        <v>6.4503979999999998E-4</v>
      </c>
      <c r="X28">
        <v>8.6804790000000003E-4</v>
      </c>
      <c r="Y28" s="92">
        <v>3.1520000000000002E-7</v>
      </c>
      <c r="Z28" s="92">
        <v>8.9999999999999999E-10</v>
      </c>
      <c r="AA28">
        <v>2.8138397000000001E-3</v>
      </c>
      <c r="AB28">
        <v>1.9431310000000001E-3</v>
      </c>
      <c r="AC28">
        <v>7.2619399999999999E-4</v>
      </c>
      <c r="AD28">
        <v>7.3041529999999999E-4</v>
      </c>
      <c r="AE28">
        <v>7.6742460000000005E-4</v>
      </c>
      <c r="AF28">
        <v>7.5707560000000005E-4</v>
      </c>
      <c r="AG28">
        <v>5.1238420000000002E-4</v>
      </c>
      <c r="AH28">
        <v>7.2176629999999998E-4</v>
      </c>
    </row>
    <row r="29" spans="1:34" ht="14.5">
      <c r="A29" s="77"/>
      <c r="B29" s="112">
        <v>0.75</v>
      </c>
      <c r="C29">
        <v>5.6687318999999996E-3</v>
      </c>
      <c r="D29">
        <v>2.7278424E-3</v>
      </c>
      <c r="E29">
        <v>1.5715748999999999E-3</v>
      </c>
      <c r="F29">
        <v>5.9519390000000003E-4</v>
      </c>
      <c r="G29">
        <v>2.7066759999999998E-4</v>
      </c>
      <c r="H29">
        <v>3.3378850000000001E-3</v>
      </c>
      <c r="I29">
        <v>2.5425894999999998E-3</v>
      </c>
      <c r="J29">
        <v>3.6715303000000002E-3</v>
      </c>
      <c r="K29">
        <v>2.7167263000000001E-3</v>
      </c>
      <c r="L29">
        <v>1.7415403000000001E-3</v>
      </c>
      <c r="M29">
        <v>1.6927926E-3</v>
      </c>
      <c r="N29">
        <v>1.5674790000000001E-3</v>
      </c>
      <c r="O29">
        <v>1.6450868999999999E-3</v>
      </c>
      <c r="P29">
        <v>4.3441963000000004E-3</v>
      </c>
      <c r="Q29">
        <v>3.3876174E-3</v>
      </c>
      <c r="R29">
        <v>1.2506759E-3</v>
      </c>
      <c r="S29">
        <v>8.2433389999999999E-4</v>
      </c>
      <c r="T29">
        <v>1.0244639000000001E-3</v>
      </c>
      <c r="U29">
        <v>8.475043E-4</v>
      </c>
      <c r="V29">
        <v>6.8243890000000004E-4</v>
      </c>
      <c r="W29">
        <v>8.9449669999999996E-4</v>
      </c>
      <c r="X29">
        <v>1.1232366000000001E-3</v>
      </c>
      <c r="Y29" s="92">
        <v>4.1316000000000004E-6</v>
      </c>
      <c r="Z29" s="92">
        <v>1.9850000000000001E-7</v>
      </c>
      <c r="AA29">
        <v>3.5942302E-3</v>
      </c>
      <c r="AB29">
        <v>2.4959291000000001E-3</v>
      </c>
      <c r="AC29">
        <v>1.0173876E-3</v>
      </c>
      <c r="AD29">
        <v>1.0655332000000001E-3</v>
      </c>
      <c r="AE29">
        <v>1.1236798999999999E-3</v>
      </c>
      <c r="AF29">
        <v>1.0836642000000001E-3</v>
      </c>
      <c r="AG29">
        <v>7.5728000000000004E-4</v>
      </c>
      <c r="AH29">
        <v>1.0396047E-3</v>
      </c>
    </row>
    <row r="30" spans="1:34" ht="14.5">
      <c r="A30" s="77"/>
      <c r="B30" s="112">
        <v>0.8</v>
      </c>
      <c r="C30">
        <v>6.8064906000000003E-3</v>
      </c>
      <c r="D30">
        <v>3.7214873E-3</v>
      </c>
      <c r="E30">
        <v>1.9845294000000002E-3</v>
      </c>
      <c r="F30">
        <v>7.9687110000000003E-4</v>
      </c>
      <c r="G30">
        <v>5.0654590000000005E-4</v>
      </c>
      <c r="H30">
        <v>4.1945005E-3</v>
      </c>
      <c r="I30">
        <v>3.2195852000000001E-3</v>
      </c>
      <c r="J30">
        <v>4.4018525999999997E-3</v>
      </c>
      <c r="K30">
        <v>3.2816751E-3</v>
      </c>
      <c r="L30">
        <v>2.1422088999999999E-3</v>
      </c>
      <c r="M30">
        <v>2.1689537000000002E-3</v>
      </c>
      <c r="N30">
        <v>1.8951278E-3</v>
      </c>
      <c r="O30">
        <v>2.0620718999999998E-3</v>
      </c>
      <c r="P30">
        <v>6.1405640999999999E-3</v>
      </c>
      <c r="Q30">
        <v>4.2131579000000002E-3</v>
      </c>
      <c r="R30">
        <v>1.7032598E-3</v>
      </c>
      <c r="S30">
        <v>1.2240777999999999E-3</v>
      </c>
      <c r="T30">
        <v>1.4678288000000001E-3</v>
      </c>
      <c r="U30">
        <v>1.2093856000000001E-3</v>
      </c>
      <c r="V30">
        <v>9.4674069999999997E-4</v>
      </c>
      <c r="W30">
        <v>1.2892811E-3</v>
      </c>
      <c r="X30">
        <v>1.4809070000000001E-3</v>
      </c>
      <c r="Y30" s="92">
        <v>3.8176100000000002E-5</v>
      </c>
      <c r="Z30" s="92">
        <v>1.6371900000000002E-5</v>
      </c>
      <c r="AA30">
        <v>4.6099226E-3</v>
      </c>
      <c r="AB30">
        <v>3.2593604999999999E-3</v>
      </c>
      <c r="AC30">
        <v>1.4364152E-3</v>
      </c>
      <c r="AD30">
        <v>1.4996291E-3</v>
      </c>
      <c r="AE30">
        <v>1.6098977999999999E-3</v>
      </c>
      <c r="AF30">
        <v>1.5026575000000001E-3</v>
      </c>
      <c r="AG30">
        <v>1.1532414000000001E-3</v>
      </c>
      <c r="AH30">
        <v>1.4440849999999999E-3</v>
      </c>
    </row>
    <row r="31" spans="1:34" ht="14.5">
      <c r="A31" s="77"/>
      <c r="B31" s="112">
        <v>0.85</v>
      </c>
      <c r="C31">
        <v>8.3985402000000004E-3</v>
      </c>
      <c r="D31">
        <v>5.2845529000000004E-3</v>
      </c>
      <c r="E31">
        <v>2.5160147999999998E-3</v>
      </c>
      <c r="F31">
        <v>1.0761804000000001E-3</v>
      </c>
      <c r="G31">
        <v>6.8286219999999997E-4</v>
      </c>
      <c r="H31">
        <v>5.3813649000000003E-3</v>
      </c>
      <c r="I31">
        <v>4.0716937000000002E-3</v>
      </c>
      <c r="J31">
        <v>5.3876323000000004E-3</v>
      </c>
      <c r="K31">
        <v>4.0074569999999999E-3</v>
      </c>
      <c r="L31">
        <v>2.6080823E-3</v>
      </c>
      <c r="M31">
        <v>2.7940145999999998E-3</v>
      </c>
      <c r="N31">
        <v>2.3266539E-3</v>
      </c>
      <c r="O31">
        <v>2.6878185E-3</v>
      </c>
      <c r="P31">
        <v>8.7461927000000005E-3</v>
      </c>
      <c r="Q31">
        <v>5.3052176000000003E-3</v>
      </c>
      <c r="R31">
        <v>2.3382347E-3</v>
      </c>
      <c r="S31">
        <v>1.8069856999999999E-3</v>
      </c>
      <c r="T31">
        <v>2.0546638999999998E-3</v>
      </c>
      <c r="U31">
        <v>1.7806526E-3</v>
      </c>
      <c r="V31">
        <v>1.3914673000000001E-3</v>
      </c>
      <c r="W31">
        <v>1.8292180000000001E-3</v>
      </c>
      <c r="X31">
        <v>2.0633996999999999E-3</v>
      </c>
      <c r="Y31">
        <v>1.590183E-4</v>
      </c>
      <c r="Z31">
        <v>1.0682730000000001E-4</v>
      </c>
      <c r="AA31">
        <v>6.0559680000000001E-3</v>
      </c>
      <c r="AB31">
        <v>4.3412878000000004E-3</v>
      </c>
      <c r="AC31">
        <v>2.1443631999999999E-3</v>
      </c>
      <c r="AD31">
        <v>2.2893369000000002E-3</v>
      </c>
      <c r="AE31">
        <v>2.2974069E-3</v>
      </c>
      <c r="AF31">
        <v>2.1515338E-3</v>
      </c>
      <c r="AG31">
        <v>1.7238179E-3</v>
      </c>
      <c r="AH31">
        <v>2.0891349000000002E-3</v>
      </c>
    </row>
    <row r="32" spans="1:34" ht="14.5">
      <c r="A32" s="77"/>
      <c r="B32" s="112">
        <v>0.9</v>
      </c>
      <c r="C32">
        <v>1.0973981799999999E-2</v>
      </c>
      <c r="D32">
        <v>7.7226676999999997E-3</v>
      </c>
      <c r="E32">
        <v>3.2796555E-3</v>
      </c>
      <c r="F32">
        <v>1.5962655000000001E-3</v>
      </c>
      <c r="G32">
        <v>1.0478811000000001E-3</v>
      </c>
      <c r="H32">
        <v>7.4102926E-3</v>
      </c>
      <c r="I32">
        <v>5.4348996999999998E-3</v>
      </c>
      <c r="J32">
        <v>6.7921991999999997E-3</v>
      </c>
      <c r="K32">
        <v>5.1397285000000003E-3</v>
      </c>
      <c r="L32">
        <v>3.3835984E-3</v>
      </c>
      <c r="M32">
        <v>3.7209031999999999E-3</v>
      </c>
      <c r="N32">
        <v>2.9972365000000001E-3</v>
      </c>
      <c r="O32">
        <v>3.7013358999999999E-3</v>
      </c>
      <c r="P32">
        <v>1.3459349400000001E-2</v>
      </c>
      <c r="Q32">
        <v>6.6905602E-3</v>
      </c>
      <c r="R32">
        <v>3.4833905E-3</v>
      </c>
      <c r="S32">
        <v>2.7630627E-3</v>
      </c>
      <c r="T32">
        <v>3.1059503999999998E-3</v>
      </c>
      <c r="U32">
        <v>2.6200993E-3</v>
      </c>
      <c r="V32">
        <v>2.1618178000000002E-3</v>
      </c>
      <c r="W32">
        <v>2.8146471E-3</v>
      </c>
      <c r="X32">
        <v>3.1195959000000001E-3</v>
      </c>
      <c r="Y32">
        <v>2.7132289999999998E-4</v>
      </c>
      <c r="Z32">
        <v>3.9465350000000003E-4</v>
      </c>
      <c r="AA32">
        <v>8.3966730999999999E-3</v>
      </c>
      <c r="AB32">
        <v>5.7848400999999999E-3</v>
      </c>
      <c r="AC32">
        <v>3.2621313999999998E-3</v>
      </c>
      <c r="AD32">
        <v>3.6750907E-3</v>
      </c>
      <c r="AE32">
        <v>3.5436003000000002E-3</v>
      </c>
      <c r="AF32">
        <v>3.3709386000000002E-3</v>
      </c>
      <c r="AG32">
        <v>2.6207524999999998E-3</v>
      </c>
      <c r="AH32">
        <v>3.1438261000000002E-3</v>
      </c>
    </row>
    <row r="33" spans="1:34" ht="14.5">
      <c r="A33" s="77"/>
      <c r="B33" s="112">
        <v>0.91</v>
      </c>
      <c r="C33">
        <v>1.1862091280000001E-2</v>
      </c>
      <c r="D33">
        <v>8.40466032E-3</v>
      </c>
      <c r="E33">
        <v>3.4881484399999999E-3</v>
      </c>
      <c r="F33">
        <v>1.7313880800000001E-3</v>
      </c>
      <c r="G33">
        <v>1.1097069999999999E-3</v>
      </c>
      <c r="H33">
        <v>7.8911644400000095E-3</v>
      </c>
      <c r="I33">
        <v>5.8206212399999997E-3</v>
      </c>
      <c r="J33">
        <v>7.1709606199999998E-3</v>
      </c>
      <c r="K33">
        <v>5.5322833600000001E-3</v>
      </c>
      <c r="L33">
        <v>3.6479615599999998E-3</v>
      </c>
      <c r="M33">
        <v>3.95056014E-3</v>
      </c>
      <c r="N33">
        <v>3.1599751999999998E-3</v>
      </c>
      <c r="O33">
        <v>3.9456440399999997E-3</v>
      </c>
      <c r="P33">
        <v>1.4669616280000001E-2</v>
      </c>
      <c r="Q33">
        <v>7.0563750599999999E-3</v>
      </c>
      <c r="R33">
        <v>3.7504595600000002E-3</v>
      </c>
      <c r="S33">
        <v>3.0440622799999999E-3</v>
      </c>
      <c r="T33">
        <v>3.4058661600000098E-3</v>
      </c>
      <c r="U33">
        <v>2.8522967000000001E-3</v>
      </c>
      <c r="V33">
        <v>2.3565345599999999E-3</v>
      </c>
      <c r="W33">
        <v>3.0841937399999999E-3</v>
      </c>
      <c r="X33">
        <v>3.4582981600000001E-3</v>
      </c>
      <c r="Y33">
        <v>3.1803650000000001E-4</v>
      </c>
      <c r="Z33">
        <v>4.6434949999999998E-4</v>
      </c>
      <c r="AA33">
        <v>9.2303068200000008E-3</v>
      </c>
      <c r="AB33">
        <v>6.1923013600000002E-3</v>
      </c>
      <c r="AC33">
        <v>3.6047740400000001E-3</v>
      </c>
      <c r="AD33">
        <v>3.9701058999999997E-3</v>
      </c>
      <c r="AE33">
        <v>3.9185591599999996E-3</v>
      </c>
      <c r="AF33">
        <v>3.80228378E-3</v>
      </c>
      <c r="AG33">
        <v>2.9410640000000002E-3</v>
      </c>
      <c r="AH33">
        <v>3.4117452600000001E-3</v>
      </c>
    </row>
    <row r="34" spans="1:34" ht="14.5">
      <c r="A34" s="77"/>
      <c r="B34" s="112">
        <v>0.92</v>
      </c>
      <c r="C34">
        <v>1.274257876E-2</v>
      </c>
      <c r="D34">
        <v>9.1487596400000298E-3</v>
      </c>
      <c r="E34">
        <v>3.7255563799999999E-3</v>
      </c>
      <c r="F34">
        <v>1.9014098199999999E-3</v>
      </c>
      <c r="G34">
        <v>1.20656558000001E-3</v>
      </c>
      <c r="H34">
        <v>8.5015713600000101E-3</v>
      </c>
      <c r="I34">
        <v>6.2278789799999996E-3</v>
      </c>
      <c r="J34">
        <v>7.6329424600000001E-3</v>
      </c>
      <c r="K34">
        <v>5.8650999200000097E-3</v>
      </c>
      <c r="L34">
        <v>3.8664213999999998E-3</v>
      </c>
      <c r="M34">
        <v>4.2405189999999999E-3</v>
      </c>
      <c r="N34">
        <v>3.4430510199999998E-3</v>
      </c>
      <c r="O34">
        <v>4.2746513400000099E-3</v>
      </c>
      <c r="P34">
        <v>1.6228852540000002E-2</v>
      </c>
      <c r="Q34">
        <v>7.4814670200000002E-3</v>
      </c>
      <c r="R34">
        <v>4.13831088E-3</v>
      </c>
      <c r="S34">
        <v>3.3795810800000001E-3</v>
      </c>
      <c r="T34">
        <v>3.7960506999999998E-3</v>
      </c>
      <c r="U34">
        <v>3.14391374E-3</v>
      </c>
      <c r="V34">
        <v>2.6256629200000002E-3</v>
      </c>
      <c r="W34">
        <v>3.4590895800000101E-3</v>
      </c>
      <c r="X34">
        <v>3.7974845399999999E-3</v>
      </c>
      <c r="Y34">
        <v>3.5467940000000002E-4</v>
      </c>
      <c r="Z34">
        <v>5.1190028000000498E-4</v>
      </c>
      <c r="AA34">
        <v>1.016408202E-2</v>
      </c>
      <c r="AB34">
        <v>6.5874747999999997E-3</v>
      </c>
      <c r="AC34">
        <v>3.9879005800000002E-3</v>
      </c>
      <c r="AD34">
        <v>4.3464779400000002E-3</v>
      </c>
      <c r="AE34">
        <v>4.3400241999999997E-3</v>
      </c>
      <c r="AF34">
        <v>4.3391044800000101E-3</v>
      </c>
      <c r="AG34">
        <v>3.2614770800000002E-3</v>
      </c>
      <c r="AH34">
        <v>3.8142684599999999E-3</v>
      </c>
    </row>
    <row r="35" spans="1:34" ht="14.5">
      <c r="A35" s="77"/>
      <c r="B35" s="112">
        <v>0.93</v>
      </c>
      <c r="C35">
        <v>1.385783602E-2</v>
      </c>
      <c r="D35">
        <v>9.9180255200000001E-3</v>
      </c>
      <c r="E35">
        <v>3.9628507999999998E-3</v>
      </c>
      <c r="F35">
        <v>2.0815281599999998E-3</v>
      </c>
      <c r="G35">
        <v>1.3533382E-3</v>
      </c>
      <c r="H35">
        <v>9.2299414600000001E-3</v>
      </c>
      <c r="I35">
        <v>6.68147198E-3</v>
      </c>
      <c r="J35">
        <v>8.1486406399999996E-3</v>
      </c>
      <c r="K35">
        <v>6.3047965000000003E-3</v>
      </c>
      <c r="L35">
        <v>4.1651291600000003E-3</v>
      </c>
      <c r="M35">
        <v>4.6279526800000002E-3</v>
      </c>
      <c r="N35">
        <v>3.7617229200000001E-3</v>
      </c>
      <c r="O35">
        <v>4.7003795599999997E-3</v>
      </c>
      <c r="P35">
        <v>1.834813792E-2</v>
      </c>
      <c r="Q35">
        <v>8.0635926400000005E-3</v>
      </c>
      <c r="R35">
        <v>4.6239725999999998E-3</v>
      </c>
      <c r="S35">
        <v>3.77829936E-3</v>
      </c>
      <c r="T35">
        <v>4.1758652E-3</v>
      </c>
      <c r="U35">
        <v>3.5001557799999999E-3</v>
      </c>
      <c r="V35">
        <v>2.9095443599999999E-3</v>
      </c>
      <c r="W35">
        <v>3.8989070599999998E-3</v>
      </c>
      <c r="X35">
        <v>4.1469698800000003E-3</v>
      </c>
      <c r="Y35">
        <v>4.2172653999999999E-4</v>
      </c>
      <c r="Z35">
        <v>6.2112940000000002E-4</v>
      </c>
      <c r="AA35">
        <v>1.1254544139999999E-2</v>
      </c>
      <c r="AB35">
        <v>7.0678744200000001E-3</v>
      </c>
      <c r="AC35">
        <v>4.4654575199999996E-3</v>
      </c>
      <c r="AD35">
        <v>4.8314700599999998E-3</v>
      </c>
      <c r="AE35">
        <v>4.8544600800000002E-3</v>
      </c>
      <c r="AF35">
        <v>4.8569627999999997E-3</v>
      </c>
      <c r="AG35">
        <v>3.6718510999999999E-3</v>
      </c>
      <c r="AH35">
        <v>4.2611937199999997E-3</v>
      </c>
    </row>
    <row r="36" spans="1:34" ht="14.5">
      <c r="A36" s="77"/>
      <c r="B36" s="112">
        <v>0.94</v>
      </c>
      <c r="C36">
        <v>1.5107142340000001E-2</v>
      </c>
      <c r="D36">
        <v>1.114593532E-2</v>
      </c>
      <c r="E36">
        <v>4.2867098799999996E-3</v>
      </c>
      <c r="F36">
        <v>2.2947047599999998E-3</v>
      </c>
      <c r="G36">
        <v>1.5354949E-3</v>
      </c>
      <c r="H36">
        <v>1.028374464E-2</v>
      </c>
      <c r="I36">
        <v>7.3112499800000001E-3</v>
      </c>
      <c r="J36">
        <v>8.7799437600000006E-3</v>
      </c>
      <c r="K36">
        <v>6.8484916999999998E-3</v>
      </c>
      <c r="L36">
        <v>4.5432285600000002E-3</v>
      </c>
      <c r="M36">
        <v>5.0861665999999998E-3</v>
      </c>
      <c r="N36">
        <v>4.0804596999999996E-3</v>
      </c>
      <c r="O36">
        <v>5.1612882799999997E-3</v>
      </c>
      <c r="P36">
        <v>2.0195977380000001E-2</v>
      </c>
      <c r="Q36">
        <v>8.7465962599999909E-3</v>
      </c>
      <c r="R36">
        <v>5.2178036000000002E-3</v>
      </c>
      <c r="S36">
        <v>4.3300859399999997E-3</v>
      </c>
      <c r="T36">
        <v>4.6540827799999998E-3</v>
      </c>
      <c r="U36">
        <v>3.9873698400000003E-3</v>
      </c>
      <c r="V36">
        <v>3.2447876800000002E-3</v>
      </c>
      <c r="W36">
        <v>4.4699629399999902E-3</v>
      </c>
      <c r="X36">
        <v>4.7355761400000003E-3</v>
      </c>
      <c r="Y36">
        <v>4.8080680000000002E-4</v>
      </c>
      <c r="Z36">
        <v>7.7771510000000004E-4</v>
      </c>
      <c r="AA36">
        <v>1.2520014100000001E-2</v>
      </c>
      <c r="AB36">
        <v>7.7842180199999998E-3</v>
      </c>
      <c r="AC36">
        <v>5.1131794199999999E-3</v>
      </c>
      <c r="AD36">
        <v>5.3978116599999902E-3</v>
      </c>
      <c r="AE36">
        <v>5.51288856E-3</v>
      </c>
      <c r="AF36">
        <v>5.3755420400000004E-3</v>
      </c>
      <c r="AG36">
        <v>4.1379957199999999E-3</v>
      </c>
      <c r="AH36">
        <v>4.79003278E-3</v>
      </c>
    </row>
    <row r="37" spans="1:34" ht="14.5">
      <c r="A37" s="77"/>
      <c r="B37" s="112">
        <v>0.95</v>
      </c>
      <c r="C37">
        <v>1.7110598800000001E-2</v>
      </c>
      <c r="D37">
        <v>1.24716802E-2</v>
      </c>
      <c r="E37">
        <v>4.6742155000000004E-3</v>
      </c>
      <c r="F37">
        <v>2.5969762E-3</v>
      </c>
      <c r="G37">
        <v>1.7107543E-3</v>
      </c>
      <c r="H37">
        <v>1.1446330899999999E-2</v>
      </c>
      <c r="I37">
        <v>8.1230721999999995E-3</v>
      </c>
      <c r="J37">
        <v>9.5779895999999996E-3</v>
      </c>
      <c r="K37">
        <v>7.4972724000000003E-3</v>
      </c>
      <c r="L37">
        <v>4.9479540000000001E-3</v>
      </c>
      <c r="M37">
        <v>5.6944196000000002E-3</v>
      </c>
      <c r="N37">
        <v>4.3951772999999998E-3</v>
      </c>
      <c r="O37">
        <v>5.6754793999999999E-3</v>
      </c>
      <c r="P37">
        <v>2.2545883900000001E-2</v>
      </c>
      <c r="Q37">
        <v>9.6064193999999999E-3</v>
      </c>
      <c r="R37">
        <v>5.8502959999999996E-3</v>
      </c>
      <c r="S37">
        <v>4.9351359999999997E-3</v>
      </c>
      <c r="T37">
        <v>5.2883785000000004E-3</v>
      </c>
      <c r="U37">
        <v>4.5117083999999998E-3</v>
      </c>
      <c r="V37">
        <v>3.8863497000000001E-3</v>
      </c>
      <c r="W37">
        <v>5.1064122999999999E-3</v>
      </c>
      <c r="X37">
        <v>5.2904763000000002E-3</v>
      </c>
      <c r="Y37">
        <v>5.6494680000000004E-4</v>
      </c>
      <c r="Z37">
        <v>8.5320709999999996E-4</v>
      </c>
      <c r="AA37">
        <v>1.38530917E-2</v>
      </c>
      <c r="AB37">
        <v>8.4224611000000005E-3</v>
      </c>
      <c r="AC37">
        <v>5.7403007000000001E-3</v>
      </c>
      <c r="AD37">
        <v>6.2967194999999998E-3</v>
      </c>
      <c r="AE37">
        <v>6.4120994000000002E-3</v>
      </c>
      <c r="AF37">
        <v>5.9348418999999996E-3</v>
      </c>
      <c r="AG37">
        <v>4.9048601000000001E-3</v>
      </c>
      <c r="AH37">
        <v>5.4430987000000002E-3</v>
      </c>
    </row>
    <row r="38" spans="1:34" ht="14.5">
      <c r="A38" s="77"/>
      <c r="B38" s="112">
        <v>0.96</v>
      </c>
      <c r="C38">
        <v>1.9440748479999999E-2</v>
      </c>
      <c r="D38">
        <v>1.427623322E-2</v>
      </c>
      <c r="E38">
        <v>5.0827441800000098E-3</v>
      </c>
      <c r="F38">
        <v>2.9378554000000002E-3</v>
      </c>
      <c r="G38">
        <v>1.9608599399999998E-3</v>
      </c>
      <c r="H38">
        <v>1.295896922E-2</v>
      </c>
      <c r="I38">
        <v>9.0286110600000004E-3</v>
      </c>
      <c r="J38">
        <v>1.0713958020000001E-2</v>
      </c>
      <c r="K38">
        <v>8.2347270600000005E-3</v>
      </c>
      <c r="L38">
        <v>5.5140240200000001E-3</v>
      </c>
      <c r="M38">
        <v>6.3988666199999997E-3</v>
      </c>
      <c r="N38">
        <v>4.9257107200000004E-3</v>
      </c>
      <c r="O38">
        <v>6.3694215600000204E-3</v>
      </c>
      <c r="P38">
        <v>2.54727852E-2</v>
      </c>
      <c r="Q38">
        <v>1.062238496E-2</v>
      </c>
      <c r="R38">
        <v>6.4890538999999997E-3</v>
      </c>
      <c r="S38">
        <v>5.6999032799999998E-3</v>
      </c>
      <c r="T38">
        <v>6.1523700799999996E-3</v>
      </c>
      <c r="U38">
        <v>5.3177041399999998E-3</v>
      </c>
      <c r="V38">
        <v>4.5446768000000004E-3</v>
      </c>
      <c r="W38">
        <v>5.9882744799999998E-3</v>
      </c>
      <c r="X38">
        <v>6.1269701000000098E-3</v>
      </c>
      <c r="Y38">
        <v>6.5968114000000005E-4</v>
      </c>
      <c r="Z38">
        <v>1.0041911E-3</v>
      </c>
      <c r="AA38">
        <v>1.526620794E-2</v>
      </c>
      <c r="AB38">
        <v>9.2184802999999999E-3</v>
      </c>
      <c r="AC38">
        <v>6.6496317000000098E-3</v>
      </c>
      <c r="AD38">
        <v>7.2931437000000104E-3</v>
      </c>
      <c r="AE38">
        <v>7.4402044800000004E-3</v>
      </c>
      <c r="AF38">
        <v>7.1053973399999998E-3</v>
      </c>
      <c r="AG38">
        <v>5.7128957800000003E-3</v>
      </c>
      <c r="AH38">
        <v>6.5073325399999998E-3</v>
      </c>
    </row>
    <row r="39" spans="1:34" ht="14.5">
      <c r="B39" s="112">
        <v>0.97</v>
      </c>
      <c r="C39">
        <v>2.1966220139999899E-2</v>
      </c>
      <c r="D39">
        <v>1.6362736900000001E-2</v>
      </c>
      <c r="E39">
        <v>5.8058610399999997E-3</v>
      </c>
      <c r="F39">
        <v>3.3932993399999902E-3</v>
      </c>
      <c r="G39">
        <v>2.24544347999999E-3</v>
      </c>
      <c r="H39">
        <v>1.483156104E-2</v>
      </c>
      <c r="I39">
        <v>1.0121008420000001E-2</v>
      </c>
      <c r="J39">
        <v>1.228205628E-2</v>
      </c>
      <c r="K39">
        <v>9.3357822799999806E-3</v>
      </c>
      <c r="L39">
        <v>6.2094583800000004E-3</v>
      </c>
      <c r="M39">
        <v>7.34974327999997E-3</v>
      </c>
      <c r="N39">
        <v>5.4771025199999998E-3</v>
      </c>
      <c r="O39">
        <v>7.1256218599999597E-3</v>
      </c>
      <c r="P39">
        <v>2.9466208699999899E-2</v>
      </c>
      <c r="Q39">
        <v>1.215472574E-2</v>
      </c>
      <c r="R39">
        <v>7.5280207599999803E-3</v>
      </c>
      <c r="S39">
        <v>6.8971071999999996E-3</v>
      </c>
      <c r="T39">
        <v>7.5280382399999799E-3</v>
      </c>
      <c r="U39">
        <v>6.6188330399999601E-3</v>
      </c>
      <c r="V39">
        <v>5.7612664199999802E-3</v>
      </c>
      <c r="W39">
        <v>7.3724927599999801E-3</v>
      </c>
      <c r="X39">
        <v>7.4279826599999996E-3</v>
      </c>
      <c r="Y39">
        <v>8.0324011999999604E-4</v>
      </c>
      <c r="Z39">
        <v>1.2567650399999801E-3</v>
      </c>
      <c r="AA39">
        <v>1.7325481139999901E-2</v>
      </c>
      <c r="AB39">
        <v>1.0436405960000001E-2</v>
      </c>
      <c r="AC39">
        <v>7.53788116E-3</v>
      </c>
      <c r="AD39">
        <v>8.8836896199999595E-3</v>
      </c>
      <c r="AE39">
        <v>8.9001430800000007E-3</v>
      </c>
      <c r="AF39">
        <v>8.4103840399999893E-3</v>
      </c>
      <c r="AG39">
        <v>7.0714394399999702E-3</v>
      </c>
      <c r="AH39">
        <v>7.7694279999999403E-3</v>
      </c>
    </row>
    <row r="40" spans="1:34" ht="14.5">
      <c r="B40" s="112">
        <v>0.98</v>
      </c>
      <c r="C40">
        <v>2.6551753399999999E-2</v>
      </c>
      <c r="D40">
        <v>2.0011390319999999E-2</v>
      </c>
      <c r="E40">
        <v>6.8064870599999902E-3</v>
      </c>
      <c r="F40">
        <v>3.94654308E-3</v>
      </c>
      <c r="G40">
        <v>2.6247113000000002E-3</v>
      </c>
      <c r="H40">
        <v>1.710826574E-2</v>
      </c>
      <c r="I40">
        <v>1.201530392E-2</v>
      </c>
      <c r="J40">
        <v>1.4194440940000001E-2</v>
      </c>
      <c r="K40">
        <v>1.096508754E-2</v>
      </c>
      <c r="L40">
        <v>7.0543747799999904E-3</v>
      </c>
      <c r="M40">
        <v>8.9540806399999694E-3</v>
      </c>
      <c r="N40">
        <v>6.4596168399999902E-3</v>
      </c>
      <c r="O40">
        <v>8.5866228399999901E-3</v>
      </c>
      <c r="P40">
        <v>3.6245732199999797E-2</v>
      </c>
      <c r="Q40">
        <v>1.4443454479999901E-2</v>
      </c>
      <c r="R40">
        <v>8.6888949399999797E-3</v>
      </c>
      <c r="S40">
        <v>9.4723177599999094E-3</v>
      </c>
      <c r="T40">
        <v>9.9794745399999808E-3</v>
      </c>
      <c r="U40">
        <v>8.3773208999999797E-3</v>
      </c>
      <c r="V40">
        <v>7.5715275399999803E-3</v>
      </c>
      <c r="W40">
        <v>9.9767719199999501E-3</v>
      </c>
      <c r="X40">
        <v>9.5045435799999793E-3</v>
      </c>
      <c r="Y40">
        <v>1.12618513999998E-3</v>
      </c>
      <c r="Z40">
        <v>1.7420647E-3</v>
      </c>
      <c r="AA40">
        <v>2.044524248E-2</v>
      </c>
      <c r="AB40">
        <v>1.20479072999999E-2</v>
      </c>
      <c r="AC40">
        <v>9.2649776199999392E-3</v>
      </c>
      <c r="AD40">
        <v>1.0814283359999901E-2</v>
      </c>
      <c r="AE40">
        <v>1.098081374E-2</v>
      </c>
      <c r="AF40">
        <v>1.06440494399999E-2</v>
      </c>
      <c r="AG40">
        <v>8.9657452399999893E-3</v>
      </c>
      <c r="AH40">
        <v>9.8860621200000005E-3</v>
      </c>
    </row>
    <row r="41" spans="1:34" ht="14.5">
      <c r="B41" s="112">
        <v>0.99</v>
      </c>
      <c r="C41">
        <v>3.5420615199999901E-2</v>
      </c>
      <c r="D41">
        <v>2.5444904099999999E-2</v>
      </c>
      <c r="E41">
        <v>8.5103878799999803E-3</v>
      </c>
      <c r="F41">
        <v>4.9274460199999898E-3</v>
      </c>
      <c r="G41">
        <v>3.3895384999999998E-3</v>
      </c>
      <c r="H41">
        <v>2.105565044E-2</v>
      </c>
      <c r="I41">
        <v>1.6359235940000001E-2</v>
      </c>
      <c r="J41">
        <v>1.7932603959999901E-2</v>
      </c>
      <c r="K41">
        <v>1.390205878E-2</v>
      </c>
      <c r="L41">
        <v>8.5862954999999901E-3</v>
      </c>
      <c r="M41">
        <v>1.1638951220000001E-2</v>
      </c>
      <c r="N41">
        <v>8.07545187999998E-3</v>
      </c>
      <c r="O41">
        <v>1.0898361840000001E-2</v>
      </c>
      <c r="P41">
        <v>4.6896657680000002E-2</v>
      </c>
      <c r="Q41">
        <v>1.7540869739999999E-2</v>
      </c>
      <c r="R41">
        <v>1.129663126E-2</v>
      </c>
      <c r="S41">
        <v>1.443898628E-2</v>
      </c>
      <c r="T41">
        <v>1.44401641E-2</v>
      </c>
      <c r="U41">
        <v>1.297283996E-2</v>
      </c>
      <c r="V41">
        <v>1.261648162E-2</v>
      </c>
      <c r="W41">
        <v>1.517425474E-2</v>
      </c>
      <c r="X41">
        <v>1.325654238E-2</v>
      </c>
      <c r="Y41">
        <v>1.76037327999999E-3</v>
      </c>
      <c r="Z41">
        <v>2.7214655600000001E-3</v>
      </c>
      <c r="AA41">
        <v>2.627994862E-2</v>
      </c>
      <c r="AB41">
        <v>1.5154796139999999E-2</v>
      </c>
      <c r="AC41">
        <v>1.22136853799999E-2</v>
      </c>
      <c r="AD41">
        <v>1.476584752E-2</v>
      </c>
      <c r="AE41">
        <v>1.4939361119999999E-2</v>
      </c>
      <c r="AF41">
        <v>1.416709138E-2</v>
      </c>
      <c r="AG41">
        <v>1.189762208E-2</v>
      </c>
      <c r="AH41">
        <v>1.322670142E-2</v>
      </c>
    </row>
    <row r="42" spans="1:34" ht="14.5">
      <c r="B42" s="112">
        <v>0.995</v>
      </c>
      <c r="C42">
        <v>4.2339487699999998E-2</v>
      </c>
      <c r="D42">
        <v>3.1037669040000101E-2</v>
      </c>
      <c r="E42">
        <v>1.001621506E-2</v>
      </c>
      <c r="F42">
        <v>5.6576691200000201E-3</v>
      </c>
      <c r="G42">
        <v>4.0157792800000203E-3</v>
      </c>
      <c r="H42">
        <v>2.4953670439999999E-2</v>
      </c>
      <c r="I42">
        <v>2.094838206E-2</v>
      </c>
      <c r="J42">
        <v>2.1284639500000001E-2</v>
      </c>
      <c r="K42">
        <v>1.7059171800000002E-2</v>
      </c>
      <c r="L42">
        <v>1.0486910520000101E-2</v>
      </c>
      <c r="M42">
        <v>1.4627620980000099E-2</v>
      </c>
      <c r="N42">
        <v>9.6935602800000808E-3</v>
      </c>
      <c r="O42">
        <v>1.24882122000001E-2</v>
      </c>
      <c r="P42">
        <v>5.5384504460000199E-2</v>
      </c>
      <c r="Q42">
        <v>2.2967693179999998E-2</v>
      </c>
      <c r="R42">
        <v>1.412174918E-2</v>
      </c>
      <c r="S42">
        <v>2.2280956500000299E-2</v>
      </c>
      <c r="T42">
        <v>2.1128329060000301E-2</v>
      </c>
      <c r="U42">
        <v>2.0241260720000001E-2</v>
      </c>
      <c r="V42">
        <v>1.94190753200001E-2</v>
      </c>
      <c r="W42">
        <v>2.1289323340000301E-2</v>
      </c>
      <c r="X42">
        <v>1.7041632519999999E-2</v>
      </c>
      <c r="Y42">
        <v>2.7062707000000599E-3</v>
      </c>
      <c r="Z42">
        <v>3.78899942000001E-3</v>
      </c>
      <c r="AA42">
        <v>3.41454600000001E-2</v>
      </c>
      <c r="AB42">
        <v>1.8256825359999999E-2</v>
      </c>
      <c r="AC42">
        <v>1.499241942E-2</v>
      </c>
      <c r="AD42">
        <v>1.95886372200001E-2</v>
      </c>
      <c r="AE42">
        <v>1.8561312800000101E-2</v>
      </c>
      <c r="AF42">
        <v>1.8528133520000101E-2</v>
      </c>
      <c r="AG42">
        <v>1.5834837819999999E-2</v>
      </c>
      <c r="AH42">
        <v>1.7293578680000098E-2</v>
      </c>
    </row>
    <row r="43" spans="1:34" ht="14.5">
      <c r="B43" s="112">
        <v>0.99900000000000011</v>
      </c>
      <c r="C43">
        <v>5.9090336659999798E-2</v>
      </c>
      <c r="D43">
        <v>3.8617834080000003E-2</v>
      </c>
      <c r="E43">
        <v>1.4008184975999999E-2</v>
      </c>
      <c r="F43">
        <v>7.8568327959999407E-3</v>
      </c>
      <c r="G43">
        <v>5.6861456159999898E-3</v>
      </c>
      <c r="H43">
        <v>3.9035851115999803E-2</v>
      </c>
      <c r="I43">
        <v>3.1169145715999901E-2</v>
      </c>
      <c r="J43">
        <v>2.9406501391999799E-2</v>
      </c>
      <c r="K43">
        <v>2.5988528192E-2</v>
      </c>
      <c r="L43">
        <v>1.49828443759999E-2</v>
      </c>
      <c r="M43">
        <v>2.3713168919999899E-2</v>
      </c>
      <c r="N43">
        <v>1.5317514815999999E-2</v>
      </c>
      <c r="O43">
        <v>1.6871240895999898E-2</v>
      </c>
      <c r="P43">
        <v>7.8960580871999794E-2</v>
      </c>
      <c r="Q43">
        <v>3.2215621503999502E-2</v>
      </c>
      <c r="R43">
        <v>1.9731425539999899E-2</v>
      </c>
      <c r="S43">
        <v>4.7139235048000001E-2</v>
      </c>
      <c r="T43">
        <v>3.2001896555999797E-2</v>
      </c>
      <c r="U43">
        <v>3.9218702987999697E-2</v>
      </c>
      <c r="V43">
        <v>3.3675538615999298E-2</v>
      </c>
      <c r="W43">
        <v>3.9477218591999499E-2</v>
      </c>
      <c r="X43">
        <v>4.29875846239995E-2</v>
      </c>
      <c r="Y43">
        <v>5.6153002799999201E-3</v>
      </c>
      <c r="Z43">
        <v>6.6986981599999702E-3</v>
      </c>
      <c r="AA43">
        <v>5.1721814975999703E-2</v>
      </c>
      <c r="AB43">
        <v>2.7475164180000001E-2</v>
      </c>
      <c r="AC43">
        <v>2.4404894831999899E-2</v>
      </c>
      <c r="AD43">
        <v>2.8512124083999901E-2</v>
      </c>
      <c r="AE43">
        <v>3.08967084E-2</v>
      </c>
      <c r="AF43">
        <v>3.1075289419999898E-2</v>
      </c>
      <c r="AG43">
        <v>2.9850245275999599E-2</v>
      </c>
      <c r="AH43">
        <v>3.2953502795998797E-2</v>
      </c>
    </row>
    <row r="44" spans="1:34" ht="15" thickBot="1">
      <c r="B44" s="113">
        <v>1</v>
      </c>
      <c r="C44">
        <v>8.9062302800000007E-2</v>
      </c>
      <c r="D44">
        <v>5.5934902600000003E-2</v>
      </c>
      <c r="E44">
        <v>2.00821643E-2</v>
      </c>
      <c r="F44">
        <v>1.1362673699999999E-2</v>
      </c>
      <c r="G44">
        <v>9.4037883000000003E-3</v>
      </c>
      <c r="H44">
        <v>7.1561917899999994E-2</v>
      </c>
      <c r="I44">
        <v>4.7075794599999998E-2</v>
      </c>
      <c r="J44">
        <v>6.5671348300000001E-2</v>
      </c>
      <c r="K44">
        <v>3.8509594199999997E-2</v>
      </c>
      <c r="L44">
        <v>1.9513783999999999E-2</v>
      </c>
      <c r="M44">
        <v>3.3788838000000002E-2</v>
      </c>
      <c r="N44">
        <v>1.8818076199999999E-2</v>
      </c>
      <c r="O44">
        <v>2.2612580600000001E-2</v>
      </c>
      <c r="P44">
        <v>0.17257431979999999</v>
      </c>
      <c r="Q44">
        <v>7.0137948399999997E-2</v>
      </c>
      <c r="R44">
        <v>3.1268061399999998E-2</v>
      </c>
      <c r="S44">
        <v>9.53304762E-2</v>
      </c>
      <c r="T44">
        <v>0.1010595718</v>
      </c>
      <c r="U44">
        <v>6.8662481900000003E-2</v>
      </c>
      <c r="V44">
        <v>6.6138798999999998E-2</v>
      </c>
      <c r="W44">
        <v>0.12581143140000001</v>
      </c>
      <c r="X44">
        <v>0.1835091318</v>
      </c>
      <c r="Y44">
        <v>1.6195619800000002E-2</v>
      </c>
      <c r="Z44">
        <v>2.6067723000000001E-2</v>
      </c>
      <c r="AA44">
        <v>7.1781403499999993E-2</v>
      </c>
      <c r="AB44">
        <v>4.2058325799999997E-2</v>
      </c>
      <c r="AC44">
        <v>3.6274958099999997E-2</v>
      </c>
      <c r="AD44">
        <v>4.8611201200000002E-2</v>
      </c>
      <c r="AE44">
        <v>7.1953375799999997E-2</v>
      </c>
      <c r="AF44">
        <v>6.2366956500000001E-2</v>
      </c>
      <c r="AG44">
        <v>0.14195441140000001</v>
      </c>
      <c r="AH44">
        <v>7.8831229700000005E-2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14"/>
  <sheetViews>
    <sheetView workbookViewId="0">
      <selection activeCell="D25" sqref="D25"/>
    </sheetView>
  </sheetViews>
  <sheetFormatPr defaultRowHeight="14.5"/>
  <cols>
    <col min="2" max="2" width="13.453125" customWidth="1"/>
  </cols>
  <sheetData>
    <row r="1" spans="2:9" ht="15" thickBot="1"/>
    <row r="2" spans="2:9">
      <c r="B2" s="24" t="s">
        <v>5</v>
      </c>
      <c r="C2" s="25"/>
      <c r="D2" s="25"/>
      <c r="E2" s="25"/>
      <c r="F2" s="26"/>
      <c r="G2" s="27"/>
      <c r="H2" s="28"/>
      <c r="I2" s="29"/>
    </row>
    <row r="3" spans="2:9">
      <c r="B3" s="34" t="s">
        <v>7</v>
      </c>
      <c r="C3" s="30"/>
      <c r="D3" s="30"/>
      <c r="E3" s="30"/>
      <c r="F3" s="35"/>
      <c r="G3" s="36"/>
      <c r="H3" s="37"/>
      <c r="I3" s="38"/>
    </row>
    <row r="4" spans="2:9">
      <c r="B4" s="42" t="s">
        <v>9</v>
      </c>
      <c r="C4" s="43" t="s">
        <v>10</v>
      </c>
      <c r="D4" s="30"/>
      <c r="E4" s="30"/>
      <c r="F4" s="35"/>
      <c r="G4" s="36"/>
      <c r="H4" s="37"/>
      <c r="I4" s="38"/>
    </row>
    <row r="5" spans="2:9">
      <c r="B5" s="42"/>
      <c r="C5" s="43" t="s">
        <v>12</v>
      </c>
      <c r="D5" s="30"/>
      <c r="E5" s="30"/>
      <c r="F5" s="35"/>
      <c r="G5" s="36"/>
      <c r="H5" s="37"/>
      <c r="I5" s="38"/>
    </row>
    <row r="6" spans="2:9">
      <c r="B6" s="42" t="s">
        <v>14</v>
      </c>
      <c r="C6" s="43" t="s">
        <v>15</v>
      </c>
      <c r="D6" s="30"/>
      <c r="E6" s="30"/>
      <c r="F6" s="35"/>
      <c r="G6" s="36"/>
      <c r="H6" s="37"/>
      <c r="I6" s="38"/>
    </row>
    <row r="7" spans="2:9">
      <c r="B7" s="42"/>
      <c r="C7" s="43" t="s">
        <v>17</v>
      </c>
      <c r="D7" s="30"/>
      <c r="E7" s="30"/>
      <c r="F7" s="35"/>
      <c r="G7" s="36"/>
      <c r="H7" s="37"/>
      <c r="I7" s="38"/>
    </row>
    <row r="8" spans="2:9">
      <c r="B8" s="42" t="s">
        <v>18</v>
      </c>
      <c r="C8" s="43" t="s">
        <v>19</v>
      </c>
      <c r="D8" s="30"/>
      <c r="E8" s="30"/>
      <c r="F8" s="35"/>
      <c r="G8" s="36"/>
      <c r="H8" s="37"/>
      <c r="I8" s="38"/>
    </row>
    <row r="9" spans="2:9">
      <c r="B9" s="42"/>
      <c r="C9" s="43" t="s">
        <v>20</v>
      </c>
      <c r="D9" s="30"/>
      <c r="E9" s="30"/>
      <c r="F9" s="35"/>
      <c r="G9" s="36"/>
      <c r="H9" s="37"/>
      <c r="I9" s="38"/>
    </row>
    <row r="10" spans="2:9">
      <c r="B10" s="42"/>
      <c r="C10" s="43" t="s">
        <v>21</v>
      </c>
      <c r="D10" s="30"/>
      <c r="E10" s="30"/>
      <c r="F10" s="35"/>
      <c r="G10" s="36"/>
      <c r="H10" s="37"/>
      <c r="I10" s="38"/>
    </row>
    <row r="11" spans="2:9">
      <c r="B11" s="42"/>
      <c r="C11" s="43" t="s">
        <v>22</v>
      </c>
      <c r="D11" s="30"/>
      <c r="E11" s="30"/>
      <c r="F11" s="35"/>
      <c r="G11" s="36"/>
      <c r="H11" s="37"/>
      <c r="I11" s="38"/>
    </row>
    <row r="12" spans="2:9">
      <c r="B12" s="42"/>
      <c r="C12" s="43" t="s">
        <v>23</v>
      </c>
      <c r="D12" s="30"/>
      <c r="E12" s="30"/>
      <c r="F12" s="35"/>
      <c r="G12" s="36"/>
      <c r="H12" s="37"/>
      <c r="I12" s="38"/>
    </row>
    <row r="13" spans="2:9">
      <c r="B13" s="42" t="s">
        <v>24</v>
      </c>
      <c r="C13" s="43" t="s">
        <v>25</v>
      </c>
      <c r="D13" s="30"/>
      <c r="E13" s="30"/>
      <c r="F13" s="35"/>
      <c r="G13" s="36"/>
      <c r="H13" s="37"/>
      <c r="I13" s="38"/>
    </row>
    <row r="14" spans="2:9" ht="15" thickBot="1">
      <c r="B14" s="51" t="s">
        <v>26</v>
      </c>
      <c r="C14" s="52" t="s">
        <v>25</v>
      </c>
      <c r="D14" s="53"/>
      <c r="E14" s="53"/>
      <c r="F14" s="54"/>
      <c r="G14" s="55"/>
      <c r="H14" s="56"/>
      <c r="I14" s="5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E645E44DF4C347A076E5154A1E1A44" ma:contentTypeVersion="12" ma:contentTypeDescription="Create a new document." ma:contentTypeScope="" ma:versionID="aefa3bcdc55a7770504f101ed5ebdc0f">
  <xsd:schema xmlns:xsd="http://www.w3.org/2001/XMLSchema" xmlns:xs="http://www.w3.org/2001/XMLSchema" xmlns:p="http://schemas.microsoft.com/office/2006/metadata/properties" xmlns:ns1="http://schemas.microsoft.com/sharepoint/v3" xmlns:ns3="0e9b77c3-686e-41f8-8658-848585ae3dd1" xmlns:ns4="7cc5065d-f71a-4a84-87cf-13f6ecd6fd27" targetNamespace="http://schemas.microsoft.com/office/2006/metadata/properties" ma:root="true" ma:fieldsID="b15814657b566062dff4d29e964a81e5" ns1:_="" ns3:_="" ns4:_="">
    <xsd:import namespace="http://schemas.microsoft.com/sharepoint/v3"/>
    <xsd:import namespace="0e9b77c3-686e-41f8-8658-848585ae3dd1"/>
    <xsd:import namespace="7cc5065d-f71a-4a84-87cf-13f6ecd6fd2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9b77c3-686e-41f8-8658-848585ae3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5065d-f71a-4a84-87cf-13f6ecd6fd2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777E4-5474-4358-9475-59E336F440B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462D7A-F795-48AC-90EF-D5022965F804}">
  <ds:schemaRefs>
    <ds:schemaRef ds:uri="http://schemas.microsoft.com/office/2006/documentManagement/types"/>
    <ds:schemaRef ds:uri="http://schemas.microsoft.com/sharepoint/v3"/>
    <ds:schemaRef ds:uri="0e9b77c3-686e-41f8-8658-848585ae3dd1"/>
    <ds:schemaRef ds:uri="http://purl.org/dc/elements/1.1/"/>
    <ds:schemaRef ds:uri="7cc5065d-f71a-4a84-87cf-13f6ecd6fd27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C496298-5B09-48C2-9DB1-9D4BCF5D7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e9b77c3-686e-41f8-8658-848585ae3dd1"/>
    <ds:schemaRef ds:uri="7cc5065d-f71a-4a84-87cf-13f6ecd6f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90</vt:i4>
      </vt:variant>
    </vt:vector>
  </HeadingPairs>
  <TitlesOfParts>
    <vt:vector size="97" baseType="lpstr">
      <vt:lpstr>README</vt:lpstr>
      <vt:lpstr>Global data</vt:lpstr>
      <vt:lpstr>Risk Model</vt:lpstr>
      <vt:lpstr>Hockey-Stick for virus concs</vt:lpstr>
      <vt:lpstr>BAF calculation</vt:lpstr>
      <vt:lpstr>Conc</vt:lpstr>
      <vt:lpstr>Settings</vt:lpstr>
      <vt:lpstr>alpha</vt:lpstr>
      <vt:lpstr>BAF</vt:lpstr>
      <vt:lpstr>BAF_mean</vt:lpstr>
      <vt:lpstr>BAF_standard_deviation</vt:lpstr>
      <vt:lpstr>beta</vt:lpstr>
      <vt:lpstr>Log10_Pathogen_Reduction</vt:lpstr>
      <vt:lpstr>LogLogistic_alpha</vt:lpstr>
      <vt:lpstr>LogLogistic_beta</vt:lpstr>
      <vt:lpstr>LogLogistic_gamma</vt:lpstr>
      <vt:lpstr>Pathogen</vt:lpstr>
      <vt:lpstr>Pathogen_Conc_in_Effluent_max</vt:lpstr>
      <vt:lpstr>Pathogen_Conc_in_Effluent_median</vt:lpstr>
      <vt:lpstr>Pathogen_Conc_in_Effluent_min</vt:lpstr>
      <vt:lpstr>Pathogen_Conc_in_Influent_max</vt:lpstr>
      <vt:lpstr>Pathogen_Conc_in_Influent_median</vt:lpstr>
      <vt:lpstr>Pathogen_Conc_in_Influent_min</vt:lpstr>
      <vt:lpstr>Pathogen_Conc_Site_1</vt:lpstr>
      <vt:lpstr>Pathogen_Conc_Site_10</vt:lpstr>
      <vt:lpstr>Pathogen_Conc_Site_11</vt:lpstr>
      <vt:lpstr>Pathogen_Conc_Site_12</vt:lpstr>
      <vt:lpstr>Pathogen_Conc_Site_13</vt:lpstr>
      <vt:lpstr>Pathogen_Conc_Site_14</vt:lpstr>
      <vt:lpstr>Pathogen_Conc_Site_15</vt:lpstr>
      <vt:lpstr>Pathogen_Conc_Site_16</vt:lpstr>
      <vt:lpstr>Pathogen_Conc_Site_17</vt:lpstr>
      <vt:lpstr>Pathogen_Conc_Site_18</vt:lpstr>
      <vt:lpstr>Pathogen_Conc_Site_19</vt:lpstr>
      <vt:lpstr>Pathogen_Conc_Site_2</vt:lpstr>
      <vt:lpstr>Pathogen_Conc_Site_20</vt:lpstr>
      <vt:lpstr>Pathogen_Conc_Site_21</vt:lpstr>
      <vt:lpstr>Pathogen_Conc_Site_22</vt:lpstr>
      <vt:lpstr>Pathogen_Conc_Site_23</vt:lpstr>
      <vt:lpstr>Pathogen_Conc_Site_24</vt:lpstr>
      <vt:lpstr>Pathogen_Conc_Site_25</vt:lpstr>
      <vt:lpstr>Pathogen_Conc_Site_26</vt:lpstr>
      <vt:lpstr>Pathogen_Conc_Site_29</vt:lpstr>
      <vt:lpstr>Pathogen_Conc_Site_3</vt:lpstr>
      <vt:lpstr>Pathogen_Conc_Site_4</vt:lpstr>
      <vt:lpstr>Pathogen_Conc_Site_5</vt:lpstr>
      <vt:lpstr>Pathogen_Conc_Site_6</vt:lpstr>
      <vt:lpstr>Pathogen_Conc_Site_7</vt:lpstr>
      <vt:lpstr>Pathogen_Conc_Site_8</vt:lpstr>
      <vt:lpstr>Pathogen_Conc_Site_9</vt:lpstr>
      <vt:lpstr>Pathogen_Method_Harmonisation_Factor</vt:lpstr>
      <vt:lpstr>Prob_Illness_Given_Infection</vt:lpstr>
      <vt:lpstr>Prob_Illness_given_Infection_has_occurred</vt:lpstr>
      <vt:lpstr>Proportion_susceptible</vt:lpstr>
      <vt:lpstr>Random_effluent_Pathogen_conc</vt:lpstr>
      <vt:lpstr>Site_name_1</vt:lpstr>
      <vt:lpstr>Site_name_10</vt:lpstr>
      <vt:lpstr>Site_name_11</vt:lpstr>
      <vt:lpstr>Site_name_12</vt:lpstr>
      <vt:lpstr>Site_name_13</vt:lpstr>
      <vt:lpstr>Site_name_14</vt:lpstr>
      <vt:lpstr>Site_name_15</vt:lpstr>
      <vt:lpstr>Site_name_16</vt:lpstr>
      <vt:lpstr>Site_name_17</vt:lpstr>
      <vt:lpstr>Site_name_18</vt:lpstr>
      <vt:lpstr>Site_name_19</vt:lpstr>
      <vt:lpstr>Site_name_2</vt:lpstr>
      <vt:lpstr>Site_name_20</vt:lpstr>
      <vt:lpstr>Site_name_21</vt:lpstr>
      <vt:lpstr>Site_name_22</vt:lpstr>
      <vt:lpstr>Site_name_23</vt:lpstr>
      <vt:lpstr>Site_name_24</vt:lpstr>
      <vt:lpstr>Site_name_25</vt:lpstr>
      <vt:lpstr>Site_name_26</vt:lpstr>
      <vt:lpstr>Site_name_27</vt:lpstr>
      <vt:lpstr>Site_name_28</vt:lpstr>
      <vt:lpstr>Site_name_29</vt:lpstr>
      <vt:lpstr>Site_name_3</vt:lpstr>
      <vt:lpstr>Site_name_30</vt:lpstr>
      <vt:lpstr>Site_name_31</vt:lpstr>
      <vt:lpstr>Site_name_32</vt:lpstr>
      <vt:lpstr>Site_name_4</vt:lpstr>
      <vt:lpstr>Site_name_5</vt:lpstr>
      <vt:lpstr>Site_name_6</vt:lpstr>
      <vt:lpstr>Site_name_7</vt:lpstr>
      <vt:lpstr>Site_name_8</vt:lpstr>
      <vt:lpstr>Site_name_9</vt:lpstr>
      <vt:lpstr>Site_Number</vt:lpstr>
      <vt:lpstr>Site_number_1</vt:lpstr>
      <vt:lpstr>Site_number_2</vt:lpstr>
      <vt:lpstr>Site_number_3</vt:lpstr>
      <vt:lpstr>Site_number_4</vt:lpstr>
      <vt:lpstr>Site_number_5</vt:lpstr>
      <vt:lpstr>Site_number_6</vt:lpstr>
      <vt:lpstr>Site_number_7</vt:lpstr>
      <vt:lpstr>Site_number_8</vt:lpstr>
      <vt:lpstr>V</vt:lpstr>
    </vt:vector>
  </TitlesOfParts>
  <Company>NIWA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McBride</dc:creator>
  <cp:lastModifiedBy>David Wood</cp:lastModifiedBy>
  <dcterms:created xsi:type="dcterms:W3CDTF">2012-10-05T04:05:27Z</dcterms:created>
  <dcterms:modified xsi:type="dcterms:W3CDTF">2023-10-19T02:14:50Z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0x0101005FE645E44DF4C347A076E5154A1E1A44</vt:lpwstr>
  </property>
</Properties>
</file>