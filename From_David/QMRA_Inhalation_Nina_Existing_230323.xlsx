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oddr\Documents\WorkingCode\nelsonnorthqmra\QMRA\"/>
    </mc:Choice>
  </mc:AlternateContent>
  <xr:revisionPtr revIDLastSave="0" documentId="13_ncr:1_{81EA0B48-0607-4871-80C5-81D0960475E0}" xr6:coauthVersionLast="47" xr6:coauthVersionMax="47" xr10:uidLastSave="{00000000-0000-0000-0000-000000000000}"/>
  <bookViews>
    <workbookView xWindow="-120" yWindow="-120" windowWidth="29040" windowHeight="16425" tabRatio="742" activeTab="2" xr2:uid="{00000000-000D-0000-FFFF-FFFF00000000}"/>
  </bookViews>
  <sheets>
    <sheet name="README" sheetId="1" r:id="rId1"/>
    <sheet name="README_NEW" sheetId="97" r:id="rId2"/>
    <sheet name="Global data" sheetId="2" r:id="rId3"/>
    <sheet name="Dilutions" sheetId="5" r:id="rId4"/>
    <sheet name="Hockey-Stick for virus concs" sheetId="3" r:id="rId5"/>
    <sheet name="Adno Risk Model" sheetId="99" r:id="rId6"/>
    <sheet name="Settings" sheetId="49" r:id="rId7"/>
    <sheet name="Log1" sheetId="100" r:id="rId8"/>
    <sheet name="Log2" sheetId="101" r:id="rId9"/>
    <sheet name="Log3" sheetId="102" r:id="rId10"/>
    <sheet name="Log4" sheetId="103" r:id="rId11"/>
    <sheet name="Log5" sheetId="104" r:id="rId12"/>
    <sheet name="Log6" sheetId="105" r:id="rId13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0</definedName>
    <definedName name="_AtRisk_SimSetting_MultipleCPUModeV8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de_Conc_in_Effluent_max">'Global data'!$E$23</definedName>
    <definedName name="Ade_Conc_in_Effluent_median">'Global data'!$D$23</definedName>
    <definedName name="Ade_Conc_in_Effluent_min">'Global data'!$C$23</definedName>
    <definedName name="Ade_Conc_in_Influent_max">'Global data'!$E$21</definedName>
    <definedName name="Ade_Conc_in_Influent_median">'Global data'!$D$21</definedName>
    <definedName name="Ade_Conc_in_Influent_min">'Global data'!$C$21</definedName>
    <definedName name="Ade_xp">'Global data'!$F$21</definedName>
    <definedName name="Dur_event_hours_max">'Global data'!$H$9</definedName>
    <definedName name="Dur_event_hours_min">'Global data'!$D$9</definedName>
    <definedName name="Dur_event_hours_mode">'Global data'!$F$9</definedName>
    <definedName name="Ing_Rate_per_hour_max">'Global data'!$H$11</definedName>
    <definedName name="Log10_Pathogen_Reduction">'Global data'!$C$6</definedName>
    <definedName name="Pal_Workbook_GUID" hidden="1">"P9ZR5BFKL1DE7LZ2K3FMDHFP"</definedName>
    <definedName name="PalisadeReportWorksheetCreatedBy" localSheetId="7" hidden="1">"@RISK"</definedName>
    <definedName name="PalisadeReportWorksheetCreatedBy" localSheetId="8" hidden="1">"@RISK"</definedName>
    <definedName name="PalisadeReportWorksheetCreatedBy" localSheetId="9" hidden="1">"@RISK"</definedName>
    <definedName name="PalisadeReportWorksheetCreatedBy" localSheetId="10" hidden="1">"@RISK"</definedName>
    <definedName name="PalisadeReportWorksheetCreatedBy" localSheetId="11" hidden="1">"@RISK"</definedName>
    <definedName name="PalisadeReportWorksheetCreatedBy" localSheetId="12" hidden="1">"@RISK"</definedName>
    <definedName name="Pathogen_Dilution_Site_1">Dilutions!$C$3</definedName>
    <definedName name="Pathogen_dilution_site_10">Dilutions!$L$3</definedName>
    <definedName name="Pathogen_dilution_site_11">Dilutions!$M$3</definedName>
    <definedName name="Pathogen_dilution_site_12">Dilutions!$N$3</definedName>
    <definedName name="Pathogen_dilution_site_13">Dilutions!$O$3</definedName>
    <definedName name="Pathogen_dilution_site_14">Dilutions!$P$3</definedName>
    <definedName name="Pathogen_Dilution_Site_2">Dilutions!$D$3</definedName>
    <definedName name="Pathogen_Dilution_Site_3">Dilutions!$E$3</definedName>
    <definedName name="Pathogen_Dilution_Site_4">Dilutions!$F$3</definedName>
    <definedName name="Pathogen_Dilution_Site_5">Dilutions!$G$3</definedName>
    <definedName name="Pathogen_Dilution_Site_6">Dilutions!$H$3</definedName>
    <definedName name="Pathogen_Dilution_Site_7">Dilutions!$I$3</definedName>
    <definedName name="Pathogen_Dilution_Site_8">Dilutions!$J$3</definedName>
    <definedName name="Pathogen_dilution_site_9">Dilutions!$K$3</definedName>
    <definedName name="Primary_Ing_Rate_mL_per_hour_max">'Global data'!$H$10</definedName>
    <definedName name="Primary_Ing_Rate_mL_per_hour_min">'Global data'!$D$10</definedName>
    <definedName name="Primary_Ing_Rate_mL_per_hour_mode">'Global data'!$F$10</definedName>
    <definedName name="Prob_Illness">'Global data'!#REF!</definedName>
    <definedName name="Prob_illness_Adv_infection">'Global data'!$C$18</definedName>
    <definedName name="Proportion_Adv_respiratory">'Global data'!$C$17</definedName>
    <definedName name="Proportion_of_adenovirus_causing_respiratory_effects">'Global data'!$C$15</definedName>
    <definedName name="Proportion_susceptible">'Global data'!#REF!</definedName>
    <definedName name="r_Adv">'Global data'!$C$16</definedName>
    <definedName name="Random_effluent_ade_conc">'Hockey-Stick for virus concs'!$K$31</definedName>
    <definedName name="Random_Infections_Effluent_Adno_conc">'Adno Risk Model'!$E$5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"2"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Secondary_Primary_Exposure_Ratio">'Global data'!$M$12</definedName>
    <definedName name="Site_name_1">'Global data'!$C$27</definedName>
    <definedName name="Site_name_10">'Global data'!$C$36</definedName>
    <definedName name="Site_name_11">'Global data'!$C$37</definedName>
    <definedName name="Site_name_12">'Global data'!$C$38</definedName>
    <definedName name="Site_name_13">'Global data'!$C$39</definedName>
    <definedName name="Site_name_14">'Global data'!$C$40</definedName>
    <definedName name="Site_name_2">'Global data'!$C$28</definedName>
    <definedName name="Site_name_3">'Global data'!$C$29</definedName>
    <definedName name="Site_name_4">'Global data'!$C$30</definedName>
    <definedName name="Site_name_5">'Global data'!$C$31</definedName>
    <definedName name="Site_name_6">'Global data'!$C$32</definedName>
    <definedName name="Site_name_7">'Global data'!$C$33</definedName>
    <definedName name="Site_name_8">'Global data'!$C$34</definedName>
    <definedName name="Site_name_9">'Global data'!$C$35</definedName>
    <definedName name="Site_number_1">'Global data'!$B$27</definedName>
    <definedName name="Site_number_2">'Global data'!$B$28</definedName>
    <definedName name="Site_number_3">'Global data'!$B$29</definedName>
    <definedName name="Site_number_4">'Global data'!$B$30</definedName>
    <definedName name="Site_number_5">'Global data'!$B$31</definedName>
    <definedName name="Site_number_6">'Global data'!$B$32</definedName>
    <definedName name="Site_number_7">'Global data'!$B$33</definedName>
    <definedName name="Site_number_8">'Global data'!$B$34</definedName>
    <definedName name="V">'Global data'!$C$43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8" i="99" l="1"/>
  <c r="D108" i="99"/>
  <c r="C107" i="99"/>
  <c r="D107" i="99"/>
  <c r="C106" i="99"/>
  <c r="D106" i="99"/>
  <c r="C105" i="99"/>
  <c r="D105" i="99"/>
  <c r="C104" i="99"/>
  <c r="D104" i="99"/>
  <c r="C103" i="99"/>
  <c r="D103" i="99"/>
  <c r="C102" i="99"/>
  <c r="D102" i="99"/>
  <c r="C101" i="99"/>
  <c r="D101" i="99"/>
  <c r="E101" i="99" s="1"/>
  <c r="C100" i="99"/>
  <c r="D100" i="99"/>
  <c r="C99" i="99"/>
  <c r="D99" i="99"/>
  <c r="C98" i="99"/>
  <c r="D98" i="99"/>
  <c r="C97" i="99"/>
  <c r="D97" i="99"/>
  <c r="E97" i="99" s="1"/>
  <c r="C96" i="99"/>
  <c r="D96" i="99"/>
  <c r="C95" i="99"/>
  <c r="D95" i="99"/>
  <c r="C94" i="99"/>
  <c r="D94" i="99"/>
  <c r="C93" i="99"/>
  <c r="D93" i="99"/>
  <c r="E93" i="99" s="1"/>
  <c r="C92" i="99"/>
  <c r="D92" i="99"/>
  <c r="C91" i="99"/>
  <c r="D91" i="99"/>
  <c r="C90" i="99"/>
  <c r="D90" i="99"/>
  <c r="C89" i="99"/>
  <c r="D89" i="99"/>
  <c r="E89" i="99" s="1"/>
  <c r="C88" i="99"/>
  <c r="D88" i="99"/>
  <c r="C87" i="99"/>
  <c r="D87" i="99"/>
  <c r="C86" i="99"/>
  <c r="D86" i="99"/>
  <c r="C85" i="99"/>
  <c r="D85" i="99"/>
  <c r="E85" i="99" s="1"/>
  <c r="C84" i="99"/>
  <c r="D84" i="99"/>
  <c r="C83" i="99"/>
  <c r="D83" i="99"/>
  <c r="C82" i="99"/>
  <c r="D82" i="99"/>
  <c r="C81" i="99"/>
  <c r="D81" i="99"/>
  <c r="E81" i="99" s="1"/>
  <c r="C80" i="99"/>
  <c r="D80" i="99"/>
  <c r="C79" i="99"/>
  <c r="D79" i="99"/>
  <c r="C78" i="99"/>
  <c r="D78" i="99"/>
  <c r="C77" i="99"/>
  <c r="D77" i="99"/>
  <c r="E77" i="99" s="1"/>
  <c r="C76" i="99"/>
  <c r="D76" i="99"/>
  <c r="C75" i="99"/>
  <c r="D75" i="99"/>
  <c r="C74" i="99"/>
  <c r="D74" i="99"/>
  <c r="C73" i="99"/>
  <c r="D73" i="99"/>
  <c r="E73" i="99" s="1"/>
  <c r="C72" i="99"/>
  <c r="D72" i="99"/>
  <c r="C71" i="99"/>
  <c r="D71" i="99"/>
  <c r="C70" i="99"/>
  <c r="D70" i="99"/>
  <c r="C69" i="99"/>
  <c r="D69" i="99"/>
  <c r="E69" i="99" s="1"/>
  <c r="C68" i="99"/>
  <c r="D68" i="99"/>
  <c r="C67" i="99"/>
  <c r="D67" i="99"/>
  <c r="C66" i="99"/>
  <c r="D66" i="99"/>
  <c r="C65" i="99"/>
  <c r="D65" i="99"/>
  <c r="E65" i="99" s="1"/>
  <c r="C64" i="99"/>
  <c r="D64" i="99"/>
  <c r="C63" i="99"/>
  <c r="D63" i="99"/>
  <c r="C62" i="99"/>
  <c r="D62" i="99"/>
  <c r="C61" i="99"/>
  <c r="D61" i="99"/>
  <c r="E61" i="99" s="1"/>
  <c r="C60" i="99"/>
  <c r="D60" i="99"/>
  <c r="C59" i="99"/>
  <c r="D59" i="99"/>
  <c r="C58" i="99"/>
  <c r="D58" i="99"/>
  <c r="C57" i="99"/>
  <c r="D57" i="99"/>
  <c r="E57" i="99" s="1"/>
  <c r="C56" i="99"/>
  <c r="D56" i="99"/>
  <c r="C55" i="99"/>
  <c r="D55" i="99"/>
  <c r="C54" i="99"/>
  <c r="D54" i="99"/>
  <c r="C53" i="99"/>
  <c r="D53" i="99"/>
  <c r="E53" i="99" s="1"/>
  <c r="C52" i="99"/>
  <c r="D52" i="99"/>
  <c r="C51" i="99"/>
  <c r="D51" i="99"/>
  <c r="C50" i="99"/>
  <c r="D50" i="99"/>
  <c r="C49" i="99"/>
  <c r="D49" i="99"/>
  <c r="E49" i="99" s="1"/>
  <c r="C48" i="99"/>
  <c r="D48" i="99"/>
  <c r="C47" i="99"/>
  <c r="D47" i="99"/>
  <c r="C46" i="99"/>
  <c r="D46" i="99"/>
  <c r="C45" i="99"/>
  <c r="D45" i="99"/>
  <c r="E45" i="99" s="1"/>
  <c r="C44" i="99"/>
  <c r="D44" i="99"/>
  <c r="C43" i="99"/>
  <c r="D43" i="99"/>
  <c r="C42" i="99"/>
  <c r="D42" i="99"/>
  <c r="C41" i="99"/>
  <c r="D41" i="99"/>
  <c r="E41" i="99" s="1"/>
  <c r="C40" i="99"/>
  <c r="D40" i="99"/>
  <c r="C39" i="99"/>
  <c r="D39" i="99"/>
  <c r="C38" i="99"/>
  <c r="D38" i="99"/>
  <c r="C37" i="99"/>
  <c r="D37" i="99"/>
  <c r="E37" i="99" s="1"/>
  <c r="C36" i="99"/>
  <c r="D36" i="99"/>
  <c r="C35" i="99"/>
  <c r="D35" i="99"/>
  <c r="C34" i="99"/>
  <c r="D34" i="99"/>
  <c r="C33" i="99"/>
  <c r="D33" i="99"/>
  <c r="E33" i="99" s="1"/>
  <c r="C32" i="99"/>
  <c r="E32" i="99" s="1"/>
  <c r="D32" i="99"/>
  <c r="C31" i="99"/>
  <c r="D31" i="99"/>
  <c r="C30" i="99"/>
  <c r="D30" i="99"/>
  <c r="C29" i="99"/>
  <c r="D29" i="99"/>
  <c r="E29" i="99" s="1"/>
  <c r="C28" i="99"/>
  <c r="D28" i="99"/>
  <c r="C27" i="99"/>
  <c r="D27" i="99"/>
  <c r="C26" i="99"/>
  <c r="D26" i="99"/>
  <c r="C25" i="99"/>
  <c r="D25" i="99"/>
  <c r="E25" i="99" s="1"/>
  <c r="C24" i="99"/>
  <c r="D24" i="99"/>
  <c r="C23" i="99"/>
  <c r="D23" i="99"/>
  <c r="C22" i="99"/>
  <c r="E22" i="99" s="1"/>
  <c r="D22" i="99"/>
  <c r="C21" i="99"/>
  <c r="D21" i="99"/>
  <c r="E21" i="99" s="1"/>
  <c r="C20" i="99"/>
  <c r="D20" i="99"/>
  <c r="C19" i="99"/>
  <c r="D19" i="99"/>
  <c r="C18" i="99"/>
  <c r="E18" i="99" s="1"/>
  <c r="D18" i="99"/>
  <c r="C17" i="99"/>
  <c r="D17" i="99"/>
  <c r="E17" i="99" s="1"/>
  <c r="C16" i="99"/>
  <c r="D16" i="99"/>
  <c r="C15" i="99"/>
  <c r="D15" i="99"/>
  <c r="C14" i="99"/>
  <c r="D14" i="99"/>
  <c r="C13" i="99"/>
  <c r="E13" i="99" s="1"/>
  <c r="D13" i="99"/>
  <c r="C12" i="99"/>
  <c r="D12" i="99"/>
  <c r="C11" i="99"/>
  <c r="E11" i="99" s="1"/>
  <c r="D11" i="99"/>
  <c r="C10" i="99"/>
  <c r="D10" i="99"/>
  <c r="C9" i="99"/>
  <c r="D9" i="99"/>
  <c r="E9" i="99" s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E108" i="99"/>
  <c r="E107" i="99"/>
  <c r="E106" i="99"/>
  <c r="E105" i="99"/>
  <c r="E104" i="99"/>
  <c r="E103" i="99"/>
  <c r="E102" i="99"/>
  <c r="E100" i="99"/>
  <c r="E99" i="99"/>
  <c r="E98" i="99"/>
  <c r="E96" i="99"/>
  <c r="E95" i="99"/>
  <c r="E94" i="99"/>
  <c r="E92" i="99"/>
  <c r="E91" i="99"/>
  <c r="E90" i="99"/>
  <c r="E88" i="99"/>
  <c r="E87" i="99"/>
  <c r="E86" i="99"/>
  <c r="E84" i="99"/>
  <c r="E83" i="99"/>
  <c r="E82" i="99"/>
  <c r="E80" i="99"/>
  <c r="E79" i="99"/>
  <c r="E78" i="99"/>
  <c r="E76" i="99"/>
  <c r="E75" i="99"/>
  <c r="E74" i="99"/>
  <c r="E72" i="99"/>
  <c r="E71" i="99"/>
  <c r="E70" i="99"/>
  <c r="E68" i="99"/>
  <c r="E67" i="99"/>
  <c r="E66" i="99"/>
  <c r="E64" i="99"/>
  <c r="E63" i="99"/>
  <c r="E62" i="99"/>
  <c r="E60" i="99"/>
  <c r="E59" i="99"/>
  <c r="E58" i="99"/>
  <c r="E56" i="99"/>
  <c r="E55" i="99"/>
  <c r="E54" i="99"/>
  <c r="E52" i="99"/>
  <c r="E51" i="99"/>
  <c r="E50" i="99"/>
  <c r="E48" i="99"/>
  <c r="E47" i="99"/>
  <c r="E46" i="99"/>
  <c r="E44" i="99"/>
  <c r="E43" i="99"/>
  <c r="E42" i="99"/>
  <c r="E40" i="99"/>
  <c r="E39" i="99"/>
  <c r="E38" i="99"/>
  <c r="E35" i="99"/>
  <c r="E34" i="99"/>
  <c r="E31" i="99"/>
  <c r="E30" i="99"/>
  <c r="E27" i="99"/>
  <c r="E26" i="99"/>
  <c r="E23" i="99"/>
  <c r="E19" i="99"/>
  <c r="E15" i="99"/>
  <c r="B6" i="2"/>
  <c r="D5" i="99"/>
  <c r="CK2" i="99"/>
  <c r="CI2" i="99"/>
  <c r="CI3" i="99"/>
  <c r="CG2" i="99"/>
  <c r="CE2" i="99"/>
  <c r="CC2" i="99"/>
  <c r="CC3" i="99"/>
  <c r="CA2" i="99"/>
  <c r="BY2" i="99"/>
  <c r="BW2" i="99"/>
  <c r="BW3" i="99"/>
  <c r="BU2" i="99"/>
  <c r="BS2" i="99"/>
  <c r="BQ2" i="99"/>
  <c r="BQ3" i="99"/>
  <c r="BO2" i="99"/>
  <c r="BM2" i="99"/>
  <c r="BK2" i="99"/>
  <c r="BK3" i="99"/>
  <c r="BI2" i="99"/>
  <c r="BG2" i="99"/>
  <c r="BE2" i="99"/>
  <c r="BE3" i="99"/>
  <c r="BC2" i="99"/>
  <c r="BA2" i="99"/>
  <c r="AY2" i="99"/>
  <c r="AY3" i="99"/>
  <c r="AW2" i="99"/>
  <c r="AU2" i="99"/>
  <c r="AS2" i="99"/>
  <c r="AS3" i="99"/>
  <c r="AQ2" i="99"/>
  <c r="AO2" i="99"/>
  <c r="AM2" i="99"/>
  <c r="AM3" i="99"/>
  <c r="AK2" i="99"/>
  <c r="AI2" i="99"/>
  <c r="AG2" i="99"/>
  <c r="AG3" i="99"/>
  <c r="AE2" i="99"/>
  <c r="AC2" i="99"/>
  <c r="AA2" i="99"/>
  <c r="AA3" i="99"/>
  <c r="Y2" i="99"/>
  <c r="W2" i="99"/>
  <c r="U2" i="99"/>
  <c r="U3" i="99"/>
  <c r="S2" i="99"/>
  <c r="Q2" i="99"/>
  <c r="O2" i="99"/>
  <c r="O3" i="99"/>
  <c r="M2" i="99"/>
  <c r="K2" i="99"/>
  <c r="I2" i="99"/>
  <c r="I3" i="99"/>
  <c r="G2" i="99"/>
  <c r="B23" i="2"/>
  <c r="B21" i="2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M31" i="3"/>
  <c r="N31" i="3" s="1"/>
  <c r="C23" i="2"/>
  <c r="D31" i="3"/>
  <c r="E23" i="2"/>
  <c r="G31" i="3" s="1"/>
  <c r="D23" i="2"/>
  <c r="E31" i="3" s="1"/>
  <c r="O31" i="3"/>
  <c r="E10" i="99" l="1"/>
  <c r="E14" i="99"/>
  <c r="E24" i="99"/>
  <c r="E36" i="99"/>
  <c r="E16" i="99"/>
  <c r="E20" i="99"/>
  <c r="E12" i="99"/>
  <c r="E28" i="99"/>
  <c r="H31" i="3"/>
  <c r="F31" i="3" l="1"/>
  <c r="I31" i="3" l="1"/>
  <c r="J31" i="3" s="1"/>
  <c r="K31" i="3"/>
  <c r="E5" i="99" s="1"/>
  <c r="CD3" i="99" l="1"/>
  <c r="BF3" i="99"/>
  <c r="AT3" i="99"/>
  <c r="P3" i="99"/>
  <c r="AN3" i="99"/>
  <c r="AZ3" i="99"/>
  <c r="J3" i="99"/>
  <c r="AB3" i="99"/>
  <c r="BL3" i="99"/>
  <c r="V3" i="99"/>
  <c r="AH3" i="99"/>
  <c r="CJ3" i="99"/>
  <c r="BR3" i="99"/>
  <c r="BX3" i="99"/>
  <c r="Y45" i="99" l="1"/>
  <c r="Z45" i="99" s="1"/>
  <c r="AA45" i="99" s="1"/>
  <c r="AB45" i="99" s="1"/>
  <c r="AC45" i="99" s="1"/>
  <c r="Y29" i="99"/>
  <c r="Z29" i="99" s="1"/>
  <c r="AA29" i="99" s="1"/>
  <c r="AB29" i="99" s="1"/>
  <c r="AC29" i="99" s="1"/>
  <c r="Y103" i="99"/>
  <c r="Z103" i="99" s="1"/>
  <c r="AA103" i="99" s="1"/>
  <c r="AB103" i="99" s="1"/>
  <c r="AC103" i="99" s="1"/>
  <c r="Y59" i="99"/>
  <c r="Z59" i="99" s="1"/>
  <c r="AA59" i="99" s="1"/>
  <c r="AB59" i="99" s="1"/>
  <c r="AC59" i="99" s="1"/>
  <c r="Y89" i="99"/>
  <c r="Z89" i="99" s="1"/>
  <c r="AA89" i="99" s="1"/>
  <c r="AB89" i="99" s="1"/>
  <c r="AC89" i="99" s="1"/>
  <c r="Y51" i="99"/>
  <c r="Z51" i="99" s="1"/>
  <c r="AA51" i="99" s="1"/>
  <c r="AB51" i="99" s="1"/>
  <c r="AC51" i="99" s="1"/>
  <c r="Y24" i="99"/>
  <c r="Z24" i="99" s="1"/>
  <c r="AA24" i="99" s="1"/>
  <c r="AB24" i="99" s="1"/>
  <c r="AC24" i="99" s="1"/>
  <c r="Y48" i="99"/>
  <c r="Z48" i="99" s="1"/>
  <c r="AA48" i="99" s="1"/>
  <c r="AB48" i="99" s="1"/>
  <c r="AC48" i="99" s="1"/>
  <c r="Y64" i="99"/>
  <c r="Z64" i="99" s="1"/>
  <c r="AA64" i="99" s="1"/>
  <c r="AB64" i="99" s="1"/>
  <c r="AC64" i="99" s="1"/>
  <c r="Y86" i="99"/>
  <c r="Z86" i="99" s="1"/>
  <c r="AA86" i="99" s="1"/>
  <c r="AB86" i="99" s="1"/>
  <c r="AC86" i="99" s="1"/>
  <c r="Y95" i="99"/>
  <c r="Z95" i="99" s="1"/>
  <c r="AA95" i="99" s="1"/>
  <c r="AB95" i="99" s="1"/>
  <c r="AC95" i="99" s="1"/>
  <c r="Y106" i="99"/>
  <c r="Z106" i="99" s="1"/>
  <c r="AA106" i="99" s="1"/>
  <c r="AB106" i="99" s="1"/>
  <c r="AC106" i="99" s="1"/>
  <c r="Y79" i="99"/>
  <c r="Z79" i="99" s="1"/>
  <c r="AA79" i="99" s="1"/>
  <c r="AB79" i="99" s="1"/>
  <c r="AC79" i="99" s="1"/>
  <c r="Y78" i="99"/>
  <c r="Z78" i="99" s="1"/>
  <c r="AA78" i="99" s="1"/>
  <c r="AB78" i="99" s="1"/>
  <c r="AC78" i="99" s="1"/>
  <c r="Y77" i="99"/>
  <c r="Z77" i="99" s="1"/>
  <c r="AA77" i="99" s="1"/>
  <c r="AB77" i="99" s="1"/>
  <c r="AC77" i="99" s="1"/>
  <c r="Y104" i="99"/>
  <c r="Z104" i="99" s="1"/>
  <c r="AA104" i="99" s="1"/>
  <c r="AB104" i="99" s="1"/>
  <c r="AC104" i="99" s="1"/>
  <c r="Y61" i="99"/>
  <c r="Z61" i="99" s="1"/>
  <c r="AA61" i="99" s="1"/>
  <c r="AB61" i="99" s="1"/>
  <c r="AC61" i="99" s="1"/>
  <c r="Y66" i="99"/>
  <c r="Z66" i="99" s="1"/>
  <c r="AA66" i="99" s="1"/>
  <c r="AB66" i="99" s="1"/>
  <c r="AC66" i="99" s="1"/>
  <c r="Y30" i="99"/>
  <c r="Z30" i="99" s="1"/>
  <c r="AA30" i="99" s="1"/>
  <c r="AB30" i="99" s="1"/>
  <c r="AC30" i="99" s="1"/>
  <c r="Y102" i="99"/>
  <c r="Z102" i="99" s="1"/>
  <c r="AA102" i="99" s="1"/>
  <c r="AB102" i="99" s="1"/>
  <c r="AC102" i="99" s="1"/>
  <c r="Y39" i="99"/>
  <c r="Z39" i="99" s="1"/>
  <c r="AA39" i="99" s="1"/>
  <c r="AB39" i="99" s="1"/>
  <c r="AC39" i="99" s="1"/>
  <c r="Y18" i="99"/>
  <c r="Z18" i="99" s="1"/>
  <c r="AA18" i="99" s="1"/>
  <c r="AB18" i="99" s="1"/>
  <c r="AC18" i="99" s="1"/>
  <c r="Y20" i="99"/>
  <c r="Z20" i="99" s="1"/>
  <c r="AA20" i="99" s="1"/>
  <c r="AB20" i="99" s="1"/>
  <c r="AC20" i="99" s="1"/>
  <c r="Y101" i="99"/>
  <c r="Z101" i="99" s="1"/>
  <c r="AA101" i="99" s="1"/>
  <c r="AB101" i="99" s="1"/>
  <c r="AC101" i="99" s="1"/>
  <c r="Y69" i="99"/>
  <c r="Z69" i="99" s="1"/>
  <c r="AA69" i="99" s="1"/>
  <c r="AB69" i="99" s="1"/>
  <c r="AC69" i="99" s="1"/>
  <c r="Y99" i="99"/>
  <c r="Z99" i="99" s="1"/>
  <c r="AA99" i="99" s="1"/>
  <c r="AB99" i="99" s="1"/>
  <c r="AC99" i="99" s="1"/>
  <c r="Y63" i="99"/>
  <c r="Z63" i="99" s="1"/>
  <c r="AA63" i="99" s="1"/>
  <c r="AB63" i="99" s="1"/>
  <c r="AC63" i="99" s="1"/>
  <c r="Y72" i="99"/>
  <c r="Z72" i="99" s="1"/>
  <c r="AA72" i="99" s="1"/>
  <c r="AB72" i="99" s="1"/>
  <c r="AC72" i="99" s="1"/>
  <c r="Y22" i="99"/>
  <c r="Z22" i="99" s="1"/>
  <c r="AA22" i="99" s="1"/>
  <c r="AB22" i="99" s="1"/>
  <c r="AC22" i="99" s="1"/>
  <c r="Y12" i="99"/>
  <c r="Z12" i="99" s="1"/>
  <c r="AA12" i="99" s="1"/>
  <c r="AB12" i="99" s="1"/>
  <c r="AC12" i="99" s="1"/>
  <c r="Y70" i="99"/>
  <c r="Z70" i="99" s="1"/>
  <c r="AA70" i="99" s="1"/>
  <c r="AB70" i="99" s="1"/>
  <c r="AC70" i="99" s="1"/>
  <c r="Y85" i="99"/>
  <c r="Z85" i="99" s="1"/>
  <c r="AA85" i="99" s="1"/>
  <c r="AB85" i="99" s="1"/>
  <c r="AC85" i="99" s="1"/>
  <c r="Y53" i="99"/>
  <c r="Z53" i="99" s="1"/>
  <c r="AA53" i="99" s="1"/>
  <c r="AB53" i="99" s="1"/>
  <c r="AC53" i="99" s="1"/>
  <c r="Y74" i="99"/>
  <c r="Z74" i="99" s="1"/>
  <c r="AA74" i="99" s="1"/>
  <c r="AB74" i="99" s="1"/>
  <c r="AC74" i="99" s="1"/>
  <c r="Y43" i="99"/>
  <c r="Z43" i="99" s="1"/>
  <c r="AA43" i="99" s="1"/>
  <c r="AB43" i="99" s="1"/>
  <c r="AC43" i="99" s="1"/>
  <c r="Y49" i="99"/>
  <c r="Z49" i="99" s="1"/>
  <c r="AA49" i="99" s="1"/>
  <c r="AB49" i="99" s="1"/>
  <c r="AC49" i="99" s="1"/>
  <c r="Y47" i="99"/>
  <c r="Z47" i="99" s="1"/>
  <c r="AA47" i="99" s="1"/>
  <c r="AB47" i="99" s="1"/>
  <c r="AC47" i="99" s="1"/>
  <c r="Y84" i="99"/>
  <c r="Z84" i="99" s="1"/>
  <c r="AA84" i="99" s="1"/>
  <c r="AB84" i="99" s="1"/>
  <c r="AC84" i="99" s="1"/>
  <c r="Y97" i="99"/>
  <c r="Z97" i="99" s="1"/>
  <c r="AA97" i="99" s="1"/>
  <c r="AB97" i="99" s="1"/>
  <c r="AC97" i="99" s="1"/>
  <c r="Y83" i="99"/>
  <c r="Z83" i="99" s="1"/>
  <c r="AA83" i="99" s="1"/>
  <c r="AB83" i="99" s="1"/>
  <c r="AC83" i="99" s="1"/>
  <c r="Y68" i="99"/>
  <c r="Z68" i="99" s="1"/>
  <c r="AA68" i="99" s="1"/>
  <c r="AB68" i="99" s="1"/>
  <c r="AC68" i="99" s="1"/>
  <c r="Y38" i="99"/>
  <c r="Z38" i="99" s="1"/>
  <c r="AA38" i="99" s="1"/>
  <c r="AB38" i="99" s="1"/>
  <c r="AC38" i="99" s="1"/>
  <c r="Y88" i="99"/>
  <c r="Z88" i="99" s="1"/>
  <c r="AA88" i="99" s="1"/>
  <c r="AB88" i="99" s="1"/>
  <c r="AC88" i="99" s="1"/>
  <c r="Y17" i="99"/>
  <c r="Z17" i="99" s="1"/>
  <c r="AA17" i="99" s="1"/>
  <c r="AB17" i="99" s="1"/>
  <c r="AC17" i="99" s="1"/>
  <c r="Y105" i="99"/>
  <c r="Z105" i="99" s="1"/>
  <c r="AA105" i="99" s="1"/>
  <c r="AB105" i="99" s="1"/>
  <c r="AC105" i="99" s="1"/>
  <c r="Y36" i="99"/>
  <c r="Z36" i="99" s="1"/>
  <c r="AA36" i="99" s="1"/>
  <c r="AB36" i="99" s="1"/>
  <c r="AC36" i="99" s="1"/>
  <c r="Y92" i="99"/>
  <c r="Z92" i="99" s="1"/>
  <c r="AA92" i="99" s="1"/>
  <c r="AB92" i="99" s="1"/>
  <c r="AC92" i="99" s="1"/>
  <c r="Y96" i="99"/>
  <c r="Z96" i="99" s="1"/>
  <c r="AA96" i="99" s="1"/>
  <c r="AB96" i="99" s="1"/>
  <c r="AC96" i="99" s="1"/>
  <c r="Y58" i="99"/>
  <c r="Z58" i="99" s="1"/>
  <c r="AA58" i="99" s="1"/>
  <c r="AB58" i="99" s="1"/>
  <c r="AC58" i="99" s="1"/>
  <c r="Y71" i="99"/>
  <c r="Z71" i="99" s="1"/>
  <c r="AA71" i="99" s="1"/>
  <c r="AB71" i="99" s="1"/>
  <c r="AC71" i="99" s="1"/>
  <c r="Y73" i="99"/>
  <c r="Z73" i="99" s="1"/>
  <c r="AA73" i="99" s="1"/>
  <c r="AB73" i="99" s="1"/>
  <c r="AC73" i="99" s="1"/>
  <c r="Y27" i="99"/>
  <c r="Z27" i="99" s="1"/>
  <c r="AA27" i="99" s="1"/>
  <c r="AB27" i="99" s="1"/>
  <c r="AC27" i="99" s="1"/>
  <c r="Y62" i="99"/>
  <c r="Z62" i="99" s="1"/>
  <c r="AA62" i="99" s="1"/>
  <c r="AB62" i="99" s="1"/>
  <c r="AC62" i="99" s="1"/>
  <c r="Y82" i="99"/>
  <c r="Z82" i="99" s="1"/>
  <c r="AA82" i="99" s="1"/>
  <c r="AB82" i="99" s="1"/>
  <c r="AC82" i="99" s="1"/>
  <c r="Y16" i="99"/>
  <c r="Z16" i="99" s="1"/>
  <c r="AA16" i="99" s="1"/>
  <c r="AB16" i="99" s="1"/>
  <c r="AC16" i="99" s="1"/>
  <c r="Y81" i="99"/>
  <c r="Z81" i="99" s="1"/>
  <c r="AA81" i="99" s="1"/>
  <c r="AB81" i="99" s="1"/>
  <c r="AC81" i="99" s="1"/>
  <c r="Y75" i="99"/>
  <c r="Z75" i="99" s="1"/>
  <c r="AA75" i="99" s="1"/>
  <c r="AB75" i="99" s="1"/>
  <c r="AC75" i="99" s="1"/>
  <c r="Y87" i="99"/>
  <c r="Z87" i="99" s="1"/>
  <c r="AA87" i="99" s="1"/>
  <c r="AB87" i="99" s="1"/>
  <c r="AC87" i="99" s="1"/>
  <c r="Y108" i="99"/>
  <c r="Z108" i="99" s="1"/>
  <c r="AA108" i="99" s="1"/>
  <c r="AB108" i="99" s="1"/>
  <c r="AC108" i="99" s="1"/>
  <c r="Y52" i="99"/>
  <c r="Z52" i="99" s="1"/>
  <c r="AA52" i="99" s="1"/>
  <c r="AB52" i="99" s="1"/>
  <c r="AC52" i="99" s="1"/>
  <c r="Y57" i="99"/>
  <c r="Z57" i="99" s="1"/>
  <c r="AA57" i="99" s="1"/>
  <c r="AB57" i="99" s="1"/>
  <c r="AC57" i="99" s="1"/>
  <c r="Y67" i="99"/>
  <c r="Z67" i="99" s="1"/>
  <c r="AA67" i="99" s="1"/>
  <c r="AB67" i="99" s="1"/>
  <c r="AC67" i="99" s="1"/>
  <c r="Y14" i="99"/>
  <c r="Z14" i="99" s="1"/>
  <c r="AA14" i="99" s="1"/>
  <c r="AB14" i="99" s="1"/>
  <c r="AC14" i="99" s="1"/>
  <c r="Y107" i="99"/>
  <c r="Z107" i="99" s="1"/>
  <c r="AA107" i="99" s="1"/>
  <c r="AB107" i="99" s="1"/>
  <c r="AC107" i="99" s="1"/>
  <c r="Y50" i="99"/>
  <c r="Z50" i="99" s="1"/>
  <c r="AA50" i="99" s="1"/>
  <c r="AB50" i="99" s="1"/>
  <c r="AC50" i="99" s="1"/>
  <c r="Y21" i="99"/>
  <c r="Z21" i="99" s="1"/>
  <c r="AA21" i="99" s="1"/>
  <c r="AB21" i="99" s="1"/>
  <c r="AC21" i="99" s="1"/>
  <c r="Y100" i="99"/>
  <c r="Z100" i="99" s="1"/>
  <c r="AA100" i="99" s="1"/>
  <c r="AB100" i="99" s="1"/>
  <c r="AC100" i="99" s="1"/>
  <c r="Y98" i="99"/>
  <c r="Z98" i="99" s="1"/>
  <c r="AA98" i="99" s="1"/>
  <c r="AB98" i="99" s="1"/>
  <c r="AC98" i="99" s="1"/>
  <c r="Y35" i="99"/>
  <c r="Z35" i="99" s="1"/>
  <c r="AA35" i="99" s="1"/>
  <c r="AB35" i="99" s="1"/>
  <c r="AC35" i="99" s="1"/>
  <c r="Y33" i="99"/>
  <c r="Z33" i="99" s="1"/>
  <c r="AA33" i="99" s="1"/>
  <c r="AB33" i="99" s="1"/>
  <c r="AC33" i="99" s="1"/>
  <c r="Y46" i="99"/>
  <c r="Z46" i="99" s="1"/>
  <c r="AA46" i="99" s="1"/>
  <c r="AB46" i="99" s="1"/>
  <c r="AC46" i="99" s="1"/>
  <c r="Y10" i="99"/>
  <c r="Z10" i="99" s="1"/>
  <c r="AA10" i="99" s="1"/>
  <c r="AB10" i="99" s="1"/>
  <c r="AC10" i="99" s="1"/>
  <c r="Y60" i="99"/>
  <c r="Z60" i="99" s="1"/>
  <c r="AA60" i="99" s="1"/>
  <c r="AB60" i="99" s="1"/>
  <c r="AC60" i="99" s="1"/>
  <c r="Y9" i="99"/>
  <c r="Z9" i="99" s="1"/>
  <c r="AA9" i="99" s="1"/>
  <c r="AB9" i="99" s="1"/>
  <c r="Y26" i="99"/>
  <c r="Z26" i="99" s="1"/>
  <c r="AA26" i="99" s="1"/>
  <c r="AB26" i="99" s="1"/>
  <c r="AC26" i="99" s="1"/>
  <c r="Y94" i="99"/>
  <c r="Z94" i="99" s="1"/>
  <c r="AA94" i="99" s="1"/>
  <c r="AB94" i="99" s="1"/>
  <c r="AC94" i="99" s="1"/>
  <c r="Y91" i="99"/>
  <c r="Z91" i="99" s="1"/>
  <c r="AA91" i="99" s="1"/>
  <c r="AB91" i="99" s="1"/>
  <c r="AC91" i="99" s="1"/>
  <c r="Y93" i="99"/>
  <c r="Z93" i="99" s="1"/>
  <c r="AA93" i="99" s="1"/>
  <c r="AB93" i="99" s="1"/>
  <c r="AC93" i="99" s="1"/>
  <c r="Y19" i="99"/>
  <c r="Z19" i="99" s="1"/>
  <c r="AA19" i="99" s="1"/>
  <c r="AB19" i="99" s="1"/>
  <c r="AC19" i="99" s="1"/>
  <c r="Y76" i="99"/>
  <c r="Z76" i="99" s="1"/>
  <c r="AA76" i="99" s="1"/>
  <c r="AB76" i="99" s="1"/>
  <c r="AC76" i="99" s="1"/>
  <c r="Y42" i="99"/>
  <c r="Z42" i="99" s="1"/>
  <c r="AA42" i="99" s="1"/>
  <c r="AB42" i="99" s="1"/>
  <c r="AC42" i="99" s="1"/>
  <c r="Y37" i="99"/>
  <c r="Z37" i="99" s="1"/>
  <c r="AA37" i="99" s="1"/>
  <c r="AB37" i="99" s="1"/>
  <c r="AC37" i="99" s="1"/>
  <c r="Y28" i="99"/>
  <c r="Z28" i="99" s="1"/>
  <c r="AA28" i="99" s="1"/>
  <c r="AB28" i="99" s="1"/>
  <c r="AC28" i="99" s="1"/>
  <c r="Y32" i="99"/>
  <c r="Z32" i="99" s="1"/>
  <c r="AA32" i="99" s="1"/>
  <c r="AB32" i="99" s="1"/>
  <c r="AC32" i="99" s="1"/>
  <c r="Y55" i="99"/>
  <c r="Z55" i="99" s="1"/>
  <c r="AA55" i="99" s="1"/>
  <c r="AB55" i="99" s="1"/>
  <c r="AC55" i="99" s="1"/>
  <c r="Y34" i="99"/>
  <c r="Z34" i="99" s="1"/>
  <c r="AA34" i="99" s="1"/>
  <c r="AB34" i="99" s="1"/>
  <c r="AC34" i="99" s="1"/>
  <c r="Y23" i="99"/>
  <c r="Z23" i="99" s="1"/>
  <c r="AA23" i="99" s="1"/>
  <c r="AB23" i="99" s="1"/>
  <c r="AC23" i="99" s="1"/>
  <c r="Y40" i="99"/>
  <c r="Z40" i="99" s="1"/>
  <c r="AA40" i="99" s="1"/>
  <c r="AB40" i="99" s="1"/>
  <c r="AC40" i="99" s="1"/>
  <c r="Y15" i="99"/>
  <c r="Z15" i="99" s="1"/>
  <c r="AA15" i="99" s="1"/>
  <c r="AB15" i="99" s="1"/>
  <c r="AC15" i="99" s="1"/>
  <c r="Y65" i="99"/>
  <c r="Z65" i="99" s="1"/>
  <c r="AA65" i="99" s="1"/>
  <c r="AB65" i="99" s="1"/>
  <c r="AC65" i="99" s="1"/>
  <c r="Y56" i="99"/>
  <c r="Z56" i="99" s="1"/>
  <c r="AA56" i="99" s="1"/>
  <c r="AB56" i="99" s="1"/>
  <c r="AC56" i="99" s="1"/>
  <c r="Y25" i="99"/>
  <c r="Z25" i="99" s="1"/>
  <c r="AA25" i="99" s="1"/>
  <c r="AB25" i="99" s="1"/>
  <c r="AC25" i="99" s="1"/>
  <c r="Y11" i="99"/>
  <c r="Z11" i="99" s="1"/>
  <c r="AA11" i="99" s="1"/>
  <c r="AB11" i="99" s="1"/>
  <c r="AC11" i="99" s="1"/>
  <c r="Y90" i="99"/>
  <c r="Z90" i="99" s="1"/>
  <c r="AA90" i="99" s="1"/>
  <c r="AB90" i="99" s="1"/>
  <c r="AC90" i="99" s="1"/>
  <c r="Y41" i="99"/>
  <c r="Z41" i="99" s="1"/>
  <c r="AA41" i="99" s="1"/>
  <c r="AB41" i="99" s="1"/>
  <c r="AC41" i="99" s="1"/>
  <c r="Y80" i="99"/>
  <c r="Z80" i="99" s="1"/>
  <c r="AA80" i="99" s="1"/>
  <c r="AB80" i="99" s="1"/>
  <c r="AC80" i="99" s="1"/>
  <c r="Y44" i="99"/>
  <c r="Z44" i="99" s="1"/>
  <c r="AA44" i="99" s="1"/>
  <c r="AB44" i="99" s="1"/>
  <c r="AC44" i="99" s="1"/>
  <c r="Y13" i="99"/>
  <c r="Z13" i="99" s="1"/>
  <c r="AA13" i="99" s="1"/>
  <c r="AB13" i="99" s="1"/>
  <c r="AC13" i="99" s="1"/>
  <c r="Y31" i="99"/>
  <c r="Z31" i="99" s="1"/>
  <c r="AA31" i="99" s="1"/>
  <c r="AB31" i="99" s="1"/>
  <c r="AC31" i="99" s="1"/>
  <c r="Y54" i="99"/>
  <c r="Z54" i="99" s="1"/>
  <c r="AA54" i="99" s="1"/>
  <c r="AB54" i="99" s="1"/>
  <c r="AC54" i="99" s="1"/>
  <c r="BU20" i="99"/>
  <c r="BV20" i="99" s="1"/>
  <c r="BW20" i="99" s="1"/>
  <c r="BX20" i="99" s="1"/>
  <c r="BY20" i="99" s="1"/>
  <c r="BU36" i="99"/>
  <c r="BV36" i="99" s="1"/>
  <c r="BW36" i="99" s="1"/>
  <c r="BX36" i="99" s="1"/>
  <c r="BY36" i="99" s="1"/>
  <c r="BU41" i="99"/>
  <c r="BV41" i="99" s="1"/>
  <c r="BW41" i="99" s="1"/>
  <c r="BX41" i="99" s="1"/>
  <c r="BY41" i="99" s="1"/>
  <c r="BU90" i="99"/>
  <c r="BV90" i="99" s="1"/>
  <c r="BW90" i="99" s="1"/>
  <c r="BX90" i="99" s="1"/>
  <c r="BY90" i="99" s="1"/>
  <c r="BU94" i="99"/>
  <c r="BV94" i="99" s="1"/>
  <c r="BW94" i="99" s="1"/>
  <c r="BX94" i="99" s="1"/>
  <c r="BY94" i="99" s="1"/>
  <c r="BU18" i="99"/>
  <c r="BV18" i="99" s="1"/>
  <c r="BW18" i="99" s="1"/>
  <c r="BX18" i="99" s="1"/>
  <c r="BY18" i="99" s="1"/>
  <c r="BU78" i="99"/>
  <c r="BV78" i="99" s="1"/>
  <c r="BW78" i="99" s="1"/>
  <c r="BX78" i="99" s="1"/>
  <c r="BY78" i="99" s="1"/>
  <c r="BU42" i="99"/>
  <c r="BV42" i="99" s="1"/>
  <c r="BW42" i="99" s="1"/>
  <c r="BX42" i="99" s="1"/>
  <c r="BY42" i="99" s="1"/>
  <c r="BU81" i="99"/>
  <c r="BV81" i="99" s="1"/>
  <c r="BW81" i="99" s="1"/>
  <c r="BX81" i="99" s="1"/>
  <c r="BY81" i="99" s="1"/>
  <c r="BU86" i="99"/>
  <c r="BV86" i="99" s="1"/>
  <c r="BW86" i="99" s="1"/>
  <c r="BX86" i="99" s="1"/>
  <c r="BY86" i="99" s="1"/>
  <c r="BU103" i="99"/>
  <c r="BV103" i="99" s="1"/>
  <c r="BW103" i="99" s="1"/>
  <c r="BX103" i="99" s="1"/>
  <c r="BY103" i="99" s="1"/>
  <c r="BU44" i="99"/>
  <c r="BV44" i="99" s="1"/>
  <c r="BW44" i="99" s="1"/>
  <c r="BX44" i="99" s="1"/>
  <c r="BY44" i="99" s="1"/>
  <c r="BU89" i="99"/>
  <c r="BV89" i="99" s="1"/>
  <c r="BW89" i="99" s="1"/>
  <c r="BX89" i="99" s="1"/>
  <c r="BY89" i="99" s="1"/>
  <c r="BU70" i="99"/>
  <c r="BV70" i="99" s="1"/>
  <c r="BW70" i="99" s="1"/>
  <c r="BX70" i="99" s="1"/>
  <c r="BY70" i="99" s="1"/>
  <c r="BU54" i="99"/>
  <c r="BV54" i="99" s="1"/>
  <c r="BW54" i="99" s="1"/>
  <c r="BX54" i="99" s="1"/>
  <c r="BY54" i="99" s="1"/>
  <c r="BU46" i="99"/>
  <c r="BV46" i="99" s="1"/>
  <c r="BW46" i="99" s="1"/>
  <c r="BX46" i="99" s="1"/>
  <c r="BY46" i="99" s="1"/>
  <c r="BU55" i="99"/>
  <c r="BV55" i="99" s="1"/>
  <c r="BW55" i="99" s="1"/>
  <c r="BX55" i="99" s="1"/>
  <c r="BY55" i="99" s="1"/>
  <c r="BU30" i="99"/>
  <c r="BV30" i="99" s="1"/>
  <c r="BW30" i="99" s="1"/>
  <c r="BX30" i="99" s="1"/>
  <c r="BY30" i="99" s="1"/>
  <c r="BU98" i="99"/>
  <c r="BV98" i="99" s="1"/>
  <c r="BW98" i="99" s="1"/>
  <c r="BX98" i="99" s="1"/>
  <c r="BY98" i="99" s="1"/>
  <c r="BU102" i="99"/>
  <c r="BV102" i="99" s="1"/>
  <c r="BW102" i="99" s="1"/>
  <c r="BX102" i="99" s="1"/>
  <c r="BY102" i="99" s="1"/>
  <c r="BU15" i="99"/>
  <c r="BV15" i="99" s="1"/>
  <c r="BW15" i="99" s="1"/>
  <c r="BX15" i="99" s="1"/>
  <c r="BY15" i="99" s="1"/>
  <c r="BU14" i="99"/>
  <c r="BV14" i="99" s="1"/>
  <c r="BW14" i="99" s="1"/>
  <c r="BX14" i="99" s="1"/>
  <c r="BY14" i="99" s="1"/>
  <c r="BU9" i="99"/>
  <c r="BV9" i="99" s="1"/>
  <c r="BW9" i="99" s="1"/>
  <c r="BX9" i="99" s="1"/>
  <c r="BU45" i="99"/>
  <c r="BV45" i="99" s="1"/>
  <c r="BW45" i="99" s="1"/>
  <c r="BX45" i="99" s="1"/>
  <c r="BY45" i="99" s="1"/>
  <c r="BU95" i="99"/>
  <c r="BV95" i="99" s="1"/>
  <c r="BW95" i="99" s="1"/>
  <c r="BX95" i="99" s="1"/>
  <c r="BY95" i="99" s="1"/>
  <c r="BU82" i="99"/>
  <c r="BV82" i="99" s="1"/>
  <c r="BW82" i="99" s="1"/>
  <c r="BX82" i="99" s="1"/>
  <c r="BY82" i="99" s="1"/>
  <c r="BU71" i="99"/>
  <c r="BV71" i="99" s="1"/>
  <c r="BW71" i="99" s="1"/>
  <c r="BX71" i="99" s="1"/>
  <c r="BY71" i="99" s="1"/>
  <c r="BU11" i="99"/>
  <c r="BV11" i="99" s="1"/>
  <c r="BW11" i="99" s="1"/>
  <c r="BX11" i="99" s="1"/>
  <c r="BY11" i="99" s="1"/>
  <c r="BU62" i="99"/>
  <c r="BV62" i="99" s="1"/>
  <c r="BW62" i="99" s="1"/>
  <c r="BX62" i="99" s="1"/>
  <c r="BY62" i="99" s="1"/>
  <c r="BU76" i="99"/>
  <c r="BV76" i="99" s="1"/>
  <c r="BW76" i="99" s="1"/>
  <c r="BX76" i="99" s="1"/>
  <c r="BY76" i="99" s="1"/>
  <c r="BU16" i="99"/>
  <c r="BV16" i="99" s="1"/>
  <c r="BW16" i="99" s="1"/>
  <c r="BX16" i="99" s="1"/>
  <c r="BY16" i="99" s="1"/>
  <c r="BU66" i="99"/>
  <c r="BV66" i="99" s="1"/>
  <c r="BW66" i="99" s="1"/>
  <c r="BX66" i="99" s="1"/>
  <c r="BY66" i="99" s="1"/>
  <c r="BU93" i="99"/>
  <c r="BV93" i="99" s="1"/>
  <c r="BW93" i="99" s="1"/>
  <c r="BX93" i="99" s="1"/>
  <c r="BY93" i="99" s="1"/>
  <c r="BU107" i="99"/>
  <c r="BV107" i="99" s="1"/>
  <c r="BW107" i="99" s="1"/>
  <c r="BX107" i="99" s="1"/>
  <c r="BY107" i="99" s="1"/>
  <c r="BU63" i="99"/>
  <c r="BV63" i="99" s="1"/>
  <c r="BW63" i="99" s="1"/>
  <c r="BX63" i="99" s="1"/>
  <c r="BY63" i="99" s="1"/>
  <c r="BU39" i="99"/>
  <c r="BV39" i="99" s="1"/>
  <c r="BW39" i="99" s="1"/>
  <c r="BX39" i="99" s="1"/>
  <c r="BY39" i="99" s="1"/>
  <c r="BU79" i="99"/>
  <c r="BV79" i="99" s="1"/>
  <c r="BW79" i="99" s="1"/>
  <c r="BX79" i="99" s="1"/>
  <c r="BY79" i="99" s="1"/>
  <c r="BU40" i="99"/>
  <c r="BV40" i="99" s="1"/>
  <c r="BW40" i="99" s="1"/>
  <c r="BX40" i="99" s="1"/>
  <c r="BY40" i="99" s="1"/>
  <c r="BU32" i="99"/>
  <c r="BV32" i="99" s="1"/>
  <c r="BW32" i="99" s="1"/>
  <c r="BX32" i="99" s="1"/>
  <c r="BY32" i="99" s="1"/>
  <c r="BU72" i="99"/>
  <c r="BV72" i="99" s="1"/>
  <c r="BW72" i="99" s="1"/>
  <c r="BX72" i="99" s="1"/>
  <c r="BY72" i="99" s="1"/>
  <c r="BU69" i="99"/>
  <c r="BV69" i="99" s="1"/>
  <c r="BW69" i="99" s="1"/>
  <c r="BX69" i="99" s="1"/>
  <c r="BY69" i="99" s="1"/>
  <c r="BU38" i="99"/>
  <c r="BV38" i="99" s="1"/>
  <c r="BW38" i="99" s="1"/>
  <c r="BX38" i="99" s="1"/>
  <c r="BY38" i="99" s="1"/>
  <c r="BU50" i="99"/>
  <c r="BV50" i="99" s="1"/>
  <c r="BW50" i="99" s="1"/>
  <c r="BX50" i="99" s="1"/>
  <c r="BY50" i="99" s="1"/>
  <c r="BU28" i="99"/>
  <c r="BV28" i="99" s="1"/>
  <c r="BW28" i="99" s="1"/>
  <c r="BX28" i="99" s="1"/>
  <c r="BY28" i="99" s="1"/>
  <c r="BU88" i="99"/>
  <c r="BV88" i="99" s="1"/>
  <c r="BW88" i="99" s="1"/>
  <c r="BX88" i="99" s="1"/>
  <c r="BY88" i="99" s="1"/>
  <c r="BU97" i="99"/>
  <c r="BV97" i="99" s="1"/>
  <c r="BW97" i="99" s="1"/>
  <c r="BX97" i="99" s="1"/>
  <c r="BY97" i="99" s="1"/>
  <c r="BU35" i="99"/>
  <c r="BV35" i="99" s="1"/>
  <c r="BW35" i="99" s="1"/>
  <c r="BX35" i="99" s="1"/>
  <c r="BY35" i="99" s="1"/>
  <c r="BU52" i="99"/>
  <c r="BV52" i="99" s="1"/>
  <c r="BW52" i="99" s="1"/>
  <c r="BX52" i="99" s="1"/>
  <c r="BY52" i="99" s="1"/>
  <c r="BU59" i="99"/>
  <c r="BV59" i="99" s="1"/>
  <c r="BW59" i="99" s="1"/>
  <c r="BX59" i="99" s="1"/>
  <c r="BY59" i="99" s="1"/>
  <c r="BU31" i="99"/>
  <c r="BV31" i="99" s="1"/>
  <c r="BW31" i="99" s="1"/>
  <c r="BX31" i="99" s="1"/>
  <c r="BY31" i="99" s="1"/>
  <c r="BU24" i="99"/>
  <c r="BV24" i="99" s="1"/>
  <c r="BW24" i="99" s="1"/>
  <c r="BX24" i="99" s="1"/>
  <c r="BY24" i="99" s="1"/>
  <c r="BU104" i="99"/>
  <c r="BV104" i="99" s="1"/>
  <c r="BW104" i="99" s="1"/>
  <c r="BX104" i="99" s="1"/>
  <c r="BY104" i="99" s="1"/>
  <c r="BU17" i="99"/>
  <c r="BV17" i="99" s="1"/>
  <c r="BW17" i="99" s="1"/>
  <c r="BX17" i="99" s="1"/>
  <c r="BY17" i="99" s="1"/>
  <c r="BU13" i="99"/>
  <c r="BV13" i="99" s="1"/>
  <c r="BW13" i="99" s="1"/>
  <c r="BX13" i="99" s="1"/>
  <c r="BY13" i="99" s="1"/>
  <c r="BU37" i="99"/>
  <c r="BV37" i="99" s="1"/>
  <c r="BW37" i="99" s="1"/>
  <c r="BX37" i="99" s="1"/>
  <c r="BY37" i="99" s="1"/>
  <c r="BU99" i="99"/>
  <c r="BV99" i="99" s="1"/>
  <c r="BW99" i="99" s="1"/>
  <c r="BX99" i="99" s="1"/>
  <c r="BY99" i="99" s="1"/>
  <c r="BU92" i="99"/>
  <c r="BV92" i="99" s="1"/>
  <c r="BW92" i="99" s="1"/>
  <c r="BX92" i="99" s="1"/>
  <c r="BY92" i="99" s="1"/>
  <c r="BU33" i="99"/>
  <c r="BV33" i="99" s="1"/>
  <c r="BW33" i="99" s="1"/>
  <c r="BX33" i="99" s="1"/>
  <c r="BY33" i="99" s="1"/>
  <c r="BU58" i="99"/>
  <c r="BV58" i="99" s="1"/>
  <c r="BW58" i="99" s="1"/>
  <c r="BX58" i="99" s="1"/>
  <c r="BY58" i="99" s="1"/>
  <c r="BU19" i="99"/>
  <c r="BV19" i="99" s="1"/>
  <c r="BW19" i="99" s="1"/>
  <c r="BX19" i="99" s="1"/>
  <c r="BY19" i="99" s="1"/>
  <c r="BU23" i="99"/>
  <c r="BV23" i="99" s="1"/>
  <c r="BW23" i="99" s="1"/>
  <c r="BX23" i="99" s="1"/>
  <c r="BY23" i="99" s="1"/>
  <c r="BU22" i="99"/>
  <c r="BV22" i="99" s="1"/>
  <c r="BW22" i="99" s="1"/>
  <c r="BX22" i="99" s="1"/>
  <c r="BY22" i="99" s="1"/>
  <c r="BU83" i="99"/>
  <c r="BV83" i="99" s="1"/>
  <c r="BW83" i="99" s="1"/>
  <c r="BX83" i="99" s="1"/>
  <c r="BY83" i="99" s="1"/>
  <c r="BU53" i="99"/>
  <c r="BV53" i="99" s="1"/>
  <c r="BW53" i="99" s="1"/>
  <c r="BX53" i="99" s="1"/>
  <c r="BY53" i="99" s="1"/>
  <c r="BU49" i="99"/>
  <c r="BV49" i="99" s="1"/>
  <c r="BW49" i="99" s="1"/>
  <c r="BX49" i="99" s="1"/>
  <c r="BY49" i="99" s="1"/>
  <c r="BU25" i="99"/>
  <c r="BV25" i="99" s="1"/>
  <c r="BW25" i="99" s="1"/>
  <c r="BX25" i="99" s="1"/>
  <c r="BY25" i="99" s="1"/>
  <c r="BU100" i="99"/>
  <c r="BV100" i="99" s="1"/>
  <c r="BW100" i="99" s="1"/>
  <c r="BX100" i="99" s="1"/>
  <c r="BY100" i="99" s="1"/>
  <c r="BU106" i="99"/>
  <c r="BV106" i="99" s="1"/>
  <c r="BW106" i="99" s="1"/>
  <c r="BX106" i="99" s="1"/>
  <c r="BY106" i="99" s="1"/>
  <c r="BU101" i="99"/>
  <c r="BV101" i="99" s="1"/>
  <c r="BW101" i="99" s="1"/>
  <c r="BX101" i="99" s="1"/>
  <c r="BY101" i="99" s="1"/>
  <c r="BU64" i="99"/>
  <c r="BV64" i="99" s="1"/>
  <c r="BW64" i="99" s="1"/>
  <c r="BX64" i="99" s="1"/>
  <c r="BY64" i="99" s="1"/>
  <c r="BU51" i="99"/>
  <c r="BV51" i="99" s="1"/>
  <c r="BW51" i="99" s="1"/>
  <c r="BX51" i="99" s="1"/>
  <c r="BY51" i="99" s="1"/>
  <c r="BU73" i="99"/>
  <c r="BV73" i="99" s="1"/>
  <c r="BW73" i="99" s="1"/>
  <c r="BX73" i="99" s="1"/>
  <c r="BY73" i="99" s="1"/>
  <c r="BU26" i="99"/>
  <c r="BV26" i="99" s="1"/>
  <c r="BW26" i="99" s="1"/>
  <c r="BX26" i="99" s="1"/>
  <c r="BY26" i="99" s="1"/>
  <c r="BU34" i="99"/>
  <c r="BV34" i="99" s="1"/>
  <c r="BW34" i="99" s="1"/>
  <c r="BX34" i="99" s="1"/>
  <c r="BY34" i="99" s="1"/>
  <c r="BU47" i="99"/>
  <c r="BV47" i="99" s="1"/>
  <c r="BW47" i="99" s="1"/>
  <c r="BX47" i="99" s="1"/>
  <c r="BY47" i="99" s="1"/>
  <c r="BU67" i="99"/>
  <c r="BV67" i="99" s="1"/>
  <c r="BW67" i="99" s="1"/>
  <c r="BX67" i="99" s="1"/>
  <c r="BY67" i="99" s="1"/>
  <c r="BU27" i="99"/>
  <c r="BV27" i="99" s="1"/>
  <c r="BW27" i="99" s="1"/>
  <c r="BX27" i="99" s="1"/>
  <c r="BY27" i="99" s="1"/>
  <c r="BU12" i="99"/>
  <c r="BV12" i="99" s="1"/>
  <c r="BW12" i="99" s="1"/>
  <c r="BX12" i="99" s="1"/>
  <c r="BY12" i="99" s="1"/>
  <c r="BU60" i="99"/>
  <c r="BV60" i="99" s="1"/>
  <c r="BW60" i="99" s="1"/>
  <c r="BX60" i="99" s="1"/>
  <c r="BY60" i="99" s="1"/>
  <c r="BU96" i="99"/>
  <c r="BV96" i="99" s="1"/>
  <c r="BW96" i="99" s="1"/>
  <c r="BX96" i="99" s="1"/>
  <c r="BY96" i="99" s="1"/>
  <c r="BU85" i="99"/>
  <c r="BV85" i="99" s="1"/>
  <c r="BW85" i="99" s="1"/>
  <c r="BX85" i="99" s="1"/>
  <c r="BY85" i="99" s="1"/>
  <c r="BU105" i="99"/>
  <c r="BV105" i="99" s="1"/>
  <c r="BW105" i="99" s="1"/>
  <c r="BX105" i="99" s="1"/>
  <c r="BY105" i="99" s="1"/>
  <c r="BU80" i="99"/>
  <c r="BV80" i="99" s="1"/>
  <c r="BW80" i="99" s="1"/>
  <c r="BX80" i="99" s="1"/>
  <c r="BY80" i="99" s="1"/>
  <c r="BU77" i="99"/>
  <c r="BV77" i="99" s="1"/>
  <c r="BW77" i="99" s="1"/>
  <c r="BX77" i="99" s="1"/>
  <c r="BY77" i="99" s="1"/>
  <c r="BU91" i="99"/>
  <c r="BV91" i="99" s="1"/>
  <c r="BW91" i="99" s="1"/>
  <c r="BX91" i="99" s="1"/>
  <c r="BY91" i="99" s="1"/>
  <c r="BU10" i="99"/>
  <c r="BV10" i="99" s="1"/>
  <c r="BW10" i="99" s="1"/>
  <c r="BX10" i="99" s="1"/>
  <c r="BY10" i="99" s="1"/>
  <c r="BU108" i="99"/>
  <c r="BV108" i="99" s="1"/>
  <c r="BW108" i="99" s="1"/>
  <c r="BX108" i="99" s="1"/>
  <c r="BY108" i="99" s="1"/>
  <c r="BU75" i="99"/>
  <c r="BV75" i="99" s="1"/>
  <c r="BW75" i="99" s="1"/>
  <c r="BX75" i="99" s="1"/>
  <c r="BY75" i="99" s="1"/>
  <c r="BU21" i="99"/>
  <c r="BV21" i="99" s="1"/>
  <c r="BW21" i="99" s="1"/>
  <c r="BX21" i="99" s="1"/>
  <c r="BY21" i="99" s="1"/>
  <c r="BU65" i="99"/>
  <c r="BV65" i="99" s="1"/>
  <c r="BW65" i="99" s="1"/>
  <c r="BX65" i="99" s="1"/>
  <c r="BY65" i="99" s="1"/>
  <c r="BU61" i="99"/>
  <c r="BV61" i="99" s="1"/>
  <c r="BW61" i="99" s="1"/>
  <c r="BX61" i="99" s="1"/>
  <c r="BY61" i="99" s="1"/>
  <c r="BU74" i="99"/>
  <c r="BV74" i="99" s="1"/>
  <c r="BW74" i="99" s="1"/>
  <c r="BX74" i="99" s="1"/>
  <c r="BY74" i="99" s="1"/>
  <c r="BU57" i="99"/>
  <c r="BV57" i="99" s="1"/>
  <c r="BW57" i="99" s="1"/>
  <c r="BX57" i="99" s="1"/>
  <c r="BY57" i="99" s="1"/>
  <c r="BU87" i="99"/>
  <c r="BV87" i="99" s="1"/>
  <c r="BW87" i="99" s="1"/>
  <c r="BX87" i="99" s="1"/>
  <c r="BY87" i="99" s="1"/>
  <c r="BU48" i="99"/>
  <c r="BV48" i="99" s="1"/>
  <c r="BW48" i="99" s="1"/>
  <c r="BX48" i="99" s="1"/>
  <c r="BY48" i="99" s="1"/>
  <c r="BU29" i="99"/>
  <c r="BV29" i="99" s="1"/>
  <c r="BW29" i="99" s="1"/>
  <c r="BX29" i="99" s="1"/>
  <c r="BY29" i="99" s="1"/>
  <c r="BU84" i="99"/>
  <c r="BV84" i="99" s="1"/>
  <c r="BW84" i="99" s="1"/>
  <c r="BX84" i="99" s="1"/>
  <c r="BY84" i="99" s="1"/>
  <c r="BU68" i="99"/>
  <c r="BV68" i="99" s="1"/>
  <c r="BW68" i="99" s="1"/>
  <c r="BX68" i="99" s="1"/>
  <c r="BY68" i="99" s="1"/>
  <c r="BU43" i="99"/>
  <c r="BV43" i="99" s="1"/>
  <c r="BW43" i="99" s="1"/>
  <c r="BX43" i="99" s="1"/>
  <c r="BY43" i="99" s="1"/>
  <c r="BU56" i="99"/>
  <c r="BV56" i="99" s="1"/>
  <c r="BW56" i="99" s="1"/>
  <c r="BX56" i="99" s="1"/>
  <c r="BY56" i="99" s="1"/>
  <c r="BO88" i="99"/>
  <c r="BP88" i="99" s="1"/>
  <c r="BQ88" i="99" s="1"/>
  <c r="BR88" i="99" s="1"/>
  <c r="BS88" i="99" s="1"/>
  <c r="BO12" i="99"/>
  <c r="BP12" i="99" s="1"/>
  <c r="BQ12" i="99" s="1"/>
  <c r="BR12" i="99" s="1"/>
  <c r="BS12" i="99" s="1"/>
  <c r="BO47" i="99"/>
  <c r="BP47" i="99" s="1"/>
  <c r="BQ47" i="99" s="1"/>
  <c r="BR47" i="99" s="1"/>
  <c r="BS47" i="99" s="1"/>
  <c r="BO50" i="99"/>
  <c r="BP50" i="99" s="1"/>
  <c r="BQ50" i="99" s="1"/>
  <c r="BR50" i="99" s="1"/>
  <c r="BS50" i="99" s="1"/>
  <c r="BO80" i="99"/>
  <c r="BP80" i="99" s="1"/>
  <c r="BQ80" i="99" s="1"/>
  <c r="BR80" i="99" s="1"/>
  <c r="BS80" i="99" s="1"/>
  <c r="BO64" i="99"/>
  <c r="BP64" i="99" s="1"/>
  <c r="BQ64" i="99" s="1"/>
  <c r="BR64" i="99" s="1"/>
  <c r="BS64" i="99" s="1"/>
  <c r="BO87" i="99"/>
  <c r="BP87" i="99" s="1"/>
  <c r="BQ87" i="99" s="1"/>
  <c r="BR87" i="99" s="1"/>
  <c r="BS87" i="99" s="1"/>
  <c r="BO20" i="99"/>
  <c r="BP20" i="99" s="1"/>
  <c r="BQ20" i="99" s="1"/>
  <c r="BR20" i="99" s="1"/>
  <c r="BS20" i="99" s="1"/>
  <c r="BO30" i="99"/>
  <c r="BP30" i="99" s="1"/>
  <c r="BQ30" i="99" s="1"/>
  <c r="BR30" i="99" s="1"/>
  <c r="BS30" i="99" s="1"/>
  <c r="BO48" i="99"/>
  <c r="BP48" i="99" s="1"/>
  <c r="BQ48" i="99" s="1"/>
  <c r="BR48" i="99" s="1"/>
  <c r="BS48" i="99" s="1"/>
  <c r="BO96" i="99"/>
  <c r="BP96" i="99" s="1"/>
  <c r="BQ96" i="99" s="1"/>
  <c r="BR96" i="99" s="1"/>
  <c r="BS96" i="99" s="1"/>
  <c r="BO37" i="99"/>
  <c r="BP37" i="99" s="1"/>
  <c r="BQ37" i="99" s="1"/>
  <c r="BR37" i="99" s="1"/>
  <c r="BS37" i="99" s="1"/>
  <c r="BO55" i="99"/>
  <c r="BP55" i="99" s="1"/>
  <c r="BQ55" i="99" s="1"/>
  <c r="BR55" i="99" s="1"/>
  <c r="BS55" i="99" s="1"/>
  <c r="BO46" i="99"/>
  <c r="BP46" i="99" s="1"/>
  <c r="BQ46" i="99" s="1"/>
  <c r="BR46" i="99" s="1"/>
  <c r="BS46" i="99" s="1"/>
  <c r="BO90" i="99"/>
  <c r="BP90" i="99" s="1"/>
  <c r="BQ90" i="99" s="1"/>
  <c r="BR90" i="99" s="1"/>
  <c r="BS90" i="99" s="1"/>
  <c r="BO66" i="99"/>
  <c r="BP66" i="99" s="1"/>
  <c r="BQ66" i="99" s="1"/>
  <c r="BR66" i="99" s="1"/>
  <c r="BS66" i="99" s="1"/>
  <c r="BO56" i="99"/>
  <c r="BP56" i="99" s="1"/>
  <c r="BQ56" i="99" s="1"/>
  <c r="BR56" i="99" s="1"/>
  <c r="BS56" i="99" s="1"/>
  <c r="BO108" i="99"/>
  <c r="BP108" i="99" s="1"/>
  <c r="BQ108" i="99" s="1"/>
  <c r="BR108" i="99" s="1"/>
  <c r="BS108" i="99" s="1"/>
  <c r="BO82" i="99"/>
  <c r="BP82" i="99" s="1"/>
  <c r="BQ82" i="99" s="1"/>
  <c r="BR82" i="99" s="1"/>
  <c r="BS82" i="99" s="1"/>
  <c r="BO103" i="99"/>
  <c r="BP103" i="99" s="1"/>
  <c r="BQ103" i="99" s="1"/>
  <c r="BR103" i="99" s="1"/>
  <c r="BS103" i="99" s="1"/>
  <c r="BO84" i="99"/>
  <c r="BP84" i="99" s="1"/>
  <c r="BQ84" i="99" s="1"/>
  <c r="BR84" i="99" s="1"/>
  <c r="BS84" i="99" s="1"/>
  <c r="BO105" i="99"/>
  <c r="BP105" i="99" s="1"/>
  <c r="BQ105" i="99" s="1"/>
  <c r="BR105" i="99" s="1"/>
  <c r="BS105" i="99" s="1"/>
  <c r="BO100" i="99"/>
  <c r="BP100" i="99" s="1"/>
  <c r="BQ100" i="99" s="1"/>
  <c r="BR100" i="99" s="1"/>
  <c r="BS100" i="99" s="1"/>
  <c r="BO85" i="99"/>
  <c r="BP85" i="99" s="1"/>
  <c r="BQ85" i="99" s="1"/>
  <c r="BR85" i="99" s="1"/>
  <c r="BS85" i="99" s="1"/>
  <c r="BO23" i="99"/>
  <c r="BP23" i="99" s="1"/>
  <c r="BQ23" i="99" s="1"/>
  <c r="BR23" i="99" s="1"/>
  <c r="BS23" i="99" s="1"/>
  <c r="BO75" i="99"/>
  <c r="BP75" i="99" s="1"/>
  <c r="BQ75" i="99" s="1"/>
  <c r="BR75" i="99" s="1"/>
  <c r="BS75" i="99" s="1"/>
  <c r="BO29" i="99"/>
  <c r="BP29" i="99" s="1"/>
  <c r="BQ29" i="99" s="1"/>
  <c r="BR29" i="99" s="1"/>
  <c r="BS29" i="99" s="1"/>
  <c r="BO19" i="99"/>
  <c r="BP19" i="99" s="1"/>
  <c r="BQ19" i="99" s="1"/>
  <c r="BR19" i="99" s="1"/>
  <c r="BS19" i="99" s="1"/>
  <c r="BO36" i="99"/>
  <c r="BP36" i="99" s="1"/>
  <c r="BQ36" i="99" s="1"/>
  <c r="BR36" i="99" s="1"/>
  <c r="BS36" i="99" s="1"/>
  <c r="BO104" i="99"/>
  <c r="BP104" i="99" s="1"/>
  <c r="BQ104" i="99" s="1"/>
  <c r="BR104" i="99" s="1"/>
  <c r="BS104" i="99" s="1"/>
  <c r="BO95" i="99"/>
  <c r="BP95" i="99" s="1"/>
  <c r="BQ95" i="99" s="1"/>
  <c r="BR95" i="99" s="1"/>
  <c r="BS95" i="99" s="1"/>
  <c r="BO43" i="99"/>
  <c r="BP43" i="99" s="1"/>
  <c r="BQ43" i="99" s="1"/>
  <c r="BR43" i="99" s="1"/>
  <c r="BS43" i="99" s="1"/>
  <c r="BO33" i="99"/>
  <c r="BP33" i="99" s="1"/>
  <c r="BQ33" i="99" s="1"/>
  <c r="BR33" i="99" s="1"/>
  <c r="BS33" i="99" s="1"/>
  <c r="BO70" i="99"/>
  <c r="BP70" i="99" s="1"/>
  <c r="BQ70" i="99" s="1"/>
  <c r="BR70" i="99" s="1"/>
  <c r="BS70" i="99" s="1"/>
  <c r="BO79" i="99"/>
  <c r="BP79" i="99" s="1"/>
  <c r="BQ79" i="99" s="1"/>
  <c r="BR79" i="99" s="1"/>
  <c r="BS79" i="99" s="1"/>
  <c r="BO17" i="99"/>
  <c r="BP17" i="99" s="1"/>
  <c r="BQ17" i="99" s="1"/>
  <c r="BR17" i="99" s="1"/>
  <c r="BS17" i="99" s="1"/>
  <c r="BO106" i="99"/>
  <c r="BP106" i="99" s="1"/>
  <c r="BQ106" i="99" s="1"/>
  <c r="BR106" i="99" s="1"/>
  <c r="BS106" i="99" s="1"/>
  <c r="BO27" i="99"/>
  <c r="BP27" i="99" s="1"/>
  <c r="BQ27" i="99" s="1"/>
  <c r="BR27" i="99" s="1"/>
  <c r="BS27" i="99" s="1"/>
  <c r="BO78" i="99"/>
  <c r="BP78" i="99" s="1"/>
  <c r="BQ78" i="99" s="1"/>
  <c r="BR78" i="99" s="1"/>
  <c r="BS78" i="99" s="1"/>
  <c r="BO69" i="99"/>
  <c r="BP69" i="99" s="1"/>
  <c r="BQ69" i="99" s="1"/>
  <c r="BR69" i="99" s="1"/>
  <c r="BS69" i="99" s="1"/>
  <c r="BO59" i="99"/>
  <c r="BP59" i="99" s="1"/>
  <c r="BQ59" i="99" s="1"/>
  <c r="BR59" i="99" s="1"/>
  <c r="BS59" i="99" s="1"/>
  <c r="BO44" i="99"/>
  <c r="BP44" i="99" s="1"/>
  <c r="BQ44" i="99" s="1"/>
  <c r="BR44" i="99" s="1"/>
  <c r="BS44" i="99" s="1"/>
  <c r="BO71" i="99"/>
  <c r="BP71" i="99" s="1"/>
  <c r="BQ71" i="99" s="1"/>
  <c r="BR71" i="99" s="1"/>
  <c r="BS71" i="99" s="1"/>
  <c r="BO28" i="99"/>
  <c r="BP28" i="99" s="1"/>
  <c r="BQ28" i="99" s="1"/>
  <c r="BR28" i="99" s="1"/>
  <c r="BS28" i="99" s="1"/>
  <c r="BO60" i="99"/>
  <c r="BP60" i="99" s="1"/>
  <c r="BQ60" i="99" s="1"/>
  <c r="BR60" i="99" s="1"/>
  <c r="BS60" i="99" s="1"/>
  <c r="BO15" i="99"/>
  <c r="BP15" i="99" s="1"/>
  <c r="BQ15" i="99" s="1"/>
  <c r="BR15" i="99" s="1"/>
  <c r="BS15" i="99" s="1"/>
  <c r="BO11" i="99"/>
  <c r="BP11" i="99" s="1"/>
  <c r="BQ11" i="99" s="1"/>
  <c r="BR11" i="99" s="1"/>
  <c r="BS11" i="99" s="1"/>
  <c r="BO21" i="99"/>
  <c r="BP21" i="99" s="1"/>
  <c r="BQ21" i="99" s="1"/>
  <c r="BR21" i="99" s="1"/>
  <c r="BS21" i="99" s="1"/>
  <c r="BO102" i="99"/>
  <c r="BP102" i="99" s="1"/>
  <c r="BQ102" i="99" s="1"/>
  <c r="BR102" i="99" s="1"/>
  <c r="BS102" i="99" s="1"/>
  <c r="BO10" i="99"/>
  <c r="BP10" i="99" s="1"/>
  <c r="BQ10" i="99" s="1"/>
  <c r="BR10" i="99" s="1"/>
  <c r="BS10" i="99" s="1"/>
  <c r="BO74" i="99"/>
  <c r="BP74" i="99" s="1"/>
  <c r="BQ74" i="99" s="1"/>
  <c r="BR74" i="99" s="1"/>
  <c r="BS74" i="99" s="1"/>
  <c r="BO57" i="99"/>
  <c r="BP57" i="99" s="1"/>
  <c r="BQ57" i="99" s="1"/>
  <c r="BR57" i="99" s="1"/>
  <c r="BS57" i="99" s="1"/>
  <c r="BO54" i="99"/>
  <c r="BP54" i="99" s="1"/>
  <c r="BQ54" i="99" s="1"/>
  <c r="BR54" i="99" s="1"/>
  <c r="BS54" i="99" s="1"/>
  <c r="BO39" i="99"/>
  <c r="BP39" i="99" s="1"/>
  <c r="BQ39" i="99" s="1"/>
  <c r="BR39" i="99" s="1"/>
  <c r="BS39" i="99" s="1"/>
  <c r="BO18" i="99"/>
  <c r="BP18" i="99" s="1"/>
  <c r="BQ18" i="99" s="1"/>
  <c r="BR18" i="99" s="1"/>
  <c r="BS18" i="99" s="1"/>
  <c r="BO32" i="99"/>
  <c r="BP32" i="99" s="1"/>
  <c r="BQ32" i="99" s="1"/>
  <c r="BR32" i="99" s="1"/>
  <c r="BS32" i="99" s="1"/>
  <c r="BO98" i="99"/>
  <c r="BP98" i="99" s="1"/>
  <c r="BQ98" i="99" s="1"/>
  <c r="BR98" i="99" s="1"/>
  <c r="BS98" i="99" s="1"/>
  <c r="BO93" i="99"/>
  <c r="BP93" i="99" s="1"/>
  <c r="BQ93" i="99" s="1"/>
  <c r="BR93" i="99" s="1"/>
  <c r="BS93" i="99" s="1"/>
  <c r="BO101" i="99"/>
  <c r="BP101" i="99" s="1"/>
  <c r="BQ101" i="99" s="1"/>
  <c r="BR101" i="99" s="1"/>
  <c r="BS101" i="99" s="1"/>
  <c r="BO73" i="99"/>
  <c r="BP73" i="99" s="1"/>
  <c r="BQ73" i="99" s="1"/>
  <c r="BR73" i="99" s="1"/>
  <c r="BS73" i="99" s="1"/>
  <c r="BO68" i="99"/>
  <c r="BP68" i="99" s="1"/>
  <c r="BQ68" i="99" s="1"/>
  <c r="BR68" i="99" s="1"/>
  <c r="BS68" i="99" s="1"/>
  <c r="BO76" i="99"/>
  <c r="BP76" i="99" s="1"/>
  <c r="BQ76" i="99" s="1"/>
  <c r="BR76" i="99" s="1"/>
  <c r="BS76" i="99" s="1"/>
  <c r="BO53" i="99"/>
  <c r="BP53" i="99" s="1"/>
  <c r="BQ53" i="99" s="1"/>
  <c r="BR53" i="99" s="1"/>
  <c r="BS53" i="99" s="1"/>
  <c r="BO24" i="99"/>
  <c r="BP24" i="99" s="1"/>
  <c r="BQ24" i="99" s="1"/>
  <c r="BR24" i="99" s="1"/>
  <c r="BS24" i="99" s="1"/>
  <c r="BO77" i="99"/>
  <c r="BP77" i="99" s="1"/>
  <c r="BQ77" i="99" s="1"/>
  <c r="BR77" i="99" s="1"/>
  <c r="BS77" i="99" s="1"/>
  <c r="BO107" i="99"/>
  <c r="BP107" i="99" s="1"/>
  <c r="BQ107" i="99" s="1"/>
  <c r="BR107" i="99" s="1"/>
  <c r="BS107" i="99" s="1"/>
  <c r="BO62" i="99"/>
  <c r="BP62" i="99" s="1"/>
  <c r="BQ62" i="99" s="1"/>
  <c r="BR62" i="99" s="1"/>
  <c r="BS62" i="99" s="1"/>
  <c r="BO63" i="99"/>
  <c r="BP63" i="99" s="1"/>
  <c r="BQ63" i="99" s="1"/>
  <c r="BR63" i="99" s="1"/>
  <c r="BS63" i="99" s="1"/>
  <c r="BO49" i="99"/>
  <c r="BP49" i="99" s="1"/>
  <c r="BQ49" i="99" s="1"/>
  <c r="BR49" i="99" s="1"/>
  <c r="BS49" i="99" s="1"/>
  <c r="BO92" i="99"/>
  <c r="BP92" i="99" s="1"/>
  <c r="BQ92" i="99" s="1"/>
  <c r="BR92" i="99" s="1"/>
  <c r="BS92" i="99" s="1"/>
  <c r="BO31" i="99"/>
  <c r="BP31" i="99" s="1"/>
  <c r="BQ31" i="99" s="1"/>
  <c r="BR31" i="99" s="1"/>
  <c r="BS31" i="99" s="1"/>
  <c r="BO97" i="99"/>
  <c r="BP97" i="99" s="1"/>
  <c r="BQ97" i="99" s="1"/>
  <c r="BR97" i="99" s="1"/>
  <c r="BS97" i="99" s="1"/>
  <c r="BO99" i="99"/>
  <c r="BP99" i="99" s="1"/>
  <c r="BQ99" i="99" s="1"/>
  <c r="BR99" i="99" s="1"/>
  <c r="BS99" i="99" s="1"/>
  <c r="BO61" i="99"/>
  <c r="BP61" i="99" s="1"/>
  <c r="BQ61" i="99" s="1"/>
  <c r="BR61" i="99" s="1"/>
  <c r="BS61" i="99" s="1"/>
  <c r="BO35" i="99"/>
  <c r="BP35" i="99" s="1"/>
  <c r="BQ35" i="99" s="1"/>
  <c r="BR35" i="99" s="1"/>
  <c r="BS35" i="99" s="1"/>
  <c r="BO58" i="99"/>
  <c r="BP58" i="99" s="1"/>
  <c r="BQ58" i="99" s="1"/>
  <c r="BR58" i="99" s="1"/>
  <c r="BS58" i="99" s="1"/>
  <c r="BO81" i="99"/>
  <c r="BP81" i="99" s="1"/>
  <c r="BQ81" i="99" s="1"/>
  <c r="BR81" i="99" s="1"/>
  <c r="BS81" i="99" s="1"/>
  <c r="BO26" i="99"/>
  <c r="BP26" i="99" s="1"/>
  <c r="BQ26" i="99" s="1"/>
  <c r="BR26" i="99" s="1"/>
  <c r="BS26" i="99" s="1"/>
  <c r="BO72" i="99"/>
  <c r="BP72" i="99" s="1"/>
  <c r="BQ72" i="99" s="1"/>
  <c r="BR72" i="99" s="1"/>
  <c r="BS72" i="99" s="1"/>
  <c r="BO83" i="99"/>
  <c r="BP83" i="99" s="1"/>
  <c r="BQ83" i="99" s="1"/>
  <c r="BR83" i="99" s="1"/>
  <c r="BS83" i="99" s="1"/>
  <c r="BO91" i="99"/>
  <c r="BP91" i="99" s="1"/>
  <c r="BQ91" i="99" s="1"/>
  <c r="BR91" i="99" s="1"/>
  <c r="BS91" i="99" s="1"/>
  <c r="BO40" i="99"/>
  <c r="BP40" i="99" s="1"/>
  <c r="BQ40" i="99" s="1"/>
  <c r="BR40" i="99" s="1"/>
  <c r="BS40" i="99" s="1"/>
  <c r="BO86" i="99"/>
  <c r="BP86" i="99" s="1"/>
  <c r="BQ86" i="99" s="1"/>
  <c r="BR86" i="99" s="1"/>
  <c r="BS86" i="99" s="1"/>
  <c r="BO52" i="99"/>
  <c r="BP52" i="99" s="1"/>
  <c r="BQ52" i="99" s="1"/>
  <c r="BR52" i="99" s="1"/>
  <c r="BS52" i="99" s="1"/>
  <c r="BO67" i="99"/>
  <c r="BP67" i="99" s="1"/>
  <c r="BQ67" i="99" s="1"/>
  <c r="BR67" i="99" s="1"/>
  <c r="BS67" i="99" s="1"/>
  <c r="BO94" i="99"/>
  <c r="BP94" i="99" s="1"/>
  <c r="BQ94" i="99" s="1"/>
  <c r="BR94" i="99" s="1"/>
  <c r="BS94" i="99" s="1"/>
  <c r="BO38" i="99"/>
  <c r="BP38" i="99" s="1"/>
  <c r="BQ38" i="99" s="1"/>
  <c r="BR38" i="99" s="1"/>
  <c r="BS38" i="99" s="1"/>
  <c r="BO13" i="99"/>
  <c r="BP13" i="99" s="1"/>
  <c r="BQ13" i="99" s="1"/>
  <c r="BR13" i="99" s="1"/>
  <c r="BS13" i="99" s="1"/>
  <c r="BO22" i="99"/>
  <c r="BP22" i="99" s="1"/>
  <c r="BQ22" i="99" s="1"/>
  <c r="BR22" i="99" s="1"/>
  <c r="BS22" i="99" s="1"/>
  <c r="BO25" i="99"/>
  <c r="BP25" i="99" s="1"/>
  <c r="BQ25" i="99" s="1"/>
  <c r="BR25" i="99" s="1"/>
  <c r="BS25" i="99" s="1"/>
  <c r="BO51" i="99"/>
  <c r="BP51" i="99" s="1"/>
  <c r="BQ51" i="99" s="1"/>
  <c r="BR51" i="99" s="1"/>
  <c r="BS51" i="99" s="1"/>
  <c r="BO41" i="99"/>
  <c r="BP41" i="99" s="1"/>
  <c r="BQ41" i="99" s="1"/>
  <c r="BR41" i="99" s="1"/>
  <c r="BS41" i="99" s="1"/>
  <c r="BO65" i="99"/>
  <c r="BP65" i="99" s="1"/>
  <c r="BQ65" i="99" s="1"/>
  <c r="BR65" i="99" s="1"/>
  <c r="BS65" i="99" s="1"/>
  <c r="BO16" i="99"/>
  <c r="BP16" i="99" s="1"/>
  <c r="BQ16" i="99" s="1"/>
  <c r="BR16" i="99" s="1"/>
  <c r="BS16" i="99" s="1"/>
  <c r="BO34" i="99"/>
  <c r="BP34" i="99" s="1"/>
  <c r="BQ34" i="99" s="1"/>
  <c r="BR34" i="99" s="1"/>
  <c r="BS34" i="99" s="1"/>
  <c r="BO42" i="99"/>
  <c r="BP42" i="99" s="1"/>
  <c r="BQ42" i="99" s="1"/>
  <c r="BR42" i="99" s="1"/>
  <c r="BS42" i="99" s="1"/>
  <c r="BO14" i="99"/>
  <c r="BP14" i="99" s="1"/>
  <c r="BQ14" i="99" s="1"/>
  <c r="BR14" i="99" s="1"/>
  <c r="BS14" i="99" s="1"/>
  <c r="BO89" i="99"/>
  <c r="BP89" i="99" s="1"/>
  <c r="BQ89" i="99" s="1"/>
  <c r="BR89" i="99" s="1"/>
  <c r="BS89" i="99" s="1"/>
  <c r="BO45" i="99"/>
  <c r="BP45" i="99" s="1"/>
  <c r="BQ45" i="99" s="1"/>
  <c r="BR45" i="99" s="1"/>
  <c r="BS45" i="99" s="1"/>
  <c r="BO9" i="99"/>
  <c r="BP9" i="99" s="1"/>
  <c r="BQ9" i="99" s="1"/>
  <c r="BR9" i="99" s="1"/>
  <c r="AK108" i="99"/>
  <c r="AL108" i="99" s="1"/>
  <c r="AM108" i="99" s="1"/>
  <c r="AN108" i="99" s="1"/>
  <c r="AO108" i="99" s="1"/>
  <c r="AK101" i="99"/>
  <c r="AL101" i="99" s="1"/>
  <c r="AM101" i="99" s="1"/>
  <c r="AN101" i="99" s="1"/>
  <c r="AO101" i="99" s="1"/>
  <c r="AK35" i="99"/>
  <c r="AL35" i="99" s="1"/>
  <c r="AM35" i="99" s="1"/>
  <c r="AN35" i="99" s="1"/>
  <c r="AO35" i="99" s="1"/>
  <c r="AK52" i="99"/>
  <c r="AL52" i="99" s="1"/>
  <c r="AM52" i="99" s="1"/>
  <c r="AN52" i="99" s="1"/>
  <c r="AO52" i="99" s="1"/>
  <c r="AK62" i="99"/>
  <c r="AL62" i="99" s="1"/>
  <c r="AM62" i="99" s="1"/>
  <c r="AN62" i="99" s="1"/>
  <c r="AO62" i="99" s="1"/>
  <c r="AK14" i="99"/>
  <c r="AL14" i="99" s="1"/>
  <c r="AM14" i="99" s="1"/>
  <c r="AN14" i="99" s="1"/>
  <c r="AO14" i="99" s="1"/>
  <c r="AK11" i="99"/>
  <c r="AL11" i="99" s="1"/>
  <c r="AM11" i="99" s="1"/>
  <c r="AN11" i="99" s="1"/>
  <c r="AO11" i="99" s="1"/>
  <c r="AK74" i="99"/>
  <c r="AL74" i="99" s="1"/>
  <c r="AM74" i="99" s="1"/>
  <c r="AN74" i="99" s="1"/>
  <c r="AO74" i="99" s="1"/>
  <c r="AK98" i="99"/>
  <c r="AL98" i="99" s="1"/>
  <c r="AM98" i="99" s="1"/>
  <c r="AN98" i="99" s="1"/>
  <c r="AO98" i="99" s="1"/>
  <c r="AK89" i="99"/>
  <c r="AL89" i="99" s="1"/>
  <c r="AM89" i="99" s="1"/>
  <c r="AN89" i="99" s="1"/>
  <c r="AO89" i="99" s="1"/>
  <c r="AK96" i="99"/>
  <c r="AL96" i="99" s="1"/>
  <c r="AM96" i="99" s="1"/>
  <c r="AN96" i="99" s="1"/>
  <c r="AO96" i="99" s="1"/>
  <c r="AK95" i="99"/>
  <c r="AL95" i="99" s="1"/>
  <c r="AM95" i="99" s="1"/>
  <c r="AN95" i="99" s="1"/>
  <c r="AO95" i="99" s="1"/>
  <c r="AK33" i="99"/>
  <c r="AL33" i="99" s="1"/>
  <c r="AM33" i="99" s="1"/>
  <c r="AN33" i="99" s="1"/>
  <c r="AO33" i="99" s="1"/>
  <c r="AK59" i="99"/>
  <c r="AL59" i="99" s="1"/>
  <c r="AM59" i="99" s="1"/>
  <c r="AN59" i="99" s="1"/>
  <c r="AO59" i="99" s="1"/>
  <c r="AK69" i="99"/>
  <c r="AL69" i="99" s="1"/>
  <c r="AM69" i="99" s="1"/>
  <c r="AN69" i="99" s="1"/>
  <c r="AO69" i="99" s="1"/>
  <c r="AK13" i="99"/>
  <c r="AL13" i="99" s="1"/>
  <c r="AM13" i="99" s="1"/>
  <c r="AN13" i="99" s="1"/>
  <c r="AO13" i="99" s="1"/>
  <c r="AK29" i="99"/>
  <c r="AL29" i="99" s="1"/>
  <c r="AM29" i="99" s="1"/>
  <c r="AN29" i="99" s="1"/>
  <c r="AO29" i="99" s="1"/>
  <c r="AK16" i="99"/>
  <c r="AL16" i="99" s="1"/>
  <c r="AM16" i="99" s="1"/>
  <c r="AN16" i="99" s="1"/>
  <c r="AO16" i="99" s="1"/>
  <c r="AK90" i="99"/>
  <c r="AL90" i="99" s="1"/>
  <c r="AM90" i="99" s="1"/>
  <c r="AN90" i="99" s="1"/>
  <c r="AO90" i="99" s="1"/>
  <c r="AK56" i="99"/>
  <c r="AL56" i="99" s="1"/>
  <c r="AM56" i="99" s="1"/>
  <c r="AN56" i="99" s="1"/>
  <c r="AO56" i="99" s="1"/>
  <c r="AK88" i="99"/>
  <c r="AL88" i="99" s="1"/>
  <c r="AM88" i="99" s="1"/>
  <c r="AN88" i="99" s="1"/>
  <c r="AO88" i="99" s="1"/>
  <c r="AK43" i="99"/>
  <c r="AL43" i="99" s="1"/>
  <c r="AM43" i="99" s="1"/>
  <c r="AN43" i="99" s="1"/>
  <c r="AO43" i="99" s="1"/>
  <c r="AK100" i="99"/>
  <c r="AL100" i="99" s="1"/>
  <c r="AM100" i="99" s="1"/>
  <c r="AN100" i="99" s="1"/>
  <c r="AO100" i="99" s="1"/>
  <c r="AK73" i="99"/>
  <c r="AL73" i="99" s="1"/>
  <c r="AM73" i="99" s="1"/>
  <c r="AN73" i="99" s="1"/>
  <c r="AO73" i="99" s="1"/>
  <c r="AK68" i="99"/>
  <c r="AL68" i="99" s="1"/>
  <c r="AM68" i="99" s="1"/>
  <c r="AN68" i="99" s="1"/>
  <c r="AO68" i="99" s="1"/>
  <c r="AK10" i="99"/>
  <c r="AL10" i="99" s="1"/>
  <c r="AM10" i="99" s="1"/>
  <c r="AN10" i="99" s="1"/>
  <c r="AO10" i="99" s="1"/>
  <c r="AK26" i="99"/>
  <c r="AL26" i="99" s="1"/>
  <c r="AM26" i="99" s="1"/>
  <c r="AN26" i="99" s="1"/>
  <c r="AO26" i="99" s="1"/>
  <c r="AK55" i="99"/>
  <c r="AL55" i="99" s="1"/>
  <c r="AM55" i="99" s="1"/>
  <c r="AN55" i="99" s="1"/>
  <c r="AO55" i="99" s="1"/>
  <c r="AK93" i="99"/>
  <c r="AL93" i="99" s="1"/>
  <c r="AM93" i="99" s="1"/>
  <c r="AN93" i="99" s="1"/>
  <c r="AO93" i="99" s="1"/>
  <c r="AK107" i="99"/>
  <c r="AL107" i="99" s="1"/>
  <c r="AM107" i="99" s="1"/>
  <c r="AN107" i="99" s="1"/>
  <c r="AO107" i="99" s="1"/>
  <c r="AK27" i="99"/>
  <c r="AL27" i="99" s="1"/>
  <c r="AM27" i="99" s="1"/>
  <c r="AN27" i="99" s="1"/>
  <c r="AO27" i="99" s="1"/>
  <c r="AK92" i="99"/>
  <c r="AL92" i="99" s="1"/>
  <c r="AM92" i="99" s="1"/>
  <c r="AN92" i="99" s="1"/>
  <c r="AO92" i="99" s="1"/>
  <c r="AK31" i="99"/>
  <c r="AL31" i="99" s="1"/>
  <c r="AM31" i="99" s="1"/>
  <c r="AN31" i="99" s="1"/>
  <c r="AO31" i="99" s="1"/>
  <c r="AK63" i="99"/>
  <c r="AL63" i="99" s="1"/>
  <c r="AM63" i="99" s="1"/>
  <c r="AN63" i="99" s="1"/>
  <c r="AO63" i="99" s="1"/>
  <c r="AK49" i="99"/>
  <c r="AL49" i="99" s="1"/>
  <c r="AM49" i="99" s="1"/>
  <c r="AN49" i="99" s="1"/>
  <c r="AO49" i="99" s="1"/>
  <c r="AK38" i="99"/>
  <c r="AL38" i="99" s="1"/>
  <c r="AM38" i="99" s="1"/>
  <c r="AN38" i="99" s="1"/>
  <c r="AO38" i="99" s="1"/>
  <c r="AK77" i="99"/>
  <c r="AL77" i="99" s="1"/>
  <c r="AM77" i="99" s="1"/>
  <c r="AN77" i="99" s="1"/>
  <c r="AO77" i="99" s="1"/>
  <c r="AK79" i="99"/>
  <c r="AL79" i="99" s="1"/>
  <c r="AM79" i="99" s="1"/>
  <c r="AN79" i="99" s="1"/>
  <c r="AO79" i="99" s="1"/>
  <c r="AK75" i="99"/>
  <c r="AL75" i="99" s="1"/>
  <c r="AM75" i="99" s="1"/>
  <c r="AN75" i="99" s="1"/>
  <c r="AO75" i="99" s="1"/>
  <c r="AK85" i="99"/>
  <c r="AL85" i="99" s="1"/>
  <c r="AM85" i="99" s="1"/>
  <c r="AN85" i="99" s="1"/>
  <c r="AO85" i="99" s="1"/>
  <c r="AK19" i="99"/>
  <c r="AL19" i="99" s="1"/>
  <c r="AM19" i="99" s="1"/>
  <c r="AN19" i="99" s="1"/>
  <c r="AO19" i="99" s="1"/>
  <c r="AK50" i="99"/>
  <c r="AL50" i="99" s="1"/>
  <c r="AM50" i="99" s="1"/>
  <c r="AN50" i="99" s="1"/>
  <c r="AO50" i="99" s="1"/>
  <c r="AK28" i="99"/>
  <c r="AL28" i="99" s="1"/>
  <c r="AM28" i="99" s="1"/>
  <c r="AN28" i="99" s="1"/>
  <c r="AO28" i="99" s="1"/>
  <c r="AK51" i="99"/>
  <c r="AL51" i="99" s="1"/>
  <c r="AM51" i="99" s="1"/>
  <c r="AN51" i="99" s="1"/>
  <c r="AO51" i="99" s="1"/>
  <c r="AK102" i="99"/>
  <c r="AL102" i="99" s="1"/>
  <c r="AM102" i="99" s="1"/>
  <c r="AN102" i="99" s="1"/>
  <c r="AO102" i="99" s="1"/>
  <c r="AK97" i="99"/>
  <c r="AL97" i="99" s="1"/>
  <c r="AM97" i="99" s="1"/>
  <c r="AN97" i="99" s="1"/>
  <c r="AO97" i="99" s="1"/>
  <c r="AK61" i="99"/>
  <c r="AL61" i="99" s="1"/>
  <c r="AM61" i="99" s="1"/>
  <c r="AN61" i="99" s="1"/>
  <c r="AO61" i="99" s="1"/>
  <c r="AK70" i="99"/>
  <c r="AL70" i="99" s="1"/>
  <c r="AM70" i="99" s="1"/>
  <c r="AN70" i="99" s="1"/>
  <c r="AO70" i="99" s="1"/>
  <c r="AK87" i="99"/>
  <c r="AL87" i="99" s="1"/>
  <c r="AM87" i="99" s="1"/>
  <c r="AN87" i="99" s="1"/>
  <c r="AO87" i="99" s="1"/>
  <c r="AK17" i="99"/>
  <c r="AL17" i="99" s="1"/>
  <c r="AM17" i="99" s="1"/>
  <c r="AN17" i="99" s="1"/>
  <c r="AO17" i="99" s="1"/>
  <c r="AK39" i="99"/>
  <c r="AL39" i="99" s="1"/>
  <c r="AM39" i="99" s="1"/>
  <c r="AN39" i="99" s="1"/>
  <c r="AO39" i="99" s="1"/>
  <c r="AK34" i="99"/>
  <c r="AL34" i="99" s="1"/>
  <c r="AM34" i="99" s="1"/>
  <c r="AN34" i="99" s="1"/>
  <c r="AO34" i="99" s="1"/>
  <c r="AK41" i="99"/>
  <c r="AL41" i="99" s="1"/>
  <c r="AM41" i="99" s="1"/>
  <c r="AN41" i="99" s="1"/>
  <c r="AO41" i="99" s="1"/>
  <c r="AK30" i="99"/>
  <c r="AL30" i="99" s="1"/>
  <c r="AM30" i="99" s="1"/>
  <c r="AN30" i="99" s="1"/>
  <c r="AO30" i="99" s="1"/>
  <c r="AK80" i="99"/>
  <c r="AL80" i="99" s="1"/>
  <c r="AM80" i="99" s="1"/>
  <c r="AN80" i="99" s="1"/>
  <c r="AO80" i="99" s="1"/>
  <c r="AK66" i="99"/>
  <c r="AL66" i="99" s="1"/>
  <c r="AM66" i="99" s="1"/>
  <c r="AN66" i="99" s="1"/>
  <c r="AO66" i="99" s="1"/>
  <c r="AK76" i="99"/>
  <c r="AL76" i="99" s="1"/>
  <c r="AM76" i="99" s="1"/>
  <c r="AN76" i="99" s="1"/>
  <c r="AO76" i="99" s="1"/>
  <c r="AK32" i="99"/>
  <c r="AL32" i="99" s="1"/>
  <c r="AM32" i="99" s="1"/>
  <c r="AN32" i="99" s="1"/>
  <c r="AO32" i="99" s="1"/>
  <c r="AK12" i="99"/>
  <c r="AL12" i="99" s="1"/>
  <c r="AM12" i="99" s="1"/>
  <c r="AN12" i="99" s="1"/>
  <c r="AO12" i="99" s="1"/>
  <c r="AK9" i="99"/>
  <c r="AL9" i="99" s="1"/>
  <c r="AM9" i="99" s="1"/>
  <c r="AN9" i="99" s="1"/>
  <c r="AK104" i="99"/>
  <c r="AL104" i="99" s="1"/>
  <c r="AM104" i="99" s="1"/>
  <c r="AN104" i="99" s="1"/>
  <c r="AO104" i="99" s="1"/>
  <c r="AK99" i="99"/>
  <c r="AL99" i="99" s="1"/>
  <c r="AM99" i="99" s="1"/>
  <c r="AN99" i="99" s="1"/>
  <c r="AO99" i="99" s="1"/>
  <c r="AK64" i="99"/>
  <c r="AL64" i="99" s="1"/>
  <c r="AM64" i="99" s="1"/>
  <c r="AN64" i="99" s="1"/>
  <c r="AO64" i="99" s="1"/>
  <c r="AK53" i="99"/>
  <c r="AL53" i="99" s="1"/>
  <c r="AM53" i="99" s="1"/>
  <c r="AN53" i="99" s="1"/>
  <c r="AO53" i="99" s="1"/>
  <c r="AK86" i="99"/>
  <c r="AL86" i="99" s="1"/>
  <c r="AM86" i="99" s="1"/>
  <c r="AN86" i="99" s="1"/>
  <c r="AO86" i="99" s="1"/>
  <c r="AK46" i="99"/>
  <c r="AL46" i="99" s="1"/>
  <c r="AM46" i="99" s="1"/>
  <c r="AN46" i="99" s="1"/>
  <c r="AO46" i="99" s="1"/>
  <c r="AK18" i="99"/>
  <c r="AL18" i="99" s="1"/>
  <c r="AM18" i="99" s="1"/>
  <c r="AN18" i="99" s="1"/>
  <c r="AO18" i="99" s="1"/>
  <c r="AK36" i="99"/>
  <c r="AL36" i="99" s="1"/>
  <c r="AM36" i="99" s="1"/>
  <c r="AN36" i="99" s="1"/>
  <c r="AO36" i="99" s="1"/>
  <c r="AK24" i="99"/>
  <c r="AL24" i="99" s="1"/>
  <c r="AM24" i="99" s="1"/>
  <c r="AN24" i="99" s="1"/>
  <c r="AO24" i="99" s="1"/>
  <c r="AK58" i="99"/>
  <c r="AL58" i="99" s="1"/>
  <c r="AM58" i="99" s="1"/>
  <c r="AN58" i="99" s="1"/>
  <c r="AO58" i="99" s="1"/>
  <c r="AK65" i="99"/>
  <c r="AL65" i="99" s="1"/>
  <c r="AM65" i="99" s="1"/>
  <c r="AN65" i="99" s="1"/>
  <c r="AO65" i="99" s="1"/>
  <c r="AK23" i="99"/>
  <c r="AL23" i="99" s="1"/>
  <c r="AM23" i="99" s="1"/>
  <c r="AN23" i="99" s="1"/>
  <c r="AO23" i="99" s="1"/>
  <c r="AK81" i="99"/>
  <c r="AL81" i="99" s="1"/>
  <c r="AM81" i="99" s="1"/>
  <c r="AN81" i="99" s="1"/>
  <c r="AO81" i="99" s="1"/>
  <c r="AK83" i="99"/>
  <c r="AL83" i="99" s="1"/>
  <c r="AM83" i="99" s="1"/>
  <c r="AN83" i="99" s="1"/>
  <c r="AO83" i="99" s="1"/>
  <c r="AK91" i="99"/>
  <c r="AL91" i="99" s="1"/>
  <c r="AM91" i="99" s="1"/>
  <c r="AN91" i="99" s="1"/>
  <c r="AO91" i="99" s="1"/>
  <c r="AK57" i="99"/>
  <c r="AL57" i="99" s="1"/>
  <c r="AM57" i="99" s="1"/>
  <c r="AN57" i="99" s="1"/>
  <c r="AO57" i="99" s="1"/>
  <c r="AK54" i="99"/>
  <c r="AL54" i="99" s="1"/>
  <c r="AM54" i="99" s="1"/>
  <c r="AN54" i="99" s="1"/>
  <c r="AO54" i="99" s="1"/>
  <c r="AK78" i="99"/>
  <c r="AL78" i="99" s="1"/>
  <c r="AM78" i="99" s="1"/>
  <c r="AN78" i="99" s="1"/>
  <c r="AO78" i="99" s="1"/>
  <c r="AK22" i="99"/>
  <c r="AL22" i="99" s="1"/>
  <c r="AM22" i="99" s="1"/>
  <c r="AN22" i="99" s="1"/>
  <c r="AO22" i="99" s="1"/>
  <c r="AK20" i="99"/>
  <c r="AL20" i="99" s="1"/>
  <c r="AM20" i="99" s="1"/>
  <c r="AN20" i="99" s="1"/>
  <c r="AO20" i="99" s="1"/>
  <c r="AK42" i="99"/>
  <c r="AL42" i="99" s="1"/>
  <c r="AM42" i="99" s="1"/>
  <c r="AN42" i="99" s="1"/>
  <c r="AO42" i="99" s="1"/>
  <c r="AK60" i="99"/>
  <c r="AL60" i="99" s="1"/>
  <c r="AM60" i="99" s="1"/>
  <c r="AN60" i="99" s="1"/>
  <c r="AO60" i="99" s="1"/>
  <c r="AK94" i="99"/>
  <c r="AL94" i="99" s="1"/>
  <c r="AM94" i="99" s="1"/>
  <c r="AN94" i="99" s="1"/>
  <c r="AO94" i="99" s="1"/>
  <c r="AK67" i="99"/>
  <c r="AL67" i="99" s="1"/>
  <c r="AM67" i="99" s="1"/>
  <c r="AN67" i="99" s="1"/>
  <c r="AO67" i="99" s="1"/>
  <c r="AK84" i="99"/>
  <c r="AL84" i="99" s="1"/>
  <c r="AM84" i="99" s="1"/>
  <c r="AN84" i="99" s="1"/>
  <c r="AO84" i="99" s="1"/>
  <c r="AK40" i="99"/>
  <c r="AL40" i="99" s="1"/>
  <c r="AM40" i="99" s="1"/>
  <c r="AN40" i="99" s="1"/>
  <c r="AO40" i="99" s="1"/>
  <c r="AK106" i="99"/>
  <c r="AL106" i="99" s="1"/>
  <c r="AM106" i="99" s="1"/>
  <c r="AN106" i="99" s="1"/>
  <c r="AO106" i="99" s="1"/>
  <c r="AK71" i="99"/>
  <c r="AL71" i="99" s="1"/>
  <c r="AM71" i="99" s="1"/>
  <c r="AN71" i="99" s="1"/>
  <c r="AO71" i="99" s="1"/>
  <c r="AK48" i="99"/>
  <c r="AL48" i="99" s="1"/>
  <c r="AM48" i="99" s="1"/>
  <c r="AN48" i="99" s="1"/>
  <c r="AO48" i="99" s="1"/>
  <c r="AK21" i="99"/>
  <c r="AL21" i="99" s="1"/>
  <c r="AM21" i="99" s="1"/>
  <c r="AN21" i="99" s="1"/>
  <c r="AO21" i="99" s="1"/>
  <c r="AK72" i="99"/>
  <c r="AL72" i="99" s="1"/>
  <c r="AM72" i="99" s="1"/>
  <c r="AN72" i="99" s="1"/>
  <c r="AO72" i="99" s="1"/>
  <c r="AK25" i="99"/>
  <c r="AL25" i="99" s="1"/>
  <c r="AM25" i="99" s="1"/>
  <c r="AN25" i="99" s="1"/>
  <c r="AO25" i="99" s="1"/>
  <c r="AK47" i="99"/>
  <c r="AL47" i="99" s="1"/>
  <c r="AM47" i="99" s="1"/>
  <c r="AN47" i="99" s="1"/>
  <c r="AO47" i="99" s="1"/>
  <c r="AK105" i="99"/>
  <c r="AL105" i="99" s="1"/>
  <c r="AM105" i="99" s="1"/>
  <c r="AN105" i="99" s="1"/>
  <c r="AO105" i="99" s="1"/>
  <c r="AK82" i="99"/>
  <c r="AL82" i="99" s="1"/>
  <c r="AM82" i="99" s="1"/>
  <c r="AN82" i="99" s="1"/>
  <c r="AO82" i="99" s="1"/>
  <c r="AK45" i="99"/>
  <c r="AL45" i="99" s="1"/>
  <c r="AM45" i="99" s="1"/>
  <c r="AN45" i="99" s="1"/>
  <c r="AO45" i="99" s="1"/>
  <c r="AK37" i="99"/>
  <c r="AL37" i="99" s="1"/>
  <c r="AM37" i="99" s="1"/>
  <c r="AN37" i="99" s="1"/>
  <c r="AO37" i="99" s="1"/>
  <c r="AK15" i="99"/>
  <c r="AL15" i="99" s="1"/>
  <c r="AM15" i="99" s="1"/>
  <c r="AN15" i="99" s="1"/>
  <c r="AO15" i="99" s="1"/>
  <c r="AK103" i="99"/>
  <c r="AL103" i="99" s="1"/>
  <c r="AM103" i="99" s="1"/>
  <c r="AN103" i="99" s="1"/>
  <c r="AO103" i="99" s="1"/>
  <c r="AK44" i="99"/>
  <c r="AL44" i="99" s="1"/>
  <c r="AM44" i="99" s="1"/>
  <c r="AN44" i="99" s="1"/>
  <c r="AO44" i="99" s="1"/>
  <c r="G11" i="99"/>
  <c r="H11" i="99" s="1"/>
  <c r="I11" i="99" s="1"/>
  <c r="J11" i="99" s="1"/>
  <c r="K11" i="99" s="1"/>
  <c r="G60" i="99"/>
  <c r="H60" i="99" s="1"/>
  <c r="I60" i="99" s="1"/>
  <c r="J60" i="99" s="1"/>
  <c r="K60" i="99" s="1"/>
  <c r="G67" i="99"/>
  <c r="H67" i="99" s="1"/>
  <c r="I67" i="99" s="1"/>
  <c r="J67" i="99" s="1"/>
  <c r="K67" i="99" s="1"/>
  <c r="G98" i="99"/>
  <c r="H98" i="99" s="1"/>
  <c r="I98" i="99" s="1"/>
  <c r="J98" i="99" s="1"/>
  <c r="K98" i="99" s="1"/>
  <c r="G71" i="99"/>
  <c r="H71" i="99" s="1"/>
  <c r="I71" i="99" s="1"/>
  <c r="J71" i="99" s="1"/>
  <c r="K71" i="99" s="1"/>
  <c r="G103" i="99"/>
  <c r="H103" i="99" s="1"/>
  <c r="I103" i="99" s="1"/>
  <c r="J103" i="99" s="1"/>
  <c r="K103" i="99" s="1"/>
  <c r="G79" i="99"/>
  <c r="H79" i="99" s="1"/>
  <c r="I79" i="99" s="1"/>
  <c r="J79" i="99" s="1"/>
  <c r="K79" i="99" s="1"/>
  <c r="G105" i="99"/>
  <c r="H105" i="99" s="1"/>
  <c r="I105" i="99" s="1"/>
  <c r="J105" i="99" s="1"/>
  <c r="K105" i="99" s="1"/>
  <c r="G89" i="99"/>
  <c r="H89" i="99" s="1"/>
  <c r="I89" i="99" s="1"/>
  <c r="J89" i="99" s="1"/>
  <c r="K89" i="99" s="1"/>
  <c r="G72" i="99"/>
  <c r="H72" i="99" s="1"/>
  <c r="I72" i="99" s="1"/>
  <c r="J72" i="99" s="1"/>
  <c r="K72" i="99" s="1"/>
  <c r="G52" i="99"/>
  <c r="H52" i="99" s="1"/>
  <c r="I52" i="99" s="1"/>
  <c r="J52" i="99" s="1"/>
  <c r="K52" i="99" s="1"/>
  <c r="G108" i="99"/>
  <c r="H108" i="99" s="1"/>
  <c r="I108" i="99" s="1"/>
  <c r="J108" i="99" s="1"/>
  <c r="K108" i="99" s="1"/>
  <c r="G29" i="99"/>
  <c r="H29" i="99" s="1"/>
  <c r="I29" i="99" s="1"/>
  <c r="J29" i="99" s="1"/>
  <c r="K29" i="99" s="1"/>
  <c r="G94" i="99"/>
  <c r="H94" i="99" s="1"/>
  <c r="I94" i="99" s="1"/>
  <c r="J94" i="99" s="1"/>
  <c r="K94" i="99" s="1"/>
  <c r="G44" i="99"/>
  <c r="H44" i="99" s="1"/>
  <c r="I44" i="99" s="1"/>
  <c r="J44" i="99" s="1"/>
  <c r="K44" i="99" s="1"/>
  <c r="G92" i="99"/>
  <c r="H92" i="99" s="1"/>
  <c r="I92" i="99" s="1"/>
  <c r="J92" i="99" s="1"/>
  <c r="K92" i="99" s="1"/>
  <c r="G100" i="99"/>
  <c r="H100" i="99" s="1"/>
  <c r="I100" i="99" s="1"/>
  <c r="J100" i="99" s="1"/>
  <c r="K100" i="99" s="1"/>
  <c r="G68" i="99"/>
  <c r="H68" i="99" s="1"/>
  <c r="I68" i="99" s="1"/>
  <c r="J68" i="99" s="1"/>
  <c r="K68" i="99" s="1"/>
  <c r="G48" i="99"/>
  <c r="H48" i="99" s="1"/>
  <c r="I48" i="99" s="1"/>
  <c r="J48" i="99" s="1"/>
  <c r="K48" i="99" s="1"/>
  <c r="G55" i="99"/>
  <c r="H55" i="99" s="1"/>
  <c r="I55" i="99" s="1"/>
  <c r="J55" i="99" s="1"/>
  <c r="K55" i="99" s="1"/>
  <c r="G83" i="99"/>
  <c r="H83" i="99" s="1"/>
  <c r="I83" i="99" s="1"/>
  <c r="J83" i="99" s="1"/>
  <c r="K83" i="99" s="1"/>
  <c r="G27" i="99"/>
  <c r="H27" i="99" s="1"/>
  <c r="I27" i="99" s="1"/>
  <c r="J27" i="99" s="1"/>
  <c r="K27" i="99" s="1"/>
  <c r="G87" i="99"/>
  <c r="H87" i="99" s="1"/>
  <c r="I87" i="99" s="1"/>
  <c r="J87" i="99" s="1"/>
  <c r="K87" i="99" s="1"/>
  <c r="G77" i="99"/>
  <c r="H77" i="99" s="1"/>
  <c r="I77" i="99" s="1"/>
  <c r="J77" i="99" s="1"/>
  <c r="K77" i="99" s="1"/>
  <c r="G85" i="99"/>
  <c r="H85" i="99" s="1"/>
  <c r="I85" i="99" s="1"/>
  <c r="J85" i="99" s="1"/>
  <c r="K85" i="99" s="1"/>
  <c r="G40" i="99"/>
  <c r="H40" i="99" s="1"/>
  <c r="I40" i="99" s="1"/>
  <c r="J40" i="99" s="1"/>
  <c r="K40" i="99" s="1"/>
  <c r="G19" i="99"/>
  <c r="H19" i="99" s="1"/>
  <c r="I19" i="99" s="1"/>
  <c r="J19" i="99" s="1"/>
  <c r="K19" i="99" s="1"/>
  <c r="G50" i="99"/>
  <c r="H50" i="99" s="1"/>
  <c r="I50" i="99" s="1"/>
  <c r="J50" i="99" s="1"/>
  <c r="K50" i="99" s="1"/>
  <c r="G21" i="99"/>
  <c r="H21" i="99" s="1"/>
  <c r="I21" i="99" s="1"/>
  <c r="J21" i="99" s="1"/>
  <c r="K21" i="99" s="1"/>
  <c r="G97" i="99"/>
  <c r="H97" i="99" s="1"/>
  <c r="I97" i="99" s="1"/>
  <c r="J97" i="99" s="1"/>
  <c r="K97" i="99" s="1"/>
  <c r="G86" i="99"/>
  <c r="H86" i="99" s="1"/>
  <c r="I86" i="99" s="1"/>
  <c r="J86" i="99" s="1"/>
  <c r="K86" i="99" s="1"/>
  <c r="G49" i="99"/>
  <c r="H49" i="99" s="1"/>
  <c r="I49" i="99" s="1"/>
  <c r="J49" i="99" s="1"/>
  <c r="K49" i="99" s="1"/>
  <c r="G46" i="99"/>
  <c r="H46" i="99" s="1"/>
  <c r="I46" i="99" s="1"/>
  <c r="J46" i="99" s="1"/>
  <c r="K46" i="99" s="1"/>
  <c r="G69" i="99"/>
  <c r="H69" i="99" s="1"/>
  <c r="I69" i="99" s="1"/>
  <c r="J69" i="99" s="1"/>
  <c r="K69" i="99" s="1"/>
  <c r="G53" i="99"/>
  <c r="H53" i="99" s="1"/>
  <c r="I53" i="99" s="1"/>
  <c r="J53" i="99" s="1"/>
  <c r="K53" i="99" s="1"/>
  <c r="G35" i="99"/>
  <c r="H35" i="99" s="1"/>
  <c r="I35" i="99" s="1"/>
  <c r="J35" i="99" s="1"/>
  <c r="K35" i="99" s="1"/>
  <c r="G93" i="99"/>
  <c r="H93" i="99" s="1"/>
  <c r="I93" i="99" s="1"/>
  <c r="J93" i="99" s="1"/>
  <c r="K93" i="99" s="1"/>
  <c r="G61" i="99"/>
  <c r="H61" i="99" s="1"/>
  <c r="I61" i="99" s="1"/>
  <c r="J61" i="99" s="1"/>
  <c r="K61" i="99" s="1"/>
  <c r="G38" i="99"/>
  <c r="H38" i="99" s="1"/>
  <c r="I38" i="99" s="1"/>
  <c r="J38" i="99" s="1"/>
  <c r="K38" i="99" s="1"/>
  <c r="G39" i="99"/>
  <c r="H39" i="99" s="1"/>
  <c r="I39" i="99" s="1"/>
  <c r="J39" i="99" s="1"/>
  <c r="K39" i="99" s="1"/>
  <c r="G90" i="99"/>
  <c r="H90" i="99" s="1"/>
  <c r="I90" i="99" s="1"/>
  <c r="J90" i="99" s="1"/>
  <c r="K90" i="99" s="1"/>
  <c r="G47" i="99"/>
  <c r="H47" i="99" s="1"/>
  <c r="I47" i="99" s="1"/>
  <c r="J47" i="99" s="1"/>
  <c r="K47" i="99" s="1"/>
  <c r="G24" i="99"/>
  <c r="H24" i="99" s="1"/>
  <c r="I24" i="99" s="1"/>
  <c r="J24" i="99" s="1"/>
  <c r="K24" i="99" s="1"/>
  <c r="G45" i="99"/>
  <c r="H45" i="99" s="1"/>
  <c r="I45" i="99" s="1"/>
  <c r="J45" i="99" s="1"/>
  <c r="K45" i="99" s="1"/>
  <c r="G12" i="99"/>
  <c r="H12" i="99" s="1"/>
  <c r="I12" i="99" s="1"/>
  <c r="J12" i="99" s="1"/>
  <c r="K12" i="99" s="1"/>
  <c r="G51" i="99"/>
  <c r="H51" i="99" s="1"/>
  <c r="I51" i="99" s="1"/>
  <c r="J51" i="99" s="1"/>
  <c r="K51" i="99" s="1"/>
  <c r="G20" i="99"/>
  <c r="H20" i="99" s="1"/>
  <c r="I20" i="99" s="1"/>
  <c r="J20" i="99" s="1"/>
  <c r="K20" i="99" s="1"/>
  <c r="G73" i="99"/>
  <c r="H73" i="99" s="1"/>
  <c r="I73" i="99" s="1"/>
  <c r="J73" i="99" s="1"/>
  <c r="K73" i="99" s="1"/>
  <c r="G106" i="99"/>
  <c r="H106" i="99" s="1"/>
  <c r="I106" i="99" s="1"/>
  <c r="J106" i="99" s="1"/>
  <c r="K106" i="99" s="1"/>
  <c r="G33" i="99"/>
  <c r="H33" i="99" s="1"/>
  <c r="I33" i="99" s="1"/>
  <c r="J33" i="99" s="1"/>
  <c r="K33" i="99" s="1"/>
  <c r="G63" i="99"/>
  <c r="H63" i="99" s="1"/>
  <c r="I63" i="99" s="1"/>
  <c r="J63" i="99" s="1"/>
  <c r="K63" i="99" s="1"/>
  <c r="G82" i="99"/>
  <c r="H82" i="99" s="1"/>
  <c r="I82" i="99" s="1"/>
  <c r="J82" i="99" s="1"/>
  <c r="K82" i="99" s="1"/>
  <c r="G41" i="99"/>
  <c r="H41" i="99" s="1"/>
  <c r="I41" i="99" s="1"/>
  <c r="J41" i="99" s="1"/>
  <c r="K41" i="99" s="1"/>
  <c r="G10" i="99"/>
  <c r="H10" i="99" s="1"/>
  <c r="I10" i="99" s="1"/>
  <c r="J10" i="99" s="1"/>
  <c r="K10" i="99" s="1"/>
  <c r="G26" i="99"/>
  <c r="H26" i="99" s="1"/>
  <c r="I26" i="99" s="1"/>
  <c r="J26" i="99" s="1"/>
  <c r="K26" i="99" s="1"/>
  <c r="G62" i="99"/>
  <c r="H62" i="99" s="1"/>
  <c r="I62" i="99" s="1"/>
  <c r="J62" i="99" s="1"/>
  <c r="K62" i="99" s="1"/>
  <c r="G101" i="99"/>
  <c r="H101" i="99" s="1"/>
  <c r="I101" i="99" s="1"/>
  <c r="J101" i="99" s="1"/>
  <c r="K101" i="99" s="1"/>
  <c r="G22" i="99"/>
  <c r="H22" i="99" s="1"/>
  <c r="I22" i="99" s="1"/>
  <c r="J22" i="99" s="1"/>
  <c r="K22" i="99" s="1"/>
  <c r="G95" i="99"/>
  <c r="H95" i="99" s="1"/>
  <c r="I95" i="99" s="1"/>
  <c r="J95" i="99" s="1"/>
  <c r="K95" i="99" s="1"/>
  <c r="G75" i="99"/>
  <c r="H75" i="99" s="1"/>
  <c r="I75" i="99" s="1"/>
  <c r="J75" i="99" s="1"/>
  <c r="K75" i="99" s="1"/>
  <c r="G36" i="99"/>
  <c r="H36" i="99" s="1"/>
  <c r="I36" i="99" s="1"/>
  <c r="J36" i="99" s="1"/>
  <c r="K36" i="99" s="1"/>
  <c r="G30" i="99"/>
  <c r="H30" i="99" s="1"/>
  <c r="I30" i="99" s="1"/>
  <c r="J30" i="99" s="1"/>
  <c r="K30" i="99" s="1"/>
  <c r="G104" i="99"/>
  <c r="H104" i="99" s="1"/>
  <c r="I104" i="99" s="1"/>
  <c r="J104" i="99" s="1"/>
  <c r="K104" i="99" s="1"/>
  <c r="G57" i="99"/>
  <c r="H57" i="99" s="1"/>
  <c r="I57" i="99" s="1"/>
  <c r="J57" i="99" s="1"/>
  <c r="K57" i="99" s="1"/>
  <c r="G102" i="99"/>
  <c r="H102" i="99" s="1"/>
  <c r="I102" i="99" s="1"/>
  <c r="J102" i="99" s="1"/>
  <c r="K102" i="99" s="1"/>
  <c r="G17" i="99"/>
  <c r="H17" i="99" s="1"/>
  <c r="I17" i="99" s="1"/>
  <c r="J17" i="99" s="1"/>
  <c r="K17" i="99" s="1"/>
  <c r="G80" i="99"/>
  <c r="H80" i="99" s="1"/>
  <c r="I80" i="99" s="1"/>
  <c r="J80" i="99" s="1"/>
  <c r="K80" i="99" s="1"/>
  <c r="G70" i="99"/>
  <c r="H70" i="99" s="1"/>
  <c r="I70" i="99" s="1"/>
  <c r="J70" i="99" s="1"/>
  <c r="K70" i="99" s="1"/>
  <c r="G31" i="99"/>
  <c r="H31" i="99" s="1"/>
  <c r="I31" i="99" s="1"/>
  <c r="J31" i="99" s="1"/>
  <c r="K31" i="99" s="1"/>
  <c r="G14" i="99"/>
  <c r="H14" i="99" s="1"/>
  <c r="I14" i="99" s="1"/>
  <c r="J14" i="99" s="1"/>
  <c r="K14" i="99" s="1"/>
  <c r="G37" i="99"/>
  <c r="H37" i="99" s="1"/>
  <c r="I37" i="99" s="1"/>
  <c r="J37" i="99" s="1"/>
  <c r="K37" i="99" s="1"/>
  <c r="G34" i="99"/>
  <c r="H34" i="99" s="1"/>
  <c r="I34" i="99" s="1"/>
  <c r="J34" i="99" s="1"/>
  <c r="K34" i="99" s="1"/>
  <c r="G99" i="99"/>
  <c r="H99" i="99" s="1"/>
  <c r="I99" i="99" s="1"/>
  <c r="J99" i="99" s="1"/>
  <c r="K99" i="99" s="1"/>
  <c r="G78" i="99"/>
  <c r="H78" i="99" s="1"/>
  <c r="I78" i="99" s="1"/>
  <c r="J78" i="99" s="1"/>
  <c r="K78" i="99" s="1"/>
  <c r="G96" i="99"/>
  <c r="H96" i="99" s="1"/>
  <c r="I96" i="99" s="1"/>
  <c r="J96" i="99" s="1"/>
  <c r="K96" i="99" s="1"/>
  <c r="G59" i="99"/>
  <c r="H59" i="99" s="1"/>
  <c r="I59" i="99" s="1"/>
  <c r="J59" i="99" s="1"/>
  <c r="K59" i="99" s="1"/>
  <c r="G74" i="99"/>
  <c r="H74" i="99" s="1"/>
  <c r="I74" i="99" s="1"/>
  <c r="J74" i="99" s="1"/>
  <c r="K74" i="99" s="1"/>
  <c r="G64" i="99"/>
  <c r="H64" i="99" s="1"/>
  <c r="I64" i="99" s="1"/>
  <c r="J64" i="99" s="1"/>
  <c r="K64" i="99" s="1"/>
  <c r="G23" i="99"/>
  <c r="H23" i="99" s="1"/>
  <c r="I23" i="99" s="1"/>
  <c r="J23" i="99" s="1"/>
  <c r="K23" i="99" s="1"/>
  <c r="G13" i="99"/>
  <c r="H13" i="99" s="1"/>
  <c r="I13" i="99" s="1"/>
  <c r="J13" i="99" s="1"/>
  <c r="K13" i="99" s="1"/>
  <c r="G81" i="99"/>
  <c r="H81" i="99" s="1"/>
  <c r="I81" i="99" s="1"/>
  <c r="J81" i="99" s="1"/>
  <c r="K81" i="99" s="1"/>
  <c r="G65" i="99"/>
  <c r="H65" i="99" s="1"/>
  <c r="I65" i="99" s="1"/>
  <c r="J65" i="99" s="1"/>
  <c r="K65" i="99" s="1"/>
  <c r="G88" i="99"/>
  <c r="H88" i="99" s="1"/>
  <c r="I88" i="99" s="1"/>
  <c r="J88" i="99" s="1"/>
  <c r="K88" i="99" s="1"/>
  <c r="G43" i="99"/>
  <c r="H43" i="99" s="1"/>
  <c r="I43" i="99" s="1"/>
  <c r="J43" i="99" s="1"/>
  <c r="K43" i="99" s="1"/>
  <c r="G107" i="99"/>
  <c r="H107" i="99" s="1"/>
  <c r="I107" i="99" s="1"/>
  <c r="J107" i="99" s="1"/>
  <c r="K107" i="99" s="1"/>
  <c r="G54" i="99"/>
  <c r="H54" i="99" s="1"/>
  <c r="I54" i="99" s="1"/>
  <c r="J54" i="99" s="1"/>
  <c r="K54" i="99" s="1"/>
  <c r="G91" i="99"/>
  <c r="H91" i="99" s="1"/>
  <c r="I91" i="99" s="1"/>
  <c r="J91" i="99" s="1"/>
  <c r="K91" i="99" s="1"/>
  <c r="G58" i="99"/>
  <c r="H58" i="99" s="1"/>
  <c r="I58" i="99" s="1"/>
  <c r="J58" i="99" s="1"/>
  <c r="K58" i="99" s="1"/>
  <c r="G28" i="99"/>
  <c r="H28" i="99" s="1"/>
  <c r="I28" i="99" s="1"/>
  <c r="J28" i="99" s="1"/>
  <c r="K28" i="99" s="1"/>
  <c r="G25" i="99"/>
  <c r="H25" i="99" s="1"/>
  <c r="I25" i="99" s="1"/>
  <c r="J25" i="99" s="1"/>
  <c r="K25" i="99" s="1"/>
  <c r="G18" i="99"/>
  <c r="H18" i="99" s="1"/>
  <c r="I18" i="99" s="1"/>
  <c r="J18" i="99" s="1"/>
  <c r="K18" i="99" s="1"/>
  <c r="G76" i="99"/>
  <c r="H76" i="99" s="1"/>
  <c r="I76" i="99" s="1"/>
  <c r="J76" i="99" s="1"/>
  <c r="K76" i="99" s="1"/>
  <c r="G9" i="99"/>
  <c r="H9" i="99" s="1"/>
  <c r="I9" i="99" s="1"/>
  <c r="J9" i="99" s="1"/>
  <c r="G32" i="99"/>
  <c r="H32" i="99" s="1"/>
  <c r="I32" i="99" s="1"/>
  <c r="J32" i="99" s="1"/>
  <c r="K32" i="99" s="1"/>
  <c r="G66" i="99"/>
  <c r="H66" i="99" s="1"/>
  <c r="I66" i="99" s="1"/>
  <c r="J66" i="99" s="1"/>
  <c r="K66" i="99" s="1"/>
  <c r="G84" i="99"/>
  <c r="H84" i="99" s="1"/>
  <c r="I84" i="99" s="1"/>
  <c r="J84" i="99" s="1"/>
  <c r="K84" i="99" s="1"/>
  <c r="G56" i="99"/>
  <c r="H56" i="99" s="1"/>
  <c r="I56" i="99" s="1"/>
  <c r="J56" i="99" s="1"/>
  <c r="K56" i="99" s="1"/>
  <c r="G15" i="99"/>
  <c r="H15" i="99" s="1"/>
  <c r="I15" i="99" s="1"/>
  <c r="J15" i="99" s="1"/>
  <c r="K15" i="99" s="1"/>
  <c r="G16" i="99"/>
  <c r="H16" i="99" s="1"/>
  <c r="I16" i="99" s="1"/>
  <c r="J16" i="99" s="1"/>
  <c r="K16" i="99" s="1"/>
  <c r="G42" i="99"/>
  <c r="H42" i="99" s="1"/>
  <c r="I42" i="99" s="1"/>
  <c r="J42" i="99" s="1"/>
  <c r="K42" i="99" s="1"/>
  <c r="M86" i="99"/>
  <c r="N86" i="99" s="1"/>
  <c r="O86" i="99" s="1"/>
  <c r="P86" i="99" s="1"/>
  <c r="Q86" i="99" s="1"/>
  <c r="M96" i="99"/>
  <c r="N96" i="99" s="1"/>
  <c r="O96" i="99" s="1"/>
  <c r="P96" i="99" s="1"/>
  <c r="Q96" i="99" s="1"/>
  <c r="M91" i="99"/>
  <c r="N91" i="99" s="1"/>
  <c r="O91" i="99" s="1"/>
  <c r="P91" i="99" s="1"/>
  <c r="Q91" i="99" s="1"/>
  <c r="M84" i="99"/>
  <c r="N84" i="99" s="1"/>
  <c r="O84" i="99" s="1"/>
  <c r="P84" i="99" s="1"/>
  <c r="Q84" i="99" s="1"/>
  <c r="M39" i="99"/>
  <c r="N39" i="99" s="1"/>
  <c r="O39" i="99" s="1"/>
  <c r="P39" i="99" s="1"/>
  <c r="Q39" i="99" s="1"/>
  <c r="M73" i="99"/>
  <c r="N73" i="99" s="1"/>
  <c r="O73" i="99" s="1"/>
  <c r="P73" i="99" s="1"/>
  <c r="Q73" i="99" s="1"/>
  <c r="M29" i="99"/>
  <c r="N29" i="99" s="1"/>
  <c r="O29" i="99" s="1"/>
  <c r="P29" i="99" s="1"/>
  <c r="Q29" i="99" s="1"/>
  <c r="M88" i="99"/>
  <c r="N88" i="99" s="1"/>
  <c r="O88" i="99" s="1"/>
  <c r="P88" i="99" s="1"/>
  <c r="Q88" i="99" s="1"/>
  <c r="M81" i="99"/>
  <c r="N81" i="99" s="1"/>
  <c r="O81" i="99" s="1"/>
  <c r="P81" i="99" s="1"/>
  <c r="Q81" i="99" s="1"/>
  <c r="M41" i="99"/>
  <c r="N41" i="99" s="1"/>
  <c r="O41" i="99" s="1"/>
  <c r="P41" i="99" s="1"/>
  <c r="Q41" i="99" s="1"/>
  <c r="M50" i="99"/>
  <c r="N50" i="99" s="1"/>
  <c r="O50" i="99" s="1"/>
  <c r="P50" i="99" s="1"/>
  <c r="Q50" i="99" s="1"/>
  <c r="M97" i="99"/>
  <c r="N97" i="99" s="1"/>
  <c r="O97" i="99" s="1"/>
  <c r="P97" i="99" s="1"/>
  <c r="Q97" i="99" s="1"/>
  <c r="M44" i="99"/>
  <c r="N44" i="99" s="1"/>
  <c r="O44" i="99" s="1"/>
  <c r="P44" i="99" s="1"/>
  <c r="Q44" i="99" s="1"/>
  <c r="M63" i="99"/>
  <c r="N63" i="99" s="1"/>
  <c r="O63" i="99" s="1"/>
  <c r="P63" i="99" s="1"/>
  <c r="Q63" i="99" s="1"/>
  <c r="M52" i="99"/>
  <c r="N52" i="99" s="1"/>
  <c r="O52" i="99" s="1"/>
  <c r="P52" i="99" s="1"/>
  <c r="Q52" i="99" s="1"/>
  <c r="M25" i="99"/>
  <c r="N25" i="99" s="1"/>
  <c r="O25" i="99" s="1"/>
  <c r="P25" i="99" s="1"/>
  <c r="Q25" i="99" s="1"/>
  <c r="M23" i="99"/>
  <c r="N23" i="99" s="1"/>
  <c r="O23" i="99" s="1"/>
  <c r="P23" i="99" s="1"/>
  <c r="Q23" i="99" s="1"/>
  <c r="M71" i="99"/>
  <c r="N71" i="99" s="1"/>
  <c r="O71" i="99" s="1"/>
  <c r="P71" i="99" s="1"/>
  <c r="Q71" i="99" s="1"/>
  <c r="M70" i="99"/>
  <c r="N70" i="99" s="1"/>
  <c r="O70" i="99" s="1"/>
  <c r="P70" i="99" s="1"/>
  <c r="Q70" i="99" s="1"/>
  <c r="M49" i="99"/>
  <c r="N49" i="99" s="1"/>
  <c r="O49" i="99" s="1"/>
  <c r="P49" i="99" s="1"/>
  <c r="Q49" i="99" s="1"/>
  <c r="M45" i="99"/>
  <c r="N45" i="99" s="1"/>
  <c r="O45" i="99" s="1"/>
  <c r="P45" i="99" s="1"/>
  <c r="Q45" i="99" s="1"/>
  <c r="M68" i="99"/>
  <c r="N68" i="99" s="1"/>
  <c r="O68" i="99" s="1"/>
  <c r="P68" i="99" s="1"/>
  <c r="Q68" i="99" s="1"/>
  <c r="M43" i="99"/>
  <c r="N43" i="99" s="1"/>
  <c r="O43" i="99" s="1"/>
  <c r="P43" i="99" s="1"/>
  <c r="Q43" i="99" s="1"/>
  <c r="M30" i="99"/>
  <c r="N30" i="99" s="1"/>
  <c r="O30" i="99" s="1"/>
  <c r="P30" i="99" s="1"/>
  <c r="Q30" i="99" s="1"/>
  <c r="M33" i="99"/>
  <c r="N33" i="99" s="1"/>
  <c r="O33" i="99" s="1"/>
  <c r="P33" i="99" s="1"/>
  <c r="Q33" i="99" s="1"/>
  <c r="M77" i="99"/>
  <c r="N77" i="99" s="1"/>
  <c r="O77" i="99" s="1"/>
  <c r="P77" i="99" s="1"/>
  <c r="Q77" i="99" s="1"/>
  <c r="M69" i="99"/>
  <c r="N69" i="99" s="1"/>
  <c r="O69" i="99" s="1"/>
  <c r="P69" i="99" s="1"/>
  <c r="Q69" i="99" s="1"/>
  <c r="M11" i="99"/>
  <c r="N11" i="99" s="1"/>
  <c r="O11" i="99" s="1"/>
  <c r="P11" i="99" s="1"/>
  <c r="Q11" i="99" s="1"/>
  <c r="M56" i="99"/>
  <c r="N56" i="99" s="1"/>
  <c r="O56" i="99" s="1"/>
  <c r="P56" i="99" s="1"/>
  <c r="Q56" i="99" s="1"/>
  <c r="M31" i="99"/>
  <c r="N31" i="99" s="1"/>
  <c r="O31" i="99" s="1"/>
  <c r="P31" i="99" s="1"/>
  <c r="Q31" i="99" s="1"/>
  <c r="M85" i="99"/>
  <c r="N85" i="99" s="1"/>
  <c r="O85" i="99" s="1"/>
  <c r="P85" i="99" s="1"/>
  <c r="Q85" i="99" s="1"/>
  <c r="M89" i="99"/>
  <c r="N89" i="99" s="1"/>
  <c r="O89" i="99" s="1"/>
  <c r="P89" i="99" s="1"/>
  <c r="Q89" i="99" s="1"/>
  <c r="M107" i="99"/>
  <c r="N107" i="99" s="1"/>
  <c r="O107" i="99" s="1"/>
  <c r="P107" i="99" s="1"/>
  <c r="Q107" i="99" s="1"/>
  <c r="M103" i="99"/>
  <c r="N103" i="99" s="1"/>
  <c r="O103" i="99" s="1"/>
  <c r="P103" i="99" s="1"/>
  <c r="Q103" i="99" s="1"/>
  <c r="M35" i="99"/>
  <c r="N35" i="99" s="1"/>
  <c r="O35" i="99" s="1"/>
  <c r="P35" i="99" s="1"/>
  <c r="Q35" i="99" s="1"/>
  <c r="M26" i="99"/>
  <c r="N26" i="99" s="1"/>
  <c r="O26" i="99" s="1"/>
  <c r="P26" i="99" s="1"/>
  <c r="Q26" i="99" s="1"/>
  <c r="M42" i="99"/>
  <c r="N42" i="99" s="1"/>
  <c r="O42" i="99" s="1"/>
  <c r="P42" i="99" s="1"/>
  <c r="Q42" i="99" s="1"/>
  <c r="M78" i="99"/>
  <c r="N78" i="99" s="1"/>
  <c r="O78" i="99" s="1"/>
  <c r="P78" i="99" s="1"/>
  <c r="Q78" i="99" s="1"/>
  <c r="M76" i="99"/>
  <c r="N76" i="99" s="1"/>
  <c r="O76" i="99" s="1"/>
  <c r="P76" i="99" s="1"/>
  <c r="Q76" i="99" s="1"/>
  <c r="M10" i="99"/>
  <c r="N10" i="99" s="1"/>
  <c r="O10" i="99" s="1"/>
  <c r="P10" i="99" s="1"/>
  <c r="Q10" i="99" s="1"/>
  <c r="M34" i="99"/>
  <c r="N34" i="99" s="1"/>
  <c r="O34" i="99" s="1"/>
  <c r="P34" i="99" s="1"/>
  <c r="Q34" i="99" s="1"/>
  <c r="M38" i="99"/>
  <c r="N38" i="99" s="1"/>
  <c r="O38" i="99" s="1"/>
  <c r="P38" i="99" s="1"/>
  <c r="Q38" i="99" s="1"/>
  <c r="M48" i="99"/>
  <c r="N48" i="99" s="1"/>
  <c r="O48" i="99" s="1"/>
  <c r="P48" i="99" s="1"/>
  <c r="Q48" i="99" s="1"/>
  <c r="M36" i="99"/>
  <c r="N36" i="99" s="1"/>
  <c r="O36" i="99" s="1"/>
  <c r="P36" i="99" s="1"/>
  <c r="Q36" i="99" s="1"/>
  <c r="M101" i="99"/>
  <c r="N101" i="99" s="1"/>
  <c r="O101" i="99" s="1"/>
  <c r="P101" i="99" s="1"/>
  <c r="Q101" i="99" s="1"/>
  <c r="M74" i="99"/>
  <c r="N74" i="99" s="1"/>
  <c r="O74" i="99" s="1"/>
  <c r="P74" i="99" s="1"/>
  <c r="Q74" i="99" s="1"/>
  <c r="M14" i="99"/>
  <c r="N14" i="99" s="1"/>
  <c r="O14" i="99" s="1"/>
  <c r="P14" i="99" s="1"/>
  <c r="Q14" i="99" s="1"/>
  <c r="M27" i="99"/>
  <c r="N27" i="99" s="1"/>
  <c r="O27" i="99" s="1"/>
  <c r="P27" i="99" s="1"/>
  <c r="Q27" i="99" s="1"/>
  <c r="M15" i="99"/>
  <c r="N15" i="99" s="1"/>
  <c r="O15" i="99" s="1"/>
  <c r="P15" i="99" s="1"/>
  <c r="Q15" i="99" s="1"/>
  <c r="M47" i="99"/>
  <c r="N47" i="99" s="1"/>
  <c r="O47" i="99" s="1"/>
  <c r="P47" i="99" s="1"/>
  <c r="Q47" i="99" s="1"/>
  <c r="M24" i="99"/>
  <c r="N24" i="99" s="1"/>
  <c r="O24" i="99" s="1"/>
  <c r="P24" i="99" s="1"/>
  <c r="Q24" i="99" s="1"/>
  <c r="M53" i="99"/>
  <c r="N53" i="99" s="1"/>
  <c r="O53" i="99" s="1"/>
  <c r="P53" i="99" s="1"/>
  <c r="Q53" i="99" s="1"/>
  <c r="M28" i="99"/>
  <c r="N28" i="99" s="1"/>
  <c r="O28" i="99" s="1"/>
  <c r="P28" i="99" s="1"/>
  <c r="Q28" i="99" s="1"/>
  <c r="M54" i="99"/>
  <c r="N54" i="99" s="1"/>
  <c r="O54" i="99" s="1"/>
  <c r="P54" i="99" s="1"/>
  <c r="Q54" i="99" s="1"/>
  <c r="M21" i="99"/>
  <c r="N21" i="99" s="1"/>
  <c r="O21" i="99" s="1"/>
  <c r="P21" i="99" s="1"/>
  <c r="Q21" i="99" s="1"/>
  <c r="M20" i="99"/>
  <c r="N20" i="99" s="1"/>
  <c r="O20" i="99" s="1"/>
  <c r="P20" i="99" s="1"/>
  <c r="Q20" i="99" s="1"/>
  <c r="M72" i="99"/>
  <c r="N72" i="99" s="1"/>
  <c r="O72" i="99" s="1"/>
  <c r="P72" i="99" s="1"/>
  <c r="Q72" i="99" s="1"/>
  <c r="M100" i="99"/>
  <c r="N100" i="99" s="1"/>
  <c r="O100" i="99" s="1"/>
  <c r="P100" i="99" s="1"/>
  <c r="Q100" i="99" s="1"/>
  <c r="M79" i="99"/>
  <c r="N79" i="99" s="1"/>
  <c r="O79" i="99" s="1"/>
  <c r="P79" i="99" s="1"/>
  <c r="Q79" i="99" s="1"/>
  <c r="M64" i="99"/>
  <c r="N64" i="99" s="1"/>
  <c r="O64" i="99" s="1"/>
  <c r="P64" i="99" s="1"/>
  <c r="Q64" i="99" s="1"/>
  <c r="M18" i="99"/>
  <c r="N18" i="99" s="1"/>
  <c r="O18" i="99" s="1"/>
  <c r="P18" i="99" s="1"/>
  <c r="Q18" i="99" s="1"/>
  <c r="M57" i="99"/>
  <c r="N57" i="99" s="1"/>
  <c r="O57" i="99" s="1"/>
  <c r="P57" i="99" s="1"/>
  <c r="Q57" i="99" s="1"/>
  <c r="M12" i="99"/>
  <c r="N12" i="99" s="1"/>
  <c r="O12" i="99" s="1"/>
  <c r="P12" i="99" s="1"/>
  <c r="Q12" i="99" s="1"/>
  <c r="M16" i="99"/>
  <c r="N16" i="99" s="1"/>
  <c r="O16" i="99" s="1"/>
  <c r="P16" i="99" s="1"/>
  <c r="Q16" i="99" s="1"/>
  <c r="M55" i="99"/>
  <c r="N55" i="99" s="1"/>
  <c r="O55" i="99" s="1"/>
  <c r="P55" i="99" s="1"/>
  <c r="Q55" i="99" s="1"/>
  <c r="M93" i="99"/>
  <c r="N93" i="99" s="1"/>
  <c r="O93" i="99" s="1"/>
  <c r="P93" i="99" s="1"/>
  <c r="Q93" i="99" s="1"/>
  <c r="M94" i="99"/>
  <c r="N94" i="99" s="1"/>
  <c r="O94" i="99" s="1"/>
  <c r="P94" i="99" s="1"/>
  <c r="Q94" i="99" s="1"/>
  <c r="M13" i="99"/>
  <c r="N13" i="99" s="1"/>
  <c r="O13" i="99" s="1"/>
  <c r="P13" i="99" s="1"/>
  <c r="Q13" i="99" s="1"/>
  <c r="M67" i="99"/>
  <c r="N67" i="99" s="1"/>
  <c r="O67" i="99" s="1"/>
  <c r="P67" i="99" s="1"/>
  <c r="Q67" i="99" s="1"/>
  <c r="M17" i="99"/>
  <c r="N17" i="99" s="1"/>
  <c r="O17" i="99" s="1"/>
  <c r="P17" i="99" s="1"/>
  <c r="Q17" i="99" s="1"/>
  <c r="M19" i="99"/>
  <c r="N19" i="99" s="1"/>
  <c r="O19" i="99" s="1"/>
  <c r="P19" i="99" s="1"/>
  <c r="Q19" i="99" s="1"/>
  <c r="M59" i="99"/>
  <c r="N59" i="99" s="1"/>
  <c r="O59" i="99" s="1"/>
  <c r="P59" i="99" s="1"/>
  <c r="Q59" i="99" s="1"/>
  <c r="M37" i="99"/>
  <c r="N37" i="99" s="1"/>
  <c r="O37" i="99" s="1"/>
  <c r="P37" i="99" s="1"/>
  <c r="Q37" i="99" s="1"/>
  <c r="M65" i="99"/>
  <c r="N65" i="99" s="1"/>
  <c r="O65" i="99" s="1"/>
  <c r="P65" i="99" s="1"/>
  <c r="Q65" i="99" s="1"/>
  <c r="M82" i="99"/>
  <c r="N82" i="99" s="1"/>
  <c r="O82" i="99" s="1"/>
  <c r="P82" i="99" s="1"/>
  <c r="Q82" i="99" s="1"/>
  <c r="M80" i="99"/>
  <c r="N80" i="99" s="1"/>
  <c r="O80" i="99" s="1"/>
  <c r="P80" i="99" s="1"/>
  <c r="Q80" i="99" s="1"/>
  <c r="M104" i="99"/>
  <c r="N104" i="99" s="1"/>
  <c r="O104" i="99" s="1"/>
  <c r="P104" i="99" s="1"/>
  <c r="Q104" i="99" s="1"/>
  <c r="M98" i="99"/>
  <c r="N98" i="99" s="1"/>
  <c r="O98" i="99" s="1"/>
  <c r="P98" i="99" s="1"/>
  <c r="Q98" i="99" s="1"/>
  <c r="M105" i="99"/>
  <c r="N105" i="99" s="1"/>
  <c r="O105" i="99" s="1"/>
  <c r="P105" i="99" s="1"/>
  <c r="Q105" i="99" s="1"/>
  <c r="M92" i="99"/>
  <c r="N92" i="99" s="1"/>
  <c r="O92" i="99" s="1"/>
  <c r="P92" i="99" s="1"/>
  <c r="Q92" i="99" s="1"/>
  <c r="M62" i="99"/>
  <c r="N62" i="99" s="1"/>
  <c r="O62" i="99" s="1"/>
  <c r="P62" i="99" s="1"/>
  <c r="Q62" i="99" s="1"/>
  <c r="M46" i="99"/>
  <c r="N46" i="99" s="1"/>
  <c r="O46" i="99" s="1"/>
  <c r="P46" i="99" s="1"/>
  <c r="Q46" i="99" s="1"/>
  <c r="M22" i="99"/>
  <c r="N22" i="99" s="1"/>
  <c r="O22" i="99" s="1"/>
  <c r="P22" i="99" s="1"/>
  <c r="Q22" i="99" s="1"/>
  <c r="M32" i="99"/>
  <c r="N32" i="99" s="1"/>
  <c r="O32" i="99" s="1"/>
  <c r="P32" i="99" s="1"/>
  <c r="Q32" i="99" s="1"/>
  <c r="M40" i="99"/>
  <c r="N40" i="99" s="1"/>
  <c r="O40" i="99" s="1"/>
  <c r="P40" i="99" s="1"/>
  <c r="Q40" i="99" s="1"/>
  <c r="M66" i="99"/>
  <c r="N66" i="99" s="1"/>
  <c r="O66" i="99" s="1"/>
  <c r="P66" i="99" s="1"/>
  <c r="Q66" i="99" s="1"/>
  <c r="M60" i="99"/>
  <c r="N60" i="99" s="1"/>
  <c r="O60" i="99" s="1"/>
  <c r="P60" i="99" s="1"/>
  <c r="Q60" i="99" s="1"/>
  <c r="M83" i="99"/>
  <c r="N83" i="99" s="1"/>
  <c r="O83" i="99" s="1"/>
  <c r="P83" i="99" s="1"/>
  <c r="Q83" i="99" s="1"/>
  <c r="M102" i="99"/>
  <c r="N102" i="99" s="1"/>
  <c r="O102" i="99" s="1"/>
  <c r="P102" i="99" s="1"/>
  <c r="Q102" i="99" s="1"/>
  <c r="M75" i="99"/>
  <c r="N75" i="99" s="1"/>
  <c r="O75" i="99" s="1"/>
  <c r="P75" i="99" s="1"/>
  <c r="Q75" i="99" s="1"/>
  <c r="M9" i="99"/>
  <c r="N9" i="99" s="1"/>
  <c r="O9" i="99" s="1"/>
  <c r="P9" i="99" s="1"/>
  <c r="M61" i="99"/>
  <c r="N61" i="99" s="1"/>
  <c r="O61" i="99" s="1"/>
  <c r="P61" i="99" s="1"/>
  <c r="Q61" i="99" s="1"/>
  <c r="M108" i="99"/>
  <c r="N108" i="99" s="1"/>
  <c r="O108" i="99" s="1"/>
  <c r="P108" i="99" s="1"/>
  <c r="Q108" i="99" s="1"/>
  <c r="M87" i="99"/>
  <c r="N87" i="99" s="1"/>
  <c r="O87" i="99" s="1"/>
  <c r="P87" i="99" s="1"/>
  <c r="Q87" i="99" s="1"/>
  <c r="M51" i="99"/>
  <c r="N51" i="99" s="1"/>
  <c r="O51" i="99" s="1"/>
  <c r="P51" i="99" s="1"/>
  <c r="Q51" i="99" s="1"/>
  <c r="M106" i="99"/>
  <c r="N106" i="99" s="1"/>
  <c r="O106" i="99" s="1"/>
  <c r="P106" i="99" s="1"/>
  <c r="Q106" i="99" s="1"/>
  <c r="M95" i="99"/>
  <c r="N95" i="99" s="1"/>
  <c r="O95" i="99" s="1"/>
  <c r="P95" i="99" s="1"/>
  <c r="Q95" i="99" s="1"/>
  <c r="M90" i="99"/>
  <c r="N90" i="99" s="1"/>
  <c r="O90" i="99" s="1"/>
  <c r="P90" i="99" s="1"/>
  <c r="Q90" i="99" s="1"/>
  <c r="M99" i="99"/>
  <c r="N99" i="99" s="1"/>
  <c r="O99" i="99" s="1"/>
  <c r="P99" i="99" s="1"/>
  <c r="Q99" i="99" s="1"/>
  <c r="M58" i="99"/>
  <c r="N58" i="99" s="1"/>
  <c r="O58" i="99" s="1"/>
  <c r="P58" i="99" s="1"/>
  <c r="Q58" i="99" s="1"/>
  <c r="AW16" i="99"/>
  <c r="AX16" i="99" s="1"/>
  <c r="AY16" i="99" s="1"/>
  <c r="AZ16" i="99" s="1"/>
  <c r="BA16" i="99" s="1"/>
  <c r="AW63" i="99"/>
  <c r="AX63" i="99" s="1"/>
  <c r="AY63" i="99" s="1"/>
  <c r="AZ63" i="99" s="1"/>
  <c r="BA63" i="99" s="1"/>
  <c r="AW94" i="99"/>
  <c r="AX94" i="99" s="1"/>
  <c r="AY94" i="99" s="1"/>
  <c r="AZ94" i="99" s="1"/>
  <c r="BA94" i="99" s="1"/>
  <c r="AW56" i="99"/>
  <c r="AX56" i="99" s="1"/>
  <c r="AY56" i="99" s="1"/>
  <c r="AZ56" i="99" s="1"/>
  <c r="BA56" i="99" s="1"/>
  <c r="AW14" i="99"/>
  <c r="AX14" i="99" s="1"/>
  <c r="AY14" i="99" s="1"/>
  <c r="AZ14" i="99" s="1"/>
  <c r="BA14" i="99" s="1"/>
  <c r="AW98" i="99"/>
  <c r="AX98" i="99" s="1"/>
  <c r="AY98" i="99" s="1"/>
  <c r="AZ98" i="99" s="1"/>
  <c r="BA98" i="99" s="1"/>
  <c r="AW103" i="99"/>
  <c r="AX103" i="99" s="1"/>
  <c r="AY103" i="99" s="1"/>
  <c r="AZ103" i="99" s="1"/>
  <c r="BA103" i="99" s="1"/>
  <c r="AW107" i="99"/>
  <c r="AX107" i="99" s="1"/>
  <c r="AY107" i="99" s="1"/>
  <c r="AZ107" i="99" s="1"/>
  <c r="BA107" i="99" s="1"/>
  <c r="AW90" i="99"/>
  <c r="AX90" i="99" s="1"/>
  <c r="AY90" i="99" s="1"/>
  <c r="AZ90" i="99" s="1"/>
  <c r="BA90" i="99" s="1"/>
  <c r="AW86" i="99"/>
  <c r="AX86" i="99" s="1"/>
  <c r="AY86" i="99" s="1"/>
  <c r="AZ86" i="99" s="1"/>
  <c r="BA86" i="99" s="1"/>
  <c r="AW34" i="99"/>
  <c r="AX34" i="99" s="1"/>
  <c r="AY34" i="99" s="1"/>
  <c r="AZ34" i="99" s="1"/>
  <c r="BA34" i="99" s="1"/>
  <c r="AW46" i="99"/>
  <c r="AX46" i="99" s="1"/>
  <c r="AY46" i="99" s="1"/>
  <c r="AZ46" i="99" s="1"/>
  <c r="BA46" i="99" s="1"/>
  <c r="AW54" i="99"/>
  <c r="AX54" i="99" s="1"/>
  <c r="AY54" i="99" s="1"/>
  <c r="AZ54" i="99" s="1"/>
  <c r="BA54" i="99" s="1"/>
  <c r="AW96" i="99"/>
  <c r="AX96" i="99" s="1"/>
  <c r="AY96" i="99" s="1"/>
  <c r="AZ96" i="99" s="1"/>
  <c r="BA96" i="99" s="1"/>
  <c r="AW108" i="99"/>
  <c r="AX108" i="99" s="1"/>
  <c r="AY108" i="99" s="1"/>
  <c r="AZ108" i="99" s="1"/>
  <c r="BA108" i="99" s="1"/>
  <c r="AW95" i="99"/>
  <c r="AX95" i="99" s="1"/>
  <c r="AY95" i="99" s="1"/>
  <c r="AZ95" i="99" s="1"/>
  <c r="BA95" i="99" s="1"/>
  <c r="AW57" i="99"/>
  <c r="AX57" i="99" s="1"/>
  <c r="AY57" i="99" s="1"/>
  <c r="AZ57" i="99" s="1"/>
  <c r="BA57" i="99" s="1"/>
  <c r="AW97" i="99"/>
  <c r="AX97" i="99" s="1"/>
  <c r="AY97" i="99" s="1"/>
  <c r="AZ97" i="99" s="1"/>
  <c r="BA97" i="99" s="1"/>
  <c r="AW27" i="99"/>
  <c r="AX27" i="99" s="1"/>
  <c r="AY27" i="99" s="1"/>
  <c r="AZ27" i="99" s="1"/>
  <c r="BA27" i="99" s="1"/>
  <c r="AW64" i="99"/>
  <c r="AX64" i="99" s="1"/>
  <c r="AY64" i="99" s="1"/>
  <c r="AZ64" i="99" s="1"/>
  <c r="BA64" i="99" s="1"/>
  <c r="AW52" i="99"/>
  <c r="AX52" i="99" s="1"/>
  <c r="AY52" i="99" s="1"/>
  <c r="AZ52" i="99" s="1"/>
  <c r="BA52" i="99" s="1"/>
  <c r="AW26" i="99"/>
  <c r="AX26" i="99" s="1"/>
  <c r="AY26" i="99" s="1"/>
  <c r="AZ26" i="99" s="1"/>
  <c r="BA26" i="99" s="1"/>
  <c r="AW76" i="99"/>
  <c r="AX76" i="99" s="1"/>
  <c r="AY76" i="99" s="1"/>
  <c r="AZ76" i="99" s="1"/>
  <c r="BA76" i="99" s="1"/>
  <c r="AW51" i="99"/>
  <c r="AX51" i="99" s="1"/>
  <c r="AY51" i="99" s="1"/>
  <c r="AZ51" i="99" s="1"/>
  <c r="BA51" i="99" s="1"/>
  <c r="AW20" i="99"/>
  <c r="AX20" i="99" s="1"/>
  <c r="AY20" i="99" s="1"/>
  <c r="AZ20" i="99" s="1"/>
  <c r="BA20" i="99" s="1"/>
  <c r="AW82" i="99"/>
  <c r="AX82" i="99" s="1"/>
  <c r="AY82" i="99" s="1"/>
  <c r="AZ82" i="99" s="1"/>
  <c r="BA82" i="99" s="1"/>
  <c r="AW84" i="99"/>
  <c r="AX84" i="99" s="1"/>
  <c r="AY84" i="99" s="1"/>
  <c r="AZ84" i="99" s="1"/>
  <c r="BA84" i="99" s="1"/>
  <c r="AW91" i="99"/>
  <c r="AX91" i="99" s="1"/>
  <c r="AY91" i="99" s="1"/>
  <c r="AZ91" i="99" s="1"/>
  <c r="BA91" i="99" s="1"/>
  <c r="AW70" i="99"/>
  <c r="AX70" i="99" s="1"/>
  <c r="AY70" i="99" s="1"/>
  <c r="AZ70" i="99" s="1"/>
  <c r="BA70" i="99" s="1"/>
  <c r="AW40" i="99"/>
  <c r="AX40" i="99" s="1"/>
  <c r="AY40" i="99" s="1"/>
  <c r="AZ40" i="99" s="1"/>
  <c r="BA40" i="99" s="1"/>
  <c r="AW19" i="99"/>
  <c r="AX19" i="99" s="1"/>
  <c r="AY19" i="99" s="1"/>
  <c r="AZ19" i="99" s="1"/>
  <c r="BA19" i="99" s="1"/>
  <c r="AW79" i="99"/>
  <c r="AX79" i="99" s="1"/>
  <c r="AY79" i="99" s="1"/>
  <c r="AZ79" i="99" s="1"/>
  <c r="BA79" i="99" s="1"/>
  <c r="AW17" i="99"/>
  <c r="AX17" i="99" s="1"/>
  <c r="AY17" i="99" s="1"/>
  <c r="AZ17" i="99" s="1"/>
  <c r="BA17" i="99" s="1"/>
  <c r="AW83" i="99"/>
  <c r="AX83" i="99" s="1"/>
  <c r="AY83" i="99" s="1"/>
  <c r="AZ83" i="99" s="1"/>
  <c r="BA83" i="99" s="1"/>
  <c r="AW43" i="99"/>
  <c r="AX43" i="99" s="1"/>
  <c r="AY43" i="99" s="1"/>
  <c r="AZ43" i="99" s="1"/>
  <c r="BA43" i="99" s="1"/>
  <c r="AW38" i="99"/>
  <c r="AX38" i="99" s="1"/>
  <c r="AY38" i="99" s="1"/>
  <c r="AZ38" i="99" s="1"/>
  <c r="BA38" i="99" s="1"/>
  <c r="AW30" i="99"/>
  <c r="AX30" i="99" s="1"/>
  <c r="AY30" i="99" s="1"/>
  <c r="AZ30" i="99" s="1"/>
  <c r="BA30" i="99" s="1"/>
  <c r="AW62" i="99"/>
  <c r="AX62" i="99" s="1"/>
  <c r="AY62" i="99" s="1"/>
  <c r="AZ62" i="99" s="1"/>
  <c r="BA62" i="99" s="1"/>
  <c r="AW81" i="99"/>
  <c r="AX81" i="99" s="1"/>
  <c r="AY81" i="99" s="1"/>
  <c r="AZ81" i="99" s="1"/>
  <c r="BA81" i="99" s="1"/>
  <c r="AW104" i="99"/>
  <c r="AX104" i="99" s="1"/>
  <c r="AY104" i="99" s="1"/>
  <c r="AZ104" i="99" s="1"/>
  <c r="BA104" i="99" s="1"/>
  <c r="AW68" i="99"/>
  <c r="AX68" i="99" s="1"/>
  <c r="AY68" i="99" s="1"/>
  <c r="AZ68" i="99" s="1"/>
  <c r="BA68" i="99" s="1"/>
  <c r="AW92" i="99"/>
  <c r="AX92" i="99" s="1"/>
  <c r="AY92" i="99" s="1"/>
  <c r="AZ92" i="99" s="1"/>
  <c r="BA92" i="99" s="1"/>
  <c r="AW77" i="99"/>
  <c r="AX77" i="99" s="1"/>
  <c r="AY77" i="99" s="1"/>
  <c r="AZ77" i="99" s="1"/>
  <c r="BA77" i="99" s="1"/>
  <c r="AW47" i="99"/>
  <c r="AX47" i="99" s="1"/>
  <c r="AY47" i="99" s="1"/>
  <c r="AZ47" i="99" s="1"/>
  <c r="BA47" i="99" s="1"/>
  <c r="AW48" i="99"/>
  <c r="AX48" i="99" s="1"/>
  <c r="AY48" i="99" s="1"/>
  <c r="AZ48" i="99" s="1"/>
  <c r="BA48" i="99" s="1"/>
  <c r="AW39" i="99"/>
  <c r="AX39" i="99" s="1"/>
  <c r="AY39" i="99" s="1"/>
  <c r="AZ39" i="99" s="1"/>
  <c r="BA39" i="99" s="1"/>
  <c r="AW36" i="99"/>
  <c r="AX36" i="99" s="1"/>
  <c r="AY36" i="99" s="1"/>
  <c r="AZ36" i="99" s="1"/>
  <c r="BA36" i="99" s="1"/>
  <c r="AW99" i="99"/>
  <c r="AX99" i="99" s="1"/>
  <c r="AY99" i="99" s="1"/>
  <c r="AZ99" i="99" s="1"/>
  <c r="BA99" i="99" s="1"/>
  <c r="AW58" i="99"/>
  <c r="AX58" i="99" s="1"/>
  <c r="AY58" i="99" s="1"/>
  <c r="AZ58" i="99" s="1"/>
  <c r="BA58" i="99" s="1"/>
  <c r="AW59" i="99"/>
  <c r="AX59" i="99" s="1"/>
  <c r="AY59" i="99" s="1"/>
  <c r="AZ59" i="99" s="1"/>
  <c r="BA59" i="99" s="1"/>
  <c r="AW69" i="99"/>
  <c r="AX69" i="99" s="1"/>
  <c r="AY69" i="99" s="1"/>
  <c r="AZ69" i="99" s="1"/>
  <c r="BA69" i="99" s="1"/>
  <c r="AW85" i="99"/>
  <c r="AX85" i="99" s="1"/>
  <c r="AY85" i="99" s="1"/>
  <c r="AZ85" i="99" s="1"/>
  <c r="BA85" i="99" s="1"/>
  <c r="AW23" i="99"/>
  <c r="AX23" i="99" s="1"/>
  <c r="AY23" i="99" s="1"/>
  <c r="AZ23" i="99" s="1"/>
  <c r="BA23" i="99" s="1"/>
  <c r="AW72" i="99"/>
  <c r="AX72" i="99" s="1"/>
  <c r="AY72" i="99" s="1"/>
  <c r="AZ72" i="99" s="1"/>
  <c r="BA72" i="99" s="1"/>
  <c r="AW102" i="99"/>
  <c r="AX102" i="99" s="1"/>
  <c r="AY102" i="99" s="1"/>
  <c r="AZ102" i="99" s="1"/>
  <c r="BA102" i="99" s="1"/>
  <c r="AW78" i="99"/>
  <c r="AX78" i="99" s="1"/>
  <c r="AY78" i="99" s="1"/>
  <c r="AZ78" i="99" s="1"/>
  <c r="BA78" i="99" s="1"/>
  <c r="AW101" i="99"/>
  <c r="AX101" i="99" s="1"/>
  <c r="AY101" i="99" s="1"/>
  <c r="AZ101" i="99" s="1"/>
  <c r="BA101" i="99" s="1"/>
  <c r="AW93" i="99"/>
  <c r="AX93" i="99" s="1"/>
  <c r="AY93" i="99" s="1"/>
  <c r="AZ93" i="99" s="1"/>
  <c r="BA93" i="99" s="1"/>
  <c r="AW49" i="99"/>
  <c r="AX49" i="99" s="1"/>
  <c r="AY49" i="99" s="1"/>
  <c r="AZ49" i="99" s="1"/>
  <c r="BA49" i="99" s="1"/>
  <c r="AW88" i="99"/>
  <c r="AX88" i="99" s="1"/>
  <c r="AY88" i="99" s="1"/>
  <c r="AZ88" i="99" s="1"/>
  <c r="BA88" i="99" s="1"/>
  <c r="AW71" i="99"/>
  <c r="AX71" i="99" s="1"/>
  <c r="AY71" i="99" s="1"/>
  <c r="AZ71" i="99" s="1"/>
  <c r="BA71" i="99" s="1"/>
  <c r="AW10" i="99"/>
  <c r="AX10" i="99" s="1"/>
  <c r="AY10" i="99" s="1"/>
  <c r="AZ10" i="99" s="1"/>
  <c r="BA10" i="99" s="1"/>
  <c r="AW80" i="99"/>
  <c r="AX80" i="99" s="1"/>
  <c r="AY80" i="99" s="1"/>
  <c r="AZ80" i="99" s="1"/>
  <c r="BA80" i="99" s="1"/>
  <c r="AW32" i="99"/>
  <c r="AX32" i="99" s="1"/>
  <c r="AY32" i="99" s="1"/>
  <c r="AZ32" i="99" s="1"/>
  <c r="BA32" i="99" s="1"/>
  <c r="AW73" i="99"/>
  <c r="AX73" i="99" s="1"/>
  <c r="AY73" i="99" s="1"/>
  <c r="AZ73" i="99" s="1"/>
  <c r="BA73" i="99" s="1"/>
  <c r="AW106" i="99"/>
  <c r="AX106" i="99" s="1"/>
  <c r="AY106" i="99" s="1"/>
  <c r="AZ106" i="99" s="1"/>
  <c r="BA106" i="99" s="1"/>
  <c r="AW66" i="99"/>
  <c r="AX66" i="99" s="1"/>
  <c r="AY66" i="99" s="1"/>
  <c r="AZ66" i="99" s="1"/>
  <c r="BA66" i="99" s="1"/>
  <c r="AW75" i="99"/>
  <c r="AX75" i="99" s="1"/>
  <c r="AY75" i="99" s="1"/>
  <c r="AZ75" i="99" s="1"/>
  <c r="BA75" i="99" s="1"/>
  <c r="AW53" i="99"/>
  <c r="AX53" i="99" s="1"/>
  <c r="AY53" i="99" s="1"/>
  <c r="AZ53" i="99" s="1"/>
  <c r="BA53" i="99" s="1"/>
  <c r="AW31" i="99"/>
  <c r="AX31" i="99" s="1"/>
  <c r="AY31" i="99" s="1"/>
  <c r="AZ31" i="99" s="1"/>
  <c r="BA31" i="99" s="1"/>
  <c r="AW25" i="99"/>
  <c r="AX25" i="99" s="1"/>
  <c r="AY25" i="99" s="1"/>
  <c r="AZ25" i="99" s="1"/>
  <c r="BA25" i="99" s="1"/>
  <c r="AW65" i="99"/>
  <c r="AX65" i="99" s="1"/>
  <c r="AY65" i="99" s="1"/>
  <c r="AZ65" i="99" s="1"/>
  <c r="BA65" i="99" s="1"/>
  <c r="AW100" i="99"/>
  <c r="AX100" i="99" s="1"/>
  <c r="AY100" i="99" s="1"/>
  <c r="AZ100" i="99" s="1"/>
  <c r="BA100" i="99" s="1"/>
  <c r="AW9" i="99"/>
  <c r="AX9" i="99" s="1"/>
  <c r="AY9" i="99" s="1"/>
  <c r="AZ9" i="99" s="1"/>
  <c r="AW87" i="99"/>
  <c r="AX87" i="99" s="1"/>
  <c r="AY87" i="99" s="1"/>
  <c r="AZ87" i="99" s="1"/>
  <c r="BA87" i="99" s="1"/>
  <c r="AW24" i="99"/>
  <c r="AX24" i="99" s="1"/>
  <c r="AY24" i="99" s="1"/>
  <c r="AZ24" i="99" s="1"/>
  <c r="BA24" i="99" s="1"/>
  <c r="AW35" i="99"/>
  <c r="AX35" i="99" s="1"/>
  <c r="AY35" i="99" s="1"/>
  <c r="AZ35" i="99" s="1"/>
  <c r="BA35" i="99" s="1"/>
  <c r="AW42" i="99"/>
  <c r="AX42" i="99" s="1"/>
  <c r="AY42" i="99" s="1"/>
  <c r="AZ42" i="99" s="1"/>
  <c r="BA42" i="99" s="1"/>
  <c r="AW55" i="99"/>
  <c r="AX55" i="99" s="1"/>
  <c r="AY55" i="99" s="1"/>
  <c r="AZ55" i="99" s="1"/>
  <c r="BA55" i="99" s="1"/>
  <c r="AW44" i="99"/>
  <c r="AX44" i="99" s="1"/>
  <c r="AY44" i="99" s="1"/>
  <c r="AZ44" i="99" s="1"/>
  <c r="BA44" i="99" s="1"/>
  <c r="AW74" i="99"/>
  <c r="AX74" i="99" s="1"/>
  <c r="AY74" i="99" s="1"/>
  <c r="AZ74" i="99" s="1"/>
  <c r="BA74" i="99" s="1"/>
  <c r="AW50" i="99"/>
  <c r="AX50" i="99" s="1"/>
  <c r="AY50" i="99" s="1"/>
  <c r="AZ50" i="99" s="1"/>
  <c r="BA50" i="99" s="1"/>
  <c r="AW13" i="99"/>
  <c r="AX13" i="99" s="1"/>
  <c r="AY13" i="99" s="1"/>
  <c r="AZ13" i="99" s="1"/>
  <c r="BA13" i="99" s="1"/>
  <c r="AW21" i="99"/>
  <c r="AX21" i="99" s="1"/>
  <c r="AY21" i="99" s="1"/>
  <c r="AZ21" i="99" s="1"/>
  <c r="BA21" i="99" s="1"/>
  <c r="AW61" i="99"/>
  <c r="AX61" i="99" s="1"/>
  <c r="AY61" i="99" s="1"/>
  <c r="AZ61" i="99" s="1"/>
  <c r="BA61" i="99" s="1"/>
  <c r="AW37" i="99"/>
  <c r="AX37" i="99" s="1"/>
  <c r="AY37" i="99" s="1"/>
  <c r="AZ37" i="99" s="1"/>
  <c r="BA37" i="99" s="1"/>
  <c r="AW15" i="99"/>
  <c r="AX15" i="99" s="1"/>
  <c r="AY15" i="99" s="1"/>
  <c r="AZ15" i="99" s="1"/>
  <c r="BA15" i="99" s="1"/>
  <c r="AW18" i="99"/>
  <c r="AX18" i="99" s="1"/>
  <c r="AY18" i="99" s="1"/>
  <c r="AZ18" i="99" s="1"/>
  <c r="BA18" i="99" s="1"/>
  <c r="AW22" i="99"/>
  <c r="AX22" i="99" s="1"/>
  <c r="AY22" i="99" s="1"/>
  <c r="AZ22" i="99" s="1"/>
  <c r="BA22" i="99" s="1"/>
  <c r="AW60" i="99"/>
  <c r="AX60" i="99" s="1"/>
  <c r="AY60" i="99" s="1"/>
  <c r="AZ60" i="99" s="1"/>
  <c r="BA60" i="99" s="1"/>
  <c r="AW12" i="99"/>
  <c r="AX12" i="99" s="1"/>
  <c r="AY12" i="99" s="1"/>
  <c r="AZ12" i="99" s="1"/>
  <c r="BA12" i="99" s="1"/>
  <c r="AW33" i="99"/>
  <c r="AX33" i="99" s="1"/>
  <c r="AY33" i="99" s="1"/>
  <c r="AZ33" i="99" s="1"/>
  <c r="BA33" i="99" s="1"/>
  <c r="AW89" i="99"/>
  <c r="AX89" i="99" s="1"/>
  <c r="AY89" i="99" s="1"/>
  <c r="AZ89" i="99" s="1"/>
  <c r="BA89" i="99" s="1"/>
  <c r="AW41" i="99"/>
  <c r="AX41" i="99" s="1"/>
  <c r="AY41" i="99" s="1"/>
  <c r="AZ41" i="99" s="1"/>
  <c r="BA41" i="99" s="1"/>
  <c r="AW45" i="99"/>
  <c r="AX45" i="99" s="1"/>
  <c r="AY45" i="99" s="1"/>
  <c r="AZ45" i="99" s="1"/>
  <c r="BA45" i="99" s="1"/>
  <c r="AW28" i="99"/>
  <c r="AX28" i="99" s="1"/>
  <c r="AY28" i="99" s="1"/>
  <c r="AZ28" i="99" s="1"/>
  <c r="BA28" i="99" s="1"/>
  <c r="AW105" i="99"/>
  <c r="AX105" i="99" s="1"/>
  <c r="AY105" i="99" s="1"/>
  <c r="AZ105" i="99" s="1"/>
  <c r="BA105" i="99" s="1"/>
  <c r="AW67" i="99"/>
  <c r="AX67" i="99" s="1"/>
  <c r="AY67" i="99" s="1"/>
  <c r="AZ67" i="99" s="1"/>
  <c r="BA67" i="99" s="1"/>
  <c r="AW11" i="99"/>
  <c r="AX11" i="99" s="1"/>
  <c r="AY11" i="99" s="1"/>
  <c r="AZ11" i="99" s="1"/>
  <c r="BA11" i="99" s="1"/>
  <c r="AW29" i="99"/>
  <c r="AX29" i="99" s="1"/>
  <c r="AY29" i="99" s="1"/>
  <c r="AZ29" i="99" s="1"/>
  <c r="BA29" i="99" s="1"/>
  <c r="CG44" i="99"/>
  <c r="CH44" i="99" s="1"/>
  <c r="CI44" i="99" s="1"/>
  <c r="CJ44" i="99" s="1"/>
  <c r="CK44" i="99" s="1"/>
  <c r="CG90" i="99"/>
  <c r="CH90" i="99" s="1"/>
  <c r="CI90" i="99" s="1"/>
  <c r="CJ90" i="99" s="1"/>
  <c r="CK90" i="99" s="1"/>
  <c r="CG89" i="99"/>
  <c r="CH89" i="99" s="1"/>
  <c r="CI89" i="99" s="1"/>
  <c r="CJ89" i="99" s="1"/>
  <c r="CK89" i="99" s="1"/>
  <c r="CG102" i="99"/>
  <c r="CH102" i="99" s="1"/>
  <c r="CI102" i="99" s="1"/>
  <c r="CJ102" i="99" s="1"/>
  <c r="CK102" i="99" s="1"/>
  <c r="CG36" i="99"/>
  <c r="CH36" i="99" s="1"/>
  <c r="CI36" i="99" s="1"/>
  <c r="CJ36" i="99" s="1"/>
  <c r="CK36" i="99" s="1"/>
  <c r="CG9" i="99"/>
  <c r="CH9" i="99" s="1"/>
  <c r="CI9" i="99" s="1"/>
  <c r="CJ9" i="99" s="1"/>
  <c r="CG64" i="99"/>
  <c r="CH64" i="99" s="1"/>
  <c r="CI64" i="99" s="1"/>
  <c r="CJ64" i="99" s="1"/>
  <c r="CK64" i="99" s="1"/>
  <c r="CG57" i="99"/>
  <c r="CH57" i="99" s="1"/>
  <c r="CI57" i="99" s="1"/>
  <c r="CJ57" i="99" s="1"/>
  <c r="CK57" i="99" s="1"/>
  <c r="CG59" i="99"/>
  <c r="CH59" i="99" s="1"/>
  <c r="CI59" i="99" s="1"/>
  <c r="CJ59" i="99" s="1"/>
  <c r="CK59" i="99" s="1"/>
  <c r="CG56" i="99"/>
  <c r="CH56" i="99" s="1"/>
  <c r="CI56" i="99" s="1"/>
  <c r="CJ56" i="99" s="1"/>
  <c r="CK56" i="99" s="1"/>
  <c r="CG30" i="99"/>
  <c r="CH30" i="99" s="1"/>
  <c r="CI30" i="99" s="1"/>
  <c r="CJ30" i="99" s="1"/>
  <c r="CK30" i="99" s="1"/>
  <c r="CG14" i="99"/>
  <c r="CH14" i="99" s="1"/>
  <c r="CI14" i="99" s="1"/>
  <c r="CJ14" i="99" s="1"/>
  <c r="CK14" i="99" s="1"/>
  <c r="CG82" i="99"/>
  <c r="CH82" i="99" s="1"/>
  <c r="CI82" i="99" s="1"/>
  <c r="CJ82" i="99" s="1"/>
  <c r="CK82" i="99" s="1"/>
  <c r="CG80" i="99"/>
  <c r="CH80" i="99" s="1"/>
  <c r="CI80" i="99" s="1"/>
  <c r="CJ80" i="99" s="1"/>
  <c r="CK80" i="99" s="1"/>
  <c r="CG22" i="99"/>
  <c r="CH22" i="99" s="1"/>
  <c r="CI22" i="99" s="1"/>
  <c r="CJ22" i="99" s="1"/>
  <c r="CK22" i="99" s="1"/>
  <c r="CG58" i="99"/>
  <c r="CH58" i="99" s="1"/>
  <c r="CI58" i="99" s="1"/>
  <c r="CJ58" i="99" s="1"/>
  <c r="CK58" i="99" s="1"/>
  <c r="CG51" i="99"/>
  <c r="CH51" i="99" s="1"/>
  <c r="CI51" i="99" s="1"/>
  <c r="CJ51" i="99" s="1"/>
  <c r="CK51" i="99" s="1"/>
  <c r="CG108" i="99"/>
  <c r="CH108" i="99" s="1"/>
  <c r="CI108" i="99" s="1"/>
  <c r="CJ108" i="99" s="1"/>
  <c r="CK108" i="99" s="1"/>
  <c r="CG24" i="99"/>
  <c r="CH24" i="99" s="1"/>
  <c r="CI24" i="99" s="1"/>
  <c r="CJ24" i="99" s="1"/>
  <c r="CK24" i="99" s="1"/>
  <c r="CG41" i="99"/>
  <c r="CH41" i="99" s="1"/>
  <c r="CI41" i="99" s="1"/>
  <c r="CJ41" i="99" s="1"/>
  <c r="CK41" i="99" s="1"/>
  <c r="CG29" i="99"/>
  <c r="CH29" i="99" s="1"/>
  <c r="CI29" i="99" s="1"/>
  <c r="CJ29" i="99" s="1"/>
  <c r="CK29" i="99" s="1"/>
  <c r="CG96" i="99"/>
  <c r="CH96" i="99" s="1"/>
  <c r="CI96" i="99" s="1"/>
  <c r="CJ96" i="99" s="1"/>
  <c r="CK96" i="99" s="1"/>
  <c r="CG53" i="99"/>
  <c r="CH53" i="99" s="1"/>
  <c r="CI53" i="99" s="1"/>
  <c r="CJ53" i="99" s="1"/>
  <c r="CK53" i="99" s="1"/>
  <c r="CG27" i="99"/>
  <c r="CH27" i="99" s="1"/>
  <c r="CI27" i="99" s="1"/>
  <c r="CJ27" i="99" s="1"/>
  <c r="CK27" i="99" s="1"/>
  <c r="CG72" i="99"/>
  <c r="CH72" i="99" s="1"/>
  <c r="CI72" i="99" s="1"/>
  <c r="CJ72" i="99" s="1"/>
  <c r="CK72" i="99" s="1"/>
  <c r="CG35" i="99"/>
  <c r="CH35" i="99" s="1"/>
  <c r="CI35" i="99" s="1"/>
  <c r="CJ35" i="99" s="1"/>
  <c r="CK35" i="99" s="1"/>
  <c r="CG13" i="99"/>
  <c r="CH13" i="99" s="1"/>
  <c r="CI13" i="99" s="1"/>
  <c r="CJ13" i="99" s="1"/>
  <c r="CK13" i="99" s="1"/>
  <c r="CG100" i="99"/>
  <c r="CH100" i="99" s="1"/>
  <c r="CI100" i="99" s="1"/>
  <c r="CJ100" i="99" s="1"/>
  <c r="CK100" i="99" s="1"/>
  <c r="CG106" i="99"/>
  <c r="CH106" i="99" s="1"/>
  <c r="CI106" i="99" s="1"/>
  <c r="CJ106" i="99" s="1"/>
  <c r="CK106" i="99" s="1"/>
  <c r="CG39" i="99"/>
  <c r="CH39" i="99" s="1"/>
  <c r="CI39" i="99" s="1"/>
  <c r="CJ39" i="99" s="1"/>
  <c r="CK39" i="99" s="1"/>
  <c r="CG48" i="99"/>
  <c r="CH48" i="99" s="1"/>
  <c r="CI48" i="99" s="1"/>
  <c r="CJ48" i="99" s="1"/>
  <c r="CK48" i="99" s="1"/>
  <c r="CG49" i="99"/>
  <c r="CH49" i="99" s="1"/>
  <c r="CI49" i="99" s="1"/>
  <c r="CJ49" i="99" s="1"/>
  <c r="CK49" i="99" s="1"/>
  <c r="CG68" i="99"/>
  <c r="CH68" i="99" s="1"/>
  <c r="CI68" i="99" s="1"/>
  <c r="CJ68" i="99" s="1"/>
  <c r="CK68" i="99" s="1"/>
  <c r="CG104" i="99"/>
  <c r="CH104" i="99" s="1"/>
  <c r="CI104" i="99" s="1"/>
  <c r="CJ104" i="99" s="1"/>
  <c r="CK104" i="99" s="1"/>
  <c r="CG93" i="99"/>
  <c r="CH93" i="99" s="1"/>
  <c r="CI93" i="99" s="1"/>
  <c r="CJ93" i="99" s="1"/>
  <c r="CK93" i="99" s="1"/>
  <c r="CG77" i="99"/>
  <c r="CH77" i="99" s="1"/>
  <c r="CI77" i="99" s="1"/>
  <c r="CJ77" i="99" s="1"/>
  <c r="CK77" i="99" s="1"/>
  <c r="CG70" i="99"/>
  <c r="CH70" i="99" s="1"/>
  <c r="CI70" i="99" s="1"/>
  <c r="CJ70" i="99" s="1"/>
  <c r="CK70" i="99" s="1"/>
  <c r="CG26" i="99"/>
  <c r="CH26" i="99" s="1"/>
  <c r="CI26" i="99" s="1"/>
  <c r="CJ26" i="99" s="1"/>
  <c r="CK26" i="99" s="1"/>
  <c r="CG105" i="99"/>
  <c r="CH105" i="99" s="1"/>
  <c r="CI105" i="99" s="1"/>
  <c r="CJ105" i="99" s="1"/>
  <c r="CK105" i="99" s="1"/>
  <c r="CG33" i="99"/>
  <c r="CH33" i="99" s="1"/>
  <c r="CI33" i="99" s="1"/>
  <c r="CJ33" i="99" s="1"/>
  <c r="CK33" i="99" s="1"/>
  <c r="CG16" i="99"/>
  <c r="CH16" i="99" s="1"/>
  <c r="CI16" i="99" s="1"/>
  <c r="CJ16" i="99" s="1"/>
  <c r="CK16" i="99" s="1"/>
  <c r="CG50" i="99"/>
  <c r="CH50" i="99" s="1"/>
  <c r="CI50" i="99" s="1"/>
  <c r="CJ50" i="99" s="1"/>
  <c r="CK50" i="99" s="1"/>
  <c r="CG52" i="99"/>
  <c r="CH52" i="99" s="1"/>
  <c r="CI52" i="99" s="1"/>
  <c r="CJ52" i="99" s="1"/>
  <c r="CK52" i="99" s="1"/>
  <c r="CG99" i="99"/>
  <c r="CH99" i="99" s="1"/>
  <c r="CI99" i="99" s="1"/>
  <c r="CJ99" i="99" s="1"/>
  <c r="CK99" i="99" s="1"/>
  <c r="CG88" i="99"/>
  <c r="CH88" i="99" s="1"/>
  <c r="CI88" i="99" s="1"/>
  <c r="CJ88" i="99" s="1"/>
  <c r="CK88" i="99" s="1"/>
  <c r="CG67" i="99"/>
  <c r="CH67" i="99" s="1"/>
  <c r="CI67" i="99" s="1"/>
  <c r="CJ67" i="99" s="1"/>
  <c r="CK67" i="99" s="1"/>
  <c r="CG42" i="99"/>
  <c r="CH42" i="99" s="1"/>
  <c r="CI42" i="99" s="1"/>
  <c r="CJ42" i="99" s="1"/>
  <c r="CK42" i="99" s="1"/>
  <c r="CG11" i="99"/>
  <c r="CH11" i="99" s="1"/>
  <c r="CI11" i="99" s="1"/>
  <c r="CJ11" i="99" s="1"/>
  <c r="CK11" i="99" s="1"/>
  <c r="CG98" i="99"/>
  <c r="CH98" i="99" s="1"/>
  <c r="CI98" i="99" s="1"/>
  <c r="CJ98" i="99" s="1"/>
  <c r="CK98" i="99" s="1"/>
  <c r="CG95" i="99"/>
  <c r="CH95" i="99" s="1"/>
  <c r="CI95" i="99" s="1"/>
  <c r="CJ95" i="99" s="1"/>
  <c r="CK95" i="99" s="1"/>
  <c r="CG28" i="99"/>
  <c r="CH28" i="99" s="1"/>
  <c r="CI28" i="99" s="1"/>
  <c r="CJ28" i="99" s="1"/>
  <c r="CK28" i="99" s="1"/>
  <c r="CG97" i="99"/>
  <c r="CH97" i="99" s="1"/>
  <c r="CI97" i="99" s="1"/>
  <c r="CJ97" i="99" s="1"/>
  <c r="CK97" i="99" s="1"/>
  <c r="CG101" i="99"/>
  <c r="CH101" i="99" s="1"/>
  <c r="CI101" i="99" s="1"/>
  <c r="CJ101" i="99" s="1"/>
  <c r="CK101" i="99" s="1"/>
  <c r="CG83" i="99"/>
  <c r="CH83" i="99" s="1"/>
  <c r="CI83" i="99" s="1"/>
  <c r="CJ83" i="99" s="1"/>
  <c r="CK83" i="99" s="1"/>
  <c r="CG62" i="99"/>
  <c r="CH62" i="99" s="1"/>
  <c r="CI62" i="99" s="1"/>
  <c r="CJ62" i="99" s="1"/>
  <c r="CK62" i="99" s="1"/>
  <c r="CG19" i="99"/>
  <c r="CH19" i="99" s="1"/>
  <c r="CI19" i="99" s="1"/>
  <c r="CJ19" i="99" s="1"/>
  <c r="CK19" i="99" s="1"/>
  <c r="CG10" i="99"/>
  <c r="CH10" i="99" s="1"/>
  <c r="CI10" i="99" s="1"/>
  <c r="CJ10" i="99" s="1"/>
  <c r="CK10" i="99" s="1"/>
  <c r="CG78" i="99"/>
  <c r="CH78" i="99" s="1"/>
  <c r="CI78" i="99" s="1"/>
  <c r="CJ78" i="99" s="1"/>
  <c r="CK78" i="99" s="1"/>
  <c r="CG74" i="99"/>
  <c r="CH74" i="99" s="1"/>
  <c r="CI74" i="99" s="1"/>
  <c r="CJ74" i="99" s="1"/>
  <c r="CK74" i="99" s="1"/>
  <c r="CG107" i="99"/>
  <c r="CH107" i="99" s="1"/>
  <c r="CI107" i="99" s="1"/>
  <c r="CJ107" i="99" s="1"/>
  <c r="CK107" i="99" s="1"/>
  <c r="CG66" i="99"/>
  <c r="CH66" i="99" s="1"/>
  <c r="CI66" i="99" s="1"/>
  <c r="CJ66" i="99" s="1"/>
  <c r="CK66" i="99" s="1"/>
  <c r="CG69" i="99"/>
  <c r="CH69" i="99" s="1"/>
  <c r="CI69" i="99" s="1"/>
  <c r="CJ69" i="99" s="1"/>
  <c r="CK69" i="99" s="1"/>
  <c r="CG73" i="99"/>
  <c r="CH73" i="99" s="1"/>
  <c r="CI73" i="99" s="1"/>
  <c r="CJ73" i="99" s="1"/>
  <c r="CK73" i="99" s="1"/>
  <c r="CG71" i="99"/>
  <c r="CH71" i="99" s="1"/>
  <c r="CI71" i="99" s="1"/>
  <c r="CJ71" i="99" s="1"/>
  <c r="CK71" i="99" s="1"/>
  <c r="CG61" i="99"/>
  <c r="CH61" i="99" s="1"/>
  <c r="CI61" i="99" s="1"/>
  <c r="CJ61" i="99" s="1"/>
  <c r="CK61" i="99" s="1"/>
  <c r="CG37" i="99"/>
  <c r="CH37" i="99" s="1"/>
  <c r="CI37" i="99" s="1"/>
  <c r="CJ37" i="99" s="1"/>
  <c r="CK37" i="99" s="1"/>
  <c r="CG31" i="99"/>
  <c r="CH31" i="99" s="1"/>
  <c r="CI31" i="99" s="1"/>
  <c r="CJ31" i="99" s="1"/>
  <c r="CK31" i="99" s="1"/>
  <c r="CG76" i="99"/>
  <c r="CH76" i="99" s="1"/>
  <c r="CI76" i="99" s="1"/>
  <c r="CJ76" i="99" s="1"/>
  <c r="CK76" i="99" s="1"/>
  <c r="CG91" i="99"/>
  <c r="CH91" i="99" s="1"/>
  <c r="CI91" i="99" s="1"/>
  <c r="CJ91" i="99" s="1"/>
  <c r="CK91" i="99" s="1"/>
  <c r="CG85" i="99"/>
  <c r="CH85" i="99" s="1"/>
  <c r="CI85" i="99" s="1"/>
  <c r="CJ85" i="99" s="1"/>
  <c r="CK85" i="99" s="1"/>
  <c r="CG47" i="99"/>
  <c r="CH47" i="99" s="1"/>
  <c r="CI47" i="99" s="1"/>
  <c r="CJ47" i="99" s="1"/>
  <c r="CK47" i="99" s="1"/>
  <c r="CG21" i="99"/>
  <c r="CH21" i="99" s="1"/>
  <c r="CI21" i="99" s="1"/>
  <c r="CJ21" i="99" s="1"/>
  <c r="CK21" i="99" s="1"/>
  <c r="CG60" i="99"/>
  <c r="CH60" i="99" s="1"/>
  <c r="CI60" i="99" s="1"/>
  <c r="CJ60" i="99" s="1"/>
  <c r="CK60" i="99" s="1"/>
  <c r="CG103" i="99"/>
  <c r="CH103" i="99" s="1"/>
  <c r="CI103" i="99" s="1"/>
  <c r="CJ103" i="99" s="1"/>
  <c r="CK103" i="99" s="1"/>
  <c r="CG45" i="99"/>
  <c r="CH45" i="99" s="1"/>
  <c r="CI45" i="99" s="1"/>
  <c r="CJ45" i="99" s="1"/>
  <c r="CK45" i="99" s="1"/>
  <c r="CG79" i="99"/>
  <c r="CH79" i="99" s="1"/>
  <c r="CI79" i="99" s="1"/>
  <c r="CJ79" i="99" s="1"/>
  <c r="CK79" i="99" s="1"/>
  <c r="CG20" i="99"/>
  <c r="CH20" i="99" s="1"/>
  <c r="CI20" i="99" s="1"/>
  <c r="CJ20" i="99" s="1"/>
  <c r="CK20" i="99" s="1"/>
  <c r="CG94" i="99"/>
  <c r="CH94" i="99" s="1"/>
  <c r="CI94" i="99" s="1"/>
  <c r="CJ94" i="99" s="1"/>
  <c r="CK94" i="99" s="1"/>
  <c r="CG84" i="99"/>
  <c r="CH84" i="99" s="1"/>
  <c r="CI84" i="99" s="1"/>
  <c r="CJ84" i="99" s="1"/>
  <c r="CK84" i="99" s="1"/>
  <c r="CG55" i="99"/>
  <c r="CH55" i="99" s="1"/>
  <c r="CI55" i="99" s="1"/>
  <c r="CJ55" i="99" s="1"/>
  <c r="CK55" i="99" s="1"/>
  <c r="CG15" i="99"/>
  <c r="CH15" i="99" s="1"/>
  <c r="CI15" i="99" s="1"/>
  <c r="CJ15" i="99" s="1"/>
  <c r="CK15" i="99" s="1"/>
  <c r="CG87" i="99"/>
  <c r="CH87" i="99" s="1"/>
  <c r="CI87" i="99" s="1"/>
  <c r="CJ87" i="99" s="1"/>
  <c r="CK87" i="99" s="1"/>
  <c r="CG75" i="99"/>
  <c r="CH75" i="99" s="1"/>
  <c r="CI75" i="99" s="1"/>
  <c r="CJ75" i="99" s="1"/>
  <c r="CK75" i="99" s="1"/>
  <c r="CG40" i="99"/>
  <c r="CH40" i="99" s="1"/>
  <c r="CI40" i="99" s="1"/>
  <c r="CJ40" i="99" s="1"/>
  <c r="CK40" i="99" s="1"/>
  <c r="CG23" i="99"/>
  <c r="CH23" i="99" s="1"/>
  <c r="CI23" i="99" s="1"/>
  <c r="CJ23" i="99" s="1"/>
  <c r="CK23" i="99" s="1"/>
  <c r="CG25" i="99"/>
  <c r="CH25" i="99" s="1"/>
  <c r="CI25" i="99" s="1"/>
  <c r="CJ25" i="99" s="1"/>
  <c r="CK25" i="99" s="1"/>
  <c r="CG92" i="99"/>
  <c r="CH92" i="99" s="1"/>
  <c r="CI92" i="99" s="1"/>
  <c r="CJ92" i="99" s="1"/>
  <c r="CK92" i="99" s="1"/>
  <c r="CG43" i="99"/>
  <c r="CH43" i="99" s="1"/>
  <c r="CI43" i="99" s="1"/>
  <c r="CJ43" i="99" s="1"/>
  <c r="CK43" i="99" s="1"/>
  <c r="CG12" i="99"/>
  <c r="CH12" i="99" s="1"/>
  <c r="CI12" i="99" s="1"/>
  <c r="CJ12" i="99" s="1"/>
  <c r="CK12" i="99" s="1"/>
  <c r="CG17" i="99"/>
  <c r="CH17" i="99" s="1"/>
  <c r="CI17" i="99" s="1"/>
  <c r="CJ17" i="99" s="1"/>
  <c r="CK17" i="99" s="1"/>
  <c r="CG63" i="99"/>
  <c r="CH63" i="99" s="1"/>
  <c r="CI63" i="99" s="1"/>
  <c r="CJ63" i="99" s="1"/>
  <c r="CK63" i="99" s="1"/>
  <c r="CG18" i="99"/>
  <c r="CH18" i="99" s="1"/>
  <c r="CI18" i="99" s="1"/>
  <c r="CJ18" i="99" s="1"/>
  <c r="CK18" i="99" s="1"/>
  <c r="CG86" i="99"/>
  <c r="CH86" i="99" s="1"/>
  <c r="CI86" i="99" s="1"/>
  <c r="CJ86" i="99" s="1"/>
  <c r="CK86" i="99" s="1"/>
  <c r="CG65" i="99"/>
  <c r="CH65" i="99" s="1"/>
  <c r="CI65" i="99" s="1"/>
  <c r="CJ65" i="99" s="1"/>
  <c r="CK65" i="99" s="1"/>
  <c r="CG38" i="99"/>
  <c r="CH38" i="99" s="1"/>
  <c r="CI38" i="99" s="1"/>
  <c r="CJ38" i="99" s="1"/>
  <c r="CK38" i="99" s="1"/>
  <c r="CG32" i="99"/>
  <c r="CH32" i="99" s="1"/>
  <c r="CI32" i="99" s="1"/>
  <c r="CJ32" i="99" s="1"/>
  <c r="CK32" i="99" s="1"/>
  <c r="CG81" i="99"/>
  <c r="CH81" i="99" s="1"/>
  <c r="CI81" i="99" s="1"/>
  <c r="CJ81" i="99" s="1"/>
  <c r="CK81" i="99" s="1"/>
  <c r="CG46" i="99"/>
  <c r="CH46" i="99" s="1"/>
  <c r="CI46" i="99" s="1"/>
  <c r="CJ46" i="99" s="1"/>
  <c r="CK46" i="99" s="1"/>
  <c r="CG34" i="99"/>
  <c r="CH34" i="99" s="1"/>
  <c r="CI34" i="99" s="1"/>
  <c r="CJ34" i="99" s="1"/>
  <c r="CK34" i="99" s="1"/>
  <c r="CG54" i="99"/>
  <c r="CH54" i="99" s="1"/>
  <c r="CI54" i="99" s="1"/>
  <c r="CJ54" i="99" s="1"/>
  <c r="CK54" i="99" s="1"/>
  <c r="AE9" i="99"/>
  <c r="AF9" i="99" s="1"/>
  <c r="AG9" i="99" s="1"/>
  <c r="AH9" i="99" s="1"/>
  <c r="AE82" i="99"/>
  <c r="AF82" i="99" s="1"/>
  <c r="AG82" i="99" s="1"/>
  <c r="AH82" i="99" s="1"/>
  <c r="AI82" i="99" s="1"/>
  <c r="AE102" i="99"/>
  <c r="AF102" i="99" s="1"/>
  <c r="AG102" i="99" s="1"/>
  <c r="AH102" i="99" s="1"/>
  <c r="AI102" i="99" s="1"/>
  <c r="AE49" i="99"/>
  <c r="AF49" i="99" s="1"/>
  <c r="AG49" i="99" s="1"/>
  <c r="AH49" i="99" s="1"/>
  <c r="AI49" i="99" s="1"/>
  <c r="AE68" i="99"/>
  <c r="AF68" i="99" s="1"/>
  <c r="AG68" i="99" s="1"/>
  <c r="AH68" i="99" s="1"/>
  <c r="AI68" i="99" s="1"/>
  <c r="AE108" i="99"/>
  <c r="AF108" i="99" s="1"/>
  <c r="AG108" i="99" s="1"/>
  <c r="AH108" i="99" s="1"/>
  <c r="AI108" i="99" s="1"/>
  <c r="AE44" i="99"/>
  <c r="AF44" i="99" s="1"/>
  <c r="AG44" i="99" s="1"/>
  <c r="AH44" i="99" s="1"/>
  <c r="AI44" i="99" s="1"/>
  <c r="AE39" i="99"/>
  <c r="AF39" i="99" s="1"/>
  <c r="AG39" i="99" s="1"/>
  <c r="AH39" i="99" s="1"/>
  <c r="AI39" i="99" s="1"/>
  <c r="AE94" i="99"/>
  <c r="AF94" i="99" s="1"/>
  <c r="AG94" i="99" s="1"/>
  <c r="AH94" i="99" s="1"/>
  <c r="AI94" i="99" s="1"/>
  <c r="AE65" i="99"/>
  <c r="AF65" i="99" s="1"/>
  <c r="AG65" i="99" s="1"/>
  <c r="AH65" i="99" s="1"/>
  <c r="AI65" i="99" s="1"/>
  <c r="AE17" i="99"/>
  <c r="AF17" i="99" s="1"/>
  <c r="AG17" i="99" s="1"/>
  <c r="AH17" i="99" s="1"/>
  <c r="AI17" i="99" s="1"/>
  <c r="AE75" i="99"/>
  <c r="AF75" i="99" s="1"/>
  <c r="AG75" i="99" s="1"/>
  <c r="AH75" i="99" s="1"/>
  <c r="AI75" i="99" s="1"/>
  <c r="AE52" i="99"/>
  <c r="AF52" i="99" s="1"/>
  <c r="AG52" i="99" s="1"/>
  <c r="AH52" i="99" s="1"/>
  <c r="AI52" i="99" s="1"/>
  <c r="AE98" i="99"/>
  <c r="AF98" i="99" s="1"/>
  <c r="AG98" i="99" s="1"/>
  <c r="AH98" i="99" s="1"/>
  <c r="AI98" i="99" s="1"/>
  <c r="AE22" i="99"/>
  <c r="AF22" i="99" s="1"/>
  <c r="AG22" i="99" s="1"/>
  <c r="AH22" i="99" s="1"/>
  <c r="AI22" i="99" s="1"/>
  <c r="AE59" i="99"/>
  <c r="AF59" i="99" s="1"/>
  <c r="AG59" i="99" s="1"/>
  <c r="AH59" i="99" s="1"/>
  <c r="AI59" i="99" s="1"/>
  <c r="AE54" i="99"/>
  <c r="AF54" i="99" s="1"/>
  <c r="AG54" i="99" s="1"/>
  <c r="AH54" i="99" s="1"/>
  <c r="AI54" i="99" s="1"/>
  <c r="AE16" i="99"/>
  <c r="AF16" i="99" s="1"/>
  <c r="AG16" i="99" s="1"/>
  <c r="AH16" i="99" s="1"/>
  <c r="AI16" i="99" s="1"/>
  <c r="AE89" i="99"/>
  <c r="AF89" i="99" s="1"/>
  <c r="AG89" i="99" s="1"/>
  <c r="AH89" i="99" s="1"/>
  <c r="AI89" i="99" s="1"/>
  <c r="AE33" i="99"/>
  <c r="AF33" i="99" s="1"/>
  <c r="AG33" i="99" s="1"/>
  <c r="AH33" i="99" s="1"/>
  <c r="AI33" i="99" s="1"/>
  <c r="AE78" i="99"/>
  <c r="AF78" i="99" s="1"/>
  <c r="AG78" i="99" s="1"/>
  <c r="AH78" i="99" s="1"/>
  <c r="AI78" i="99" s="1"/>
  <c r="AE92" i="99"/>
  <c r="AF92" i="99" s="1"/>
  <c r="AG92" i="99" s="1"/>
  <c r="AH92" i="99" s="1"/>
  <c r="AI92" i="99" s="1"/>
  <c r="AE100" i="99"/>
  <c r="AF100" i="99" s="1"/>
  <c r="AG100" i="99" s="1"/>
  <c r="AH100" i="99" s="1"/>
  <c r="AI100" i="99" s="1"/>
  <c r="AE38" i="99"/>
  <c r="AF38" i="99" s="1"/>
  <c r="AG38" i="99" s="1"/>
  <c r="AH38" i="99" s="1"/>
  <c r="AI38" i="99" s="1"/>
  <c r="AE70" i="99"/>
  <c r="AF70" i="99" s="1"/>
  <c r="AG70" i="99" s="1"/>
  <c r="AH70" i="99" s="1"/>
  <c r="AI70" i="99" s="1"/>
  <c r="AE107" i="99"/>
  <c r="AF107" i="99" s="1"/>
  <c r="AG107" i="99" s="1"/>
  <c r="AH107" i="99" s="1"/>
  <c r="AI107" i="99" s="1"/>
  <c r="AE105" i="99"/>
  <c r="AF105" i="99" s="1"/>
  <c r="AG105" i="99" s="1"/>
  <c r="AH105" i="99" s="1"/>
  <c r="AI105" i="99" s="1"/>
  <c r="AE103" i="99"/>
  <c r="AF103" i="99" s="1"/>
  <c r="AG103" i="99" s="1"/>
  <c r="AH103" i="99" s="1"/>
  <c r="AI103" i="99" s="1"/>
  <c r="AE95" i="99"/>
  <c r="AF95" i="99" s="1"/>
  <c r="AG95" i="99" s="1"/>
  <c r="AH95" i="99" s="1"/>
  <c r="AI95" i="99" s="1"/>
  <c r="AE69" i="99"/>
  <c r="AF69" i="99" s="1"/>
  <c r="AG69" i="99" s="1"/>
  <c r="AH69" i="99" s="1"/>
  <c r="AI69" i="99" s="1"/>
  <c r="AE79" i="99"/>
  <c r="AF79" i="99" s="1"/>
  <c r="AG79" i="99" s="1"/>
  <c r="AH79" i="99" s="1"/>
  <c r="AI79" i="99" s="1"/>
  <c r="AE29" i="99"/>
  <c r="AF29" i="99" s="1"/>
  <c r="AG29" i="99" s="1"/>
  <c r="AH29" i="99" s="1"/>
  <c r="AI29" i="99" s="1"/>
  <c r="AE62" i="99"/>
  <c r="AF62" i="99" s="1"/>
  <c r="AG62" i="99" s="1"/>
  <c r="AH62" i="99" s="1"/>
  <c r="AI62" i="99" s="1"/>
  <c r="AE14" i="99"/>
  <c r="AF14" i="99" s="1"/>
  <c r="AG14" i="99" s="1"/>
  <c r="AH14" i="99" s="1"/>
  <c r="AI14" i="99" s="1"/>
  <c r="AE30" i="99"/>
  <c r="AF30" i="99" s="1"/>
  <c r="AG30" i="99" s="1"/>
  <c r="AH30" i="99" s="1"/>
  <c r="AI30" i="99" s="1"/>
  <c r="AE106" i="99"/>
  <c r="AF106" i="99" s="1"/>
  <c r="AG106" i="99" s="1"/>
  <c r="AH106" i="99" s="1"/>
  <c r="AI106" i="99" s="1"/>
  <c r="AE64" i="99"/>
  <c r="AF64" i="99" s="1"/>
  <c r="AG64" i="99" s="1"/>
  <c r="AH64" i="99" s="1"/>
  <c r="AI64" i="99" s="1"/>
  <c r="AE66" i="99"/>
  <c r="AF66" i="99" s="1"/>
  <c r="AG66" i="99" s="1"/>
  <c r="AH66" i="99" s="1"/>
  <c r="AI66" i="99" s="1"/>
  <c r="AE73" i="99"/>
  <c r="AF73" i="99" s="1"/>
  <c r="AG73" i="99" s="1"/>
  <c r="AH73" i="99" s="1"/>
  <c r="AI73" i="99" s="1"/>
  <c r="AE43" i="99"/>
  <c r="AF43" i="99" s="1"/>
  <c r="AG43" i="99" s="1"/>
  <c r="AH43" i="99" s="1"/>
  <c r="AI43" i="99" s="1"/>
  <c r="AE19" i="99"/>
  <c r="AF19" i="99" s="1"/>
  <c r="AG19" i="99" s="1"/>
  <c r="AH19" i="99" s="1"/>
  <c r="AI19" i="99" s="1"/>
  <c r="AE34" i="99"/>
  <c r="AF34" i="99" s="1"/>
  <c r="AG34" i="99" s="1"/>
  <c r="AH34" i="99" s="1"/>
  <c r="AI34" i="99" s="1"/>
  <c r="AE28" i="99"/>
  <c r="AF28" i="99" s="1"/>
  <c r="AG28" i="99" s="1"/>
  <c r="AH28" i="99" s="1"/>
  <c r="AI28" i="99" s="1"/>
  <c r="AE51" i="99"/>
  <c r="AF51" i="99" s="1"/>
  <c r="AG51" i="99" s="1"/>
  <c r="AH51" i="99" s="1"/>
  <c r="AI51" i="99" s="1"/>
  <c r="AE97" i="99"/>
  <c r="AF97" i="99" s="1"/>
  <c r="AG97" i="99" s="1"/>
  <c r="AH97" i="99" s="1"/>
  <c r="AI97" i="99" s="1"/>
  <c r="AE53" i="99"/>
  <c r="AF53" i="99" s="1"/>
  <c r="AG53" i="99" s="1"/>
  <c r="AH53" i="99" s="1"/>
  <c r="AI53" i="99" s="1"/>
  <c r="AE35" i="99"/>
  <c r="AF35" i="99" s="1"/>
  <c r="AG35" i="99" s="1"/>
  <c r="AH35" i="99" s="1"/>
  <c r="AI35" i="99" s="1"/>
  <c r="AE61" i="99"/>
  <c r="AF61" i="99" s="1"/>
  <c r="AG61" i="99" s="1"/>
  <c r="AH61" i="99" s="1"/>
  <c r="AI61" i="99" s="1"/>
  <c r="AE32" i="99"/>
  <c r="AF32" i="99" s="1"/>
  <c r="AG32" i="99" s="1"/>
  <c r="AH32" i="99" s="1"/>
  <c r="AI32" i="99" s="1"/>
  <c r="AE21" i="99"/>
  <c r="AF21" i="99" s="1"/>
  <c r="AG21" i="99" s="1"/>
  <c r="AH21" i="99" s="1"/>
  <c r="AI21" i="99" s="1"/>
  <c r="AE13" i="99"/>
  <c r="AF13" i="99" s="1"/>
  <c r="AG13" i="99" s="1"/>
  <c r="AH13" i="99" s="1"/>
  <c r="AI13" i="99" s="1"/>
  <c r="AE101" i="99"/>
  <c r="AF101" i="99" s="1"/>
  <c r="AG101" i="99" s="1"/>
  <c r="AH101" i="99" s="1"/>
  <c r="AI101" i="99" s="1"/>
  <c r="AE104" i="99"/>
  <c r="AF104" i="99" s="1"/>
  <c r="AG104" i="99" s="1"/>
  <c r="AH104" i="99" s="1"/>
  <c r="AI104" i="99" s="1"/>
  <c r="AE86" i="99"/>
  <c r="AF86" i="99" s="1"/>
  <c r="AG86" i="99" s="1"/>
  <c r="AH86" i="99" s="1"/>
  <c r="AI86" i="99" s="1"/>
  <c r="AE85" i="99"/>
  <c r="AF85" i="99" s="1"/>
  <c r="AG85" i="99" s="1"/>
  <c r="AH85" i="99" s="1"/>
  <c r="AI85" i="99" s="1"/>
  <c r="AE56" i="99"/>
  <c r="AF56" i="99" s="1"/>
  <c r="AG56" i="99" s="1"/>
  <c r="AH56" i="99" s="1"/>
  <c r="AI56" i="99" s="1"/>
  <c r="AE20" i="99"/>
  <c r="AF20" i="99" s="1"/>
  <c r="AG20" i="99" s="1"/>
  <c r="AH20" i="99" s="1"/>
  <c r="AI20" i="99" s="1"/>
  <c r="AE31" i="99"/>
  <c r="AF31" i="99" s="1"/>
  <c r="AG31" i="99" s="1"/>
  <c r="AH31" i="99" s="1"/>
  <c r="AI31" i="99" s="1"/>
  <c r="AE84" i="99"/>
  <c r="AF84" i="99" s="1"/>
  <c r="AG84" i="99" s="1"/>
  <c r="AH84" i="99" s="1"/>
  <c r="AI84" i="99" s="1"/>
  <c r="AE96" i="99"/>
  <c r="AF96" i="99" s="1"/>
  <c r="AG96" i="99" s="1"/>
  <c r="AH96" i="99" s="1"/>
  <c r="AI96" i="99" s="1"/>
  <c r="AE99" i="99"/>
  <c r="AF99" i="99" s="1"/>
  <c r="AG99" i="99" s="1"/>
  <c r="AH99" i="99" s="1"/>
  <c r="AI99" i="99" s="1"/>
  <c r="AE74" i="99"/>
  <c r="AF74" i="99" s="1"/>
  <c r="AG74" i="99" s="1"/>
  <c r="AH74" i="99" s="1"/>
  <c r="AI74" i="99" s="1"/>
  <c r="AE72" i="99"/>
  <c r="AF72" i="99" s="1"/>
  <c r="AG72" i="99" s="1"/>
  <c r="AH72" i="99" s="1"/>
  <c r="AI72" i="99" s="1"/>
  <c r="AE48" i="99"/>
  <c r="AF48" i="99" s="1"/>
  <c r="AG48" i="99" s="1"/>
  <c r="AH48" i="99" s="1"/>
  <c r="AI48" i="99" s="1"/>
  <c r="AE27" i="99"/>
  <c r="AF27" i="99" s="1"/>
  <c r="AG27" i="99" s="1"/>
  <c r="AH27" i="99" s="1"/>
  <c r="AI27" i="99" s="1"/>
  <c r="AE90" i="99"/>
  <c r="AF90" i="99" s="1"/>
  <c r="AG90" i="99" s="1"/>
  <c r="AH90" i="99" s="1"/>
  <c r="AI90" i="99" s="1"/>
  <c r="AE55" i="99"/>
  <c r="AF55" i="99" s="1"/>
  <c r="AG55" i="99" s="1"/>
  <c r="AH55" i="99" s="1"/>
  <c r="AI55" i="99" s="1"/>
  <c r="AE26" i="99"/>
  <c r="AF26" i="99" s="1"/>
  <c r="AG26" i="99" s="1"/>
  <c r="AH26" i="99" s="1"/>
  <c r="AI26" i="99" s="1"/>
  <c r="AE81" i="99"/>
  <c r="AF81" i="99" s="1"/>
  <c r="AG81" i="99" s="1"/>
  <c r="AH81" i="99" s="1"/>
  <c r="AI81" i="99" s="1"/>
  <c r="AE12" i="99"/>
  <c r="AF12" i="99" s="1"/>
  <c r="AG12" i="99" s="1"/>
  <c r="AH12" i="99" s="1"/>
  <c r="AI12" i="99" s="1"/>
  <c r="AE87" i="99"/>
  <c r="AF87" i="99" s="1"/>
  <c r="AG87" i="99" s="1"/>
  <c r="AH87" i="99" s="1"/>
  <c r="AI87" i="99" s="1"/>
  <c r="AE91" i="99"/>
  <c r="AF91" i="99" s="1"/>
  <c r="AG91" i="99" s="1"/>
  <c r="AH91" i="99" s="1"/>
  <c r="AI91" i="99" s="1"/>
  <c r="AE63" i="99"/>
  <c r="AF63" i="99" s="1"/>
  <c r="AG63" i="99" s="1"/>
  <c r="AH63" i="99" s="1"/>
  <c r="AI63" i="99" s="1"/>
  <c r="AE58" i="99"/>
  <c r="AF58" i="99" s="1"/>
  <c r="AG58" i="99" s="1"/>
  <c r="AH58" i="99" s="1"/>
  <c r="AI58" i="99" s="1"/>
  <c r="AE41" i="99"/>
  <c r="AF41" i="99" s="1"/>
  <c r="AG41" i="99" s="1"/>
  <c r="AH41" i="99" s="1"/>
  <c r="AI41" i="99" s="1"/>
  <c r="AE24" i="99"/>
  <c r="AF24" i="99" s="1"/>
  <c r="AG24" i="99" s="1"/>
  <c r="AH24" i="99" s="1"/>
  <c r="AI24" i="99" s="1"/>
  <c r="AE42" i="99"/>
  <c r="AF42" i="99" s="1"/>
  <c r="AG42" i="99" s="1"/>
  <c r="AH42" i="99" s="1"/>
  <c r="AI42" i="99" s="1"/>
  <c r="AE93" i="99"/>
  <c r="AF93" i="99" s="1"/>
  <c r="AG93" i="99" s="1"/>
  <c r="AH93" i="99" s="1"/>
  <c r="AI93" i="99" s="1"/>
  <c r="AE83" i="99"/>
  <c r="AF83" i="99" s="1"/>
  <c r="AG83" i="99" s="1"/>
  <c r="AH83" i="99" s="1"/>
  <c r="AI83" i="99" s="1"/>
  <c r="AE40" i="99"/>
  <c r="AF40" i="99" s="1"/>
  <c r="AG40" i="99" s="1"/>
  <c r="AH40" i="99" s="1"/>
  <c r="AI40" i="99" s="1"/>
  <c r="AE67" i="99"/>
  <c r="AF67" i="99" s="1"/>
  <c r="AG67" i="99" s="1"/>
  <c r="AH67" i="99" s="1"/>
  <c r="AI67" i="99" s="1"/>
  <c r="AE36" i="99"/>
  <c r="AF36" i="99" s="1"/>
  <c r="AG36" i="99" s="1"/>
  <c r="AH36" i="99" s="1"/>
  <c r="AI36" i="99" s="1"/>
  <c r="AE10" i="99"/>
  <c r="AF10" i="99" s="1"/>
  <c r="AG10" i="99" s="1"/>
  <c r="AH10" i="99" s="1"/>
  <c r="AI10" i="99" s="1"/>
  <c r="AE88" i="99"/>
  <c r="AF88" i="99" s="1"/>
  <c r="AG88" i="99" s="1"/>
  <c r="AH88" i="99" s="1"/>
  <c r="AI88" i="99" s="1"/>
  <c r="AE77" i="99"/>
  <c r="AF77" i="99" s="1"/>
  <c r="AG77" i="99" s="1"/>
  <c r="AH77" i="99" s="1"/>
  <c r="AI77" i="99" s="1"/>
  <c r="AE57" i="99"/>
  <c r="AF57" i="99" s="1"/>
  <c r="AG57" i="99" s="1"/>
  <c r="AH57" i="99" s="1"/>
  <c r="AI57" i="99" s="1"/>
  <c r="AE46" i="99"/>
  <c r="AF46" i="99" s="1"/>
  <c r="AG46" i="99" s="1"/>
  <c r="AH46" i="99" s="1"/>
  <c r="AI46" i="99" s="1"/>
  <c r="AE80" i="99"/>
  <c r="AF80" i="99" s="1"/>
  <c r="AG80" i="99" s="1"/>
  <c r="AH80" i="99" s="1"/>
  <c r="AI80" i="99" s="1"/>
  <c r="AE15" i="99"/>
  <c r="AF15" i="99" s="1"/>
  <c r="AG15" i="99" s="1"/>
  <c r="AH15" i="99" s="1"/>
  <c r="AI15" i="99" s="1"/>
  <c r="AE47" i="99"/>
  <c r="AF47" i="99" s="1"/>
  <c r="AG47" i="99" s="1"/>
  <c r="AH47" i="99" s="1"/>
  <c r="AI47" i="99" s="1"/>
  <c r="AE25" i="99"/>
  <c r="AF25" i="99" s="1"/>
  <c r="AG25" i="99" s="1"/>
  <c r="AH25" i="99" s="1"/>
  <c r="AI25" i="99" s="1"/>
  <c r="AE71" i="99"/>
  <c r="AF71" i="99" s="1"/>
  <c r="AG71" i="99" s="1"/>
  <c r="AH71" i="99" s="1"/>
  <c r="AI71" i="99" s="1"/>
  <c r="AE23" i="99"/>
  <c r="AF23" i="99" s="1"/>
  <c r="AG23" i="99" s="1"/>
  <c r="AH23" i="99" s="1"/>
  <c r="AI23" i="99" s="1"/>
  <c r="AE11" i="99"/>
  <c r="AF11" i="99" s="1"/>
  <c r="AG11" i="99" s="1"/>
  <c r="AH11" i="99" s="1"/>
  <c r="AI11" i="99" s="1"/>
  <c r="AE18" i="99"/>
  <c r="AF18" i="99" s="1"/>
  <c r="AG18" i="99" s="1"/>
  <c r="AH18" i="99" s="1"/>
  <c r="AI18" i="99" s="1"/>
  <c r="AE76" i="99"/>
  <c r="AF76" i="99" s="1"/>
  <c r="AG76" i="99" s="1"/>
  <c r="AH76" i="99" s="1"/>
  <c r="AI76" i="99" s="1"/>
  <c r="AE45" i="99"/>
  <c r="AF45" i="99" s="1"/>
  <c r="AG45" i="99" s="1"/>
  <c r="AH45" i="99" s="1"/>
  <c r="AI45" i="99" s="1"/>
  <c r="AE37" i="99"/>
  <c r="AF37" i="99" s="1"/>
  <c r="AG37" i="99" s="1"/>
  <c r="AH37" i="99" s="1"/>
  <c r="AI37" i="99" s="1"/>
  <c r="AE50" i="99"/>
  <c r="AF50" i="99" s="1"/>
  <c r="AG50" i="99" s="1"/>
  <c r="AH50" i="99" s="1"/>
  <c r="AI50" i="99" s="1"/>
  <c r="AE60" i="99"/>
  <c r="AF60" i="99" s="1"/>
  <c r="AG60" i="99" s="1"/>
  <c r="AH60" i="99" s="1"/>
  <c r="AI60" i="99" s="1"/>
  <c r="AQ107" i="99"/>
  <c r="AR107" i="99" s="1"/>
  <c r="AS107" i="99" s="1"/>
  <c r="AT107" i="99" s="1"/>
  <c r="AU107" i="99" s="1"/>
  <c r="AQ85" i="99"/>
  <c r="AR85" i="99" s="1"/>
  <c r="AS85" i="99" s="1"/>
  <c r="AT85" i="99" s="1"/>
  <c r="AU85" i="99" s="1"/>
  <c r="AQ74" i="99"/>
  <c r="AR74" i="99" s="1"/>
  <c r="AS74" i="99" s="1"/>
  <c r="AT74" i="99" s="1"/>
  <c r="AU74" i="99" s="1"/>
  <c r="AQ52" i="99"/>
  <c r="AR52" i="99" s="1"/>
  <c r="AS52" i="99" s="1"/>
  <c r="AT52" i="99" s="1"/>
  <c r="AU52" i="99" s="1"/>
  <c r="AQ13" i="99"/>
  <c r="AR13" i="99" s="1"/>
  <c r="AS13" i="99" s="1"/>
  <c r="AT13" i="99" s="1"/>
  <c r="AU13" i="99" s="1"/>
  <c r="AQ62" i="99"/>
  <c r="AR62" i="99" s="1"/>
  <c r="AS62" i="99" s="1"/>
  <c r="AT62" i="99" s="1"/>
  <c r="AU62" i="99" s="1"/>
  <c r="AQ24" i="99"/>
  <c r="AR24" i="99" s="1"/>
  <c r="AS24" i="99" s="1"/>
  <c r="AT24" i="99" s="1"/>
  <c r="AU24" i="99" s="1"/>
  <c r="AQ99" i="99"/>
  <c r="AR99" i="99" s="1"/>
  <c r="AS99" i="99" s="1"/>
  <c r="AT99" i="99" s="1"/>
  <c r="AU99" i="99" s="1"/>
  <c r="AQ91" i="99"/>
  <c r="AR91" i="99" s="1"/>
  <c r="AS91" i="99" s="1"/>
  <c r="AT91" i="99" s="1"/>
  <c r="AU91" i="99" s="1"/>
  <c r="AQ39" i="99"/>
  <c r="AR39" i="99" s="1"/>
  <c r="AS39" i="99" s="1"/>
  <c r="AT39" i="99" s="1"/>
  <c r="AU39" i="99" s="1"/>
  <c r="AQ23" i="99"/>
  <c r="AR23" i="99" s="1"/>
  <c r="AS23" i="99" s="1"/>
  <c r="AT23" i="99" s="1"/>
  <c r="AU23" i="99" s="1"/>
  <c r="AQ53" i="99"/>
  <c r="AR53" i="99" s="1"/>
  <c r="AS53" i="99" s="1"/>
  <c r="AT53" i="99" s="1"/>
  <c r="AU53" i="99" s="1"/>
  <c r="AQ70" i="99"/>
  <c r="AR70" i="99" s="1"/>
  <c r="AS70" i="99" s="1"/>
  <c r="AT70" i="99" s="1"/>
  <c r="AU70" i="99" s="1"/>
  <c r="AQ68" i="99"/>
  <c r="AR68" i="99" s="1"/>
  <c r="AS68" i="99" s="1"/>
  <c r="AT68" i="99" s="1"/>
  <c r="AU68" i="99" s="1"/>
  <c r="AQ49" i="99"/>
  <c r="AR49" i="99" s="1"/>
  <c r="AS49" i="99" s="1"/>
  <c r="AT49" i="99" s="1"/>
  <c r="AU49" i="99" s="1"/>
  <c r="AQ21" i="99"/>
  <c r="AR21" i="99" s="1"/>
  <c r="AS21" i="99" s="1"/>
  <c r="AT21" i="99" s="1"/>
  <c r="AU21" i="99" s="1"/>
  <c r="AQ78" i="99"/>
  <c r="AR78" i="99" s="1"/>
  <c r="AS78" i="99" s="1"/>
  <c r="AT78" i="99" s="1"/>
  <c r="AU78" i="99" s="1"/>
  <c r="AQ43" i="99"/>
  <c r="AR43" i="99" s="1"/>
  <c r="AS43" i="99" s="1"/>
  <c r="AT43" i="99" s="1"/>
  <c r="AU43" i="99" s="1"/>
  <c r="AQ12" i="99"/>
  <c r="AR12" i="99" s="1"/>
  <c r="AS12" i="99" s="1"/>
  <c r="AT12" i="99" s="1"/>
  <c r="AU12" i="99" s="1"/>
  <c r="AQ40" i="99"/>
  <c r="AR40" i="99" s="1"/>
  <c r="AS40" i="99" s="1"/>
  <c r="AT40" i="99" s="1"/>
  <c r="AU40" i="99" s="1"/>
  <c r="AQ9" i="99"/>
  <c r="AR9" i="99" s="1"/>
  <c r="AS9" i="99" s="1"/>
  <c r="AT9" i="99" s="1"/>
  <c r="AQ28" i="99"/>
  <c r="AR28" i="99" s="1"/>
  <c r="AS28" i="99" s="1"/>
  <c r="AT28" i="99" s="1"/>
  <c r="AU28" i="99" s="1"/>
  <c r="AQ67" i="99"/>
  <c r="AR67" i="99" s="1"/>
  <c r="AS67" i="99" s="1"/>
  <c r="AT67" i="99" s="1"/>
  <c r="AU67" i="99" s="1"/>
  <c r="AQ66" i="99"/>
  <c r="AR66" i="99" s="1"/>
  <c r="AS66" i="99" s="1"/>
  <c r="AT66" i="99" s="1"/>
  <c r="AU66" i="99" s="1"/>
  <c r="AQ90" i="99"/>
  <c r="AR90" i="99" s="1"/>
  <c r="AS90" i="99" s="1"/>
  <c r="AT90" i="99" s="1"/>
  <c r="AU90" i="99" s="1"/>
  <c r="AQ92" i="99"/>
  <c r="AR92" i="99" s="1"/>
  <c r="AS92" i="99" s="1"/>
  <c r="AT92" i="99" s="1"/>
  <c r="AU92" i="99" s="1"/>
  <c r="AQ86" i="99"/>
  <c r="AR86" i="99" s="1"/>
  <c r="AS86" i="99" s="1"/>
  <c r="AT86" i="99" s="1"/>
  <c r="AU86" i="99" s="1"/>
  <c r="AQ60" i="99"/>
  <c r="AR60" i="99" s="1"/>
  <c r="AS60" i="99" s="1"/>
  <c r="AT60" i="99" s="1"/>
  <c r="AU60" i="99" s="1"/>
  <c r="AQ16" i="99"/>
  <c r="AR16" i="99" s="1"/>
  <c r="AS16" i="99" s="1"/>
  <c r="AT16" i="99" s="1"/>
  <c r="AU16" i="99" s="1"/>
  <c r="AQ32" i="99"/>
  <c r="AR32" i="99" s="1"/>
  <c r="AS32" i="99" s="1"/>
  <c r="AT32" i="99" s="1"/>
  <c r="AU32" i="99" s="1"/>
  <c r="AQ103" i="99"/>
  <c r="AR103" i="99" s="1"/>
  <c r="AS103" i="99" s="1"/>
  <c r="AT103" i="99" s="1"/>
  <c r="AU103" i="99" s="1"/>
  <c r="AQ11" i="99"/>
  <c r="AR11" i="99" s="1"/>
  <c r="AS11" i="99" s="1"/>
  <c r="AT11" i="99" s="1"/>
  <c r="AU11" i="99" s="1"/>
  <c r="AQ50" i="99"/>
  <c r="AR50" i="99" s="1"/>
  <c r="AS50" i="99" s="1"/>
  <c r="AT50" i="99" s="1"/>
  <c r="AU50" i="99" s="1"/>
  <c r="AQ17" i="99"/>
  <c r="AR17" i="99" s="1"/>
  <c r="AS17" i="99" s="1"/>
  <c r="AT17" i="99" s="1"/>
  <c r="AU17" i="99" s="1"/>
  <c r="AQ19" i="99"/>
  <c r="AR19" i="99" s="1"/>
  <c r="AS19" i="99" s="1"/>
  <c r="AT19" i="99" s="1"/>
  <c r="AU19" i="99" s="1"/>
  <c r="AQ26" i="99"/>
  <c r="AR26" i="99" s="1"/>
  <c r="AS26" i="99" s="1"/>
  <c r="AT26" i="99" s="1"/>
  <c r="AU26" i="99" s="1"/>
  <c r="AQ42" i="99"/>
  <c r="AR42" i="99" s="1"/>
  <c r="AS42" i="99" s="1"/>
  <c r="AT42" i="99" s="1"/>
  <c r="AU42" i="99" s="1"/>
  <c r="AQ82" i="99"/>
  <c r="AR82" i="99" s="1"/>
  <c r="AS82" i="99" s="1"/>
  <c r="AT82" i="99" s="1"/>
  <c r="AU82" i="99" s="1"/>
  <c r="AQ93" i="99"/>
  <c r="AR93" i="99" s="1"/>
  <c r="AS93" i="99" s="1"/>
  <c r="AT93" i="99" s="1"/>
  <c r="AU93" i="99" s="1"/>
  <c r="AQ95" i="99"/>
  <c r="AR95" i="99" s="1"/>
  <c r="AS95" i="99" s="1"/>
  <c r="AT95" i="99" s="1"/>
  <c r="AU95" i="99" s="1"/>
  <c r="AQ75" i="99"/>
  <c r="AR75" i="99" s="1"/>
  <c r="AS75" i="99" s="1"/>
  <c r="AT75" i="99" s="1"/>
  <c r="AU75" i="99" s="1"/>
  <c r="AQ58" i="99"/>
  <c r="AR58" i="99" s="1"/>
  <c r="AS58" i="99" s="1"/>
  <c r="AT58" i="99" s="1"/>
  <c r="AU58" i="99" s="1"/>
  <c r="AQ33" i="99"/>
  <c r="AR33" i="99" s="1"/>
  <c r="AS33" i="99" s="1"/>
  <c r="AT33" i="99" s="1"/>
  <c r="AU33" i="99" s="1"/>
  <c r="AQ48" i="99"/>
  <c r="AR48" i="99" s="1"/>
  <c r="AS48" i="99" s="1"/>
  <c r="AT48" i="99" s="1"/>
  <c r="AU48" i="99" s="1"/>
  <c r="AQ81" i="99"/>
  <c r="AR81" i="99" s="1"/>
  <c r="AS81" i="99" s="1"/>
  <c r="AT81" i="99" s="1"/>
  <c r="AU81" i="99" s="1"/>
  <c r="AQ84" i="99"/>
  <c r="AR84" i="99" s="1"/>
  <c r="AS84" i="99" s="1"/>
  <c r="AT84" i="99" s="1"/>
  <c r="AU84" i="99" s="1"/>
  <c r="AQ63" i="99"/>
  <c r="AR63" i="99" s="1"/>
  <c r="AS63" i="99" s="1"/>
  <c r="AT63" i="99" s="1"/>
  <c r="AU63" i="99" s="1"/>
  <c r="AQ34" i="99"/>
  <c r="AR34" i="99" s="1"/>
  <c r="AS34" i="99" s="1"/>
  <c r="AT34" i="99" s="1"/>
  <c r="AU34" i="99" s="1"/>
  <c r="AQ35" i="99"/>
  <c r="AR35" i="99" s="1"/>
  <c r="AS35" i="99" s="1"/>
  <c r="AT35" i="99" s="1"/>
  <c r="AU35" i="99" s="1"/>
  <c r="AQ45" i="99"/>
  <c r="AR45" i="99" s="1"/>
  <c r="AS45" i="99" s="1"/>
  <c r="AT45" i="99" s="1"/>
  <c r="AU45" i="99" s="1"/>
  <c r="AQ15" i="99"/>
  <c r="AR15" i="99" s="1"/>
  <c r="AS15" i="99" s="1"/>
  <c r="AT15" i="99" s="1"/>
  <c r="AU15" i="99" s="1"/>
  <c r="AQ30" i="99"/>
  <c r="AR30" i="99" s="1"/>
  <c r="AS30" i="99" s="1"/>
  <c r="AT30" i="99" s="1"/>
  <c r="AU30" i="99" s="1"/>
  <c r="AQ47" i="99"/>
  <c r="AR47" i="99" s="1"/>
  <c r="AS47" i="99" s="1"/>
  <c r="AT47" i="99" s="1"/>
  <c r="AU47" i="99" s="1"/>
  <c r="AQ55" i="99"/>
  <c r="AR55" i="99" s="1"/>
  <c r="AS55" i="99" s="1"/>
  <c r="AT55" i="99" s="1"/>
  <c r="AU55" i="99" s="1"/>
  <c r="AQ37" i="99"/>
  <c r="AR37" i="99" s="1"/>
  <c r="AS37" i="99" s="1"/>
  <c r="AT37" i="99" s="1"/>
  <c r="AU37" i="99" s="1"/>
  <c r="AQ22" i="99"/>
  <c r="AR22" i="99" s="1"/>
  <c r="AS22" i="99" s="1"/>
  <c r="AT22" i="99" s="1"/>
  <c r="AU22" i="99" s="1"/>
  <c r="AQ61" i="99"/>
  <c r="AR61" i="99" s="1"/>
  <c r="AS61" i="99" s="1"/>
  <c r="AT61" i="99" s="1"/>
  <c r="AU61" i="99" s="1"/>
  <c r="AQ94" i="99"/>
  <c r="AR94" i="99" s="1"/>
  <c r="AS94" i="99" s="1"/>
  <c r="AT94" i="99" s="1"/>
  <c r="AU94" i="99" s="1"/>
  <c r="AQ14" i="99"/>
  <c r="AR14" i="99" s="1"/>
  <c r="AS14" i="99" s="1"/>
  <c r="AT14" i="99" s="1"/>
  <c r="AU14" i="99" s="1"/>
  <c r="AQ69" i="99"/>
  <c r="AR69" i="99" s="1"/>
  <c r="AS69" i="99" s="1"/>
  <c r="AT69" i="99" s="1"/>
  <c r="AU69" i="99" s="1"/>
  <c r="AQ57" i="99"/>
  <c r="AR57" i="99" s="1"/>
  <c r="AS57" i="99" s="1"/>
  <c r="AT57" i="99" s="1"/>
  <c r="AU57" i="99" s="1"/>
  <c r="AQ101" i="99"/>
  <c r="AR101" i="99" s="1"/>
  <c r="AS101" i="99" s="1"/>
  <c r="AT101" i="99" s="1"/>
  <c r="AU101" i="99" s="1"/>
  <c r="AQ20" i="99"/>
  <c r="AR20" i="99" s="1"/>
  <c r="AS20" i="99" s="1"/>
  <c r="AT20" i="99" s="1"/>
  <c r="AU20" i="99" s="1"/>
  <c r="AQ76" i="99"/>
  <c r="AR76" i="99" s="1"/>
  <c r="AS76" i="99" s="1"/>
  <c r="AT76" i="99" s="1"/>
  <c r="AU76" i="99" s="1"/>
  <c r="AQ51" i="99"/>
  <c r="AR51" i="99" s="1"/>
  <c r="AS51" i="99" s="1"/>
  <c r="AT51" i="99" s="1"/>
  <c r="AU51" i="99" s="1"/>
  <c r="AQ100" i="99"/>
  <c r="AR100" i="99" s="1"/>
  <c r="AS100" i="99" s="1"/>
  <c r="AT100" i="99" s="1"/>
  <c r="AU100" i="99" s="1"/>
  <c r="AQ96" i="99"/>
  <c r="AR96" i="99" s="1"/>
  <c r="AS96" i="99" s="1"/>
  <c r="AT96" i="99" s="1"/>
  <c r="AU96" i="99" s="1"/>
  <c r="AQ18" i="99"/>
  <c r="AR18" i="99" s="1"/>
  <c r="AS18" i="99" s="1"/>
  <c r="AT18" i="99" s="1"/>
  <c r="AU18" i="99" s="1"/>
  <c r="AQ87" i="99"/>
  <c r="AR87" i="99" s="1"/>
  <c r="AS87" i="99" s="1"/>
  <c r="AT87" i="99" s="1"/>
  <c r="AU87" i="99" s="1"/>
  <c r="AQ65" i="99"/>
  <c r="AR65" i="99" s="1"/>
  <c r="AS65" i="99" s="1"/>
  <c r="AT65" i="99" s="1"/>
  <c r="AU65" i="99" s="1"/>
  <c r="AQ54" i="99"/>
  <c r="AR54" i="99" s="1"/>
  <c r="AS54" i="99" s="1"/>
  <c r="AT54" i="99" s="1"/>
  <c r="AU54" i="99" s="1"/>
  <c r="AQ41" i="99"/>
  <c r="AR41" i="99" s="1"/>
  <c r="AS41" i="99" s="1"/>
  <c r="AT41" i="99" s="1"/>
  <c r="AU41" i="99" s="1"/>
  <c r="AQ46" i="99"/>
  <c r="AR46" i="99" s="1"/>
  <c r="AS46" i="99" s="1"/>
  <c r="AT46" i="99" s="1"/>
  <c r="AU46" i="99" s="1"/>
  <c r="AQ38" i="99"/>
  <c r="AR38" i="99" s="1"/>
  <c r="AS38" i="99" s="1"/>
  <c r="AT38" i="99" s="1"/>
  <c r="AU38" i="99" s="1"/>
  <c r="AQ27" i="99"/>
  <c r="AR27" i="99" s="1"/>
  <c r="AS27" i="99" s="1"/>
  <c r="AT27" i="99" s="1"/>
  <c r="AU27" i="99" s="1"/>
  <c r="AQ73" i="99"/>
  <c r="AR73" i="99" s="1"/>
  <c r="AS73" i="99" s="1"/>
  <c r="AT73" i="99" s="1"/>
  <c r="AU73" i="99" s="1"/>
  <c r="AQ106" i="99"/>
  <c r="AR106" i="99" s="1"/>
  <c r="AS106" i="99" s="1"/>
  <c r="AT106" i="99" s="1"/>
  <c r="AU106" i="99" s="1"/>
  <c r="AQ77" i="99"/>
  <c r="AR77" i="99" s="1"/>
  <c r="AS77" i="99" s="1"/>
  <c r="AT77" i="99" s="1"/>
  <c r="AU77" i="99" s="1"/>
  <c r="AQ59" i="99"/>
  <c r="AR59" i="99" s="1"/>
  <c r="AS59" i="99" s="1"/>
  <c r="AT59" i="99" s="1"/>
  <c r="AU59" i="99" s="1"/>
  <c r="AQ25" i="99"/>
  <c r="AR25" i="99" s="1"/>
  <c r="AS25" i="99" s="1"/>
  <c r="AT25" i="99" s="1"/>
  <c r="AU25" i="99" s="1"/>
  <c r="AQ56" i="99"/>
  <c r="AR56" i="99" s="1"/>
  <c r="AS56" i="99" s="1"/>
  <c r="AT56" i="99" s="1"/>
  <c r="AU56" i="99" s="1"/>
  <c r="AQ29" i="99"/>
  <c r="AR29" i="99" s="1"/>
  <c r="AS29" i="99" s="1"/>
  <c r="AT29" i="99" s="1"/>
  <c r="AU29" i="99" s="1"/>
  <c r="AQ102" i="99"/>
  <c r="AR102" i="99" s="1"/>
  <c r="AS102" i="99" s="1"/>
  <c r="AT102" i="99" s="1"/>
  <c r="AU102" i="99" s="1"/>
  <c r="AQ89" i="99"/>
  <c r="AR89" i="99" s="1"/>
  <c r="AS89" i="99" s="1"/>
  <c r="AT89" i="99" s="1"/>
  <c r="AU89" i="99" s="1"/>
  <c r="AQ105" i="99"/>
  <c r="AR105" i="99" s="1"/>
  <c r="AS105" i="99" s="1"/>
  <c r="AT105" i="99" s="1"/>
  <c r="AU105" i="99" s="1"/>
  <c r="AQ98" i="99"/>
  <c r="AR98" i="99" s="1"/>
  <c r="AS98" i="99" s="1"/>
  <c r="AT98" i="99" s="1"/>
  <c r="AU98" i="99" s="1"/>
  <c r="AQ79" i="99"/>
  <c r="AR79" i="99" s="1"/>
  <c r="AS79" i="99" s="1"/>
  <c r="AT79" i="99" s="1"/>
  <c r="AU79" i="99" s="1"/>
  <c r="AQ31" i="99"/>
  <c r="AR31" i="99" s="1"/>
  <c r="AS31" i="99" s="1"/>
  <c r="AT31" i="99" s="1"/>
  <c r="AU31" i="99" s="1"/>
  <c r="AQ71" i="99"/>
  <c r="AR71" i="99" s="1"/>
  <c r="AS71" i="99" s="1"/>
  <c r="AT71" i="99" s="1"/>
  <c r="AU71" i="99" s="1"/>
  <c r="AQ104" i="99"/>
  <c r="AR104" i="99" s="1"/>
  <c r="AS104" i="99" s="1"/>
  <c r="AT104" i="99" s="1"/>
  <c r="AU104" i="99" s="1"/>
  <c r="AQ83" i="99"/>
  <c r="AR83" i="99" s="1"/>
  <c r="AS83" i="99" s="1"/>
  <c r="AT83" i="99" s="1"/>
  <c r="AU83" i="99" s="1"/>
  <c r="AQ72" i="99"/>
  <c r="AR72" i="99" s="1"/>
  <c r="AS72" i="99" s="1"/>
  <c r="AT72" i="99" s="1"/>
  <c r="AU72" i="99" s="1"/>
  <c r="AQ10" i="99"/>
  <c r="AR10" i="99" s="1"/>
  <c r="AS10" i="99" s="1"/>
  <c r="AT10" i="99" s="1"/>
  <c r="AU10" i="99" s="1"/>
  <c r="AQ108" i="99"/>
  <c r="AR108" i="99" s="1"/>
  <c r="AS108" i="99" s="1"/>
  <c r="AT108" i="99" s="1"/>
  <c r="AU108" i="99" s="1"/>
  <c r="AQ88" i="99"/>
  <c r="AR88" i="99" s="1"/>
  <c r="AS88" i="99" s="1"/>
  <c r="AT88" i="99" s="1"/>
  <c r="AU88" i="99" s="1"/>
  <c r="AQ36" i="99"/>
  <c r="AR36" i="99" s="1"/>
  <c r="AS36" i="99" s="1"/>
  <c r="AT36" i="99" s="1"/>
  <c r="AU36" i="99" s="1"/>
  <c r="AQ80" i="99"/>
  <c r="AR80" i="99" s="1"/>
  <c r="AS80" i="99" s="1"/>
  <c r="AT80" i="99" s="1"/>
  <c r="AU80" i="99" s="1"/>
  <c r="AQ97" i="99"/>
  <c r="AR97" i="99" s="1"/>
  <c r="AS97" i="99" s="1"/>
  <c r="AT97" i="99" s="1"/>
  <c r="AU97" i="99" s="1"/>
  <c r="AQ44" i="99"/>
  <c r="AR44" i="99" s="1"/>
  <c r="AS44" i="99" s="1"/>
  <c r="AT44" i="99" s="1"/>
  <c r="AU44" i="99" s="1"/>
  <c r="AQ64" i="99"/>
  <c r="AR64" i="99" s="1"/>
  <c r="AS64" i="99" s="1"/>
  <c r="AT64" i="99" s="1"/>
  <c r="AU64" i="99" s="1"/>
  <c r="S45" i="99"/>
  <c r="T45" i="99" s="1"/>
  <c r="U45" i="99" s="1"/>
  <c r="V45" i="99" s="1"/>
  <c r="W45" i="99" s="1"/>
  <c r="S84" i="99"/>
  <c r="T84" i="99" s="1"/>
  <c r="U84" i="99" s="1"/>
  <c r="V84" i="99" s="1"/>
  <c r="W84" i="99" s="1"/>
  <c r="S54" i="99"/>
  <c r="T54" i="99" s="1"/>
  <c r="U54" i="99" s="1"/>
  <c r="V54" i="99" s="1"/>
  <c r="W54" i="99" s="1"/>
  <c r="S94" i="99"/>
  <c r="T94" i="99" s="1"/>
  <c r="U94" i="99" s="1"/>
  <c r="V94" i="99" s="1"/>
  <c r="W94" i="99" s="1"/>
  <c r="S67" i="99"/>
  <c r="T67" i="99" s="1"/>
  <c r="U67" i="99" s="1"/>
  <c r="V67" i="99" s="1"/>
  <c r="W67" i="99" s="1"/>
  <c r="S95" i="99"/>
  <c r="T95" i="99" s="1"/>
  <c r="U95" i="99" s="1"/>
  <c r="V95" i="99" s="1"/>
  <c r="W95" i="99" s="1"/>
  <c r="S88" i="99"/>
  <c r="T88" i="99" s="1"/>
  <c r="U88" i="99" s="1"/>
  <c r="V88" i="99" s="1"/>
  <c r="W88" i="99" s="1"/>
  <c r="S64" i="99"/>
  <c r="T64" i="99" s="1"/>
  <c r="U64" i="99" s="1"/>
  <c r="V64" i="99" s="1"/>
  <c r="W64" i="99" s="1"/>
  <c r="S104" i="99"/>
  <c r="T104" i="99" s="1"/>
  <c r="U104" i="99" s="1"/>
  <c r="V104" i="99" s="1"/>
  <c r="W104" i="99" s="1"/>
  <c r="S22" i="99"/>
  <c r="T22" i="99" s="1"/>
  <c r="U22" i="99" s="1"/>
  <c r="V22" i="99" s="1"/>
  <c r="W22" i="99" s="1"/>
  <c r="S86" i="99"/>
  <c r="T86" i="99" s="1"/>
  <c r="U86" i="99" s="1"/>
  <c r="V86" i="99" s="1"/>
  <c r="W86" i="99" s="1"/>
  <c r="S107" i="99"/>
  <c r="T107" i="99" s="1"/>
  <c r="U107" i="99" s="1"/>
  <c r="V107" i="99" s="1"/>
  <c r="W107" i="99" s="1"/>
  <c r="S90" i="99"/>
  <c r="T90" i="99" s="1"/>
  <c r="U90" i="99" s="1"/>
  <c r="V90" i="99" s="1"/>
  <c r="W90" i="99" s="1"/>
  <c r="S96" i="99"/>
  <c r="T96" i="99" s="1"/>
  <c r="U96" i="99" s="1"/>
  <c r="V96" i="99" s="1"/>
  <c r="W96" i="99" s="1"/>
  <c r="S63" i="99"/>
  <c r="T63" i="99" s="1"/>
  <c r="U63" i="99" s="1"/>
  <c r="V63" i="99" s="1"/>
  <c r="W63" i="99" s="1"/>
  <c r="S91" i="99"/>
  <c r="T91" i="99" s="1"/>
  <c r="U91" i="99" s="1"/>
  <c r="V91" i="99" s="1"/>
  <c r="W91" i="99" s="1"/>
  <c r="S70" i="99"/>
  <c r="T70" i="99" s="1"/>
  <c r="U70" i="99" s="1"/>
  <c r="V70" i="99" s="1"/>
  <c r="W70" i="99" s="1"/>
  <c r="S38" i="99"/>
  <c r="T38" i="99" s="1"/>
  <c r="U38" i="99" s="1"/>
  <c r="V38" i="99" s="1"/>
  <c r="W38" i="99" s="1"/>
  <c r="S11" i="99"/>
  <c r="T11" i="99" s="1"/>
  <c r="U11" i="99" s="1"/>
  <c r="V11" i="99" s="1"/>
  <c r="W11" i="99" s="1"/>
  <c r="S81" i="99"/>
  <c r="T81" i="99" s="1"/>
  <c r="U81" i="99" s="1"/>
  <c r="V81" i="99" s="1"/>
  <c r="W81" i="99" s="1"/>
  <c r="S50" i="99"/>
  <c r="T50" i="99" s="1"/>
  <c r="U50" i="99" s="1"/>
  <c r="V50" i="99" s="1"/>
  <c r="W50" i="99" s="1"/>
  <c r="S56" i="99"/>
  <c r="T56" i="99" s="1"/>
  <c r="U56" i="99" s="1"/>
  <c r="V56" i="99" s="1"/>
  <c r="W56" i="99" s="1"/>
  <c r="S25" i="99"/>
  <c r="T25" i="99" s="1"/>
  <c r="U25" i="99" s="1"/>
  <c r="V25" i="99" s="1"/>
  <c r="W25" i="99" s="1"/>
  <c r="S73" i="99"/>
  <c r="T73" i="99" s="1"/>
  <c r="U73" i="99" s="1"/>
  <c r="V73" i="99" s="1"/>
  <c r="W73" i="99" s="1"/>
  <c r="S97" i="99"/>
  <c r="T97" i="99" s="1"/>
  <c r="U97" i="99" s="1"/>
  <c r="V97" i="99" s="1"/>
  <c r="W97" i="99" s="1"/>
  <c r="S17" i="99"/>
  <c r="T17" i="99" s="1"/>
  <c r="U17" i="99" s="1"/>
  <c r="V17" i="99" s="1"/>
  <c r="W17" i="99" s="1"/>
  <c r="S82" i="99"/>
  <c r="T82" i="99" s="1"/>
  <c r="U82" i="99" s="1"/>
  <c r="V82" i="99" s="1"/>
  <c r="W82" i="99" s="1"/>
  <c r="S52" i="99"/>
  <c r="T52" i="99" s="1"/>
  <c r="U52" i="99" s="1"/>
  <c r="V52" i="99" s="1"/>
  <c r="W52" i="99" s="1"/>
  <c r="S51" i="99"/>
  <c r="T51" i="99" s="1"/>
  <c r="U51" i="99" s="1"/>
  <c r="V51" i="99" s="1"/>
  <c r="W51" i="99" s="1"/>
  <c r="S32" i="99"/>
  <c r="T32" i="99" s="1"/>
  <c r="U32" i="99" s="1"/>
  <c r="V32" i="99" s="1"/>
  <c r="W32" i="99" s="1"/>
  <c r="S100" i="99"/>
  <c r="T100" i="99" s="1"/>
  <c r="U100" i="99" s="1"/>
  <c r="V100" i="99" s="1"/>
  <c r="W100" i="99" s="1"/>
  <c r="S72" i="99"/>
  <c r="T72" i="99" s="1"/>
  <c r="U72" i="99" s="1"/>
  <c r="V72" i="99" s="1"/>
  <c r="W72" i="99" s="1"/>
  <c r="S41" i="99"/>
  <c r="T41" i="99" s="1"/>
  <c r="U41" i="99" s="1"/>
  <c r="V41" i="99" s="1"/>
  <c r="W41" i="99" s="1"/>
  <c r="S24" i="99"/>
  <c r="T24" i="99" s="1"/>
  <c r="U24" i="99" s="1"/>
  <c r="V24" i="99" s="1"/>
  <c r="W24" i="99" s="1"/>
  <c r="S74" i="99"/>
  <c r="T74" i="99" s="1"/>
  <c r="U74" i="99" s="1"/>
  <c r="V74" i="99" s="1"/>
  <c r="W74" i="99" s="1"/>
  <c r="S92" i="99"/>
  <c r="T92" i="99" s="1"/>
  <c r="U92" i="99" s="1"/>
  <c r="V92" i="99" s="1"/>
  <c r="W92" i="99" s="1"/>
  <c r="S36" i="99"/>
  <c r="T36" i="99" s="1"/>
  <c r="U36" i="99" s="1"/>
  <c r="V36" i="99" s="1"/>
  <c r="W36" i="99" s="1"/>
  <c r="S71" i="99"/>
  <c r="T71" i="99" s="1"/>
  <c r="U71" i="99" s="1"/>
  <c r="V71" i="99" s="1"/>
  <c r="W71" i="99" s="1"/>
  <c r="S66" i="99"/>
  <c r="T66" i="99" s="1"/>
  <c r="U66" i="99" s="1"/>
  <c r="V66" i="99" s="1"/>
  <c r="W66" i="99" s="1"/>
  <c r="S16" i="99"/>
  <c r="T16" i="99" s="1"/>
  <c r="U16" i="99" s="1"/>
  <c r="V16" i="99" s="1"/>
  <c r="W16" i="99" s="1"/>
  <c r="S15" i="99"/>
  <c r="T15" i="99" s="1"/>
  <c r="U15" i="99" s="1"/>
  <c r="V15" i="99" s="1"/>
  <c r="W15" i="99" s="1"/>
  <c r="S9" i="99"/>
  <c r="T9" i="99" s="1"/>
  <c r="U9" i="99" s="1"/>
  <c r="V9" i="99" s="1"/>
  <c r="S58" i="99"/>
  <c r="T58" i="99" s="1"/>
  <c r="U58" i="99" s="1"/>
  <c r="V58" i="99" s="1"/>
  <c r="W58" i="99" s="1"/>
  <c r="S61" i="99"/>
  <c r="T61" i="99" s="1"/>
  <c r="U61" i="99" s="1"/>
  <c r="V61" i="99" s="1"/>
  <c r="W61" i="99" s="1"/>
  <c r="S75" i="99"/>
  <c r="T75" i="99" s="1"/>
  <c r="U75" i="99" s="1"/>
  <c r="V75" i="99" s="1"/>
  <c r="W75" i="99" s="1"/>
  <c r="S53" i="99"/>
  <c r="T53" i="99" s="1"/>
  <c r="U53" i="99" s="1"/>
  <c r="V53" i="99" s="1"/>
  <c r="W53" i="99" s="1"/>
  <c r="S42" i="99"/>
  <c r="T42" i="99" s="1"/>
  <c r="U42" i="99" s="1"/>
  <c r="V42" i="99" s="1"/>
  <c r="W42" i="99" s="1"/>
  <c r="S80" i="99"/>
  <c r="T80" i="99" s="1"/>
  <c r="U80" i="99" s="1"/>
  <c r="V80" i="99" s="1"/>
  <c r="W80" i="99" s="1"/>
  <c r="S99" i="99"/>
  <c r="T99" i="99" s="1"/>
  <c r="U99" i="99" s="1"/>
  <c r="V99" i="99" s="1"/>
  <c r="W99" i="99" s="1"/>
  <c r="S106" i="99"/>
  <c r="T106" i="99" s="1"/>
  <c r="U106" i="99" s="1"/>
  <c r="V106" i="99" s="1"/>
  <c r="W106" i="99" s="1"/>
  <c r="S10" i="99"/>
  <c r="T10" i="99" s="1"/>
  <c r="U10" i="99" s="1"/>
  <c r="V10" i="99" s="1"/>
  <c r="W10" i="99" s="1"/>
  <c r="S48" i="99"/>
  <c r="T48" i="99" s="1"/>
  <c r="U48" i="99" s="1"/>
  <c r="V48" i="99" s="1"/>
  <c r="W48" i="99" s="1"/>
  <c r="S89" i="99"/>
  <c r="T89" i="99" s="1"/>
  <c r="U89" i="99" s="1"/>
  <c r="V89" i="99" s="1"/>
  <c r="W89" i="99" s="1"/>
  <c r="S39" i="99"/>
  <c r="T39" i="99" s="1"/>
  <c r="U39" i="99" s="1"/>
  <c r="V39" i="99" s="1"/>
  <c r="W39" i="99" s="1"/>
  <c r="S43" i="99"/>
  <c r="T43" i="99" s="1"/>
  <c r="U43" i="99" s="1"/>
  <c r="V43" i="99" s="1"/>
  <c r="W43" i="99" s="1"/>
  <c r="S29" i="99"/>
  <c r="T29" i="99" s="1"/>
  <c r="U29" i="99" s="1"/>
  <c r="V29" i="99" s="1"/>
  <c r="W29" i="99" s="1"/>
  <c r="S14" i="99"/>
  <c r="T14" i="99" s="1"/>
  <c r="U14" i="99" s="1"/>
  <c r="V14" i="99" s="1"/>
  <c r="W14" i="99" s="1"/>
  <c r="S101" i="99"/>
  <c r="T101" i="99" s="1"/>
  <c r="U101" i="99" s="1"/>
  <c r="V101" i="99" s="1"/>
  <c r="W101" i="99" s="1"/>
  <c r="S102" i="99"/>
  <c r="T102" i="99" s="1"/>
  <c r="U102" i="99" s="1"/>
  <c r="V102" i="99" s="1"/>
  <c r="W102" i="99" s="1"/>
  <c r="S83" i="99"/>
  <c r="T83" i="99" s="1"/>
  <c r="U83" i="99" s="1"/>
  <c r="V83" i="99" s="1"/>
  <c r="W83" i="99" s="1"/>
  <c r="S31" i="99"/>
  <c r="T31" i="99" s="1"/>
  <c r="U31" i="99" s="1"/>
  <c r="V31" i="99" s="1"/>
  <c r="W31" i="99" s="1"/>
  <c r="S87" i="99"/>
  <c r="T87" i="99" s="1"/>
  <c r="U87" i="99" s="1"/>
  <c r="V87" i="99" s="1"/>
  <c r="W87" i="99" s="1"/>
  <c r="S37" i="99"/>
  <c r="T37" i="99" s="1"/>
  <c r="U37" i="99" s="1"/>
  <c r="V37" i="99" s="1"/>
  <c r="W37" i="99" s="1"/>
  <c r="S46" i="99"/>
  <c r="T46" i="99" s="1"/>
  <c r="U46" i="99" s="1"/>
  <c r="V46" i="99" s="1"/>
  <c r="W46" i="99" s="1"/>
  <c r="S55" i="99"/>
  <c r="T55" i="99" s="1"/>
  <c r="U55" i="99" s="1"/>
  <c r="V55" i="99" s="1"/>
  <c r="W55" i="99" s="1"/>
  <c r="S85" i="99"/>
  <c r="T85" i="99" s="1"/>
  <c r="U85" i="99" s="1"/>
  <c r="V85" i="99" s="1"/>
  <c r="W85" i="99" s="1"/>
  <c r="S108" i="99"/>
  <c r="T108" i="99" s="1"/>
  <c r="U108" i="99" s="1"/>
  <c r="V108" i="99" s="1"/>
  <c r="W108" i="99" s="1"/>
  <c r="S27" i="99"/>
  <c r="T27" i="99" s="1"/>
  <c r="U27" i="99" s="1"/>
  <c r="V27" i="99" s="1"/>
  <c r="W27" i="99" s="1"/>
  <c r="S98" i="99"/>
  <c r="T98" i="99" s="1"/>
  <c r="U98" i="99" s="1"/>
  <c r="V98" i="99" s="1"/>
  <c r="W98" i="99" s="1"/>
  <c r="S79" i="99"/>
  <c r="T79" i="99" s="1"/>
  <c r="U79" i="99" s="1"/>
  <c r="V79" i="99" s="1"/>
  <c r="W79" i="99" s="1"/>
  <c r="S77" i="99"/>
  <c r="T77" i="99" s="1"/>
  <c r="U77" i="99" s="1"/>
  <c r="V77" i="99" s="1"/>
  <c r="W77" i="99" s="1"/>
  <c r="S60" i="99"/>
  <c r="T60" i="99" s="1"/>
  <c r="U60" i="99" s="1"/>
  <c r="V60" i="99" s="1"/>
  <c r="W60" i="99" s="1"/>
  <c r="S68" i="99"/>
  <c r="T68" i="99" s="1"/>
  <c r="U68" i="99" s="1"/>
  <c r="V68" i="99" s="1"/>
  <c r="W68" i="99" s="1"/>
  <c r="S49" i="99"/>
  <c r="T49" i="99" s="1"/>
  <c r="U49" i="99" s="1"/>
  <c r="V49" i="99" s="1"/>
  <c r="W49" i="99" s="1"/>
  <c r="S34" i="99"/>
  <c r="T34" i="99" s="1"/>
  <c r="U34" i="99" s="1"/>
  <c r="V34" i="99" s="1"/>
  <c r="W34" i="99" s="1"/>
  <c r="S28" i="99"/>
  <c r="T28" i="99" s="1"/>
  <c r="U28" i="99" s="1"/>
  <c r="V28" i="99" s="1"/>
  <c r="W28" i="99" s="1"/>
  <c r="S12" i="99"/>
  <c r="T12" i="99" s="1"/>
  <c r="U12" i="99" s="1"/>
  <c r="V12" i="99" s="1"/>
  <c r="W12" i="99" s="1"/>
  <c r="S30" i="99"/>
  <c r="T30" i="99" s="1"/>
  <c r="U30" i="99" s="1"/>
  <c r="V30" i="99" s="1"/>
  <c r="W30" i="99" s="1"/>
  <c r="S93" i="99"/>
  <c r="T93" i="99" s="1"/>
  <c r="U93" i="99" s="1"/>
  <c r="V93" i="99" s="1"/>
  <c r="W93" i="99" s="1"/>
  <c r="S21" i="99"/>
  <c r="T21" i="99" s="1"/>
  <c r="U21" i="99" s="1"/>
  <c r="V21" i="99" s="1"/>
  <c r="W21" i="99" s="1"/>
  <c r="S23" i="99"/>
  <c r="T23" i="99" s="1"/>
  <c r="U23" i="99" s="1"/>
  <c r="V23" i="99" s="1"/>
  <c r="W23" i="99" s="1"/>
  <c r="S44" i="99"/>
  <c r="T44" i="99" s="1"/>
  <c r="U44" i="99" s="1"/>
  <c r="V44" i="99" s="1"/>
  <c r="W44" i="99" s="1"/>
  <c r="S69" i="99"/>
  <c r="T69" i="99" s="1"/>
  <c r="U69" i="99" s="1"/>
  <c r="V69" i="99" s="1"/>
  <c r="W69" i="99" s="1"/>
  <c r="S26" i="99"/>
  <c r="T26" i="99" s="1"/>
  <c r="U26" i="99" s="1"/>
  <c r="V26" i="99" s="1"/>
  <c r="W26" i="99" s="1"/>
  <c r="S62" i="99"/>
  <c r="T62" i="99" s="1"/>
  <c r="U62" i="99" s="1"/>
  <c r="V62" i="99" s="1"/>
  <c r="W62" i="99" s="1"/>
  <c r="S35" i="99"/>
  <c r="T35" i="99" s="1"/>
  <c r="U35" i="99" s="1"/>
  <c r="V35" i="99" s="1"/>
  <c r="W35" i="99" s="1"/>
  <c r="S18" i="99"/>
  <c r="T18" i="99" s="1"/>
  <c r="U18" i="99" s="1"/>
  <c r="V18" i="99" s="1"/>
  <c r="W18" i="99" s="1"/>
  <c r="S103" i="99"/>
  <c r="T103" i="99" s="1"/>
  <c r="U103" i="99" s="1"/>
  <c r="V103" i="99" s="1"/>
  <c r="W103" i="99" s="1"/>
  <c r="S19" i="99"/>
  <c r="T19" i="99" s="1"/>
  <c r="U19" i="99" s="1"/>
  <c r="V19" i="99" s="1"/>
  <c r="W19" i="99" s="1"/>
  <c r="S78" i="99"/>
  <c r="T78" i="99" s="1"/>
  <c r="U78" i="99" s="1"/>
  <c r="V78" i="99" s="1"/>
  <c r="W78" i="99" s="1"/>
  <c r="S33" i="99"/>
  <c r="T33" i="99" s="1"/>
  <c r="U33" i="99" s="1"/>
  <c r="V33" i="99" s="1"/>
  <c r="W33" i="99" s="1"/>
  <c r="S57" i="99"/>
  <c r="T57" i="99" s="1"/>
  <c r="U57" i="99" s="1"/>
  <c r="V57" i="99" s="1"/>
  <c r="W57" i="99" s="1"/>
  <c r="S76" i="99"/>
  <c r="T76" i="99" s="1"/>
  <c r="U76" i="99" s="1"/>
  <c r="V76" i="99" s="1"/>
  <c r="W76" i="99" s="1"/>
  <c r="S20" i="99"/>
  <c r="T20" i="99" s="1"/>
  <c r="U20" i="99" s="1"/>
  <c r="V20" i="99" s="1"/>
  <c r="W20" i="99" s="1"/>
  <c r="S105" i="99"/>
  <c r="T105" i="99" s="1"/>
  <c r="U105" i="99" s="1"/>
  <c r="V105" i="99" s="1"/>
  <c r="W105" i="99" s="1"/>
  <c r="S65" i="99"/>
  <c r="T65" i="99" s="1"/>
  <c r="U65" i="99" s="1"/>
  <c r="V65" i="99" s="1"/>
  <c r="W65" i="99" s="1"/>
  <c r="S40" i="99"/>
  <c r="T40" i="99" s="1"/>
  <c r="U40" i="99" s="1"/>
  <c r="V40" i="99" s="1"/>
  <c r="W40" i="99" s="1"/>
  <c r="S59" i="99"/>
  <c r="T59" i="99" s="1"/>
  <c r="U59" i="99" s="1"/>
  <c r="V59" i="99" s="1"/>
  <c r="W59" i="99" s="1"/>
  <c r="S13" i="99"/>
  <c r="T13" i="99" s="1"/>
  <c r="U13" i="99" s="1"/>
  <c r="V13" i="99" s="1"/>
  <c r="W13" i="99" s="1"/>
  <c r="S47" i="99"/>
  <c r="T47" i="99" s="1"/>
  <c r="U47" i="99" s="1"/>
  <c r="V47" i="99" s="1"/>
  <c r="W47" i="99" s="1"/>
  <c r="BC73" i="99"/>
  <c r="BD73" i="99" s="1"/>
  <c r="BE73" i="99" s="1"/>
  <c r="BF73" i="99" s="1"/>
  <c r="BG73" i="99" s="1"/>
  <c r="BC43" i="99"/>
  <c r="BD43" i="99" s="1"/>
  <c r="BE43" i="99" s="1"/>
  <c r="BF43" i="99" s="1"/>
  <c r="BG43" i="99" s="1"/>
  <c r="BC46" i="99"/>
  <c r="BD46" i="99" s="1"/>
  <c r="BE46" i="99" s="1"/>
  <c r="BF46" i="99" s="1"/>
  <c r="BG46" i="99" s="1"/>
  <c r="BC99" i="99"/>
  <c r="BD99" i="99" s="1"/>
  <c r="BE99" i="99" s="1"/>
  <c r="BF99" i="99" s="1"/>
  <c r="BG99" i="99" s="1"/>
  <c r="BC91" i="99"/>
  <c r="BD91" i="99" s="1"/>
  <c r="BE91" i="99" s="1"/>
  <c r="BF91" i="99" s="1"/>
  <c r="BG91" i="99" s="1"/>
  <c r="BC66" i="99"/>
  <c r="BD66" i="99" s="1"/>
  <c r="BE66" i="99" s="1"/>
  <c r="BF66" i="99" s="1"/>
  <c r="BG66" i="99" s="1"/>
  <c r="BC70" i="99"/>
  <c r="BD70" i="99" s="1"/>
  <c r="BE70" i="99" s="1"/>
  <c r="BF70" i="99" s="1"/>
  <c r="BG70" i="99" s="1"/>
  <c r="BC49" i="99"/>
  <c r="BD49" i="99" s="1"/>
  <c r="BE49" i="99" s="1"/>
  <c r="BF49" i="99" s="1"/>
  <c r="BG49" i="99" s="1"/>
  <c r="BC41" i="99"/>
  <c r="BD41" i="99" s="1"/>
  <c r="BE41" i="99" s="1"/>
  <c r="BF41" i="99" s="1"/>
  <c r="BG41" i="99" s="1"/>
  <c r="BC31" i="99"/>
  <c r="BD31" i="99" s="1"/>
  <c r="BE31" i="99" s="1"/>
  <c r="BF31" i="99" s="1"/>
  <c r="BG31" i="99" s="1"/>
  <c r="BC79" i="99"/>
  <c r="BD79" i="99" s="1"/>
  <c r="BE79" i="99" s="1"/>
  <c r="BF79" i="99" s="1"/>
  <c r="BG79" i="99" s="1"/>
  <c r="BC78" i="99"/>
  <c r="BD78" i="99" s="1"/>
  <c r="BE78" i="99" s="1"/>
  <c r="BF78" i="99" s="1"/>
  <c r="BG78" i="99" s="1"/>
  <c r="BC61" i="99"/>
  <c r="BD61" i="99" s="1"/>
  <c r="BE61" i="99" s="1"/>
  <c r="BF61" i="99" s="1"/>
  <c r="BG61" i="99" s="1"/>
  <c r="BC56" i="99"/>
  <c r="BD56" i="99" s="1"/>
  <c r="BE56" i="99" s="1"/>
  <c r="BF56" i="99" s="1"/>
  <c r="BG56" i="99" s="1"/>
  <c r="BC47" i="99"/>
  <c r="BD47" i="99" s="1"/>
  <c r="BE47" i="99" s="1"/>
  <c r="BF47" i="99" s="1"/>
  <c r="BG47" i="99" s="1"/>
  <c r="BC45" i="99"/>
  <c r="BD45" i="99" s="1"/>
  <c r="BE45" i="99" s="1"/>
  <c r="BF45" i="99" s="1"/>
  <c r="BG45" i="99" s="1"/>
  <c r="BC30" i="99"/>
  <c r="BD30" i="99" s="1"/>
  <c r="BE30" i="99" s="1"/>
  <c r="BF30" i="99" s="1"/>
  <c r="BG30" i="99" s="1"/>
  <c r="BC75" i="99"/>
  <c r="BD75" i="99" s="1"/>
  <c r="BE75" i="99" s="1"/>
  <c r="BF75" i="99" s="1"/>
  <c r="BG75" i="99" s="1"/>
  <c r="BC64" i="99"/>
  <c r="BD64" i="99" s="1"/>
  <c r="BE64" i="99" s="1"/>
  <c r="BF64" i="99" s="1"/>
  <c r="BG64" i="99" s="1"/>
  <c r="BC27" i="99"/>
  <c r="BD27" i="99" s="1"/>
  <c r="BE27" i="99" s="1"/>
  <c r="BF27" i="99" s="1"/>
  <c r="BG27" i="99" s="1"/>
  <c r="BC71" i="99"/>
  <c r="BD71" i="99" s="1"/>
  <c r="BE71" i="99" s="1"/>
  <c r="BF71" i="99" s="1"/>
  <c r="BG71" i="99" s="1"/>
  <c r="BC10" i="99"/>
  <c r="BD10" i="99" s="1"/>
  <c r="BE10" i="99" s="1"/>
  <c r="BF10" i="99" s="1"/>
  <c r="BG10" i="99" s="1"/>
  <c r="BC54" i="99"/>
  <c r="BD54" i="99" s="1"/>
  <c r="BE54" i="99" s="1"/>
  <c r="BF54" i="99" s="1"/>
  <c r="BG54" i="99" s="1"/>
  <c r="BC104" i="99"/>
  <c r="BD104" i="99" s="1"/>
  <c r="BE104" i="99" s="1"/>
  <c r="BF104" i="99" s="1"/>
  <c r="BG104" i="99" s="1"/>
  <c r="BC33" i="99"/>
  <c r="BD33" i="99" s="1"/>
  <c r="BE33" i="99" s="1"/>
  <c r="BF33" i="99" s="1"/>
  <c r="BG33" i="99" s="1"/>
  <c r="BC26" i="99"/>
  <c r="BD26" i="99" s="1"/>
  <c r="BE26" i="99" s="1"/>
  <c r="BF26" i="99" s="1"/>
  <c r="BG26" i="99" s="1"/>
  <c r="BC42" i="99"/>
  <c r="BD42" i="99" s="1"/>
  <c r="BE42" i="99" s="1"/>
  <c r="BF42" i="99" s="1"/>
  <c r="BG42" i="99" s="1"/>
  <c r="BC63" i="99"/>
  <c r="BD63" i="99" s="1"/>
  <c r="BE63" i="99" s="1"/>
  <c r="BF63" i="99" s="1"/>
  <c r="BG63" i="99" s="1"/>
  <c r="BC107" i="99"/>
  <c r="BD107" i="99" s="1"/>
  <c r="BE107" i="99" s="1"/>
  <c r="BF107" i="99" s="1"/>
  <c r="BG107" i="99" s="1"/>
  <c r="BC39" i="99"/>
  <c r="BD39" i="99" s="1"/>
  <c r="BE39" i="99" s="1"/>
  <c r="BF39" i="99" s="1"/>
  <c r="BG39" i="99" s="1"/>
  <c r="BC59" i="99"/>
  <c r="BD59" i="99" s="1"/>
  <c r="BE59" i="99" s="1"/>
  <c r="BF59" i="99" s="1"/>
  <c r="BG59" i="99" s="1"/>
  <c r="BC13" i="99"/>
  <c r="BD13" i="99" s="1"/>
  <c r="BE13" i="99" s="1"/>
  <c r="BF13" i="99" s="1"/>
  <c r="BG13" i="99" s="1"/>
  <c r="BC32" i="99"/>
  <c r="BD32" i="99" s="1"/>
  <c r="BE32" i="99" s="1"/>
  <c r="BF32" i="99" s="1"/>
  <c r="BG32" i="99" s="1"/>
  <c r="BC25" i="99"/>
  <c r="BD25" i="99" s="1"/>
  <c r="BE25" i="99" s="1"/>
  <c r="BF25" i="99" s="1"/>
  <c r="BG25" i="99" s="1"/>
  <c r="BC23" i="99"/>
  <c r="BD23" i="99" s="1"/>
  <c r="BE23" i="99" s="1"/>
  <c r="BF23" i="99" s="1"/>
  <c r="BG23" i="99" s="1"/>
  <c r="BC67" i="99"/>
  <c r="BD67" i="99" s="1"/>
  <c r="BE67" i="99" s="1"/>
  <c r="BF67" i="99" s="1"/>
  <c r="BG67" i="99" s="1"/>
  <c r="BC102" i="99"/>
  <c r="BD102" i="99" s="1"/>
  <c r="BE102" i="99" s="1"/>
  <c r="BF102" i="99" s="1"/>
  <c r="BG102" i="99" s="1"/>
  <c r="BC106" i="99"/>
  <c r="BD106" i="99" s="1"/>
  <c r="BE106" i="99" s="1"/>
  <c r="BF106" i="99" s="1"/>
  <c r="BG106" i="99" s="1"/>
  <c r="BC105" i="99"/>
  <c r="BD105" i="99" s="1"/>
  <c r="BE105" i="99" s="1"/>
  <c r="BF105" i="99" s="1"/>
  <c r="BG105" i="99" s="1"/>
  <c r="BC19" i="99"/>
  <c r="BD19" i="99" s="1"/>
  <c r="BE19" i="99" s="1"/>
  <c r="BF19" i="99" s="1"/>
  <c r="BG19" i="99" s="1"/>
  <c r="BC22" i="99"/>
  <c r="BD22" i="99" s="1"/>
  <c r="BE22" i="99" s="1"/>
  <c r="BF22" i="99" s="1"/>
  <c r="BG22" i="99" s="1"/>
  <c r="BC40" i="99"/>
  <c r="BD40" i="99" s="1"/>
  <c r="BE40" i="99" s="1"/>
  <c r="BF40" i="99" s="1"/>
  <c r="BG40" i="99" s="1"/>
  <c r="BC24" i="99"/>
  <c r="BD24" i="99" s="1"/>
  <c r="BE24" i="99" s="1"/>
  <c r="BF24" i="99" s="1"/>
  <c r="BG24" i="99" s="1"/>
  <c r="BC62" i="99"/>
  <c r="BD62" i="99" s="1"/>
  <c r="BE62" i="99" s="1"/>
  <c r="BF62" i="99" s="1"/>
  <c r="BG62" i="99" s="1"/>
  <c r="BC18" i="99"/>
  <c r="BD18" i="99" s="1"/>
  <c r="BE18" i="99" s="1"/>
  <c r="BF18" i="99" s="1"/>
  <c r="BG18" i="99" s="1"/>
  <c r="BC65" i="99"/>
  <c r="BD65" i="99" s="1"/>
  <c r="BE65" i="99" s="1"/>
  <c r="BF65" i="99" s="1"/>
  <c r="BG65" i="99" s="1"/>
  <c r="BC83" i="99"/>
  <c r="BD83" i="99" s="1"/>
  <c r="BE83" i="99" s="1"/>
  <c r="BF83" i="99" s="1"/>
  <c r="BG83" i="99" s="1"/>
  <c r="BC97" i="99"/>
  <c r="BD97" i="99" s="1"/>
  <c r="BE97" i="99" s="1"/>
  <c r="BF97" i="99" s="1"/>
  <c r="BG97" i="99" s="1"/>
  <c r="BC89" i="99"/>
  <c r="BD89" i="99" s="1"/>
  <c r="BE89" i="99" s="1"/>
  <c r="BF89" i="99" s="1"/>
  <c r="BG89" i="99" s="1"/>
  <c r="BC9" i="99"/>
  <c r="BD9" i="99" s="1"/>
  <c r="BE9" i="99" s="1"/>
  <c r="BF9" i="99" s="1"/>
  <c r="BC81" i="99"/>
  <c r="BD81" i="99" s="1"/>
  <c r="BE81" i="99" s="1"/>
  <c r="BF81" i="99" s="1"/>
  <c r="BG81" i="99" s="1"/>
  <c r="BC76" i="99"/>
  <c r="BD76" i="99" s="1"/>
  <c r="BE76" i="99" s="1"/>
  <c r="BF76" i="99" s="1"/>
  <c r="BG76" i="99" s="1"/>
  <c r="BC51" i="99"/>
  <c r="BD51" i="99" s="1"/>
  <c r="BE51" i="99" s="1"/>
  <c r="BF51" i="99" s="1"/>
  <c r="BG51" i="99" s="1"/>
  <c r="BC80" i="99"/>
  <c r="BD80" i="99" s="1"/>
  <c r="BE80" i="99" s="1"/>
  <c r="BF80" i="99" s="1"/>
  <c r="BG80" i="99" s="1"/>
  <c r="BC87" i="99"/>
  <c r="BD87" i="99" s="1"/>
  <c r="BE87" i="99" s="1"/>
  <c r="BF87" i="99" s="1"/>
  <c r="BG87" i="99" s="1"/>
  <c r="BC94" i="99"/>
  <c r="BD94" i="99" s="1"/>
  <c r="BE94" i="99" s="1"/>
  <c r="BF94" i="99" s="1"/>
  <c r="BG94" i="99" s="1"/>
  <c r="BC58" i="99"/>
  <c r="BD58" i="99" s="1"/>
  <c r="BE58" i="99" s="1"/>
  <c r="BF58" i="99" s="1"/>
  <c r="BG58" i="99" s="1"/>
  <c r="BC108" i="99"/>
  <c r="BD108" i="99" s="1"/>
  <c r="BE108" i="99" s="1"/>
  <c r="BF108" i="99" s="1"/>
  <c r="BG108" i="99" s="1"/>
  <c r="BC14" i="99"/>
  <c r="BD14" i="99" s="1"/>
  <c r="BE14" i="99" s="1"/>
  <c r="BF14" i="99" s="1"/>
  <c r="BG14" i="99" s="1"/>
  <c r="BC82" i="99"/>
  <c r="BD82" i="99" s="1"/>
  <c r="BE82" i="99" s="1"/>
  <c r="BF82" i="99" s="1"/>
  <c r="BG82" i="99" s="1"/>
  <c r="BC17" i="99"/>
  <c r="BD17" i="99" s="1"/>
  <c r="BE17" i="99" s="1"/>
  <c r="BF17" i="99" s="1"/>
  <c r="BG17" i="99" s="1"/>
  <c r="BC48" i="99"/>
  <c r="BD48" i="99" s="1"/>
  <c r="BE48" i="99" s="1"/>
  <c r="BF48" i="99" s="1"/>
  <c r="BG48" i="99" s="1"/>
  <c r="BC11" i="99"/>
  <c r="BD11" i="99" s="1"/>
  <c r="BE11" i="99" s="1"/>
  <c r="BF11" i="99" s="1"/>
  <c r="BG11" i="99" s="1"/>
  <c r="BC21" i="99"/>
  <c r="BD21" i="99" s="1"/>
  <c r="BE21" i="99" s="1"/>
  <c r="BF21" i="99" s="1"/>
  <c r="BG21" i="99" s="1"/>
  <c r="BC37" i="99"/>
  <c r="BD37" i="99" s="1"/>
  <c r="BE37" i="99" s="1"/>
  <c r="BF37" i="99" s="1"/>
  <c r="BG37" i="99" s="1"/>
  <c r="BC50" i="99"/>
  <c r="BD50" i="99" s="1"/>
  <c r="BE50" i="99" s="1"/>
  <c r="BF50" i="99" s="1"/>
  <c r="BG50" i="99" s="1"/>
  <c r="BC29" i="99"/>
  <c r="BD29" i="99" s="1"/>
  <c r="BE29" i="99" s="1"/>
  <c r="BF29" i="99" s="1"/>
  <c r="BG29" i="99" s="1"/>
  <c r="BC69" i="99"/>
  <c r="BD69" i="99" s="1"/>
  <c r="BE69" i="99" s="1"/>
  <c r="BF69" i="99" s="1"/>
  <c r="BG69" i="99" s="1"/>
  <c r="BC92" i="99"/>
  <c r="BD92" i="99" s="1"/>
  <c r="BE92" i="99" s="1"/>
  <c r="BF92" i="99" s="1"/>
  <c r="BG92" i="99" s="1"/>
  <c r="BC100" i="99"/>
  <c r="BD100" i="99" s="1"/>
  <c r="BE100" i="99" s="1"/>
  <c r="BF100" i="99" s="1"/>
  <c r="BG100" i="99" s="1"/>
  <c r="BC35" i="99"/>
  <c r="BD35" i="99" s="1"/>
  <c r="BE35" i="99" s="1"/>
  <c r="BF35" i="99" s="1"/>
  <c r="BG35" i="99" s="1"/>
  <c r="BC98" i="99"/>
  <c r="BD98" i="99" s="1"/>
  <c r="BE98" i="99" s="1"/>
  <c r="BF98" i="99" s="1"/>
  <c r="BG98" i="99" s="1"/>
  <c r="BC44" i="99"/>
  <c r="BD44" i="99" s="1"/>
  <c r="BE44" i="99" s="1"/>
  <c r="BF44" i="99" s="1"/>
  <c r="BG44" i="99" s="1"/>
  <c r="BC95" i="99"/>
  <c r="BD95" i="99" s="1"/>
  <c r="BE95" i="99" s="1"/>
  <c r="BF95" i="99" s="1"/>
  <c r="BG95" i="99" s="1"/>
  <c r="BC77" i="99"/>
  <c r="BD77" i="99" s="1"/>
  <c r="BE77" i="99" s="1"/>
  <c r="BF77" i="99" s="1"/>
  <c r="BG77" i="99" s="1"/>
  <c r="BC38" i="99"/>
  <c r="BD38" i="99" s="1"/>
  <c r="BE38" i="99" s="1"/>
  <c r="BF38" i="99" s="1"/>
  <c r="BG38" i="99" s="1"/>
  <c r="BC88" i="99"/>
  <c r="BD88" i="99" s="1"/>
  <c r="BE88" i="99" s="1"/>
  <c r="BF88" i="99" s="1"/>
  <c r="BG88" i="99" s="1"/>
  <c r="BC90" i="99"/>
  <c r="BD90" i="99" s="1"/>
  <c r="BE90" i="99" s="1"/>
  <c r="BF90" i="99" s="1"/>
  <c r="BG90" i="99" s="1"/>
  <c r="BC36" i="99"/>
  <c r="BD36" i="99" s="1"/>
  <c r="BE36" i="99" s="1"/>
  <c r="BF36" i="99" s="1"/>
  <c r="BG36" i="99" s="1"/>
  <c r="BC20" i="99"/>
  <c r="BD20" i="99" s="1"/>
  <c r="BE20" i="99" s="1"/>
  <c r="BF20" i="99" s="1"/>
  <c r="BG20" i="99" s="1"/>
  <c r="BC12" i="99"/>
  <c r="BD12" i="99" s="1"/>
  <c r="BE12" i="99" s="1"/>
  <c r="BF12" i="99" s="1"/>
  <c r="BG12" i="99" s="1"/>
  <c r="BC28" i="99"/>
  <c r="BD28" i="99" s="1"/>
  <c r="BE28" i="99" s="1"/>
  <c r="BF28" i="99" s="1"/>
  <c r="BG28" i="99" s="1"/>
  <c r="BC55" i="99"/>
  <c r="BD55" i="99" s="1"/>
  <c r="BE55" i="99" s="1"/>
  <c r="BF55" i="99" s="1"/>
  <c r="BG55" i="99" s="1"/>
  <c r="BC53" i="99"/>
  <c r="BD53" i="99" s="1"/>
  <c r="BE53" i="99" s="1"/>
  <c r="BF53" i="99" s="1"/>
  <c r="BG53" i="99" s="1"/>
  <c r="BC101" i="99"/>
  <c r="BD101" i="99" s="1"/>
  <c r="BE101" i="99" s="1"/>
  <c r="BF101" i="99" s="1"/>
  <c r="BG101" i="99" s="1"/>
  <c r="BC103" i="99"/>
  <c r="BD103" i="99" s="1"/>
  <c r="BE103" i="99" s="1"/>
  <c r="BF103" i="99" s="1"/>
  <c r="BG103" i="99" s="1"/>
  <c r="BC96" i="99"/>
  <c r="BD96" i="99" s="1"/>
  <c r="BE96" i="99" s="1"/>
  <c r="BF96" i="99" s="1"/>
  <c r="BG96" i="99" s="1"/>
  <c r="BC16" i="99"/>
  <c r="BD16" i="99" s="1"/>
  <c r="BE16" i="99" s="1"/>
  <c r="BF16" i="99" s="1"/>
  <c r="BG16" i="99" s="1"/>
  <c r="BC84" i="99"/>
  <c r="BD84" i="99" s="1"/>
  <c r="BE84" i="99" s="1"/>
  <c r="BF84" i="99" s="1"/>
  <c r="BG84" i="99" s="1"/>
  <c r="BC60" i="99"/>
  <c r="BD60" i="99" s="1"/>
  <c r="BE60" i="99" s="1"/>
  <c r="BF60" i="99" s="1"/>
  <c r="BG60" i="99" s="1"/>
  <c r="BC57" i="99"/>
  <c r="BD57" i="99" s="1"/>
  <c r="BE57" i="99" s="1"/>
  <c r="BF57" i="99" s="1"/>
  <c r="BG57" i="99" s="1"/>
  <c r="BC93" i="99"/>
  <c r="BD93" i="99" s="1"/>
  <c r="BE93" i="99" s="1"/>
  <c r="BF93" i="99" s="1"/>
  <c r="BG93" i="99" s="1"/>
  <c r="BC68" i="99"/>
  <c r="BD68" i="99" s="1"/>
  <c r="BE68" i="99" s="1"/>
  <c r="BF68" i="99" s="1"/>
  <c r="BG68" i="99" s="1"/>
  <c r="BC15" i="99"/>
  <c r="BD15" i="99" s="1"/>
  <c r="BE15" i="99" s="1"/>
  <c r="BF15" i="99" s="1"/>
  <c r="BG15" i="99" s="1"/>
  <c r="BC85" i="99"/>
  <c r="BD85" i="99" s="1"/>
  <c r="BE85" i="99" s="1"/>
  <c r="BF85" i="99" s="1"/>
  <c r="BG85" i="99" s="1"/>
  <c r="BC74" i="99"/>
  <c r="BD74" i="99" s="1"/>
  <c r="BE74" i="99" s="1"/>
  <c r="BF74" i="99" s="1"/>
  <c r="BG74" i="99" s="1"/>
  <c r="BC86" i="99"/>
  <c r="BD86" i="99" s="1"/>
  <c r="BE86" i="99" s="1"/>
  <c r="BF86" i="99" s="1"/>
  <c r="BG86" i="99" s="1"/>
  <c r="BC34" i="99"/>
  <c r="BD34" i="99" s="1"/>
  <c r="BE34" i="99" s="1"/>
  <c r="BF34" i="99" s="1"/>
  <c r="BG34" i="99" s="1"/>
  <c r="BC72" i="99"/>
  <c r="BD72" i="99" s="1"/>
  <c r="BE72" i="99" s="1"/>
  <c r="BF72" i="99" s="1"/>
  <c r="BG72" i="99" s="1"/>
  <c r="BC52" i="99"/>
  <c r="BD52" i="99" s="1"/>
  <c r="BE52" i="99" s="1"/>
  <c r="BF52" i="99" s="1"/>
  <c r="BG52" i="99" s="1"/>
  <c r="BI26" i="99"/>
  <c r="BJ26" i="99" s="1"/>
  <c r="BK26" i="99" s="1"/>
  <c r="BL26" i="99" s="1"/>
  <c r="BM26" i="99" s="1"/>
  <c r="BI70" i="99"/>
  <c r="BJ70" i="99" s="1"/>
  <c r="BK70" i="99" s="1"/>
  <c r="BL70" i="99" s="1"/>
  <c r="BM70" i="99" s="1"/>
  <c r="BI106" i="99"/>
  <c r="BJ106" i="99" s="1"/>
  <c r="BK106" i="99" s="1"/>
  <c r="BL106" i="99" s="1"/>
  <c r="BM106" i="99" s="1"/>
  <c r="BI54" i="99"/>
  <c r="BJ54" i="99" s="1"/>
  <c r="BK54" i="99" s="1"/>
  <c r="BL54" i="99" s="1"/>
  <c r="BM54" i="99" s="1"/>
  <c r="BI65" i="99"/>
  <c r="BJ65" i="99" s="1"/>
  <c r="BK65" i="99" s="1"/>
  <c r="BL65" i="99" s="1"/>
  <c r="BM65" i="99" s="1"/>
  <c r="BI14" i="99"/>
  <c r="BJ14" i="99" s="1"/>
  <c r="BK14" i="99" s="1"/>
  <c r="BL14" i="99" s="1"/>
  <c r="BM14" i="99" s="1"/>
  <c r="BI98" i="99"/>
  <c r="BJ98" i="99" s="1"/>
  <c r="BK98" i="99" s="1"/>
  <c r="BL98" i="99" s="1"/>
  <c r="BM98" i="99" s="1"/>
  <c r="BI105" i="99"/>
  <c r="BJ105" i="99" s="1"/>
  <c r="BK105" i="99" s="1"/>
  <c r="BL105" i="99" s="1"/>
  <c r="BM105" i="99" s="1"/>
  <c r="BI75" i="99"/>
  <c r="BJ75" i="99" s="1"/>
  <c r="BK75" i="99" s="1"/>
  <c r="BL75" i="99" s="1"/>
  <c r="BM75" i="99" s="1"/>
  <c r="BI44" i="99"/>
  <c r="BJ44" i="99" s="1"/>
  <c r="BK44" i="99" s="1"/>
  <c r="BL44" i="99" s="1"/>
  <c r="BM44" i="99" s="1"/>
  <c r="BI15" i="99"/>
  <c r="BJ15" i="99" s="1"/>
  <c r="BK15" i="99" s="1"/>
  <c r="BL15" i="99" s="1"/>
  <c r="BM15" i="99" s="1"/>
  <c r="BI40" i="99"/>
  <c r="BJ40" i="99" s="1"/>
  <c r="BK40" i="99" s="1"/>
  <c r="BL40" i="99" s="1"/>
  <c r="BM40" i="99" s="1"/>
  <c r="BI59" i="99"/>
  <c r="BJ59" i="99" s="1"/>
  <c r="BK59" i="99" s="1"/>
  <c r="BL59" i="99" s="1"/>
  <c r="BM59" i="99" s="1"/>
  <c r="BI107" i="99"/>
  <c r="BJ107" i="99" s="1"/>
  <c r="BK107" i="99" s="1"/>
  <c r="BL107" i="99" s="1"/>
  <c r="BM107" i="99" s="1"/>
  <c r="BI74" i="99"/>
  <c r="BJ74" i="99" s="1"/>
  <c r="BK74" i="99" s="1"/>
  <c r="BL74" i="99" s="1"/>
  <c r="BM74" i="99" s="1"/>
  <c r="BI103" i="99"/>
  <c r="BJ103" i="99" s="1"/>
  <c r="BK103" i="99" s="1"/>
  <c r="BL103" i="99" s="1"/>
  <c r="BM103" i="99" s="1"/>
  <c r="BI55" i="99"/>
  <c r="BJ55" i="99" s="1"/>
  <c r="BK55" i="99" s="1"/>
  <c r="BL55" i="99" s="1"/>
  <c r="BM55" i="99" s="1"/>
  <c r="BI58" i="99"/>
  <c r="BJ58" i="99" s="1"/>
  <c r="BK58" i="99" s="1"/>
  <c r="BL58" i="99" s="1"/>
  <c r="BM58" i="99" s="1"/>
  <c r="BI24" i="99"/>
  <c r="BJ24" i="99" s="1"/>
  <c r="BK24" i="99" s="1"/>
  <c r="BL24" i="99" s="1"/>
  <c r="BM24" i="99" s="1"/>
  <c r="BI16" i="99"/>
  <c r="BJ16" i="99" s="1"/>
  <c r="BK16" i="99" s="1"/>
  <c r="BL16" i="99" s="1"/>
  <c r="BM16" i="99" s="1"/>
  <c r="BI81" i="99"/>
  <c r="BJ81" i="99" s="1"/>
  <c r="BK81" i="99" s="1"/>
  <c r="BL81" i="99" s="1"/>
  <c r="BM81" i="99" s="1"/>
  <c r="BI90" i="99"/>
  <c r="BJ90" i="99" s="1"/>
  <c r="BK90" i="99" s="1"/>
  <c r="BL90" i="99" s="1"/>
  <c r="BM90" i="99" s="1"/>
  <c r="BI13" i="99"/>
  <c r="BJ13" i="99" s="1"/>
  <c r="BK13" i="99" s="1"/>
  <c r="BL13" i="99" s="1"/>
  <c r="BM13" i="99" s="1"/>
  <c r="BI50" i="99"/>
  <c r="BJ50" i="99" s="1"/>
  <c r="BK50" i="99" s="1"/>
  <c r="BL50" i="99" s="1"/>
  <c r="BM50" i="99" s="1"/>
  <c r="BI94" i="99"/>
  <c r="BJ94" i="99" s="1"/>
  <c r="BK94" i="99" s="1"/>
  <c r="BL94" i="99" s="1"/>
  <c r="BM94" i="99" s="1"/>
  <c r="BI66" i="99"/>
  <c r="BJ66" i="99" s="1"/>
  <c r="BK66" i="99" s="1"/>
  <c r="BL66" i="99" s="1"/>
  <c r="BM66" i="99" s="1"/>
  <c r="BI9" i="99"/>
  <c r="BJ9" i="99" s="1"/>
  <c r="BK9" i="99" s="1"/>
  <c r="BL9" i="99" s="1"/>
  <c r="BI45" i="99"/>
  <c r="BJ45" i="99" s="1"/>
  <c r="BK45" i="99" s="1"/>
  <c r="BL45" i="99" s="1"/>
  <c r="BM45" i="99" s="1"/>
  <c r="BI99" i="99"/>
  <c r="BJ99" i="99" s="1"/>
  <c r="BK99" i="99" s="1"/>
  <c r="BL99" i="99" s="1"/>
  <c r="BM99" i="99" s="1"/>
  <c r="BI62" i="99"/>
  <c r="BJ62" i="99" s="1"/>
  <c r="BK62" i="99" s="1"/>
  <c r="BL62" i="99" s="1"/>
  <c r="BM62" i="99" s="1"/>
  <c r="BI100" i="99"/>
  <c r="BJ100" i="99" s="1"/>
  <c r="BK100" i="99" s="1"/>
  <c r="BL100" i="99" s="1"/>
  <c r="BM100" i="99" s="1"/>
  <c r="BI49" i="99"/>
  <c r="BJ49" i="99" s="1"/>
  <c r="BK49" i="99" s="1"/>
  <c r="BL49" i="99" s="1"/>
  <c r="BM49" i="99" s="1"/>
  <c r="BI61" i="99"/>
  <c r="BJ61" i="99" s="1"/>
  <c r="BK61" i="99" s="1"/>
  <c r="BL61" i="99" s="1"/>
  <c r="BM61" i="99" s="1"/>
  <c r="BI72" i="99"/>
  <c r="BJ72" i="99" s="1"/>
  <c r="BK72" i="99" s="1"/>
  <c r="BL72" i="99" s="1"/>
  <c r="BM72" i="99" s="1"/>
  <c r="BI21" i="99"/>
  <c r="BJ21" i="99" s="1"/>
  <c r="BK21" i="99" s="1"/>
  <c r="BL21" i="99" s="1"/>
  <c r="BM21" i="99" s="1"/>
  <c r="BI42" i="99"/>
  <c r="BJ42" i="99" s="1"/>
  <c r="BK42" i="99" s="1"/>
  <c r="BL42" i="99" s="1"/>
  <c r="BM42" i="99" s="1"/>
  <c r="BI60" i="99"/>
  <c r="BJ60" i="99" s="1"/>
  <c r="BK60" i="99" s="1"/>
  <c r="BL60" i="99" s="1"/>
  <c r="BM60" i="99" s="1"/>
  <c r="BI25" i="99"/>
  <c r="BJ25" i="99" s="1"/>
  <c r="BK25" i="99" s="1"/>
  <c r="BL25" i="99" s="1"/>
  <c r="BM25" i="99" s="1"/>
  <c r="BI92" i="99"/>
  <c r="BJ92" i="99" s="1"/>
  <c r="BK92" i="99" s="1"/>
  <c r="BL92" i="99" s="1"/>
  <c r="BM92" i="99" s="1"/>
  <c r="BI37" i="99"/>
  <c r="BJ37" i="99" s="1"/>
  <c r="BK37" i="99" s="1"/>
  <c r="BL37" i="99" s="1"/>
  <c r="BM37" i="99" s="1"/>
  <c r="BI31" i="99"/>
  <c r="BJ31" i="99" s="1"/>
  <c r="BK31" i="99" s="1"/>
  <c r="BL31" i="99" s="1"/>
  <c r="BM31" i="99" s="1"/>
  <c r="BI32" i="99"/>
  <c r="BJ32" i="99" s="1"/>
  <c r="BK32" i="99" s="1"/>
  <c r="BL32" i="99" s="1"/>
  <c r="BM32" i="99" s="1"/>
  <c r="BI88" i="99"/>
  <c r="BJ88" i="99" s="1"/>
  <c r="BK88" i="99" s="1"/>
  <c r="BL88" i="99" s="1"/>
  <c r="BM88" i="99" s="1"/>
  <c r="BI57" i="99"/>
  <c r="BJ57" i="99" s="1"/>
  <c r="BK57" i="99" s="1"/>
  <c r="BL57" i="99" s="1"/>
  <c r="BM57" i="99" s="1"/>
  <c r="BI95" i="99"/>
  <c r="BJ95" i="99" s="1"/>
  <c r="BK95" i="99" s="1"/>
  <c r="BL95" i="99" s="1"/>
  <c r="BM95" i="99" s="1"/>
  <c r="BI38" i="99"/>
  <c r="BJ38" i="99" s="1"/>
  <c r="BK38" i="99" s="1"/>
  <c r="BL38" i="99" s="1"/>
  <c r="BM38" i="99" s="1"/>
  <c r="BI89" i="99"/>
  <c r="BJ89" i="99" s="1"/>
  <c r="BK89" i="99" s="1"/>
  <c r="BL89" i="99" s="1"/>
  <c r="BM89" i="99" s="1"/>
  <c r="BI51" i="99"/>
  <c r="BJ51" i="99" s="1"/>
  <c r="BK51" i="99" s="1"/>
  <c r="BL51" i="99" s="1"/>
  <c r="BM51" i="99" s="1"/>
  <c r="BI18" i="99"/>
  <c r="BJ18" i="99" s="1"/>
  <c r="BK18" i="99" s="1"/>
  <c r="BL18" i="99" s="1"/>
  <c r="BM18" i="99" s="1"/>
  <c r="BI47" i="99"/>
  <c r="BJ47" i="99" s="1"/>
  <c r="BK47" i="99" s="1"/>
  <c r="BL47" i="99" s="1"/>
  <c r="BM47" i="99" s="1"/>
  <c r="BI101" i="99"/>
  <c r="BJ101" i="99" s="1"/>
  <c r="BK101" i="99" s="1"/>
  <c r="BL101" i="99" s="1"/>
  <c r="BM101" i="99" s="1"/>
  <c r="BI22" i="99"/>
  <c r="BJ22" i="99" s="1"/>
  <c r="BK22" i="99" s="1"/>
  <c r="BL22" i="99" s="1"/>
  <c r="BM22" i="99" s="1"/>
  <c r="BI39" i="99"/>
  <c r="BJ39" i="99" s="1"/>
  <c r="BK39" i="99" s="1"/>
  <c r="BL39" i="99" s="1"/>
  <c r="BM39" i="99" s="1"/>
  <c r="BI48" i="99"/>
  <c r="BJ48" i="99" s="1"/>
  <c r="BK48" i="99" s="1"/>
  <c r="BL48" i="99" s="1"/>
  <c r="BM48" i="99" s="1"/>
  <c r="BI83" i="99"/>
  <c r="BJ83" i="99" s="1"/>
  <c r="BK83" i="99" s="1"/>
  <c r="BL83" i="99" s="1"/>
  <c r="BM83" i="99" s="1"/>
  <c r="BI52" i="99"/>
  <c r="BJ52" i="99" s="1"/>
  <c r="BK52" i="99" s="1"/>
  <c r="BL52" i="99" s="1"/>
  <c r="BM52" i="99" s="1"/>
  <c r="BI97" i="99"/>
  <c r="BJ97" i="99" s="1"/>
  <c r="BK97" i="99" s="1"/>
  <c r="BL97" i="99" s="1"/>
  <c r="BM97" i="99" s="1"/>
  <c r="BI33" i="99"/>
  <c r="BJ33" i="99" s="1"/>
  <c r="BK33" i="99" s="1"/>
  <c r="BL33" i="99" s="1"/>
  <c r="BM33" i="99" s="1"/>
  <c r="BI56" i="99"/>
  <c r="BJ56" i="99" s="1"/>
  <c r="BK56" i="99" s="1"/>
  <c r="BL56" i="99" s="1"/>
  <c r="BM56" i="99" s="1"/>
  <c r="BI46" i="99"/>
  <c r="BJ46" i="99" s="1"/>
  <c r="BK46" i="99" s="1"/>
  <c r="BL46" i="99" s="1"/>
  <c r="BM46" i="99" s="1"/>
  <c r="BI29" i="99"/>
  <c r="BJ29" i="99" s="1"/>
  <c r="BK29" i="99" s="1"/>
  <c r="BL29" i="99" s="1"/>
  <c r="BM29" i="99" s="1"/>
  <c r="BI28" i="99"/>
  <c r="BJ28" i="99" s="1"/>
  <c r="BK28" i="99" s="1"/>
  <c r="BL28" i="99" s="1"/>
  <c r="BM28" i="99" s="1"/>
  <c r="BI85" i="99"/>
  <c r="BJ85" i="99" s="1"/>
  <c r="BK85" i="99" s="1"/>
  <c r="BL85" i="99" s="1"/>
  <c r="BM85" i="99" s="1"/>
  <c r="BI78" i="99"/>
  <c r="BJ78" i="99" s="1"/>
  <c r="BK78" i="99" s="1"/>
  <c r="BL78" i="99" s="1"/>
  <c r="BM78" i="99" s="1"/>
  <c r="BI11" i="99"/>
  <c r="BJ11" i="99" s="1"/>
  <c r="BK11" i="99" s="1"/>
  <c r="BL11" i="99" s="1"/>
  <c r="BM11" i="99" s="1"/>
  <c r="BI84" i="99"/>
  <c r="BJ84" i="99" s="1"/>
  <c r="BK84" i="99" s="1"/>
  <c r="BL84" i="99" s="1"/>
  <c r="BM84" i="99" s="1"/>
  <c r="BI96" i="99"/>
  <c r="BJ96" i="99" s="1"/>
  <c r="BK96" i="99" s="1"/>
  <c r="BL96" i="99" s="1"/>
  <c r="BM96" i="99" s="1"/>
  <c r="BI77" i="99"/>
  <c r="BJ77" i="99" s="1"/>
  <c r="BK77" i="99" s="1"/>
  <c r="BL77" i="99" s="1"/>
  <c r="BM77" i="99" s="1"/>
  <c r="BI86" i="99"/>
  <c r="BJ86" i="99" s="1"/>
  <c r="BK86" i="99" s="1"/>
  <c r="BL86" i="99" s="1"/>
  <c r="BM86" i="99" s="1"/>
  <c r="BI17" i="99"/>
  <c r="BJ17" i="99" s="1"/>
  <c r="BK17" i="99" s="1"/>
  <c r="BL17" i="99" s="1"/>
  <c r="BM17" i="99" s="1"/>
  <c r="BI80" i="99"/>
  <c r="BJ80" i="99" s="1"/>
  <c r="BK80" i="99" s="1"/>
  <c r="BL80" i="99" s="1"/>
  <c r="BM80" i="99" s="1"/>
  <c r="BI87" i="99"/>
  <c r="BJ87" i="99" s="1"/>
  <c r="BK87" i="99" s="1"/>
  <c r="BL87" i="99" s="1"/>
  <c r="BM87" i="99" s="1"/>
  <c r="BI36" i="99"/>
  <c r="BJ36" i="99" s="1"/>
  <c r="BK36" i="99" s="1"/>
  <c r="BL36" i="99" s="1"/>
  <c r="BM36" i="99" s="1"/>
  <c r="BI68" i="99"/>
  <c r="BJ68" i="99" s="1"/>
  <c r="BK68" i="99" s="1"/>
  <c r="BL68" i="99" s="1"/>
  <c r="BM68" i="99" s="1"/>
  <c r="BI76" i="99"/>
  <c r="BJ76" i="99" s="1"/>
  <c r="BK76" i="99" s="1"/>
  <c r="BL76" i="99" s="1"/>
  <c r="BM76" i="99" s="1"/>
  <c r="BI67" i="99"/>
  <c r="BJ67" i="99" s="1"/>
  <c r="BK67" i="99" s="1"/>
  <c r="BL67" i="99" s="1"/>
  <c r="BM67" i="99" s="1"/>
  <c r="BI93" i="99"/>
  <c r="BJ93" i="99" s="1"/>
  <c r="BK93" i="99" s="1"/>
  <c r="BL93" i="99" s="1"/>
  <c r="BM93" i="99" s="1"/>
  <c r="BI43" i="99"/>
  <c r="BJ43" i="99" s="1"/>
  <c r="BK43" i="99" s="1"/>
  <c r="BL43" i="99" s="1"/>
  <c r="BM43" i="99" s="1"/>
  <c r="BI69" i="99"/>
  <c r="BJ69" i="99" s="1"/>
  <c r="BK69" i="99" s="1"/>
  <c r="BL69" i="99" s="1"/>
  <c r="BM69" i="99" s="1"/>
  <c r="BI91" i="99"/>
  <c r="BJ91" i="99" s="1"/>
  <c r="BK91" i="99" s="1"/>
  <c r="BL91" i="99" s="1"/>
  <c r="BM91" i="99" s="1"/>
  <c r="BI71" i="99"/>
  <c r="BJ71" i="99" s="1"/>
  <c r="BK71" i="99" s="1"/>
  <c r="BL71" i="99" s="1"/>
  <c r="BM71" i="99" s="1"/>
  <c r="BI41" i="99"/>
  <c r="BJ41" i="99" s="1"/>
  <c r="BK41" i="99" s="1"/>
  <c r="BL41" i="99" s="1"/>
  <c r="BM41" i="99" s="1"/>
  <c r="BI10" i="99"/>
  <c r="BJ10" i="99" s="1"/>
  <c r="BK10" i="99" s="1"/>
  <c r="BL10" i="99" s="1"/>
  <c r="BM10" i="99" s="1"/>
  <c r="BI82" i="99"/>
  <c r="BJ82" i="99" s="1"/>
  <c r="BK82" i="99" s="1"/>
  <c r="BL82" i="99" s="1"/>
  <c r="BM82" i="99" s="1"/>
  <c r="BI104" i="99"/>
  <c r="BJ104" i="99" s="1"/>
  <c r="BK104" i="99" s="1"/>
  <c r="BL104" i="99" s="1"/>
  <c r="BM104" i="99" s="1"/>
  <c r="BI53" i="99"/>
  <c r="BJ53" i="99" s="1"/>
  <c r="BK53" i="99" s="1"/>
  <c r="BL53" i="99" s="1"/>
  <c r="BM53" i="99" s="1"/>
  <c r="BI30" i="99"/>
  <c r="BJ30" i="99" s="1"/>
  <c r="BK30" i="99" s="1"/>
  <c r="BL30" i="99" s="1"/>
  <c r="BM30" i="99" s="1"/>
  <c r="BI102" i="99"/>
  <c r="BJ102" i="99" s="1"/>
  <c r="BK102" i="99" s="1"/>
  <c r="BL102" i="99" s="1"/>
  <c r="BM102" i="99" s="1"/>
  <c r="BI73" i="99"/>
  <c r="BJ73" i="99" s="1"/>
  <c r="BK73" i="99" s="1"/>
  <c r="BL73" i="99" s="1"/>
  <c r="BM73" i="99" s="1"/>
  <c r="BI27" i="99"/>
  <c r="BJ27" i="99" s="1"/>
  <c r="BK27" i="99" s="1"/>
  <c r="BL27" i="99" s="1"/>
  <c r="BM27" i="99" s="1"/>
  <c r="BI64" i="99"/>
  <c r="BJ64" i="99" s="1"/>
  <c r="BK64" i="99" s="1"/>
  <c r="BL64" i="99" s="1"/>
  <c r="BM64" i="99" s="1"/>
  <c r="BI79" i="99"/>
  <c r="BJ79" i="99" s="1"/>
  <c r="BK79" i="99" s="1"/>
  <c r="BL79" i="99" s="1"/>
  <c r="BM79" i="99" s="1"/>
  <c r="BI63" i="99"/>
  <c r="BJ63" i="99" s="1"/>
  <c r="BK63" i="99" s="1"/>
  <c r="BL63" i="99" s="1"/>
  <c r="BM63" i="99" s="1"/>
  <c r="BI34" i="99"/>
  <c r="BJ34" i="99" s="1"/>
  <c r="BK34" i="99" s="1"/>
  <c r="BL34" i="99" s="1"/>
  <c r="BM34" i="99" s="1"/>
  <c r="BI35" i="99"/>
  <c r="BJ35" i="99" s="1"/>
  <c r="BK35" i="99" s="1"/>
  <c r="BL35" i="99" s="1"/>
  <c r="BM35" i="99" s="1"/>
  <c r="BI20" i="99"/>
  <c r="BJ20" i="99" s="1"/>
  <c r="BK20" i="99" s="1"/>
  <c r="BL20" i="99" s="1"/>
  <c r="BM20" i="99" s="1"/>
  <c r="BI12" i="99"/>
  <c r="BJ12" i="99" s="1"/>
  <c r="BK12" i="99" s="1"/>
  <c r="BL12" i="99" s="1"/>
  <c r="BM12" i="99" s="1"/>
  <c r="BI108" i="99"/>
  <c r="BJ108" i="99" s="1"/>
  <c r="BK108" i="99" s="1"/>
  <c r="BL108" i="99" s="1"/>
  <c r="BM108" i="99" s="1"/>
  <c r="BI19" i="99"/>
  <c r="BJ19" i="99" s="1"/>
  <c r="BK19" i="99" s="1"/>
  <c r="BL19" i="99" s="1"/>
  <c r="BM19" i="99" s="1"/>
  <c r="BI23" i="99"/>
  <c r="BJ23" i="99" s="1"/>
  <c r="BK23" i="99" s="1"/>
  <c r="BL23" i="99" s="1"/>
  <c r="BM23" i="99" s="1"/>
  <c r="CA71" i="99"/>
  <c r="CB71" i="99" s="1"/>
  <c r="CC71" i="99" s="1"/>
  <c r="CD71" i="99" s="1"/>
  <c r="CE71" i="99" s="1"/>
  <c r="CA54" i="99"/>
  <c r="CB54" i="99" s="1"/>
  <c r="CC54" i="99" s="1"/>
  <c r="CD54" i="99" s="1"/>
  <c r="CE54" i="99" s="1"/>
  <c r="CA70" i="99"/>
  <c r="CB70" i="99" s="1"/>
  <c r="CC70" i="99" s="1"/>
  <c r="CD70" i="99" s="1"/>
  <c r="CE70" i="99" s="1"/>
  <c r="CA49" i="99"/>
  <c r="CB49" i="99" s="1"/>
  <c r="CC49" i="99" s="1"/>
  <c r="CD49" i="99" s="1"/>
  <c r="CE49" i="99" s="1"/>
  <c r="CA43" i="99"/>
  <c r="CB43" i="99" s="1"/>
  <c r="CC43" i="99" s="1"/>
  <c r="CD43" i="99" s="1"/>
  <c r="CE43" i="99" s="1"/>
  <c r="CA41" i="99"/>
  <c r="CB41" i="99" s="1"/>
  <c r="CC41" i="99" s="1"/>
  <c r="CD41" i="99" s="1"/>
  <c r="CE41" i="99" s="1"/>
  <c r="CA39" i="99"/>
  <c r="CB39" i="99" s="1"/>
  <c r="CC39" i="99" s="1"/>
  <c r="CD39" i="99" s="1"/>
  <c r="CE39" i="99" s="1"/>
  <c r="CA31" i="99"/>
  <c r="CB31" i="99" s="1"/>
  <c r="CC31" i="99" s="1"/>
  <c r="CD31" i="99" s="1"/>
  <c r="CE31" i="99" s="1"/>
  <c r="CA23" i="99"/>
  <c r="CB23" i="99" s="1"/>
  <c r="CC23" i="99" s="1"/>
  <c r="CD23" i="99" s="1"/>
  <c r="CE23" i="99" s="1"/>
  <c r="CA77" i="99"/>
  <c r="CB77" i="99" s="1"/>
  <c r="CC77" i="99" s="1"/>
  <c r="CD77" i="99" s="1"/>
  <c r="CE77" i="99" s="1"/>
  <c r="CA22" i="99"/>
  <c r="CB22" i="99" s="1"/>
  <c r="CC22" i="99" s="1"/>
  <c r="CD22" i="99" s="1"/>
  <c r="CE22" i="99" s="1"/>
  <c r="CA69" i="99"/>
  <c r="CB69" i="99" s="1"/>
  <c r="CC69" i="99" s="1"/>
  <c r="CD69" i="99" s="1"/>
  <c r="CE69" i="99" s="1"/>
  <c r="CA86" i="99"/>
  <c r="CB86" i="99" s="1"/>
  <c r="CC86" i="99" s="1"/>
  <c r="CD86" i="99" s="1"/>
  <c r="CE86" i="99" s="1"/>
  <c r="CA17" i="99"/>
  <c r="CB17" i="99" s="1"/>
  <c r="CC17" i="99" s="1"/>
  <c r="CD17" i="99" s="1"/>
  <c r="CE17" i="99" s="1"/>
  <c r="CA36" i="99"/>
  <c r="CB36" i="99" s="1"/>
  <c r="CC36" i="99" s="1"/>
  <c r="CD36" i="99" s="1"/>
  <c r="CE36" i="99" s="1"/>
  <c r="CA97" i="99"/>
  <c r="CB97" i="99" s="1"/>
  <c r="CC97" i="99" s="1"/>
  <c r="CD97" i="99" s="1"/>
  <c r="CE97" i="99" s="1"/>
  <c r="CA25" i="99"/>
  <c r="CB25" i="99" s="1"/>
  <c r="CC25" i="99" s="1"/>
  <c r="CD25" i="99" s="1"/>
  <c r="CE25" i="99" s="1"/>
  <c r="CA32" i="99"/>
  <c r="CB32" i="99" s="1"/>
  <c r="CC32" i="99" s="1"/>
  <c r="CD32" i="99" s="1"/>
  <c r="CE32" i="99" s="1"/>
  <c r="CA40" i="99"/>
  <c r="CB40" i="99" s="1"/>
  <c r="CC40" i="99" s="1"/>
  <c r="CD40" i="99" s="1"/>
  <c r="CE40" i="99" s="1"/>
  <c r="CA51" i="99"/>
  <c r="CB51" i="99" s="1"/>
  <c r="CC51" i="99" s="1"/>
  <c r="CD51" i="99" s="1"/>
  <c r="CE51" i="99" s="1"/>
  <c r="CA37" i="99"/>
  <c r="CB37" i="99" s="1"/>
  <c r="CC37" i="99" s="1"/>
  <c r="CD37" i="99" s="1"/>
  <c r="CE37" i="99" s="1"/>
  <c r="CA47" i="99"/>
  <c r="CB47" i="99" s="1"/>
  <c r="CC47" i="99" s="1"/>
  <c r="CD47" i="99" s="1"/>
  <c r="CE47" i="99" s="1"/>
  <c r="CA88" i="99"/>
  <c r="CB88" i="99" s="1"/>
  <c r="CC88" i="99" s="1"/>
  <c r="CD88" i="99" s="1"/>
  <c r="CE88" i="99" s="1"/>
  <c r="CA57" i="99"/>
  <c r="CB57" i="99" s="1"/>
  <c r="CC57" i="99" s="1"/>
  <c r="CD57" i="99" s="1"/>
  <c r="CE57" i="99" s="1"/>
  <c r="CA35" i="99"/>
  <c r="CB35" i="99" s="1"/>
  <c r="CC35" i="99" s="1"/>
  <c r="CD35" i="99" s="1"/>
  <c r="CE35" i="99" s="1"/>
  <c r="CA79" i="99"/>
  <c r="CB79" i="99" s="1"/>
  <c r="CC79" i="99" s="1"/>
  <c r="CD79" i="99" s="1"/>
  <c r="CE79" i="99" s="1"/>
  <c r="CA56" i="99"/>
  <c r="CB56" i="99" s="1"/>
  <c r="CC56" i="99" s="1"/>
  <c r="CD56" i="99" s="1"/>
  <c r="CE56" i="99" s="1"/>
  <c r="CA82" i="99"/>
  <c r="CB82" i="99" s="1"/>
  <c r="CC82" i="99" s="1"/>
  <c r="CD82" i="99" s="1"/>
  <c r="CE82" i="99" s="1"/>
  <c r="CA107" i="99"/>
  <c r="CB107" i="99" s="1"/>
  <c r="CC107" i="99" s="1"/>
  <c r="CD107" i="99" s="1"/>
  <c r="CE107" i="99" s="1"/>
  <c r="CA78" i="99"/>
  <c r="CB78" i="99" s="1"/>
  <c r="CC78" i="99" s="1"/>
  <c r="CD78" i="99" s="1"/>
  <c r="CE78" i="99" s="1"/>
  <c r="CA16" i="99"/>
  <c r="CB16" i="99" s="1"/>
  <c r="CC16" i="99" s="1"/>
  <c r="CD16" i="99" s="1"/>
  <c r="CE16" i="99" s="1"/>
  <c r="CA18" i="99"/>
  <c r="CB18" i="99" s="1"/>
  <c r="CC18" i="99" s="1"/>
  <c r="CD18" i="99" s="1"/>
  <c r="CE18" i="99" s="1"/>
  <c r="CA13" i="99"/>
  <c r="CB13" i="99" s="1"/>
  <c r="CC13" i="99" s="1"/>
  <c r="CD13" i="99" s="1"/>
  <c r="CE13" i="99" s="1"/>
  <c r="CA34" i="99"/>
  <c r="CB34" i="99" s="1"/>
  <c r="CC34" i="99" s="1"/>
  <c r="CD34" i="99" s="1"/>
  <c r="CE34" i="99" s="1"/>
  <c r="CA102" i="99"/>
  <c r="CB102" i="99" s="1"/>
  <c r="CC102" i="99" s="1"/>
  <c r="CD102" i="99" s="1"/>
  <c r="CE102" i="99" s="1"/>
  <c r="CA98" i="99"/>
  <c r="CB98" i="99" s="1"/>
  <c r="CC98" i="99" s="1"/>
  <c r="CD98" i="99" s="1"/>
  <c r="CE98" i="99" s="1"/>
  <c r="CA52" i="99"/>
  <c r="CB52" i="99" s="1"/>
  <c r="CC52" i="99" s="1"/>
  <c r="CD52" i="99" s="1"/>
  <c r="CE52" i="99" s="1"/>
  <c r="CA106" i="99"/>
  <c r="CB106" i="99" s="1"/>
  <c r="CC106" i="99" s="1"/>
  <c r="CD106" i="99" s="1"/>
  <c r="CE106" i="99" s="1"/>
  <c r="CA95" i="99"/>
  <c r="CB95" i="99" s="1"/>
  <c r="CC95" i="99" s="1"/>
  <c r="CD95" i="99" s="1"/>
  <c r="CE95" i="99" s="1"/>
  <c r="CA20" i="99"/>
  <c r="CB20" i="99" s="1"/>
  <c r="CC20" i="99" s="1"/>
  <c r="CD20" i="99" s="1"/>
  <c r="CE20" i="99" s="1"/>
  <c r="CA89" i="99"/>
  <c r="CB89" i="99" s="1"/>
  <c r="CC89" i="99" s="1"/>
  <c r="CD89" i="99" s="1"/>
  <c r="CE89" i="99" s="1"/>
  <c r="CA45" i="99"/>
  <c r="CB45" i="99" s="1"/>
  <c r="CC45" i="99" s="1"/>
  <c r="CD45" i="99" s="1"/>
  <c r="CE45" i="99" s="1"/>
  <c r="CA9" i="99"/>
  <c r="CB9" i="99" s="1"/>
  <c r="CC9" i="99" s="1"/>
  <c r="CD9" i="99" s="1"/>
  <c r="CA76" i="99"/>
  <c r="CB76" i="99" s="1"/>
  <c r="CC76" i="99" s="1"/>
  <c r="CD76" i="99" s="1"/>
  <c r="CE76" i="99" s="1"/>
  <c r="CA14" i="99"/>
  <c r="CB14" i="99" s="1"/>
  <c r="CC14" i="99" s="1"/>
  <c r="CD14" i="99" s="1"/>
  <c r="CE14" i="99" s="1"/>
  <c r="CA48" i="99"/>
  <c r="CB48" i="99" s="1"/>
  <c r="CC48" i="99" s="1"/>
  <c r="CD48" i="99" s="1"/>
  <c r="CE48" i="99" s="1"/>
  <c r="CA33" i="99"/>
  <c r="CB33" i="99" s="1"/>
  <c r="CC33" i="99" s="1"/>
  <c r="CD33" i="99" s="1"/>
  <c r="CE33" i="99" s="1"/>
  <c r="CA66" i="99"/>
  <c r="CB66" i="99" s="1"/>
  <c r="CC66" i="99" s="1"/>
  <c r="CD66" i="99" s="1"/>
  <c r="CE66" i="99" s="1"/>
  <c r="CA50" i="99"/>
  <c r="CB50" i="99" s="1"/>
  <c r="CC50" i="99" s="1"/>
  <c r="CD50" i="99" s="1"/>
  <c r="CE50" i="99" s="1"/>
  <c r="CA24" i="99"/>
  <c r="CB24" i="99" s="1"/>
  <c r="CC24" i="99" s="1"/>
  <c r="CD24" i="99" s="1"/>
  <c r="CE24" i="99" s="1"/>
  <c r="CA44" i="99"/>
  <c r="CB44" i="99" s="1"/>
  <c r="CC44" i="99" s="1"/>
  <c r="CD44" i="99" s="1"/>
  <c r="CE44" i="99" s="1"/>
  <c r="CA101" i="99"/>
  <c r="CB101" i="99" s="1"/>
  <c r="CC101" i="99" s="1"/>
  <c r="CD101" i="99" s="1"/>
  <c r="CE101" i="99" s="1"/>
  <c r="CA87" i="99"/>
  <c r="CB87" i="99" s="1"/>
  <c r="CC87" i="99" s="1"/>
  <c r="CD87" i="99" s="1"/>
  <c r="CE87" i="99" s="1"/>
  <c r="CA91" i="99"/>
  <c r="CB91" i="99" s="1"/>
  <c r="CC91" i="99" s="1"/>
  <c r="CD91" i="99" s="1"/>
  <c r="CE91" i="99" s="1"/>
  <c r="CA105" i="99"/>
  <c r="CB105" i="99" s="1"/>
  <c r="CC105" i="99" s="1"/>
  <c r="CD105" i="99" s="1"/>
  <c r="CE105" i="99" s="1"/>
  <c r="CA90" i="99"/>
  <c r="CB90" i="99" s="1"/>
  <c r="CC90" i="99" s="1"/>
  <c r="CD90" i="99" s="1"/>
  <c r="CE90" i="99" s="1"/>
  <c r="CA75" i="99"/>
  <c r="CB75" i="99" s="1"/>
  <c r="CC75" i="99" s="1"/>
  <c r="CD75" i="99" s="1"/>
  <c r="CE75" i="99" s="1"/>
  <c r="CA92" i="99"/>
  <c r="CB92" i="99" s="1"/>
  <c r="CC92" i="99" s="1"/>
  <c r="CD92" i="99" s="1"/>
  <c r="CE92" i="99" s="1"/>
  <c r="CA100" i="99"/>
  <c r="CB100" i="99" s="1"/>
  <c r="CC100" i="99" s="1"/>
  <c r="CD100" i="99" s="1"/>
  <c r="CE100" i="99" s="1"/>
  <c r="CA11" i="99"/>
  <c r="CB11" i="99" s="1"/>
  <c r="CC11" i="99" s="1"/>
  <c r="CD11" i="99" s="1"/>
  <c r="CE11" i="99" s="1"/>
  <c r="CA62" i="99"/>
  <c r="CB62" i="99" s="1"/>
  <c r="CC62" i="99" s="1"/>
  <c r="CD62" i="99" s="1"/>
  <c r="CE62" i="99" s="1"/>
  <c r="CA15" i="99"/>
  <c r="CB15" i="99" s="1"/>
  <c r="CC15" i="99" s="1"/>
  <c r="CD15" i="99" s="1"/>
  <c r="CE15" i="99" s="1"/>
  <c r="CA81" i="99"/>
  <c r="CB81" i="99" s="1"/>
  <c r="CC81" i="99" s="1"/>
  <c r="CD81" i="99" s="1"/>
  <c r="CE81" i="99" s="1"/>
  <c r="CA55" i="99"/>
  <c r="CB55" i="99" s="1"/>
  <c r="CC55" i="99" s="1"/>
  <c r="CD55" i="99" s="1"/>
  <c r="CE55" i="99" s="1"/>
  <c r="CA85" i="99"/>
  <c r="CB85" i="99" s="1"/>
  <c r="CC85" i="99" s="1"/>
  <c r="CD85" i="99" s="1"/>
  <c r="CE85" i="99" s="1"/>
  <c r="CA74" i="99"/>
  <c r="CB74" i="99" s="1"/>
  <c r="CC74" i="99" s="1"/>
  <c r="CD74" i="99" s="1"/>
  <c r="CE74" i="99" s="1"/>
  <c r="CA108" i="99"/>
  <c r="CB108" i="99" s="1"/>
  <c r="CC108" i="99" s="1"/>
  <c r="CD108" i="99" s="1"/>
  <c r="CE108" i="99" s="1"/>
  <c r="CA80" i="99"/>
  <c r="CB80" i="99" s="1"/>
  <c r="CC80" i="99" s="1"/>
  <c r="CD80" i="99" s="1"/>
  <c r="CE80" i="99" s="1"/>
  <c r="CA64" i="99"/>
  <c r="CB64" i="99" s="1"/>
  <c r="CC64" i="99" s="1"/>
  <c r="CD64" i="99" s="1"/>
  <c r="CE64" i="99" s="1"/>
  <c r="CA46" i="99"/>
  <c r="CB46" i="99" s="1"/>
  <c r="CC46" i="99" s="1"/>
  <c r="CD46" i="99" s="1"/>
  <c r="CE46" i="99" s="1"/>
  <c r="CA19" i="99"/>
  <c r="CB19" i="99" s="1"/>
  <c r="CC19" i="99" s="1"/>
  <c r="CD19" i="99" s="1"/>
  <c r="CE19" i="99" s="1"/>
  <c r="CA59" i="99"/>
  <c r="CB59" i="99" s="1"/>
  <c r="CC59" i="99" s="1"/>
  <c r="CD59" i="99" s="1"/>
  <c r="CE59" i="99" s="1"/>
  <c r="CA21" i="99"/>
  <c r="CB21" i="99" s="1"/>
  <c r="CC21" i="99" s="1"/>
  <c r="CD21" i="99" s="1"/>
  <c r="CE21" i="99" s="1"/>
  <c r="CA84" i="99"/>
  <c r="CB84" i="99" s="1"/>
  <c r="CC84" i="99" s="1"/>
  <c r="CD84" i="99" s="1"/>
  <c r="CE84" i="99" s="1"/>
  <c r="CA60" i="99"/>
  <c r="CB60" i="99" s="1"/>
  <c r="CC60" i="99" s="1"/>
  <c r="CD60" i="99" s="1"/>
  <c r="CE60" i="99" s="1"/>
  <c r="CA65" i="99"/>
  <c r="CB65" i="99" s="1"/>
  <c r="CC65" i="99" s="1"/>
  <c r="CD65" i="99" s="1"/>
  <c r="CE65" i="99" s="1"/>
  <c r="CA72" i="99"/>
  <c r="CB72" i="99" s="1"/>
  <c r="CC72" i="99" s="1"/>
  <c r="CD72" i="99" s="1"/>
  <c r="CE72" i="99" s="1"/>
  <c r="CA30" i="99"/>
  <c r="CB30" i="99" s="1"/>
  <c r="CC30" i="99" s="1"/>
  <c r="CD30" i="99" s="1"/>
  <c r="CE30" i="99" s="1"/>
  <c r="CA104" i="99"/>
  <c r="CB104" i="99" s="1"/>
  <c r="CC104" i="99" s="1"/>
  <c r="CD104" i="99" s="1"/>
  <c r="CE104" i="99" s="1"/>
  <c r="CA73" i="99"/>
  <c r="CB73" i="99" s="1"/>
  <c r="CC73" i="99" s="1"/>
  <c r="CD73" i="99" s="1"/>
  <c r="CE73" i="99" s="1"/>
  <c r="CA83" i="99"/>
  <c r="CB83" i="99" s="1"/>
  <c r="CC83" i="99" s="1"/>
  <c r="CD83" i="99" s="1"/>
  <c r="CE83" i="99" s="1"/>
  <c r="CA68" i="99"/>
  <c r="CB68" i="99" s="1"/>
  <c r="CC68" i="99" s="1"/>
  <c r="CD68" i="99" s="1"/>
  <c r="CE68" i="99" s="1"/>
  <c r="CA38" i="99"/>
  <c r="CB38" i="99" s="1"/>
  <c r="CC38" i="99" s="1"/>
  <c r="CD38" i="99" s="1"/>
  <c r="CE38" i="99" s="1"/>
  <c r="CA27" i="99"/>
  <c r="CB27" i="99" s="1"/>
  <c r="CC27" i="99" s="1"/>
  <c r="CD27" i="99" s="1"/>
  <c r="CE27" i="99" s="1"/>
  <c r="CA26" i="99"/>
  <c r="CB26" i="99" s="1"/>
  <c r="CC26" i="99" s="1"/>
  <c r="CD26" i="99" s="1"/>
  <c r="CE26" i="99" s="1"/>
  <c r="CA12" i="99"/>
  <c r="CB12" i="99" s="1"/>
  <c r="CC12" i="99" s="1"/>
  <c r="CD12" i="99" s="1"/>
  <c r="CE12" i="99" s="1"/>
  <c r="CA28" i="99"/>
  <c r="CB28" i="99" s="1"/>
  <c r="CC28" i="99" s="1"/>
  <c r="CD28" i="99" s="1"/>
  <c r="CE28" i="99" s="1"/>
  <c r="CA42" i="99"/>
  <c r="CB42" i="99" s="1"/>
  <c r="CC42" i="99" s="1"/>
  <c r="CD42" i="99" s="1"/>
  <c r="CE42" i="99" s="1"/>
  <c r="CA67" i="99"/>
  <c r="CB67" i="99" s="1"/>
  <c r="CC67" i="99" s="1"/>
  <c r="CD67" i="99" s="1"/>
  <c r="CE67" i="99" s="1"/>
  <c r="CA29" i="99"/>
  <c r="CB29" i="99" s="1"/>
  <c r="CC29" i="99" s="1"/>
  <c r="CD29" i="99" s="1"/>
  <c r="CE29" i="99" s="1"/>
  <c r="CA99" i="99"/>
  <c r="CB99" i="99" s="1"/>
  <c r="CC99" i="99" s="1"/>
  <c r="CD99" i="99" s="1"/>
  <c r="CE99" i="99" s="1"/>
  <c r="CA58" i="99"/>
  <c r="CB58" i="99" s="1"/>
  <c r="CC58" i="99" s="1"/>
  <c r="CD58" i="99" s="1"/>
  <c r="CE58" i="99" s="1"/>
  <c r="CA61" i="99"/>
  <c r="CB61" i="99" s="1"/>
  <c r="CC61" i="99" s="1"/>
  <c r="CD61" i="99" s="1"/>
  <c r="CE61" i="99" s="1"/>
  <c r="CA10" i="99"/>
  <c r="CB10" i="99" s="1"/>
  <c r="CC10" i="99" s="1"/>
  <c r="CD10" i="99" s="1"/>
  <c r="CE10" i="99" s="1"/>
  <c r="CA53" i="99"/>
  <c r="CB53" i="99" s="1"/>
  <c r="CC53" i="99" s="1"/>
  <c r="CD53" i="99" s="1"/>
  <c r="CE53" i="99" s="1"/>
  <c r="CA103" i="99"/>
  <c r="CB103" i="99" s="1"/>
  <c r="CC103" i="99" s="1"/>
  <c r="CD103" i="99" s="1"/>
  <c r="CE103" i="99" s="1"/>
  <c r="CA63" i="99"/>
  <c r="CB63" i="99" s="1"/>
  <c r="CC63" i="99" s="1"/>
  <c r="CD63" i="99" s="1"/>
  <c r="CE63" i="99" s="1"/>
  <c r="CA96" i="99"/>
  <c r="CB96" i="99" s="1"/>
  <c r="CC96" i="99" s="1"/>
  <c r="CD96" i="99" s="1"/>
  <c r="CE96" i="99" s="1"/>
  <c r="CA93" i="99"/>
  <c r="CB93" i="99" s="1"/>
  <c r="CC93" i="99" s="1"/>
  <c r="CD93" i="99" s="1"/>
  <c r="CE93" i="99" s="1"/>
  <c r="CA94" i="99"/>
  <c r="CB94" i="99" s="1"/>
  <c r="CC94" i="99" s="1"/>
  <c r="CD94" i="99" s="1"/>
  <c r="CE94" i="99" s="1"/>
  <c r="AO9" i="99" l="1"/>
  <c r="AO109" i="99" s="1"/>
  <c r="AN109" i="99"/>
  <c r="CE9" i="99"/>
  <c r="CE109" i="99" s="1"/>
  <c r="CD109" i="99"/>
  <c r="Q9" i="99"/>
  <c r="Q109" i="99" s="1"/>
  <c r="P109" i="99"/>
  <c r="BG9" i="99"/>
  <c r="BG109" i="99" s="1"/>
  <c r="BF109" i="99"/>
  <c r="K9" i="99"/>
  <c r="K109" i="99" s="1"/>
  <c r="J109" i="99"/>
  <c r="BS9" i="99"/>
  <c r="BS109" i="99" s="1"/>
  <c r="BR109" i="99"/>
  <c r="BM9" i="99"/>
  <c r="BM109" i="99" s="1"/>
  <c r="BL109" i="99"/>
  <c r="BY9" i="99"/>
  <c r="BY109" i="99" s="1"/>
  <c r="BX109" i="99"/>
  <c r="W9" i="99"/>
  <c r="W109" i="99" s="1"/>
  <c r="V109" i="99"/>
  <c r="CK9" i="99"/>
  <c r="CK109" i="99" s="1"/>
  <c r="CJ109" i="99"/>
  <c r="BA9" i="99"/>
  <c r="BA109" i="99" s="1"/>
  <c r="AZ109" i="99"/>
  <c r="AC9" i="99"/>
  <c r="AC109" i="99" s="1"/>
  <c r="AB109" i="99"/>
  <c r="AU9" i="99"/>
  <c r="AU109" i="99" s="1"/>
  <c r="AT109" i="99"/>
  <c r="AI9" i="99"/>
  <c r="AI109" i="99" s="1"/>
  <c r="AH109" i="99"/>
  <c r="AO6" i="99"/>
  <c r="K6" i="99"/>
  <c r="W6" i="99"/>
  <c r="AU6" i="99"/>
  <c r="AE6" i="99"/>
  <c r="AW6" i="99"/>
  <c r="AK6" i="99"/>
  <c r="G6" i="99"/>
  <c r="S6" i="99"/>
  <c r="AQ6" i="99"/>
  <c r="AI6" i="99"/>
  <c r="BU6" i="99"/>
  <c r="CE6" i="99"/>
  <c r="BS6" i="99"/>
  <c r="CK6" i="99"/>
  <c r="BM6" i="99"/>
  <c r="AC6" i="99"/>
  <c r="CA6" i="99"/>
  <c r="BO6" i="99"/>
  <c r="CG6" i="99"/>
  <c r="BI6" i="99"/>
  <c r="Y6" i="99"/>
  <c r="Q6" i="99"/>
  <c r="BA6" i="99"/>
  <c r="M6" i="99"/>
  <c r="BY6" i="99"/>
  <c r="BG6" i="99"/>
  <c r="BC6" i="99"/>
</calcChain>
</file>

<file path=xl/sharedStrings.xml><?xml version="1.0" encoding="utf-8"?>
<sst xmlns="http://schemas.openxmlformats.org/spreadsheetml/2006/main" count="1249" uniqueCount="183">
  <si>
    <t>PRIMARY EXPOSURE DATA</t>
  </si>
  <si>
    <t>Adult</t>
  </si>
  <si>
    <t>Min =</t>
  </si>
  <si>
    <t>Mode =</t>
  </si>
  <si>
    <t>Max =</t>
  </si>
  <si>
    <t>Secondary</t>
  </si>
  <si>
    <t>OUTFALLSTATS</t>
  </si>
  <si>
    <t>Min</t>
  </si>
  <si>
    <t>Median</t>
  </si>
  <si>
    <t>Max</t>
  </si>
  <si>
    <t>SIMULATION SETTINGS</t>
  </si>
  <si>
    <t>Default or given value</t>
  </si>
  <si>
    <t>Make these selections in the Simulations Settings menu item tabs:</t>
  </si>
  <si>
    <t>Input</t>
  </si>
  <si>
    <t>General tab:</t>
  </si>
  <si>
    <t>Select 1000 iterations, #Simulations = 1, Multiple CPU Support = Enabled</t>
  </si>
  <si>
    <t>Select "Random Values (Monte Carlo)" for when a simulation is not running</t>
  </si>
  <si>
    <t>Copied value</t>
  </si>
  <si>
    <t>View tab:</t>
  </si>
  <si>
    <t xml:space="preserve">Select "None" for automatic results display, and tick box for Update Windows  </t>
  </si>
  <si>
    <t>Result</t>
  </si>
  <si>
    <t>During Simulation Every "Automatic" seconds</t>
  </si>
  <si>
    <t>Sampling tab:</t>
  </si>
  <si>
    <t>Select Latin Hypercube, Mersenne Twister, Fixed Initial Seed (value = 1)</t>
  </si>
  <si>
    <t>"All Use Same Seed" for Multiple Simulations</t>
  </si>
  <si>
    <t xml:space="preserve"> "Inputs marked with Select" in Collect Distribution Samples button</t>
  </si>
  <si>
    <t>"Disabled" in Smart Sensitivity Analysis panel</t>
  </si>
  <si>
    <t>"At End of Each Simulation" in Update Statistic Functions</t>
  </si>
  <si>
    <t>Macros tab:</t>
  </si>
  <si>
    <t xml:space="preserve"> Nothing selected</t>
  </si>
  <si>
    <t>Monitoring tab:</t>
  </si>
  <si>
    <t>Child</t>
  </si>
  <si>
    <t>Primary</t>
  </si>
  <si>
    <t>Explanation</t>
  </si>
  <si>
    <t xml:space="preserve">The data (green cells) don't easily lend themselves to fitting to a  </t>
  </si>
  <si>
    <t xml:space="preserve">particular distribution. So we use the RiskGeneral function in @RISK, for an empirical </t>
  </si>
  <si>
    <t>probability density function ("pdf"). To do so we use the constraint that the total area under the</t>
  </si>
  <si>
    <r>
      <t>pdf = 1. To satisfy this constraint we find the value of the 100</t>
    </r>
    <r>
      <rPr>
        <i/>
        <sz val="10"/>
        <rFont val="Arial"/>
        <family val="2"/>
      </rPr>
      <t>P</t>
    </r>
    <r>
      <rPr>
        <sz val="10"/>
        <rFont val="Arial"/>
        <family val="2"/>
      </rPr>
      <t>%ile (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P</t>
    </r>
    <r>
      <rPr>
        <sz val="10"/>
        <rFont val="Arial"/>
        <family val="2"/>
      </rPr>
      <t>) given a user-supplied</t>
    </r>
  </si>
  <si>
    <r>
      <t xml:space="preserve">value of </t>
    </r>
    <r>
      <rPr>
        <i/>
        <sz val="10"/>
        <rFont val="Arial"/>
        <family val="2"/>
      </rPr>
      <t xml:space="preserve">P. </t>
    </r>
    <r>
      <rPr>
        <sz val="10"/>
        <rFont val="Arial"/>
        <family val="2"/>
      </rPr>
      <t xml:space="preserve">This value is </t>
    </r>
    <r>
      <rPr>
        <i/>
        <sz val="10"/>
        <rFont val="Arial"/>
        <family val="2"/>
      </rPr>
      <t xml:space="preserve">above </t>
    </r>
    <r>
      <rPr>
        <sz val="10"/>
        <rFont val="Arial"/>
        <family val="2"/>
      </rPr>
      <t xml:space="preserve">the median. We also use linear interpolation between the pdf </t>
    </r>
  </si>
  <si>
    <t>breakpoints (note that were we to join BD by a straight line we would over-estimate the median</t>
  </si>
  <si>
    <t>and the frequency of most of the high values).</t>
  </si>
  <si>
    <t>The algebra involves solving a quadratic, and this is the calculation sequence:</t>
  </si>
  <si>
    <r>
      <t>h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= </t>
    </r>
  </si>
  <si>
    <r>
      <t>2*0.5/(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 xml:space="preserve">50 </t>
    </r>
    <r>
      <rPr>
        <sz val="9"/>
        <rFont val="Arial"/>
        <family val="2"/>
      </rPr>
      <t xml:space="preserve">- 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>0</t>
    </r>
    <r>
      <rPr>
        <sz val="9"/>
        <rFont val="Arial"/>
        <family val="2"/>
      </rPr>
      <t>)</t>
    </r>
  </si>
  <si>
    <r>
      <t>X</t>
    </r>
    <r>
      <rPr>
        <i/>
        <vertAlign val="subscript"/>
        <sz val="10"/>
        <rFont val="Arial"/>
        <family val="2"/>
      </rPr>
      <t>P</t>
    </r>
    <r>
      <rPr>
        <i/>
        <sz val="10"/>
        <rFont val="Arial"/>
        <family val="2"/>
      </rPr>
      <t xml:space="preserve"> = </t>
    </r>
  </si>
  <si>
    <r>
      <t>{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 xml:space="preserve"> + 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 xml:space="preserve"> + 1/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- SQRT[(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>)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+ 1/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>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)(2-8</t>
    </r>
    <r>
      <rPr>
        <i/>
        <sz val="10"/>
        <rFont val="Arial"/>
        <family val="2"/>
      </rPr>
      <t>q</t>
    </r>
    <r>
      <rPr>
        <sz val="10"/>
        <rFont val="Arial"/>
        <family val="2"/>
      </rPr>
      <t>) + 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>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)(2-8</t>
    </r>
    <r>
      <rPr>
        <i/>
        <sz val="10"/>
        <rFont val="Arial"/>
        <family val="2"/>
      </rPr>
      <t>s</t>
    </r>
    <r>
      <rPr>
        <sz val="10"/>
        <rFont val="Arial"/>
        <family val="2"/>
      </rPr>
      <t>)]}/2</t>
    </r>
  </si>
  <si>
    <r>
      <t>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= </t>
    </r>
  </si>
  <si>
    <r>
      <t>2*</t>
    </r>
    <r>
      <rPr>
        <i/>
        <sz val="9"/>
        <rFont val="Arial"/>
        <family val="2"/>
      </rPr>
      <t>q</t>
    </r>
    <r>
      <rPr>
        <sz val="9"/>
        <rFont val="Arial"/>
        <family val="2"/>
      </rPr>
      <t>/(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 xml:space="preserve">100 </t>
    </r>
    <r>
      <rPr>
        <sz val="9"/>
        <rFont val="Arial"/>
        <family val="2"/>
      </rPr>
      <t xml:space="preserve">- </t>
    </r>
    <r>
      <rPr>
        <i/>
        <sz val="9"/>
        <rFont val="Arial"/>
        <family val="2"/>
      </rPr>
      <t>X</t>
    </r>
    <r>
      <rPr>
        <i/>
        <vertAlign val="subscript"/>
        <sz val="9"/>
        <rFont val="Arial"/>
        <family val="2"/>
      </rPr>
      <t>P</t>
    </r>
    <r>
      <rPr>
        <sz val="9"/>
        <rFont val="Arial"/>
        <family val="2"/>
      </rPr>
      <t>)</t>
    </r>
  </si>
  <si>
    <r>
      <t xml:space="preserve">As a check we can sum all the resulting areas and we get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should=1</t>
    </r>
    <r>
      <rPr>
        <sz val="10"/>
        <rFont val="Arial"/>
        <family val="2"/>
      </rPr>
      <t xml:space="preserve"> = 1, as required. </t>
    </r>
  </si>
  <si>
    <t xml:space="preserve">Finally, we use the RiskGeneral function, with the above table layout, to generate the random draws. </t>
  </si>
  <si>
    <r>
      <t xml:space="preserve">In the box above we have chosen </t>
    </r>
    <r>
      <rPr>
        <i/>
        <sz val="10"/>
        <rFont val="Arial"/>
        <family val="2"/>
      </rPr>
      <t xml:space="preserve">P </t>
    </r>
    <r>
      <rPr>
        <sz val="10"/>
        <rFont val="Arial"/>
        <family val="2"/>
      </rPr>
      <t xml:space="preserve">= 0.95 (i.e., the breakpoint is the 95%ile). This seems appropriate given the usual (lognormal) form of </t>
    </r>
  </si>
  <si>
    <t>distributions of microrganisms. Results check (using 1000 iterations: min = 597, 50%ile = 4999, 95%ile = 8222, max = 9751). Pretty good!</t>
  </si>
  <si>
    <r>
      <t xml:space="preserve">So, </t>
    </r>
    <r>
      <rPr>
        <b/>
        <i/>
        <sz val="9"/>
        <rFont val="Arial"/>
        <family val="2"/>
      </rPr>
      <t>q</t>
    </r>
    <r>
      <rPr>
        <b/>
        <sz val="9"/>
        <rFont val="Arial"/>
        <family val="2"/>
      </rPr>
      <t xml:space="preserve"> = </t>
    </r>
  </si>
  <si>
    <r>
      <t xml:space="preserve">and </t>
    </r>
    <r>
      <rPr>
        <b/>
        <i/>
        <sz val="9"/>
        <rFont val="Arial"/>
        <family val="2"/>
      </rPr>
      <t>s</t>
    </r>
    <r>
      <rPr>
        <b/>
        <sz val="9"/>
        <rFont val="Arial"/>
        <family val="2"/>
      </rPr>
      <t xml:space="preserve"> = </t>
    </r>
  </si>
  <si>
    <r>
      <t>X</t>
    </r>
    <r>
      <rPr>
        <b/>
        <vertAlign val="subscript"/>
        <sz val="9"/>
        <rFont val="Arial"/>
        <family val="2"/>
      </rPr>
      <t>0</t>
    </r>
  </si>
  <si>
    <r>
      <t>X</t>
    </r>
    <r>
      <rPr>
        <b/>
        <vertAlign val="subscript"/>
        <sz val="9"/>
        <rFont val="Arial"/>
        <family val="2"/>
      </rPr>
      <t>50</t>
    </r>
  </si>
  <si>
    <r>
      <t>X</t>
    </r>
    <r>
      <rPr>
        <b/>
        <i/>
        <vertAlign val="subscript"/>
        <sz val="9"/>
        <rFont val="Arial"/>
        <family val="2"/>
      </rPr>
      <t>P</t>
    </r>
  </si>
  <si>
    <r>
      <t>X</t>
    </r>
    <r>
      <rPr>
        <b/>
        <vertAlign val="subscript"/>
        <sz val="9"/>
        <rFont val="Arial"/>
        <family val="2"/>
      </rPr>
      <t>100</t>
    </r>
  </si>
  <si>
    <r>
      <t>h</t>
    </r>
    <r>
      <rPr>
        <b/>
        <vertAlign val="subscript"/>
        <sz val="9"/>
        <rFont val="Arial"/>
        <family val="2"/>
      </rPr>
      <t>1</t>
    </r>
  </si>
  <si>
    <r>
      <t>h</t>
    </r>
    <r>
      <rPr>
        <b/>
        <vertAlign val="subscript"/>
        <sz val="9"/>
        <rFont val="Arial"/>
        <family val="2"/>
      </rPr>
      <t>2</t>
    </r>
  </si>
  <si>
    <r>
      <t>A</t>
    </r>
    <r>
      <rPr>
        <b/>
        <vertAlign val="subscript"/>
        <sz val="9"/>
        <rFont val="Arial"/>
        <family val="2"/>
      </rPr>
      <t>should=1</t>
    </r>
  </si>
  <si>
    <t>Random value</t>
  </si>
  <si>
    <t>TOTAL INFECTIONS</t>
  </si>
  <si>
    <t>TOTAL ILL</t>
  </si>
  <si>
    <t>Individual</t>
  </si>
  <si>
    <t>Duration (h)</t>
  </si>
  <si>
    <t>Vol. (mL/h)</t>
  </si>
  <si>
    <t>Vol. (mL)</t>
  </si>
  <si>
    <t>"Dose"</t>
  </si>
  <si>
    <t>Dose</t>
  </si>
  <si>
    <t>Prob(inf)</t>
  </si>
  <si>
    <t>Infected?</t>
  </si>
  <si>
    <t>Ill?</t>
  </si>
  <si>
    <t>Norovirus</t>
  </si>
  <si>
    <t>To run the model</t>
  </si>
  <si>
    <t>Start @RISK</t>
  </si>
  <si>
    <t xml:space="preserve">Copy those results: Click top left corner, right click, then select 'Copy' </t>
  </si>
  <si>
    <r>
      <t xml:space="preserve">Paste into the 'Summary Stats' page in the workbook: </t>
    </r>
    <r>
      <rPr>
        <b/>
        <sz val="11"/>
        <color rgb="FFFF0000"/>
        <rFont val="Calibri"/>
        <family val="2"/>
        <scheme val="minor"/>
      </rPr>
      <t>MUST paste into cell A1</t>
    </r>
  </si>
  <si>
    <t xml:space="preserve"> -</t>
  </si>
  <si>
    <t>Run model: 'Start simulation' menu item</t>
  </si>
  <si>
    <t>Click on left-most small icon immediately under 'Define filters'; hovver over it and 'Simulation Detailed Statistics' will pop up</t>
  </si>
  <si>
    <t>Results appear immediately on 'Output' page</t>
  </si>
  <si>
    <t>Choose parameters/input in 'Global data' sheet</t>
  </si>
  <si>
    <t>Select number of iterations (suggest 1,000 for preliminary runs, 10,000 for he final run)</t>
  </si>
  <si>
    <t xml:space="preserve"> </t>
  </si>
  <si>
    <t>MODEL PARAMETERS</t>
  </si>
  <si>
    <t>V =</t>
  </si>
  <si>
    <r>
      <t>Log</t>
    </r>
    <r>
      <rPr>
        <b/>
        <vertAlign val="subscript"/>
        <sz val="9"/>
        <color rgb="FFFF0000"/>
        <rFont val="Arial"/>
        <family val="2"/>
      </rPr>
      <t>10</t>
    </r>
    <r>
      <rPr>
        <b/>
        <sz val="9"/>
        <color rgb="FFFF0000"/>
        <rFont val="Arial"/>
        <family val="2"/>
      </rPr>
      <t xml:space="preserve"> removal =</t>
    </r>
  </si>
  <si>
    <t>Site Number</t>
  </si>
  <si>
    <t>Site name</t>
  </si>
  <si>
    <r>
      <t xml:space="preserve">Note that the </t>
    </r>
    <r>
      <rPr>
        <b/>
        <i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equation in McBride (2005) has an </t>
    </r>
    <r>
      <rPr>
        <b/>
        <i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50</t>
    </r>
    <r>
      <rPr>
        <b/>
        <sz val="10"/>
        <rFont val="Arial"/>
        <family val="2"/>
      </rPr>
      <t xml:space="preserve"> on the denominator, but that should be </t>
    </r>
    <r>
      <rPr>
        <b/>
        <i/>
        <sz val="10"/>
        <rFont val="Arial"/>
        <family val="2"/>
      </rPr>
      <t>X</t>
    </r>
    <r>
      <rPr>
        <b/>
        <i/>
        <vertAlign val="subscript"/>
        <sz val="10"/>
        <rFont val="Arial"/>
        <family val="2"/>
      </rPr>
      <t>P</t>
    </r>
    <r>
      <rPr>
        <b/>
        <sz val="10"/>
        <rFont val="Arial"/>
        <family val="2"/>
      </rPr>
      <t>.</t>
    </r>
  </si>
  <si>
    <t>Random dilutions</t>
  </si>
  <si>
    <t>DUMB STUFF</t>
  </si>
  <si>
    <t>mL/L</t>
  </si>
  <si>
    <t>SITES</t>
  </si>
  <si>
    <t xml:space="preserve">  Don't touch! This box is needed for a drop-down menu item</t>
  </si>
  <si>
    <t xml:space="preserve">  Don't touch!This box is needed for a drop-down menu item</t>
  </si>
  <si>
    <t>Copy the output page and Paste Special values into the paste special sheet</t>
  </si>
  <si>
    <t>Graham McBride 15 August 2019</t>
  </si>
  <si>
    <t>Adenovirus</t>
  </si>
  <si>
    <t>Enterovirus</t>
  </si>
  <si>
    <t>Rotavirus</t>
  </si>
  <si>
    <t>C. jejuni</t>
  </si>
  <si>
    <t>PATHOGEN LOG-REMOVAL AT WWTP</t>
  </si>
  <si>
    <t>Intermediate calculation</t>
  </si>
  <si>
    <t>Breakpoint percentile (as %, e.g., 95)</t>
  </si>
  <si>
    <t>Xp</t>
  </si>
  <si>
    <t>READ ME</t>
  </si>
  <si>
    <t>This is a combined model of Graham's generic swim model and the Paraparaumu Model</t>
  </si>
  <si>
    <t>Model is still draft, needs checking 14/2/22</t>
  </si>
  <si>
    <t>The Paraparaumu model includes aggregated and disaggregated Noro</t>
  </si>
  <si>
    <t>Model has been set up for 14 sites</t>
  </si>
  <si>
    <t>Child Primary Inhalation Rate (mL/h)</t>
  </si>
  <si>
    <t>Adenovirus (respiratory)</t>
  </si>
  <si>
    <t xml:space="preserve">Proportion of adenovirus causing respiratory effects </t>
  </si>
  <si>
    <r>
      <rPr>
        <i/>
        <sz val="9"/>
        <rFont val="Arial"/>
        <family val="2"/>
      </rPr>
      <t>r</t>
    </r>
    <r>
      <rPr>
        <vertAlign val="subscript"/>
        <sz val="9"/>
        <rFont val="Arial"/>
        <family val="2"/>
      </rPr>
      <t>AdV</t>
    </r>
    <r>
      <rPr>
        <sz val="9"/>
        <rFont val="Arial"/>
        <family val="2"/>
      </rPr>
      <t xml:space="preserve"> =</t>
    </r>
  </si>
  <si>
    <t>Proportion Adv respiratory =</t>
  </si>
  <si>
    <t>Prob (illness | Adv infection) =</t>
  </si>
  <si>
    <t>Child Duration of Event (h)</t>
  </si>
  <si>
    <t>This factor was not used in our Paraparaumu study</t>
  </si>
  <si>
    <t>PercentilesNinaExistingSurfaceWide.csv</t>
  </si>
  <si>
    <t>300m NE of outfall</t>
  </si>
  <si>
    <t>300m SW of outfall</t>
  </si>
  <si>
    <t>800m SW of outfall</t>
  </si>
  <si>
    <t>Akersten Street</t>
  </si>
  <si>
    <t>Cable Bay</t>
  </si>
  <si>
    <t>Glenduan</t>
  </si>
  <si>
    <t xml:space="preserve">Magazine Point </t>
  </si>
  <si>
    <t>Outside Boulder Bank</t>
  </si>
  <si>
    <t xml:space="preserve">Seafarers Memorial </t>
  </si>
  <si>
    <t>Snappers Point (700m NE of outfall)</t>
  </si>
  <si>
    <t>Tahunanui Beach</t>
  </si>
  <si>
    <t>Tasman Bay</t>
  </si>
  <si>
    <t>The Cut</t>
  </si>
  <si>
    <t>No Dilution</t>
  </si>
  <si>
    <t>Name_x000D_
Description_x000D_
Cell_x000D_
Function</t>
  </si>
  <si>
    <t>Site 300m NE of outfall_inf_x000D_
Output_x000D_
'Adno Risk Model'!G6_x000D_
RiskOutput(G2)</t>
  </si>
  <si>
    <t>Site 300m NE of outfall_ill_x000D_
Output_x000D_
'Adno Risk Model'!K6_x000D_
RiskOutput(K2)</t>
  </si>
  <si>
    <t>Site 300m SW of outfall_inf_x000D_
Output_x000D_
'Adno Risk Model'!M6_x000D_
RiskOutput(M2)</t>
  </si>
  <si>
    <t>Site 300m SW of outfall_ill_x000D_
Output_x000D_
'Adno Risk Model'!Q6_x000D_
RiskOutput(Q2)</t>
  </si>
  <si>
    <t>Site 800m SW of outfall_inf_x000D_
Output_x000D_
'Adno Risk Model'!S6_x000D_
RiskOutput(S2)</t>
  </si>
  <si>
    <t>Site 800m SW of outfall_ill_x000D_
Output_x000D_
'Adno Risk Model'!W6_x000D_
RiskOutput(W2)</t>
  </si>
  <si>
    <t>Site Akersten Street_inf_x000D_
Output_x000D_
'Adno Risk Model'!Y6_x000D_
RiskOutput(Y2)</t>
  </si>
  <si>
    <t>Site Akersten Street_ill_x000D_
Output_x000D_
'Adno Risk Model'!AC6_x000D_
RiskOutput(AC2)</t>
  </si>
  <si>
    <t>Site Cable Bay_inf_x000D_
Output_x000D_
'Adno Risk Model'!AE6_x000D_
RiskOutput(AE2)</t>
  </si>
  <si>
    <t>Site Cable Bay_ill_x000D_
Output_x000D_
'Adno Risk Model'!AI6_x000D_
RiskOutput(AI2)</t>
  </si>
  <si>
    <t>Site Glenduan_inf_x000D_
Output_x000D_
'Adno Risk Model'!AK6_x000D_
RiskOutput(AK2)</t>
  </si>
  <si>
    <t>Site Glenduan_ill_x000D_
Output_x000D_
'Adno Risk Model'!AO6_x000D_
RiskOutput(AO2)</t>
  </si>
  <si>
    <t>Site Magazine Point _inf_x000D_
Output_x000D_
'Adno Risk Model'!AQ6_x000D_
RiskOutput(AQ2)</t>
  </si>
  <si>
    <t>Site Magazine Point _ill_x000D_
Output_x000D_
'Adno Risk Model'!AU6_x000D_
RiskOutput(AU2)</t>
  </si>
  <si>
    <t>Site Outside Boulder Bank_inf_x000D_
Output_x000D_
'Adno Risk Model'!AW6_x000D_
RiskOutput(AW2)</t>
  </si>
  <si>
    <t>Site Outside Boulder Bank_ill_x000D_
Output_x000D_
'Adno Risk Model'!BA6_x000D_
RiskOutput(BA2)</t>
  </si>
  <si>
    <t>Site Seafarers Memorial _inf_x000D_
Output_x000D_
'Adno Risk Model'!BC6_x000D_
RiskOutput(BC2)</t>
  </si>
  <si>
    <t>Site Seafarers Memorial _ill_x000D_
Output_x000D_
'Adno Risk Model'!BG6_x000D_
RiskOutput(BG2)</t>
  </si>
  <si>
    <t>Site Snappers Point (700m NE of outfall)_inf_x000D_
Output_x000D_
'Adno Risk Model'!BI6_x000D_
RiskOutput(BI2)</t>
  </si>
  <si>
    <t>Site Snappers Point (700m NE of outfall)_ill_x000D_
Output_x000D_
'Adno Risk Model'!BM6_x000D_
RiskOutput(BM2)</t>
  </si>
  <si>
    <t>Site Tahunanui Beach_inf_x000D_
Output_x000D_
'Adno Risk Model'!BO6_x000D_
RiskOutput(BO2)</t>
  </si>
  <si>
    <t>Site Tahunanui Beach_ill_x000D_
Output_x000D_
'Adno Risk Model'!BS6_x000D_
RiskOutput(BS2)</t>
  </si>
  <si>
    <t>Site Tasman Bay_inf_x000D_
Output_x000D_
'Adno Risk Model'!BU6_x000D_
RiskOutput(BU2)</t>
  </si>
  <si>
    <t>Site Tasman Bay_ill_x000D_
Output_x000D_
'Adno Risk Model'!BY6_x000D_
RiskOutput(BY2)</t>
  </si>
  <si>
    <t>Site The Cut_inf_x000D_
Output_x000D_
'Adno Risk Model'!CA6_x000D_
RiskOutput(CA2)</t>
  </si>
  <si>
    <t>Site The Cut_ill_x000D_
Output_x000D_
'Adno Risk Model'!CE6_x000D_
RiskOutput(CE2)</t>
  </si>
  <si>
    <t>Site No Dilution_inf_x000D_
Output_x000D_
'Adno Risk Model'!CG6_x000D_
RiskOutput(CG2)</t>
  </si>
  <si>
    <t>Site No Dilution_ill_x000D_
Output_x000D_
'Adno Risk Model'!CK6_x000D_
RiskOutput(CK2)</t>
  </si>
  <si>
    <t>General</t>
  </si>
  <si>
    <t>Graph</t>
  </si>
  <si>
    <t>Category/Range</t>
  </si>
  <si>
    <t/>
  </si>
  <si>
    <t>Statistics</t>
  </si>
  <si>
    <t>Minimum</t>
  </si>
  <si>
    <t>N/A</t>
  </si>
  <si>
    <t>Maximum</t>
  </si>
  <si>
    <t>Mean</t>
  </si>
  <si>
    <t>Mode</t>
  </si>
  <si>
    <t>Std. Deviation</t>
  </si>
  <si>
    <t>Variance</t>
  </si>
  <si>
    <t>Skewness</t>
  </si>
  <si>
    <t>Kurtosis</t>
  </si>
  <si>
    <t>Errors</t>
  </si>
  <si>
    <t>Percentiles</t>
  </si>
  <si>
    <t>Filters</t>
  </si>
  <si>
    <t>Type</t>
  </si>
  <si>
    <t>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</si>
</sst>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"/>
    <numFmt numFmtId="166" formatCode="0.0000E+00"/>
    <numFmt numFmtId="167" formatCode="0.000E+00"/>
    <numFmt numFmtId="168" formatCode="0.000"/>
    <numFmt numFmtId="169" formatCode="0.00000"/>
    <numFmt numFmtId="170" formatCode="0.000000"/>
  </numFmts>
  <fonts count="39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9"/>
      <name val="Times New Roman"/>
      <family val="1"/>
    </font>
    <font>
      <sz val="9"/>
      <color indexed="17"/>
      <name val="Arial"/>
      <family val="2"/>
    </font>
    <font>
      <sz val="9"/>
      <color indexed="12"/>
      <name val="Arial"/>
      <family val="2"/>
    </font>
    <font>
      <i/>
      <vertAlign val="subscript"/>
      <sz val="10"/>
      <name val="Arial"/>
      <family val="2"/>
    </font>
    <font>
      <vertAlign val="subscript"/>
      <sz val="9"/>
      <name val="Arial"/>
      <family val="2"/>
    </font>
    <font>
      <i/>
      <vertAlign val="subscript"/>
      <sz val="9"/>
      <name val="Arial"/>
      <family val="2"/>
    </font>
    <font>
      <b/>
      <i/>
      <sz val="9"/>
      <name val="Arial"/>
      <family val="2"/>
    </font>
    <font>
      <b/>
      <vertAlign val="subscript"/>
      <sz val="9"/>
      <name val="Arial"/>
      <family val="2"/>
    </font>
    <font>
      <b/>
      <i/>
      <vertAlign val="subscript"/>
      <sz val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rgb="FF00005E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vertAlign val="subscript"/>
      <sz val="9"/>
      <color rgb="FFFF0000"/>
      <name val="Arial"/>
      <family val="2"/>
    </font>
    <font>
      <b/>
      <vertAlign val="subscript"/>
      <sz val="10"/>
      <name val="Arial"/>
      <family val="2"/>
    </font>
    <font>
      <b/>
      <i/>
      <vertAlign val="subscript"/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EEE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hair">
        <color theme="0" tint="-0.249977111117893"/>
      </right>
      <top style="medium">
        <color indexed="64"/>
      </top>
      <bottom/>
      <diagonal/>
    </border>
    <border>
      <left/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theme="0" tint="-0.24997711111789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35" fillId="0" borderId="0"/>
  </cellStyleXfs>
  <cellXfs count="201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1" applyAlignment="1" applyProtection="1"/>
    <xf numFmtId="0" fontId="0" fillId="0" borderId="0" xfId="0" applyAlignment="1">
      <alignment horizontal="left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0" xfId="0" applyFont="1" applyAlignment="1">
      <alignment horizontal="left"/>
    </xf>
    <xf numFmtId="0" fontId="9" fillId="0" borderId="12" xfId="0" applyFont="1" applyBorder="1"/>
    <xf numFmtId="0" fontId="9" fillId="0" borderId="13" xfId="0" applyFont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9" xfId="0" applyBorder="1"/>
    <xf numFmtId="0" fontId="0" fillId="0" borderId="0" xfId="0" applyAlignment="1">
      <alignment horizontal="right"/>
    </xf>
    <xf numFmtId="0" fontId="8" fillId="0" borderId="1" xfId="0" applyFont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7" borderId="4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/>
    <xf numFmtId="0" fontId="14" fillId="0" borderId="7" xfId="0" applyFont="1" applyBorder="1" applyAlignment="1">
      <alignment horizontal="left"/>
    </xf>
    <xf numFmtId="0" fontId="9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0" xfId="0" applyFont="1" applyFill="1"/>
    <xf numFmtId="0" fontId="9" fillId="2" borderId="8" xfId="0" applyFont="1" applyFill="1" applyBorder="1"/>
    <xf numFmtId="0" fontId="15" fillId="0" borderId="7" xfId="0" applyFont="1" applyBorder="1" applyAlignment="1">
      <alignment horizontal="right"/>
    </xf>
    <xf numFmtId="164" fontId="9" fillId="0" borderId="0" xfId="0" applyNumberFormat="1" applyFont="1" applyAlignment="1">
      <alignment horizontal="left"/>
    </xf>
    <xf numFmtId="0" fontId="9" fillId="6" borderId="7" xfId="0" applyFont="1" applyFill="1" applyBorder="1" applyAlignment="1">
      <alignment horizontal="left"/>
    </xf>
    <xf numFmtId="0" fontId="9" fillId="6" borderId="0" xfId="0" applyFont="1" applyFill="1"/>
    <xf numFmtId="0" fontId="9" fillId="6" borderId="8" xfId="0" applyFont="1" applyFill="1" applyBorder="1"/>
    <xf numFmtId="0" fontId="9" fillId="8" borderId="7" xfId="0" applyFont="1" applyFill="1" applyBorder="1" applyAlignment="1">
      <alignment horizontal="left"/>
    </xf>
    <xf numFmtId="0" fontId="9" fillId="9" borderId="9" xfId="0" applyFont="1" applyFill="1" applyBorder="1"/>
    <xf numFmtId="0" fontId="9" fillId="9" borderId="10" xfId="0" applyFont="1" applyFill="1" applyBorder="1"/>
    <xf numFmtId="0" fontId="9" fillId="9" borderId="11" xfId="0" applyFont="1" applyFill="1" applyBorder="1"/>
    <xf numFmtId="0" fontId="15" fillId="0" borderId="9" xfId="0" applyFont="1" applyBorder="1" applyAlignment="1">
      <alignment horizontal="right"/>
    </xf>
    <xf numFmtId="164" fontId="9" fillId="0" borderId="10" xfId="0" applyNumberFormat="1" applyFont="1" applyBorder="1" applyAlignment="1">
      <alignment horizontal="left"/>
    </xf>
    <xf numFmtId="164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2" fontId="13" fillId="0" borderId="10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/>
    <xf numFmtId="0" fontId="2" fillId="0" borderId="0" xfId="0" applyFont="1"/>
    <xf numFmtId="164" fontId="10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12" fillId="0" borderId="0" xfId="0" applyNumberFormat="1" applyFont="1" applyAlignment="1">
      <alignment horizontal="center"/>
    </xf>
    <xf numFmtId="0" fontId="12" fillId="6" borderId="17" xfId="0" applyFont="1" applyFill="1" applyBorder="1" applyAlignment="1">
      <alignment horizontal="center"/>
    </xf>
    <xf numFmtId="166" fontId="9" fillId="8" borderId="9" xfId="0" applyNumberFormat="1" applyFont="1" applyFill="1" applyBorder="1" applyAlignment="1">
      <alignment horizontal="center"/>
    </xf>
    <xf numFmtId="166" fontId="9" fillId="6" borderId="1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21" xfId="0" applyFont="1" applyBorder="1"/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9" borderId="2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6" fillId="0" borderId="3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right"/>
    </xf>
    <xf numFmtId="0" fontId="9" fillId="9" borderId="16" xfId="0" applyFont="1" applyFill="1" applyBorder="1" applyAlignment="1">
      <alignment horizontal="center"/>
    </xf>
    <xf numFmtId="11" fontId="0" fillId="0" borderId="0" xfId="0" applyNumberFormat="1"/>
    <xf numFmtId="0" fontId="27" fillId="0" borderId="0" xfId="0" applyFont="1" applyAlignment="1">
      <alignment vertical="center"/>
    </xf>
    <xf numFmtId="14" fontId="0" fillId="0" borderId="0" xfId="0" applyNumberFormat="1" applyAlignment="1">
      <alignment horizontal="left"/>
    </xf>
    <xf numFmtId="0" fontId="9" fillId="11" borderId="8" xfId="0" applyFont="1" applyFill="1" applyBorder="1"/>
    <xf numFmtId="0" fontId="9" fillId="11" borderId="0" xfId="0" applyFont="1" applyFill="1"/>
    <xf numFmtId="1" fontId="9" fillId="0" borderId="0" xfId="0" applyNumberFormat="1" applyFont="1" applyAlignment="1">
      <alignment horizontal="right"/>
    </xf>
    <xf numFmtId="0" fontId="9" fillId="0" borderId="21" xfId="0" applyFont="1" applyBorder="1" applyAlignment="1">
      <alignment horizontal="right"/>
    </xf>
    <xf numFmtId="166" fontId="9" fillId="8" borderId="10" xfId="0" applyNumberFormat="1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10" xfId="0" applyFont="1" applyBorder="1" applyAlignment="1">
      <alignment horizontal="center"/>
    </xf>
    <xf numFmtId="0" fontId="25" fillId="0" borderId="0" xfId="0" applyFont="1"/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64" fontId="9" fillId="0" borderId="20" xfId="0" applyNumberFormat="1" applyFont="1" applyBorder="1" applyAlignment="1">
      <alignment horizontal="center"/>
    </xf>
    <xf numFmtId="164" fontId="9" fillId="0" borderId="18" xfId="0" applyNumberFormat="1" applyFont="1" applyBorder="1" applyAlignment="1">
      <alignment horizontal="center"/>
    </xf>
    <xf numFmtId="0" fontId="29" fillId="0" borderId="0" xfId="0" applyFont="1"/>
    <xf numFmtId="168" fontId="2" fillId="0" borderId="7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0" fontId="28" fillId="12" borderId="0" xfId="0" applyFont="1" applyFill="1" applyAlignment="1">
      <alignment horizontal="center" vertical="center"/>
    </xf>
    <xf numFmtId="167" fontId="2" fillId="4" borderId="23" xfId="0" applyNumberFormat="1" applyFont="1" applyFill="1" applyBorder="1" applyAlignment="1">
      <alignment horizontal="center"/>
    </xf>
    <xf numFmtId="0" fontId="30" fillId="0" borderId="0" xfId="0" applyFont="1"/>
    <xf numFmtId="0" fontId="9" fillId="0" borderId="13" xfId="0" applyFont="1" applyBorder="1"/>
    <xf numFmtId="0" fontId="9" fillId="0" borderId="14" xfId="0" applyFont="1" applyBorder="1"/>
    <xf numFmtId="0" fontId="30" fillId="0" borderId="0" xfId="0" applyFont="1" applyAlignment="1">
      <alignment horizontal="center"/>
    </xf>
    <xf numFmtId="11" fontId="9" fillId="6" borderId="13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24" xfId="0" applyFont="1" applyBorder="1" applyAlignment="1">
      <alignment horizontal="center"/>
    </xf>
    <xf numFmtId="0" fontId="29" fillId="0" borderId="0" xfId="0" applyFont="1" applyAlignment="1">
      <alignment horizontal="left"/>
    </xf>
    <xf numFmtId="0" fontId="0" fillId="0" borderId="12" xfId="0" applyBorder="1" applyAlignment="1">
      <alignment horizontal="right"/>
    </xf>
    <xf numFmtId="0" fontId="0" fillId="0" borderId="14" xfId="0" applyBorder="1"/>
    <xf numFmtId="0" fontId="0" fillId="0" borderId="13" xfId="0" applyBorder="1" applyAlignment="1">
      <alignment horizontal="right"/>
    </xf>
    <xf numFmtId="0" fontId="9" fillId="3" borderId="14" xfId="0" applyFont="1" applyFill="1" applyBorder="1" applyAlignment="1">
      <alignment horizontal="left"/>
    </xf>
    <xf numFmtId="166" fontId="9" fillId="0" borderId="0" xfId="0" applyNumberFormat="1" applyFont="1" applyAlignment="1">
      <alignment horizontal="left"/>
    </xf>
    <xf numFmtId="0" fontId="9" fillId="0" borderId="25" xfId="0" applyFont="1" applyBorder="1"/>
    <xf numFmtId="0" fontId="0" fillId="7" borderId="13" xfId="0" applyFill="1" applyBorder="1" applyAlignment="1">
      <alignment horizontal="left"/>
    </xf>
    <xf numFmtId="0" fontId="0" fillId="7" borderId="15" xfId="0" applyFill="1" applyBorder="1" applyAlignment="1">
      <alignment horizontal="left"/>
    </xf>
    <xf numFmtId="0" fontId="0" fillId="7" borderId="16" xfId="0" applyFill="1" applyBorder="1" applyAlignment="1">
      <alignment horizontal="left"/>
    </xf>
    <xf numFmtId="0" fontId="0" fillId="7" borderId="26" xfId="0" applyFill="1" applyBorder="1" applyAlignment="1">
      <alignment horizontal="left"/>
    </xf>
    <xf numFmtId="0" fontId="30" fillId="0" borderId="4" xfId="0" applyFont="1" applyBorder="1"/>
    <xf numFmtId="0" fontId="9" fillId="0" borderId="6" xfId="0" applyFont="1" applyBorder="1" applyAlignment="1">
      <alignment horizontal="right"/>
    </xf>
    <xf numFmtId="0" fontId="9" fillId="3" borderId="8" xfId="0" applyFont="1" applyFill="1" applyBorder="1" applyAlignment="1">
      <alignment horizontal="left"/>
    </xf>
    <xf numFmtId="0" fontId="34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166" fontId="9" fillId="10" borderId="11" xfId="0" applyNumberFormat="1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8" fillId="0" borderId="4" xfId="0" applyFont="1" applyBorder="1"/>
    <xf numFmtId="0" fontId="34" fillId="0" borderId="8" xfId="0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0" fillId="0" borderId="1" xfId="0" applyBorder="1"/>
    <xf numFmtId="0" fontId="12" fillId="0" borderId="2" xfId="0" applyFont="1" applyBorder="1" applyAlignment="1">
      <alignment horizontal="right"/>
    </xf>
    <xf numFmtId="0" fontId="12" fillId="0" borderId="15" xfId="0" applyFont="1" applyBorder="1" applyAlignment="1">
      <alignment horizontal="left"/>
    </xf>
    <xf numFmtId="165" fontId="9" fillId="8" borderId="9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8" fillId="0" borderId="32" xfId="0" applyFont="1" applyBorder="1"/>
    <xf numFmtId="0" fontId="9" fillId="0" borderId="33" xfId="0" applyFont="1" applyBorder="1"/>
    <xf numFmtId="0" fontId="9" fillId="0" borderId="20" xfId="0" applyFont="1" applyBorder="1" applyAlignment="1">
      <alignment horizontal="right"/>
    </xf>
    <xf numFmtId="0" fontId="9" fillId="2" borderId="0" xfId="0" applyFont="1" applyFill="1" applyAlignment="1">
      <alignment horizontal="left"/>
    </xf>
    <xf numFmtId="0" fontId="9" fillId="2" borderId="29" xfId="0" applyFont="1" applyFill="1" applyBorder="1" applyAlignment="1">
      <alignment horizontal="left"/>
    </xf>
    <xf numFmtId="0" fontId="9" fillId="0" borderId="30" xfId="0" applyFont="1" applyBorder="1" applyAlignment="1">
      <alignment horizontal="right"/>
    </xf>
    <xf numFmtId="0" fontId="9" fillId="2" borderId="21" xfId="0" applyFont="1" applyFill="1" applyBorder="1" applyAlignment="1">
      <alignment horizontal="left"/>
    </xf>
    <xf numFmtId="0" fontId="9" fillId="2" borderId="31" xfId="0" applyFont="1" applyFill="1" applyBorder="1" applyAlignment="1">
      <alignment horizontal="left"/>
    </xf>
    <xf numFmtId="0" fontId="19" fillId="0" borderId="7" xfId="0" applyFont="1" applyBorder="1"/>
    <xf numFmtId="0" fontId="9" fillId="0" borderId="8" xfId="0" applyFont="1" applyBorder="1" applyAlignment="1">
      <alignment horizontal="right"/>
    </xf>
    <xf numFmtId="0" fontId="9" fillId="14" borderId="8" xfId="0" applyFont="1" applyFill="1" applyBorder="1" applyAlignment="1">
      <alignment horizontal="left"/>
    </xf>
    <xf numFmtId="2" fontId="9" fillId="3" borderId="11" xfId="0" applyNumberFormat="1" applyFont="1" applyFill="1" applyBorder="1" applyAlignment="1">
      <alignment horizontal="left"/>
    </xf>
    <xf numFmtId="0" fontId="9" fillId="0" borderId="27" xfId="0" applyFont="1" applyBorder="1" applyAlignment="1">
      <alignment horizontal="right"/>
    </xf>
    <xf numFmtId="11" fontId="9" fillId="2" borderId="34" xfId="0" applyNumberFormat="1" applyFont="1" applyFill="1" applyBorder="1" applyAlignment="1">
      <alignment horizontal="center"/>
    </xf>
    <xf numFmtId="11" fontId="9" fillId="3" borderId="34" xfId="0" applyNumberFormat="1" applyFont="1" applyFill="1" applyBorder="1" applyAlignment="1">
      <alignment horizontal="center"/>
    </xf>
    <xf numFmtId="11" fontId="9" fillId="2" borderId="35" xfId="0" applyNumberFormat="1" applyFont="1" applyFill="1" applyBorder="1" applyAlignment="1">
      <alignment horizontal="center"/>
    </xf>
    <xf numFmtId="165" fontId="9" fillId="2" borderId="36" xfId="0" applyNumberFormat="1" applyFont="1" applyFill="1" applyBorder="1" applyAlignment="1">
      <alignment horizontal="center"/>
    </xf>
    <xf numFmtId="0" fontId="11" fillId="0" borderId="37" xfId="0" applyFont="1" applyBorder="1" applyAlignment="1">
      <alignment horizontal="left"/>
    </xf>
    <xf numFmtId="11" fontId="9" fillId="4" borderId="21" xfId="0" applyNumberFormat="1" applyFont="1" applyFill="1" applyBorder="1" applyAlignment="1">
      <alignment horizontal="center"/>
    </xf>
    <xf numFmtId="11" fontId="9" fillId="4" borderId="38" xfId="0" applyNumberFormat="1" applyFont="1" applyFill="1" applyBorder="1" applyAlignment="1">
      <alignment horizontal="center"/>
    </xf>
    <xf numFmtId="0" fontId="11" fillId="0" borderId="39" xfId="0" applyFont="1" applyBorder="1" applyAlignment="1">
      <alignment horizontal="left"/>
    </xf>
    <xf numFmtId="0" fontId="30" fillId="0" borderId="4" xfId="0" applyFont="1" applyBorder="1" applyAlignment="1">
      <alignment horizontal="right"/>
    </xf>
    <xf numFmtId="0" fontId="0" fillId="11" borderId="6" xfId="0" applyFill="1" applyBorder="1" applyAlignment="1">
      <alignment horizontal="left"/>
    </xf>
    <xf numFmtId="0" fontId="9" fillId="0" borderId="27" xfId="0" applyFont="1" applyBorder="1"/>
    <xf numFmtId="0" fontId="9" fillId="0" borderId="34" xfId="0" applyFont="1" applyBorder="1" applyAlignment="1">
      <alignment horizontal="center"/>
    </xf>
    <xf numFmtId="0" fontId="9" fillId="0" borderId="34" xfId="0" applyFont="1" applyBorder="1" applyAlignment="1">
      <alignment horizontal="right"/>
    </xf>
    <xf numFmtId="0" fontId="9" fillId="13" borderId="28" xfId="0" applyFont="1" applyFill="1" applyBorder="1" applyAlignment="1">
      <alignment horizontal="left"/>
    </xf>
    <xf numFmtId="0" fontId="9" fillId="0" borderId="30" xfId="0" applyFont="1" applyBorder="1"/>
    <xf numFmtId="0" fontId="9" fillId="0" borderId="31" xfId="0" applyFont="1" applyBorder="1" applyAlignment="1">
      <alignment horizontal="right"/>
    </xf>
    <xf numFmtId="0" fontId="9" fillId="0" borderId="40" xfId="0" applyFont="1" applyBorder="1" applyAlignment="1">
      <alignment horizontal="center"/>
    </xf>
    <xf numFmtId="0" fontId="9" fillId="0" borderId="41" xfId="0" applyFont="1" applyBorder="1"/>
    <xf numFmtId="1" fontId="9" fillId="0" borderId="41" xfId="0" applyNumberFormat="1" applyFont="1" applyBorder="1" applyAlignment="1">
      <alignment horizontal="right"/>
    </xf>
    <xf numFmtId="166" fontId="9" fillId="8" borderId="31" xfId="0" applyNumberFormat="1" applyFont="1" applyFill="1" applyBorder="1" applyAlignment="1">
      <alignment horizontal="left"/>
    </xf>
    <xf numFmtId="0" fontId="37" fillId="15" borderId="42" xfId="0" applyFont="1" applyFill="1" applyBorder="1" applyAlignment="1">
      <alignment horizontal="left"/>
    </xf>
    <xf numFmtId="0" fontId="37" fillId="15" borderId="42" xfId="0" applyFont="1" applyFill="1" applyBorder="1" applyAlignment="1">
      <alignment horizontal="left"/>
    </xf>
    <xf numFmtId="9" fontId="36" fillId="15" borderId="42" xfId="0" applyNumberFormat="1" applyFont="1" applyFill="1" applyBorder="1" applyAlignment="1">
      <alignment horizontal="left"/>
    </xf>
    <xf numFmtId="0" fontId="37" fillId="15" borderId="43" xfId="0" applyFont="1" applyFill="1" applyBorder="1" applyAlignment="1">
      <alignment horizontal="left" wrapText="1"/>
    </xf>
    <xf numFmtId="0" fontId="37" fillId="15" borderId="44" xfId="0" applyFont="1" applyFill="1" applyBorder="1" applyAlignment="1">
      <alignment horizontal="left" wrapText="1"/>
    </xf>
    <xf numFmtId="0" fontId="37" fillId="15" borderId="45" xfId="0" applyFont="1" applyFill="1" applyBorder="1" applyAlignment="1">
      <alignment horizontal="left" wrapText="1"/>
    </xf>
    <xf numFmtId="0" fontId="37" fillId="15" borderId="46" xfId="0" applyFont="1" applyFill="1" applyBorder="1" applyAlignment="1">
      <alignment horizontal="left" wrapText="1"/>
    </xf>
    <xf numFmtId="0" fontId="37" fillId="15" borderId="47" xfId="0" applyFont="1" applyFill="1" applyBorder="1" applyAlignment="1">
      <alignment horizontal="left"/>
    </xf>
    <xf numFmtId="0" fontId="37" fillId="0" borderId="48" xfId="0" applyFont="1" applyBorder="1" applyAlignment="1">
      <alignment horizontal="left"/>
    </xf>
    <xf numFmtId="0" fontId="37" fillId="0" borderId="49" xfId="0" applyFont="1" applyBorder="1" applyAlignment="1">
      <alignment horizontal="left"/>
    </xf>
    <xf numFmtId="0" fontId="36" fillId="0" borderId="48" xfId="0" applyFont="1" applyBorder="1" applyAlignment="1">
      <alignment horizontal="left"/>
    </xf>
    <xf numFmtId="0" fontId="36" fillId="0" borderId="49" xfId="0" applyFont="1" applyBorder="1" applyAlignment="1">
      <alignment horizontal="left"/>
    </xf>
    <xf numFmtId="0" fontId="37" fillId="0" borderId="48" xfId="0" applyFont="1" applyBorder="1" applyAlignment="1">
      <alignment horizontal="left"/>
    </xf>
    <xf numFmtId="0" fontId="37" fillId="0" borderId="49" xfId="0" applyFont="1" applyBorder="1" applyAlignment="1">
      <alignment horizontal="left"/>
    </xf>
    <xf numFmtId="164" fontId="36" fillId="0" borderId="48" xfId="0" applyNumberFormat="1" applyFont="1" applyBorder="1" applyAlignment="1">
      <alignment horizontal="left"/>
    </xf>
    <xf numFmtId="169" fontId="36" fillId="0" borderId="48" xfId="0" applyNumberFormat="1" applyFont="1" applyBorder="1" applyAlignment="1">
      <alignment horizontal="left"/>
    </xf>
    <xf numFmtId="1" fontId="36" fillId="0" borderId="48" xfId="0" applyNumberFormat="1" applyFont="1" applyBorder="1" applyAlignment="1">
      <alignment horizontal="left"/>
    </xf>
    <xf numFmtId="1" fontId="36" fillId="0" borderId="49" xfId="0" applyNumberFormat="1" applyFont="1" applyBorder="1" applyAlignment="1">
      <alignment horizontal="left"/>
    </xf>
    <xf numFmtId="1" fontId="36" fillId="0" borderId="50" xfId="0" applyNumberFormat="1" applyFont="1" applyBorder="1" applyAlignment="1">
      <alignment horizontal="left"/>
    </xf>
    <xf numFmtId="1" fontId="36" fillId="0" borderId="51" xfId="0" applyNumberFormat="1" applyFont="1" applyBorder="1" applyAlignment="1">
      <alignment horizontal="left"/>
    </xf>
    <xf numFmtId="0" fontId="38" fillId="13" borderId="0" xfId="0" applyFont="1" applyFill="1"/>
    <xf numFmtId="170" fontId="36" fillId="0" borderId="48" xfId="0" applyNumberFormat="1" applyFont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00FF00"/>
      <color rgb="FFCCFFFF"/>
      <color rgb="FF3333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39.png"/><Relationship Id="rId18" Type="http://schemas.openxmlformats.org/officeDocument/2006/relationships/image" Target="../media/image43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12" Type="http://schemas.openxmlformats.org/officeDocument/2006/relationships/image" Target="../media/image38.png"/><Relationship Id="rId17" Type="http://schemas.openxmlformats.org/officeDocument/2006/relationships/image" Target="../media/image24.png"/><Relationship Id="rId2" Type="http://schemas.openxmlformats.org/officeDocument/2006/relationships/image" Target="../media/image30.png"/><Relationship Id="rId16" Type="http://schemas.openxmlformats.org/officeDocument/2006/relationships/image" Target="../media/image42.png"/><Relationship Id="rId20" Type="http://schemas.openxmlformats.org/officeDocument/2006/relationships/image" Target="../media/image28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10.png"/><Relationship Id="rId5" Type="http://schemas.openxmlformats.org/officeDocument/2006/relationships/image" Target="../media/image33.png"/><Relationship Id="rId15" Type="http://schemas.openxmlformats.org/officeDocument/2006/relationships/image" Target="../media/image41.png"/><Relationship Id="rId10" Type="http://schemas.openxmlformats.org/officeDocument/2006/relationships/image" Target="../media/image9.png"/><Relationship Id="rId19" Type="http://schemas.openxmlformats.org/officeDocument/2006/relationships/image" Target="../media/image27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Relationship Id="rId14" Type="http://schemas.openxmlformats.org/officeDocument/2006/relationships/image" Target="../media/image4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44.png"/><Relationship Id="rId7" Type="http://schemas.openxmlformats.org/officeDocument/2006/relationships/image" Target="../media/image27.png"/><Relationship Id="rId2" Type="http://schemas.openxmlformats.org/officeDocument/2006/relationships/image" Target="../media/image36.png"/><Relationship Id="rId1" Type="http://schemas.openxmlformats.org/officeDocument/2006/relationships/image" Target="../media/image37.png"/><Relationship Id="rId6" Type="http://schemas.openxmlformats.org/officeDocument/2006/relationships/image" Target="../media/image45.png"/><Relationship Id="rId5" Type="http://schemas.openxmlformats.org/officeDocument/2006/relationships/image" Target="../media/image24.png"/><Relationship Id="rId4" Type="http://schemas.openxmlformats.org/officeDocument/2006/relationships/image" Target="../media/image4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4.png"/><Relationship Id="rId1" Type="http://schemas.openxmlformats.org/officeDocument/2006/relationships/image" Target="../media/image36.png"/><Relationship Id="rId4" Type="http://schemas.openxmlformats.org/officeDocument/2006/relationships/image" Target="../media/image2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4.png"/><Relationship Id="rId1" Type="http://schemas.openxmlformats.org/officeDocument/2006/relationships/image" Target="../media/image36.png"/><Relationship Id="rId4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209550</xdr:colOff>
      <xdr:row>3</xdr:row>
      <xdr:rowOff>142875</xdr:rowOff>
    </xdr:from>
    <xdr:to>
      <xdr:col>12</xdr:col>
      <xdr:colOff>630555</xdr:colOff>
      <xdr:row>18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32" t="12202" r="8081" b="4167"/>
        <a:stretch>
          <a:fillRect/>
        </a:stretch>
      </xdr:blipFill>
      <xdr:spPr bwMode="auto">
        <a:xfrm>
          <a:off x="6581775" y="628650"/>
          <a:ext cx="2809875" cy="2552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C44A8-02B4-496B-9715-DBE94171BA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" y="1266825"/>
          <a:ext cx="952500" cy="190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22A1DD-E0DA-46E4-820F-CA2F0D6147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90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C4F2FC-D5C0-4AA4-AFB8-C2E9570266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85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F27555-1AC4-4294-A437-B403007871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381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BAC7B-55DB-4F69-A38B-5EDE479236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476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BF8FC7-A31D-4674-9033-34C553730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571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A25E190-95B6-4833-BA7B-5858468A1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666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05ECF9-5D2A-484D-86FF-6B1008893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762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0DC0F5A-B5FA-4BCC-A8C9-8BB7CC5E64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xfrm>
          <a:off x="857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BFE216-7EDA-4B48-AE25-C569CD60F9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xfrm>
          <a:off x="952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4CEDFE-0ABF-4DB4-91DD-DD77AF7F30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xfrm>
          <a:off x="1047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9DAA69C-CD05-4272-BC34-24FE47697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xfrm>
          <a:off x="1143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72D96FE-D8E9-4D65-B167-BD9361174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1238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855312A-E108-4F40-91A1-9A19A08EE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tretch>
          <a:fillRect/>
        </a:stretch>
      </xdr:blipFill>
      <xdr:spPr>
        <a:xfrm>
          <a:off x="1333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9BF2B41-B8B5-4C16-8652-901A8806F5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xfrm>
          <a:off x="1428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8BBA5B-EF8F-46FB-9A85-386866466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tretch>
          <a:fillRect/>
        </a:stretch>
      </xdr:blipFill>
      <xdr:spPr>
        <a:xfrm>
          <a:off x="1524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CC41E7C-CFC8-4FF2-8940-F6B379268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xfrm>
          <a:off x="1619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0</xdr:colOff>
      <xdr:row>5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4627534-E36E-4FCE-9D7A-A6A21433D3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xfrm>
          <a:off x="1714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21</xdr:col>
      <xdr:colOff>0</xdr:colOff>
      <xdr:row>5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183B212-B51C-495C-A35F-8C785BA20A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xfrm>
          <a:off x="1809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3270AB2-D583-431D-A7B3-3556E49BF2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tretch>
          <a:fillRect/>
        </a:stretch>
      </xdr:blipFill>
      <xdr:spPr>
        <a:xfrm>
          <a:off x="1905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23</xdr:col>
      <xdr:colOff>0</xdr:colOff>
      <xdr:row>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9C031F9-86A9-47BE-B6C1-732B82B1F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tretch>
          <a:fillRect/>
        </a:stretch>
      </xdr:blipFill>
      <xdr:spPr>
        <a:xfrm>
          <a:off x="2000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FD16E59-5FE3-497C-9D3E-0B5FEB452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2095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24B7F97-0DF0-40FB-9220-5D925A2AC6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xfrm>
          <a:off x="2190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0</xdr:colOff>
      <xdr:row>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B24B980-CE02-45A7-9FFB-C81DF30B67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xfrm>
          <a:off x="2286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4</xdr:row>
      <xdr:rowOff>0</xdr:rowOff>
    </xdr:from>
    <xdr:to>
      <xdr:col>27</xdr:col>
      <xdr:colOff>0</xdr:colOff>
      <xdr:row>5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C3057F4-0584-4D0A-B6C8-8501FF680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tretch>
          <a:fillRect/>
        </a:stretch>
      </xdr:blipFill>
      <xdr:spPr>
        <a:xfrm>
          <a:off x="2381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4</xdr:row>
      <xdr:rowOff>0</xdr:rowOff>
    </xdr:from>
    <xdr:to>
      <xdr:col>28</xdr:col>
      <xdr:colOff>0</xdr:colOff>
      <xdr:row>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DC98EAA-D708-458D-8FDE-5E2BE988C8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xfrm>
          <a:off x="2476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4</xdr:row>
      <xdr:rowOff>0</xdr:rowOff>
    </xdr:from>
    <xdr:to>
      <xdr:col>29</xdr:col>
      <xdr:colOff>0</xdr:colOff>
      <xdr:row>5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B41798-6BF1-44C2-B8CD-11DF23440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tretch>
          <a:fillRect/>
        </a:stretch>
      </xdr:blipFill>
      <xdr:spPr>
        <a:xfrm>
          <a:off x="2571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</xdr:row>
      <xdr:rowOff>0</xdr:rowOff>
    </xdr:from>
    <xdr:to>
      <xdr:col>30</xdr:col>
      <xdr:colOff>0</xdr:colOff>
      <xdr:row>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32FBC83-83F1-464B-BD84-3452A7FD30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tretch>
          <a:fillRect/>
        </a:stretch>
      </xdr:blipFill>
      <xdr:spPr>
        <a:xfrm>
          <a:off x="26670000" y="1905000"/>
          <a:ext cx="952500" cy="190500"/>
        </a:xfrm>
        <a:prstGeom prst="rect">
          <a:avLst/>
        </a:prstGeom>
      </xdr:spPr>
    </xdr:pic>
    <xdr:clientData/>
  </xdr:twoCellAnchor>
  <xdr:twoCellAnchor editAs="absolute">
    <xdr:from>
      <xdr:col>1</xdr:col>
      <xdr:colOff>742950</xdr:colOff>
      <xdr:row>0</xdr:row>
      <xdr:rowOff>127000</xdr:rowOff>
    </xdr:from>
    <xdr:to>
      <xdr:col>4</xdr:col>
      <xdr:colOff>369528</xdr:colOff>
      <xdr:row>0</xdr:row>
      <xdr:rowOff>705363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494FD7E-2172-0717-1B49-13FB03AA8389}"/>
            </a:ext>
          </a:extLst>
        </xdr:cNvPr>
        <xdr:cNvSpPr txBox="1"/>
      </xdr:nvSpPr>
      <xdr:spPr>
        <a:xfrm>
          <a:off x="762000" y="127000"/>
          <a:ext cx="2484078" cy="578363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NZ" sz="1400" b="1"/>
            <a:t>@RISK - Statistics</a:t>
          </a:r>
          <a:r>
            <a:rPr lang="en-NZ" sz="1000"/>
            <a:t>
</a:t>
          </a:r>
          <a:r>
            <a:rPr lang="en-NZ" sz="1000" b="1"/>
            <a:t>Performed By: </a:t>
          </a:r>
          <a:r>
            <a:rPr lang="en-NZ" sz="1000"/>
            <a:t>David Wood
</a:t>
          </a:r>
          <a:r>
            <a:rPr lang="en-NZ" sz="1000" b="1"/>
            <a:t>Date: </a:t>
          </a:r>
          <a:r>
            <a:rPr lang="en-NZ" sz="1000"/>
            <a:t>Wednesday, 22 March 2023 4:31:43 pm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1</xdr:col>
      <xdr:colOff>679450</xdr:colOff>
      <xdr:row>0</xdr:row>
      <xdr:rowOff>698500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1EE137F-AA50-A7DE-7B19-8E56C40AC4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52DBA-A1F0-4310-ABD6-4FD981A60B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" y="1266825"/>
          <a:ext cx="952500" cy="190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B56B43-00F9-4BED-8A25-6AFB19DE6D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90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DB597F-1A6F-4EF3-8823-BF28BFBB90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85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175D03-E14B-428E-B449-AEB22F95A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381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7D81A5-CC2B-4FB7-BDAB-2A0816DC0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476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9BB4EE-E533-436A-B9D4-54B9E36040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571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5EDAC2-EAE5-45AA-9001-7B5C8C5A39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666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9CC401-B206-4A90-838F-7CB102815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762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9C84BB-DBF6-4126-8F87-C7C8A24A38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xfrm>
          <a:off x="857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CBC45E1-4070-4D14-B3A8-11E41A75A5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952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F287FBE-245A-4A98-9BFF-C2F19CD84B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xfrm>
          <a:off x="1047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AAE5CAD-652D-4799-9EC1-583F4E844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xfrm>
          <a:off x="1143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44B7B43-85E0-4B7D-AC42-10D3B68AA4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xfrm>
          <a:off x="1238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A8E07F-375B-4547-A7FE-144A6266A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1333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07E23ED-96B9-4B57-9426-A017AC41CA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1428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BCB5CB0-EC9C-4A2E-91EC-F85F4E4959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tretch>
          <a:fillRect/>
        </a:stretch>
      </xdr:blipFill>
      <xdr:spPr>
        <a:xfrm>
          <a:off x="1524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6513FE-EDDC-4A2B-A555-9C3A5C6B3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xfrm>
          <a:off x="1619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0</xdr:colOff>
      <xdr:row>5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2099D89-A246-4571-A73A-E473F0C75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1714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21</xdr:col>
      <xdr:colOff>0</xdr:colOff>
      <xdr:row>5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164E2BD-DF2A-404C-99D6-1B4755142F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tretch>
          <a:fillRect/>
        </a:stretch>
      </xdr:blipFill>
      <xdr:spPr>
        <a:xfrm>
          <a:off x="1809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2A8E870-E888-437F-98C5-EC9494398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1905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23</xdr:col>
      <xdr:colOff>0</xdr:colOff>
      <xdr:row>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7742DE1-A1F7-4D09-B953-0B54E962A3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2000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BC1A7A2-8B9A-42B9-A55A-BA23957D9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2095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871DEBD-856C-4998-93C0-960E482ACD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xfrm>
          <a:off x="2190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0</xdr:colOff>
      <xdr:row>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3C7399B-84E1-4522-9DCC-D8AB37E7C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xfrm>
          <a:off x="2286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4</xdr:row>
      <xdr:rowOff>0</xdr:rowOff>
    </xdr:from>
    <xdr:to>
      <xdr:col>27</xdr:col>
      <xdr:colOff>0</xdr:colOff>
      <xdr:row>5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BAD1EC5-8306-414E-9C7C-E06AE4BB20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2381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4</xdr:row>
      <xdr:rowOff>0</xdr:rowOff>
    </xdr:from>
    <xdr:to>
      <xdr:col>28</xdr:col>
      <xdr:colOff>0</xdr:colOff>
      <xdr:row>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EB6BCE6-9399-44BD-9CEA-B9A78B3B6F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xfrm>
          <a:off x="2476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4</xdr:row>
      <xdr:rowOff>0</xdr:rowOff>
    </xdr:from>
    <xdr:to>
      <xdr:col>29</xdr:col>
      <xdr:colOff>0</xdr:colOff>
      <xdr:row>5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CD7FF78-9870-443E-AB44-3E522DFFB4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xfrm>
          <a:off x="2571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</xdr:row>
      <xdr:rowOff>0</xdr:rowOff>
    </xdr:from>
    <xdr:to>
      <xdr:col>30</xdr:col>
      <xdr:colOff>0</xdr:colOff>
      <xdr:row>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A387A4F-7991-4D98-B36E-139801AC0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xfrm>
          <a:off x="26670000" y="1905000"/>
          <a:ext cx="952500" cy="190500"/>
        </a:xfrm>
        <a:prstGeom prst="rect">
          <a:avLst/>
        </a:prstGeom>
      </xdr:spPr>
    </xdr:pic>
    <xdr:clientData/>
  </xdr:twoCellAnchor>
  <xdr:twoCellAnchor editAs="absolute">
    <xdr:from>
      <xdr:col>1</xdr:col>
      <xdr:colOff>742950</xdr:colOff>
      <xdr:row>0</xdr:row>
      <xdr:rowOff>127000</xdr:rowOff>
    </xdr:from>
    <xdr:to>
      <xdr:col>4</xdr:col>
      <xdr:colOff>369528</xdr:colOff>
      <xdr:row>0</xdr:row>
      <xdr:rowOff>705363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C4B9A98-9A5E-2D54-22EF-01D88AD3386A}"/>
            </a:ext>
          </a:extLst>
        </xdr:cNvPr>
        <xdr:cNvSpPr txBox="1"/>
      </xdr:nvSpPr>
      <xdr:spPr>
        <a:xfrm>
          <a:off x="762000" y="127000"/>
          <a:ext cx="2484078" cy="578363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NZ" sz="1400" b="1"/>
            <a:t>@RISK - Statistics</a:t>
          </a:r>
          <a:r>
            <a:rPr lang="en-NZ" sz="1000"/>
            <a:t>
</a:t>
          </a:r>
          <a:r>
            <a:rPr lang="en-NZ" sz="1000" b="1"/>
            <a:t>Performed By: </a:t>
          </a:r>
          <a:r>
            <a:rPr lang="en-NZ" sz="1000"/>
            <a:t>David Wood
</a:t>
          </a:r>
          <a:r>
            <a:rPr lang="en-NZ" sz="1000" b="1"/>
            <a:t>Date: </a:t>
          </a:r>
          <a:r>
            <a:rPr lang="en-NZ" sz="1000"/>
            <a:t>Wednesday, 22 March 2023 4:36:05 pm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1</xdr:col>
      <xdr:colOff>679450</xdr:colOff>
      <xdr:row>0</xdr:row>
      <xdr:rowOff>698500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ECA3EFF-172D-11B2-03F5-E38D6F4C53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6984A-3773-40E2-8622-AB1EA965FE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" y="1266825"/>
          <a:ext cx="952500" cy="190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E74CB-DCBE-4106-82AE-33C46748E1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90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6FB981-8FB3-417D-B706-A6B79D5DEC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85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8E0AE7-3455-4062-8F3E-DC81B101C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381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C479CF-909C-4012-B6FC-525466690E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76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911052-92F0-4954-85E5-27B24C77CF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571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3CC992-BEA8-44E8-A598-91B6C12D8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666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9AF1B0-0416-4FCE-A1A9-BC96E94F3D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762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83565B3-051F-4529-B799-F4379B3BD4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57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4A24423-8DAE-435D-9B73-85C0CB8128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52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BD2FF69-01F8-4686-BE75-89A14BFF8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047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1FA4CB9-EBE4-44CA-8BD7-4DA5E63332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843E6C6-2A36-4247-8588-0C6F8D92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238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33CA4DD-10AC-4839-BDD3-F7C06DD12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333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DA9E71F-DC8B-4B04-A46D-936213D81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428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9F40F58-4599-41C5-AF24-2E49522A66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524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0EA6A14-E6C7-400E-9644-E12906EA9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619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0</xdr:colOff>
      <xdr:row>5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6BC2F10-1972-41F2-B0AD-C370D690F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714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21</xdr:col>
      <xdr:colOff>0</xdr:colOff>
      <xdr:row>5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807364-57E7-4A94-94C7-05AD90602F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809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7D0C546-45FA-43F4-B91F-E221D4C2B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905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23</xdr:col>
      <xdr:colOff>0</xdr:colOff>
      <xdr:row>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1C9A2DE-36D4-4348-9297-6832248068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000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6F7A595-8BEB-44DD-B023-901313EF7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095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3B838A0-6CA0-4554-830C-E9AE72D74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2190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0</xdr:colOff>
      <xdr:row>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82396D9-523B-419C-B619-0FCBF85A3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2286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4</xdr:row>
      <xdr:rowOff>0</xdr:rowOff>
    </xdr:from>
    <xdr:to>
      <xdr:col>27</xdr:col>
      <xdr:colOff>0</xdr:colOff>
      <xdr:row>5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CAF78B5-1707-42B5-8875-54CFBBFA6D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2381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4</xdr:row>
      <xdr:rowOff>0</xdr:rowOff>
    </xdr:from>
    <xdr:to>
      <xdr:col>28</xdr:col>
      <xdr:colOff>0</xdr:colOff>
      <xdr:row>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B262A68-EBA9-47CB-827E-7F4EFC8D45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476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4</xdr:row>
      <xdr:rowOff>0</xdr:rowOff>
    </xdr:from>
    <xdr:to>
      <xdr:col>29</xdr:col>
      <xdr:colOff>0</xdr:colOff>
      <xdr:row>5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ECF2E94-E6FB-486C-8C42-E4AA268EF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2571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</xdr:row>
      <xdr:rowOff>0</xdr:rowOff>
    </xdr:from>
    <xdr:to>
      <xdr:col>30</xdr:col>
      <xdr:colOff>0</xdr:colOff>
      <xdr:row>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E452B6E-8A5A-4205-B02F-31D3519B77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26670000" y="1905000"/>
          <a:ext cx="952500" cy="190500"/>
        </a:xfrm>
        <a:prstGeom prst="rect">
          <a:avLst/>
        </a:prstGeom>
      </xdr:spPr>
    </xdr:pic>
    <xdr:clientData/>
  </xdr:twoCellAnchor>
  <xdr:twoCellAnchor editAs="absolute">
    <xdr:from>
      <xdr:col>1</xdr:col>
      <xdr:colOff>742950</xdr:colOff>
      <xdr:row>0</xdr:row>
      <xdr:rowOff>127000</xdr:rowOff>
    </xdr:from>
    <xdr:to>
      <xdr:col>4</xdr:col>
      <xdr:colOff>369528</xdr:colOff>
      <xdr:row>0</xdr:row>
      <xdr:rowOff>705363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221FC1F-73E3-4630-7E35-04A9536353BC}"/>
            </a:ext>
          </a:extLst>
        </xdr:cNvPr>
        <xdr:cNvSpPr txBox="1"/>
      </xdr:nvSpPr>
      <xdr:spPr>
        <a:xfrm>
          <a:off x="762000" y="127000"/>
          <a:ext cx="2484078" cy="578363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NZ" sz="1400" b="1"/>
            <a:t>@RISK - Statistics</a:t>
          </a:r>
          <a:r>
            <a:rPr lang="en-NZ" sz="1000"/>
            <a:t>
</a:t>
          </a:r>
          <a:r>
            <a:rPr lang="en-NZ" sz="1000" b="1"/>
            <a:t>Performed By: </a:t>
          </a:r>
          <a:r>
            <a:rPr lang="en-NZ" sz="1000"/>
            <a:t>David Wood
</a:t>
          </a:r>
          <a:r>
            <a:rPr lang="en-NZ" sz="1000" b="1"/>
            <a:t>Date: </a:t>
          </a:r>
          <a:r>
            <a:rPr lang="en-NZ" sz="1000"/>
            <a:t>Wednesday, 22 March 2023 4:39:11 pm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1</xdr:col>
      <xdr:colOff>679450</xdr:colOff>
      <xdr:row>0</xdr:row>
      <xdr:rowOff>698500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38CCEE6-7690-E20B-485A-8F601612DD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B632A-B8D4-453D-8370-0339BCBE20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" y="1266825"/>
          <a:ext cx="952500" cy="190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0AC28-DBF2-4D5A-A3A9-339DB3AE19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430D84-6AE5-4834-9BAA-B87F3BC8DD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161E40-AF31-4EC5-B19D-109AA2DD1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81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E79EFF-51AD-431E-B79E-20D7AC8D35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76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3E27D4-9A3C-47D6-A2DE-DF598401E4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571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226E2C-99E1-4A7A-B41E-93C923422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666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9524A9-991C-4BFB-BE35-862070066A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62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4B6EF30-03AF-4A81-9785-FCF37A401B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57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F23C7D6-0B19-4256-A9E2-8C8FAE78E4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52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9C086B1-5C25-4A05-8261-AB76DD539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047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64E4AAE-4ABF-46C1-8098-AEA1F99505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C41A54C-1FFC-4B52-AA2F-3ADAD92D07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238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935151-6163-4DDC-9F0D-9A62E567CF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333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461BF85-9162-4301-BFDA-97FCB52B82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428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C4F70E0-DC85-4459-926C-4D420744D5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524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E281F9D-9908-4261-91F6-68842E2A48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19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0</xdr:colOff>
      <xdr:row>5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2EBCA7A-540C-4141-8BE0-42AD4EC915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714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21</xdr:col>
      <xdr:colOff>0</xdr:colOff>
      <xdr:row>5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B7FDF2A-14FE-438F-BA4C-87616A7BE3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809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7C49722-C787-474F-B425-81386AD3B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23</xdr:col>
      <xdr:colOff>0</xdr:colOff>
      <xdr:row>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C5A78B4-B4EC-4BC9-A816-43F549E56C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000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E0CB6FD-6346-4FBD-B311-9AE3054EB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095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831C55E-14E2-4934-AB1E-492B198818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190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0</xdr:colOff>
      <xdr:row>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4FAA21A-13E4-4DB2-A3B8-E0088D7D63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286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4</xdr:row>
      <xdr:rowOff>0</xdr:rowOff>
    </xdr:from>
    <xdr:to>
      <xdr:col>27</xdr:col>
      <xdr:colOff>0</xdr:colOff>
      <xdr:row>5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1C272D7-4DC1-4CB3-AF41-2831E606FE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381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4</xdr:row>
      <xdr:rowOff>0</xdr:rowOff>
    </xdr:from>
    <xdr:to>
      <xdr:col>28</xdr:col>
      <xdr:colOff>0</xdr:colOff>
      <xdr:row>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EA241EC-1520-4790-A704-AA03BCE23A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476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4</xdr:row>
      <xdr:rowOff>0</xdr:rowOff>
    </xdr:from>
    <xdr:to>
      <xdr:col>29</xdr:col>
      <xdr:colOff>0</xdr:colOff>
      <xdr:row>5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E1B7AAD-A1EC-43A3-A91F-197303369F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571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</xdr:row>
      <xdr:rowOff>0</xdr:rowOff>
    </xdr:from>
    <xdr:to>
      <xdr:col>30</xdr:col>
      <xdr:colOff>0</xdr:colOff>
      <xdr:row>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6262F6C-0784-483B-A1E9-A9F70AC842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6670000" y="1905000"/>
          <a:ext cx="952500" cy="190500"/>
        </a:xfrm>
        <a:prstGeom prst="rect">
          <a:avLst/>
        </a:prstGeom>
      </xdr:spPr>
    </xdr:pic>
    <xdr:clientData/>
  </xdr:twoCellAnchor>
  <xdr:twoCellAnchor editAs="absolute">
    <xdr:from>
      <xdr:col>1</xdr:col>
      <xdr:colOff>742950</xdr:colOff>
      <xdr:row>0</xdr:row>
      <xdr:rowOff>127000</xdr:rowOff>
    </xdr:from>
    <xdr:to>
      <xdr:col>4</xdr:col>
      <xdr:colOff>369528</xdr:colOff>
      <xdr:row>0</xdr:row>
      <xdr:rowOff>705363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0C7B3E6-5F9C-CFAC-FE2F-E727396F055C}"/>
            </a:ext>
          </a:extLst>
        </xdr:cNvPr>
        <xdr:cNvSpPr txBox="1"/>
      </xdr:nvSpPr>
      <xdr:spPr>
        <a:xfrm>
          <a:off x="762000" y="127000"/>
          <a:ext cx="2484078" cy="578363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NZ" sz="1400" b="1"/>
            <a:t>@RISK - Statistics</a:t>
          </a:r>
          <a:r>
            <a:rPr lang="en-NZ" sz="1000"/>
            <a:t>
</a:t>
          </a:r>
          <a:r>
            <a:rPr lang="en-NZ" sz="1000" b="1"/>
            <a:t>Performed By: </a:t>
          </a:r>
          <a:r>
            <a:rPr lang="en-NZ" sz="1000"/>
            <a:t>David Wood
</a:t>
          </a:r>
          <a:r>
            <a:rPr lang="en-NZ" sz="1000" b="1"/>
            <a:t>Date: </a:t>
          </a:r>
          <a:r>
            <a:rPr lang="en-NZ" sz="1000"/>
            <a:t>Wednesday, 22 March 2023 4:41:42 pm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1</xdr:col>
      <xdr:colOff>679450</xdr:colOff>
      <xdr:row>0</xdr:row>
      <xdr:rowOff>698500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7328A5C-D596-2322-99CD-814F1E5A74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9B5362-1FF4-4EFA-8168-365827885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" y="1266825"/>
          <a:ext cx="952500" cy="190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98580A-83F5-4418-AD31-4B5BCA15B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90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53D70-15F5-4814-96F9-4486F17463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85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5C1265-1602-4E6B-85DC-22285B4821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381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83F337-EEF3-490E-8137-573576148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76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DAABC4-944A-4692-8A96-3738AC59AE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571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FFAE62-01A4-43A2-8018-8BE16785A0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666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C35CDF-8AC2-4103-B608-113730671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62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5172307-9D98-438B-B20A-BDE83896CA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57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2334F3-672C-4F14-8E08-577A00018F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52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B5473E-505A-4506-9A84-03B3D57B12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047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9054DB-49A4-4574-8C4A-F4BE3FED14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43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CF812BE-0C2D-4967-80E1-C01499B4E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238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2912D6-DD2F-4B9F-8E96-71A7B56F3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333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C27F139-4C1D-4F7B-8A50-AC7E5F387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428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592F9E9-F2AC-411B-AC26-E44CBA426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524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4447945-073C-43BD-B7AA-2CF74BBCA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619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0</xdr:colOff>
      <xdr:row>5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DD8B469-3CFB-4050-BB4D-48BE01FD8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714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21</xdr:col>
      <xdr:colOff>0</xdr:colOff>
      <xdr:row>5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C2446DF-0A13-495B-98D1-2AB2FBB0DE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809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113CCAD-BFD4-4E12-875A-A461E37E17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23</xdr:col>
      <xdr:colOff>0</xdr:colOff>
      <xdr:row>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3F62C4A-B1EB-4DB7-BE09-CDA762AFB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000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3A5B006-A251-426C-AE1A-48A4B0FD4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095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24AD35-219D-47AE-B42A-A5F29B0CD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190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0</xdr:colOff>
      <xdr:row>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BE27DCD-2429-4845-B4E2-3862FF037D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286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4</xdr:row>
      <xdr:rowOff>0</xdr:rowOff>
    </xdr:from>
    <xdr:to>
      <xdr:col>27</xdr:col>
      <xdr:colOff>0</xdr:colOff>
      <xdr:row>5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BF2D3D0-F578-442E-8D20-7E3C861A7C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381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4</xdr:row>
      <xdr:rowOff>0</xdr:rowOff>
    </xdr:from>
    <xdr:to>
      <xdr:col>28</xdr:col>
      <xdr:colOff>0</xdr:colOff>
      <xdr:row>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4D01B73-90AA-40D0-BA39-AC5B97399A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476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4</xdr:row>
      <xdr:rowOff>0</xdr:rowOff>
    </xdr:from>
    <xdr:to>
      <xdr:col>29</xdr:col>
      <xdr:colOff>0</xdr:colOff>
      <xdr:row>5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BFE38CF-1C6B-4117-AC33-187EF8F129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571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</xdr:row>
      <xdr:rowOff>0</xdr:rowOff>
    </xdr:from>
    <xdr:to>
      <xdr:col>30</xdr:col>
      <xdr:colOff>0</xdr:colOff>
      <xdr:row>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64E9F0F-3260-4AA3-BD56-700E330E69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6670000" y="1905000"/>
          <a:ext cx="952500" cy="190500"/>
        </a:xfrm>
        <a:prstGeom prst="rect">
          <a:avLst/>
        </a:prstGeom>
      </xdr:spPr>
    </xdr:pic>
    <xdr:clientData/>
  </xdr:twoCellAnchor>
  <xdr:twoCellAnchor editAs="absolute">
    <xdr:from>
      <xdr:col>1</xdr:col>
      <xdr:colOff>742950</xdr:colOff>
      <xdr:row>0</xdr:row>
      <xdr:rowOff>127000</xdr:rowOff>
    </xdr:from>
    <xdr:to>
      <xdr:col>4</xdr:col>
      <xdr:colOff>369528</xdr:colOff>
      <xdr:row>0</xdr:row>
      <xdr:rowOff>705363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0A6035E-23CF-11A5-588A-F67866453A2A}"/>
            </a:ext>
          </a:extLst>
        </xdr:cNvPr>
        <xdr:cNvSpPr txBox="1"/>
      </xdr:nvSpPr>
      <xdr:spPr>
        <a:xfrm>
          <a:off x="762000" y="127000"/>
          <a:ext cx="2484078" cy="578363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NZ" sz="1400" b="1"/>
            <a:t>@RISK - Statistics</a:t>
          </a:r>
          <a:r>
            <a:rPr lang="en-NZ" sz="1000"/>
            <a:t>
</a:t>
          </a:r>
          <a:r>
            <a:rPr lang="en-NZ" sz="1000" b="1"/>
            <a:t>Performed By: </a:t>
          </a:r>
          <a:r>
            <a:rPr lang="en-NZ" sz="1000"/>
            <a:t>David Wood
</a:t>
          </a:r>
          <a:r>
            <a:rPr lang="en-NZ" sz="1000" b="1"/>
            <a:t>Date: </a:t>
          </a:r>
          <a:r>
            <a:rPr lang="en-NZ" sz="1000"/>
            <a:t>Wednesday, 22 March 2023 4:44:34 pm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1</xdr:col>
      <xdr:colOff>679450</xdr:colOff>
      <xdr:row>0</xdr:row>
      <xdr:rowOff>698500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797EAD9-4496-E47E-BF81-F20E5C49F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347BB6-DA76-463F-AD8E-DCF32C8CFD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" y="1266825"/>
          <a:ext cx="952500" cy="190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02499E-8E0D-4D8F-82A5-347B2556F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4C6353-2E63-40AB-82B5-2BFE6BDAE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693C83-9570-4A3F-B751-CE4C9E0E91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81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4E2D40-39A8-4B70-BFCE-58A394751F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76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4B5B09-1B10-4664-9BF6-02935E2237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C422EC-923E-4A08-9832-0C50D283E0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66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0B9D8E6-5FBD-4D5C-83E3-71DA18B24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62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1A58BE-80A9-49D1-B2B7-5CE48D3C6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857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0CA5CE6-3739-4378-A5D4-7AC750C509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E4165E-9DF1-49BA-9081-3E72790BA9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047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74898E9-3327-49BC-BD6F-58BE029C8C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143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A1EDE90-7AEA-4ED3-A254-29DF790F4A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238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09571A-9F3E-4E35-B01E-A69152130E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333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D937D3-0E9D-4410-865C-956162075C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428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8893D0F-2996-4573-9AF8-8BE527CAEC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524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9DCA2A1-3332-4BA0-ADC8-A99B15FA7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19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0</xdr:colOff>
      <xdr:row>5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B85C5E1-A924-4C19-B2AD-885B8A5DCF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714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21</xdr:col>
      <xdr:colOff>0</xdr:colOff>
      <xdr:row>5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4E177EF-792D-4ED2-A6DF-3D9FA972D9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809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36E3356-4317-44BE-8FB9-A40EEC97C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23</xdr:col>
      <xdr:colOff>0</xdr:colOff>
      <xdr:row>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0378298-CF2D-426B-9B8C-3CF0901F6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000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EFE5103-6293-4D11-83AD-1D9F20911E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095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A5BECFD-4AED-4516-9183-3F989A984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0</xdr:colOff>
      <xdr:row>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902AA92-E374-4668-8C3C-ADCB5573DB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4</xdr:row>
      <xdr:rowOff>0</xdr:rowOff>
    </xdr:from>
    <xdr:to>
      <xdr:col>27</xdr:col>
      <xdr:colOff>0</xdr:colOff>
      <xdr:row>5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A3CB1A1-0FCA-427A-8AAC-8D452E27D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3812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4</xdr:row>
      <xdr:rowOff>0</xdr:rowOff>
    </xdr:from>
    <xdr:to>
      <xdr:col>28</xdr:col>
      <xdr:colOff>0</xdr:colOff>
      <xdr:row>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626F1B1-7D06-448C-B955-CD0753C25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4</xdr:row>
      <xdr:rowOff>0</xdr:rowOff>
    </xdr:from>
    <xdr:to>
      <xdr:col>29</xdr:col>
      <xdr:colOff>0</xdr:colOff>
      <xdr:row>5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179261A-81F9-494F-AEBF-AC5ED6DF99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5717500" y="1905000"/>
          <a:ext cx="952500" cy="1905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</xdr:row>
      <xdr:rowOff>0</xdr:rowOff>
    </xdr:from>
    <xdr:to>
      <xdr:col>30</xdr:col>
      <xdr:colOff>0</xdr:colOff>
      <xdr:row>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CF496E0-EEEF-4A16-81F3-9CB4CACE2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6670000" y="1905000"/>
          <a:ext cx="952500" cy="190500"/>
        </a:xfrm>
        <a:prstGeom prst="rect">
          <a:avLst/>
        </a:prstGeom>
      </xdr:spPr>
    </xdr:pic>
    <xdr:clientData/>
  </xdr:twoCellAnchor>
  <xdr:twoCellAnchor editAs="absolute">
    <xdr:from>
      <xdr:col>1</xdr:col>
      <xdr:colOff>742950</xdr:colOff>
      <xdr:row>0</xdr:row>
      <xdr:rowOff>127000</xdr:rowOff>
    </xdr:from>
    <xdr:to>
      <xdr:col>4</xdr:col>
      <xdr:colOff>369528</xdr:colOff>
      <xdr:row>0</xdr:row>
      <xdr:rowOff>705363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815A676-1D62-1303-56A5-25130D9FD693}"/>
            </a:ext>
          </a:extLst>
        </xdr:cNvPr>
        <xdr:cNvSpPr txBox="1"/>
      </xdr:nvSpPr>
      <xdr:spPr>
        <a:xfrm>
          <a:off x="762000" y="127000"/>
          <a:ext cx="2484078" cy="578363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NZ" sz="1400" b="1"/>
            <a:t>@RISK - Statistics</a:t>
          </a:r>
          <a:r>
            <a:rPr lang="en-NZ" sz="1000"/>
            <a:t>
</a:t>
          </a:r>
          <a:r>
            <a:rPr lang="en-NZ" sz="1000" b="1"/>
            <a:t>Performed By: </a:t>
          </a:r>
          <a:r>
            <a:rPr lang="en-NZ" sz="1000"/>
            <a:t>David Wood
</a:t>
          </a:r>
          <a:r>
            <a:rPr lang="en-NZ" sz="1000" b="1"/>
            <a:t>Date: </a:t>
          </a:r>
          <a:r>
            <a:rPr lang="en-NZ" sz="1000"/>
            <a:t>Wednesday, 22 March 2023 4:46:51 pm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1</xdr:col>
      <xdr:colOff>679450</xdr:colOff>
      <xdr:row>0</xdr:row>
      <xdr:rowOff>698500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8B1A9C6-A4A4-7765-216A-B32F9D8C7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C17" sqref="C17"/>
    </sheetView>
  </sheetViews>
  <sheetFormatPr defaultRowHeight="15" x14ac:dyDescent="0.25"/>
  <cols>
    <col min="1" max="1" width="10.7109375" bestFit="1" customWidth="1"/>
  </cols>
  <sheetData>
    <row r="1" spans="1:2" x14ac:dyDescent="0.25">
      <c r="A1" s="83" t="s">
        <v>74</v>
      </c>
    </row>
    <row r="2" spans="1:2" x14ac:dyDescent="0.25">
      <c r="A2" s="19" t="s">
        <v>78</v>
      </c>
      <c r="B2" t="s">
        <v>75</v>
      </c>
    </row>
    <row r="3" spans="1:2" x14ac:dyDescent="0.25">
      <c r="A3" s="19" t="s">
        <v>78</v>
      </c>
      <c r="B3" t="s">
        <v>82</v>
      </c>
    </row>
    <row r="4" spans="1:2" x14ac:dyDescent="0.25">
      <c r="A4" s="19" t="s">
        <v>78</v>
      </c>
      <c r="B4" t="s">
        <v>83</v>
      </c>
    </row>
    <row r="5" spans="1:2" x14ac:dyDescent="0.25">
      <c r="A5" s="19" t="s">
        <v>78</v>
      </c>
      <c r="B5" t="s">
        <v>79</v>
      </c>
    </row>
    <row r="6" spans="1:2" x14ac:dyDescent="0.25">
      <c r="A6" s="19" t="s">
        <v>78</v>
      </c>
      <c r="B6" t="s">
        <v>80</v>
      </c>
    </row>
    <row r="7" spans="1:2" x14ac:dyDescent="0.25">
      <c r="A7" s="19" t="s">
        <v>78</v>
      </c>
      <c r="B7" t="s">
        <v>76</v>
      </c>
    </row>
    <row r="8" spans="1:2" x14ac:dyDescent="0.25">
      <c r="A8" s="19" t="s">
        <v>78</v>
      </c>
      <c r="B8" t="s">
        <v>77</v>
      </c>
    </row>
    <row r="9" spans="1:2" x14ac:dyDescent="0.25">
      <c r="A9" s="19" t="s">
        <v>78</v>
      </c>
      <c r="B9" t="s">
        <v>81</v>
      </c>
    </row>
    <row r="10" spans="1:2" x14ac:dyDescent="0.25">
      <c r="A10" s="19" t="s">
        <v>78</v>
      </c>
      <c r="B10" t="s">
        <v>97</v>
      </c>
    </row>
    <row r="12" spans="1:2" x14ac:dyDescent="0.25">
      <c r="B12" t="s">
        <v>98</v>
      </c>
    </row>
    <row r="24" spans="1:1" x14ac:dyDescent="0.25">
      <c r="A24" s="3"/>
    </row>
    <row r="25" spans="1:1" x14ac:dyDescent="0.25">
      <c r="A25" s="8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F4F4-4578-4955-842B-EAE8D36EA1F8}">
  <dimension ref="A1:A6"/>
  <sheetViews>
    <sheetView workbookViewId="0">
      <selection activeCell="H6" sqref="H6"/>
    </sheetView>
  </sheetViews>
  <sheetFormatPr defaultRowHeight="15" x14ac:dyDescent="0.25"/>
  <sheetData>
    <row r="1" spans="1:1" x14ac:dyDescent="0.25">
      <c r="A1" t="s">
        <v>107</v>
      </c>
    </row>
    <row r="3" spans="1:1" x14ac:dyDescent="0.25">
      <c r="A3" t="s">
        <v>108</v>
      </c>
    </row>
    <row r="4" spans="1:1" x14ac:dyDescent="0.25">
      <c r="A4" t="s">
        <v>110</v>
      </c>
    </row>
    <row r="5" spans="1:1" x14ac:dyDescent="0.25">
      <c r="A5" t="s">
        <v>111</v>
      </c>
    </row>
    <row r="6" spans="1:1" x14ac:dyDescent="0.25">
      <c r="A6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61"/>
  <sheetViews>
    <sheetView tabSelected="1" workbookViewId="0">
      <selection activeCell="C7" sqref="C7"/>
    </sheetView>
  </sheetViews>
  <sheetFormatPr defaultRowHeight="15" x14ac:dyDescent="0.25"/>
  <cols>
    <col min="1" max="1" width="2.140625" customWidth="1"/>
    <col min="2" max="2" width="41.5703125" customWidth="1"/>
    <col min="3" max="3" width="22.85546875" style="4" customWidth="1"/>
    <col min="8" max="8" width="8.5703125" customWidth="1"/>
    <col min="9" max="9" width="2.5703125" customWidth="1"/>
    <col min="10" max="10" width="12.42578125" customWidth="1"/>
    <col min="11" max="11" width="11.140625" customWidth="1"/>
    <col min="12" max="12" width="15.28515625" customWidth="1"/>
    <col min="14" max="14" width="11.140625" customWidth="1"/>
  </cols>
  <sheetData>
    <row r="1" spans="2:13" ht="15.75" thickBot="1" x14ac:dyDescent="0.3"/>
    <row r="2" spans="2:13" x14ac:dyDescent="0.25">
      <c r="E2" s="27" t="s">
        <v>11</v>
      </c>
      <c r="F2" s="28"/>
      <c r="G2" s="29"/>
    </row>
    <row r="3" spans="2:13" x14ac:dyDescent="0.25">
      <c r="E3" s="35" t="s">
        <v>13</v>
      </c>
      <c r="F3" s="36"/>
      <c r="G3" s="37"/>
    </row>
    <row r="4" spans="2:13" x14ac:dyDescent="0.25">
      <c r="E4" s="40" t="s">
        <v>104</v>
      </c>
      <c r="F4" s="41"/>
      <c r="G4" s="42"/>
    </row>
    <row r="5" spans="2:13" ht="15.75" thickBot="1" x14ac:dyDescent="0.3">
      <c r="B5" s="102" t="s">
        <v>103</v>
      </c>
      <c r="E5" s="43" t="s">
        <v>17</v>
      </c>
      <c r="F5" s="86"/>
      <c r="G5" s="85"/>
    </row>
    <row r="6" spans="2:13" ht="15.75" thickBot="1" x14ac:dyDescent="0.3">
      <c r="B6" s="117" t="str">
        <f>CONCATENATE("Log10 "," Adno ""reduction")</f>
        <v>Log10  Adno "reduction</v>
      </c>
      <c r="C6" s="118">
        <v>6</v>
      </c>
      <c r="E6" s="44" t="s">
        <v>20</v>
      </c>
      <c r="F6" s="45"/>
      <c r="G6" s="46"/>
    </row>
    <row r="8" spans="2:13" ht="15.75" thickBot="1" x14ac:dyDescent="0.3">
      <c r="B8" s="146" t="s">
        <v>0</v>
      </c>
      <c r="C8" s="120"/>
      <c r="D8" s="120"/>
      <c r="E8" s="120"/>
      <c r="F8" s="120"/>
      <c r="G8" s="120"/>
      <c r="H8" s="147"/>
      <c r="I8" s="6"/>
    </row>
    <row r="9" spans="2:13" x14ac:dyDescent="0.25">
      <c r="B9" s="148" t="s">
        <v>118</v>
      </c>
      <c r="C9" s="8" t="s">
        <v>2</v>
      </c>
      <c r="D9" s="149">
        <v>0.2</v>
      </c>
      <c r="E9" s="8" t="s">
        <v>3</v>
      </c>
      <c r="F9" s="149">
        <v>1</v>
      </c>
      <c r="G9" s="8" t="s">
        <v>4</v>
      </c>
      <c r="H9" s="150">
        <v>4</v>
      </c>
      <c r="I9" s="6"/>
    </row>
    <row r="10" spans="2:13" x14ac:dyDescent="0.25">
      <c r="B10" s="151" t="s">
        <v>112</v>
      </c>
      <c r="C10" s="88" t="s">
        <v>2</v>
      </c>
      <c r="D10" s="152">
        <v>4</v>
      </c>
      <c r="E10" s="88" t="s">
        <v>3</v>
      </c>
      <c r="F10" s="152">
        <v>10</v>
      </c>
      <c r="G10" s="88" t="s">
        <v>4</v>
      </c>
      <c r="H10" s="153">
        <v>40</v>
      </c>
      <c r="I10" s="6"/>
    </row>
    <row r="11" spans="2:13" x14ac:dyDescent="0.25">
      <c r="B11" s="8"/>
      <c r="C11"/>
    </row>
    <row r="12" spans="2:13" ht="15.75" thickBot="1" x14ac:dyDescent="0.3">
      <c r="B12" s="8"/>
      <c r="C12" s="8"/>
      <c r="D12" s="10"/>
      <c r="E12" s="8"/>
      <c r="F12" s="10"/>
      <c r="G12" s="8"/>
      <c r="H12" s="10"/>
      <c r="I12" s="6"/>
    </row>
    <row r="13" spans="2:13" x14ac:dyDescent="0.25">
      <c r="B13" s="125" t="s">
        <v>85</v>
      </c>
      <c r="C13" s="126"/>
      <c r="D13" s="10"/>
      <c r="E13" s="8"/>
      <c r="F13" s="10"/>
      <c r="G13" s="8"/>
      <c r="H13" s="10"/>
      <c r="I13" s="6"/>
    </row>
    <row r="14" spans="2:13" x14ac:dyDescent="0.25">
      <c r="B14" s="154" t="s">
        <v>113</v>
      </c>
      <c r="C14" s="155"/>
      <c r="D14" s="10"/>
      <c r="E14" s="8"/>
      <c r="F14" s="10"/>
      <c r="G14" s="8"/>
      <c r="H14" s="10"/>
      <c r="I14" s="6"/>
    </row>
    <row r="15" spans="2:13" x14ac:dyDescent="0.25">
      <c r="B15" s="7" t="s">
        <v>114</v>
      </c>
      <c r="C15" s="156">
        <v>0.1</v>
      </c>
      <c r="D15" s="13" t="s">
        <v>119</v>
      </c>
      <c r="E15" s="6"/>
      <c r="F15" s="10"/>
      <c r="G15" s="8"/>
      <c r="H15" s="10"/>
      <c r="I15" s="6"/>
    </row>
    <row r="16" spans="2:13" x14ac:dyDescent="0.25">
      <c r="B16" s="7" t="s">
        <v>115</v>
      </c>
      <c r="C16" s="127">
        <v>0.41420000000000001</v>
      </c>
      <c r="D16" s="13"/>
      <c r="E16" s="14"/>
      <c r="F16" s="10"/>
      <c r="G16" s="8"/>
      <c r="H16" s="10"/>
      <c r="I16" s="6"/>
      <c r="M16" t="s">
        <v>84</v>
      </c>
    </row>
    <row r="17" spans="2:14" x14ac:dyDescent="0.25">
      <c r="B17" s="7" t="s">
        <v>116</v>
      </c>
      <c r="C17" s="127">
        <v>0.1</v>
      </c>
      <c r="D17" s="13"/>
      <c r="E17" s="6"/>
      <c r="F17" s="10"/>
      <c r="G17" s="8"/>
      <c r="H17" s="10"/>
      <c r="I17" s="6"/>
    </row>
    <row r="18" spans="2:14" ht="15.75" thickBot="1" x14ac:dyDescent="0.3">
      <c r="B18" s="9" t="s">
        <v>117</v>
      </c>
      <c r="C18" s="157">
        <v>0.5</v>
      </c>
      <c r="D18" s="13"/>
      <c r="E18" s="6"/>
      <c r="F18" s="10"/>
      <c r="G18" s="8"/>
      <c r="H18" s="10"/>
      <c r="I18" s="6"/>
    </row>
    <row r="19" spans="2:14" ht="15.75" thickBot="1" x14ac:dyDescent="0.3">
      <c r="B19" s="15"/>
      <c r="C19" s="10"/>
      <c r="D19" s="13"/>
      <c r="E19" s="6"/>
      <c r="F19" s="10"/>
      <c r="G19" s="8"/>
      <c r="H19" s="10"/>
      <c r="I19" s="6"/>
      <c r="J19" s="128"/>
    </row>
    <row r="20" spans="2:14" x14ac:dyDescent="0.25">
      <c r="B20" s="132" t="s">
        <v>6</v>
      </c>
      <c r="C20" s="131" t="s">
        <v>7</v>
      </c>
      <c r="D20" s="131" t="s">
        <v>8</v>
      </c>
      <c r="E20" s="134" t="s">
        <v>9</v>
      </c>
      <c r="F20" s="137" t="s">
        <v>106</v>
      </c>
      <c r="G20" s="8"/>
      <c r="H20" s="10"/>
      <c r="I20" s="6"/>
      <c r="J20" s="128"/>
    </row>
    <row r="21" spans="2:14" x14ac:dyDescent="0.25">
      <c r="B21" s="158" t="str">
        <f xml:space="preserve"> "Adenovirus  in influent"</f>
        <v>Adenovirus  in influent</v>
      </c>
      <c r="C21" s="159">
        <v>20</v>
      </c>
      <c r="D21" s="160">
        <v>1000</v>
      </c>
      <c r="E21" s="161">
        <v>10000000</v>
      </c>
      <c r="F21" s="162">
        <v>99</v>
      </c>
      <c r="G21" s="8"/>
      <c r="H21" s="10"/>
      <c r="I21" s="6"/>
      <c r="J21" s="128"/>
      <c r="K21" s="6"/>
    </row>
    <row r="22" spans="2:14" x14ac:dyDescent="0.25">
      <c r="B22" s="148"/>
      <c r="C22" s="128"/>
      <c r="D22" s="128"/>
      <c r="E22" s="133"/>
      <c r="F22" s="163"/>
      <c r="G22" s="8"/>
      <c r="H22" s="10"/>
      <c r="I22" s="6"/>
      <c r="J22" s="128"/>
      <c r="K22" s="6"/>
    </row>
    <row r="23" spans="2:14" x14ac:dyDescent="0.25">
      <c r="B23" s="151" t="str">
        <f>"Adenovirus in effluent"</f>
        <v>Adenovirus in effluent</v>
      </c>
      <c r="C23" s="164">
        <f xml:space="preserve"> 10^(-Log10_Pathogen_Reduction)*Ade_Conc_in_Influent_min</f>
        <v>1.9999999999999998E-5</v>
      </c>
      <c r="D23" s="164">
        <f xml:space="preserve"> 10^(-Log10_Pathogen_Reduction)*Ade_Conc_in_Influent_median</f>
        <v>1E-3</v>
      </c>
      <c r="E23" s="165">
        <f xml:space="preserve"> 10^(-Log10_Pathogen_Reduction)*Ade_Conc_in_Influent_max</f>
        <v>10</v>
      </c>
      <c r="F23" s="166"/>
      <c r="G23" s="8"/>
      <c r="H23" s="10"/>
      <c r="I23" s="6"/>
      <c r="J23" s="128"/>
      <c r="K23" s="6"/>
    </row>
    <row r="24" spans="2:14" x14ac:dyDescent="0.25">
      <c r="I24" s="6"/>
      <c r="K24" s="6"/>
    </row>
    <row r="25" spans="2:14" ht="15.75" thickBot="1" x14ac:dyDescent="0.3">
      <c r="B25" s="102" t="s">
        <v>94</v>
      </c>
      <c r="I25" s="6"/>
    </row>
    <row r="26" spans="2:14" x14ac:dyDescent="0.25">
      <c r="B26" s="139" t="s">
        <v>88</v>
      </c>
      <c r="C26" s="140" t="s">
        <v>89</v>
      </c>
      <c r="I26" s="6"/>
      <c r="N26" s="6"/>
    </row>
    <row r="27" spans="2:14" x14ac:dyDescent="0.25">
      <c r="B27" s="141">
        <v>1</v>
      </c>
      <c r="C27" s="145" t="s">
        <v>121</v>
      </c>
      <c r="I27" s="6"/>
    </row>
    <row r="28" spans="2:14" x14ac:dyDescent="0.25">
      <c r="B28" s="142">
        <v>2</v>
      </c>
      <c r="C28" s="145" t="s">
        <v>122</v>
      </c>
      <c r="I28" s="6"/>
    </row>
    <row r="29" spans="2:14" x14ac:dyDescent="0.25">
      <c r="B29" s="142">
        <v>3</v>
      </c>
      <c r="C29" s="145" t="s">
        <v>123</v>
      </c>
      <c r="I29" s="6"/>
    </row>
    <row r="30" spans="2:14" x14ac:dyDescent="0.25">
      <c r="B30" s="142">
        <v>4</v>
      </c>
      <c r="C30" s="145" t="s">
        <v>124</v>
      </c>
      <c r="I30" s="6"/>
    </row>
    <row r="31" spans="2:14" x14ac:dyDescent="0.25">
      <c r="B31" s="142">
        <v>5</v>
      </c>
      <c r="C31" s="145" t="s">
        <v>125</v>
      </c>
      <c r="I31" s="6"/>
    </row>
    <row r="32" spans="2:14" x14ac:dyDescent="0.25">
      <c r="B32" s="142">
        <v>6</v>
      </c>
      <c r="C32" s="145" t="s">
        <v>126</v>
      </c>
      <c r="I32" s="6"/>
    </row>
    <row r="33" spans="2:13" x14ac:dyDescent="0.25">
      <c r="B33" s="143">
        <v>7</v>
      </c>
      <c r="C33" s="145" t="s">
        <v>127</v>
      </c>
      <c r="I33" s="6"/>
    </row>
    <row r="34" spans="2:13" x14ac:dyDescent="0.25">
      <c r="B34" s="142">
        <v>8</v>
      </c>
      <c r="C34" s="145" t="s">
        <v>128</v>
      </c>
      <c r="I34" s="6"/>
    </row>
    <row r="35" spans="2:13" x14ac:dyDescent="0.25">
      <c r="B35" s="142">
        <v>9</v>
      </c>
      <c r="C35" s="145" t="s">
        <v>129</v>
      </c>
      <c r="I35" s="6"/>
    </row>
    <row r="36" spans="2:13" x14ac:dyDescent="0.25">
      <c r="B36" s="142">
        <v>10</v>
      </c>
      <c r="C36" s="145" t="s">
        <v>130</v>
      </c>
      <c r="I36" s="6"/>
    </row>
    <row r="37" spans="2:13" x14ac:dyDescent="0.25">
      <c r="B37" s="142">
        <v>11</v>
      </c>
      <c r="C37" s="145" t="s">
        <v>131</v>
      </c>
      <c r="I37" s="6"/>
    </row>
    <row r="38" spans="2:13" x14ac:dyDescent="0.25">
      <c r="B38" s="142">
        <v>12</v>
      </c>
      <c r="C38" s="145" t="s">
        <v>132</v>
      </c>
      <c r="I38" s="6"/>
    </row>
    <row r="39" spans="2:13" x14ac:dyDescent="0.25">
      <c r="B39" s="142">
        <v>13</v>
      </c>
      <c r="C39" s="145" t="s">
        <v>133</v>
      </c>
      <c r="I39" s="6"/>
    </row>
    <row r="40" spans="2:13" x14ac:dyDescent="0.25">
      <c r="B40" s="144">
        <v>14</v>
      </c>
      <c r="C40" s="145" t="s">
        <v>134</v>
      </c>
      <c r="I40" s="6"/>
    </row>
    <row r="41" spans="2:13" x14ac:dyDescent="0.25">
      <c r="I41" s="6"/>
    </row>
    <row r="42" spans="2:13" ht="15.75" thickBot="1" x14ac:dyDescent="0.3">
      <c r="B42" s="114" t="s">
        <v>92</v>
      </c>
      <c r="I42" s="6"/>
    </row>
    <row r="43" spans="2:13" ht="15.75" thickBot="1" x14ac:dyDescent="0.3">
      <c r="B43" s="115" t="s">
        <v>86</v>
      </c>
      <c r="C43" s="121">
        <v>1000</v>
      </c>
      <c r="D43" s="116" t="s">
        <v>93</v>
      </c>
      <c r="I43" s="6"/>
    </row>
    <row r="44" spans="2:13" ht="15.75" thickBot="1" x14ac:dyDescent="0.3">
      <c r="I44" s="6"/>
      <c r="M44" s="6"/>
    </row>
    <row r="45" spans="2:13" x14ac:dyDescent="0.25">
      <c r="B45" s="122" t="s">
        <v>31</v>
      </c>
      <c r="C45" s="1" t="s">
        <v>95</v>
      </c>
      <c r="H45" s="6"/>
    </row>
    <row r="46" spans="2:13" ht="15.75" thickBot="1" x14ac:dyDescent="0.3">
      <c r="B46" s="123" t="s">
        <v>1</v>
      </c>
      <c r="C46"/>
      <c r="H46" s="10"/>
      <c r="I46" s="26"/>
    </row>
    <row r="47" spans="2:13" ht="15.75" thickBot="1" x14ac:dyDescent="0.3">
      <c r="B47" s="4"/>
      <c r="C47"/>
      <c r="H47" s="10"/>
      <c r="I47" s="26"/>
    </row>
    <row r="48" spans="2:13" x14ac:dyDescent="0.25">
      <c r="B48" s="122" t="s">
        <v>32</v>
      </c>
      <c r="C48" s="1" t="s">
        <v>96</v>
      </c>
      <c r="H48" s="6"/>
      <c r="I48" s="26"/>
    </row>
    <row r="49" spans="2:9" ht="15.75" thickBot="1" x14ac:dyDescent="0.3">
      <c r="B49" s="123" t="s">
        <v>5</v>
      </c>
      <c r="C49"/>
      <c r="I49" s="26"/>
    </row>
    <row r="50" spans="2:9" ht="15.75" thickBot="1" x14ac:dyDescent="0.3">
      <c r="B50" s="4"/>
      <c r="C50"/>
    </row>
    <row r="51" spans="2:9" x14ac:dyDescent="0.25">
      <c r="B51" s="122" t="s">
        <v>99</v>
      </c>
      <c r="C51" s="1" t="s">
        <v>96</v>
      </c>
    </row>
    <row r="52" spans="2:9" x14ac:dyDescent="0.25">
      <c r="B52" s="124" t="s">
        <v>100</v>
      </c>
      <c r="C52"/>
    </row>
    <row r="53" spans="2:9" x14ac:dyDescent="0.25">
      <c r="B53" s="124" t="s">
        <v>73</v>
      </c>
      <c r="C53"/>
    </row>
    <row r="54" spans="2:9" x14ac:dyDescent="0.25">
      <c r="B54" s="124" t="s">
        <v>101</v>
      </c>
      <c r="C54"/>
    </row>
    <row r="55" spans="2:9" ht="15.75" thickBot="1" x14ac:dyDescent="0.3">
      <c r="B55" s="123" t="s">
        <v>102</v>
      </c>
      <c r="C55"/>
    </row>
    <row r="56" spans="2:9" x14ac:dyDescent="0.25">
      <c r="B56" s="4"/>
      <c r="C56"/>
    </row>
    <row r="57" spans="2:9" x14ac:dyDescent="0.25">
      <c r="B57" s="4"/>
      <c r="C57"/>
    </row>
    <row r="58" spans="2:9" x14ac:dyDescent="0.25">
      <c r="B58" s="4"/>
      <c r="C58"/>
    </row>
    <row r="59" spans="2:9" x14ac:dyDescent="0.25">
      <c r="B59" s="4"/>
      <c r="C59"/>
    </row>
    <row r="60" spans="2:9" x14ac:dyDescent="0.25">
      <c r="B60" s="4"/>
      <c r="C60"/>
    </row>
    <row r="61" spans="2:9" x14ac:dyDescent="0.25">
      <c r="B61" s="4"/>
      <c r="C61"/>
    </row>
  </sheetData>
  <dataValidations disablePrompts="1" count="3">
    <dataValidation type="list" allowBlank="1" showInputMessage="1" showErrorMessage="1" sqref="M8" xr:uid="{00000000-0002-0000-0100-000000000000}">
      <formula1>$B$45:$B$46</formula1>
    </dataValidation>
    <dataValidation type="list" allowBlank="1" showInputMessage="1" showErrorMessage="1" sqref="M11" xr:uid="{00000000-0002-0000-0100-000001000000}">
      <formula1>B48:B49</formula1>
    </dataValidation>
    <dataValidation type="list" allowBlank="1" showInputMessage="1" showErrorMessage="1" sqref="B3" xr:uid="{00000000-0002-0000-0100-000002000000}">
      <formula1>$B$51:$B$55</formula1>
    </dataValidation>
  </dataValidations>
  <pageMargins left="0.7" right="0.7" top="0.75" bottom="0.75" header="0.3" footer="0.3"/>
  <pageSetup paperSize="9" orientation="portrait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33"/>
  <sheetViews>
    <sheetView workbookViewId="0">
      <selection activeCell="R6" sqref="R6:R18"/>
    </sheetView>
  </sheetViews>
  <sheetFormatPr defaultColWidth="9.140625" defaultRowHeight="11.25" x14ac:dyDescent="0.2"/>
  <cols>
    <col min="1" max="1" width="2.7109375" style="63" customWidth="1"/>
    <col min="2" max="2" width="23.7109375" style="64" customWidth="1"/>
    <col min="3" max="10" width="10.7109375" style="64" customWidth="1"/>
    <col min="11" max="12" width="9.85546875" style="64" bestFit="1" customWidth="1"/>
    <col min="13" max="13" width="10.7109375" style="64" customWidth="1"/>
    <col min="14" max="14" width="11.7109375" style="64" customWidth="1"/>
    <col min="15" max="15" width="11.5703125" style="64" customWidth="1"/>
    <col min="16" max="16" width="12.42578125" style="64" customWidth="1"/>
    <col min="17" max="16384" width="9.140625" style="64"/>
  </cols>
  <sheetData>
    <row r="2" spans="1:18" ht="12.75" thickBot="1" x14ac:dyDescent="0.25">
      <c r="C2" s="105" t="str">
        <f>Site_name_1</f>
        <v>300m NE of outfall</v>
      </c>
      <c r="D2" s="105" t="str">
        <f>Site_name_2</f>
        <v>300m SW of outfall</v>
      </c>
      <c r="E2" s="105" t="str">
        <f>Site_name_3</f>
        <v>800m SW of outfall</v>
      </c>
      <c r="F2" s="105" t="str">
        <f>Site_name_4</f>
        <v>Akersten Street</v>
      </c>
      <c r="G2" s="105" t="str">
        <f>Site_name_5</f>
        <v>Cable Bay</v>
      </c>
      <c r="H2" s="105" t="str">
        <f>Site_name_6</f>
        <v>Glenduan</v>
      </c>
      <c r="I2" s="105" t="str">
        <f>Site_name_7</f>
        <v xml:space="preserve">Magazine Point </v>
      </c>
      <c r="J2" s="105" t="str">
        <f>Site_name_8</f>
        <v>Outside Boulder Bank</v>
      </c>
      <c r="K2" s="105" t="str">
        <f>Site_name_9</f>
        <v xml:space="preserve">Seafarers Memorial </v>
      </c>
      <c r="L2" s="105" t="str">
        <f>Site_name_10</f>
        <v>Snappers Point (700m NE of outfall)</v>
      </c>
      <c r="M2" s="105" t="str">
        <f>Site_name_11</f>
        <v>Tahunanui Beach</v>
      </c>
      <c r="N2" s="105" t="str">
        <f>Site_name_12</f>
        <v>Tasman Bay</v>
      </c>
      <c r="O2" s="105" t="str">
        <f>Site_name_13</f>
        <v>The Cut</v>
      </c>
      <c r="P2" s="105" t="str">
        <f>'Global data'!C40</f>
        <v>No Dilution</v>
      </c>
    </row>
    <row r="3" spans="1:18" s="56" customFormat="1" ht="12.75" x14ac:dyDescent="0.2">
      <c r="A3" s="65"/>
      <c r="B3" s="113" t="s">
        <v>91</v>
      </c>
      <c r="C3" s="106">
        <f ca="1">_xll.RiskCumul(C4,C33,C5:C32,$B5:$B32)</f>
        <v>1451.7604143358512</v>
      </c>
      <c r="D3" s="106">
        <f ca="1">_xll.RiskCumul(D4,D33,D5:D32,$B5:$B32)</f>
        <v>58454.754753184781</v>
      </c>
      <c r="E3" s="106">
        <f ca="1">_xll.RiskCumul(E4,E33,E5:E32,$B5:$B32)</f>
        <v>4616.228217915781</v>
      </c>
      <c r="F3" s="106">
        <f ca="1">_xll.RiskCumul(F4,F33,F5:F32,$B5:$B32)</f>
        <v>55500.948758098457</v>
      </c>
      <c r="G3" s="106">
        <f ca="1">_xll.RiskCumul(G4,G33,G5:G32,$B5:$B32)</f>
        <v>36958.065964172318</v>
      </c>
      <c r="H3" s="106">
        <f ca="1">_xll.RiskCumul(H4,H33,H5:H32,$B5:$B32)</f>
        <v>5680.5371047237677</v>
      </c>
      <c r="I3" s="106">
        <f ca="1">_xll.RiskCumul(I4,I33,I5:I32,$B5:$B32)</f>
        <v>2993.9452848026708</v>
      </c>
      <c r="J3" s="106">
        <f ca="1">_xll.RiskCumul(J4,J33,J5:J32,$B5:$B32)</f>
        <v>170000.48703389434</v>
      </c>
      <c r="K3" s="106">
        <f ca="1">_xll.RiskCumul(K4,K33,K5:K32,$B5:$B32)</f>
        <v>33166.006034212383</v>
      </c>
      <c r="L3" s="106">
        <f ca="1">_xll.RiskCumul(L4,L33,L5:L32,$B5:$B32)</f>
        <v>71220.372405257105</v>
      </c>
      <c r="M3" s="106">
        <f ca="1">_xll.RiskCumul(M4,M33,M5:M32,$B5:$B32)</f>
        <v>32941.770649900507</v>
      </c>
      <c r="N3" s="106">
        <f ca="1">_xll.RiskCumul(N4,N33,N5:N32,$B5:$B32)</f>
        <v>4610448.2869525859</v>
      </c>
      <c r="O3" s="106">
        <f ca="1">_xll.RiskCumul(O4,O33,O5:O32,$B5:$B32)</f>
        <v>30384.60666842146</v>
      </c>
      <c r="P3" s="106" t="e">
        <f ca="1">_xll.RiskCumul(P4,P33,P5:P32,$B5:$B32)</f>
        <v>#VALUE!</v>
      </c>
    </row>
    <row r="4" spans="1:18" ht="15" x14ac:dyDescent="0.25">
      <c r="A4" s="66"/>
      <c r="B4" s="103">
        <v>0</v>
      </c>
      <c r="C4">
        <v>206.9141934459</v>
      </c>
      <c r="D4">
        <v>248.9697516265</v>
      </c>
      <c r="E4">
        <v>313.43030134399999</v>
      </c>
      <c r="F4">
        <v>3815.1134523244</v>
      </c>
      <c r="G4">
        <v>1369.5538166230001</v>
      </c>
      <c r="H4">
        <v>351.13583523329999</v>
      </c>
      <c r="I4">
        <v>558.42143938779998</v>
      </c>
      <c r="J4">
        <v>558.00058411999998</v>
      </c>
      <c r="K4">
        <v>709.68794834990001</v>
      </c>
      <c r="L4">
        <v>322.48494096280001</v>
      </c>
      <c r="M4">
        <v>1100.5349264357001</v>
      </c>
      <c r="N4">
        <v>1249.7694663922</v>
      </c>
      <c r="O4">
        <v>809.87073857969995</v>
      </c>
      <c r="P4" s="82">
        <v>1</v>
      </c>
      <c r="R4" s="64" t="s">
        <v>120</v>
      </c>
    </row>
    <row r="5" spans="1:18" ht="15" x14ac:dyDescent="0.25">
      <c r="A5" s="66"/>
      <c r="B5" s="103">
        <v>0.1</v>
      </c>
      <c r="C5">
        <v>825.26788570183999</v>
      </c>
      <c r="D5">
        <v>2321.4786686253001</v>
      </c>
      <c r="E5">
        <v>2251.1196802018999</v>
      </c>
      <c r="F5">
        <v>55500.948758018298</v>
      </c>
      <c r="G5">
        <v>8890.2043589393998</v>
      </c>
      <c r="H5">
        <v>1222.7143012138999</v>
      </c>
      <c r="I5">
        <v>2705.9895648307001</v>
      </c>
      <c r="J5">
        <v>5611.9472995591996</v>
      </c>
      <c r="K5">
        <v>2752.3488023862001</v>
      </c>
      <c r="L5">
        <v>1790.7823570666701</v>
      </c>
      <c r="M5">
        <v>8731.8833332210997</v>
      </c>
      <c r="N5">
        <v>4035171.1826790399</v>
      </c>
      <c r="O5">
        <v>10323.734951189501</v>
      </c>
      <c r="P5" s="82">
        <v>1</v>
      </c>
    </row>
    <row r="6" spans="1:18" ht="15" x14ac:dyDescent="0.25">
      <c r="A6" s="66"/>
      <c r="B6" s="103">
        <v>0.15</v>
      </c>
      <c r="C6">
        <v>1043.3080641081999</v>
      </c>
      <c r="D6">
        <v>2886.3872614267998</v>
      </c>
      <c r="E6">
        <v>3240.1622710698002</v>
      </c>
      <c r="F6">
        <v>55500.948758018298</v>
      </c>
      <c r="G6">
        <v>8890.2043589393998</v>
      </c>
      <c r="H6">
        <v>1575.99823146166</v>
      </c>
      <c r="I6">
        <v>3529.5867369302</v>
      </c>
      <c r="J6">
        <v>6112.6778370569</v>
      </c>
      <c r="K6">
        <v>3652.6328918005001</v>
      </c>
      <c r="L6">
        <v>2318.0210089274001</v>
      </c>
      <c r="M6">
        <v>9512.8856850784996</v>
      </c>
      <c r="N6">
        <v>4948751.3263658099</v>
      </c>
      <c r="O6">
        <v>12385.2960542745</v>
      </c>
      <c r="P6" s="82">
        <v>1</v>
      </c>
      <c r="R6" s="64" t="s">
        <v>121</v>
      </c>
    </row>
    <row r="7" spans="1:18" ht="15" x14ac:dyDescent="0.25">
      <c r="A7" s="66"/>
      <c r="B7" s="103">
        <v>0.2</v>
      </c>
      <c r="C7">
        <v>1269.5899253734401</v>
      </c>
      <c r="D7">
        <v>4000</v>
      </c>
      <c r="E7">
        <v>4046.1242173163</v>
      </c>
      <c r="F7">
        <v>55500.948758018298</v>
      </c>
      <c r="G7">
        <v>12548.922117920099</v>
      </c>
      <c r="H7">
        <v>1983.4481297877001</v>
      </c>
      <c r="I7">
        <v>4232.3922177519999</v>
      </c>
      <c r="J7">
        <v>12418.7747672607</v>
      </c>
      <c r="K7">
        <v>4548.5838541372996</v>
      </c>
      <c r="L7">
        <v>2842.60732882722</v>
      </c>
      <c r="M7">
        <v>15008.2951227412</v>
      </c>
      <c r="N7">
        <v>4948751.3263658099</v>
      </c>
      <c r="O7">
        <v>12385.2960542745</v>
      </c>
      <c r="P7" s="82">
        <v>1</v>
      </c>
      <c r="R7" s="64" t="s">
        <v>122</v>
      </c>
    </row>
    <row r="8" spans="1:18" ht="15" x14ac:dyDescent="0.25">
      <c r="A8" s="66"/>
      <c r="B8" s="103">
        <v>0.25</v>
      </c>
      <c r="C8">
        <v>1502.46821382753</v>
      </c>
      <c r="D8">
        <v>5273.1702851565296</v>
      </c>
      <c r="E8">
        <v>4672.1999413794001</v>
      </c>
      <c r="F8">
        <v>55500.948758018298</v>
      </c>
      <c r="G8">
        <v>17292.503290748798</v>
      </c>
      <c r="H8">
        <v>2441.9838393793998</v>
      </c>
      <c r="I8">
        <v>5411.9791296615003</v>
      </c>
      <c r="J8">
        <v>15168.4309747061</v>
      </c>
      <c r="K8">
        <v>5341.1429268587999</v>
      </c>
      <c r="L8">
        <v>3433.3547866693002</v>
      </c>
      <c r="M8">
        <v>20879.873156370199</v>
      </c>
      <c r="N8">
        <v>4948751.3263658099</v>
      </c>
      <c r="O8">
        <v>25327.018786321602</v>
      </c>
      <c r="P8" s="82">
        <v>1</v>
      </c>
      <c r="R8" s="64" t="s">
        <v>123</v>
      </c>
    </row>
    <row r="9" spans="1:18" ht="15" x14ac:dyDescent="0.25">
      <c r="A9" s="66"/>
      <c r="B9" s="103">
        <v>0.3</v>
      </c>
      <c r="C9">
        <v>1772.6594429300101</v>
      </c>
      <c r="D9">
        <v>5701.9665071056997</v>
      </c>
      <c r="E9">
        <v>5074.2545023228004</v>
      </c>
      <c r="F9">
        <v>55500.948758018298</v>
      </c>
      <c r="G9">
        <v>19000.4161692417</v>
      </c>
      <c r="H9">
        <v>2789.9740607430999</v>
      </c>
      <c r="I9">
        <v>7059.1734738604</v>
      </c>
      <c r="J9">
        <v>68507.956499268694</v>
      </c>
      <c r="K9">
        <v>7329.4443730292996</v>
      </c>
      <c r="L9">
        <v>3799.7030121599</v>
      </c>
      <c r="M9">
        <v>32941.770649861501</v>
      </c>
      <c r="N9">
        <v>4948751.3263658099</v>
      </c>
      <c r="O9">
        <v>30384.606668405599</v>
      </c>
      <c r="P9" s="82">
        <v>1</v>
      </c>
      <c r="R9" s="64" t="s">
        <v>124</v>
      </c>
    </row>
    <row r="10" spans="1:18" ht="15" x14ac:dyDescent="0.25">
      <c r="A10" s="66"/>
      <c r="B10" s="103">
        <v>0.35</v>
      </c>
      <c r="C10">
        <v>2028.4237177656</v>
      </c>
      <c r="D10">
        <v>6700.4450243880001</v>
      </c>
      <c r="E10">
        <v>9827.8251641046008</v>
      </c>
      <c r="F10">
        <v>55500.948758018298</v>
      </c>
      <c r="G10">
        <v>36958.065964122303</v>
      </c>
      <c r="H10">
        <v>3767.9686162305002</v>
      </c>
      <c r="I10">
        <v>8464.7844355040997</v>
      </c>
      <c r="J10">
        <v>85000.243516649803</v>
      </c>
      <c r="K10">
        <v>9408.6976235958009</v>
      </c>
      <c r="L10">
        <v>4686.7994654084996</v>
      </c>
      <c r="M10">
        <v>32941.770649861501</v>
      </c>
      <c r="N10">
        <v>4948751.3263658099</v>
      </c>
      <c r="O10">
        <v>30384.606668405599</v>
      </c>
      <c r="P10" s="82">
        <v>1</v>
      </c>
      <c r="R10" s="64" t="s">
        <v>125</v>
      </c>
    </row>
    <row r="11" spans="1:18" ht="15" x14ac:dyDescent="0.25">
      <c r="A11" s="66"/>
      <c r="B11" s="103">
        <v>0.4</v>
      </c>
      <c r="C11">
        <v>2387.1375597112001</v>
      </c>
      <c r="D11">
        <v>13025.400463362599</v>
      </c>
      <c r="E11">
        <v>15097.4559501159</v>
      </c>
      <c r="F11">
        <v>55500.948758018298</v>
      </c>
      <c r="G11">
        <v>36958.065964122303</v>
      </c>
      <c r="H11">
        <v>4436.5944109355996</v>
      </c>
      <c r="I11">
        <v>8464.7844355040997</v>
      </c>
      <c r="J11">
        <v>170000.48703330001</v>
      </c>
      <c r="K11">
        <v>9408.6976235958009</v>
      </c>
      <c r="L11">
        <v>5944.4546067616002</v>
      </c>
      <c r="M11">
        <v>32941.770649861501</v>
      </c>
      <c r="N11">
        <v>4948751.3263658099</v>
      </c>
      <c r="O11">
        <v>30384.606668405599</v>
      </c>
      <c r="P11" s="82">
        <v>1</v>
      </c>
      <c r="R11" s="64" t="s">
        <v>126</v>
      </c>
    </row>
    <row r="12" spans="1:18" ht="15" x14ac:dyDescent="0.25">
      <c r="A12" s="66"/>
      <c r="B12" s="103">
        <v>0.45</v>
      </c>
      <c r="C12">
        <v>2711.1791425314</v>
      </c>
      <c r="D12">
        <v>14442.505181152599</v>
      </c>
      <c r="E12">
        <v>27802.441825816699</v>
      </c>
      <c r="F12">
        <v>55500.948758018298</v>
      </c>
      <c r="G12">
        <v>36958.065964122303</v>
      </c>
      <c r="H12">
        <v>5138.5315339049002</v>
      </c>
      <c r="I12">
        <v>11091.155298117201</v>
      </c>
      <c r="J12">
        <v>170000.48703330001</v>
      </c>
      <c r="K12">
        <v>11055.335344714</v>
      </c>
      <c r="L12">
        <v>6866.7095733386004</v>
      </c>
      <c r="M12">
        <v>32941.770649861501</v>
      </c>
      <c r="N12">
        <v>4948751.3263658099</v>
      </c>
      <c r="O12">
        <v>30384.606668405599</v>
      </c>
      <c r="P12" s="82">
        <v>1</v>
      </c>
      <c r="R12" s="64" t="s">
        <v>127</v>
      </c>
    </row>
    <row r="13" spans="1:18" ht="15" x14ac:dyDescent="0.25">
      <c r="A13" s="66"/>
      <c r="B13" s="103">
        <v>0.5</v>
      </c>
      <c r="C13">
        <v>3187.7517424025</v>
      </c>
      <c r="D13">
        <v>61936.639854019602</v>
      </c>
      <c r="E13">
        <v>30194.9119002318</v>
      </c>
      <c r="F13">
        <v>55500.948758018298</v>
      </c>
      <c r="G13">
        <v>36958.065964122303</v>
      </c>
      <c r="H13">
        <v>5579.9481214861999</v>
      </c>
      <c r="I13">
        <v>15006.2752493111</v>
      </c>
      <c r="J13">
        <v>170000.48703330001</v>
      </c>
      <c r="K13">
        <v>16583.0030170709</v>
      </c>
      <c r="L13">
        <v>7599.4060243198001</v>
      </c>
      <c r="M13">
        <v>32941.770649861501</v>
      </c>
      <c r="N13">
        <v>4948751.3263658099</v>
      </c>
      <c r="O13">
        <v>30384.606668405599</v>
      </c>
      <c r="P13" s="82">
        <v>1</v>
      </c>
      <c r="R13" s="64" t="s">
        <v>128</v>
      </c>
    </row>
    <row r="14" spans="1:18" ht="15" x14ac:dyDescent="0.25">
      <c r="A14" s="66"/>
      <c r="B14" s="103">
        <v>0.55000000000000004</v>
      </c>
      <c r="C14">
        <v>3720.0226003652001</v>
      </c>
      <c r="D14">
        <v>185809.91956205899</v>
      </c>
      <c r="E14">
        <v>50483.242775966202</v>
      </c>
      <c r="F14">
        <v>55500.948758018298</v>
      </c>
      <c r="G14">
        <v>36958.065964122303</v>
      </c>
      <c r="H14">
        <v>5736.5348467070999</v>
      </c>
      <c r="I14">
        <v>21255.661552035599</v>
      </c>
      <c r="J14">
        <v>170000.48703330001</v>
      </c>
      <c r="K14">
        <v>33166.006034141901</v>
      </c>
      <c r="L14">
        <v>9581.3118108670005</v>
      </c>
      <c r="M14">
        <v>32941.770649861501</v>
      </c>
      <c r="N14">
        <v>4948751.3263658099</v>
      </c>
      <c r="O14">
        <v>30384.606668405599</v>
      </c>
      <c r="P14" s="82">
        <v>1</v>
      </c>
      <c r="R14" s="64" t="s">
        <v>129</v>
      </c>
    </row>
    <row r="15" spans="1:18" ht="15" x14ac:dyDescent="0.25">
      <c r="A15" s="66"/>
      <c r="B15" s="103">
        <v>0.6</v>
      </c>
      <c r="C15">
        <v>4463.2047787676001</v>
      </c>
      <c r="D15">
        <v>325405.48756097199</v>
      </c>
      <c r="E15">
        <v>87722.338778586505</v>
      </c>
      <c r="F15">
        <v>55500.948758018298</v>
      </c>
      <c r="G15">
        <v>36958.065964122303</v>
      </c>
      <c r="H15">
        <v>12411.473671289499</v>
      </c>
      <c r="I15">
        <v>42511.323104071198</v>
      </c>
      <c r="J15">
        <v>170000.48703330001</v>
      </c>
      <c r="K15">
        <v>33166.006034141901</v>
      </c>
      <c r="L15">
        <v>12228.5284235292</v>
      </c>
      <c r="M15">
        <v>32941.770649861501</v>
      </c>
      <c r="N15">
        <v>4948751.3263658099</v>
      </c>
      <c r="O15">
        <v>30384.606668405599</v>
      </c>
      <c r="P15" s="82">
        <v>1</v>
      </c>
      <c r="R15" s="64" t="s">
        <v>130</v>
      </c>
    </row>
    <row r="16" spans="1:18" ht="15" x14ac:dyDescent="0.25">
      <c r="A16" s="66"/>
      <c r="B16" s="103">
        <v>0.65</v>
      </c>
      <c r="C16">
        <v>5577.4647927303004</v>
      </c>
      <c r="D16">
        <v>464864.98223008</v>
      </c>
      <c r="E16">
        <v>350889.35511434602</v>
      </c>
      <c r="F16">
        <v>55500.948758018298</v>
      </c>
      <c r="G16">
        <v>36958.065964122303</v>
      </c>
      <c r="H16">
        <v>19858.025334868398</v>
      </c>
      <c r="I16">
        <v>42511.323104071198</v>
      </c>
      <c r="J16">
        <v>170000.48703330001</v>
      </c>
      <c r="K16">
        <v>33166.006034141901</v>
      </c>
      <c r="L16">
        <v>22129.912462292399</v>
      </c>
      <c r="M16">
        <v>32941.770649861501</v>
      </c>
      <c r="N16">
        <v>4948751.3263658099</v>
      </c>
      <c r="O16">
        <v>30384.606668405599</v>
      </c>
      <c r="P16" s="82">
        <v>1</v>
      </c>
      <c r="R16" s="64" t="s">
        <v>131</v>
      </c>
    </row>
    <row r="17" spans="1:18" ht="15" x14ac:dyDescent="0.25">
      <c r="A17" s="66"/>
      <c r="B17" s="103">
        <v>0.7</v>
      </c>
      <c r="C17">
        <v>7064.7412328584196</v>
      </c>
      <c r="D17">
        <v>464864.98223008</v>
      </c>
      <c r="E17">
        <v>350889.35511434602</v>
      </c>
      <c r="F17">
        <v>55500.948758018298</v>
      </c>
      <c r="G17">
        <v>36958.065964122303</v>
      </c>
      <c r="H17">
        <v>49292.979778024703</v>
      </c>
      <c r="I17">
        <v>42511.323104071198</v>
      </c>
      <c r="J17">
        <v>170000.48703330001</v>
      </c>
      <c r="K17">
        <v>33166.006034141901</v>
      </c>
      <c r="L17">
        <v>44259.824924584696</v>
      </c>
      <c r="M17">
        <v>32941.770649861501</v>
      </c>
      <c r="N17">
        <v>4948751.3263658099</v>
      </c>
      <c r="O17">
        <v>30384.606668405599</v>
      </c>
      <c r="P17" s="82">
        <v>1</v>
      </c>
      <c r="R17" s="64" t="s">
        <v>132</v>
      </c>
    </row>
    <row r="18" spans="1:18" ht="15" x14ac:dyDescent="0.25">
      <c r="A18" s="66"/>
      <c r="B18" s="103">
        <v>0.75</v>
      </c>
      <c r="C18">
        <v>7623.628454013</v>
      </c>
      <c r="D18">
        <v>464864.98223008</v>
      </c>
      <c r="E18">
        <v>350889.35511434602</v>
      </c>
      <c r="F18">
        <v>55500.948758018298</v>
      </c>
      <c r="G18">
        <v>36958.065964122303</v>
      </c>
      <c r="H18">
        <v>64956.189201959598</v>
      </c>
      <c r="I18">
        <v>42511.323104071198</v>
      </c>
      <c r="J18">
        <v>170000.48703330001</v>
      </c>
      <c r="K18">
        <v>33166.006034141901</v>
      </c>
      <c r="L18">
        <v>44259.824924584696</v>
      </c>
      <c r="M18">
        <v>32941.770649861501</v>
      </c>
      <c r="N18">
        <v>4948751.3263658099</v>
      </c>
      <c r="O18">
        <v>30384.606668405599</v>
      </c>
      <c r="P18" s="82">
        <v>1</v>
      </c>
      <c r="R18" s="64" t="s">
        <v>133</v>
      </c>
    </row>
    <row r="19" spans="1:18" ht="15" x14ac:dyDescent="0.25">
      <c r="A19" s="66"/>
      <c r="B19" s="103">
        <v>0.8</v>
      </c>
      <c r="C19">
        <v>11154.929585460601</v>
      </c>
      <c r="D19">
        <v>464864.98223008</v>
      </c>
      <c r="E19">
        <v>350889.35511434602</v>
      </c>
      <c r="F19">
        <v>55500.948758018298</v>
      </c>
      <c r="G19">
        <v>36958.065964122303</v>
      </c>
      <c r="H19">
        <v>204420.69272833399</v>
      </c>
      <c r="I19">
        <v>42511.323104071198</v>
      </c>
      <c r="J19">
        <v>170000.48703330001</v>
      </c>
      <c r="K19">
        <v>33166.006034141901</v>
      </c>
      <c r="L19">
        <v>71220.372405244096</v>
      </c>
      <c r="M19">
        <v>32941.770649861501</v>
      </c>
      <c r="N19">
        <v>4948751.3263658099</v>
      </c>
      <c r="O19">
        <v>30384.606668405599</v>
      </c>
      <c r="P19" s="82">
        <v>1</v>
      </c>
    </row>
    <row r="20" spans="1:18" ht="15" x14ac:dyDescent="0.25">
      <c r="A20" s="66"/>
      <c r="B20" s="103">
        <v>0.85</v>
      </c>
      <c r="C20">
        <v>64248.4321558589</v>
      </c>
      <c r="D20">
        <v>464864.98223008</v>
      </c>
      <c r="E20">
        <v>350889.35511434602</v>
      </c>
      <c r="F20">
        <v>55500.948758018298</v>
      </c>
      <c r="G20">
        <v>36958.065964122303</v>
      </c>
      <c r="H20">
        <v>204420.69272833399</v>
      </c>
      <c r="I20">
        <v>42511.323104071198</v>
      </c>
      <c r="J20">
        <v>170000.48703330001</v>
      </c>
      <c r="K20">
        <v>33166.006034141901</v>
      </c>
      <c r="L20">
        <v>71220.372405244096</v>
      </c>
      <c r="M20">
        <v>32941.770649861501</v>
      </c>
      <c r="N20">
        <v>4948751.3263658099</v>
      </c>
      <c r="O20">
        <v>30384.606668405599</v>
      </c>
      <c r="P20" s="82">
        <v>1</v>
      </c>
    </row>
    <row r="21" spans="1:18" ht="15" x14ac:dyDescent="0.25">
      <c r="A21" s="66"/>
      <c r="B21" s="103">
        <v>0.9</v>
      </c>
      <c r="C21">
        <v>96328.277226662496</v>
      </c>
      <c r="D21">
        <v>464864.98223008</v>
      </c>
      <c r="E21">
        <v>350889.35511434602</v>
      </c>
      <c r="F21">
        <v>55500.948758018298</v>
      </c>
      <c r="G21">
        <v>36958.065964122303</v>
      </c>
      <c r="H21">
        <v>204420.69272833399</v>
      </c>
      <c r="I21">
        <v>42511.323104071198</v>
      </c>
      <c r="J21">
        <v>170000.48703330001</v>
      </c>
      <c r="K21">
        <v>33166.006034141901</v>
      </c>
      <c r="L21">
        <v>71220.372405244096</v>
      </c>
      <c r="M21">
        <v>32941.770649861501</v>
      </c>
      <c r="N21">
        <v>4948751.3263658099</v>
      </c>
      <c r="O21">
        <v>30384.606668405599</v>
      </c>
      <c r="P21" s="82">
        <v>1</v>
      </c>
    </row>
    <row r="22" spans="1:18" ht="15" x14ac:dyDescent="0.25">
      <c r="A22" s="66"/>
      <c r="B22" s="103">
        <v>0.91</v>
      </c>
      <c r="C22">
        <v>96328.277226662496</v>
      </c>
      <c r="D22">
        <v>464864.98223008</v>
      </c>
      <c r="E22">
        <v>350889.35511434602</v>
      </c>
      <c r="F22">
        <v>55500.948758018298</v>
      </c>
      <c r="G22">
        <v>36958.065964122303</v>
      </c>
      <c r="H22">
        <v>204420.69272833399</v>
      </c>
      <c r="I22">
        <v>42511.323104071198</v>
      </c>
      <c r="J22">
        <v>170000.48703330001</v>
      </c>
      <c r="K22">
        <v>33166.006034141901</v>
      </c>
      <c r="L22">
        <v>71220.372405244096</v>
      </c>
      <c r="M22">
        <v>32941.770649861501</v>
      </c>
      <c r="N22">
        <v>4948751.3263658099</v>
      </c>
      <c r="O22">
        <v>30384.606668405599</v>
      </c>
      <c r="P22" s="82">
        <v>1</v>
      </c>
    </row>
    <row r="23" spans="1:18" ht="15" x14ac:dyDescent="0.25">
      <c r="A23" s="66"/>
      <c r="B23" s="103">
        <v>0.92</v>
      </c>
      <c r="C23">
        <v>96328.277226662496</v>
      </c>
      <c r="D23">
        <v>464864.98223008</v>
      </c>
      <c r="E23">
        <v>350889.35511434602</v>
      </c>
      <c r="F23">
        <v>55500.948758018298</v>
      </c>
      <c r="G23">
        <v>36958.065964122303</v>
      </c>
      <c r="H23">
        <v>204420.69272833399</v>
      </c>
      <c r="I23">
        <v>42511.323104071198</v>
      </c>
      <c r="J23">
        <v>170000.48703330001</v>
      </c>
      <c r="K23">
        <v>33166.006034141901</v>
      </c>
      <c r="L23">
        <v>71220.372405244096</v>
      </c>
      <c r="M23">
        <v>32941.770649861501</v>
      </c>
      <c r="N23">
        <v>4948751.3263658099</v>
      </c>
      <c r="O23">
        <v>30384.606668405599</v>
      </c>
      <c r="P23" s="82">
        <v>1</v>
      </c>
    </row>
    <row r="24" spans="1:18" ht="15" x14ac:dyDescent="0.25">
      <c r="A24" s="66"/>
      <c r="B24" s="103">
        <v>0.93</v>
      </c>
      <c r="C24">
        <v>96328.277226662496</v>
      </c>
      <c r="D24">
        <v>464864.98223008</v>
      </c>
      <c r="E24">
        <v>350889.35511434602</v>
      </c>
      <c r="F24">
        <v>55500.948758018298</v>
      </c>
      <c r="G24">
        <v>36958.065964122303</v>
      </c>
      <c r="H24">
        <v>204420.69272833399</v>
      </c>
      <c r="I24">
        <v>42511.323104071198</v>
      </c>
      <c r="J24">
        <v>170000.48703330001</v>
      </c>
      <c r="K24">
        <v>33166.006034141901</v>
      </c>
      <c r="L24">
        <v>71220.372405244096</v>
      </c>
      <c r="M24">
        <v>32941.770649861501</v>
      </c>
      <c r="N24">
        <v>4948751.3263658099</v>
      </c>
      <c r="O24">
        <v>30384.606668405599</v>
      </c>
      <c r="P24" s="82">
        <v>1</v>
      </c>
    </row>
    <row r="25" spans="1:18" ht="15" x14ac:dyDescent="0.25">
      <c r="A25" s="66"/>
      <c r="B25" s="103">
        <v>0.94</v>
      </c>
      <c r="C25">
        <v>96328.277226662496</v>
      </c>
      <c r="D25">
        <v>464864.98223008</v>
      </c>
      <c r="E25">
        <v>350889.35511434602</v>
      </c>
      <c r="F25">
        <v>55500.948758018298</v>
      </c>
      <c r="G25">
        <v>36958.065964122303</v>
      </c>
      <c r="H25">
        <v>204420.69272833399</v>
      </c>
      <c r="I25">
        <v>42511.323104071198</v>
      </c>
      <c r="J25">
        <v>170000.48703330001</v>
      </c>
      <c r="K25">
        <v>33166.006034141901</v>
      </c>
      <c r="L25">
        <v>71220.372405244096</v>
      </c>
      <c r="M25">
        <v>32941.770649861501</v>
      </c>
      <c r="N25">
        <v>4948751.3263658099</v>
      </c>
      <c r="O25">
        <v>30384.606668405599</v>
      </c>
      <c r="P25" s="82">
        <v>1</v>
      </c>
    </row>
    <row r="26" spans="1:18" ht="15" x14ac:dyDescent="0.25">
      <c r="A26" s="66"/>
      <c r="B26" s="103">
        <v>0.95</v>
      </c>
      <c r="C26">
        <v>96328.277226662496</v>
      </c>
      <c r="D26">
        <v>464864.98223008</v>
      </c>
      <c r="E26">
        <v>350889.35511434602</v>
      </c>
      <c r="F26">
        <v>55500.948758018298</v>
      </c>
      <c r="G26">
        <v>36958.065964122303</v>
      </c>
      <c r="H26">
        <v>204420.69272833399</v>
      </c>
      <c r="I26">
        <v>42511.323104071198</v>
      </c>
      <c r="J26">
        <v>170000.48703330001</v>
      </c>
      <c r="K26">
        <v>33166.006034141901</v>
      </c>
      <c r="L26">
        <v>71220.372405244096</v>
      </c>
      <c r="M26">
        <v>32941.770649861501</v>
      </c>
      <c r="N26">
        <v>4948751.3263658099</v>
      </c>
      <c r="O26">
        <v>30384.606668405599</v>
      </c>
      <c r="P26" s="82">
        <v>1</v>
      </c>
    </row>
    <row r="27" spans="1:18" ht="15" x14ac:dyDescent="0.25">
      <c r="A27" s="66"/>
      <c r="B27" s="103">
        <v>0.96</v>
      </c>
      <c r="C27">
        <v>96328.277226662496</v>
      </c>
      <c r="D27">
        <v>464864.98223008</v>
      </c>
      <c r="E27">
        <v>350889.35511434602</v>
      </c>
      <c r="F27">
        <v>55500.948758018298</v>
      </c>
      <c r="G27">
        <v>36958.065964122303</v>
      </c>
      <c r="H27">
        <v>204420.69272833399</v>
      </c>
      <c r="I27">
        <v>42511.323104071198</v>
      </c>
      <c r="J27">
        <v>170000.48703330001</v>
      </c>
      <c r="K27">
        <v>33166.006034141901</v>
      </c>
      <c r="L27">
        <v>71220.372405244096</v>
      </c>
      <c r="M27">
        <v>32941.770649861501</v>
      </c>
      <c r="N27">
        <v>4948751.3263658099</v>
      </c>
      <c r="O27">
        <v>30384.606668405599</v>
      </c>
      <c r="P27" s="82">
        <v>1</v>
      </c>
    </row>
    <row r="28" spans="1:18" ht="15" x14ac:dyDescent="0.25">
      <c r="B28" s="103">
        <v>0.97</v>
      </c>
      <c r="C28">
        <v>96328.277226662496</v>
      </c>
      <c r="D28">
        <v>464864.98223008</v>
      </c>
      <c r="E28">
        <v>350889.35511434602</v>
      </c>
      <c r="F28">
        <v>55500.948758018298</v>
      </c>
      <c r="G28">
        <v>36958.065964122303</v>
      </c>
      <c r="H28">
        <v>204420.69272833399</v>
      </c>
      <c r="I28">
        <v>42511.323104071198</v>
      </c>
      <c r="J28">
        <v>170000.48703330001</v>
      </c>
      <c r="K28">
        <v>33166.006034141901</v>
      </c>
      <c r="L28">
        <v>71220.372405244096</v>
      </c>
      <c r="M28">
        <v>32941.770649861501</v>
      </c>
      <c r="N28">
        <v>4948751.3263658099</v>
      </c>
      <c r="O28">
        <v>30384.606668405599</v>
      </c>
      <c r="P28" s="82">
        <v>1</v>
      </c>
    </row>
    <row r="29" spans="1:18" ht="15" x14ac:dyDescent="0.25">
      <c r="B29" s="103">
        <v>0.98</v>
      </c>
      <c r="C29">
        <v>96328.277226662496</v>
      </c>
      <c r="D29">
        <v>464864.98223008</v>
      </c>
      <c r="E29">
        <v>350889.35511434602</v>
      </c>
      <c r="F29">
        <v>55500.948758018298</v>
      </c>
      <c r="G29">
        <v>36958.065964122303</v>
      </c>
      <c r="H29">
        <v>204420.69272833399</v>
      </c>
      <c r="I29">
        <v>42511.323104071198</v>
      </c>
      <c r="J29">
        <v>170000.48703330001</v>
      </c>
      <c r="K29">
        <v>33166.006034141901</v>
      </c>
      <c r="L29">
        <v>71220.372405244096</v>
      </c>
      <c r="M29">
        <v>32941.770649861501</v>
      </c>
      <c r="N29">
        <v>4948751.3263658099</v>
      </c>
      <c r="O29">
        <v>30384.606668405599</v>
      </c>
      <c r="P29" s="82">
        <v>1</v>
      </c>
    </row>
    <row r="30" spans="1:18" ht="15" x14ac:dyDescent="0.25">
      <c r="B30" s="103">
        <v>0.99</v>
      </c>
      <c r="C30">
        <v>96328.277226662496</v>
      </c>
      <c r="D30">
        <v>464864.98223008</v>
      </c>
      <c r="E30">
        <v>350889.35511434602</v>
      </c>
      <c r="F30">
        <v>55500.948758018298</v>
      </c>
      <c r="G30">
        <v>36958.065964122303</v>
      </c>
      <c r="H30">
        <v>204420.69272833399</v>
      </c>
      <c r="I30">
        <v>42511.323104071198</v>
      </c>
      <c r="J30">
        <v>170000.48703330001</v>
      </c>
      <c r="K30">
        <v>33166.006034141901</v>
      </c>
      <c r="L30">
        <v>71220.372405244096</v>
      </c>
      <c r="M30">
        <v>32941.770649861501</v>
      </c>
      <c r="N30">
        <v>4948751.3263658099</v>
      </c>
      <c r="O30">
        <v>30384.606668405599</v>
      </c>
      <c r="P30" s="82">
        <v>1</v>
      </c>
    </row>
    <row r="31" spans="1:18" ht="15" x14ac:dyDescent="0.25">
      <c r="B31" s="103">
        <v>0.995</v>
      </c>
      <c r="C31">
        <v>96328.277226662496</v>
      </c>
      <c r="D31">
        <v>464864.98223008</v>
      </c>
      <c r="E31">
        <v>350889.35511434602</v>
      </c>
      <c r="F31">
        <v>55500.948758018298</v>
      </c>
      <c r="G31">
        <v>36958.065964122303</v>
      </c>
      <c r="H31">
        <v>204420.69272833399</v>
      </c>
      <c r="I31">
        <v>42511.323104071198</v>
      </c>
      <c r="J31">
        <v>170000.48703330001</v>
      </c>
      <c r="K31">
        <v>33166.006034141901</v>
      </c>
      <c r="L31">
        <v>71220.372405244096</v>
      </c>
      <c r="M31">
        <v>32941.770649861501</v>
      </c>
      <c r="N31">
        <v>4948751.3263658099</v>
      </c>
      <c r="O31">
        <v>30384.606668405599</v>
      </c>
      <c r="P31" s="82">
        <v>1</v>
      </c>
    </row>
    <row r="32" spans="1:18" ht="15" x14ac:dyDescent="0.25">
      <c r="B32" s="103">
        <v>0.99900000000000011</v>
      </c>
      <c r="C32">
        <v>96328.277226662496</v>
      </c>
      <c r="D32">
        <v>464864.98223008</v>
      </c>
      <c r="E32">
        <v>350889.35511434602</v>
      </c>
      <c r="F32">
        <v>55500.948758018298</v>
      </c>
      <c r="G32">
        <v>36958.065964122303</v>
      </c>
      <c r="H32">
        <v>204420.69272833399</v>
      </c>
      <c r="I32">
        <v>42511.323104071198</v>
      </c>
      <c r="J32">
        <v>170000.48703330001</v>
      </c>
      <c r="K32">
        <v>33166.006034141901</v>
      </c>
      <c r="L32">
        <v>71220.372405244096</v>
      </c>
      <c r="M32">
        <v>32941.770649861501</v>
      </c>
      <c r="N32">
        <v>4948751.3263658099</v>
      </c>
      <c r="O32">
        <v>30384.606668405599</v>
      </c>
      <c r="P32" s="82">
        <v>1</v>
      </c>
    </row>
    <row r="33" spans="2:16" ht="15.75" thickBot="1" x14ac:dyDescent="0.3">
      <c r="B33" s="104">
        <v>1</v>
      </c>
      <c r="C33">
        <v>96328.277226662496</v>
      </c>
      <c r="D33">
        <v>464864.98223008</v>
      </c>
      <c r="E33">
        <v>350889.35511434602</v>
      </c>
      <c r="F33">
        <v>55500.948758018298</v>
      </c>
      <c r="G33">
        <v>36958.065964122303</v>
      </c>
      <c r="H33">
        <v>204420.69272833399</v>
      </c>
      <c r="I33">
        <v>42511.323104071198</v>
      </c>
      <c r="J33">
        <v>170000.48703330001</v>
      </c>
      <c r="K33">
        <v>33166.006034141901</v>
      </c>
      <c r="L33">
        <v>71220.372405244096</v>
      </c>
      <c r="M33">
        <v>32941.770649861501</v>
      </c>
      <c r="N33">
        <v>4948751.3263658099</v>
      </c>
      <c r="O33">
        <v>30384.606668405599</v>
      </c>
      <c r="P33" s="82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S42"/>
  <sheetViews>
    <sheetView workbookViewId="0">
      <selection activeCell="M31" sqref="M31"/>
    </sheetView>
  </sheetViews>
  <sheetFormatPr defaultRowHeight="15" x14ac:dyDescent="0.25"/>
  <cols>
    <col min="1" max="1" width="2.85546875" customWidth="1"/>
    <col min="2" max="2" width="21.140625" customWidth="1"/>
    <col min="3" max="5" width="10.5703125" bestFit="1" customWidth="1"/>
    <col min="6" max="6" width="11.140625" bestFit="1" customWidth="1"/>
    <col min="7" max="8" width="10.140625" bestFit="1" customWidth="1"/>
    <col min="9" max="9" width="10.5703125" bestFit="1" customWidth="1"/>
    <col min="10" max="10" width="12.7109375" customWidth="1"/>
    <col min="11" max="11" width="17.85546875" customWidth="1"/>
    <col min="12" max="12" width="9" customWidth="1"/>
    <col min="13" max="13" width="28.85546875" customWidth="1"/>
    <col min="14" max="14" width="10.5703125" bestFit="1" customWidth="1"/>
  </cols>
  <sheetData>
    <row r="2" spans="2:15" x14ac:dyDescent="0.25">
      <c r="B2" s="2" t="s">
        <v>33</v>
      </c>
    </row>
    <row r="3" spans="2:15" x14ac:dyDescent="0.25">
      <c r="B3" t="s">
        <v>34</v>
      </c>
      <c r="C3" s="26"/>
      <c r="D3" s="26"/>
      <c r="E3" s="26"/>
      <c r="F3" s="31"/>
      <c r="G3" s="6"/>
      <c r="H3" s="32"/>
      <c r="I3" s="26"/>
      <c r="J3" s="31"/>
      <c r="K3" s="6"/>
      <c r="L3" s="6"/>
      <c r="M3" s="6"/>
      <c r="N3" s="6"/>
      <c r="O3" s="6"/>
    </row>
    <row r="4" spans="2:15" x14ac:dyDescent="0.25">
      <c r="B4" t="s">
        <v>35</v>
      </c>
      <c r="C4" s="33"/>
      <c r="D4" s="33"/>
      <c r="E4" s="33"/>
      <c r="F4" s="31"/>
      <c r="G4" s="33"/>
      <c r="H4" s="54"/>
      <c r="I4" s="33"/>
      <c r="J4" s="33"/>
      <c r="K4" s="55"/>
      <c r="L4" s="6"/>
      <c r="M4" s="6"/>
      <c r="N4" s="6"/>
      <c r="O4" s="6"/>
    </row>
    <row r="5" spans="2:15" x14ac:dyDescent="0.25">
      <c r="B5" t="s">
        <v>36</v>
      </c>
      <c r="C5" s="33"/>
      <c r="D5" s="33"/>
      <c r="E5" s="33"/>
      <c r="F5" s="31"/>
      <c r="G5" s="33"/>
      <c r="H5" s="54"/>
      <c r="I5" s="33"/>
      <c r="J5" s="33"/>
      <c r="K5" s="55"/>
      <c r="L5" s="6"/>
      <c r="M5" s="6"/>
      <c r="N5" s="6"/>
      <c r="O5" s="6"/>
    </row>
    <row r="6" spans="2:15" ht="15.75" x14ac:dyDescent="0.3">
      <c r="B6" t="s">
        <v>37</v>
      </c>
      <c r="C6" s="33"/>
      <c r="D6" s="33"/>
      <c r="E6" s="33"/>
      <c r="F6" s="31"/>
      <c r="G6" s="33"/>
      <c r="H6" s="54"/>
      <c r="I6" s="33"/>
      <c r="J6" s="33"/>
      <c r="K6" s="55"/>
      <c r="L6" s="6"/>
      <c r="M6" s="6"/>
      <c r="N6" s="6"/>
      <c r="O6" s="6"/>
    </row>
    <row r="7" spans="2:15" x14ac:dyDescent="0.25">
      <c r="B7" s="56" t="s">
        <v>38</v>
      </c>
      <c r="C7" s="33"/>
      <c r="D7" s="33"/>
      <c r="E7" s="33"/>
      <c r="F7" s="31"/>
      <c r="G7" s="33"/>
      <c r="H7" s="54"/>
      <c r="I7" s="33"/>
      <c r="J7" s="33"/>
      <c r="K7" s="55"/>
      <c r="L7" s="6"/>
      <c r="M7" s="6"/>
      <c r="N7" s="6"/>
      <c r="O7" s="6"/>
    </row>
    <row r="8" spans="2:15" x14ac:dyDescent="0.25">
      <c r="B8" s="56" t="s">
        <v>39</v>
      </c>
      <c r="C8" s="33"/>
      <c r="D8" s="33"/>
      <c r="E8" s="33"/>
      <c r="F8" s="31"/>
      <c r="G8" s="33"/>
      <c r="H8" s="54"/>
      <c r="I8" s="33"/>
      <c r="J8" s="33"/>
      <c r="K8" s="55"/>
      <c r="L8" s="6"/>
      <c r="M8" s="6"/>
      <c r="N8" s="6"/>
      <c r="O8" s="6"/>
    </row>
    <row r="9" spans="2:15" x14ac:dyDescent="0.25">
      <c r="B9" s="56" t="s">
        <v>40</v>
      </c>
      <c r="C9" s="33"/>
      <c r="D9" s="33"/>
      <c r="E9" s="33"/>
      <c r="F9" s="31"/>
      <c r="G9" s="33"/>
      <c r="H9" s="54"/>
      <c r="I9" s="33"/>
      <c r="J9" s="33"/>
      <c r="K9" s="55"/>
      <c r="L9" s="6"/>
      <c r="M9" s="6"/>
      <c r="N9" s="6"/>
      <c r="O9" s="6"/>
    </row>
    <row r="10" spans="2:15" x14ac:dyDescent="0.25">
      <c r="B10" s="56"/>
      <c r="C10" s="33"/>
      <c r="D10" s="33"/>
      <c r="E10" s="33"/>
      <c r="F10" s="31"/>
      <c r="G10" s="33"/>
      <c r="H10" s="54"/>
      <c r="I10" s="33"/>
      <c r="J10" s="33"/>
      <c r="K10" s="55"/>
      <c r="L10" s="6"/>
      <c r="M10" s="6"/>
      <c r="N10" s="6"/>
      <c r="O10" s="6"/>
    </row>
    <row r="11" spans="2:15" x14ac:dyDescent="0.25">
      <c r="B11" s="56" t="s">
        <v>41</v>
      </c>
      <c r="C11" s="33"/>
      <c r="D11" s="33"/>
      <c r="E11" s="33"/>
      <c r="F11" s="31"/>
      <c r="G11" s="33"/>
      <c r="H11" s="54"/>
      <c r="I11" s="33"/>
      <c r="J11" s="33"/>
      <c r="K11" s="55"/>
      <c r="L11" s="6"/>
      <c r="M11" s="6"/>
      <c r="N11" s="6"/>
      <c r="O11" s="6"/>
    </row>
    <row r="12" spans="2:15" x14ac:dyDescent="0.25">
      <c r="B12" s="56"/>
      <c r="C12" s="6"/>
      <c r="D12" s="6"/>
      <c r="E12" s="26"/>
      <c r="F12" s="31"/>
      <c r="G12" s="39"/>
      <c r="H12" s="39"/>
      <c r="I12" s="31"/>
      <c r="J12" s="6"/>
      <c r="K12" s="6"/>
      <c r="L12" s="6"/>
      <c r="M12" s="6"/>
      <c r="N12" s="6"/>
      <c r="O12" s="6"/>
    </row>
    <row r="13" spans="2:15" x14ac:dyDescent="0.25">
      <c r="B13" s="57" t="s">
        <v>42</v>
      </c>
      <c r="C13" s="39" t="s">
        <v>43</v>
      </c>
      <c r="G13" s="39"/>
    </row>
    <row r="14" spans="2:15" x14ac:dyDescent="0.25">
      <c r="B14" s="56"/>
    </row>
    <row r="15" spans="2:15" ht="15.75" x14ac:dyDescent="0.3">
      <c r="B15" s="58" t="s">
        <v>44</v>
      </c>
      <c r="C15" s="4" t="s">
        <v>45</v>
      </c>
    </row>
    <row r="16" spans="2:15" x14ac:dyDescent="0.25">
      <c r="B16" s="58"/>
      <c r="C16" s="4"/>
    </row>
    <row r="17" spans="2:15" ht="15.75" x14ac:dyDescent="0.3">
      <c r="B17" s="57" t="s">
        <v>46</v>
      </c>
      <c r="C17" s="39" t="s">
        <v>47</v>
      </c>
    </row>
    <row r="18" spans="2:15" x14ac:dyDescent="0.25">
      <c r="B18" s="58"/>
    </row>
    <row r="19" spans="2:15" ht="15.75" x14ac:dyDescent="0.3">
      <c r="B19" t="s">
        <v>48</v>
      </c>
    </row>
    <row r="20" spans="2:15" x14ac:dyDescent="0.25">
      <c r="B20" t="s">
        <v>49</v>
      </c>
    </row>
    <row r="21" spans="2:15" x14ac:dyDescent="0.25">
      <c r="B21" t="s">
        <v>50</v>
      </c>
    </row>
    <row r="22" spans="2:15" x14ac:dyDescent="0.25">
      <c r="B22" t="s">
        <v>51</v>
      </c>
    </row>
    <row r="23" spans="2:15" x14ac:dyDescent="0.25">
      <c r="C23" s="26"/>
      <c r="D23" s="26"/>
      <c r="E23" s="26"/>
      <c r="F23" s="31"/>
      <c r="G23" s="6"/>
      <c r="H23" s="32"/>
      <c r="I23" s="26"/>
      <c r="J23" s="31"/>
      <c r="K23" s="6"/>
      <c r="L23" s="6"/>
      <c r="M23" s="6"/>
      <c r="N23" s="6"/>
      <c r="O23" s="6"/>
    </row>
    <row r="24" spans="2:15" x14ac:dyDescent="0.25">
      <c r="B24" s="112" t="s">
        <v>90</v>
      </c>
    </row>
    <row r="26" spans="2:15" x14ac:dyDescent="0.25">
      <c r="C26" s="14"/>
      <c r="D26" s="107"/>
      <c r="E26" s="6"/>
      <c r="F26" s="6"/>
      <c r="H26" s="6"/>
      <c r="I26" s="6"/>
      <c r="J26" s="6"/>
      <c r="K26" s="6"/>
    </row>
    <row r="27" spans="2:15" x14ac:dyDescent="0.25">
      <c r="C27" s="14"/>
      <c r="E27" s="6"/>
      <c r="F27" s="6"/>
      <c r="G27" s="14"/>
      <c r="H27" s="59"/>
    </row>
    <row r="28" spans="2:15" x14ac:dyDescent="0.25">
      <c r="C28" s="14"/>
      <c r="D28" s="6"/>
      <c r="E28" s="6"/>
      <c r="F28" s="6"/>
      <c r="G28" s="14"/>
      <c r="H28" s="59"/>
      <c r="I28" s="59"/>
    </row>
    <row r="29" spans="2:15" ht="15.75" thickBot="1" x14ac:dyDescent="0.3">
      <c r="C29" s="14"/>
      <c r="D29" s="6"/>
      <c r="E29" s="6"/>
      <c r="F29" s="6"/>
      <c r="G29" s="14"/>
      <c r="H29" s="59"/>
      <c r="I29" s="59"/>
      <c r="M29" s="14"/>
    </row>
    <row r="30" spans="2:15" x14ac:dyDescent="0.25">
      <c r="D30" s="90" t="s">
        <v>54</v>
      </c>
      <c r="E30" s="91" t="s">
        <v>55</v>
      </c>
      <c r="F30" s="92" t="s">
        <v>56</v>
      </c>
      <c r="G30" s="91" t="s">
        <v>57</v>
      </c>
      <c r="H30" s="93" t="s">
        <v>58</v>
      </c>
      <c r="I30" s="93" t="s">
        <v>59</v>
      </c>
      <c r="J30" s="91" t="s">
        <v>60</v>
      </c>
      <c r="K30" s="129" t="s">
        <v>61</v>
      </c>
      <c r="L30" s="135"/>
      <c r="M30" s="136" t="s">
        <v>105</v>
      </c>
      <c r="N30" s="16" t="s">
        <v>52</v>
      </c>
      <c r="O30" s="17" t="s">
        <v>53</v>
      </c>
    </row>
    <row r="31" spans="2:15" ht="15.75" thickBot="1" x14ac:dyDescent="0.3">
      <c r="B31" s="19"/>
      <c r="C31" t="s">
        <v>100</v>
      </c>
      <c r="D31" s="61">
        <f xml:space="preserve"> Ade_Conc_in_Effluent_min</f>
        <v>1.9999999999999998E-5</v>
      </c>
      <c r="E31" s="89">
        <f xml:space="preserve"> Ade_Conc_in_Effluent_median</f>
        <v>1E-3</v>
      </c>
      <c r="F31" s="62">
        <f>0.5*(E31 + G31 +1/H31 - SQRT((G31-E31)^2 + 1/(H31^2) + E31*(2-8*N$31)/H31 + G31*(2-8*O$31)/H31))</f>
        <v>1.9603981172497953E-3</v>
      </c>
      <c r="G31" s="89">
        <f xml:space="preserve"> Ade_Conc_in_Effluent_max</f>
        <v>10</v>
      </c>
      <c r="H31" s="62">
        <f>1/(E31-D31)</f>
        <v>1020.4081632653061</v>
      </c>
      <c r="I31" s="62">
        <f>2*N$31/(G31-F31)</f>
        <v>2.0003921565017366E-3</v>
      </c>
      <c r="J31" s="62">
        <f>H31*(E31-D31)/2 + (H31+I31)*(F31-E31)/2 + I31*(G31-F31)/2</f>
        <v>0.99999999999959122</v>
      </c>
      <c r="K31" s="130">
        <f ca="1" xml:space="preserve"> _xll.RiskGeneral(D31,G31,E31:F31,H31:I31)</f>
        <v>1.3329297124283811E-3</v>
      </c>
      <c r="L31" s="18"/>
      <c r="M31" s="138">
        <f>Ade_xp</f>
        <v>99</v>
      </c>
      <c r="N31" s="60">
        <f>(100-M31)/100</f>
        <v>0.01</v>
      </c>
      <c r="O31" s="60">
        <f>(M31-50)/100</f>
        <v>0.49</v>
      </c>
    </row>
    <row r="42" spans="19:19" x14ac:dyDescent="0.25">
      <c r="S42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74FC-2C1D-4E8D-966F-0F97A560E97C}">
  <dimension ref="B1:CK112"/>
  <sheetViews>
    <sheetView workbookViewId="0"/>
  </sheetViews>
  <sheetFormatPr defaultColWidth="9.140625" defaultRowHeight="12" x14ac:dyDescent="0.2"/>
  <cols>
    <col min="1" max="1" width="3.28515625" style="6" customWidth="1"/>
    <col min="2" max="2" width="14.28515625" style="6" customWidth="1"/>
    <col min="3" max="3" width="15.7109375" style="6" customWidth="1"/>
    <col min="4" max="4" width="20.85546875" style="6" customWidth="1"/>
    <col min="5" max="5" width="10.42578125" style="6" customWidth="1"/>
    <col min="6" max="6" width="1.7109375" style="6" customWidth="1"/>
    <col min="7" max="7" width="12.7109375" style="6" customWidth="1"/>
    <col min="8" max="10" width="9.7109375" style="6" customWidth="1"/>
    <col min="11" max="11" width="12.7109375" style="6" customWidth="1"/>
    <col min="12" max="12" width="1.7109375" style="6" customWidth="1"/>
    <col min="13" max="13" width="12.7109375" style="6" customWidth="1"/>
    <col min="14" max="16" width="9.7109375" style="6" customWidth="1"/>
    <col min="17" max="17" width="12.7109375" style="6" customWidth="1"/>
    <col min="18" max="18" width="1.7109375" style="6" customWidth="1"/>
    <col min="19" max="19" width="12.7109375" style="6" customWidth="1"/>
    <col min="20" max="22" width="9.7109375" style="6" customWidth="1"/>
    <col min="23" max="23" width="12.7109375" style="6" customWidth="1"/>
    <col min="24" max="24" width="1.7109375" style="6" customWidth="1"/>
    <col min="25" max="25" width="12.7109375" style="6" customWidth="1"/>
    <col min="26" max="28" width="9.7109375" style="6" customWidth="1"/>
    <col min="29" max="29" width="12.7109375" style="6" customWidth="1"/>
    <col min="30" max="30" width="1.7109375" style="6" customWidth="1"/>
    <col min="31" max="31" width="12.7109375" style="6" customWidth="1"/>
    <col min="32" max="34" width="9.7109375" style="6" customWidth="1"/>
    <col min="35" max="35" width="12.7109375" style="6" customWidth="1"/>
    <col min="36" max="36" width="1.7109375" style="6" customWidth="1"/>
    <col min="37" max="37" width="12.7109375" style="6" customWidth="1"/>
    <col min="38" max="40" width="9.7109375" style="6" customWidth="1"/>
    <col min="41" max="41" width="12.7109375" style="6" customWidth="1"/>
    <col min="42" max="42" width="1.7109375" style="6" customWidth="1"/>
    <col min="43" max="43" width="12.7109375" style="6" customWidth="1"/>
    <col min="44" max="46" width="9.7109375" style="6" customWidth="1"/>
    <col min="47" max="47" width="12.7109375" style="6" customWidth="1"/>
    <col min="48" max="48" width="1.7109375" style="6" customWidth="1"/>
    <col min="49" max="49" width="12.7109375" style="6" customWidth="1"/>
    <col min="50" max="52" width="9.7109375" style="6" customWidth="1"/>
    <col min="53" max="53" width="12.7109375" style="6" customWidth="1"/>
    <col min="54" max="16384" width="9.140625" style="6"/>
  </cols>
  <sheetData>
    <row r="1" spans="2:89" ht="12.75" thickBot="1" x14ac:dyDescent="0.25"/>
    <row r="2" spans="2:89" ht="15.75" thickBot="1" x14ac:dyDescent="0.3">
      <c r="B2" s="167" t="s">
        <v>87</v>
      </c>
      <c r="C2" s="168">
        <v>4</v>
      </c>
      <c r="G2" s="74" t="str">
        <f>CONCATENATE("Site ",Site_name_1,"_inf")</f>
        <v>Site 300m NE of outfall_inf</v>
      </c>
      <c r="I2" s="110" t="str">
        <f>CONCATENATE("Site ",Site_name_1)</f>
        <v>Site 300m NE of outfall</v>
      </c>
      <c r="J2" s="8"/>
      <c r="K2" s="74" t="str">
        <f>CONCATENATE("Site ",Site_name_1,"_ill")</f>
        <v>Site 300m NE of outfall_ill</v>
      </c>
      <c r="M2" s="74" t="str">
        <f>CONCATENATE("Site ",Site_name_2,"_inf")</f>
        <v>Site 300m SW of outfall_inf</v>
      </c>
      <c r="O2" s="110" t="str">
        <f>CONCATENATE("Site ",Site_name_2)</f>
        <v>Site 300m SW of outfall</v>
      </c>
      <c r="P2" s="8"/>
      <c r="Q2" s="74" t="str">
        <f>CONCATENATE("Site ",Site_name_2,"_ill")</f>
        <v>Site 300m SW of outfall_ill</v>
      </c>
      <c r="S2" s="74" t="str">
        <f>CONCATENATE("Site ",Site_name_3,"_inf")</f>
        <v>Site 800m SW of outfall_inf</v>
      </c>
      <c r="U2" s="110" t="str">
        <f>CONCATENATE("Site ",Site_name_3)</f>
        <v>Site 800m SW of outfall</v>
      </c>
      <c r="V2" s="8"/>
      <c r="W2" s="74" t="str">
        <f>CONCATENATE("Site ",Site_name_3,"_ill")</f>
        <v>Site 800m SW of outfall_ill</v>
      </c>
      <c r="Y2" s="74" t="str">
        <f>CONCATENATE("Site ",Site_name_4,"_inf")</f>
        <v>Site Akersten Street_inf</v>
      </c>
      <c r="AA2" s="110" t="str">
        <f>CONCATENATE("Site ",Site_name_4)</f>
        <v>Site Akersten Street</v>
      </c>
      <c r="AB2" s="8"/>
      <c r="AC2" s="74" t="str">
        <f>CONCATENATE("Site ",Site_name_4,"_ill")</f>
        <v>Site Akersten Street_ill</v>
      </c>
      <c r="AE2" s="74" t="str">
        <f>CONCATENATE("Site ",Site_name_5,"_inf")</f>
        <v>Site Cable Bay_inf</v>
      </c>
      <c r="AG2" s="110" t="str">
        <f>CONCATENATE("Site ",Site_name_5)</f>
        <v>Site Cable Bay</v>
      </c>
      <c r="AH2" s="8"/>
      <c r="AI2" s="74" t="str">
        <f>CONCATENATE("Site ",Site_name_5,"_ill")</f>
        <v>Site Cable Bay_ill</v>
      </c>
      <c r="AK2" s="74" t="str">
        <f>CONCATENATE("Site ",Site_name_6,"_inf")</f>
        <v>Site Glenduan_inf</v>
      </c>
      <c r="AM2" s="110" t="str">
        <f>CONCATENATE("Site ",Site_name_6)</f>
        <v>Site Glenduan</v>
      </c>
      <c r="AN2" s="8"/>
      <c r="AO2" s="74" t="str">
        <f>CONCATENATE("Site ",Site_name_6,"_ill")</f>
        <v>Site Glenduan_ill</v>
      </c>
      <c r="AQ2" s="74" t="str">
        <f>CONCATENATE("Site ",Site_name_7,"_inf")</f>
        <v>Site Magazine Point _inf</v>
      </c>
      <c r="AS2" s="110" t="str">
        <f>CONCATENATE("Site ",Site_name_7)</f>
        <v xml:space="preserve">Site Magazine Point </v>
      </c>
      <c r="AT2" s="8"/>
      <c r="AU2" s="74" t="str">
        <f>CONCATENATE("Site ",Site_name_7,"_ill")</f>
        <v>Site Magazine Point _ill</v>
      </c>
      <c r="AW2" s="74" t="str">
        <f>CONCATENATE("Site ",Site_name_8,"_inf")</f>
        <v>Site Outside Boulder Bank_inf</v>
      </c>
      <c r="AY2" s="110" t="str">
        <f>CONCATENATE("Site ",Site_name_8)</f>
        <v>Site Outside Boulder Bank</v>
      </c>
      <c r="AZ2" s="8"/>
      <c r="BA2" s="74" t="str">
        <f>CONCATENATE("Site ",Site_name_8,"_ill")</f>
        <v>Site Outside Boulder Bank_ill</v>
      </c>
      <c r="BC2" s="74" t="str">
        <f>CONCATENATE("Site ",Site_name_9,"_inf")</f>
        <v>Site Seafarers Memorial _inf</v>
      </c>
      <c r="BE2" s="110" t="str">
        <f>CONCATENATE("Site ",Site_name_9)</f>
        <v xml:space="preserve">Site Seafarers Memorial </v>
      </c>
      <c r="BF2" s="8"/>
      <c r="BG2" s="74" t="str">
        <f>CONCATENATE("Site ",Site_name_9,"_ill")</f>
        <v>Site Seafarers Memorial _ill</v>
      </c>
      <c r="BI2" s="74" t="str">
        <f>CONCATENATE("Site ",Site_name_10,"_inf")</f>
        <v>Site Snappers Point (700m NE of outfall)_inf</v>
      </c>
      <c r="BK2" s="110" t="str">
        <f>CONCATENATE("Site ",Site_name_10)</f>
        <v>Site Snappers Point (700m NE of outfall)</v>
      </c>
      <c r="BL2" s="8"/>
      <c r="BM2" s="74" t="str">
        <f>CONCATENATE("Site ",Site_name_10,"_ill")</f>
        <v>Site Snappers Point (700m NE of outfall)_ill</v>
      </c>
      <c r="BO2" s="74" t="str">
        <f>CONCATENATE("Site ",Site_name_11,"_inf")</f>
        <v>Site Tahunanui Beach_inf</v>
      </c>
      <c r="BQ2" s="110" t="str">
        <f>CONCATENATE("Site ",Site_name_11)</f>
        <v>Site Tahunanui Beach</v>
      </c>
      <c r="BR2" s="8"/>
      <c r="BS2" s="74" t="str">
        <f>CONCATENATE("Site ",Site_name_11,"_ill")</f>
        <v>Site Tahunanui Beach_ill</v>
      </c>
      <c r="BU2" s="74" t="str">
        <f>CONCATENATE("Site ",Site_name_12,"_inf")</f>
        <v>Site Tasman Bay_inf</v>
      </c>
      <c r="BW2" s="110" t="str">
        <f>CONCATENATE("Site ",Site_name_12)</f>
        <v>Site Tasman Bay</v>
      </c>
      <c r="BX2" s="8"/>
      <c r="BY2" s="74" t="str">
        <f>CONCATENATE("Site ",Site_name_12,"_ill")</f>
        <v>Site Tasman Bay_ill</v>
      </c>
      <c r="CA2" s="74" t="str">
        <f>CONCATENATE("Site ",Site_name_13,"_inf")</f>
        <v>Site The Cut_inf</v>
      </c>
      <c r="CC2" s="110" t="str">
        <f>CONCATENATE("Site ",Site_name_13)</f>
        <v>Site The Cut</v>
      </c>
      <c r="CD2" s="8"/>
      <c r="CE2" s="74" t="str">
        <f>CONCATENATE("Site ",Site_name_13,"_ill")</f>
        <v>Site The Cut_ill</v>
      </c>
      <c r="CG2" s="74" t="str">
        <f>CONCATENATE("Site ",Site_name_14,"_inf")</f>
        <v>Site No Dilution_inf</v>
      </c>
      <c r="CI2" s="110" t="str">
        <f>CONCATENATE("Site ",Site_name_14)</f>
        <v>Site No Dilution</v>
      </c>
      <c r="CJ2" s="8"/>
      <c r="CK2" s="74" t="str">
        <f>CONCATENATE("Site ",Site_name_14,"_ill")</f>
        <v>Site No Dilution_ill</v>
      </c>
    </row>
    <row r="3" spans="2:89" ht="13.5" thickBot="1" x14ac:dyDescent="0.25">
      <c r="B3" s="169"/>
      <c r="C3" s="170"/>
      <c r="D3" s="171"/>
      <c r="E3" s="172"/>
      <c r="G3" s="11"/>
      <c r="H3" s="108"/>
      <c r="I3" s="12" t="str">
        <f>CONCATENATE("Adeno at ",I2," (/L) =")</f>
        <v>Adeno at Site 300m NE of outfall (/L) =</v>
      </c>
      <c r="J3" s="111">
        <f ca="1">Random_Infections_Effluent_Adno_conc/Pathogen_Dilution_Site_1</f>
        <v>9.1814716758079354E-8</v>
      </c>
      <c r="K3" s="109"/>
      <c r="L3" s="96"/>
      <c r="M3" s="11"/>
      <c r="N3" s="108"/>
      <c r="O3" s="12" t="str">
        <f>CONCATENATE("Adeno at ",O2," (/L) =")</f>
        <v>Adeno at Site 300m SW of outfall (/L) =</v>
      </c>
      <c r="P3" s="111">
        <f ca="1">Random_Infections_Effluent_Adno_conc/Pathogen_Dilution_Site_2</f>
        <v>2.2802759468523117E-9</v>
      </c>
      <c r="Q3" s="109"/>
      <c r="R3" s="96"/>
      <c r="S3" s="11"/>
      <c r="T3" s="108"/>
      <c r="U3" s="12" t="str">
        <f>CONCATENATE("Adeno at ",U2," (/L) =")</f>
        <v>Adeno at Site 800m SW of outfall (/L) =</v>
      </c>
      <c r="V3" s="111">
        <f ca="1">Random_Infections_Effluent_Adno_conc/Pathogen_Dilution_Site_3</f>
        <v>2.8874866005437583E-8</v>
      </c>
      <c r="W3" s="109"/>
      <c r="X3" s="96"/>
      <c r="Y3" s="11"/>
      <c r="Z3" s="108"/>
      <c r="AA3" s="12" t="str">
        <f>CONCATENATE("Adeno at ",AA2," (/L) =")</f>
        <v>Adeno at Site Akersten Street (/L) =</v>
      </c>
      <c r="AB3" s="111">
        <f ca="1">Random_Infections_Effluent_Adno_conc/Pathogen_Dilution_Site_4</f>
        <v>2.4016341022168306E-9</v>
      </c>
      <c r="AC3" s="109"/>
      <c r="AD3" s="96"/>
      <c r="AE3" s="11"/>
      <c r="AF3" s="108"/>
      <c r="AG3" s="12" t="str">
        <f>CONCATENATE("Adeno at ",AG2," (/L) =")</f>
        <v>Adeno at Site Cable Bay (/L) =</v>
      </c>
      <c r="AH3" s="111">
        <f ca="1">Random_Infections_Effluent_Adno_conc/Pathogen_Dilution_Site_5</f>
        <v>3.6066002850921428E-9</v>
      </c>
      <c r="AI3" s="109"/>
      <c r="AJ3" s="96"/>
      <c r="AK3" s="11"/>
      <c r="AL3" s="108"/>
      <c r="AM3" s="12" t="str">
        <f>CONCATENATE("Adeno at ",AM2," (/L) =")</f>
        <v>Adeno at Site Glenduan (/L) =</v>
      </c>
      <c r="AN3" s="111">
        <f ca="1">Random_Infections_Effluent_Adno_conc/Pathogen_Dilution_Site_6</f>
        <v>2.346485354914689E-8</v>
      </c>
      <c r="AO3" s="109"/>
      <c r="AP3" s="96"/>
      <c r="AQ3" s="11"/>
      <c r="AR3" s="108"/>
      <c r="AS3" s="12" t="str">
        <f>CONCATENATE("Adeno at ",AS2," (/L) =")</f>
        <v>Adeno at Site Magazine Point  (/L) =</v>
      </c>
      <c r="AT3" s="111">
        <f ca="1">Random_Infections_Effluent_Adno_conc/Pathogen_Dilution_Site_7</f>
        <v>4.4520844091385381E-8</v>
      </c>
      <c r="AU3" s="109"/>
      <c r="AV3" s="96"/>
      <c r="AW3" s="11"/>
      <c r="AX3" s="108"/>
      <c r="AY3" s="12" t="str">
        <f>CONCATENATE("Adeno at ",AY2," (/L) =")</f>
        <v>Adeno at Site Outside Boulder Bank (/L) =</v>
      </c>
      <c r="AZ3" s="111">
        <f ca="1">Random_Infections_Effluent_Adno_conc/Pathogen_Dilution_Site_8</f>
        <v>7.8407405513057401E-10</v>
      </c>
      <c r="BA3" s="109"/>
      <c r="BC3" s="11"/>
      <c r="BD3" s="108"/>
      <c r="BE3" s="12" t="str">
        <f>CONCATENATE("Adeno at ",BE2," (/L) =")</f>
        <v>Adeno at Site Seafarers Memorial  (/L) =</v>
      </c>
      <c r="BF3" s="111">
        <f ca="1">Random_Infections_Effluent_Adno_conc/Pathogen_dilution_site_9</f>
        <v>4.018963607054156E-9</v>
      </c>
      <c r="BG3" s="109"/>
      <c r="BI3" s="11"/>
      <c r="BJ3" s="108"/>
      <c r="BK3" s="12" t="str">
        <f>CONCATENATE("Adeno at ",BK2," (/L) =")</f>
        <v>Adeno at Site Snappers Point (700m NE of outfall) (/L) =</v>
      </c>
      <c r="BL3" s="111">
        <f ca="1">Random_Infections_Effluent_Adno_conc/Pathogen_dilution_site_10</f>
        <v>1.8715567855272703E-9</v>
      </c>
      <c r="BM3" s="109"/>
      <c r="BO3" s="11"/>
      <c r="BP3" s="108"/>
      <c r="BQ3" s="12" t="str">
        <f>CONCATENATE("Adeno at ",BQ2," (/L) =")</f>
        <v>Adeno at Site Tahunanui Beach (/L) =</v>
      </c>
      <c r="BR3" s="111">
        <f ca="1">Random_Infections_Effluent_Adno_conc/Pathogen_dilution_site_11</f>
        <v>4.0463207840116716E-9</v>
      </c>
      <c r="BS3" s="109"/>
      <c r="BU3" s="11"/>
      <c r="BV3" s="108"/>
      <c r="BW3" s="12" t="str">
        <f>CONCATENATE("Adeno at ",BW2," (/L) =")</f>
        <v>Adeno at Site Tasman Bay (/L) =</v>
      </c>
      <c r="BX3" s="111">
        <f ca="1">Random_Infections_Effluent_Adno_conc/Pathogen_dilution_site_12</f>
        <v>2.8911065247180571E-11</v>
      </c>
      <c r="BY3" s="109"/>
      <c r="CA3" s="11"/>
      <c r="CB3" s="108"/>
      <c r="CC3" s="12" t="str">
        <f>CONCATENATE("Adeno at ",CC2," (/L) =")</f>
        <v>Adeno at Site The Cut (/L) =</v>
      </c>
      <c r="CD3" s="111">
        <f ca="1">Random_Infections_Effluent_Adno_conc/Pathogen_dilution_site_13</f>
        <v>4.3868585398332209E-9</v>
      </c>
      <c r="CE3" s="109"/>
      <c r="CG3" s="11"/>
      <c r="CH3" s="108"/>
      <c r="CI3" s="12" t="str">
        <f>CONCATENATE("Adeno at ",CI2," (/L) =")</f>
        <v>Adeno at Site No Dilution (/L) =</v>
      </c>
      <c r="CJ3" s="111" t="e">
        <f ca="1">Random_Infections_Effluent_Adno_conc/Pathogen_dilution_site_14</f>
        <v>#VALUE!</v>
      </c>
      <c r="CK3" s="109"/>
    </row>
    <row r="4" spans="2:89" ht="12.75" thickBot="1" x14ac:dyDescent="0.25">
      <c r="B4" s="173"/>
      <c r="C4" s="68"/>
      <c r="D4" s="88"/>
      <c r="E4" s="174"/>
      <c r="F4" s="14"/>
      <c r="G4" s="14"/>
      <c r="H4" s="14"/>
      <c r="I4" s="14"/>
      <c r="J4" s="74"/>
      <c r="K4" s="14"/>
      <c r="M4" s="14"/>
      <c r="N4" s="14"/>
      <c r="O4" s="14"/>
      <c r="P4" s="74"/>
      <c r="Q4" s="14"/>
      <c r="S4" s="14"/>
      <c r="T4" s="14"/>
      <c r="U4" s="14"/>
      <c r="V4" s="74"/>
      <c r="W4" s="14"/>
      <c r="Y4" s="14"/>
      <c r="Z4" s="14"/>
      <c r="AA4" s="14"/>
      <c r="AB4" s="74"/>
      <c r="AC4" s="14"/>
      <c r="AE4" s="14"/>
      <c r="AF4" s="14"/>
      <c r="AG4" s="14"/>
      <c r="AH4" s="74"/>
      <c r="AI4" s="14"/>
      <c r="AK4" s="14"/>
      <c r="AL4" s="14"/>
      <c r="AM4" s="14"/>
      <c r="AN4" s="74"/>
      <c r="AO4" s="14"/>
      <c r="AQ4" s="14"/>
      <c r="AR4" s="14"/>
      <c r="AS4" s="14"/>
      <c r="AT4" s="74"/>
      <c r="AU4" s="14"/>
      <c r="AW4" s="14"/>
      <c r="AX4" s="14"/>
      <c r="AY4" s="14"/>
      <c r="AZ4" s="74"/>
      <c r="BA4" s="14"/>
      <c r="BC4" s="14"/>
      <c r="BD4" s="14"/>
      <c r="BE4" s="14"/>
      <c r="BF4" s="74"/>
      <c r="BG4" s="14"/>
      <c r="BI4" s="14"/>
      <c r="BJ4" s="14"/>
      <c r="BK4" s="14"/>
      <c r="BL4" s="74"/>
      <c r="BM4" s="14"/>
      <c r="BO4" s="14"/>
      <c r="BP4" s="14"/>
      <c r="BQ4" s="14"/>
      <c r="BR4" s="74"/>
      <c r="BS4" s="14"/>
      <c r="BU4" s="14"/>
      <c r="BV4" s="14"/>
      <c r="BW4" s="14"/>
      <c r="BX4" s="74"/>
      <c r="BY4" s="14"/>
      <c r="CA4" s="14"/>
      <c r="CB4" s="14"/>
      <c r="CC4" s="14"/>
      <c r="CD4" s="74"/>
      <c r="CE4" s="14"/>
      <c r="CG4" s="14"/>
      <c r="CH4" s="14"/>
      <c r="CI4" s="14"/>
      <c r="CJ4" s="74"/>
      <c r="CK4" s="14"/>
    </row>
    <row r="5" spans="2:89" x14ac:dyDescent="0.2">
      <c r="B5" s="175"/>
      <c r="C5" s="176"/>
      <c r="D5" s="177" t="str">
        <f xml:space="preserve"> CONCATENATE("Random Effluent Adno concentration, ceff (infectious units per L) =")</f>
        <v>Random Effluent Adno concentration, ceff (infectious units per L) =</v>
      </c>
      <c r="E5" s="178">
        <f ca="1">Random_effluent_ade_conc * Proportion_of_adenovirus_causing_respiratory_effects</f>
        <v>1.332929712428381E-4</v>
      </c>
      <c r="F5" s="14"/>
      <c r="G5" s="69" t="s">
        <v>62</v>
      </c>
      <c r="H5" s="70"/>
      <c r="I5" s="70"/>
      <c r="J5" s="5"/>
      <c r="K5" s="71" t="s">
        <v>63</v>
      </c>
      <c r="M5" s="69" t="s">
        <v>62</v>
      </c>
      <c r="N5" s="70"/>
      <c r="O5" s="70"/>
      <c r="P5" s="5"/>
      <c r="Q5" s="71" t="s">
        <v>63</v>
      </c>
      <c r="S5" s="69" t="s">
        <v>62</v>
      </c>
      <c r="T5" s="70"/>
      <c r="U5" s="70"/>
      <c r="V5" s="5"/>
      <c r="W5" s="71" t="s">
        <v>63</v>
      </c>
      <c r="Y5" s="69" t="s">
        <v>62</v>
      </c>
      <c r="Z5" s="70"/>
      <c r="AA5" s="70"/>
      <c r="AB5" s="5"/>
      <c r="AC5" s="71" t="s">
        <v>63</v>
      </c>
      <c r="AE5" s="69" t="s">
        <v>62</v>
      </c>
      <c r="AF5" s="70"/>
      <c r="AG5" s="70"/>
      <c r="AH5" s="5"/>
      <c r="AI5" s="71" t="s">
        <v>63</v>
      </c>
      <c r="AK5" s="69" t="s">
        <v>62</v>
      </c>
      <c r="AL5" s="70"/>
      <c r="AM5" s="70"/>
      <c r="AN5" s="5"/>
      <c r="AO5" s="71" t="s">
        <v>63</v>
      </c>
      <c r="AQ5" s="69" t="s">
        <v>62</v>
      </c>
      <c r="AR5" s="70"/>
      <c r="AS5" s="70"/>
      <c r="AT5" s="5"/>
      <c r="AU5" s="71" t="s">
        <v>63</v>
      </c>
      <c r="AW5" s="69" t="s">
        <v>62</v>
      </c>
      <c r="AX5" s="70"/>
      <c r="AY5" s="70"/>
      <c r="AZ5" s="5"/>
      <c r="BA5" s="71" t="s">
        <v>63</v>
      </c>
      <c r="BC5" s="69" t="s">
        <v>62</v>
      </c>
      <c r="BD5" s="70"/>
      <c r="BE5" s="70"/>
      <c r="BF5" s="5"/>
      <c r="BG5" s="71" t="s">
        <v>63</v>
      </c>
      <c r="BI5" s="69" t="s">
        <v>62</v>
      </c>
      <c r="BJ5" s="70"/>
      <c r="BK5" s="70"/>
      <c r="BL5" s="5"/>
      <c r="BM5" s="71" t="s">
        <v>63</v>
      </c>
      <c r="BO5" s="69" t="s">
        <v>62</v>
      </c>
      <c r="BP5" s="70"/>
      <c r="BQ5" s="70"/>
      <c r="BR5" s="5"/>
      <c r="BS5" s="71" t="s">
        <v>63</v>
      </c>
      <c r="BU5" s="69" t="s">
        <v>62</v>
      </c>
      <c r="BV5" s="70"/>
      <c r="BW5" s="70"/>
      <c r="BX5" s="5"/>
      <c r="BY5" s="71" t="s">
        <v>63</v>
      </c>
      <c r="CA5" s="69" t="s">
        <v>62</v>
      </c>
      <c r="CB5" s="70"/>
      <c r="CC5" s="70"/>
      <c r="CD5" s="5"/>
      <c r="CE5" s="71" t="s">
        <v>63</v>
      </c>
      <c r="CG5" s="69" t="s">
        <v>62</v>
      </c>
      <c r="CH5" s="70"/>
      <c r="CI5" s="70"/>
      <c r="CJ5" s="5"/>
      <c r="CK5" s="71" t="s">
        <v>63</v>
      </c>
    </row>
    <row r="6" spans="2:89" ht="12.75" thickBot="1" x14ac:dyDescent="0.25">
      <c r="B6" s="31"/>
      <c r="D6" s="87"/>
      <c r="E6" s="119"/>
      <c r="F6" s="94"/>
      <c r="G6" s="73">
        <f ca="1">_xll.RiskOutput(G2)+J109</f>
        <v>0</v>
      </c>
      <c r="H6" s="95"/>
      <c r="I6" s="95"/>
      <c r="J6" s="72"/>
      <c r="K6" s="73">
        <f ca="1">_xll.RiskOutput(K2)+K109</f>
        <v>0</v>
      </c>
      <c r="M6" s="73">
        <f ca="1">_xll.RiskOutput(M2)+P109</f>
        <v>0</v>
      </c>
      <c r="N6" s="95"/>
      <c r="O6" s="95"/>
      <c r="P6" s="72"/>
      <c r="Q6" s="73">
        <f ca="1">_xll.RiskOutput(Q2)+Q109</f>
        <v>0</v>
      </c>
      <c r="S6" s="73">
        <f ca="1">_xll.RiskOutput(S2)+V109</f>
        <v>0</v>
      </c>
      <c r="T6" s="95"/>
      <c r="U6" s="95"/>
      <c r="V6" s="72"/>
      <c r="W6" s="73">
        <f ca="1">_xll.RiskOutput(W2)+W109</f>
        <v>0</v>
      </c>
      <c r="Y6" s="73">
        <f ca="1">_xll.RiskOutput(Y2)+AB109</f>
        <v>0</v>
      </c>
      <c r="Z6" s="95"/>
      <c r="AA6" s="95"/>
      <c r="AB6" s="72"/>
      <c r="AC6" s="73">
        <f ca="1">_xll.RiskOutput(AC2)+AC109</f>
        <v>0</v>
      </c>
      <c r="AE6" s="73">
        <f ca="1">_xll.RiskOutput(AE2)+AH109</f>
        <v>0</v>
      </c>
      <c r="AF6" s="95"/>
      <c r="AG6" s="95"/>
      <c r="AH6" s="72"/>
      <c r="AI6" s="73">
        <f ca="1">_xll.RiskOutput(AI2)+AI109</f>
        <v>0</v>
      </c>
      <c r="AJ6" s="95"/>
      <c r="AK6" s="73">
        <f ca="1">_xll.RiskOutput(AK2)+AN109</f>
        <v>0</v>
      </c>
      <c r="AL6" s="95"/>
      <c r="AM6" s="95"/>
      <c r="AN6" s="72"/>
      <c r="AO6" s="73">
        <f ca="1">_xll.RiskOutput(AO2)+AO109</f>
        <v>0</v>
      </c>
      <c r="AQ6" s="73">
        <f ca="1">_xll.RiskOutput(AQ2)+AT109</f>
        <v>0</v>
      </c>
      <c r="AR6" s="95"/>
      <c r="AS6" s="95"/>
      <c r="AT6" s="72"/>
      <c r="AU6" s="73">
        <f ca="1">_xll.RiskOutput(AU2)+AU109</f>
        <v>0</v>
      </c>
      <c r="AW6" s="73">
        <f ca="1">_xll.RiskOutput(AW2)+AZ109</f>
        <v>0</v>
      </c>
      <c r="AX6" s="95"/>
      <c r="AY6" s="95"/>
      <c r="AZ6" s="72"/>
      <c r="BA6" s="73">
        <f ca="1">_xll.RiskOutput(BA2)+BA109</f>
        <v>0</v>
      </c>
      <c r="BC6" s="73">
        <f ca="1">_xll.RiskOutput(BC2)+BF109</f>
        <v>0</v>
      </c>
      <c r="BD6" s="95"/>
      <c r="BE6" s="95"/>
      <c r="BF6" s="72"/>
      <c r="BG6" s="73">
        <f ca="1">_xll.RiskOutput(BG2)+BG109</f>
        <v>0</v>
      </c>
      <c r="BI6" s="73">
        <f ca="1">_xll.RiskOutput(BI2)+BL109</f>
        <v>0</v>
      </c>
      <c r="BJ6" s="95"/>
      <c r="BK6" s="95"/>
      <c r="BL6" s="72"/>
      <c r="BM6" s="73">
        <f ca="1">_xll.RiskOutput(BM2)+BM109</f>
        <v>0</v>
      </c>
      <c r="BO6" s="73">
        <f ca="1">_xll.RiskOutput(BO2)+BR109</f>
        <v>0</v>
      </c>
      <c r="BP6" s="95"/>
      <c r="BQ6" s="95"/>
      <c r="BR6" s="72"/>
      <c r="BS6" s="73">
        <f ca="1">_xll.RiskOutput(BS2)+BS109</f>
        <v>0</v>
      </c>
      <c r="BU6" s="73">
        <f ca="1">_xll.RiskOutput(BU2)+BX109</f>
        <v>0</v>
      </c>
      <c r="BV6" s="95"/>
      <c r="BW6" s="95"/>
      <c r="BX6" s="72"/>
      <c r="BY6" s="73">
        <f ca="1">_xll.RiskOutput(BY2)+BY109</f>
        <v>0</v>
      </c>
      <c r="CA6" s="73">
        <f ca="1">_xll.RiskOutput(CA2)+CD109</f>
        <v>0</v>
      </c>
      <c r="CB6" s="95"/>
      <c r="CC6" s="95"/>
      <c r="CD6" s="72"/>
      <c r="CE6" s="73">
        <f ca="1">_xll.RiskOutput(CE2)+CE109</f>
        <v>0</v>
      </c>
      <c r="CG6" s="73" t="e">
        <f ca="1">_xll.RiskOutput(CG2)+CJ109</f>
        <v>#VALUE!</v>
      </c>
      <c r="CH6" s="95"/>
      <c r="CI6" s="95"/>
      <c r="CJ6" s="72"/>
      <c r="CK6" s="73" t="e">
        <f ca="1">_xll.RiskOutput(CK2)+CK109</f>
        <v>#VALUE!</v>
      </c>
    </row>
    <row r="7" spans="2:89" ht="12.75" thickBot="1" x14ac:dyDescent="0.25">
      <c r="B7" s="31"/>
      <c r="C7" s="75"/>
      <c r="D7" s="75"/>
      <c r="E7" s="75"/>
      <c r="G7" s="75"/>
      <c r="H7" s="75"/>
      <c r="I7" s="75"/>
      <c r="M7" s="75"/>
      <c r="N7" s="75"/>
      <c r="O7" s="75"/>
      <c r="S7" s="75"/>
      <c r="T7" s="75"/>
      <c r="U7" s="75"/>
      <c r="Y7" s="75"/>
      <c r="Z7" s="75"/>
      <c r="AA7" s="75"/>
      <c r="AE7" s="75"/>
      <c r="AF7" s="75"/>
      <c r="AG7" s="75"/>
      <c r="AK7" s="75"/>
      <c r="AL7" s="75"/>
      <c r="AM7" s="75"/>
      <c r="AQ7" s="75"/>
      <c r="AR7" s="75"/>
      <c r="AS7" s="75"/>
      <c r="AW7" s="75"/>
      <c r="AX7" s="75"/>
      <c r="AY7" s="75"/>
      <c r="BC7" s="75"/>
      <c r="BD7" s="75"/>
      <c r="BE7" s="75"/>
      <c r="BI7" s="75"/>
      <c r="BJ7" s="75"/>
      <c r="BK7" s="75"/>
      <c r="BO7" s="75"/>
      <c r="BP7" s="75"/>
      <c r="BQ7" s="75"/>
      <c r="BU7" s="75"/>
      <c r="BV7" s="75"/>
      <c r="BW7" s="75"/>
      <c r="CA7" s="75"/>
      <c r="CB7" s="75"/>
      <c r="CC7" s="75"/>
      <c r="CG7" s="75"/>
      <c r="CH7" s="75"/>
      <c r="CI7" s="75"/>
    </row>
    <row r="8" spans="2:89" x14ac:dyDescent="0.2">
      <c r="B8" s="67" t="s">
        <v>64</v>
      </c>
      <c r="C8" s="99" t="s">
        <v>65</v>
      </c>
      <c r="D8" s="16" t="s">
        <v>66</v>
      </c>
      <c r="E8" s="17" t="s">
        <v>67</v>
      </c>
      <c r="G8" s="67" t="s">
        <v>68</v>
      </c>
      <c r="H8" s="16" t="s">
        <v>69</v>
      </c>
      <c r="I8" s="16" t="s">
        <v>70</v>
      </c>
      <c r="J8" s="16" t="s">
        <v>71</v>
      </c>
      <c r="K8" s="76" t="s">
        <v>72</v>
      </c>
      <c r="M8" s="67" t="s">
        <v>68</v>
      </c>
      <c r="N8" s="16" t="s">
        <v>69</v>
      </c>
      <c r="O8" s="16" t="s">
        <v>70</v>
      </c>
      <c r="P8" s="16" t="s">
        <v>71</v>
      </c>
      <c r="Q8" s="76" t="s">
        <v>72</v>
      </c>
      <c r="S8" s="67" t="s">
        <v>68</v>
      </c>
      <c r="T8" s="16" t="s">
        <v>69</v>
      </c>
      <c r="U8" s="16" t="s">
        <v>70</v>
      </c>
      <c r="V8" s="16" t="s">
        <v>71</v>
      </c>
      <c r="W8" s="76" t="s">
        <v>72</v>
      </c>
      <c r="Y8" s="67" t="s">
        <v>68</v>
      </c>
      <c r="Z8" s="16" t="s">
        <v>69</v>
      </c>
      <c r="AA8" s="16" t="s">
        <v>70</v>
      </c>
      <c r="AB8" s="16" t="s">
        <v>71</v>
      </c>
      <c r="AC8" s="76" t="s">
        <v>72</v>
      </c>
      <c r="AE8" s="67" t="s">
        <v>68</v>
      </c>
      <c r="AF8" s="16" t="s">
        <v>69</v>
      </c>
      <c r="AG8" s="16" t="s">
        <v>70</v>
      </c>
      <c r="AH8" s="16" t="s">
        <v>71</v>
      </c>
      <c r="AI8" s="76" t="s">
        <v>72</v>
      </c>
      <c r="AK8" s="67" t="s">
        <v>68</v>
      </c>
      <c r="AL8" s="16" t="s">
        <v>69</v>
      </c>
      <c r="AM8" s="16" t="s">
        <v>70</v>
      </c>
      <c r="AN8" s="16" t="s">
        <v>71</v>
      </c>
      <c r="AO8" s="76" t="s">
        <v>72</v>
      </c>
      <c r="AQ8" s="67" t="s">
        <v>68</v>
      </c>
      <c r="AR8" s="16" t="s">
        <v>69</v>
      </c>
      <c r="AS8" s="16" t="s">
        <v>70</v>
      </c>
      <c r="AT8" s="16" t="s">
        <v>71</v>
      </c>
      <c r="AU8" s="76" t="s">
        <v>72</v>
      </c>
      <c r="AW8" s="67" t="s">
        <v>68</v>
      </c>
      <c r="AX8" s="16" t="s">
        <v>69</v>
      </c>
      <c r="AY8" s="16" t="s">
        <v>70</v>
      </c>
      <c r="AZ8" s="16" t="s">
        <v>71</v>
      </c>
      <c r="BA8" s="76" t="s">
        <v>72</v>
      </c>
      <c r="BC8" s="67" t="s">
        <v>68</v>
      </c>
      <c r="BD8" s="16" t="s">
        <v>69</v>
      </c>
      <c r="BE8" s="16" t="s">
        <v>70</v>
      </c>
      <c r="BF8" s="16" t="s">
        <v>71</v>
      </c>
      <c r="BG8" s="76" t="s">
        <v>72</v>
      </c>
      <c r="BI8" s="67" t="s">
        <v>68</v>
      </c>
      <c r="BJ8" s="16" t="s">
        <v>69</v>
      </c>
      <c r="BK8" s="16" t="s">
        <v>70</v>
      </c>
      <c r="BL8" s="16" t="s">
        <v>71</v>
      </c>
      <c r="BM8" s="76" t="s">
        <v>72</v>
      </c>
      <c r="BO8" s="67" t="s">
        <v>68</v>
      </c>
      <c r="BP8" s="16" t="s">
        <v>69</v>
      </c>
      <c r="BQ8" s="16" t="s">
        <v>70</v>
      </c>
      <c r="BR8" s="16" t="s">
        <v>71</v>
      </c>
      <c r="BS8" s="76" t="s">
        <v>72</v>
      </c>
      <c r="BU8" s="67" t="s">
        <v>68</v>
      </c>
      <c r="BV8" s="16" t="s">
        <v>69</v>
      </c>
      <c r="BW8" s="16" t="s">
        <v>70</v>
      </c>
      <c r="BX8" s="16" t="s">
        <v>71</v>
      </c>
      <c r="BY8" s="76" t="s">
        <v>72</v>
      </c>
      <c r="CA8" s="67" t="s">
        <v>68</v>
      </c>
      <c r="CB8" s="16" t="s">
        <v>69</v>
      </c>
      <c r="CC8" s="16" t="s">
        <v>70</v>
      </c>
      <c r="CD8" s="16" t="s">
        <v>71</v>
      </c>
      <c r="CE8" s="76" t="s">
        <v>72</v>
      </c>
      <c r="CG8" s="67" t="s">
        <v>68</v>
      </c>
      <c r="CH8" s="16" t="s">
        <v>69</v>
      </c>
      <c r="CI8" s="16" t="s">
        <v>70</v>
      </c>
      <c r="CJ8" s="16" t="s">
        <v>71</v>
      </c>
      <c r="CK8" s="76" t="s">
        <v>72</v>
      </c>
    </row>
    <row r="9" spans="2:89" x14ac:dyDescent="0.2">
      <c r="B9" s="97">
        <v>1</v>
      </c>
      <c r="C9" s="100">
        <f ca="1" xml:space="preserve"> _xll.RiskPert(Dur_event_hours_min,Dur_event_hours_mode,Dur_event_hours_max)</f>
        <v>3.2013402816054999</v>
      </c>
      <c r="D9" s="26">
        <f ca="1">_xll.RiskPert(Primary_Ing_Rate_mL_per_hour_min,Primary_Ing_Rate_mL_per_hour_mode,Primary_Ing_Rate_mL_per_hour_max)</f>
        <v>20.76570853319496</v>
      </c>
      <c r="E9" s="34">
        <f t="shared" ref="E9:E72" ca="1" si="0">C9*D9</f>
        <v>66.478099203396084</v>
      </c>
      <c r="G9" s="77">
        <f ca="1">$E9*J$3/V</f>
        <v>6.1036678489753122E-9</v>
      </c>
      <c r="H9" s="33">
        <f ca="1">INT(G9) + _xll.RiskBinomial(1,G9-INT(G9))</f>
        <v>0</v>
      </c>
      <c r="I9" s="26">
        <f t="shared" ref="I9:I40" ca="1" si="1" xml:space="preserve"> MAX(1-(1-r_Adv)^H9,0)</f>
        <v>0</v>
      </c>
      <c r="J9" s="31">
        <f ca="1">_xll.RiskBinomial(1,I9)</f>
        <v>0</v>
      </c>
      <c r="K9" s="78">
        <f ca="1">IF(J9=1,_xll.RiskBinomial(1,Prob_illness_Adv_infection),0)</f>
        <v>0</v>
      </c>
      <c r="M9" s="77">
        <f t="shared" ref="M9:M72" ca="1" si="2">$E9*P$3/V</f>
        <v>1.5158841060596591E-10</v>
      </c>
      <c r="N9" s="33">
        <f ca="1">INT(M9) + _xll.RiskBinomial(1,M9-INT(M9))</f>
        <v>0</v>
      </c>
      <c r="O9" s="26">
        <f t="shared" ref="O9:O40" ca="1" si="3" xml:space="preserve"> MAX(1-(1-r_Adv)^N9,0)</f>
        <v>0</v>
      </c>
      <c r="P9" s="31">
        <f ca="1">_xll.RiskBinomial(1,O9)</f>
        <v>0</v>
      </c>
      <c r="Q9" s="78">
        <f ca="1">IF(P9=1,_xll.RiskBinomial(1,Prob_illness_Adv_infection),0)</f>
        <v>0</v>
      </c>
      <c r="S9" s="77">
        <f t="shared" ref="S9:S72" ca="1" si="4">$E9*V$3/V</f>
        <v>1.9195462067942491E-9</v>
      </c>
      <c r="T9" s="33">
        <f ca="1">INT(S9) + _xll.RiskBinomial(1,S9-INT(S9))</f>
        <v>0</v>
      </c>
      <c r="U9" s="26">
        <f t="shared" ref="U9:U40" ca="1" si="5" xml:space="preserve"> MAX(1-(1-r_Adv)^T9,0)</f>
        <v>0</v>
      </c>
      <c r="V9" s="31">
        <f ca="1">_xll.RiskBinomial(1,U9)</f>
        <v>0</v>
      </c>
      <c r="W9" s="78">
        <f ca="1">IF(V9=1,_xll.RiskBinomial(1,Prob_illness_Adv_infection),0)</f>
        <v>0</v>
      </c>
      <c r="Y9" s="77">
        <f t="shared" ref="Y9:Y72" ca="1" si="6">$E9*AB$3/V</f>
        <v>1.5965607009742956E-10</v>
      </c>
      <c r="Z9" s="33">
        <f ca="1">INT(Y9) + _xll.RiskBinomial(1,Y9-INT(Y9))</f>
        <v>0</v>
      </c>
      <c r="AA9" s="26">
        <f t="shared" ref="AA9:AA40" ca="1" si="7" xml:space="preserve"> MAX(1-(1-r_Adv)^Z9,0)</f>
        <v>0</v>
      </c>
      <c r="AB9" s="31">
        <f ca="1">_xll.RiskBinomial(1,AA9)</f>
        <v>0</v>
      </c>
      <c r="AC9" s="78">
        <f ca="1">IF(AB9=1,_xll.RiskBinomial(1,Prob_illness_Adv_infection),0)</f>
        <v>0</v>
      </c>
      <c r="AE9" s="77">
        <f t="shared" ref="AE9:AE72" ca="1" si="8">$E9*AH$3/V</f>
        <v>2.3975993153935205E-10</v>
      </c>
      <c r="AF9" s="33">
        <f ca="1">INT(AE9) + _xll.RiskBinomial(1,AE9-INT(AE9))</f>
        <v>0</v>
      </c>
      <c r="AG9" s="26">
        <f t="shared" ref="AG9:AG40" ca="1" si="9" xml:space="preserve"> MAX(1-(1-r_Adv)^AF9,0)</f>
        <v>0</v>
      </c>
      <c r="AH9" s="31">
        <f ca="1">_xll.RiskBinomial(1,AG9)</f>
        <v>0</v>
      </c>
      <c r="AI9" s="78">
        <f ca="1">IF(AH9=1,_xll.RiskBinomial(1,Prob_illness_Adv_infection),0)</f>
        <v>0</v>
      </c>
      <c r="AK9" s="77">
        <f t="shared" ref="AK9:AK72" ca="1" si="10">$E9*AN$3/V</f>
        <v>1.5598988620333477E-9</v>
      </c>
      <c r="AL9" s="33">
        <f ca="1">INT(AK9) + _xll.RiskBinomial(1,AK9-INT(AK9))</f>
        <v>0</v>
      </c>
      <c r="AM9" s="26">
        <f t="shared" ref="AM9:AM40" ca="1" si="11" xml:space="preserve"> MAX(1-(1-r_Adv)^AL9,0)</f>
        <v>0</v>
      </c>
      <c r="AN9" s="31">
        <f ca="1">_xll.RiskBinomial(1,AM9)</f>
        <v>0</v>
      </c>
      <c r="AO9" s="78">
        <f ca="1">IF(AN9=1,_xll.RiskBinomial(1,Prob_illness_Adv_infection),0)</f>
        <v>0</v>
      </c>
      <c r="AQ9" s="77">
        <f t="shared" ref="AQ9:AQ72" ca="1" si="12">$E9*AT$3/V</f>
        <v>2.9596610901260476E-9</v>
      </c>
      <c r="AR9" s="33">
        <f ca="1">INT(AQ9) + _xll.RiskBinomial(1,AQ9-INT(AQ9))</f>
        <v>0</v>
      </c>
      <c r="AS9" s="26">
        <f t="shared" ref="AS9:AS40" ca="1" si="13" xml:space="preserve"> MAX(1-(1-r_Adv)^AR9,0)</f>
        <v>0</v>
      </c>
      <c r="AT9" s="31">
        <f ca="1">_xll.RiskBinomial(1,AS9)</f>
        <v>0</v>
      </c>
      <c r="AU9" s="78">
        <f ca="1">IF(AT9=1,_xll.RiskBinomial(1,Prob_illness_Adv_infection),0)</f>
        <v>0</v>
      </c>
      <c r="AW9" s="77">
        <f ca="1">$E9*AZ$3/V</f>
        <v>5.2123752819779347E-11</v>
      </c>
      <c r="AX9" s="33">
        <f ca="1">INT(AW9) + _xll.RiskBinomial(1,AW9-INT(AW9))</f>
        <v>0</v>
      </c>
      <c r="AY9" s="26">
        <f t="shared" ref="AY9:AY40" ca="1" si="14" xml:space="preserve"> MAX(1-(1-r_Adv)^AX9,0)</f>
        <v>0</v>
      </c>
      <c r="AZ9" s="31">
        <f ca="1">_xll.RiskBinomial(1,AY9)</f>
        <v>0</v>
      </c>
      <c r="BA9" s="78">
        <f ca="1">IF(AZ9=1,_xll.RiskBinomial(1,Prob_illness_Adv_infection),0)</f>
        <v>0</v>
      </c>
      <c r="BC9" s="77">
        <f ca="1">$E9*BF$3/V</f>
        <v>2.6717306136458476E-10</v>
      </c>
      <c r="BD9" s="33">
        <f ca="1">INT(BC9) + _xll.RiskBinomial(1,BC9-INT(BC9))</f>
        <v>0</v>
      </c>
      <c r="BE9" s="26">
        <f t="shared" ref="BE9:BE40" ca="1" si="15" xml:space="preserve"> MAX(1-(1-r_Adv)^BD9,0)</f>
        <v>0</v>
      </c>
      <c r="BF9" s="31">
        <f ca="1">_xll.RiskBinomial(1,BE9)</f>
        <v>0</v>
      </c>
      <c r="BG9" s="78">
        <f ca="1">IF(BF9=1,_xll.RiskBinomial(1,Prob_illness_Adv_infection),0)</f>
        <v>0</v>
      </c>
      <c r="BI9" s="77">
        <f ca="1">$E9*BL$3/V</f>
        <v>1.2441753765307097E-10</v>
      </c>
      <c r="BJ9" s="33">
        <f ca="1">INT(BI9) + _xll.RiskBinomial(1,BI9-INT(BI9))</f>
        <v>0</v>
      </c>
      <c r="BK9" s="26">
        <f t="shared" ref="BK9:BK40" ca="1" si="16" xml:space="preserve"> MAX(1-(1-r_Adv)^BJ9,0)</f>
        <v>0</v>
      </c>
      <c r="BL9" s="31">
        <f ca="1">_xll.RiskBinomial(1,BK9)</f>
        <v>0</v>
      </c>
      <c r="BM9" s="78">
        <f ca="1">IF(BL9=1,_xll.RiskBinomial(1,Prob_illness_Adv_infection),0)</f>
        <v>0</v>
      </c>
      <c r="BO9" s="77">
        <f ca="1">$E9*BR$3/V</f>
        <v>2.6899171448829129E-10</v>
      </c>
      <c r="BP9" s="33">
        <f ca="1">INT(BO9) + _xll.RiskBinomial(1,BO9-INT(BO9))</f>
        <v>0</v>
      </c>
      <c r="BQ9" s="26">
        <f t="shared" ref="BQ9:BQ40" ca="1" si="17" xml:space="preserve"> MAX(1-(1-r_Adv)^BP9,0)</f>
        <v>0</v>
      </c>
      <c r="BR9" s="31">
        <f ca="1">_xll.RiskBinomial(1,BQ9)</f>
        <v>0</v>
      </c>
      <c r="BS9" s="78">
        <f ca="1">IF(BR9=1,_xll.RiskBinomial(1,Prob_illness_Adv_infection),0)</f>
        <v>0</v>
      </c>
      <c r="BU9" s="77">
        <f ca="1">$E9*BX$3/V</f>
        <v>1.9219526635779268E-12</v>
      </c>
      <c r="BV9" s="33">
        <f ca="1">INT(BU9) + _xll.RiskBinomial(1,BU9-INT(BU9))</f>
        <v>0</v>
      </c>
      <c r="BW9" s="26">
        <f t="shared" ref="BW9:BW40" ca="1" si="18" xml:space="preserve"> MAX(1-(1-r_Adv)^BV9,0)</f>
        <v>0</v>
      </c>
      <c r="BX9" s="31">
        <f ca="1">_xll.RiskBinomial(1,BW9)</f>
        <v>0</v>
      </c>
      <c r="BY9" s="78">
        <f ca="1">IF(BX9=1,_xll.RiskBinomial(1,Prob_illness_Adv_infection),0)</f>
        <v>0</v>
      </c>
      <c r="CA9" s="77">
        <f ca="1">$E9*CD$3/V</f>
        <v>2.9163001720229814E-10</v>
      </c>
      <c r="CB9" s="33">
        <f ca="1">INT(CA9) + _xll.RiskBinomial(1,CA9-INT(CA9))</f>
        <v>0</v>
      </c>
      <c r="CC9" s="26">
        <f t="shared" ref="CC9:CC40" ca="1" si="19" xml:space="preserve"> MAX(1-(1-r_Adv)^CB9,0)</f>
        <v>0</v>
      </c>
      <c r="CD9" s="31">
        <f ca="1">_xll.RiskBinomial(1,CC9)</f>
        <v>0</v>
      </c>
      <c r="CE9" s="78">
        <f ca="1">IF(CD9=1,_xll.RiskBinomial(1,Prob_illness_Adv_infection),0)</f>
        <v>0</v>
      </c>
      <c r="CG9" s="77" t="e">
        <f ca="1">$E9*CJ$3/V</f>
        <v>#VALUE!</v>
      </c>
      <c r="CH9" s="33" t="e">
        <f ca="1">INT(CG9) + _xll.RiskBinomial(1,CG9-INT(CG9))</f>
        <v>#VALUE!</v>
      </c>
      <c r="CI9" s="26" t="e">
        <f t="shared" ref="CI9:CI40" ca="1" si="20" xml:space="preserve"> MAX(1-(1-r_Adv)^CH9,0)</f>
        <v>#VALUE!</v>
      </c>
      <c r="CJ9" s="31" t="e">
        <f ca="1">_xll.RiskBinomial(1,CI9)</f>
        <v>#VALUE!</v>
      </c>
      <c r="CK9" s="78" t="e">
        <f ca="1">IF(CJ9=1,_xll.RiskBinomial(1,Prob_illness_Adv_infection),0)</f>
        <v>#VALUE!</v>
      </c>
    </row>
    <row r="10" spans="2:89" x14ac:dyDescent="0.2">
      <c r="B10" s="97">
        <v>2</v>
      </c>
      <c r="C10" s="100">
        <f ca="1" xml:space="preserve"> _xll.RiskPert(Dur_event_hours_min,Dur_event_hours_mode,Dur_event_hours_max)</f>
        <v>2.0405018319597645</v>
      </c>
      <c r="D10" s="26">
        <f ca="1">_xll.RiskPert(Primary_Ing_Rate_mL_per_hour_min,Primary_Ing_Rate_mL_per_hour_mode,Primary_Ing_Rate_mL_per_hour_max)</f>
        <v>19.613200681454842</v>
      </c>
      <c r="E10" s="34">
        <f t="shared" ca="1" si="0"/>
        <v>40.020771921103105</v>
      </c>
      <c r="G10" s="77">
        <f t="shared" ref="G10:G73" ca="1" si="21">$E10*J$3/V</f>
        <v>3.6744958383757768E-9</v>
      </c>
      <c r="H10" s="33">
        <f ca="1">INT(G10) + _xll.RiskBinomial(1,G10-INT(G10))</f>
        <v>0</v>
      </c>
      <c r="I10" s="26">
        <f t="shared" ca="1" si="1"/>
        <v>0</v>
      </c>
      <c r="J10" s="31">
        <f ca="1">_xll.RiskBinomial(1,I10)</f>
        <v>0</v>
      </c>
      <c r="K10" s="78">
        <f ca="1">IF(J10=1,_xll.RiskBinomial(1,Prob_illness_Adv_infection),0)</f>
        <v>0</v>
      </c>
      <c r="M10" s="77">
        <f t="shared" ca="1" si="2"/>
        <v>9.1258403586153784E-11</v>
      </c>
      <c r="N10" s="33">
        <f ca="1">INT(M10) + _xll.RiskBinomial(1,M10-INT(M10))</f>
        <v>0</v>
      </c>
      <c r="O10" s="26">
        <f t="shared" ca="1" si="3"/>
        <v>0</v>
      </c>
      <c r="P10" s="31">
        <f ca="1">_xll.RiskBinomial(1,O10)</f>
        <v>0</v>
      </c>
      <c r="Q10" s="78">
        <f ca="1">IF(P10=1,_xll.RiskBinomial(1,Prob_illness_Adv_infection),0)</f>
        <v>0</v>
      </c>
      <c r="S10" s="77">
        <f t="shared" ca="1" si="4"/>
        <v>1.155594426656031E-9</v>
      </c>
      <c r="T10" s="33">
        <f ca="1">INT(S10) + _xll.RiskBinomial(1,S10-INT(S10))</f>
        <v>0</v>
      </c>
      <c r="U10" s="26">
        <f t="shared" ca="1" si="5"/>
        <v>0</v>
      </c>
      <c r="V10" s="31">
        <f ca="1">_xll.RiskBinomial(1,U10)</f>
        <v>0</v>
      </c>
      <c r="W10" s="78">
        <f ca="1">IF(V10=1,_xll.RiskBinomial(1,Prob_illness_Adv_infection),0)</f>
        <v>0</v>
      </c>
      <c r="Y10" s="77">
        <f t="shared" ca="1" si="6"/>
        <v>9.6115250642763007E-11</v>
      </c>
      <c r="Z10" s="33">
        <f ca="1">INT(Y10) + _xll.RiskBinomial(1,Y10-INT(Y10))</f>
        <v>0</v>
      </c>
      <c r="AA10" s="26">
        <f t="shared" ca="1" si="7"/>
        <v>0</v>
      </c>
      <c r="AB10" s="31">
        <f ca="1">_xll.RiskBinomial(1,AA10)</f>
        <v>0</v>
      </c>
      <c r="AC10" s="78">
        <f ca="1">IF(AB10=1,_xll.RiskBinomial(1,Prob_illness_Adv_infection),0)</f>
        <v>0</v>
      </c>
      <c r="AE10" s="77">
        <f t="shared" ca="1" si="8"/>
        <v>1.4433892742025808E-10</v>
      </c>
      <c r="AF10" s="33">
        <f ca="1">INT(AE10) + _xll.RiskBinomial(1,AE10-INT(AE10))</f>
        <v>0</v>
      </c>
      <c r="AG10" s="26">
        <f t="shared" ca="1" si="9"/>
        <v>0</v>
      </c>
      <c r="AH10" s="31">
        <f ca="1">_xll.RiskBinomial(1,AG10)</f>
        <v>0</v>
      </c>
      <c r="AI10" s="78">
        <f ca="1">IF(AH10=1,_xll.RiskBinomial(1,Prob_illness_Adv_infection),0)</f>
        <v>0</v>
      </c>
      <c r="AK10" s="77">
        <f t="shared" ca="1" si="10"/>
        <v>9.3908155205249432E-10</v>
      </c>
      <c r="AL10" s="33">
        <f ca="1">INT(AK10) + _xll.RiskBinomial(1,AK10-INT(AK10))</f>
        <v>0</v>
      </c>
      <c r="AM10" s="26">
        <f t="shared" ca="1" si="11"/>
        <v>0</v>
      </c>
      <c r="AN10" s="31">
        <f ca="1">_xll.RiskBinomial(1,AM10)</f>
        <v>0</v>
      </c>
      <c r="AO10" s="78">
        <f ca="1">IF(AN10=1,_xll.RiskBinomial(1,Prob_illness_Adv_infection),0)</f>
        <v>0</v>
      </c>
      <c r="AQ10" s="77">
        <f t="shared" ca="1" si="12"/>
        <v>1.7817585471163251E-9</v>
      </c>
      <c r="AR10" s="33">
        <f ca="1">INT(AQ10) + _xll.RiskBinomial(1,AQ10-INT(AQ10))</f>
        <v>0</v>
      </c>
      <c r="AS10" s="26">
        <f t="shared" ca="1" si="13"/>
        <v>0</v>
      </c>
      <c r="AT10" s="31">
        <f ca="1">_xll.RiskBinomial(1,AS10)</f>
        <v>0</v>
      </c>
      <c r="AU10" s="78">
        <f ca="1">IF(AT10=1,_xll.RiskBinomial(1,Prob_illness_Adv_infection),0)</f>
        <v>0</v>
      </c>
      <c r="AW10" s="77">
        <f t="shared" ref="AW10:AW73" ca="1" si="22">$E10*AZ$3/V</f>
        <v>3.1379248929635124E-11</v>
      </c>
      <c r="AX10" s="33">
        <f ca="1">INT(AW10) + _xll.RiskBinomial(1,AW10-INT(AW10))</f>
        <v>0</v>
      </c>
      <c r="AY10" s="26">
        <f t="shared" ca="1" si="14"/>
        <v>0</v>
      </c>
      <c r="AZ10" s="31">
        <f ca="1">_xll.RiskBinomial(1,AY10)</f>
        <v>0</v>
      </c>
      <c r="BA10" s="78">
        <f ca="1">IF(AZ10=1,_xll.RiskBinomial(1,Prob_illness_Adv_infection),0)</f>
        <v>0</v>
      </c>
      <c r="BC10" s="77">
        <f t="shared" ref="BC10:BC73" ca="1" si="23">$E10*BF$3/V</f>
        <v>1.6084202587712822E-10</v>
      </c>
      <c r="BD10" s="33">
        <f ca="1">INT(BC10) + _xll.RiskBinomial(1,BC10-INT(BC10))</f>
        <v>0</v>
      </c>
      <c r="BE10" s="26">
        <f t="shared" ca="1" si="15"/>
        <v>0</v>
      </c>
      <c r="BF10" s="31">
        <f ca="1">_xll.RiskBinomial(1,BE10)</f>
        <v>0</v>
      </c>
      <c r="BG10" s="78">
        <f ca="1">IF(BF10=1,_xll.RiskBinomial(1,Prob_illness_Adv_infection),0)</f>
        <v>0</v>
      </c>
      <c r="BI10" s="77">
        <f t="shared" ref="BI10:BI73" ca="1" si="24">$E10*BL$3/V</f>
        <v>7.4901147250979759E-11</v>
      </c>
      <c r="BJ10" s="33">
        <f ca="1">INT(BI10) + _xll.RiskBinomial(1,BI10-INT(BI10))</f>
        <v>0</v>
      </c>
      <c r="BK10" s="26">
        <f t="shared" ca="1" si="16"/>
        <v>0</v>
      </c>
      <c r="BL10" s="31">
        <f ca="1">_xll.RiskBinomial(1,BK10)</f>
        <v>0</v>
      </c>
      <c r="BM10" s="78">
        <f ca="1">IF(BL10=1,_xll.RiskBinomial(1,Prob_illness_Adv_infection),0)</f>
        <v>0</v>
      </c>
      <c r="BO10" s="77">
        <f t="shared" ref="BO10:BO73" ca="1" si="25">$E10*BR$3/V</f>
        <v>1.6193688121655021E-10</v>
      </c>
      <c r="BP10" s="33">
        <f ca="1">INT(BO10) + _xll.RiskBinomial(1,BO10-INT(BO10))</f>
        <v>0</v>
      </c>
      <c r="BQ10" s="26">
        <f t="shared" ca="1" si="17"/>
        <v>0</v>
      </c>
      <c r="BR10" s="31">
        <f ca="1">_xll.RiskBinomial(1,BQ10)</f>
        <v>0</v>
      </c>
      <c r="BS10" s="78">
        <f ca="1">IF(BR10=1,_xll.RiskBinomial(1,Prob_illness_Adv_infection),0)</f>
        <v>0</v>
      </c>
      <c r="BU10" s="77">
        <f t="shared" ref="BU10:BU73" ca="1" si="26">$E10*BX$3/V</f>
        <v>1.1570431482535439E-12</v>
      </c>
      <c r="BV10" s="33">
        <f ca="1">INT(BU10) + _xll.RiskBinomial(1,BU10-INT(BU10))</f>
        <v>0</v>
      </c>
      <c r="BW10" s="26">
        <f t="shared" ca="1" si="18"/>
        <v>0</v>
      </c>
      <c r="BX10" s="31">
        <f ca="1">_xll.RiskBinomial(1,BW10)</f>
        <v>0</v>
      </c>
      <c r="BY10" s="78">
        <f ca="1">IF(BX10=1,_xll.RiskBinomial(1,Prob_illness_Adv_infection),0)</f>
        <v>0</v>
      </c>
      <c r="CA10" s="77">
        <f t="shared" ref="CA10:CA73" ca="1" si="27">$E10*CD$3/V</f>
        <v>1.7556546507280875E-10</v>
      </c>
      <c r="CB10" s="33">
        <f ca="1">INT(CA10) + _xll.RiskBinomial(1,CA10-INT(CA10))</f>
        <v>0</v>
      </c>
      <c r="CC10" s="26">
        <f t="shared" ca="1" si="19"/>
        <v>0</v>
      </c>
      <c r="CD10" s="31">
        <f ca="1">_xll.RiskBinomial(1,CC10)</f>
        <v>0</v>
      </c>
      <c r="CE10" s="78">
        <f ca="1">IF(CD10=1,_xll.RiskBinomial(1,Prob_illness_Adv_infection),0)</f>
        <v>0</v>
      </c>
      <c r="CG10" s="77" t="e">
        <f t="shared" ref="CG10:CG73" ca="1" si="28">$E10*CJ$3/V</f>
        <v>#VALUE!</v>
      </c>
      <c r="CH10" s="33" t="e">
        <f ca="1">INT(CG10) + _xll.RiskBinomial(1,CG10-INT(CG10))</f>
        <v>#VALUE!</v>
      </c>
      <c r="CI10" s="26" t="e">
        <f t="shared" ca="1" si="20"/>
        <v>#VALUE!</v>
      </c>
      <c r="CJ10" s="31" t="e">
        <f ca="1">_xll.RiskBinomial(1,CI10)</f>
        <v>#VALUE!</v>
      </c>
      <c r="CK10" s="78" t="e">
        <f ca="1">IF(CJ10=1,_xll.RiskBinomial(1,Prob_illness_Adv_infection),0)</f>
        <v>#VALUE!</v>
      </c>
    </row>
    <row r="11" spans="2:89" x14ac:dyDescent="0.2">
      <c r="B11" s="97">
        <v>3</v>
      </c>
      <c r="C11" s="100">
        <f ca="1" xml:space="preserve"> _xll.RiskPert(Dur_event_hours_min,Dur_event_hours_mode,Dur_event_hours_max)</f>
        <v>2.2734829785063737</v>
      </c>
      <c r="D11" s="26">
        <f ca="1">_xll.RiskPert(Primary_Ing_Rate_mL_per_hour_min,Primary_Ing_Rate_mL_per_hour_mode,Primary_Ing_Rate_mL_per_hour_max)</f>
        <v>11.902381224883705</v>
      </c>
      <c r="E11" s="34">
        <f t="shared" ca="1" si="0"/>
        <v>27.059861118466944</v>
      </c>
      <c r="F11" s="75"/>
      <c r="G11" s="77">
        <f t="shared" ca="1" si="21"/>
        <v>2.4844934841050068E-9</v>
      </c>
      <c r="H11" s="33">
        <f ca="1">INT(G11) + _xll.RiskBinomial(1,G11-INT(G11))</f>
        <v>0</v>
      </c>
      <c r="I11" s="26">
        <f t="shared" ca="1" si="1"/>
        <v>0</v>
      </c>
      <c r="J11" s="31">
        <f ca="1">_xll.RiskBinomial(1,I11)</f>
        <v>0</v>
      </c>
      <c r="K11" s="78">
        <f ca="1">IF(J11=1,_xll.RiskBinomial(1,Prob_illness_Adv_infection),0)</f>
        <v>0</v>
      </c>
      <c r="L11" s="75"/>
      <c r="M11" s="77">
        <f t="shared" ca="1" si="2"/>
        <v>6.1703950433604261E-11</v>
      </c>
      <c r="N11" s="33">
        <f ca="1">INT(M11) + _xll.RiskBinomial(1,M11-INT(M11))</f>
        <v>0</v>
      </c>
      <c r="O11" s="26">
        <f t="shared" ca="1" si="3"/>
        <v>0</v>
      </c>
      <c r="P11" s="31">
        <f ca="1">_xll.RiskBinomial(1,O11)</f>
        <v>0</v>
      </c>
      <c r="Q11" s="78">
        <f ca="1">IF(P11=1,_xll.RiskBinomial(1,Prob_illness_Adv_infection),0)</f>
        <v>0</v>
      </c>
      <c r="R11" s="75"/>
      <c r="S11" s="77">
        <f t="shared" ca="1" si="4"/>
        <v>7.8134986392148336E-10</v>
      </c>
      <c r="T11" s="33">
        <f ca="1">INT(S11) + _xll.RiskBinomial(1,S11-INT(S11))</f>
        <v>0</v>
      </c>
      <c r="U11" s="26">
        <f t="shared" ca="1" si="5"/>
        <v>0</v>
      </c>
      <c r="V11" s="31">
        <f ca="1">_xll.RiskBinomial(1,U11)</f>
        <v>0</v>
      </c>
      <c r="W11" s="78">
        <f ca="1">IF(V11=1,_xll.RiskBinomial(1,Prob_illness_Adv_infection),0)</f>
        <v>0</v>
      </c>
      <c r="X11" s="75"/>
      <c r="Y11" s="77">
        <f t="shared" ca="1" si="6"/>
        <v>6.4987885263361473E-11</v>
      </c>
      <c r="Z11" s="33">
        <f ca="1">INT(Y11) + _xll.RiskBinomial(1,Y11-INT(Y11))</f>
        <v>0</v>
      </c>
      <c r="AA11" s="26">
        <f t="shared" ca="1" si="7"/>
        <v>0</v>
      </c>
      <c r="AB11" s="31">
        <f ca="1">_xll.RiskBinomial(1,AA11)</f>
        <v>0</v>
      </c>
      <c r="AC11" s="78">
        <f ca="1">IF(AB11=1,_xll.RiskBinomial(1,Prob_illness_Adv_infection),0)</f>
        <v>0</v>
      </c>
      <c r="AD11" s="75"/>
      <c r="AE11" s="77">
        <f t="shared" ca="1" si="8"/>
        <v>9.7594102824416665E-11</v>
      </c>
      <c r="AF11" s="33">
        <f ca="1">INT(AE11) + _xll.RiskBinomial(1,AE11-INT(AE11))</f>
        <v>0</v>
      </c>
      <c r="AG11" s="26">
        <f t="shared" ca="1" si="9"/>
        <v>0</v>
      </c>
      <c r="AH11" s="31">
        <f ca="1">_xll.RiskBinomial(1,AG11)</f>
        <v>0</v>
      </c>
      <c r="AI11" s="78">
        <f ca="1">IF(AH11=1,_xll.RiskBinomial(1,Prob_illness_Adv_infection),0)</f>
        <v>0</v>
      </c>
      <c r="AJ11" s="75"/>
      <c r="AK11" s="77">
        <f t="shared" ca="1" si="10"/>
        <v>6.3495567820508097E-10</v>
      </c>
      <c r="AL11" s="33">
        <f ca="1">INT(AK11) + _xll.RiskBinomial(1,AK11-INT(AK11))</f>
        <v>0</v>
      </c>
      <c r="AM11" s="26">
        <f t="shared" ca="1" si="11"/>
        <v>0</v>
      </c>
      <c r="AN11" s="31">
        <f ca="1">_xll.RiskBinomial(1,AM11)</f>
        <v>0</v>
      </c>
      <c r="AO11" s="78">
        <f ca="1">IF(AN11=1,_xll.RiskBinomial(1,Prob_illness_Adv_infection),0)</f>
        <v>0</v>
      </c>
      <c r="AP11" s="75"/>
      <c r="AQ11" s="77">
        <f t="shared" ca="1" si="12"/>
        <v>1.204727857989808E-9</v>
      </c>
      <c r="AR11" s="33">
        <f ca="1">INT(AQ11) + _xll.RiskBinomial(1,AQ11-INT(AQ11))</f>
        <v>0</v>
      </c>
      <c r="AS11" s="26">
        <f t="shared" ca="1" si="13"/>
        <v>0</v>
      </c>
      <c r="AT11" s="31">
        <f ca="1">_xll.RiskBinomial(1,AS11)</f>
        <v>0</v>
      </c>
      <c r="AU11" s="78">
        <f ca="1">IF(AT11=1,_xll.RiskBinomial(1,Prob_illness_Adv_infection),0)</f>
        <v>0</v>
      </c>
      <c r="AV11" s="75"/>
      <c r="AW11" s="77">
        <f t="shared" ca="1" si="22"/>
        <v>2.1216935038426527E-11</v>
      </c>
      <c r="AX11" s="33">
        <f ca="1">INT(AW11) + _xll.RiskBinomial(1,AW11-INT(AW11))</f>
        <v>0</v>
      </c>
      <c r="AY11" s="26">
        <f t="shared" ca="1" si="14"/>
        <v>0</v>
      </c>
      <c r="AZ11" s="31">
        <f ca="1">_xll.RiskBinomial(1,AY11)</f>
        <v>0</v>
      </c>
      <c r="BA11" s="78">
        <f ca="1">IF(AZ11=1,_xll.RiskBinomial(1,Prob_illness_Adv_infection),0)</f>
        <v>0</v>
      </c>
      <c r="BC11" s="77">
        <f t="shared" ca="1" si="23"/>
        <v>1.0875259704705841E-10</v>
      </c>
      <c r="BD11" s="33">
        <f ca="1">INT(BC11) + _xll.RiskBinomial(1,BC11-INT(BC11))</f>
        <v>0</v>
      </c>
      <c r="BE11" s="26">
        <f t="shared" ca="1" si="15"/>
        <v>0</v>
      </c>
      <c r="BF11" s="31">
        <f ca="1">_xll.RiskBinomial(1,BE11)</f>
        <v>0</v>
      </c>
      <c r="BG11" s="78">
        <f ca="1">IF(BF11=1,_xll.RiskBinomial(1,Prob_illness_Adv_infection),0)</f>
        <v>0</v>
      </c>
      <c r="BI11" s="77">
        <f t="shared" ca="1" si="24"/>
        <v>5.0644066691692358E-11</v>
      </c>
      <c r="BJ11" s="33">
        <f ca="1">INT(BI11) + _xll.RiskBinomial(1,BI11-INT(BI11))</f>
        <v>0</v>
      </c>
      <c r="BK11" s="26">
        <f t="shared" ca="1" si="16"/>
        <v>0</v>
      </c>
      <c r="BL11" s="31">
        <f ca="1">_xll.RiskBinomial(1,BK11)</f>
        <v>0</v>
      </c>
      <c r="BM11" s="78">
        <f ca="1">IF(BL11=1,_xll.RiskBinomial(1,Prob_illness_Adv_infection),0)</f>
        <v>0</v>
      </c>
      <c r="BO11" s="77">
        <f t="shared" ca="1" si="25"/>
        <v>1.0949287845612212E-10</v>
      </c>
      <c r="BP11" s="33">
        <f ca="1">INT(BO11) + _xll.RiskBinomial(1,BO11-INT(BO11))</f>
        <v>0</v>
      </c>
      <c r="BQ11" s="26">
        <f t="shared" ca="1" si="17"/>
        <v>0</v>
      </c>
      <c r="BR11" s="31">
        <f ca="1">_xll.RiskBinomial(1,BQ11)</f>
        <v>0</v>
      </c>
      <c r="BS11" s="78">
        <f ca="1">IF(BR11=1,_xll.RiskBinomial(1,Prob_illness_Adv_infection),0)</f>
        <v>0</v>
      </c>
      <c r="BU11" s="77">
        <f t="shared" ca="1" si="26"/>
        <v>7.8232941037564249E-13</v>
      </c>
      <c r="BV11" s="33">
        <f ca="1">INT(BU11) + _xll.RiskBinomial(1,BU11-INT(BU11))</f>
        <v>0</v>
      </c>
      <c r="BW11" s="26">
        <f t="shared" ca="1" si="18"/>
        <v>0</v>
      </c>
      <c r="BX11" s="31">
        <f ca="1">_xll.RiskBinomial(1,BW11)</f>
        <v>0</v>
      </c>
      <c r="BY11" s="78">
        <f ca="1">IF(BX11=1,_xll.RiskBinomial(1,Prob_illness_Adv_infection),0)</f>
        <v>0</v>
      </c>
      <c r="CA11" s="77">
        <f t="shared" ca="1" si="27"/>
        <v>1.1870778283424765E-10</v>
      </c>
      <c r="CB11" s="33">
        <f ca="1">INT(CA11) + _xll.RiskBinomial(1,CA11-INT(CA11))</f>
        <v>0</v>
      </c>
      <c r="CC11" s="26">
        <f t="shared" ca="1" si="19"/>
        <v>0</v>
      </c>
      <c r="CD11" s="31">
        <f ca="1">_xll.RiskBinomial(1,CC11)</f>
        <v>0</v>
      </c>
      <c r="CE11" s="78">
        <f ca="1">IF(CD11=1,_xll.RiskBinomial(1,Prob_illness_Adv_infection),0)</f>
        <v>0</v>
      </c>
      <c r="CG11" s="77" t="e">
        <f t="shared" ca="1" si="28"/>
        <v>#VALUE!</v>
      </c>
      <c r="CH11" s="33" t="e">
        <f ca="1">INT(CG11) + _xll.RiskBinomial(1,CG11-INT(CG11))</f>
        <v>#VALUE!</v>
      </c>
      <c r="CI11" s="26" t="e">
        <f t="shared" ca="1" si="20"/>
        <v>#VALUE!</v>
      </c>
      <c r="CJ11" s="31" t="e">
        <f ca="1">_xll.RiskBinomial(1,CI11)</f>
        <v>#VALUE!</v>
      </c>
      <c r="CK11" s="78" t="e">
        <f ca="1">IF(CJ11=1,_xll.RiskBinomial(1,Prob_illness_Adv_infection),0)</f>
        <v>#VALUE!</v>
      </c>
    </row>
    <row r="12" spans="2:89" x14ac:dyDescent="0.2">
      <c r="B12" s="97">
        <v>4</v>
      </c>
      <c r="C12" s="100">
        <f ca="1" xml:space="preserve"> _xll.RiskPert(Dur_event_hours_min,Dur_event_hours_mode,Dur_event_hours_max)</f>
        <v>1.5954470998334802</v>
      </c>
      <c r="D12" s="26">
        <f ca="1">_xll.RiskPert(Primary_Ing_Rate_mL_per_hour_min,Primary_Ing_Rate_mL_per_hour_mode,Primary_Ing_Rate_mL_per_hour_max)</f>
        <v>25.487530238051352</v>
      </c>
      <c r="E12" s="34">
        <f t="shared" ca="1" si="0"/>
        <v>40.664006200217159</v>
      </c>
      <c r="F12" s="74"/>
      <c r="G12" s="77">
        <f t="shared" ca="1" si="21"/>
        <v>3.7335542115217209E-9</v>
      </c>
      <c r="H12" s="33">
        <f ca="1">INT(G12) + _xll.RiskBinomial(1,G12-INT(G12))</f>
        <v>0</v>
      </c>
      <c r="I12" s="26">
        <f t="shared" ca="1" si="1"/>
        <v>0</v>
      </c>
      <c r="J12" s="31">
        <f ca="1">_xll.RiskBinomial(1,I12)</f>
        <v>0</v>
      </c>
      <c r="K12" s="78">
        <f ca="1">IF(J12=1,_xll.RiskBinomial(1,Prob_illness_Adv_infection),0)</f>
        <v>0</v>
      </c>
      <c r="L12" s="74"/>
      <c r="M12" s="77">
        <f t="shared" ca="1" si="2"/>
        <v>9.2725155241008455E-11</v>
      </c>
      <c r="N12" s="33">
        <f ca="1">INT(M12) + _xll.RiskBinomial(1,M12-INT(M12))</f>
        <v>0</v>
      </c>
      <c r="O12" s="26">
        <f t="shared" ca="1" si="3"/>
        <v>0</v>
      </c>
      <c r="P12" s="31">
        <f ca="1">_xll.RiskBinomial(1,O12)</f>
        <v>0</v>
      </c>
      <c r="Q12" s="78">
        <f ca="1">IF(P12=1,_xll.RiskBinomial(1,Prob_illness_Adv_infection),0)</f>
        <v>0</v>
      </c>
      <c r="R12" s="74"/>
      <c r="S12" s="77">
        <f t="shared" ca="1" si="4"/>
        <v>1.1741677302755536E-9</v>
      </c>
      <c r="T12" s="33">
        <f ca="1">INT(S12) + _xll.RiskBinomial(1,S12-INT(S12))</f>
        <v>0</v>
      </c>
      <c r="U12" s="26">
        <f t="shared" ca="1" si="5"/>
        <v>0</v>
      </c>
      <c r="V12" s="31">
        <f ca="1">_xll.RiskBinomial(1,U12)</f>
        <v>0</v>
      </c>
      <c r="W12" s="78">
        <f ca="1">IF(V12=1,_xll.RiskBinomial(1,Prob_illness_Adv_infection),0)</f>
        <v>0</v>
      </c>
      <c r="X12" s="74"/>
      <c r="Y12" s="77">
        <f t="shared" ca="1" si="6"/>
        <v>9.7660064023198164E-11</v>
      </c>
      <c r="Z12" s="33">
        <f ca="1">INT(Y12) + _xll.RiskBinomial(1,Y12-INT(Y12))</f>
        <v>0</v>
      </c>
      <c r="AA12" s="26">
        <f t="shared" ca="1" si="7"/>
        <v>0</v>
      </c>
      <c r="AB12" s="31">
        <f ca="1">_xll.RiskBinomial(1,AA12)</f>
        <v>0</v>
      </c>
      <c r="AC12" s="78">
        <f ca="1">IF(AB12=1,_xll.RiskBinomial(1,Prob_illness_Adv_infection),0)</f>
        <v>0</v>
      </c>
      <c r="AD12" s="74"/>
      <c r="AE12" s="77">
        <f t="shared" ca="1" si="8"/>
        <v>1.4665881635469187E-10</v>
      </c>
      <c r="AF12" s="33">
        <f ca="1">INT(AE12) + _xll.RiskBinomial(1,AE12-INT(AE12))</f>
        <v>0</v>
      </c>
      <c r="AG12" s="26">
        <f t="shared" ca="1" si="9"/>
        <v>0</v>
      </c>
      <c r="AH12" s="31">
        <f ca="1">_xll.RiskBinomial(1,AG12)</f>
        <v>0</v>
      </c>
      <c r="AI12" s="78">
        <f ca="1">IF(AH12=1,_xll.RiskBinomial(1,Prob_illness_Adv_infection),0)</f>
        <v>0</v>
      </c>
      <c r="AJ12" s="74"/>
      <c r="AK12" s="77">
        <f t="shared" ca="1" si="10"/>
        <v>9.5417495020969664E-10</v>
      </c>
      <c r="AL12" s="33">
        <f ca="1">INT(AK12) + _xll.RiskBinomial(1,AK12-INT(AK12))</f>
        <v>0</v>
      </c>
      <c r="AM12" s="26">
        <f t="shared" ca="1" si="11"/>
        <v>0</v>
      </c>
      <c r="AN12" s="31">
        <f ca="1">_xll.RiskBinomial(1,AM12)</f>
        <v>0</v>
      </c>
      <c r="AO12" s="78">
        <f ca="1">IF(AN12=1,_xll.RiskBinomial(1,Prob_illness_Adv_infection),0)</f>
        <v>0</v>
      </c>
      <c r="AP12" s="74"/>
      <c r="AQ12" s="77">
        <f t="shared" ca="1" si="12"/>
        <v>1.8103958801709966E-9</v>
      </c>
      <c r="AR12" s="33">
        <f ca="1">INT(AQ12) + _xll.RiskBinomial(1,AQ12-INT(AQ12))</f>
        <v>0</v>
      </c>
      <c r="AS12" s="26">
        <f t="shared" ca="1" si="13"/>
        <v>0</v>
      </c>
      <c r="AT12" s="31">
        <f ca="1">_xll.RiskBinomial(1,AS12)</f>
        <v>0</v>
      </c>
      <c r="AU12" s="78">
        <f ca="1">IF(AT12=1,_xll.RiskBinomial(1,Prob_illness_Adv_infection),0)</f>
        <v>0</v>
      </c>
      <c r="AV12" s="74"/>
      <c r="AW12" s="77">
        <f t="shared" ca="1" si="22"/>
        <v>3.1883592239259074E-11</v>
      </c>
      <c r="AX12" s="33">
        <f ca="1">INT(AW12) + _xll.RiskBinomial(1,AW12-INT(AW12))</f>
        <v>0</v>
      </c>
      <c r="AY12" s="26">
        <f t="shared" ca="1" si="14"/>
        <v>0</v>
      </c>
      <c r="AZ12" s="31">
        <f ca="1">_xll.RiskBinomial(1,AY12)</f>
        <v>0</v>
      </c>
      <c r="BA12" s="78">
        <f ca="1">IF(AZ12=1,_xll.RiskBinomial(1,Prob_illness_Adv_infection),0)</f>
        <v>0</v>
      </c>
      <c r="BC12" s="77">
        <f t="shared" ca="1" si="23"/>
        <v>1.6342716103569732E-10</v>
      </c>
      <c r="BD12" s="33">
        <f ca="1">INT(BC12) + _xll.RiskBinomial(1,BC12-INT(BC12))</f>
        <v>0</v>
      </c>
      <c r="BE12" s="26">
        <f t="shared" ca="1" si="15"/>
        <v>0</v>
      </c>
      <c r="BF12" s="31">
        <f ca="1">_xll.RiskBinomial(1,BE12)</f>
        <v>0</v>
      </c>
      <c r="BG12" s="78">
        <f ca="1">IF(BF12=1,_xll.RiskBinomial(1,Prob_illness_Adv_infection),0)</f>
        <v>0</v>
      </c>
      <c r="BI12" s="77">
        <f t="shared" ca="1" si="24"/>
        <v>7.6104996730739421E-11</v>
      </c>
      <c r="BJ12" s="33">
        <f ca="1">INT(BI12) + _xll.RiskBinomial(1,BI12-INT(BI12))</f>
        <v>0</v>
      </c>
      <c r="BK12" s="26">
        <f t="shared" ca="1" si="16"/>
        <v>0</v>
      </c>
      <c r="BL12" s="31">
        <f ca="1">_xll.RiskBinomial(1,BK12)</f>
        <v>0</v>
      </c>
      <c r="BM12" s="78">
        <f ca="1">IF(BL12=1,_xll.RiskBinomial(1,Prob_illness_Adv_infection),0)</f>
        <v>0</v>
      </c>
      <c r="BO12" s="77">
        <f t="shared" ca="1" si="25"/>
        <v>1.6453961344911816E-10</v>
      </c>
      <c r="BP12" s="33">
        <f ca="1">INT(BO12) + _xll.RiskBinomial(1,BO12-INT(BO12))</f>
        <v>0</v>
      </c>
      <c r="BQ12" s="26">
        <f t="shared" ca="1" si="17"/>
        <v>0</v>
      </c>
      <c r="BR12" s="31">
        <f ca="1">_xll.RiskBinomial(1,BQ12)</f>
        <v>0</v>
      </c>
      <c r="BS12" s="78">
        <f ca="1">IF(BR12=1,_xll.RiskBinomial(1,Prob_illness_Adv_infection),0)</f>
        <v>0</v>
      </c>
      <c r="BU12" s="77">
        <f t="shared" ca="1" si="26"/>
        <v>1.1756397364662335E-12</v>
      </c>
      <c r="BV12" s="33">
        <f ca="1">INT(BU12) + _xll.RiskBinomial(1,BU12-INT(BU12))</f>
        <v>0</v>
      </c>
      <c r="BW12" s="26">
        <f t="shared" ca="1" si="18"/>
        <v>0</v>
      </c>
      <c r="BX12" s="31">
        <f ca="1">_xll.RiskBinomial(1,BW12)</f>
        <v>0</v>
      </c>
      <c r="BY12" s="78">
        <f ca="1">IF(BX12=1,_xll.RiskBinomial(1,Prob_illness_Adv_infection),0)</f>
        <v>0</v>
      </c>
      <c r="CA12" s="77">
        <f t="shared" ca="1" si="27"/>
        <v>1.7838724286325369E-10</v>
      </c>
      <c r="CB12" s="33">
        <f ca="1">INT(CA12) + _xll.RiskBinomial(1,CA12-INT(CA12))</f>
        <v>0</v>
      </c>
      <c r="CC12" s="26">
        <f t="shared" ca="1" si="19"/>
        <v>0</v>
      </c>
      <c r="CD12" s="31">
        <f ca="1">_xll.RiskBinomial(1,CC12)</f>
        <v>0</v>
      </c>
      <c r="CE12" s="78">
        <f ca="1">IF(CD12=1,_xll.RiskBinomial(1,Prob_illness_Adv_infection),0)</f>
        <v>0</v>
      </c>
      <c r="CG12" s="77" t="e">
        <f t="shared" ca="1" si="28"/>
        <v>#VALUE!</v>
      </c>
      <c r="CH12" s="33" t="e">
        <f ca="1">INT(CG12) + _xll.RiskBinomial(1,CG12-INT(CG12))</f>
        <v>#VALUE!</v>
      </c>
      <c r="CI12" s="26" t="e">
        <f t="shared" ca="1" si="20"/>
        <v>#VALUE!</v>
      </c>
      <c r="CJ12" s="31" t="e">
        <f ca="1">_xll.RiskBinomial(1,CI12)</f>
        <v>#VALUE!</v>
      </c>
      <c r="CK12" s="78" t="e">
        <f ca="1">IF(CJ12=1,_xll.RiskBinomial(1,Prob_illness_Adv_infection),0)</f>
        <v>#VALUE!</v>
      </c>
    </row>
    <row r="13" spans="2:89" x14ac:dyDescent="0.2">
      <c r="B13" s="97">
        <v>5</v>
      </c>
      <c r="C13" s="100">
        <f ca="1" xml:space="preserve"> _xll.RiskPert(Dur_event_hours_min,Dur_event_hours_mode,Dur_event_hours_max)</f>
        <v>0.6630511123287004</v>
      </c>
      <c r="D13" s="26">
        <f ca="1">_xll.RiskPert(Primary_Ing_Rate_mL_per_hour_min,Primary_Ing_Rate_mL_per_hour_mode,Primary_Ing_Rate_mL_per_hour_max)</f>
        <v>7.6926368027823688</v>
      </c>
      <c r="E13" s="34">
        <f t="shared" ca="1" si="0"/>
        <v>5.1006113888255475</v>
      </c>
      <c r="F13" s="26"/>
      <c r="G13" s="77">
        <f t="shared" ca="1" si="21"/>
        <v>4.6831118995805143E-10</v>
      </c>
      <c r="H13" s="33">
        <f ca="1">INT(G13) + _xll.RiskBinomial(1,G13-INT(G13))</f>
        <v>0</v>
      </c>
      <c r="I13" s="26">
        <f t="shared" ca="1" si="1"/>
        <v>0</v>
      </c>
      <c r="J13" s="31">
        <f ca="1">_xll.RiskBinomial(1,I13)</f>
        <v>0</v>
      </c>
      <c r="K13" s="78">
        <f ca="1">IF(J13=1,_xll.RiskBinomial(1,Prob_illness_Adv_infection),0)</f>
        <v>0</v>
      </c>
      <c r="L13" s="26"/>
      <c r="M13" s="77">
        <f t="shared" ca="1" si="2"/>
        <v>1.163080146417986E-11</v>
      </c>
      <c r="N13" s="33">
        <f ca="1">INT(M13) + _xll.RiskBinomial(1,M13-INT(M13))</f>
        <v>0</v>
      </c>
      <c r="O13" s="26">
        <f t="shared" ca="1" si="3"/>
        <v>0</v>
      </c>
      <c r="P13" s="31">
        <f ca="1">_xll.RiskBinomial(1,O13)</f>
        <v>0</v>
      </c>
      <c r="Q13" s="78">
        <f ca="1">IF(P13=1,_xll.RiskBinomial(1,Prob_illness_Adv_infection),0)</f>
        <v>0</v>
      </c>
      <c r="R13" s="26"/>
      <c r="S13" s="77">
        <f t="shared" ca="1" si="4"/>
        <v>1.4727947039814658E-10</v>
      </c>
      <c r="T13" s="33">
        <f ca="1">INT(S13) + _xll.RiskBinomial(1,S13-INT(S13))</f>
        <v>0</v>
      </c>
      <c r="U13" s="26">
        <f t="shared" ca="1" si="5"/>
        <v>0</v>
      </c>
      <c r="V13" s="31">
        <f ca="1">_xll.RiskBinomial(1,U13)</f>
        <v>0</v>
      </c>
      <c r="W13" s="78">
        <f ca="1">IF(V13=1,_xll.RiskBinomial(1,Prob_illness_Adv_infection),0)</f>
        <v>0</v>
      </c>
      <c r="X13" s="26"/>
      <c r="Y13" s="77">
        <f t="shared" ca="1" si="6"/>
        <v>1.2249802253558985E-11</v>
      </c>
      <c r="Z13" s="33">
        <f ca="1">INT(Y13) + _xll.RiskBinomial(1,Y13-INT(Y13))</f>
        <v>0</v>
      </c>
      <c r="AA13" s="26">
        <f t="shared" ca="1" si="7"/>
        <v>0</v>
      </c>
      <c r="AB13" s="31">
        <f ca="1">_xll.RiskBinomial(1,AA13)</f>
        <v>0</v>
      </c>
      <c r="AC13" s="78">
        <f ca="1">IF(AB13=1,_xll.RiskBinomial(1,Prob_illness_Adv_infection),0)</f>
        <v>0</v>
      </c>
      <c r="AD13" s="26"/>
      <c r="AE13" s="77">
        <f t="shared" ca="1" si="8"/>
        <v>1.8395866489082451E-11</v>
      </c>
      <c r="AF13" s="33">
        <f ca="1">INT(AE13) + _xll.RiskBinomial(1,AE13-INT(AE13))</f>
        <v>0</v>
      </c>
      <c r="AG13" s="26">
        <f t="shared" ca="1" si="9"/>
        <v>0</v>
      </c>
      <c r="AH13" s="31">
        <f ca="1">_xll.RiskBinomial(1,AG13)</f>
        <v>0</v>
      </c>
      <c r="AI13" s="78">
        <f ca="1">IF(AH13=1,_xll.RiskBinomial(1,Prob_illness_Adv_infection),0)</f>
        <v>0</v>
      </c>
      <c r="AJ13" s="26"/>
      <c r="AK13" s="77">
        <f t="shared" ca="1" si="10"/>
        <v>1.1968509924990219E-10</v>
      </c>
      <c r="AL13" s="33">
        <f ca="1">INT(AK13) + _xll.RiskBinomial(1,AK13-INT(AK13))</f>
        <v>0</v>
      </c>
      <c r="AM13" s="26">
        <f t="shared" ca="1" si="11"/>
        <v>0</v>
      </c>
      <c r="AN13" s="31">
        <f ca="1">_xll.RiskBinomial(1,AM13)</f>
        <v>0</v>
      </c>
      <c r="AO13" s="78">
        <f ca="1">IF(AN13=1,_xll.RiskBinomial(1,Prob_illness_Adv_infection),0)</f>
        <v>0</v>
      </c>
      <c r="AP13" s="26"/>
      <c r="AQ13" s="77">
        <f t="shared" ca="1" si="12"/>
        <v>2.2708352441264685E-10</v>
      </c>
      <c r="AR13" s="33">
        <f ca="1">INT(AQ13) + _xll.RiskBinomial(1,AQ13-INT(AQ13))</f>
        <v>0</v>
      </c>
      <c r="AS13" s="26">
        <f t="shared" ca="1" si="13"/>
        <v>0</v>
      </c>
      <c r="AT13" s="31">
        <f ca="1">_xll.RiskBinomial(1,AS13)</f>
        <v>0</v>
      </c>
      <c r="AU13" s="78">
        <f ca="1">IF(AT13=1,_xll.RiskBinomial(1,Prob_illness_Adv_infection),0)</f>
        <v>0</v>
      </c>
      <c r="AV13" s="26"/>
      <c r="AW13" s="77">
        <f t="shared" ca="1" si="22"/>
        <v>3.9992570552816362E-12</v>
      </c>
      <c r="AX13" s="33">
        <f ca="1">INT(AW13) + _xll.RiskBinomial(1,AW13-INT(AW13))</f>
        <v>0</v>
      </c>
      <c r="AY13" s="26">
        <f t="shared" ca="1" si="14"/>
        <v>0</v>
      </c>
      <c r="AZ13" s="31">
        <f ca="1">_xll.RiskBinomial(1,AY13)</f>
        <v>0</v>
      </c>
      <c r="BA13" s="78">
        <f ca="1">IF(AZ13=1,_xll.RiskBinomial(1,Prob_illness_Adv_infection),0)</f>
        <v>0</v>
      </c>
      <c r="BC13" s="77">
        <f t="shared" ca="1" si="23"/>
        <v>2.0499171545415828E-11</v>
      </c>
      <c r="BD13" s="33">
        <f ca="1">INT(BC13) + _xll.RiskBinomial(1,BC13-INT(BC13))</f>
        <v>0</v>
      </c>
      <c r="BE13" s="26">
        <f t="shared" ca="1" si="15"/>
        <v>0</v>
      </c>
      <c r="BF13" s="31">
        <f ca="1">_xll.RiskBinomial(1,BE13)</f>
        <v>0</v>
      </c>
      <c r="BG13" s="78">
        <f ca="1">IF(BF13=1,_xll.RiskBinomial(1,Prob_illness_Adv_infection),0)</f>
        <v>0</v>
      </c>
      <c r="BI13" s="77">
        <f t="shared" ca="1" si="24"/>
        <v>9.5460838550941286E-12</v>
      </c>
      <c r="BJ13" s="33">
        <f ca="1">INT(BI13) + _xll.RiskBinomial(1,BI13-INT(BI13))</f>
        <v>0</v>
      </c>
      <c r="BK13" s="26">
        <f t="shared" ca="1" si="16"/>
        <v>0</v>
      </c>
      <c r="BL13" s="31">
        <f ca="1">_xll.RiskBinomial(1,BK13)</f>
        <v>0</v>
      </c>
      <c r="BM13" s="78">
        <f ca="1">IF(BL13=1,_xll.RiskBinomial(1,Prob_illness_Adv_infection),0)</f>
        <v>0</v>
      </c>
      <c r="BO13" s="77">
        <f t="shared" ca="1" si="25"/>
        <v>2.0638709873771451E-11</v>
      </c>
      <c r="BP13" s="33">
        <f ca="1">INT(BO13) + _xll.RiskBinomial(1,BO13-INT(BO13))</f>
        <v>0</v>
      </c>
      <c r="BQ13" s="26">
        <f t="shared" ca="1" si="17"/>
        <v>0</v>
      </c>
      <c r="BR13" s="31">
        <f ca="1">_xll.RiskBinomial(1,BQ13)</f>
        <v>0</v>
      </c>
      <c r="BS13" s="78">
        <f ca="1">IF(BR13=1,_xll.RiskBinomial(1,Prob_illness_Adv_infection),0)</f>
        <v>0</v>
      </c>
      <c r="BU13" s="77">
        <f t="shared" ca="1" si="26"/>
        <v>1.4746410866284771E-13</v>
      </c>
      <c r="BV13" s="33">
        <f ca="1">INT(BU13) + _xll.RiskBinomial(1,BU13-INT(BU13))</f>
        <v>0</v>
      </c>
      <c r="BW13" s="26">
        <f t="shared" ca="1" si="18"/>
        <v>0</v>
      </c>
      <c r="BX13" s="31">
        <f ca="1">_xll.RiskBinomial(1,BW13)</f>
        <v>0</v>
      </c>
      <c r="BY13" s="78">
        <f ca="1">IF(BX13=1,_xll.RiskBinomial(1,Prob_illness_Adv_infection),0)</f>
        <v>0</v>
      </c>
      <c r="CA13" s="77">
        <f t="shared" ca="1" si="27"/>
        <v>2.237566062943994E-11</v>
      </c>
      <c r="CB13" s="33">
        <f ca="1">INT(CA13) + _xll.RiskBinomial(1,CA13-INT(CA13))</f>
        <v>0</v>
      </c>
      <c r="CC13" s="26">
        <f t="shared" ca="1" si="19"/>
        <v>0</v>
      </c>
      <c r="CD13" s="31">
        <f ca="1">_xll.RiskBinomial(1,CC13)</f>
        <v>0</v>
      </c>
      <c r="CE13" s="78">
        <f ca="1">IF(CD13=1,_xll.RiskBinomial(1,Prob_illness_Adv_infection),0)</f>
        <v>0</v>
      </c>
      <c r="CG13" s="77" t="e">
        <f t="shared" ca="1" si="28"/>
        <v>#VALUE!</v>
      </c>
      <c r="CH13" s="33" t="e">
        <f ca="1">INT(CG13) + _xll.RiskBinomial(1,CG13-INT(CG13))</f>
        <v>#VALUE!</v>
      </c>
      <c r="CI13" s="26" t="e">
        <f t="shared" ca="1" si="20"/>
        <v>#VALUE!</v>
      </c>
      <c r="CJ13" s="31" t="e">
        <f ca="1">_xll.RiskBinomial(1,CI13)</f>
        <v>#VALUE!</v>
      </c>
      <c r="CK13" s="78" t="e">
        <f ca="1">IF(CJ13=1,_xll.RiskBinomial(1,Prob_illness_Adv_infection),0)</f>
        <v>#VALUE!</v>
      </c>
    </row>
    <row r="14" spans="2:89" x14ac:dyDescent="0.2">
      <c r="B14" s="97">
        <v>6</v>
      </c>
      <c r="C14" s="100">
        <f ca="1" xml:space="preserve"> _xll.RiskPert(Dur_event_hours_min,Dur_event_hours_mode,Dur_event_hours_max)</f>
        <v>0.68605596880627218</v>
      </c>
      <c r="D14" s="26">
        <f ca="1">_xll.RiskPert(Primary_Ing_Rate_mL_per_hour_min,Primary_Ing_Rate_mL_per_hour_mode,Primary_Ing_Rate_mL_per_hour_max)</f>
        <v>18.847471766709045</v>
      </c>
      <c r="E14" s="34">
        <f t="shared" ca="1" si="0"/>
        <v>12.930420502458436</v>
      </c>
      <c r="F14" s="26"/>
      <c r="G14" s="77">
        <f t="shared" ca="1" si="21"/>
        <v>1.1872028959960834E-9</v>
      </c>
      <c r="H14" s="33">
        <f ca="1">INT(G14) + _xll.RiskBinomial(1,G14-INT(G14))</f>
        <v>0</v>
      </c>
      <c r="I14" s="26">
        <f t="shared" ca="1" si="1"/>
        <v>0</v>
      </c>
      <c r="J14" s="31">
        <f ca="1">_xll.RiskBinomial(1,I14)</f>
        <v>0</v>
      </c>
      <c r="K14" s="78">
        <f ca="1">IF(J14=1,_xll.RiskBinomial(1,Prob_illness_Adv_infection),0)</f>
        <v>0</v>
      </c>
      <c r="L14" s="26"/>
      <c r="M14" s="77">
        <f t="shared" ca="1" si="2"/>
        <v>2.948492685444195E-11</v>
      </c>
      <c r="N14" s="33">
        <f ca="1">INT(M14) + _xll.RiskBinomial(1,M14-INT(M14))</f>
        <v>0</v>
      </c>
      <c r="O14" s="26">
        <f t="shared" ca="1" si="3"/>
        <v>0</v>
      </c>
      <c r="P14" s="31">
        <f ca="1">_xll.RiskBinomial(1,O14)</f>
        <v>0</v>
      </c>
      <c r="Q14" s="78">
        <f ca="1">IF(P14=1,_xll.RiskBinomial(1,Prob_illness_Adv_infection),0)</f>
        <v>0</v>
      </c>
      <c r="R14" s="26"/>
      <c r="S14" s="77">
        <f t="shared" ca="1" si="4"/>
        <v>3.7336415940245022E-10</v>
      </c>
      <c r="T14" s="33">
        <f ca="1">INT(S14) + _xll.RiskBinomial(1,S14-INT(S14))</f>
        <v>0</v>
      </c>
      <c r="U14" s="26">
        <f t="shared" ca="1" si="5"/>
        <v>0</v>
      </c>
      <c r="V14" s="31">
        <f ca="1">_xll.RiskBinomial(1,U14)</f>
        <v>0</v>
      </c>
      <c r="W14" s="78">
        <f ca="1">IF(V14=1,_xll.RiskBinomial(1,Prob_illness_Adv_infection),0)</f>
        <v>0</v>
      </c>
      <c r="X14" s="26"/>
      <c r="Y14" s="77">
        <f t="shared" ca="1" si="6"/>
        <v>3.1054138834707862E-11</v>
      </c>
      <c r="Z14" s="33">
        <f ca="1">INT(Y14) + _xll.RiskBinomial(1,Y14-INT(Y14))</f>
        <v>0</v>
      </c>
      <c r="AA14" s="26">
        <f t="shared" ca="1" si="7"/>
        <v>0</v>
      </c>
      <c r="AB14" s="31">
        <f ca="1">_xll.RiskBinomial(1,AA14)</f>
        <v>0</v>
      </c>
      <c r="AC14" s="78">
        <f ca="1">IF(AB14=1,_xll.RiskBinomial(1,Prob_illness_Adv_infection),0)</f>
        <v>0</v>
      </c>
      <c r="AD14" s="26"/>
      <c r="AE14" s="77">
        <f t="shared" ca="1" si="8"/>
        <v>4.6634858270527886E-11</v>
      </c>
      <c r="AF14" s="33">
        <f ca="1">INT(AE14) + _xll.RiskBinomial(1,AE14-INT(AE14))</f>
        <v>0</v>
      </c>
      <c r="AG14" s="26">
        <f t="shared" ca="1" si="9"/>
        <v>0</v>
      </c>
      <c r="AH14" s="31">
        <f ca="1">_xll.RiskBinomial(1,AG14)</f>
        <v>0</v>
      </c>
      <c r="AI14" s="78">
        <f ca="1">IF(AH14=1,_xll.RiskBinomial(1,Prob_illness_Adv_infection),0)</f>
        <v>0</v>
      </c>
      <c r="AJ14" s="26"/>
      <c r="AK14" s="77">
        <f t="shared" ca="1" si="10"/>
        <v>3.0341042341907351E-10</v>
      </c>
      <c r="AL14" s="33">
        <f ca="1">INT(AK14) + _xll.RiskBinomial(1,AK14-INT(AK14))</f>
        <v>0</v>
      </c>
      <c r="AM14" s="26">
        <f t="shared" ca="1" si="11"/>
        <v>0</v>
      </c>
      <c r="AN14" s="31">
        <f ca="1">_xll.RiskBinomial(1,AM14)</f>
        <v>0</v>
      </c>
      <c r="AO14" s="78">
        <f ca="1">IF(AN14=1,_xll.RiskBinomial(1,Prob_illness_Adv_infection),0)</f>
        <v>0</v>
      </c>
      <c r="AP14" s="26"/>
      <c r="AQ14" s="77">
        <f t="shared" ca="1" si="12"/>
        <v>5.7567323522600505E-10</v>
      </c>
      <c r="AR14" s="33">
        <f ca="1">INT(AQ14) + _xll.RiskBinomial(1,AQ14-INT(AQ14))</f>
        <v>0</v>
      </c>
      <c r="AS14" s="26">
        <f t="shared" ca="1" si="13"/>
        <v>0</v>
      </c>
      <c r="AT14" s="31">
        <f ca="1">_xll.RiskBinomial(1,AS14)</f>
        <v>0</v>
      </c>
      <c r="AU14" s="78">
        <f ca="1">IF(AT14=1,_xll.RiskBinomial(1,Prob_illness_Adv_infection),0)</f>
        <v>0</v>
      </c>
      <c r="AV14" s="26"/>
      <c r="AW14" s="77">
        <f t="shared" ca="1" si="22"/>
        <v>1.0138407237906099E-11</v>
      </c>
      <c r="AX14" s="33">
        <f ca="1">INT(AW14) + _xll.RiskBinomial(1,AW14-INT(AW14))</f>
        <v>0</v>
      </c>
      <c r="AY14" s="26">
        <f t="shared" ca="1" si="14"/>
        <v>0</v>
      </c>
      <c r="AZ14" s="31">
        <f ca="1">_xll.RiskBinomial(1,AY14)</f>
        <v>0</v>
      </c>
      <c r="BA14" s="78">
        <f ca="1">IF(AZ14=1,_xll.RiskBinomial(1,Prob_illness_Adv_infection),0)</f>
        <v>0</v>
      </c>
      <c r="BC14" s="77">
        <f t="shared" ca="1" si="23"/>
        <v>5.1966889423287361E-11</v>
      </c>
      <c r="BD14" s="33">
        <f ca="1">INT(BC14) + _xll.RiskBinomial(1,BC14-INT(BC14))</f>
        <v>0</v>
      </c>
      <c r="BE14" s="26">
        <f t="shared" ca="1" si="15"/>
        <v>0</v>
      </c>
      <c r="BF14" s="31">
        <f ca="1">_xll.RiskBinomial(1,BE14)</f>
        <v>0</v>
      </c>
      <c r="BG14" s="78">
        <f ca="1">IF(BF14=1,_xll.RiskBinomial(1,Prob_illness_Adv_infection),0)</f>
        <v>0</v>
      </c>
      <c r="BI14" s="77">
        <f t="shared" ca="1" si="24"/>
        <v>2.4200016231097022E-11</v>
      </c>
      <c r="BJ14" s="33">
        <f ca="1">INT(BI14) + _xll.RiskBinomial(1,BI14-INT(BI14))</f>
        <v>0</v>
      </c>
      <c r="BK14" s="26">
        <f t="shared" ca="1" si="16"/>
        <v>0</v>
      </c>
      <c r="BL14" s="31">
        <f ca="1">_xll.RiskBinomial(1,BK14)</f>
        <v>0</v>
      </c>
      <c r="BM14" s="78">
        <f ca="1">IF(BL14=1,_xll.RiskBinomial(1,Prob_illness_Adv_infection),0)</f>
        <v>0</v>
      </c>
      <c r="BO14" s="77">
        <f t="shared" ca="1" si="25"/>
        <v>5.2320629225108209E-11</v>
      </c>
      <c r="BP14" s="33">
        <f ca="1">INT(BO14) + _xll.RiskBinomial(1,BO14-INT(BO14))</f>
        <v>0</v>
      </c>
      <c r="BQ14" s="26">
        <f t="shared" ca="1" si="17"/>
        <v>0</v>
      </c>
      <c r="BR14" s="31">
        <f ca="1">_xll.RiskBinomial(1,BQ14)</f>
        <v>0</v>
      </c>
      <c r="BS14" s="78">
        <f ca="1">IF(BR14=1,_xll.RiskBinomial(1,Prob_illness_Adv_infection),0)</f>
        <v>0</v>
      </c>
      <c r="BU14" s="77">
        <f t="shared" ca="1" si="26"/>
        <v>3.7383223082005718E-13</v>
      </c>
      <c r="BV14" s="33">
        <f ca="1">INT(BU14) + _xll.RiskBinomial(1,BU14-INT(BU14))</f>
        <v>0</v>
      </c>
      <c r="BW14" s="26">
        <f t="shared" ca="1" si="18"/>
        <v>0</v>
      </c>
      <c r="BX14" s="31">
        <f ca="1">_xll.RiskBinomial(1,BW14)</f>
        <v>0</v>
      </c>
      <c r="BY14" s="78">
        <f ca="1">IF(BX14=1,_xll.RiskBinomial(1,Prob_illness_Adv_infection),0)</f>
        <v>0</v>
      </c>
      <c r="CA14" s="77">
        <f t="shared" ca="1" si="27"/>
        <v>5.6723925604844354E-11</v>
      </c>
      <c r="CB14" s="33">
        <f ca="1">INT(CA14) + _xll.RiskBinomial(1,CA14-INT(CA14))</f>
        <v>0</v>
      </c>
      <c r="CC14" s="26">
        <f t="shared" ca="1" si="19"/>
        <v>0</v>
      </c>
      <c r="CD14" s="31">
        <f ca="1">_xll.RiskBinomial(1,CC14)</f>
        <v>0</v>
      </c>
      <c r="CE14" s="78">
        <f ca="1">IF(CD14=1,_xll.RiskBinomial(1,Prob_illness_Adv_infection),0)</f>
        <v>0</v>
      </c>
      <c r="CG14" s="77" t="e">
        <f t="shared" ca="1" si="28"/>
        <v>#VALUE!</v>
      </c>
      <c r="CH14" s="33" t="e">
        <f ca="1">INT(CG14) + _xll.RiskBinomial(1,CG14-INT(CG14))</f>
        <v>#VALUE!</v>
      </c>
      <c r="CI14" s="26" t="e">
        <f t="shared" ca="1" si="20"/>
        <v>#VALUE!</v>
      </c>
      <c r="CJ14" s="31" t="e">
        <f ca="1">_xll.RiskBinomial(1,CI14)</f>
        <v>#VALUE!</v>
      </c>
      <c r="CK14" s="78" t="e">
        <f ca="1">IF(CJ14=1,_xll.RiskBinomial(1,Prob_illness_Adv_infection),0)</f>
        <v>#VALUE!</v>
      </c>
    </row>
    <row r="15" spans="2:89" x14ac:dyDescent="0.2">
      <c r="B15" s="97">
        <v>7</v>
      </c>
      <c r="C15" s="100">
        <f ca="1" xml:space="preserve"> _xll.RiskPert(Dur_event_hours_min,Dur_event_hours_mode,Dur_event_hours_max)</f>
        <v>1.8521761935502543</v>
      </c>
      <c r="D15" s="26">
        <f ca="1">_xll.RiskPert(Primary_Ing_Rate_mL_per_hour_min,Primary_Ing_Rate_mL_per_hour_mode,Primary_Ing_Rate_mL_per_hour_max)</f>
        <v>21.242437002215262</v>
      </c>
      <c r="E15" s="34">
        <f t="shared" ca="1" si="0"/>
        <v>39.344736108494139</v>
      </c>
      <c r="F15" s="26"/>
      <c r="G15" s="77">
        <f t="shared" ca="1" si="21"/>
        <v>3.6124258017227666E-9</v>
      </c>
      <c r="H15" s="33">
        <f ca="1">INT(G15) + _xll.RiskBinomial(1,G15-INT(G15))</f>
        <v>0</v>
      </c>
      <c r="I15" s="26">
        <f t="shared" ca="1" si="1"/>
        <v>0</v>
      </c>
      <c r="J15" s="31">
        <f ca="1">_xll.RiskBinomial(1,I15)</f>
        <v>0</v>
      </c>
      <c r="K15" s="78">
        <f ca="1">IF(J15=1,_xll.RiskBinomial(1,Prob_illness_Adv_infection),0)</f>
        <v>0</v>
      </c>
      <c r="L15" s="26"/>
      <c r="M15" s="77">
        <f t="shared" ca="1" si="2"/>
        <v>8.9716855383450806E-11</v>
      </c>
      <c r="N15" s="33">
        <f ca="1">INT(M15) + _xll.RiskBinomial(1,M15-INT(M15))</f>
        <v>0</v>
      </c>
      <c r="O15" s="26">
        <f t="shared" ca="1" si="3"/>
        <v>0</v>
      </c>
      <c r="P15" s="31">
        <f ca="1">_xll.RiskBinomial(1,O15)</f>
        <v>0</v>
      </c>
      <c r="Q15" s="78">
        <f ca="1">IF(P15=1,_xll.RiskBinomial(1,Prob_illness_Adv_infection),0)</f>
        <v>0</v>
      </c>
      <c r="R15" s="26"/>
      <c r="S15" s="77">
        <f t="shared" ca="1" si="4"/>
        <v>1.1360739831520699E-9</v>
      </c>
      <c r="T15" s="33">
        <f ca="1">INT(S15) + _xll.RiskBinomial(1,S15-INT(S15))</f>
        <v>0</v>
      </c>
      <c r="U15" s="26">
        <f t="shared" ca="1" si="5"/>
        <v>0</v>
      </c>
      <c r="V15" s="31">
        <f ca="1">_xll.RiskBinomial(1,U15)</f>
        <v>0</v>
      </c>
      <c r="W15" s="78">
        <f ca="1">IF(V15=1,_xll.RiskBinomial(1,Prob_illness_Adv_infection),0)</f>
        <v>0</v>
      </c>
      <c r="X15" s="26"/>
      <c r="Y15" s="77">
        <f t="shared" ca="1" si="6"/>
        <v>9.4491659980881442E-11</v>
      </c>
      <c r="Z15" s="33">
        <f ca="1">INT(Y15) + _xll.RiskBinomial(1,Y15-INT(Y15))</f>
        <v>0</v>
      </c>
      <c r="AA15" s="26">
        <f t="shared" ca="1" si="7"/>
        <v>0</v>
      </c>
      <c r="AB15" s="31">
        <f ca="1">_xll.RiskBinomial(1,AA15)</f>
        <v>0</v>
      </c>
      <c r="AC15" s="78">
        <f ca="1">IF(AB15=1,_xll.RiskBinomial(1,Prob_illness_Adv_infection),0)</f>
        <v>0</v>
      </c>
      <c r="AD15" s="26"/>
      <c r="AE15" s="77">
        <f t="shared" ca="1" si="8"/>
        <v>1.4190073646577008E-10</v>
      </c>
      <c r="AF15" s="33">
        <f ca="1">INT(AE15) + _xll.RiskBinomial(1,AE15-INT(AE15))</f>
        <v>0</v>
      </c>
      <c r="AG15" s="26">
        <f t="shared" ca="1" si="9"/>
        <v>0</v>
      </c>
      <c r="AH15" s="31">
        <f ca="1">_xll.RiskBinomial(1,AG15)</f>
        <v>0</v>
      </c>
      <c r="AI15" s="78">
        <f ca="1">IF(AH15=1,_xll.RiskBinomial(1,Prob_illness_Adv_infection),0)</f>
        <v>0</v>
      </c>
      <c r="AJ15" s="26"/>
      <c r="AK15" s="77">
        <f t="shared" ca="1" si="10"/>
        <v>9.2321847071564653E-10</v>
      </c>
      <c r="AL15" s="33">
        <f ca="1">INT(AK15) + _xll.RiskBinomial(1,AK15-INT(AK15))</f>
        <v>0</v>
      </c>
      <c r="AM15" s="26">
        <f t="shared" ca="1" si="11"/>
        <v>0</v>
      </c>
      <c r="AN15" s="31">
        <f ca="1">_xll.RiskBinomial(1,AM15)</f>
        <v>0</v>
      </c>
      <c r="AO15" s="78">
        <f ca="1">IF(AN15=1,_xll.RiskBinomial(1,Prob_illness_Adv_infection),0)</f>
        <v>0</v>
      </c>
      <c r="AP15" s="26"/>
      <c r="AQ15" s="77">
        <f t="shared" ca="1" si="12"/>
        <v>1.7516608621029684E-9</v>
      </c>
      <c r="AR15" s="33">
        <f ca="1">INT(AQ15) + _xll.RiskBinomial(1,AQ15-INT(AQ15))</f>
        <v>0</v>
      </c>
      <c r="AS15" s="26">
        <f t="shared" ca="1" si="13"/>
        <v>0</v>
      </c>
      <c r="AT15" s="31">
        <f ca="1">_xll.RiskBinomial(1,AS15)</f>
        <v>0</v>
      </c>
      <c r="AU15" s="78">
        <f ca="1">IF(AT15=1,_xll.RiskBinomial(1,Prob_illness_Adv_infection),0)</f>
        <v>0</v>
      </c>
      <c r="AV15" s="26"/>
      <c r="AW15" s="77">
        <f t="shared" ca="1" si="22"/>
        <v>3.0849186788629315E-11</v>
      </c>
      <c r="AX15" s="33">
        <f ca="1">INT(AW15) + _xll.RiskBinomial(1,AW15-INT(AW15))</f>
        <v>0</v>
      </c>
      <c r="AY15" s="26">
        <f t="shared" ca="1" si="14"/>
        <v>0</v>
      </c>
      <c r="AZ15" s="31">
        <f ca="1">_xll.RiskBinomial(1,AY15)</f>
        <v>0</v>
      </c>
      <c r="BA15" s="78">
        <f ca="1">IF(AZ15=1,_xll.RiskBinomial(1,Prob_illness_Adv_infection),0)</f>
        <v>0</v>
      </c>
      <c r="BC15" s="77">
        <f t="shared" ca="1" si="23"/>
        <v>1.581250625491875E-10</v>
      </c>
      <c r="BD15" s="33">
        <f ca="1">INT(BC15) + _xll.RiskBinomial(1,BC15-INT(BC15))</f>
        <v>0</v>
      </c>
      <c r="BE15" s="26">
        <f t="shared" ca="1" si="15"/>
        <v>0</v>
      </c>
      <c r="BF15" s="31">
        <f ca="1">_xll.RiskBinomial(1,BE15)</f>
        <v>0</v>
      </c>
      <c r="BG15" s="78">
        <f ca="1">IF(BF15=1,_xll.RiskBinomial(1,Prob_illness_Adv_infection),0)</f>
        <v>0</v>
      </c>
      <c r="BI15" s="77">
        <f t="shared" ca="1" si="24"/>
        <v>7.363590783863201E-11</v>
      </c>
      <c r="BJ15" s="33">
        <f ca="1">INT(BI15) + _xll.RiskBinomial(1,BI15-INT(BI15))</f>
        <v>0</v>
      </c>
      <c r="BK15" s="26">
        <f t="shared" ca="1" si="16"/>
        <v>0</v>
      </c>
      <c r="BL15" s="31">
        <f ca="1">_xll.RiskBinomial(1,BK15)</f>
        <v>0</v>
      </c>
      <c r="BM15" s="78">
        <f ca="1">IF(BL15=1,_xll.RiskBinomial(1,Prob_illness_Adv_infection),0)</f>
        <v>0</v>
      </c>
      <c r="BO15" s="77">
        <f t="shared" ca="1" si="25"/>
        <v>1.5920142345725433E-10</v>
      </c>
      <c r="BP15" s="33">
        <f ca="1">INT(BO15) + _xll.RiskBinomial(1,BO15-INT(BO15))</f>
        <v>0</v>
      </c>
      <c r="BQ15" s="26">
        <f t="shared" ca="1" si="17"/>
        <v>0</v>
      </c>
      <c r="BR15" s="31">
        <f ca="1">_xll.RiskBinomial(1,BQ15)</f>
        <v>0</v>
      </c>
      <c r="BS15" s="78">
        <f ca="1">IF(BR15=1,_xll.RiskBinomial(1,Prob_illness_Adv_infection),0)</f>
        <v>0</v>
      </c>
      <c r="BU15" s="77">
        <f t="shared" ca="1" si="26"/>
        <v>1.1374982327657753E-12</v>
      </c>
      <c r="BV15" s="33">
        <f ca="1">INT(BU15) + _xll.RiskBinomial(1,BU15-INT(BU15))</f>
        <v>0</v>
      </c>
      <c r="BW15" s="26">
        <f t="shared" ca="1" si="18"/>
        <v>0</v>
      </c>
      <c r="BX15" s="31">
        <f ca="1">_xll.RiskBinomial(1,BW15)</f>
        <v>0</v>
      </c>
      <c r="BY15" s="78">
        <f ca="1">IF(BX15=1,_xll.RiskBinomial(1,Prob_illness_Adv_infection),0)</f>
        <v>0</v>
      </c>
      <c r="CA15" s="77">
        <f t="shared" ca="1" si="27"/>
        <v>1.72599791595032E-10</v>
      </c>
      <c r="CB15" s="33">
        <f ca="1">INT(CA15) + _xll.RiskBinomial(1,CA15-INT(CA15))</f>
        <v>0</v>
      </c>
      <c r="CC15" s="26">
        <f t="shared" ca="1" si="19"/>
        <v>0</v>
      </c>
      <c r="CD15" s="31">
        <f ca="1">_xll.RiskBinomial(1,CC15)</f>
        <v>0</v>
      </c>
      <c r="CE15" s="78">
        <f ca="1">IF(CD15=1,_xll.RiskBinomial(1,Prob_illness_Adv_infection),0)</f>
        <v>0</v>
      </c>
      <c r="CG15" s="77" t="e">
        <f t="shared" ca="1" si="28"/>
        <v>#VALUE!</v>
      </c>
      <c r="CH15" s="33" t="e">
        <f ca="1">INT(CG15) + _xll.RiskBinomial(1,CG15-INT(CG15))</f>
        <v>#VALUE!</v>
      </c>
      <c r="CI15" s="26" t="e">
        <f t="shared" ca="1" si="20"/>
        <v>#VALUE!</v>
      </c>
      <c r="CJ15" s="31" t="e">
        <f ca="1">_xll.RiskBinomial(1,CI15)</f>
        <v>#VALUE!</v>
      </c>
      <c r="CK15" s="78" t="e">
        <f ca="1">IF(CJ15=1,_xll.RiskBinomial(1,Prob_illness_Adv_infection),0)</f>
        <v>#VALUE!</v>
      </c>
    </row>
    <row r="16" spans="2:89" x14ac:dyDescent="0.2">
      <c r="B16" s="97">
        <v>8</v>
      </c>
      <c r="C16" s="100">
        <f ca="1" xml:space="preserve"> _xll.RiskPert(Dur_event_hours_min,Dur_event_hours_mode,Dur_event_hours_max)</f>
        <v>1.2506105891526649</v>
      </c>
      <c r="D16" s="26">
        <f ca="1">_xll.RiskPert(Primary_Ing_Rate_mL_per_hour_min,Primary_Ing_Rate_mL_per_hour_mode,Primary_Ing_Rate_mL_per_hour_max)</f>
        <v>18.675306024527973</v>
      </c>
      <c r="E16" s="34">
        <f t="shared" ca="1" si="0"/>
        <v>23.355535469941241</v>
      </c>
      <c r="F16" s="26"/>
      <c r="G16" s="77">
        <f t="shared" ca="1" si="21"/>
        <v>2.144381873905931E-9</v>
      </c>
      <c r="H16" s="33">
        <f ca="1">INT(G16) + _xll.RiskBinomial(1,G16-INT(G16))</f>
        <v>0</v>
      </c>
      <c r="I16" s="26">
        <f t="shared" ca="1" si="1"/>
        <v>0</v>
      </c>
      <c r="J16" s="31">
        <f ca="1">_xll.RiskBinomial(1,I16)</f>
        <v>0</v>
      </c>
      <c r="K16" s="78">
        <f ca="1">IF(J16=1,_xll.RiskBinomial(1,Prob_illness_Adv_infection),0)</f>
        <v>0</v>
      </c>
      <c r="L16" s="26"/>
      <c r="M16" s="77">
        <f t="shared" ca="1" si="2"/>
        <v>5.3257065757963015E-11</v>
      </c>
      <c r="N16" s="33">
        <f ca="1">INT(M16) + _xll.RiskBinomial(1,M16-INT(M16))</f>
        <v>0</v>
      </c>
      <c r="O16" s="26">
        <f t="shared" ca="1" si="3"/>
        <v>0</v>
      </c>
      <c r="P16" s="31">
        <f ca="1">_xll.RiskBinomial(1,O16)</f>
        <v>0</v>
      </c>
      <c r="Q16" s="78">
        <f ca="1">IF(P16=1,_xll.RiskBinomial(1,Prob_illness_Adv_infection),0)</f>
        <v>0</v>
      </c>
      <c r="R16" s="26"/>
      <c r="S16" s="77">
        <f t="shared" ca="1" si="4"/>
        <v>6.7438795717979811E-10</v>
      </c>
      <c r="T16" s="33">
        <f ca="1">INT(S16) + _xll.RiskBinomial(1,S16-INT(S16))</f>
        <v>0</v>
      </c>
      <c r="U16" s="26">
        <f t="shared" ca="1" si="5"/>
        <v>0</v>
      </c>
      <c r="V16" s="31">
        <f ca="1">_xll.RiskBinomial(1,U16)</f>
        <v>0</v>
      </c>
      <c r="W16" s="78">
        <f ca="1">IF(V16=1,_xll.RiskBinomial(1,Prob_illness_Adv_infection),0)</f>
        <v>0</v>
      </c>
      <c r="X16" s="26"/>
      <c r="Y16" s="77">
        <f t="shared" ca="1" si="6"/>
        <v>5.6091450460145673E-11</v>
      </c>
      <c r="Z16" s="33">
        <f ca="1">INT(Y16) + _xll.RiskBinomial(1,Y16-INT(Y16))</f>
        <v>0</v>
      </c>
      <c r="AA16" s="26">
        <f t="shared" ca="1" si="7"/>
        <v>0</v>
      </c>
      <c r="AB16" s="31">
        <f ca="1">_xll.RiskBinomial(1,AA16)</f>
        <v>0</v>
      </c>
      <c r="AC16" s="78">
        <f ca="1">IF(AB16=1,_xll.RiskBinomial(1,Prob_illness_Adv_infection),0)</f>
        <v>0</v>
      </c>
      <c r="AD16" s="26"/>
      <c r="AE16" s="77">
        <f t="shared" ca="1" si="8"/>
        <v>8.4234080884369727E-11</v>
      </c>
      <c r="AF16" s="33">
        <f ca="1">INT(AE16) + _xll.RiskBinomial(1,AE16-INT(AE16))</f>
        <v>0</v>
      </c>
      <c r="AG16" s="26">
        <f t="shared" ca="1" si="9"/>
        <v>0</v>
      </c>
      <c r="AH16" s="31">
        <f ca="1">_xll.RiskBinomial(1,AG16)</f>
        <v>0</v>
      </c>
      <c r="AI16" s="78">
        <f ca="1">IF(AH16=1,_xll.RiskBinomial(1,Prob_illness_Adv_infection),0)</f>
        <v>0</v>
      </c>
      <c r="AJ16" s="26"/>
      <c r="AK16" s="77">
        <f t="shared" ca="1" si="10"/>
        <v>5.4803421936407678E-10</v>
      </c>
      <c r="AL16" s="33">
        <f ca="1">INT(AK16) + _xll.RiskBinomial(1,AK16-INT(AK16))</f>
        <v>0</v>
      </c>
      <c r="AM16" s="26">
        <f t="shared" ca="1" si="11"/>
        <v>0</v>
      </c>
      <c r="AN16" s="31">
        <f ca="1">_xll.RiskBinomial(1,AM16)</f>
        <v>0</v>
      </c>
      <c r="AO16" s="78">
        <f ca="1">IF(AN16=1,_xll.RiskBinomial(1,Prob_illness_Adv_infection),0)</f>
        <v>0</v>
      </c>
      <c r="AP16" s="26"/>
      <c r="AQ16" s="77">
        <f t="shared" ca="1" si="12"/>
        <v>1.0398081533280751E-9</v>
      </c>
      <c r="AR16" s="33">
        <f ca="1">INT(AQ16) + _xll.RiskBinomial(1,AQ16-INT(AQ16))</f>
        <v>0</v>
      </c>
      <c r="AS16" s="26">
        <f t="shared" ca="1" si="13"/>
        <v>0</v>
      </c>
      <c r="AT16" s="31">
        <f ca="1">_xll.RiskBinomial(1,AS16)</f>
        <v>0</v>
      </c>
      <c r="AU16" s="78">
        <f ca="1">IF(AT16=1,_xll.RiskBinomial(1,Prob_illness_Adv_infection),0)</f>
        <v>0</v>
      </c>
      <c r="AV16" s="26"/>
      <c r="AW16" s="77">
        <f t="shared" ca="1" si="22"/>
        <v>1.8312469405662785E-11</v>
      </c>
      <c r="AX16" s="33">
        <f ca="1">INT(AW16) + _xll.RiskBinomial(1,AW16-INT(AW16))</f>
        <v>0</v>
      </c>
      <c r="AY16" s="26">
        <f t="shared" ca="1" si="14"/>
        <v>0</v>
      </c>
      <c r="AZ16" s="31">
        <f ca="1">_xll.RiskBinomial(1,AY16)</f>
        <v>0</v>
      </c>
      <c r="BA16" s="78">
        <f ca="1">IF(AZ16=1,_xll.RiskBinomial(1,Prob_illness_Adv_infection),0)</f>
        <v>0</v>
      </c>
      <c r="BC16" s="77">
        <f t="shared" ca="1" si="23"/>
        <v>9.3865047076956333E-11</v>
      </c>
      <c r="BD16" s="33">
        <f ca="1">INT(BC16) + _xll.RiskBinomial(1,BC16-INT(BC16))</f>
        <v>0</v>
      </c>
      <c r="BE16" s="26">
        <f t="shared" ca="1" si="15"/>
        <v>0</v>
      </c>
      <c r="BF16" s="31">
        <f ca="1">_xll.RiskBinomial(1,BE16)</f>
        <v>0</v>
      </c>
      <c r="BG16" s="78">
        <f ca="1">IF(BF16=1,_xll.RiskBinomial(1,Prob_illness_Adv_infection),0)</f>
        <v>0</v>
      </c>
      <c r="BI16" s="77">
        <f t="shared" ca="1" si="24"/>
        <v>4.3711210888391374E-11</v>
      </c>
      <c r="BJ16" s="33">
        <f ca="1">INT(BI16) + _xll.RiskBinomial(1,BI16-INT(BI16))</f>
        <v>0</v>
      </c>
      <c r="BK16" s="26">
        <f t="shared" ca="1" si="16"/>
        <v>0</v>
      </c>
      <c r="BL16" s="31">
        <f ca="1">_xll.RiskBinomial(1,BK16)</f>
        <v>0</v>
      </c>
      <c r="BM16" s="78">
        <f ca="1">IF(BL16=1,_xll.RiskBinomial(1,Prob_illness_Adv_infection),0)</f>
        <v>0</v>
      </c>
      <c r="BO16" s="77">
        <f t="shared" ca="1" si="25"/>
        <v>9.4503988593745046E-11</v>
      </c>
      <c r="BP16" s="33">
        <f ca="1">INT(BO16) + _xll.RiskBinomial(1,BO16-INT(BO16))</f>
        <v>0</v>
      </c>
      <c r="BQ16" s="26">
        <f t="shared" ca="1" si="17"/>
        <v>0</v>
      </c>
      <c r="BR16" s="31">
        <f ca="1">_xll.RiskBinomial(1,BQ16)</f>
        <v>0</v>
      </c>
      <c r="BS16" s="78">
        <f ca="1">IF(BR16=1,_xll.RiskBinomial(1,Prob_illness_Adv_infection),0)</f>
        <v>0</v>
      </c>
      <c r="BU16" s="77">
        <f t="shared" ca="1" si="26"/>
        <v>6.7523340985431127E-13</v>
      </c>
      <c r="BV16" s="33">
        <f ca="1">INT(BU16) + _xll.RiskBinomial(1,BU16-INT(BU16))</f>
        <v>0</v>
      </c>
      <c r="BW16" s="26">
        <f t="shared" ca="1" si="18"/>
        <v>0</v>
      </c>
      <c r="BX16" s="31">
        <f ca="1">_xll.RiskBinomial(1,BW16)</f>
        <v>0</v>
      </c>
      <c r="BY16" s="78">
        <f ca="1">IF(BX16=1,_xll.RiskBinomial(1,Prob_illness_Adv_infection),0)</f>
        <v>0</v>
      </c>
      <c r="CA16" s="77">
        <f t="shared" ca="1" si="27"/>
        <v>1.0245743022868944E-10</v>
      </c>
      <c r="CB16" s="33">
        <f ca="1">INT(CA16) + _xll.RiskBinomial(1,CA16-INT(CA16))</f>
        <v>0</v>
      </c>
      <c r="CC16" s="26">
        <f t="shared" ca="1" si="19"/>
        <v>0</v>
      </c>
      <c r="CD16" s="31">
        <f ca="1">_xll.RiskBinomial(1,CC16)</f>
        <v>0</v>
      </c>
      <c r="CE16" s="78">
        <f ca="1">IF(CD16=1,_xll.RiskBinomial(1,Prob_illness_Adv_infection),0)</f>
        <v>0</v>
      </c>
      <c r="CG16" s="77" t="e">
        <f t="shared" ca="1" si="28"/>
        <v>#VALUE!</v>
      </c>
      <c r="CH16" s="33" t="e">
        <f ca="1">INT(CG16) + _xll.RiskBinomial(1,CG16-INT(CG16))</f>
        <v>#VALUE!</v>
      </c>
      <c r="CI16" s="26" t="e">
        <f t="shared" ca="1" si="20"/>
        <v>#VALUE!</v>
      </c>
      <c r="CJ16" s="31" t="e">
        <f ca="1">_xll.RiskBinomial(1,CI16)</f>
        <v>#VALUE!</v>
      </c>
      <c r="CK16" s="78" t="e">
        <f ca="1">IF(CJ16=1,_xll.RiskBinomial(1,Prob_illness_Adv_infection),0)</f>
        <v>#VALUE!</v>
      </c>
    </row>
    <row r="17" spans="2:89" x14ac:dyDescent="0.2">
      <c r="B17" s="97">
        <v>9</v>
      </c>
      <c r="C17" s="100">
        <f ca="1" xml:space="preserve"> _xll.RiskPert(Dur_event_hours_min,Dur_event_hours_mode,Dur_event_hours_max)</f>
        <v>0.66338286693593096</v>
      </c>
      <c r="D17" s="26">
        <f ca="1">_xll.RiskPert(Primary_Ing_Rate_mL_per_hour_min,Primary_Ing_Rate_mL_per_hour_mode,Primary_Ing_Rate_mL_per_hour_max)</f>
        <v>23.440628388488317</v>
      </c>
      <c r="E17" s="34">
        <f t="shared" ca="1" si="0"/>
        <v>15.55011126313515</v>
      </c>
      <c r="F17" s="26"/>
      <c r="G17" s="77">
        <f t="shared" ca="1" si="21"/>
        <v>1.4277290611813735E-9</v>
      </c>
      <c r="H17" s="33">
        <f ca="1">INT(G17) + _xll.RiskBinomial(1,G17-INT(G17))</f>
        <v>0</v>
      </c>
      <c r="I17" s="26">
        <f t="shared" ca="1" si="1"/>
        <v>0</v>
      </c>
      <c r="J17" s="31">
        <f ca="1">_xll.RiskBinomial(1,I17)</f>
        <v>0</v>
      </c>
      <c r="K17" s="78">
        <f ca="1">IF(J17=1,_xll.RiskBinomial(1,Prob_illness_Adv_infection),0)</f>
        <v>0</v>
      </c>
      <c r="L17" s="26"/>
      <c r="M17" s="77">
        <f t="shared" ca="1" si="2"/>
        <v>3.5458544684204304E-11</v>
      </c>
      <c r="N17" s="33">
        <f ca="1">INT(M17) + _xll.RiskBinomial(1,M17-INT(M17))</f>
        <v>0</v>
      </c>
      <c r="O17" s="26">
        <f t="shared" ca="1" si="3"/>
        <v>0</v>
      </c>
      <c r="P17" s="31">
        <f ca="1">_xll.RiskBinomial(1,O17)</f>
        <v>0</v>
      </c>
      <c r="Q17" s="78">
        <f ca="1">IF(P17=1,_xll.RiskBinomial(1,Prob_illness_Adv_infection),0)</f>
        <v>0</v>
      </c>
      <c r="R17" s="26"/>
      <c r="S17" s="77">
        <f t="shared" ca="1" si="4"/>
        <v>4.4900737909267323E-10</v>
      </c>
      <c r="T17" s="33">
        <f ca="1">INT(S17) + _xll.RiskBinomial(1,S17-INT(S17))</f>
        <v>0</v>
      </c>
      <c r="U17" s="26">
        <f t="shared" ca="1" si="5"/>
        <v>0</v>
      </c>
      <c r="V17" s="31">
        <f ca="1">_xll.RiskBinomial(1,U17)</f>
        <v>0</v>
      </c>
      <c r="W17" s="78">
        <f ca="1">IF(V17=1,_xll.RiskBinomial(1,Prob_illness_Adv_infection),0)</f>
        <v>0</v>
      </c>
      <c r="X17" s="26"/>
      <c r="Y17" s="77">
        <f t="shared" ca="1" si="6"/>
        <v>3.7345677502811414E-11</v>
      </c>
      <c r="Z17" s="33">
        <f ca="1">INT(Y17) + _xll.RiskBinomial(1,Y17-INT(Y17))</f>
        <v>0</v>
      </c>
      <c r="AA17" s="26">
        <f t="shared" ca="1" si="7"/>
        <v>0</v>
      </c>
      <c r="AB17" s="31">
        <f ca="1">_xll.RiskBinomial(1,AA17)</f>
        <v>0</v>
      </c>
      <c r="AC17" s="78">
        <f ca="1">IF(AB17=1,_xll.RiskBinomial(1,Prob_illness_Adv_infection),0)</f>
        <v>0</v>
      </c>
      <c r="AD17" s="26"/>
      <c r="AE17" s="77">
        <f t="shared" ca="1" si="8"/>
        <v>5.6083035714837772E-11</v>
      </c>
      <c r="AF17" s="33">
        <f ca="1">INT(AE17) + _xll.RiskBinomial(1,AE17-INT(AE17))</f>
        <v>0</v>
      </c>
      <c r="AG17" s="26">
        <f t="shared" ca="1" si="9"/>
        <v>0</v>
      </c>
      <c r="AH17" s="31">
        <f ca="1">_xll.RiskBinomial(1,AG17)</f>
        <v>0</v>
      </c>
      <c r="AI17" s="78">
        <f ca="1">IF(AH17=1,_xll.RiskBinomial(1,Prob_illness_Adv_infection),0)</f>
        <v>0</v>
      </c>
      <c r="AJ17" s="26"/>
      <c r="AK17" s="77">
        <f t="shared" ca="1" si="10"/>
        <v>3.6488108346240588E-10</v>
      </c>
      <c r="AL17" s="33">
        <f ca="1">INT(AK17) + _xll.RiskBinomial(1,AK17-INT(AK17))</f>
        <v>0</v>
      </c>
      <c r="AM17" s="26">
        <f t="shared" ca="1" si="11"/>
        <v>0</v>
      </c>
      <c r="AN17" s="31">
        <f ca="1">_xll.RiskBinomial(1,AM17)</f>
        <v>0</v>
      </c>
      <c r="AO17" s="78">
        <f ca="1">IF(AN17=1,_xll.RiskBinomial(1,Prob_illness_Adv_infection),0)</f>
        <v>0</v>
      </c>
      <c r="AP17" s="26"/>
      <c r="AQ17" s="77">
        <f t="shared" ca="1" si="12"/>
        <v>6.9230407914973583E-10</v>
      </c>
      <c r="AR17" s="33">
        <f ca="1">INT(AQ17) + _xll.RiskBinomial(1,AQ17-INT(AQ17))</f>
        <v>0</v>
      </c>
      <c r="AS17" s="26">
        <f t="shared" ca="1" si="13"/>
        <v>0</v>
      </c>
      <c r="AT17" s="31">
        <f ca="1">_xll.RiskBinomial(1,AS17)</f>
        <v>0</v>
      </c>
      <c r="AU17" s="78">
        <f ca="1">IF(AT17=1,_xll.RiskBinomial(1,Prob_illness_Adv_infection),0)</f>
        <v>0</v>
      </c>
      <c r="AV17" s="26"/>
      <c r="AW17" s="77">
        <f t="shared" ca="1" si="22"/>
        <v>1.2192438795817991E-11</v>
      </c>
      <c r="AX17" s="33">
        <f ca="1">INT(AW17) + _xll.RiskBinomial(1,AW17-INT(AW17))</f>
        <v>0</v>
      </c>
      <c r="AY17" s="26">
        <f t="shared" ca="1" si="14"/>
        <v>0</v>
      </c>
      <c r="AZ17" s="31">
        <f ca="1">_xll.RiskBinomial(1,AY17)</f>
        <v>0</v>
      </c>
      <c r="BA17" s="78">
        <f ca="1">IF(AZ17=1,_xll.RiskBinomial(1,Prob_illness_Adv_infection),0)</f>
        <v>0</v>
      </c>
      <c r="BC17" s="77">
        <f t="shared" ca="1" si="23"/>
        <v>6.24953312521831E-11</v>
      </c>
      <c r="BD17" s="33">
        <f ca="1">INT(BC17) + _xll.RiskBinomial(1,BC17-INT(BC17))</f>
        <v>0</v>
      </c>
      <c r="BE17" s="26">
        <f t="shared" ca="1" si="15"/>
        <v>0</v>
      </c>
      <c r="BF17" s="31">
        <f ca="1">_xll.RiskBinomial(1,BE17)</f>
        <v>0</v>
      </c>
      <c r="BG17" s="78">
        <f ca="1">IF(BF17=1,_xll.RiskBinomial(1,Prob_illness_Adv_infection),0)</f>
        <v>0</v>
      </c>
      <c r="BI17" s="77">
        <f t="shared" ca="1" si="24"/>
        <v>2.9102916250224622E-11</v>
      </c>
      <c r="BJ17" s="33">
        <f ca="1">INT(BI17) + _xll.RiskBinomial(1,BI17-INT(BI17))</f>
        <v>0</v>
      </c>
      <c r="BK17" s="26">
        <f t="shared" ca="1" si="16"/>
        <v>0</v>
      </c>
      <c r="BL17" s="31">
        <f ca="1">_xll.RiskBinomial(1,BK17)</f>
        <v>0</v>
      </c>
      <c r="BM17" s="78">
        <f ca="1">IF(BL17=1,_xll.RiskBinomial(1,Prob_illness_Adv_infection),0)</f>
        <v>0</v>
      </c>
      <c r="BO17" s="77">
        <f t="shared" ca="1" si="25"/>
        <v>6.2920738397717745E-11</v>
      </c>
      <c r="BP17" s="33">
        <f ca="1">INT(BO17) + _xll.RiskBinomial(1,BO17-INT(BO17))</f>
        <v>0</v>
      </c>
      <c r="BQ17" s="26">
        <f t="shared" ca="1" si="17"/>
        <v>0</v>
      </c>
      <c r="BR17" s="31">
        <f ca="1">_xll.RiskBinomial(1,BQ17)</f>
        <v>0</v>
      </c>
      <c r="BS17" s="78">
        <f ca="1">IF(BR17=1,_xll.RiskBinomial(1,Prob_illness_Adv_infection),0)</f>
        <v>0</v>
      </c>
      <c r="BU17" s="77">
        <f t="shared" ca="1" si="26"/>
        <v>4.4957028132941785E-13</v>
      </c>
      <c r="BV17" s="33">
        <f ca="1">INT(BU17) + _xll.RiskBinomial(1,BU17-INT(BU17))</f>
        <v>0</v>
      </c>
      <c r="BW17" s="26">
        <f t="shared" ca="1" si="18"/>
        <v>0</v>
      </c>
      <c r="BX17" s="31">
        <f ca="1">_xll.RiskBinomial(1,BW17)</f>
        <v>0</v>
      </c>
      <c r="BY17" s="78">
        <f ca="1">IF(BX17=1,_xll.RiskBinomial(1,Prob_illness_Adv_infection),0)</f>
        <v>0</v>
      </c>
      <c r="CA17" s="77">
        <f t="shared" ca="1" si="27"/>
        <v>6.821613839004119E-11</v>
      </c>
      <c r="CB17" s="33">
        <f ca="1">INT(CA17) + _xll.RiskBinomial(1,CA17-INT(CA17))</f>
        <v>0</v>
      </c>
      <c r="CC17" s="26">
        <f t="shared" ca="1" si="19"/>
        <v>0</v>
      </c>
      <c r="CD17" s="31">
        <f ca="1">_xll.RiskBinomial(1,CC17)</f>
        <v>0</v>
      </c>
      <c r="CE17" s="78">
        <f ca="1">IF(CD17=1,_xll.RiskBinomial(1,Prob_illness_Adv_infection),0)</f>
        <v>0</v>
      </c>
      <c r="CG17" s="77" t="e">
        <f t="shared" ca="1" si="28"/>
        <v>#VALUE!</v>
      </c>
      <c r="CH17" s="33" t="e">
        <f ca="1">INT(CG17) + _xll.RiskBinomial(1,CG17-INT(CG17))</f>
        <v>#VALUE!</v>
      </c>
      <c r="CI17" s="26" t="e">
        <f t="shared" ca="1" si="20"/>
        <v>#VALUE!</v>
      </c>
      <c r="CJ17" s="31" t="e">
        <f ca="1">_xll.RiskBinomial(1,CI17)</f>
        <v>#VALUE!</v>
      </c>
      <c r="CK17" s="78" t="e">
        <f ca="1">IF(CJ17=1,_xll.RiskBinomial(1,Prob_illness_Adv_infection),0)</f>
        <v>#VALUE!</v>
      </c>
    </row>
    <row r="18" spans="2:89" x14ac:dyDescent="0.2">
      <c r="B18" s="97">
        <v>10</v>
      </c>
      <c r="C18" s="100">
        <f ca="1" xml:space="preserve"> _xll.RiskPert(Dur_event_hours_min,Dur_event_hours_mode,Dur_event_hours_max)</f>
        <v>1.8690070217302277</v>
      </c>
      <c r="D18" s="26">
        <f ca="1">_xll.RiskPert(Primary_Ing_Rate_mL_per_hour_min,Primary_Ing_Rate_mL_per_hour_mode,Primary_Ing_Rate_mL_per_hour_max)</f>
        <v>17.262051200537371</v>
      </c>
      <c r="E18" s="34">
        <f t="shared" ca="1" si="0"/>
        <v>32.262894903271054</v>
      </c>
      <c r="F18" s="26"/>
      <c r="G18" s="77">
        <f t="shared" ca="1" si="21"/>
        <v>2.9622085573395138E-9</v>
      </c>
      <c r="H18" s="33">
        <f ca="1">INT(G18) + _xll.RiskBinomial(1,G18-INT(G18))</f>
        <v>0</v>
      </c>
      <c r="I18" s="26">
        <f t="shared" ca="1" si="1"/>
        <v>0</v>
      </c>
      <c r="J18" s="31">
        <f ca="1">_xll.RiskBinomial(1,I18)</f>
        <v>0</v>
      </c>
      <c r="K18" s="78">
        <f ca="1">IF(J18=1,_xll.RiskBinomial(1,Prob_illness_Adv_infection),0)</f>
        <v>0</v>
      </c>
      <c r="L18" s="26"/>
      <c r="M18" s="77">
        <f t="shared" ca="1" si="2"/>
        <v>7.3568303223753022E-11</v>
      </c>
      <c r="N18" s="33">
        <f ca="1">INT(M18) + _xll.RiskBinomial(1,M18-INT(M18))</f>
        <v>0</v>
      </c>
      <c r="O18" s="26">
        <f t="shared" ca="1" si="3"/>
        <v>0</v>
      </c>
      <c r="P18" s="31">
        <f ca="1">_xll.RiskBinomial(1,O18)</f>
        <v>0</v>
      </c>
      <c r="Q18" s="78">
        <f ca="1">IF(P18=1,_xll.RiskBinomial(1,Prob_illness_Adv_infection),0)</f>
        <v>0</v>
      </c>
      <c r="R18" s="26"/>
      <c r="S18" s="77">
        <f t="shared" ca="1" si="4"/>
        <v>9.3158676727946683E-10</v>
      </c>
      <c r="T18" s="33">
        <f ca="1">INT(S18) + _xll.RiskBinomial(1,S18-INT(S18))</f>
        <v>0</v>
      </c>
      <c r="U18" s="26">
        <f t="shared" ca="1" si="5"/>
        <v>0</v>
      </c>
      <c r="V18" s="31">
        <f ca="1">_xll.RiskBinomial(1,U18)</f>
        <v>0</v>
      </c>
      <c r="W18" s="78">
        <f ca="1">IF(V18=1,_xll.RiskBinomial(1,Prob_illness_Adv_infection),0)</f>
        <v>0</v>
      </c>
      <c r="X18" s="26"/>
      <c r="Y18" s="77">
        <f t="shared" ca="1" si="6"/>
        <v>7.7483668635933338E-11</v>
      </c>
      <c r="Z18" s="33">
        <f ca="1">INT(Y18) + _xll.RiskBinomial(1,Y18-INT(Y18))</f>
        <v>0</v>
      </c>
      <c r="AA18" s="26">
        <f t="shared" ca="1" si="7"/>
        <v>0</v>
      </c>
      <c r="AB18" s="31">
        <f ca="1">_xll.RiskBinomial(1,AA18)</f>
        <v>0</v>
      </c>
      <c r="AC18" s="78">
        <f ca="1">IF(AB18=1,_xll.RiskBinomial(1,Prob_illness_Adv_infection),0)</f>
        <v>0</v>
      </c>
      <c r="AD18" s="26"/>
      <c r="AE18" s="77">
        <f t="shared" ca="1" si="8"/>
        <v>1.1635936595603523E-10</v>
      </c>
      <c r="AF18" s="33">
        <f ca="1">INT(AE18) + _xll.RiskBinomial(1,AE18-INT(AE18))</f>
        <v>0</v>
      </c>
      <c r="AG18" s="26">
        <f t="shared" ca="1" si="9"/>
        <v>0</v>
      </c>
      <c r="AH18" s="31">
        <f ca="1">_xll.RiskBinomial(1,AG18)</f>
        <v>0</v>
      </c>
      <c r="AI18" s="78">
        <f ca="1">IF(AH18=1,_xll.RiskBinomial(1,Prob_illness_Adv_infection),0)</f>
        <v>0</v>
      </c>
      <c r="AJ18" s="26"/>
      <c r="AK18" s="77">
        <f t="shared" ca="1" si="10"/>
        <v>7.5704410397677292E-10</v>
      </c>
      <c r="AL18" s="33">
        <f ca="1">INT(AK18) + _xll.RiskBinomial(1,AK18-INT(AK18))</f>
        <v>0</v>
      </c>
      <c r="AM18" s="26">
        <f t="shared" ca="1" si="11"/>
        <v>0</v>
      </c>
      <c r="AN18" s="31">
        <f ca="1">_xll.RiskBinomial(1,AM18)</f>
        <v>0</v>
      </c>
      <c r="AO18" s="78">
        <f ca="1">IF(AN18=1,_xll.RiskBinomial(1,Prob_illness_Adv_infection),0)</f>
        <v>0</v>
      </c>
      <c r="AP18" s="26"/>
      <c r="AQ18" s="77">
        <f t="shared" ca="1" si="12"/>
        <v>1.4363713139252827E-9</v>
      </c>
      <c r="AR18" s="33">
        <f ca="1">INT(AQ18) + _xll.RiskBinomial(1,AQ18-INT(AQ18))</f>
        <v>0</v>
      </c>
      <c r="AS18" s="26">
        <f t="shared" ca="1" si="13"/>
        <v>0</v>
      </c>
      <c r="AT18" s="31">
        <f ca="1">_xll.RiskBinomial(1,AS18)</f>
        <v>0</v>
      </c>
      <c r="AU18" s="78">
        <f ca="1">IF(AT18=1,_xll.RiskBinomial(1,Prob_illness_Adv_infection),0)</f>
        <v>0</v>
      </c>
      <c r="AV18" s="26"/>
      <c r="AW18" s="77">
        <f t="shared" ca="1" si="22"/>
        <v>2.5296498837059263E-11</v>
      </c>
      <c r="AX18" s="33">
        <f ca="1">INT(AW18) + _xll.RiskBinomial(1,AW18-INT(AW18))</f>
        <v>0</v>
      </c>
      <c r="AY18" s="26">
        <f t="shared" ca="1" si="14"/>
        <v>0</v>
      </c>
      <c r="AZ18" s="31">
        <f ca="1">_xll.RiskBinomial(1,AY18)</f>
        <v>0</v>
      </c>
      <c r="BA18" s="78">
        <f ca="1">IF(AZ18=1,_xll.RiskBinomial(1,Prob_illness_Adv_infection),0)</f>
        <v>0</v>
      </c>
      <c r="BC18" s="77">
        <f t="shared" ca="1" si="23"/>
        <v>1.2966340047445937E-10</v>
      </c>
      <c r="BD18" s="33">
        <f ca="1">INT(BC18) + _xll.RiskBinomial(1,BC18-INT(BC18))</f>
        <v>0</v>
      </c>
      <c r="BE18" s="26">
        <f t="shared" ca="1" si="15"/>
        <v>0</v>
      </c>
      <c r="BF18" s="31">
        <f ca="1">_xll.RiskBinomial(1,BE18)</f>
        <v>0</v>
      </c>
      <c r="BG18" s="78">
        <f ca="1">IF(BF18=1,_xll.RiskBinomial(1,Prob_illness_Adv_infection),0)</f>
        <v>0</v>
      </c>
      <c r="BI18" s="77">
        <f t="shared" ca="1" si="24"/>
        <v>6.0381839876970124E-11</v>
      </c>
      <c r="BJ18" s="33">
        <f ca="1">INT(BI18) + _xll.RiskBinomial(1,BI18-INT(BI18))</f>
        <v>0</v>
      </c>
      <c r="BK18" s="26">
        <f t="shared" ca="1" si="16"/>
        <v>0</v>
      </c>
      <c r="BL18" s="31">
        <f ca="1">_xll.RiskBinomial(1,BK18)</f>
        <v>0</v>
      </c>
      <c r="BM18" s="78">
        <f ca="1">IF(BL18=1,_xll.RiskBinomial(1,Prob_illness_Adv_infection),0)</f>
        <v>0</v>
      </c>
      <c r="BO18" s="77">
        <f t="shared" ca="1" si="25"/>
        <v>1.305460221994899E-10</v>
      </c>
      <c r="BP18" s="33">
        <f ca="1">INT(BO18) + _xll.RiskBinomial(1,BO18-INT(BO18))</f>
        <v>0</v>
      </c>
      <c r="BQ18" s="26">
        <f t="shared" ca="1" si="17"/>
        <v>0</v>
      </c>
      <c r="BR18" s="31">
        <f ca="1">_xll.RiskBinomial(1,BQ18)</f>
        <v>0</v>
      </c>
      <c r="BS18" s="78">
        <f ca="1">IF(BR18=1,_xll.RiskBinomial(1,Prob_illness_Adv_infection),0)</f>
        <v>0</v>
      </c>
      <c r="BU18" s="77">
        <f t="shared" ca="1" si="26"/>
        <v>9.3275465961139897E-13</v>
      </c>
      <c r="BV18" s="33">
        <f ca="1">INT(BU18) + _xll.RiskBinomial(1,BU18-INT(BU18))</f>
        <v>0</v>
      </c>
      <c r="BW18" s="26">
        <f t="shared" ca="1" si="18"/>
        <v>0</v>
      </c>
      <c r="BX18" s="31">
        <f ca="1">_xll.RiskBinomial(1,BW18)</f>
        <v>0</v>
      </c>
      <c r="BY18" s="78">
        <f ca="1">IF(BX18=1,_xll.RiskBinomial(1,Prob_illness_Adv_infection),0)</f>
        <v>0</v>
      </c>
      <c r="CA18" s="77">
        <f t="shared" ca="1" si="27"/>
        <v>1.4153275602615632E-10</v>
      </c>
      <c r="CB18" s="33">
        <f ca="1">INT(CA18) + _xll.RiskBinomial(1,CA18-INT(CA18))</f>
        <v>0</v>
      </c>
      <c r="CC18" s="26">
        <f t="shared" ca="1" si="19"/>
        <v>0</v>
      </c>
      <c r="CD18" s="31">
        <f ca="1">_xll.RiskBinomial(1,CC18)</f>
        <v>0</v>
      </c>
      <c r="CE18" s="78">
        <f ca="1">IF(CD18=1,_xll.RiskBinomial(1,Prob_illness_Adv_infection),0)</f>
        <v>0</v>
      </c>
      <c r="CG18" s="77" t="e">
        <f t="shared" ca="1" si="28"/>
        <v>#VALUE!</v>
      </c>
      <c r="CH18" s="33" t="e">
        <f ca="1">INT(CG18) + _xll.RiskBinomial(1,CG18-INT(CG18))</f>
        <v>#VALUE!</v>
      </c>
      <c r="CI18" s="26" t="e">
        <f t="shared" ca="1" si="20"/>
        <v>#VALUE!</v>
      </c>
      <c r="CJ18" s="31" t="e">
        <f ca="1">_xll.RiskBinomial(1,CI18)</f>
        <v>#VALUE!</v>
      </c>
      <c r="CK18" s="78" t="e">
        <f ca="1">IF(CJ18=1,_xll.RiskBinomial(1,Prob_illness_Adv_infection),0)</f>
        <v>#VALUE!</v>
      </c>
    </row>
    <row r="19" spans="2:89" x14ac:dyDescent="0.2">
      <c r="B19" s="97">
        <v>11</v>
      </c>
      <c r="C19" s="100">
        <f ca="1" xml:space="preserve"> _xll.RiskPert(Dur_event_hours_min,Dur_event_hours_mode,Dur_event_hours_max)</f>
        <v>0.95687306503588698</v>
      </c>
      <c r="D19" s="26">
        <f ca="1">_xll.RiskPert(Primary_Ing_Rate_mL_per_hour_min,Primary_Ing_Rate_mL_per_hour_mode,Primary_Ing_Rate_mL_per_hour_max)</f>
        <v>27.303174980758275</v>
      </c>
      <c r="E19" s="34">
        <f t="shared" ca="1" si="0"/>
        <v>26.125672729049317</v>
      </c>
      <c r="F19" s="26"/>
      <c r="G19" s="77">
        <f t="shared" ca="1" si="21"/>
        <v>2.3987212417319407E-9</v>
      </c>
      <c r="H19" s="33">
        <f ca="1">INT(G19) + _xll.RiskBinomial(1,G19-INT(G19))</f>
        <v>0</v>
      </c>
      <c r="I19" s="26">
        <f t="shared" ca="1" si="1"/>
        <v>0</v>
      </c>
      <c r="J19" s="31">
        <f ca="1">_xll.RiskBinomial(1,I19)</f>
        <v>0</v>
      </c>
      <c r="K19" s="78">
        <f ca="1">IF(J19=1,_xll.RiskBinomial(1,Prob_illness_Adv_infection),0)</f>
        <v>0</v>
      </c>
      <c r="L19" s="26"/>
      <c r="M19" s="77">
        <f t="shared" ca="1" si="2"/>
        <v>5.9573743119386554E-11</v>
      </c>
      <c r="N19" s="33">
        <f ca="1">INT(M19) + _xll.RiskBinomial(1,M19-INT(M19))</f>
        <v>0</v>
      </c>
      <c r="O19" s="26">
        <f t="shared" ca="1" si="3"/>
        <v>0</v>
      </c>
      <c r="P19" s="31">
        <f ca="1">_xll.RiskBinomial(1,O19)</f>
        <v>0</v>
      </c>
      <c r="Q19" s="78">
        <f ca="1">IF(P19=1,_xll.RiskBinomial(1,Prob_illness_Adv_infection),0)</f>
        <v>0</v>
      </c>
      <c r="R19" s="26"/>
      <c r="S19" s="77">
        <f t="shared" ca="1" si="4"/>
        <v>7.5437529935321382E-10</v>
      </c>
      <c r="T19" s="33">
        <f ca="1">INT(S19) + _xll.RiskBinomial(1,S19-INT(S19))</f>
        <v>0</v>
      </c>
      <c r="U19" s="26">
        <f t="shared" ca="1" si="5"/>
        <v>0</v>
      </c>
      <c r="V19" s="31">
        <f ca="1">_xll.RiskBinomial(1,U19)</f>
        <v>0</v>
      </c>
      <c r="W19" s="78">
        <f ca="1">IF(V19=1,_xll.RiskBinomial(1,Prob_illness_Adv_infection),0)</f>
        <v>0</v>
      </c>
      <c r="X19" s="26"/>
      <c r="Y19" s="77">
        <f t="shared" ca="1" si="6"/>
        <v>6.2744306569441098E-11</v>
      </c>
      <c r="Z19" s="33">
        <f ca="1">INT(Y19) + _xll.RiskBinomial(1,Y19-INT(Y19))</f>
        <v>0</v>
      </c>
      <c r="AA19" s="26">
        <f t="shared" ca="1" si="7"/>
        <v>0</v>
      </c>
      <c r="AB19" s="31">
        <f ca="1">_xll.RiskBinomial(1,AA19)</f>
        <v>0</v>
      </c>
      <c r="AC19" s="78">
        <f ca="1">IF(AB19=1,_xll.RiskBinomial(1,Prob_illness_Adv_infection),0)</f>
        <v>0</v>
      </c>
      <c r="AD19" s="26"/>
      <c r="AE19" s="77">
        <f t="shared" ca="1" si="8"/>
        <v>9.4224858712813288E-11</v>
      </c>
      <c r="AF19" s="33">
        <f ca="1">INT(AE19) + _xll.RiskBinomial(1,AE19-INT(AE19))</f>
        <v>0</v>
      </c>
      <c r="AG19" s="26">
        <f t="shared" ca="1" si="9"/>
        <v>0</v>
      </c>
      <c r="AH19" s="31">
        <f ca="1">_xll.RiskBinomial(1,AG19)</f>
        <v>0</v>
      </c>
      <c r="AI19" s="78">
        <f ca="1">IF(AH19=1,_xll.RiskBinomial(1,Prob_illness_Adv_infection),0)</f>
        <v>0</v>
      </c>
      <c r="AJ19" s="26"/>
      <c r="AK19" s="77">
        <f t="shared" ca="1" si="10"/>
        <v>6.1303508446008299E-10</v>
      </c>
      <c r="AL19" s="33">
        <f ca="1">INT(AK19) + _xll.RiskBinomial(1,AK19-INT(AK19))</f>
        <v>0</v>
      </c>
      <c r="AM19" s="26">
        <f t="shared" ca="1" si="11"/>
        <v>0</v>
      </c>
      <c r="AN19" s="31">
        <f ca="1">_xll.RiskBinomial(1,AM19)</f>
        <v>0</v>
      </c>
      <c r="AO19" s="78">
        <f ca="1">IF(AN19=1,_xll.RiskBinomial(1,Prob_illness_Adv_infection),0)</f>
        <v>0</v>
      </c>
      <c r="AP19" s="26"/>
      <c r="AQ19" s="77">
        <f t="shared" ca="1" si="12"/>
        <v>1.1631370023525633E-9</v>
      </c>
      <c r="AR19" s="33">
        <f ca="1">INT(AQ19) + _xll.RiskBinomial(1,AQ19-INT(AQ19))</f>
        <v>0</v>
      </c>
      <c r="AS19" s="26">
        <f t="shared" ca="1" si="13"/>
        <v>0</v>
      </c>
      <c r="AT19" s="31">
        <f ca="1">_xll.RiskBinomial(1,AS19)</f>
        <v>0</v>
      </c>
      <c r="AU19" s="78">
        <f ca="1">IF(AT19=1,_xll.RiskBinomial(1,Prob_illness_Adv_infection),0)</f>
        <v>0</v>
      </c>
      <c r="AV19" s="26"/>
      <c r="AW19" s="77">
        <f t="shared" ca="1" si="22"/>
        <v>2.0484462159679948E-11</v>
      </c>
      <c r="AX19" s="33">
        <f ca="1">INT(AW19) + _xll.RiskBinomial(1,AW19-INT(AW19))</f>
        <v>0</v>
      </c>
      <c r="AY19" s="26">
        <f t="shared" ca="1" si="14"/>
        <v>0</v>
      </c>
      <c r="AZ19" s="31">
        <f ca="1">_xll.RiskBinomial(1,AY19)</f>
        <v>0</v>
      </c>
      <c r="BA19" s="78">
        <f ca="1">IF(AZ19=1,_xll.RiskBinomial(1,Prob_illness_Adv_infection),0)</f>
        <v>0</v>
      </c>
      <c r="BC19" s="77">
        <f t="shared" ca="1" si="23"/>
        <v>1.0499812790785644E-10</v>
      </c>
      <c r="BD19" s="33">
        <f ca="1">INT(BC19) + _xll.RiskBinomial(1,BC19-INT(BC19))</f>
        <v>0</v>
      </c>
      <c r="BE19" s="26">
        <f t="shared" ca="1" si="15"/>
        <v>0</v>
      </c>
      <c r="BF19" s="31">
        <f ca="1">_xll.RiskBinomial(1,BE19)</f>
        <v>0</v>
      </c>
      <c r="BG19" s="78">
        <f ca="1">IF(BF19=1,_xll.RiskBinomial(1,Prob_illness_Adv_infection),0)</f>
        <v>0</v>
      </c>
      <c r="BI19" s="77">
        <f t="shared" ca="1" si="24"/>
        <v>4.8895680072517006E-11</v>
      </c>
      <c r="BJ19" s="33">
        <f ca="1">INT(BI19) + _xll.RiskBinomial(1,BI19-INT(BI19))</f>
        <v>0</v>
      </c>
      <c r="BK19" s="26">
        <f t="shared" ca="1" si="16"/>
        <v>0</v>
      </c>
      <c r="BL19" s="31">
        <f ca="1">_xll.RiskBinomial(1,BK19)</f>
        <v>0</v>
      </c>
      <c r="BM19" s="78">
        <f ca="1">IF(BL19=1,_xll.RiskBinomial(1,Prob_illness_Adv_infection),0)</f>
        <v>0</v>
      </c>
      <c r="BO19" s="77">
        <f t="shared" ca="1" si="25"/>
        <v>1.0571285255983918E-10</v>
      </c>
      <c r="BP19" s="33">
        <f ca="1">INT(BO19) + _xll.RiskBinomial(1,BO19-INT(BO19))</f>
        <v>0</v>
      </c>
      <c r="BQ19" s="26">
        <f t="shared" ca="1" si="17"/>
        <v>0</v>
      </c>
      <c r="BR19" s="31">
        <f ca="1">_xll.RiskBinomial(1,BQ19)</f>
        <v>0</v>
      </c>
      <c r="BS19" s="78">
        <f ca="1">IF(BR19=1,_xll.RiskBinomial(1,Prob_illness_Adv_infection),0)</f>
        <v>0</v>
      </c>
      <c r="BU19" s="77">
        <f t="shared" ca="1" si="26"/>
        <v>7.5532102889603083E-13</v>
      </c>
      <c r="BV19" s="33">
        <f ca="1">INT(BU19) + _xll.RiskBinomial(1,BU19-INT(BU19))</f>
        <v>0</v>
      </c>
      <c r="BW19" s="26">
        <f t="shared" ca="1" si="18"/>
        <v>0</v>
      </c>
      <c r="BX19" s="31">
        <f ca="1">_xll.RiskBinomial(1,BW19)</f>
        <v>0</v>
      </c>
      <c r="BY19" s="78">
        <f ca="1">IF(BX19=1,_xll.RiskBinomial(1,Prob_illness_Adv_infection),0)</f>
        <v>0</v>
      </c>
      <c r="CA19" s="77">
        <f t="shared" ca="1" si="27"/>
        <v>1.1460963052031789E-10</v>
      </c>
      <c r="CB19" s="33">
        <f ca="1">INT(CA19) + _xll.RiskBinomial(1,CA19-INT(CA19))</f>
        <v>0</v>
      </c>
      <c r="CC19" s="26">
        <f t="shared" ca="1" si="19"/>
        <v>0</v>
      </c>
      <c r="CD19" s="31">
        <f ca="1">_xll.RiskBinomial(1,CC19)</f>
        <v>0</v>
      </c>
      <c r="CE19" s="78">
        <f ca="1">IF(CD19=1,_xll.RiskBinomial(1,Prob_illness_Adv_infection),0)</f>
        <v>0</v>
      </c>
      <c r="CG19" s="77" t="e">
        <f t="shared" ca="1" si="28"/>
        <v>#VALUE!</v>
      </c>
      <c r="CH19" s="33" t="e">
        <f ca="1">INT(CG19) + _xll.RiskBinomial(1,CG19-INT(CG19))</f>
        <v>#VALUE!</v>
      </c>
      <c r="CI19" s="26" t="e">
        <f t="shared" ca="1" si="20"/>
        <v>#VALUE!</v>
      </c>
      <c r="CJ19" s="31" t="e">
        <f ca="1">_xll.RiskBinomial(1,CI19)</f>
        <v>#VALUE!</v>
      </c>
      <c r="CK19" s="78" t="e">
        <f ca="1">IF(CJ19=1,_xll.RiskBinomial(1,Prob_illness_Adv_infection),0)</f>
        <v>#VALUE!</v>
      </c>
    </row>
    <row r="20" spans="2:89" x14ac:dyDescent="0.2">
      <c r="B20" s="97">
        <v>12</v>
      </c>
      <c r="C20" s="100">
        <f ca="1" xml:space="preserve"> _xll.RiskPert(Dur_event_hours_min,Dur_event_hours_mode,Dur_event_hours_max)</f>
        <v>1.4765303615921042</v>
      </c>
      <c r="D20" s="26">
        <f ca="1">_xll.RiskPert(Primary_Ing_Rate_mL_per_hour_min,Primary_Ing_Rate_mL_per_hour_mode,Primary_Ing_Rate_mL_per_hour_max)</f>
        <v>17.363579047825478</v>
      </c>
      <c r="E20" s="34">
        <f t="shared" ca="1" si="0"/>
        <v>25.637851650018838</v>
      </c>
      <c r="F20" s="26"/>
      <c r="G20" s="77">
        <f t="shared" ca="1" si="21"/>
        <v>2.3539320875321372E-9</v>
      </c>
      <c r="H20" s="33">
        <f ca="1">INT(G20) + _xll.RiskBinomial(1,G20-INT(G20))</f>
        <v>0</v>
      </c>
      <c r="I20" s="26">
        <f t="shared" ca="1" si="1"/>
        <v>0</v>
      </c>
      <c r="J20" s="31">
        <f ca="1">_xll.RiskBinomial(1,I20)</f>
        <v>0</v>
      </c>
      <c r="K20" s="78">
        <f ca="1">IF(J20=1,_xll.RiskBinomial(1,Prob_illness_Adv_infection),0)</f>
        <v>0</v>
      </c>
      <c r="L20" s="26"/>
      <c r="M20" s="77">
        <f t="shared" ca="1" si="2"/>
        <v>5.8461376446505804E-11</v>
      </c>
      <c r="N20" s="33">
        <f ca="1">INT(M20) + _xll.RiskBinomial(1,M20-INT(M20))</f>
        <v>0</v>
      </c>
      <c r="O20" s="26">
        <f t="shared" ca="1" si="3"/>
        <v>0</v>
      </c>
      <c r="P20" s="31">
        <f ca="1">_xll.RiskBinomial(1,O20)</f>
        <v>0</v>
      </c>
      <c r="Q20" s="78">
        <f ca="1">IF(P20=1,_xll.RiskBinomial(1,Prob_illness_Adv_infection),0)</f>
        <v>0</v>
      </c>
      <c r="R20" s="26"/>
      <c r="S20" s="77">
        <f t="shared" ca="1" si="4"/>
        <v>7.4028953106158086E-10</v>
      </c>
      <c r="T20" s="33">
        <f ca="1">INT(S20) + _xll.RiskBinomial(1,S20-INT(S20))</f>
        <v>0</v>
      </c>
      <c r="U20" s="26">
        <f t="shared" ca="1" si="5"/>
        <v>0</v>
      </c>
      <c r="V20" s="31">
        <f ca="1">_xll.RiskBinomial(1,U20)</f>
        <v>0</v>
      </c>
      <c r="W20" s="78">
        <f ca="1">IF(V20=1,_xll.RiskBinomial(1,Prob_illness_Adv_infection),0)</f>
        <v>0</v>
      </c>
      <c r="X20" s="26"/>
      <c r="Y20" s="77">
        <f t="shared" ca="1" si="6"/>
        <v>6.1572738830261283E-11</v>
      </c>
      <c r="Z20" s="33">
        <f ca="1">INT(Y20) + _xll.RiskBinomial(1,Y20-INT(Y20))</f>
        <v>0</v>
      </c>
      <c r="AA20" s="26">
        <f t="shared" ca="1" si="7"/>
        <v>0</v>
      </c>
      <c r="AB20" s="31">
        <f ca="1">_xll.RiskBinomial(1,AA20)</f>
        <v>0</v>
      </c>
      <c r="AC20" s="78">
        <f ca="1">IF(AB20=1,_xll.RiskBinomial(1,Prob_illness_Adv_infection),0)</f>
        <v>0</v>
      </c>
      <c r="AD20" s="26"/>
      <c r="AE20" s="77">
        <f t="shared" ca="1" si="8"/>
        <v>9.2465483070108005E-11</v>
      </c>
      <c r="AF20" s="33">
        <f ca="1">INT(AE20) + _xll.RiskBinomial(1,AE20-INT(AE20))</f>
        <v>0</v>
      </c>
      <c r="AG20" s="26">
        <f t="shared" ca="1" si="9"/>
        <v>0</v>
      </c>
      <c r="AH20" s="31">
        <f ca="1">_xll.RiskBinomial(1,AG20)</f>
        <v>0</v>
      </c>
      <c r="AI20" s="78">
        <f ca="1">IF(AH20=1,_xll.RiskBinomial(1,Prob_illness_Adv_infection),0)</f>
        <v>0</v>
      </c>
      <c r="AJ20" s="26"/>
      <c r="AK20" s="77">
        <f t="shared" ca="1" si="10"/>
        <v>6.0158843428244599E-10</v>
      </c>
      <c r="AL20" s="33">
        <f ca="1">INT(AK20) + _xll.RiskBinomial(1,AK20-INT(AK20))</f>
        <v>0</v>
      </c>
      <c r="AM20" s="26">
        <f t="shared" ca="1" si="11"/>
        <v>0</v>
      </c>
      <c r="AN20" s="31">
        <f ca="1">_xll.RiskBinomial(1,AM20)</f>
        <v>0</v>
      </c>
      <c r="AO20" s="78">
        <f ca="1">IF(AN20=1,_xll.RiskBinomial(1,Prob_illness_Adv_infection),0)</f>
        <v>0</v>
      </c>
      <c r="AP20" s="26"/>
      <c r="AQ20" s="77">
        <f t="shared" ca="1" si="12"/>
        <v>1.1414187961485563E-9</v>
      </c>
      <c r="AR20" s="33">
        <f ca="1">INT(AQ20) + _xll.RiskBinomial(1,AQ20-INT(AQ20))</f>
        <v>0</v>
      </c>
      <c r="AS20" s="26">
        <f t="shared" ca="1" si="13"/>
        <v>0</v>
      </c>
      <c r="AT20" s="31">
        <f ca="1">_xll.RiskBinomial(1,AS20)</f>
        <v>0</v>
      </c>
      <c r="AU20" s="78">
        <f ca="1">IF(AT20=1,_xll.RiskBinomial(1,Prob_illness_Adv_infection),0)</f>
        <v>0</v>
      </c>
      <c r="AV20" s="26"/>
      <c r="AW20" s="77">
        <f t="shared" ca="1" si="22"/>
        <v>2.0101974308066348E-11</v>
      </c>
      <c r="AX20" s="33">
        <f ca="1">INT(AW20) + _xll.RiskBinomial(1,AW20-INT(AW20))</f>
        <v>0</v>
      </c>
      <c r="AY20" s="26">
        <f t="shared" ca="1" si="14"/>
        <v>0</v>
      </c>
      <c r="AZ20" s="31">
        <f ca="1">_xll.RiskBinomial(1,AY20)</f>
        <v>0</v>
      </c>
      <c r="BA20" s="78">
        <f ca="1">IF(AZ20=1,_xll.RiskBinomial(1,Prob_illness_Adv_infection),0)</f>
        <v>0</v>
      </c>
      <c r="BC20" s="77">
        <f t="shared" ca="1" si="23"/>
        <v>1.0303759274447906E-10</v>
      </c>
      <c r="BD20" s="33">
        <f ca="1">INT(BC20) + _xll.RiskBinomial(1,BC20-INT(BC20))</f>
        <v>0</v>
      </c>
      <c r="BE20" s="26">
        <f t="shared" ca="1" si="15"/>
        <v>0</v>
      </c>
      <c r="BF20" s="31">
        <f ca="1">_xll.RiskBinomial(1,BE20)</f>
        <v>0</v>
      </c>
      <c r="BG20" s="78">
        <f ca="1">IF(BF20=1,_xll.RiskBinomial(1,Prob_illness_Adv_infection),0)</f>
        <v>0</v>
      </c>
      <c r="BI20" s="77">
        <f t="shared" ca="1" si="24"/>
        <v>4.7982695221934281E-11</v>
      </c>
      <c r="BJ20" s="33">
        <f ca="1">INT(BI20) + _xll.RiskBinomial(1,BI20-INT(BI20))</f>
        <v>0</v>
      </c>
      <c r="BK20" s="26">
        <f t="shared" ca="1" si="16"/>
        <v>0</v>
      </c>
      <c r="BL20" s="31">
        <f ca="1">_xll.RiskBinomial(1,BK20)</f>
        <v>0</v>
      </c>
      <c r="BM20" s="78">
        <f ca="1">IF(BL20=1,_xll.RiskBinomial(1,Prob_illness_Adv_infection),0)</f>
        <v>0</v>
      </c>
      <c r="BO20" s="77">
        <f t="shared" ca="1" si="25"/>
        <v>1.0373897198887915E-10</v>
      </c>
      <c r="BP20" s="33">
        <f ca="1">INT(BO20) + _xll.RiskBinomial(1,BO20-INT(BO20))</f>
        <v>0</v>
      </c>
      <c r="BQ20" s="26">
        <f t="shared" ca="1" si="17"/>
        <v>0</v>
      </c>
      <c r="BR20" s="31">
        <f ca="1">_xll.RiskBinomial(1,BQ20)</f>
        <v>0</v>
      </c>
      <c r="BS20" s="78">
        <f ca="1">IF(BR20=1,_xll.RiskBinomial(1,Prob_illness_Adv_infection),0)</f>
        <v>0</v>
      </c>
      <c r="BU20" s="77">
        <f t="shared" ca="1" si="26"/>
        <v>7.4121760185123059E-13</v>
      </c>
      <c r="BV20" s="33">
        <f ca="1">INT(BU20) + _xll.RiskBinomial(1,BU20-INT(BU20))</f>
        <v>0</v>
      </c>
      <c r="BW20" s="26">
        <f t="shared" ca="1" si="18"/>
        <v>0</v>
      </c>
      <c r="BX20" s="31">
        <f ca="1">_xll.RiskBinomial(1,BW20)</f>
        <v>0</v>
      </c>
      <c r="BY20" s="78">
        <f ca="1">IF(BX20=1,_xll.RiskBinomial(1,Prob_illness_Adv_infection),0)</f>
        <v>0</v>
      </c>
      <c r="CA20" s="77">
        <f t="shared" ca="1" si="27"/>
        <v>1.1246962845386238E-10</v>
      </c>
      <c r="CB20" s="33">
        <f ca="1">INT(CA20) + _xll.RiskBinomial(1,CA20-INT(CA20))</f>
        <v>0</v>
      </c>
      <c r="CC20" s="26">
        <f t="shared" ca="1" si="19"/>
        <v>0</v>
      </c>
      <c r="CD20" s="31">
        <f ca="1">_xll.RiskBinomial(1,CC20)</f>
        <v>0</v>
      </c>
      <c r="CE20" s="78">
        <f ca="1">IF(CD20=1,_xll.RiskBinomial(1,Prob_illness_Adv_infection),0)</f>
        <v>0</v>
      </c>
      <c r="CG20" s="77" t="e">
        <f t="shared" ca="1" si="28"/>
        <v>#VALUE!</v>
      </c>
      <c r="CH20" s="33" t="e">
        <f ca="1">INT(CG20) + _xll.RiskBinomial(1,CG20-INT(CG20))</f>
        <v>#VALUE!</v>
      </c>
      <c r="CI20" s="26" t="e">
        <f t="shared" ca="1" si="20"/>
        <v>#VALUE!</v>
      </c>
      <c r="CJ20" s="31" t="e">
        <f ca="1">_xll.RiskBinomial(1,CI20)</f>
        <v>#VALUE!</v>
      </c>
      <c r="CK20" s="78" t="e">
        <f ca="1">IF(CJ20=1,_xll.RiskBinomial(1,Prob_illness_Adv_infection),0)</f>
        <v>#VALUE!</v>
      </c>
    </row>
    <row r="21" spans="2:89" x14ac:dyDescent="0.2">
      <c r="B21" s="97">
        <v>13</v>
      </c>
      <c r="C21" s="100">
        <f ca="1" xml:space="preserve"> _xll.RiskPert(Dur_event_hours_min,Dur_event_hours_mode,Dur_event_hours_max)</f>
        <v>1.5726176635632232</v>
      </c>
      <c r="D21" s="26">
        <f ca="1">_xll.RiskPert(Primary_Ing_Rate_mL_per_hour_min,Primary_Ing_Rate_mL_per_hour_mode,Primary_Ing_Rate_mL_per_hour_max)</f>
        <v>12.227515675793772</v>
      </c>
      <c r="E21" s="34">
        <f t="shared" ca="1" si="0"/>
        <v>19.229207133249488</v>
      </c>
      <c r="F21" s="26"/>
      <c r="G21" s="77">
        <f t="shared" ca="1" si="21"/>
        <v>1.7655242064217408E-9</v>
      </c>
      <c r="H21" s="33">
        <f ca="1">INT(G21) + _xll.RiskBinomial(1,G21-INT(G21))</f>
        <v>0</v>
      </c>
      <c r="I21" s="26">
        <f t="shared" ca="1" si="1"/>
        <v>0</v>
      </c>
      <c r="J21" s="31">
        <f ca="1">_xll.RiskBinomial(1,I21)</f>
        <v>0</v>
      </c>
      <c r="K21" s="78">
        <f ca="1">IF(J21=1,_xll.RiskBinomial(1,Prob_illness_Adv_infection),0)</f>
        <v>0</v>
      </c>
      <c r="L21" s="26"/>
      <c r="M21" s="77">
        <f t="shared" ca="1" si="2"/>
        <v>4.3847898502989703E-11</v>
      </c>
      <c r="N21" s="33">
        <f ca="1">INT(M21) + _xll.RiskBinomial(1,M21-INT(M21))</f>
        <v>0</v>
      </c>
      <c r="O21" s="26">
        <f t="shared" ca="1" si="3"/>
        <v>0</v>
      </c>
      <c r="P21" s="31">
        <f ca="1">_xll.RiskBinomial(1,O21)</f>
        <v>0</v>
      </c>
      <c r="Q21" s="78">
        <f ca="1">IF(P21=1,_xll.RiskBinomial(1,Prob_illness_Adv_infection),0)</f>
        <v>0</v>
      </c>
      <c r="R21" s="26"/>
      <c r="S21" s="77">
        <f t="shared" ca="1" si="4"/>
        <v>5.552407793633835E-10</v>
      </c>
      <c r="T21" s="33">
        <f ca="1">INT(S21) + _xll.RiskBinomial(1,S21-INT(S21))</f>
        <v>0</v>
      </c>
      <c r="U21" s="26">
        <f t="shared" ca="1" si="5"/>
        <v>0</v>
      </c>
      <c r="V21" s="31">
        <f ca="1">_xll.RiskBinomial(1,U21)</f>
        <v>0</v>
      </c>
      <c r="W21" s="78">
        <f ca="1">IF(V21=1,_xll.RiskBinomial(1,Prob_illness_Adv_infection),0)</f>
        <v>0</v>
      </c>
      <c r="X21" s="26"/>
      <c r="Y21" s="77">
        <f t="shared" ca="1" si="6"/>
        <v>4.6181519609803112E-11</v>
      </c>
      <c r="Z21" s="33">
        <f ca="1">INT(Y21) + _xll.RiskBinomial(1,Y21-INT(Y21))</f>
        <v>0</v>
      </c>
      <c r="AA21" s="26">
        <f t="shared" ca="1" si="7"/>
        <v>0</v>
      </c>
      <c r="AB21" s="31">
        <f ca="1">_xll.RiskBinomial(1,AA21)</f>
        <v>0</v>
      </c>
      <c r="AC21" s="78">
        <f ca="1">IF(AB21=1,_xll.RiskBinomial(1,Prob_illness_Adv_infection),0)</f>
        <v>0</v>
      </c>
      <c r="AD21" s="26"/>
      <c r="AE21" s="77">
        <f t="shared" ca="1" si="8"/>
        <v>6.9352063928873467E-11</v>
      </c>
      <c r="AF21" s="33">
        <f ca="1">INT(AE21) + _xll.RiskBinomial(1,AE21-INT(AE21))</f>
        <v>0</v>
      </c>
      <c r="AG21" s="26">
        <f t="shared" ca="1" si="9"/>
        <v>0</v>
      </c>
      <c r="AH21" s="31">
        <f ca="1">_xll.RiskBinomial(1,AG21)</f>
        <v>0</v>
      </c>
      <c r="AI21" s="78">
        <f ca="1">IF(AH21=1,_xll.RiskBinomial(1,Prob_illness_Adv_infection),0)</f>
        <v>0</v>
      </c>
      <c r="AJ21" s="26"/>
      <c r="AK21" s="77">
        <f t="shared" ca="1" si="10"/>
        <v>4.5121052924790998E-10</v>
      </c>
      <c r="AL21" s="33">
        <f ca="1">INT(AK21) + _xll.RiskBinomial(1,AK21-INT(AK21))</f>
        <v>0</v>
      </c>
      <c r="AM21" s="26">
        <f t="shared" ca="1" si="11"/>
        <v>0</v>
      </c>
      <c r="AN21" s="31">
        <f ca="1">_xll.RiskBinomial(1,AM21)</f>
        <v>0</v>
      </c>
      <c r="AO21" s="78">
        <f ca="1">IF(AN21=1,_xll.RiskBinomial(1,Prob_illness_Adv_infection),0)</f>
        <v>0</v>
      </c>
      <c r="AP21" s="26"/>
      <c r="AQ21" s="77">
        <f t="shared" ca="1" si="12"/>
        <v>8.5610053278035603E-10</v>
      </c>
      <c r="AR21" s="33">
        <f ca="1">INT(AQ21) + _xll.RiskBinomial(1,AQ21-INT(AQ21))</f>
        <v>0</v>
      </c>
      <c r="AS21" s="26">
        <f t="shared" ca="1" si="13"/>
        <v>0</v>
      </c>
      <c r="AT21" s="31">
        <f ca="1">_xll.RiskBinomial(1,AS21)</f>
        <v>0</v>
      </c>
      <c r="AU21" s="78">
        <f ca="1">IF(AT21=1,_xll.RiskBinomial(1,Prob_illness_Adv_infection),0)</f>
        <v>0</v>
      </c>
      <c r="AV21" s="26"/>
      <c r="AW21" s="77">
        <f t="shared" ca="1" si="22"/>
        <v>1.5077122413912688E-11</v>
      </c>
      <c r="AX21" s="33">
        <f ca="1">INT(AW21) + _xll.RiskBinomial(1,AW21-INT(AW21))</f>
        <v>0</v>
      </c>
      <c r="AY21" s="26">
        <f t="shared" ca="1" si="14"/>
        <v>0</v>
      </c>
      <c r="AZ21" s="31">
        <f ca="1">_xll.RiskBinomial(1,AY21)</f>
        <v>0</v>
      </c>
      <c r="BA21" s="78">
        <f ca="1">IF(AZ21=1,_xll.RiskBinomial(1,Prob_illness_Adv_infection),0)</f>
        <v>0</v>
      </c>
      <c r="BC21" s="77">
        <f t="shared" ca="1" si="23"/>
        <v>7.7281483661035881E-11</v>
      </c>
      <c r="BD21" s="33">
        <f ca="1">INT(BC21) + _xll.RiskBinomial(1,BC21-INT(BC21))</f>
        <v>0</v>
      </c>
      <c r="BE21" s="26">
        <f t="shared" ca="1" si="15"/>
        <v>0</v>
      </c>
      <c r="BF21" s="31">
        <f ca="1">_xll.RiskBinomial(1,BE21)</f>
        <v>0</v>
      </c>
      <c r="BG21" s="78">
        <f ca="1">IF(BF21=1,_xll.RiskBinomial(1,Prob_illness_Adv_infection),0)</f>
        <v>0</v>
      </c>
      <c r="BI21" s="77">
        <f t="shared" ca="1" si="24"/>
        <v>3.5988553090542468E-11</v>
      </c>
      <c r="BJ21" s="33">
        <f ca="1">INT(BI21) + _xll.RiskBinomial(1,BI21-INT(BI21))</f>
        <v>0</v>
      </c>
      <c r="BK21" s="26">
        <f t="shared" ca="1" si="16"/>
        <v>0</v>
      </c>
      <c r="BL21" s="31">
        <f ca="1">_xll.RiskBinomial(1,BK21)</f>
        <v>0</v>
      </c>
      <c r="BM21" s="78">
        <f ca="1">IF(BL21=1,_xll.RiskBinomial(1,Prob_illness_Adv_infection),0)</f>
        <v>0</v>
      </c>
      <c r="BO21" s="77">
        <f t="shared" ca="1" si="25"/>
        <v>7.7807540483332892E-11</v>
      </c>
      <c r="BP21" s="33">
        <f ca="1">INT(BO21) + _xll.RiskBinomial(1,BO21-INT(BO21))</f>
        <v>0</v>
      </c>
      <c r="BQ21" s="26">
        <f t="shared" ca="1" si="17"/>
        <v>0</v>
      </c>
      <c r="BR21" s="31">
        <f ca="1">_xll.RiskBinomial(1,BQ21)</f>
        <v>0</v>
      </c>
      <c r="BS21" s="78">
        <f ca="1">IF(BR21=1,_xll.RiskBinomial(1,Prob_illness_Adv_infection),0)</f>
        <v>0</v>
      </c>
      <c r="BU21" s="77">
        <f t="shared" ca="1" si="26"/>
        <v>5.5593686208092594E-13</v>
      </c>
      <c r="BV21" s="33">
        <f ca="1">INT(BU21) + _xll.RiskBinomial(1,BU21-INT(BU21))</f>
        <v>0</v>
      </c>
      <c r="BW21" s="26">
        <f t="shared" ca="1" si="18"/>
        <v>0</v>
      </c>
      <c r="BX21" s="31">
        <f ca="1">_xll.RiskBinomial(1,BW21)</f>
        <v>0</v>
      </c>
      <c r="BY21" s="78">
        <f ca="1">IF(BX21=1,_xll.RiskBinomial(1,Prob_illness_Adv_infection),0)</f>
        <v>0</v>
      </c>
      <c r="CA21" s="77">
        <f t="shared" ca="1" si="27"/>
        <v>8.4355811526717413E-11</v>
      </c>
      <c r="CB21" s="33">
        <f ca="1">INT(CA21) + _xll.RiskBinomial(1,CA21-INT(CA21))</f>
        <v>0</v>
      </c>
      <c r="CC21" s="26">
        <f t="shared" ca="1" si="19"/>
        <v>0</v>
      </c>
      <c r="CD21" s="31">
        <f ca="1">_xll.RiskBinomial(1,CC21)</f>
        <v>0</v>
      </c>
      <c r="CE21" s="78">
        <f ca="1">IF(CD21=1,_xll.RiskBinomial(1,Prob_illness_Adv_infection),0)</f>
        <v>0</v>
      </c>
      <c r="CG21" s="77" t="e">
        <f t="shared" ca="1" si="28"/>
        <v>#VALUE!</v>
      </c>
      <c r="CH21" s="33" t="e">
        <f ca="1">INT(CG21) + _xll.RiskBinomial(1,CG21-INT(CG21))</f>
        <v>#VALUE!</v>
      </c>
      <c r="CI21" s="26" t="e">
        <f t="shared" ca="1" si="20"/>
        <v>#VALUE!</v>
      </c>
      <c r="CJ21" s="31" t="e">
        <f ca="1">_xll.RiskBinomial(1,CI21)</f>
        <v>#VALUE!</v>
      </c>
      <c r="CK21" s="78" t="e">
        <f ca="1">IF(CJ21=1,_xll.RiskBinomial(1,Prob_illness_Adv_infection),0)</f>
        <v>#VALUE!</v>
      </c>
    </row>
    <row r="22" spans="2:89" x14ac:dyDescent="0.2">
      <c r="B22" s="97">
        <v>14</v>
      </c>
      <c r="C22" s="100">
        <f ca="1" xml:space="preserve"> _xll.RiskPert(Dur_event_hours_min,Dur_event_hours_mode,Dur_event_hours_max)</f>
        <v>1.0402804351731432</v>
      </c>
      <c r="D22" s="26">
        <f ca="1">_xll.RiskPert(Primary_Ing_Rate_mL_per_hour_min,Primary_Ing_Rate_mL_per_hour_mode,Primary_Ing_Rate_mL_per_hour_max)</f>
        <v>10.918507894581021</v>
      </c>
      <c r="E22" s="34">
        <f t="shared" ca="1" si="0"/>
        <v>11.358310144016144</v>
      </c>
      <c r="F22" s="26"/>
      <c r="G22" s="77">
        <f t="shared" ca="1" si="21"/>
        <v>1.0428600287232618E-9</v>
      </c>
      <c r="H22" s="33">
        <f ca="1">INT(G22) + _xll.RiskBinomial(1,G22-INT(G22))</f>
        <v>0</v>
      </c>
      <c r="I22" s="26">
        <f t="shared" ca="1" si="1"/>
        <v>0</v>
      </c>
      <c r="J22" s="31">
        <f ca="1">_xll.RiskBinomial(1,I22)</f>
        <v>0</v>
      </c>
      <c r="K22" s="78">
        <f ca="1">IF(J22=1,_xll.RiskBinomial(1,Prob_illness_Adv_infection),0)</f>
        <v>0</v>
      </c>
      <c r="L22" s="26"/>
      <c r="M22" s="77">
        <f t="shared" ca="1" si="2"/>
        <v>2.5900081418288628E-11</v>
      </c>
      <c r="N22" s="33">
        <f ca="1">INT(M22) + _xll.RiskBinomial(1,M22-INT(M22))</f>
        <v>0</v>
      </c>
      <c r="O22" s="26">
        <f t="shared" ca="1" si="3"/>
        <v>0</v>
      </c>
      <c r="P22" s="31">
        <f ca="1">_xll.RiskBinomial(1,O22)</f>
        <v>0</v>
      </c>
      <c r="Q22" s="78">
        <f ca="1">IF(P22=1,_xll.RiskBinomial(1,Prob_illness_Adv_infection),0)</f>
        <v>0</v>
      </c>
      <c r="R22" s="26"/>
      <c r="S22" s="77">
        <f t="shared" ca="1" si="4"/>
        <v>3.2796968345666859E-10</v>
      </c>
      <c r="T22" s="33">
        <f ca="1">INT(S22) + _xll.RiskBinomial(1,S22-INT(S22))</f>
        <v>0</v>
      </c>
      <c r="U22" s="26">
        <f t="shared" ca="1" si="5"/>
        <v>0</v>
      </c>
      <c r="V22" s="31">
        <f ca="1">_xll.RiskBinomial(1,U22)</f>
        <v>0</v>
      </c>
      <c r="W22" s="78">
        <f ca="1">IF(V22=1,_xll.RiskBinomial(1,Prob_illness_Adv_infection),0)</f>
        <v>0</v>
      </c>
      <c r="X22" s="26"/>
      <c r="Y22" s="77">
        <f t="shared" ca="1" si="6"/>
        <v>2.7278504985424533E-11</v>
      </c>
      <c r="Z22" s="33">
        <f ca="1">INT(Y22) + _xll.RiskBinomial(1,Y22-INT(Y22))</f>
        <v>0</v>
      </c>
      <c r="AA22" s="26">
        <f t="shared" ca="1" si="7"/>
        <v>0</v>
      </c>
      <c r="AB22" s="31">
        <f ca="1">_xll.RiskBinomial(1,AA22)</f>
        <v>0</v>
      </c>
      <c r="AC22" s="78">
        <f ca="1">IF(AB22=1,_xll.RiskBinomial(1,Prob_illness_Adv_infection),0)</f>
        <v>0</v>
      </c>
      <c r="AD22" s="26"/>
      <c r="AE22" s="77">
        <f t="shared" ca="1" si="8"/>
        <v>4.0964884603573603E-11</v>
      </c>
      <c r="AF22" s="33">
        <f ca="1">INT(AE22) + _xll.RiskBinomial(1,AE22-INT(AE22))</f>
        <v>0</v>
      </c>
      <c r="AG22" s="26">
        <f t="shared" ca="1" si="9"/>
        <v>0</v>
      </c>
      <c r="AH22" s="31">
        <f ca="1">_xll.RiskBinomial(1,AG22)</f>
        <v>0</v>
      </c>
      <c r="AI22" s="78">
        <f ca="1">IF(AH22=1,_xll.RiskBinomial(1,Prob_illness_Adv_infection),0)</f>
        <v>0</v>
      </c>
      <c r="AJ22" s="26"/>
      <c r="AK22" s="77">
        <f t="shared" ca="1" si="10"/>
        <v>2.6652108409512836E-10</v>
      </c>
      <c r="AL22" s="33">
        <f ca="1">INT(AK22) + _xll.RiskBinomial(1,AK22-INT(AK22))</f>
        <v>0</v>
      </c>
      <c r="AM22" s="26">
        <f t="shared" ca="1" si="11"/>
        <v>0</v>
      </c>
      <c r="AN22" s="31">
        <f ca="1">_xll.RiskBinomial(1,AM22)</f>
        <v>0</v>
      </c>
      <c r="AO22" s="78">
        <f ca="1">IF(AN22=1,_xll.RiskBinomial(1,Prob_illness_Adv_infection),0)</f>
        <v>0</v>
      </c>
      <c r="AP22" s="26"/>
      <c r="AQ22" s="77">
        <f t="shared" ca="1" si="12"/>
        <v>5.0568155506334379E-10</v>
      </c>
      <c r="AR22" s="33">
        <f ca="1">INT(AQ22) + _xll.RiskBinomial(1,AQ22-INT(AQ22))</f>
        <v>0</v>
      </c>
      <c r="AS22" s="26">
        <f t="shared" ca="1" si="13"/>
        <v>0</v>
      </c>
      <c r="AT22" s="31">
        <f ca="1">_xll.RiskBinomial(1,AS22)</f>
        <v>0</v>
      </c>
      <c r="AU22" s="78">
        <f ca="1">IF(AT22=1,_xll.RiskBinomial(1,Prob_illness_Adv_infection),0)</f>
        <v>0</v>
      </c>
      <c r="AV22" s="26"/>
      <c r="AW22" s="77">
        <f t="shared" ca="1" si="22"/>
        <v>8.905756294049472E-12</v>
      </c>
      <c r="AX22" s="33">
        <f ca="1">INT(AW22) + _xll.RiskBinomial(1,AW22-INT(AW22))</f>
        <v>0</v>
      </c>
      <c r="AY22" s="26">
        <f t="shared" ca="1" si="14"/>
        <v>0</v>
      </c>
      <c r="AZ22" s="31">
        <f ca="1">_xll.RiskBinomial(1,AY22)</f>
        <v>0</v>
      </c>
      <c r="BA22" s="78">
        <f ca="1">IF(AZ22=1,_xll.RiskBinomial(1,Prob_illness_Adv_infection),0)</f>
        <v>0</v>
      </c>
      <c r="BC22" s="77">
        <f t="shared" ca="1" si="23"/>
        <v>4.5648635106434931E-11</v>
      </c>
      <c r="BD22" s="33">
        <f ca="1">INT(BC22) + _xll.RiskBinomial(1,BC22-INT(BC22))</f>
        <v>0</v>
      </c>
      <c r="BE22" s="26">
        <f t="shared" ca="1" si="15"/>
        <v>0</v>
      </c>
      <c r="BF22" s="31">
        <f ca="1">_xll.RiskBinomial(1,BE22)</f>
        <v>0</v>
      </c>
      <c r="BG22" s="78">
        <f ca="1">IF(BF22=1,_xll.RiskBinomial(1,Prob_illness_Adv_infection),0)</f>
        <v>0</v>
      </c>
      <c r="BI22" s="77">
        <f t="shared" ca="1" si="24"/>
        <v>2.1257722422156643E-11</v>
      </c>
      <c r="BJ22" s="33">
        <f ca="1">INT(BI22) + _xll.RiskBinomial(1,BI22-INT(BI22))</f>
        <v>0</v>
      </c>
      <c r="BK22" s="26">
        <f t="shared" ca="1" si="16"/>
        <v>0</v>
      </c>
      <c r="BL22" s="31">
        <f ca="1">_xll.RiskBinomial(1,BK22)</f>
        <v>0</v>
      </c>
      <c r="BM22" s="78">
        <f ca="1">IF(BL22=1,_xll.RiskBinomial(1,Prob_illness_Adv_infection),0)</f>
        <v>0</v>
      </c>
      <c r="BO22" s="77">
        <f t="shared" ca="1" si="25"/>
        <v>4.5959366406983128E-11</v>
      </c>
      <c r="BP22" s="33">
        <f ca="1">INT(BO22) + _xll.RiskBinomial(1,BO22-INT(BO22))</f>
        <v>0</v>
      </c>
      <c r="BQ22" s="26">
        <f t="shared" ca="1" si="17"/>
        <v>0</v>
      </c>
      <c r="BR22" s="31">
        <f ca="1">_xll.RiskBinomial(1,BQ22)</f>
        <v>0</v>
      </c>
      <c r="BS22" s="78">
        <f ca="1">IF(BR22=1,_xll.RiskBinomial(1,Prob_illness_Adv_infection),0)</f>
        <v>0</v>
      </c>
      <c r="BU22" s="77">
        <f t="shared" ca="1" si="26"/>
        <v>3.2838084567136365E-13</v>
      </c>
      <c r="BV22" s="33">
        <f ca="1">INT(BU22) + _xll.RiskBinomial(1,BU22-INT(BU22))</f>
        <v>0</v>
      </c>
      <c r="BW22" s="26">
        <f t="shared" ca="1" si="18"/>
        <v>0</v>
      </c>
      <c r="BX22" s="31">
        <f ca="1">_xll.RiskBinomial(1,BW22)</f>
        <v>0</v>
      </c>
      <c r="BY22" s="78">
        <f ca="1">IF(BX22=1,_xll.RiskBinomial(1,Prob_illness_Adv_infection),0)</f>
        <v>0</v>
      </c>
      <c r="CA22" s="77">
        <f t="shared" ca="1" si="27"/>
        <v>4.9827299853351524E-11</v>
      </c>
      <c r="CB22" s="33">
        <f ca="1">INT(CA22) + _xll.RiskBinomial(1,CA22-INT(CA22))</f>
        <v>0</v>
      </c>
      <c r="CC22" s="26">
        <f t="shared" ca="1" si="19"/>
        <v>0</v>
      </c>
      <c r="CD22" s="31">
        <f ca="1">_xll.RiskBinomial(1,CC22)</f>
        <v>0</v>
      </c>
      <c r="CE22" s="78">
        <f ca="1">IF(CD22=1,_xll.RiskBinomial(1,Prob_illness_Adv_infection),0)</f>
        <v>0</v>
      </c>
      <c r="CG22" s="77" t="e">
        <f t="shared" ca="1" si="28"/>
        <v>#VALUE!</v>
      </c>
      <c r="CH22" s="33" t="e">
        <f ca="1">INT(CG22) + _xll.RiskBinomial(1,CG22-INT(CG22))</f>
        <v>#VALUE!</v>
      </c>
      <c r="CI22" s="26" t="e">
        <f t="shared" ca="1" si="20"/>
        <v>#VALUE!</v>
      </c>
      <c r="CJ22" s="31" t="e">
        <f ca="1">_xll.RiskBinomial(1,CI22)</f>
        <v>#VALUE!</v>
      </c>
      <c r="CK22" s="78" t="e">
        <f ca="1">IF(CJ22=1,_xll.RiskBinomial(1,Prob_illness_Adv_infection),0)</f>
        <v>#VALUE!</v>
      </c>
    </row>
    <row r="23" spans="2:89" x14ac:dyDescent="0.2">
      <c r="B23" s="97">
        <v>15</v>
      </c>
      <c r="C23" s="100">
        <f ca="1" xml:space="preserve"> _xll.RiskPert(Dur_event_hours_min,Dur_event_hours_mode,Dur_event_hours_max)</f>
        <v>1.2116255142067323</v>
      </c>
      <c r="D23" s="26">
        <f ca="1">_xll.RiskPert(Primary_Ing_Rate_mL_per_hour_min,Primary_Ing_Rate_mL_per_hour_mode,Primary_Ing_Rate_mL_per_hour_max)</f>
        <v>6.0042503719235967</v>
      </c>
      <c r="E23" s="34">
        <f t="shared" ca="1" si="0"/>
        <v>7.2749029443078914</v>
      </c>
      <c r="F23" s="26"/>
      <c r="G23" s="77">
        <f t="shared" ca="1" si="21"/>
        <v>6.6794315327414655E-10</v>
      </c>
      <c r="H23" s="33">
        <f ca="1">INT(G23) + _xll.RiskBinomial(1,G23-INT(G23))</f>
        <v>0</v>
      </c>
      <c r="I23" s="26">
        <f t="shared" ca="1" si="1"/>
        <v>0</v>
      </c>
      <c r="J23" s="31">
        <f ca="1">_xll.RiskBinomial(1,I23)</f>
        <v>0</v>
      </c>
      <c r="K23" s="78">
        <f ca="1">IF(J23=1,_xll.RiskBinomial(1,Prob_illness_Adv_infection),0)</f>
        <v>0</v>
      </c>
      <c r="L23" s="26"/>
      <c r="M23" s="77">
        <f t="shared" ca="1" si="2"/>
        <v>1.6588786199590347E-11</v>
      </c>
      <c r="N23" s="33">
        <f ca="1">INT(M23) + _xll.RiskBinomial(1,M23-INT(M23))</f>
        <v>0</v>
      </c>
      <c r="O23" s="26">
        <f t="shared" ca="1" si="3"/>
        <v>0</v>
      </c>
      <c r="P23" s="31">
        <f ca="1">_xll.RiskBinomial(1,O23)</f>
        <v>0</v>
      </c>
      <c r="Q23" s="78">
        <f ca="1">IF(P23=1,_xll.RiskBinomial(1,Prob_illness_Adv_infection),0)</f>
        <v>0</v>
      </c>
      <c r="R23" s="26"/>
      <c r="S23" s="77">
        <f t="shared" ca="1" si="4"/>
        <v>2.1006184771945371E-10</v>
      </c>
      <c r="T23" s="33">
        <f ca="1">INT(S23) + _xll.RiskBinomial(1,S23-INT(S23))</f>
        <v>0</v>
      </c>
      <c r="U23" s="26">
        <f t="shared" ca="1" si="5"/>
        <v>0</v>
      </c>
      <c r="V23" s="31">
        <f ca="1">_xll.RiskBinomial(1,U23)</f>
        <v>0</v>
      </c>
      <c r="W23" s="78">
        <f ca="1">IF(V23=1,_xll.RiskBinomial(1,Prob_illness_Adv_infection),0)</f>
        <v>0</v>
      </c>
      <c r="X23" s="26"/>
      <c r="Y23" s="77">
        <f t="shared" ca="1" si="6"/>
        <v>1.747165500136746E-11</v>
      </c>
      <c r="Z23" s="33">
        <f ca="1">INT(Y23) + _xll.RiskBinomial(1,Y23-INT(Y23))</f>
        <v>0</v>
      </c>
      <c r="AA23" s="26">
        <f t="shared" ca="1" si="7"/>
        <v>0</v>
      </c>
      <c r="AB23" s="31">
        <f ca="1">_xll.RiskBinomial(1,AA23)</f>
        <v>0</v>
      </c>
      <c r="AC23" s="78">
        <f ca="1">IF(AB23=1,_xll.RiskBinomial(1,Prob_illness_Adv_infection),0)</f>
        <v>0</v>
      </c>
      <c r="AD23" s="26"/>
      <c r="AE23" s="77">
        <f t="shared" ca="1" si="8"/>
        <v>2.6237667032958513E-11</v>
      </c>
      <c r="AF23" s="33">
        <f ca="1">INT(AE23) + _xll.RiskBinomial(1,AE23-INT(AE23))</f>
        <v>0</v>
      </c>
      <c r="AG23" s="26">
        <f t="shared" ca="1" si="9"/>
        <v>0</v>
      </c>
      <c r="AH23" s="31">
        <f ca="1">_xll.RiskBinomial(1,AG23)</f>
        <v>0</v>
      </c>
      <c r="AI23" s="78">
        <f ca="1">IF(AH23=1,_xll.RiskBinomial(1,Prob_illness_Adv_infection),0)</f>
        <v>0</v>
      </c>
      <c r="AJ23" s="26"/>
      <c r="AK23" s="77">
        <f t="shared" ca="1" si="10"/>
        <v>1.7070453217244218E-10</v>
      </c>
      <c r="AL23" s="33">
        <f ca="1">INT(AK23) + _xll.RiskBinomial(1,AK23-INT(AK23))</f>
        <v>0</v>
      </c>
      <c r="AM23" s="26">
        <f t="shared" ca="1" si="11"/>
        <v>0</v>
      </c>
      <c r="AN23" s="31">
        <f ca="1">_xll.RiskBinomial(1,AM23)</f>
        <v>0</v>
      </c>
      <c r="AO23" s="78">
        <f ca="1">IF(AN23=1,_xll.RiskBinomial(1,Prob_illness_Adv_infection),0)</f>
        <v>0</v>
      </c>
      <c r="AP23" s="26"/>
      <c r="AQ23" s="77">
        <f t="shared" ca="1" si="12"/>
        <v>3.2388481976349215E-10</v>
      </c>
      <c r="AR23" s="33">
        <f ca="1">INT(AQ23) + _xll.RiskBinomial(1,AQ23-INT(AQ23))</f>
        <v>0</v>
      </c>
      <c r="AS23" s="26">
        <f t="shared" ca="1" si="13"/>
        <v>0</v>
      </c>
      <c r="AT23" s="31">
        <f ca="1">_xll.RiskBinomial(1,AS23)</f>
        <v>0</v>
      </c>
      <c r="AU23" s="78">
        <f ca="1">IF(AT23=1,_xll.RiskBinomial(1,Prob_illness_Adv_infection),0)</f>
        <v>0</v>
      </c>
      <c r="AV23" s="26"/>
      <c r="AW23" s="77">
        <f t="shared" ca="1" si="22"/>
        <v>5.7040626522248409E-12</v>
      </c>
      <c r="AX23" s="33">
        <f ca="1">INT(AW23) + _xll.RiskBinomial(1,AW23-INT(AW23))</f>
        <v>0</v>
      </c>
      <c r="AY23" s="26">
        <f t="shared" ca="1" si="14"/>
        <v>0</v>
      </c>
      <c r="AZ23" s="31">
        <f ca="1">_xll.RiskBinomial(1,AY23)</f>
        <v>0</v>
      </c>
      <c r="BA23" s="78">
        <f ca="1">IF(AZ23=1,_xll.RiskBinomial(1,Prob_illness_Adv_infection),0)</f>
        <v>0</v>
      </c>
      <c r="BC23" s="77">
        <f t="shared" ca="1" si="23"/>
        <v>2.9237570178024545E-11</v>
      </c>
      <c r="BD23" s="33">
        <f ca="1">INT(BC23) + _xll.RiskBinomial(1,BC23-INT(BC23))</f>
        <v>0</v>
      </c>
      <c r="BE23" s="26">
        <f t="shared" ca="1" si="15"/>
        <v>0</v>
      </c>
      <c r="BF23" s="31">
        <f ca="1">_xll.RiskBinomial(1,BE23)</f>
        <v>0</v>
      </c>
      <c r="BG23" s="78">
        <f ca="1">IF(BF23=1,_xll.RiskBinomial(1,Prob_illness_Adv_infection),0)</f>
        <v>0</v>
      </c>
      <c r="BI23" s="77">
        <f t="shared" ca="1" si="24"/>
        <v>1.3615393969471752E-11</v>
      </c>
      <c r="BJ23" s="33">
        <f ca="1">INT(BI23) + _xll.RiskBinomial(1,BI23-INT(BI23))</f>
        <v>0</v>
      </c>
      <c r="BK23" s="26">
        <f t="shared" ca="1" si="16"/>
        <v>0</v>
      </c>
      <c r="BL23" s="31">
        <f ca="1">_xll.RiskBinomial(1,BK23)</f>
        <v>0</v>
      </c>
      <c r="BM23" s="78">
        <f ca="1">IF(BL23=1,_xll.RiskBinomial(1,Prob_illness_Adv_infection),0)</f>
        <v>0</v>
      </c>
      <c r="BO23" s="77">
        <f t="shared" ca="1" si="25"/>
        <v>2.9436590985220726E-11</v>
      </c>
      <c r="BP23" s="33">
        <f ca="1">INT(BO23) + _xll.RiskBinomial(1,BO23-INT(BO23))</f>
        <v>0</v>
      </c>
      <c r="BQ23" s="26">
        <f t="shared" ca="1" si="17"/>
        <v>0</v>
      </c>
      <c r="BR23" s="31">
        <f ca="1">_xll.RiskBinomial(1,BQ23)</f>
        <v>0</v>
      </c>
      <c r="BS23" s="78">
        <f ca="1">IF(BR23=1,_xll.RiskBinomial(1,Prob_illness_Adv_infection),0)</f>
        <v>0</v>
      </c>
      <c r="BU23" s="77">
        <f t="shared" ca="1" si="26"/>
        <v>2.1032519368979149E-13</v>
      </c>
      <c r="BV23" s="33">
        <f ca="1">INT(BU23) + _xll.RiskBinomial(1,BU23-INT(BU23))</f>
        <v>0</v>
      </c>
      <c r="BW23" s="26">
        <f t="shared" ca="1" si="18"/>
        <v>0</v>
      </c>
      <c r="BX23" s="31">
        <f ca="1">_xll.RiskBinomial(1,BW23)</f>
        <v>0</v>
      </c>
      <c r="BY23" s="78">
        <f ca="1">IF(BX23=1,_xll.RiskBinomial(1,Prob_illness_Adv_infection),0)</f>
        <v>0</v>
      </c>
      <c r="CA23" s="77">
        <f t="shared" ca="1" si="27"/>
        <v>3.1913970107694922E-11</v>
      </c>
      <c r="CB23" s="33">
        <f ca="1">INT(CA23) + _xll.RiskBinomial(1,CA23-INT(CA23))</f>
        <v>0</v>
      </c>
      <c r="CC23" s="26">
        <f t="shared" ca="1" si="19"/>
        <v>0</v>
      </c>
      <c r="CD23" s="31">
        <f ca="1">_xll.RiskBinomial(1,CC23)</f>
        <v>0</v>
      </c>
      <c r="CE23" s="78">
        <f ca="1">IF(CD23=1,_xll.RiskBinomial(1,Prob_illness_Adv_infection),0)</f>
        <v>0</v>
      </c>
      <c r="CG23" s="77" t="e">
        <f t="shared" ca="1" si="28"/>
        <v>#VALUE!</v>
      </c>
      <c r="CH23" s="33" t="e">
        <f ca="1">INT(CG23) + _xll.RiskBinomial(1,CG23-INT(CG23))</f>
        <v>#VALUE!</v>
      </c>
      <c r="CI23" s="26" t="e">
        <f t="shared" ca="1" si="20"/>
        <v>#VALUE!</v>
      </c>
      <c r="CJ23" s="31" t="e">
        <f ca="1">_xll.RiskBinomial(1,CI23)</f>
        <v>#VALUE!</v>
      </c>
      <c r="CK23" s="78" t="e">
        <f ca="1">IF(CJ23=1,_xll.RiskBinomial(1,Prob_illness_Adv_infection),0)</f>
        <v>#VALUE!</v>
      </c>
    </row>
    <row r="24" spans="2:89" x14ac:dyDescent="0.2">
      <c r="B24" s="97">
        <v>16</v>
      </c>
      <c r="C24" s="100">
        <f ca="1" xml:space="preserve"> _xll.RiskPert(Dur_event_hours_min,Dur_event_hours_mode,Dur_event_hours_max)</f>
        <v>1.3816267132168043</v>
      </c>
      <c r="D24" s="26">
        <f ca="1">_xll.RiskPert(Primary_Ing_Rate_mL_per_hour_min,Primary_Ing_Rate_mL_per_hour_mode,Primary_Ing_Rate_mL_per_hour_max)</f>
        <v>19.078028200979148</v>
      </c>
      <c r="E24" s="34">
        <f t="shared" ca="1" si="0"/>
        <v>26.35871339797632</v>
      </c>
      <c r="F24" s="26"/>
      <c r="G24" s="77">
        <f t="shared" ca="1" si="21"/>
        <v>2.4201178047425869E-9</v>
      </c>
      <c r="H24" s="33">
        <f ca="1">INT(G24) + _xll.RiskBinomial(1,G24-INT(G24))</f>
        <v>0</v>
      </c>
      <c r="I24" s="26">
        <f t="shared" ca="1" si="1"/>
        <v>0</v>
      </c>
      <c r="J24" s="31">
        <f ca="1">_xll.RiskBinomial(1,I24)</f>
        <v>0</v>
      </c>
      <c r="K24" s="78">
        <f ca="1">IF(J24=1,_xll.RiskBinomial(1,Prob_illness_Adv_infection),0)</f>
        <v>0</v>
      </c>
      <c r="L24" s="26"/>
      <c r="M24" s="77">
        <f t="shared" ca="1" si="2"/>
        <v>6.0105140151379169E-11</v>
      </c>
      <c r="N24" s="33">
        <f ca="1">INT(M24) + _xll.RiskBinomial(1,M24-INT(M24))</f>
        <v>0</v>
      </c>
      <c r="O24" s="26">
        <f t="shared" ca="1" si="3"/>
        <v>0</v>
      </c>
      <c r="P24" s="31">
        <f ca="1">_xll.RiskBinomial(1,O24)</f>
        <v>0</v>
      </c>
      <c r="Q24" s="78">
        <f ca="1">IF(P24=1,_xll.RiskBinomial(1,Prob_illness_Adv_infection),0)</f>
        <v>0</v>
      </c>
      <c r="R24" s="26"/>
      <c r="S24" s="77">
        <f t="shared" ca="1" si="4"/>
        <v>7.6110431744229861E-10</v>
      </c>
      <c r="T24" s="33">
        <f ca="1">INT(S24) + _xll.RiskBinomial(1,S24-INT(S24))</f>
        <v>0</v>
      </c>
      <c r="U24" s="26">
        <f t="shared" ca="1" si="5"/>
        <v>0</v>
      </c>
      <c r="V24" s="31">
        <f ca="1">_xll.RiskBinomial(1,U24)</f>
        <v>0</v>
      </c>
      <c r="W24" s="78">
        <f ca="1">IF(V24=1,_xll.RiskBinomial(1,Prob_illness_Adv_infection),0)</f>
        <v>0</v>
      </c>
      <c r="X24" s="26"/>
      <c r="Y24" s="77">
        <f t="shared" ca="1" si="6"/>
        <v>6.33039849871396E-11</v>
      </c>
      <c r="Z24" s="33">
        <f ca="1">INT(Y24) + _xll.RiskBinomial(1,Y24-INT(Y24))</f>
        <v>0</v>
      </c>
      <c r="AA24" s="26">
        <f t="shared" ca="1" si="7"/>
        <v>0</v>
      </c>
      <c r="AB24" s="31">
        <f ca="1">_xll.RiskBinomial(1,AA24)</f>
        <v>0</v>
      </c>
      <c r="AC24" s="78">
        <f ca="1">IF(AB24=1,_xll.RiskBinomial(1,Prob_illness_Adv_infection),0)</f>
        <v>0</v>
      </c>
      <c r="AD24" s="26"/>
      <c r="AE24" s="77">
        <f t="shared" ca="1" si="8"/>
        <v>9.5065343255803479E-11</v>
      </c>
      <c r="AF24" s="33">
        <f ca="1">INT(AE24) + _xll.RiskBinomial(1,AE24-INT(AE24))</f>
        <v>0</v>
      </c>
      <c r="AG24" s="26">
        <f t="shared" ca="1" si="9"/>
        <v>0</v>
      </c>
      <c r="AH24" s="31">
        <f ca="1">_xll.RiskBinomial(1,AG24)</f>
        <v>0</v>
      </c>
      <c r="AI24" s="78">
        <f ca="1">IF(AH24=1,_xll.RiskBinomial(1,Prob_illness_Adv_infection),0)</f>
        <v>0</v>
      </c>
      <c r="AJ24" s="26"/>
      <c r="AK24" s="77">
        <f t="shared" ca="1" si="10"/>
        <v>6.1850334962745028E-10</v>
      </c>
      <c r="AL24" s="33">
        <f ca="1">INT(AK24) + _xll.RiskBinomial(1,AK24-INT(AK24))</f>
        <v>0</v>
      </c>
      <c r="AM24" s="26">
        <f t="shared" ca="1" si="11"/>
        <v>0</v>
      </c>
      <c r="AN24" s="31">
        <f ca="1">_xll.RiskBinomial(1,AM24)</f>
        <v>0</v>
      </c>
      <c r="AO24" s="78">
        <f ca="1">IF(AN24=1,_xll.RiskBinomial(1,Prob_illness_Adv_infection),0)</f>
        <v>0</v>
      </c>
      <c r="AP24" s="26"/>
      <c r="AQ24" s="77">
        <f t="shared" ca="1" si="12"/>
        <v>1.1735121696408148E-9</v>
      </c>
      <c r="AR24" s="33">
        <f ca="1">INT(AQ24) + _xll.RiskBinomial(1,AQ24-INT(AQ24))</f>
        <v>0</v>
      </c>
      <c r="AS24" s="26">
        <f t="shared" ca="1" si="13"/>
        <v>0</v>
      </c>
      <c r="AT24" s="31">
        <f ca="1">_xll.RiskBinomial(1,AS24)</f>
        <v>0</v>
      </c>
      <c r="AU24" s="78">
        <f ca="1">IF(AT24=1,_xll.RiskBinomial(1,Prob_illness_Adv_infection),0)</f>
        <v>0</v>
      </c>
      <c r="AV24" s="26"/>
      <c r="AW24" s="77">
        <f t="shared" ca="1" si="22"/>
        <v>2.0667183301975886E-11</v>
      </c>
      <c r="AX24" s="33">
        <f ca="1">INT(AW24) + _xll.RiskBinomial(1,AW24-INT(AW24))</f>
        <v>0</v>
      </c>
      <c r="AY24" s="26">
        <f t="shared" ca="1" si="14"/>
        <v>0</v>
      </c>
      <c r="AZ24" s="31">
        <f ca="1">_xll.RiskBinomial(1,AY24)</f>
        <v>0</v>
      </c>
      <c r="BA24" s="78">
        <f ca="1">IF(AZ24=1,_xll.RiskBinomial(1,Prob_illness_Adv_infection),0)</f>
        <v>0</v>
      </c>
      <c r="BC24" s="77">
        <f t="shared" ca="1" si="23"/>
        <v>1.0593470987523761E-10</v>
      </c>
      <c r="BD24" s="33">
        <f ca="1">INT(BC24) + _xll.RiskBinomial(1,BC24-INT(BC24))</f>
        <v>0</v>
      </c>
      <c r="BE24" s="26">
        <f t="shared" ca="1" si="15"/>
        <v>0</v>
      </c>
      <c r="BF24" s="31">
        <f ca="1">_xll.RiskBinomial(1,BE24)</f>
        <v>0</v>
      </c>
      <c r="BG24" s="78">
        <f ca="1">IF(BF24=1,_xll.RiskBinomial(1,Prob_illness_Adv_infection),0)</f>
        <v>0</v>
      </c>
      <c r="BI24" s="77">
        <f t="shared" ca="1" si="24"/>
        <v>4.9331828917751152E-11</v>
      </c>
      <c r="BJ24" s="33">
        <f ca="1">INT(BI24) + _xll.RiskBinomial(1,BI24-INT(BI24))</f>
        <v>0</v>
      </c>
      <c r="BK24" s="26">
        <f t="shared" ca="1" si="16"/>
        <v>0</v>
      </c>
      <c r="BL24" s="31">
        <f ca="1">_xll.RiskBinomial(1,BK24)</f>
        <v>0</v>
      </c>
      <c r="BM24" s="78">
        <f ca="1">IF(BL24=1,_xll.RiskBinomial(1,Prob_illness_Adv_infection),0)</f>
        <v>0</v>
      </c>
      <c r="BO24" s="77">
        <f t="shared" ca="1" si="25"/>
        <v>1.066558098620385E-10</v>
      </c>
      <c r="BP24" s="33">
        <f ca="1">INT(BO24) + _xll.RiskBinomial(1,BO24-INT(BO24))</f>
        <v>0</v>
      </c>
      <c r="BQ24" s="26">
        <f t="shared" ca="1" si="17"/>
        <v>0</v>
      </c>
      <c r="BR24" s="31">
        <f ca="1">_xll.RiskBinomial(1,BQ24)</f>
        <v>0</v>
      </c>
      <c r="BS24" s="78">
        <f ca="1">IF(BR24=1,_xll.RiskBinomial(1,Prob_illness_Adv_infection),0)</f>
        <v>0</v>
      </c>
      <c r="BU24" s="77">
        <f t="shared" ca="1" si="26"/>
        <v>7.6205848288062605E-13</v>
      </c>
      <c r="BV24" s="33">
        <f ca="1">INT(BU24) + _xll.RiskBinomial(1,BU24-INT(BU24))</f>
        <v>0</v>
      </c>
      <c r="BW24" s="26">
        <f t="shared" ca="1" si="18"/>
        <v>0</v>
      </c>
      <c r="BX24" s="31">
        <f ca="1">_xll.RiskBinomial(1,BW24)</f>
        <v>0</v>
      </c>
      <c r="BY24" s="78">
        <f ca="1">IF(BX24=1,_xll.RiskBinomial(1,Prob_illness_Adv_infection),0)</f>
        <v>0</v>
      </c>
      <c r="CA24" s="77">
        <f t="shared" ca="1" si="27"/>
        <v>1.1563194696892876E-10</v>
      </c>
      <c r="CB24" s="33">
        <f ca="1">INT(CA24) + _xll.RiskBinomial(1,CA24-INT(CA24))</f>
        <v>0</v>
      </c>
      <c r="CC24" s="26">
        <f t="shared" ca="1" si="19"/>
        <v>0</v>
      </c>
      <c r="CD24" s="31">
        <f ca="1">_xll.RiskBinomial(1,CC24)</f>
        <v>0</v>
      </c>
      <c r="CE24" s="78">
        <f ca="1">IF(CD24=1,_xll.RiskBinomial(1,Prob_illness_Adv_infection),0)</f>
        <v>0</v>
      </c>
      <c r="CG24" s="77" t="e">
        <f t="shared" ca="1" si="28"/>
        <v>#VALUE!</v>
      </c>
      <c r="CH24" s="33" t="e">
        <f ca="1">INT(CG24) + _xll.RiskBinomial(1,CG24-INT(CG24))</f>
        <v>#VALUE!</v>
      </c>
      <c r="CI24" s="26" t="e">
        <f t="shared" ca="1" si="20"/>
        <v>#VALUE!</v>
      </c>
      <c r="CJ24" s="31" t="e">
        <f ca="1">_xll.RiskBinomial(1,CI24)</f>
        <v>#VALUE!</v>
      </c>
      <c r="CK24" s="78" t="e">
        <f ca="1">IF(CJ24=1,_xll.RiskBinomial(1,Prob_illness_Adv_infection),0)</f>
        <v>#VALUE!</v>
      </c>
    </row>
    <row r="25" spans="2:89" x14ac:dyDescent="0.2">
      <c r="B25" s="97">
        <v>17</v>
      </c>
      <c r="C25" s="100">
        <f ca="1" xml:space="preserve"> _xll.RiskPert(Dur_event_hours_min,Dur_event_hours_mode,Dur_event_hours_max)</f>
        <v>0.51922245542233958</v>
      </c>
      <c r="D25" s="26">
        <f ca="1">_xll.RiskPert(Primary_Ing_Rate_mL_per_hour_min,Primary_Ing_Rate_mL_per_hour_mode,Primary_Ing_Rate_mL_per_hour_max)</f>
        <v>11.901672199202004</v>
      </c>
      <c r="E25" s="34">
        <f t="shared" ca="1" si="0"/>
        <v>6.1796154629014604</v>
      </c>
      <c r="F25" s="26"/>
      <c r="G25" s="77">
        <f t="shared" ca="1" si="21"/>
        <v>5.6737964340014504E-10</v>
      </c>
      <c r="H25" s="33">
        <f ca="1">INT(G25) + _xll.RiskBinomial(1,G25-INT(G25))</f>
        <v>0</v>
      </c>
      <c r="I25" s="26">
        <f t="shared" ca="1" si="1"/>
        <v>0</v>
      </c>
      <c r="J25" s="31">
        <f ca="1">_xll.RiskBinomial(1,I25)</f>
        <v>0</v>
      </c>
      <c r="K25" s="78">
        <f ca="1">IF(J25=1,_xll.RiskBinomial(1,Prob_illness_Adv_infection),0)</f>
        <v>0</v>
      </c>
      <c r="L25" s="26"/>
      <c r="M25" s="77">
        <f t="shared" ca="1" si="2"/>
        <v>1.4091228500850813E-11</v>
      </c>
      <c r="N25" s="33">
        <f ca="1">INT(M25) + _xll.RiskBinomial(1,M25-INT(M25))</f>
        <v>0</v>
      </c>
      <c r="O25" s="26">
        <f t="shared" ca="1" si="3"/>
        <v>0</v>
      </c>
      <c r="P25" s="31">
        <f ca="1">_xll.RiskBinomial(1,O25)</f>
        <v>0</v>
      </c>
      <c r="Q25" s="78">
        <f ca="1">IF(P25=1,_xll.RiskBinomial(1,Prob_illness_Adv_infection),0)</f>
        <v>0</v>
      </c>
      <c r="R25" s="26"/>
      <c r="S25" s="77">
        <f t="shared" ca="1" si="4"/>
        <v>1.7843556845640983E-10</v>
      </c>
      <c r="T25" s="33">
        <f ca="1">INT(S25) + _xll.RiskBinomial(1,S25-INT(S25))</f>
        <v>0</v>
      </c>
      <c r="U25" s="26">
        <f t="shared" ca="1" si="5"/>
        <v>0</v>
      </c>
      <c r="V25" s="31">
        <f ca="1">_xll.RiskBinomial(1,U25)</f>
        <v>0</v>
      </c>
      <c r="W25" s="78">
        <f ca="1">IF(V25=1,_xll.RiskBinomial(1,Prob_illness_Adv_infection),0)</f>
        <v>0</v>
      </c>
      <c r="X25" s="26"/>
      <c r="Y25" s="77">
        <f t="shared" ca="1" si="6"/>
        <v>1.4841175234290592E-11</v>
      </c>
      <c r="Z25" s="33">
        <f ca="1">INT(Y25) + _xll.RiskBinomial(1,Y25-INT(Y25))</f>
        <v>0</v>
      </c>
      <c r="AA25" s="26">
        <f t="shared" ca="1" si="7"/>
        <v>0</v>
      </c>
      <c r="AB25" s="31">
        <f ca="1">_xll.RiskBinomial(1,AA25)</f>
        <v>0</v>
      </c>
      <c r="AC25" s="78">
        <f ca="1">IF(AB25=1,_xll.RiskBinomial(1,Prob_illness_Adv_infection),0)</f>
        <v>0</v>
      </c>
      <c r="AD25" s="26"/>
      <c r="AE25" s="77">
        <f t="shared" ca="1" si="8"/>
        <v>2.2287402890260221E-11</v>
      </c>
      <c r="AF25" s="33">
        <f ca="1">INT(AE25) + _xll.RiskBinomial(1,AE25-INT(AE25))</f>
        <v>0</v>
      </c>
      <c r="AG25" s="26">
        <f t="shared" ca="1" si="9"/>
        <v>0</v>
      </c>
      <c r="AH25" s="31">
        <f ca="1">_xll.RiskBinomial(1,AG25)</f>
        <v>0</v>
      </c>
      <c r="AI25" s="78">
        <f ca="1">IF(AH25=1,_xll.RiskBinomial(1,Prob_illness_Adv_infection),0)</f>
        <v>0</v>
      </c>
      <c r="AJ25" s="26"/>
      <c r="AK25" s="77">
        <f t="shared" ca="1" si="10"/>
        <v>1.4500377182702632E-10</v>
      </c>
      <c r="AL25" s="33">
        <f ca="1">INT(AK25) + _xll.RiskBinomial(1,AK25-INT(AK25))</f>
        <v>0</v>
      </c>
      <c r="AM25" s="26">
        <f t="shared" ca="1" si="11"/>
        <v>0</v>
      </c>
      <c r="AN25" s="31">
        <f ca="1">_xll.RiskBinomial(1,AM25)</f>
        <v>0</v>
      </c>
      <c r="AO25" s="78">
        <f ca="1">IF(AN25=1,_xll.RiskBinomial(1,Prob_illness_Adv_infection),0)</f>
        <v>0</v>
      </c>
      <c r="AP25" s="26"/>
      <c r="AQ25" s="77">
        <f t="shared" ca="1" si="12"/>
        <v>2.7512169656855021E-10</v>
      </c>
      <c r="AR25" s="33">
        <f ca="1">INT(AQ25) + _xll.RiskBinomial(1,AQ25-INT(AQ25))</f>
        <v>0</v>
      </c>
      <c r="AS25" s="26">
        <f t="shared" ca="1" si="13"/>
        <v>0</v>
      </c>
      <c r="AT25" s="31">
        <f ca="1">_xll.RiskBinomial(1,AS25)</f>
        <v>0</v>
      </c>
      <c r="AU25" s="78">
        <f ca="1">IF(AT25=1,_xll.RiskBinomial(1,Prob_illness_Adv_infection),0)</f>
        <v>0</v>
      </c>
      <c r="AV25" s="26"/>
      <c r="AW25" s="77">
        <f t="shared" ca="1" si="22"/>
        <v>4.8452761551447475E-12</v>
      </c>
      <c r="AX25" s="33">
        <f ca="1">INT(AW25) + _xll.RiskBinomial(1,AW25-INT(AW25))</f>
        <v>0</v>
      </c>
      <c r="AY25" s="26">
        <f t="shared" ca="1" si="14"/>
        <v>0</v>
      </c>
      <c r="AZ25" s="31">
        <f ca="1">_xll.RiskBinomial(1,AY25)</f>
        <v>0</v>
      </c>
      <c r="BA25" s="78">
        <f ca="1">IF(AZ25=1,_xll.RiskBinomial(1,Prob_illness_Adv_infection),0)</f>
        <v>0</v>
      </c>
      <c r="BC25" s="77">
        <f t="shared" ca="1" si="23"/>
        <v>2.4835649650990092E-11</v>
      </c>
      <c r="BD25" s="33">
        <f ca="1">INT(BC25) + _xll.RiskBinomial(1,BC25-INT(BC25))</f>
        <v>0</v>
      </c>
      <c r="BE25" s="26">
        <f t="shared" ca="1" si="15"/>
        <v>0</v>
      </c>
      <c r="BF25" s="31">
        <f ca="1">_xll.RiskBinomial(1,BE25)</f>
        <v>0</v>
      </c>
      <c r="BG25" s="78">
        <f ca="1">IF(BF25=1,_xll.RiskBinomial(1,Prob_illness_Adv_infection),0)</f>
        <v>0</v>
      </c>
      <c r="BI25" s="77">
        <f t="shared" ca="1" si="24"/>
        <v>1.1565501251542472E-11</v>
      </c>
      <c r="BJ25" s="33">
        <f ca="1">INT(BI25) + _xll.RiskBinomial(1,BI25-INT(BI25))</f>
        <v>0</v>
      </c>
      <c r="BK25" s="26">
        <f t="shared" ca="1" si="16"/>
        <v>0</v>
      </c>
      <c r="BL25" s="31">
        <f ca="1">_xll.RiskBinomial(1,BK25)</f>
        <v>0</v>
      </c>
      <c r="BM25" s="78">
        <f ca="1">IF(BL25=1,_xll.RiskBinomial(1,Prob_illness_Adv_infection),0)</f>
        <v>0</v>
      </c>
      <c r="BO25" s="77">
        <f t="shared" ca="1" si="25"/>
        <v>2.5004706484738085E-11</v>
      </c>
      <c r="BP25" s="33">
        <f ca="1">INT(BO25) + _xll.RiskBinomial(1,BO25-INT(BO25))</f>
        <v>0</v>
      </c>
      <c r="BQ25" s="26">
        <f t="shared" ca="1" si="17"/>
        <v>0</v>
      </c>
      <c r="BR25" s="31">
        <f ca="1">_xll.RiskBinomial(1,BQ25)</f>
        <v>0</v>
      </c>
      <c r="BS25" s="78">
        <f ca="1">IF(BR25=1,_xll.RiskBinomial(1,Prob_illness_Adv_infection),0)</f>
        <v>0</v>
      </c>
      <c r="BU25" s="77">
        <f t="shared" ca="1" si="26"/>
        <v>1.7865926585043009E-13</v>
      </c>
      <c r="BV25" s="33">
        <f ca="1">INT(BU25) + _xll.RiskBinomial(1,BU25-INT(BU25))</f>
        <v>0</v>
      </c>
      <c r="BW25" s="26">
        <f t="shared" ca="1" si="18"/>
        <v>0</v>
      </c>
      <c r="BX25" s="31">
        <f ca="1">_xll.RiskBinomial(1,BW25)</f>
        <v>0</v>
      </c>
      <c r="BY25" s="78">
        <f ca="1">IF(BX25=1,_xll.RiskBinomial(1,Prob_illness_Adv_infection),0)</f>
        <v>0</v>
      </c>
      <c r="CA25" s="77">
        <f t="shared" ca="1" si="27"/>
        <v>2.7109098866314695E-11</v>
      </c>
      <c r="CB25" s="33">
        <f ca="1">INT(CA25) + _xll.RiskBinomial(1,CA25-INT(CA25))</f>
        <v>0</v>
      </c>
      <c r="CC25" s="26">
        <f t="shared" ca="1" si="19"/>
        <v>0</v>
      </c>
      <c r="CD25" s="31">
        <f ca="1">_xll.RiskBinomial(1,CC25)</f>
        <v>0</v>
      </c>
      <c r="CE25" s="78">
        <f ca="1">IF(CD25=1,_xll.RiskBinomial(1,Prob_illness_Adv_infection),0)</f>
        <v>0</v>
      </c>
      <c r="CG25" s="77" t="e">
        <f t="shared" ca="1" si="28"/>
        <v>#VALUE!</v>
      </c>
      <c r="CH25" s="33" t="e">
        <f ca="1">INT(CG25) + _xll.RiskBinomial(1,CG25-INT(CG25))</f>
        <v>#VALUE!</v>
      </c>
      <c r="CI25" s="26" t="e">
        <f t="shared" ca="1" si="20"/>
        <v>#VALUE!</v>
      </c>
      <c r="CJ25" s="31" t="e">
        <f ca="1">_xll.RiskBinomial(1,CI25)</f>
        <v>#VALUE!</v>
      </c>
      <c r="CK25" s="78" t="e">
        <f ca="1">IF(CJ25=1,_xll.RiskBinomial(1,Prob_illness_Adv_infection),0)</f>
        <v>#VALUE!</v>
      </c>
    </row>
    <row r="26" spans="2:89" x14ac:dyDescent="0.2">
      <c r="B26" s="97">
        <v>18</v>
      </c>
      <c r="C26" s="100">
        <f ca="1" xml:space="preserve"> _xll.RiskPert(Dur_event_hours_min,Dur_event_hours_mode,Dur_event_hours_max)</f>
        <v>0.97730966269812503</v>
      </c>
      <c r="D26" s="26">
        <f ca="1">_xll.RiskPert(Primary_Ing_Rate_mL_per_hour_min,Primary_Ing_Rate_mL_per_hour_mode,Primary_Ing_Rate_mL_per_hour_max)</f>
        <v>11.622448191187138</v>
      </c>
      <c r="E26" s="34">
        <f t="shared" ca="1" si="0"/>
        <v>11.358730921455535</v>
      </c>
      <c r="F26" s="26"/>
      <c r="G26" s="77">
        <f t="shared" ca="1" si="21"/>
        <v>1.0428986622846776E-9</v>
      </c>
      <c r="H26" s="33">
        <f ca="1">INT(G26) + _xll.RiskBinomial(1,G26-INT(G26))</f>
        <v>0</v>
      </c>
      <c r="I26" s="26">
        <f t="shared" ca="1" si="1"/>
        <v>0</v>
      </c>
      <c r="J26" s="31">
        <f ca="1">_xll.RiskBinomial(1,I26)</f>
        <v>0</v>
      </c>
      <c r="K26" s="78">
        <f ca="1">IF(J26=1,_xll.RiskBinomial(1,Prob_illness_Adv_infection),0)</f>
        <v>0</v>
      </c>
      <c r="L26" s="26"/>
      <c r="M26" s="77">
        <f t="shared" ca="1" si="2"/>
        <v>2.5901040906962653E-11</v>
      </c>
      <c r="N26" s="33">
        <f ca="1">INT(M26) + _xll.RiskBinomial(1,M26-INT(M26))</f>
        <v>0</v>
      </c>
      <c r="O26" s="26">
        <f t="shared" ca="1" si="3"/>
        <v>0</v>
      </c>
      <c r="P26" s="31">
        <f ca="1">_xll.RiskBinomial(1,O26)</f>
        <v>0</v>
      </c>
      <c r="Q26" s="78">
        <f ca="1">IF(P26=1,_xll.RiskBinomial(1,Prob_illness_Adv_infection),0)</f>
        <v>0</v>
      </c>
      <c r="R26" s="26"/>
      <c r="S26" s="77">
        <f t="shared" ca="1" si="4"/>
        <v>3.2798183334884916E-10</v>
      </c>
      <c r="T26" s="33">
        <f ca="1">INT(S26) + _xll.RiskBinomial(1,S26-INT(S26))</f>
        <v>0</v>
      </c>
      <c r="U26" s="26">
        <f t="shared" ca="1" si="5"/>
        <v>0</v>
      </c>
      <c r="V26" s="31">
        <f ca="1">_xll.RiskBinomial(1,U26)</f>
        <v>0</v>
      </c>
      <c r="W26" s="78">
        <f ca="1">IF(V26=1,_xll.RiskBinomial(1,Prob_illness_Adv_infection),0)</f>
        <v>0</v>
      </c>
      <c r="X26" s="26"/>
      <c r="Y26" s="77">
        <f t="shared" ca="1" si="6"/>
        <v>2.7279515538872416E-11</v>
      </c>
      <c r="Z26" s="33">
        <f ca="1">INT(Y26) + _xll.RiskBinomial(1,Y26-INT(Y26))</f>
        <v>0</v>
      </c>
      <c r="AA26" s="26">
        <f t="shared" ca="1" si="7"/>
        <v>0</v>
      </c>
      <c r="AB26" s="31">
        <f ca="1">_xll.RiskBinomial(1,AA26)</f>
        <v>0</v>
      </c>
      <c r="AC26" s="78">
        <f ca="1">IF(AB26=1,_xll.RiskBinomial(1,Prob_illness_Adv_infection),0)</f>
        <v>0</v>
      </c>
      <c r="AD26" s="26"/>
      <c r="AE26" s="77">
        <f t="shared" ca="1" si="8"/>
        <v>4.0966402179606475E-11</v>
      </c>
      <c r="AF26" s="33">
        <f ca="1">INT(AE26) + _xll.RiskBinomial(1,AE26-INT(AE26))</f>
        <v>0</v>
      </c>
      <c r="AG26" s="26">
        <f t="shared" ca="1" si="9"/>
        <v>0</v>
      </c>
      <c r="AH26" s="31">
        <f ca="1">_xll.RiskBinomial(1,AG26)</f>
        <v>0</v>
      </c>
      <c r="AI26" s="78">
        <f ca="1">IF(AH26=1,_xll.RiskBinomial(1,Prob_illness_Adv_infection),0)</f>
        <v>0</v>
      </c>
      <c r="AJ26" s="26"/>
      <c r="AK26" s="77">
        <f t="shared" ca="1" si="10"/>
        <v>2.6653095757612045E-10</v>
      </c>
      <c r="AL26" s="33">
        <f ca="1">INT(AK26) + _xll.RiskBinomial(1,AK26-INT(AK26))</f>
        <v>0</v>
      </c>
      <c r="AM26" s="26">
        <f t="shared" ca="1" si="11"/>
        <v>0</v>
      </c>
      <c r="AN26" s="31">
        <f ca="1">_xll.RiskBinomial(1,AM26)</f>
        <v>0</v>
      </c>
      <c r="AO26" s="78">
        <f ca="1">IF(AN26=1,_xll.RiskBinomial(1,Prob_illness_Adv_infection),0)</f>
        <v>0</v>
      </c>
      <c r="AP26" s="26"/>
      <c r="AQ26" s="77">
        <f t="shared" ca="1" si="12"/>
        <v>5.0570028843012015E-10</v>
      </c>
      <c r="AR26" s="33">
        <f ca="1">INT(AQ26) + _xll.RiskBinomial(1,AQ26-INT(AQ26))</f>
        <v>0</v>
      </c>
      <c r="AS26" s="26">
        <f t="shared" ca="1" si="13"/>
        <v>0</v>
      </c>
      <c r="AT26" s="31">
        <f ca="1">_xll.RiskBinomial(1,AS26)</f>
        <v>0</v>
      </c>
      <c r="AU26" s="78">
        <f ca="1">IF(AT26=1,_xll.RiskBinomial(1,Prob_illness_Adv_infection),0)</f>
        <v>0</v>
      </c>
      <c r="AV26" s="26"/>
      <c r="AW26" s="77">
        <f t="shared" ca="1" si="22"/>
        <v>8.9060862147226831E-12</v>
      </c>
      <c r="AX26" s="33">
        <f ca="1">INT(AW26) + _xll.RiskBinomial(1,AW26-INT(AW26))</f>
        <v>0</v>
      </c>
      <c r="AY26" s="26">
        <f t="shared" ca="1" si="14"/>
        <v>0</v>
      </c>
      <c r="AZ26" s="31">
        <f ca="1">_xll.RiskBinomial(1,AY26)</f>
        <v>0</v>
      </c>
      <c r="BA26" s="78">
        <f ca="1">IF(AZ26=1,_xll.RiskBinomial(1,Prob_illness_Adv_infection),0)</f>
        <v>0</v>
      </c>
      <c r="BC26" s="77">
        <f t="shared" ca="1" si="23"/>
        <v>4.5650326195650516E-11</v>
      </c>
      <c r="BD26" s="33">
        <f ca="1">INT(BC26) + _xll.RiskBinomial(1,BC26-INT(BC26))</f>
        <v>0</v>
      </c>
      <c r="BE26" s="26">
        <f t="shared" ca="1" si="15"/>
        <v>0</v>
      </c>
      <c r="BF26" s="31">
        <f ca="1">_xll.RiskBinomial(1,BE26)</f>
        <v>0</v>
      </c>
      <c r="BG26" s="78">
        <f ca="1">IF(BF26=1,_xll.RiskBinomial(1,Prob_illness_Adv_infection),0)</f>
        <v>0</v>
      </c>
      <c r="BI26" s="77">
        <f t="shared" ca="1" si="24"/>
        <v>2.1258509931028529E-11</v>
      </c>
      <c r="BJ26" s="33">
        <f ca="1">INT(BI26) + _xll.RiskBinomial(1,BI26-INT(BI26))</f>
        <v>0</v>
      </c>
      <c r="BK26" s="26">
        <f t="shared" ca="1" si="16"/>
        <v>0</v>
      </c>
      <c r="BL26" s="31">
        <f ca="1">_xll.RiskBinomial(1,BK26)</f>
        <v>0</v>
      </c>
      <c r="BM26" s="78">
        <f ca="1">IF(BL26=1,_xll.RiskBinomial(1,Prob_illness_Adv_infection),0)</f>
        <v>0</v>
      </c>
      <c r="BO26" s="77">
        <f t="shared" ca="1" si="25"/>
        <v>4.5961069007481582E-11</v>
      </c>
      <c r="BP26" s="33">
        <f ca="1">INT(BO26) + _xll.RiskBinomial(1,BO26-INT(BO26))</f>
        <v>0</v>
      </c>
      <c r="BQ26" s="26">
        <f t="shared" ca="1" si="17"/>
        <v>0</v>
      </c>
      <c r="BR26" s="31">
        <f ca="1">_xll.RiskBinomial(1,BQ26)</f>
        <v>0</v>
      </c>
      <c r="BS26" s="78">
        <f ca="1">IF(BR26=1,_xll.RiskBinomial(1,Prob_illness_Adv_infection),0)</f>
        <v>0</v>
      </c>
      <c r="BU26" s="77">
        <f t="shared" ca="1" si="26"/>
        <v>3.2839301079536852E-13</v>
      </c>
      <c r="BV26" s="33">
        <f ca="1">INT(BU26) + _xll.RiskBinomial(1,BU26-INT(BU26))</f>
        <v>0</v>
      </c>
      <c r="BW26" s="26">
        <f t="shared" ca="1" si="18"/>
        <v>0</v>
      </c>
      <c r="BX26" s="31">
        <f ca="1">_xll.RiskBinomial(1,BW26)</f>
        <v>0</v>
      </c>
      <c r="BY26" s="78">
        <f ca="1">IF(BX26=1,_xll.RiskBinomial(1,Prob_illness_Adv_infection),0)</f>
        <v>0</v>
      </c>
      <c r="CA26" s="77">
        <f t="shared" ca="1" si="27"/>
        <v>4.9829145744454888E-11</v>
      </c>
      <c r="CB26" s="33">
        <f ca="1">INT(CA26) + _xll.RiskBinomial(1,CA26-INT(CA26))</f>
        <v>0</v>
      </c>
      <c r="CC26" s="26">
        <f t="shared" ca="1" si="19"/>
        <v>0</v>
      </c>
      <c r="CD26" s="31">
        <f ca="1">_xll.RiskBinomial(1,CC26)</f>
        <v>0</v>
      </c>
      <c r="CE26" s="78">
        <f ca="1">IF(CD26=1,_xll.RiskBinomial(1,Prob_illness_Adv_infection),0)</f>
        <v>0</v>
      </c>
      <c r="CG26" s="77" t="e">
        <f t="shared" ca="1" si="28"/>
        <v>#VALUE!</v>
      </c>
      <c r="CH26" s="33" t="e">
        <f ca="1">INT(CG26) + _xll.RiskBinomial(1,CG26-INT(CG26))</f>
        <v>#VALUE!</v>
      </c>
      <c r="CI26" s="26" t="e">
        <f t="shared" ca="1" si="20"/>
        <v>#VALUE!</v>
      </c>
      <c r="CJ26" s="31" t="e">
        <f ca="1">_xll.RiskBinomial(1,CI26)</f>
        <v>#VALUE!</v>
      </c>
      <c r="CK26" s="78" t="e">
        <f ca="1">IF(CJ26=1,_xll.RiskBinomial(1,Prob_illness_Adv_infection),0)</f>
        <v>#VALUE!</v>
      </c>
    </row>
    <row r="27" spans="2:89" x14ac:dyDescent="0.2">
      <c r="B27" s="97">
        <v>19</v>
      </c>
      <c r="C27" s="100">
        <f ca="1" xml:space="preserve"> _xll.RiskPert(Dur_event_hours_min,Dur_event_hours_mode,Dur_event_hours_max)</f>
        <v>0.65112893334317024</v>
      </c>
      <c r="D27" s="26">
        <f ca="1">_xll.RiskPert(Primary_Ing_Rate_mL_per_hour_min,Primary_Ing_Rate_mL_per_hour_mode,Primary_Ing_Rate_mL_per_hour_max)</f>
        <v>13.607527824810782</v>
      </c>
      <c r="E27" s="34">
        <f t="shared" ca="1" si="0"/>
        <v>8.8602550780065545</v>
      </c>
      <c r="F27" s="26"/>
      <c r="G27" s="77">
        <f t="shared" ca="1" si="21"/>
        <v>8.1350181039150606E-10</v>
      </c>
      <c r="H27" s="33">
        <f ca="1">INT(G27) + _xll.RiskBinomial(1,G27-INT(G27))</f>
        <v>0</v>
      </c>
      <c r="I27" s="26">
        <f t="shared" ca="1" si="1"/>
        <v>0</v>
      </c>
      <c r="J27" s="31">
        <f ca="1">_xll.RiskBinomial(1,I27)</f>
        <v>0</v>
      </c>
      <c r="K27" s="78">
        <f ca="1">IF(J27=1,_xll.RiskBinomial(1,Prob_illness_Adv_infection),0)</f>
        <v>0</v>
      </c>
      <c r="L27" s="26"/>
      <c r="M27" s="77">
        <f t="shared" ca="1" si="2"/>
        <v>2.0203826537354401E-11</v>
      </c>
      <c r="N27" s="33">
        <f ca="1">INT(M27) + _xll.RiskBinomial(1,M27-INT(M27))</f>
        <v>0</v>
      </c>
      <c r="O27" s="26">
        <f t="shared" ca="1" si="3"/>
        <v>0</v>
      </c>
      <c r="P27" s="31">
        <f ca="1">_xll.RiskBinomial(1,O27)</f>
        <v>0</v>
      </c>
      <c r="Q27" s="78">
        <f ca="1">IF(P27=1,_xll.RiskBinomial(1,Prob_illness_Adv_infection),0)</f>
        <v>0</v>
      </c>
      <c r="R27" s="26"/>
      <c r="S27" s="77">
        <f t="shared" ca="1" si="4"/>
        <v>2.5583867815143717E-10</v>
      </c>
      <c r="T27" s="33">
        <f ca="1">INT(S27) + _xll.RiskBinomial(1,S27-INT(S27))</f>
        <v>0</v>
      </c>
      <c r="U27" s="26">
        <f t="shared" ca="1" si="5"/>
        <v>0</v>
      </c>
      <c r="V27" s="31">
        <f ca="1">_xll.RiskBinomial(1,U27)</f>
        <v>0</v>
      </c>
      <c r="W27" s="78">
        <f ca="1">IF(V27=1,_xll.RiskBinomial(1,Prob_illness_Adv_infection),0)</f>
        <v>0</v>
      </c>
      <c r="X27" s="26"/>
      <c r="Y27" s="77">
        <f t="shared" ca="1" si="6"/>
        <v>2.1279090749680388E-11</v>
      </c>
      <c r="Z27" s="33">
        <f ca="1">INT(Y27) + _xll.RiskBinomial(1,Y27-INT(Y27))</f>
        <v>0</v>
      </c>
      <c r="AA27" s="26">
        <f t="shared" ca="1" si="7"/>
        <v>0</v>
      </c>
      <c r="AB27" s="31">
        <f ca="1">_xll.RiskBinomial(1,AA27)</f>
        <v>0</v>
      </c>
      <c r="AC27" s="78">
        <f ca="1">IF(AB27=1,_xll.RiskBinomial(1,Prob_illness_Adv_infection),0)</f>
        <v>0</v>
      </c>
      <c r="AD27" s="26"/>
      <c r="AE27" s="77">
        <f t="shared" ca="1" si="8"/>
        <v>3.1955398490327546E-11</v>
      </c>
      <c r="AF27" s="33">
        <f ca="1">INT(AE27) + _xll.RiskBinomial(1,AE27-INT(AE27))</f>
        <v>0</v>
      </c>
      <c r="AG27" s="26">
        <f t="shared" ca="1" si="9"/>
        <v>0</v>
      </c>
      <c r="AH27" s="31">
        <f ca="1">_xll.RiskBinomial(1,AG27)</f>
        <v>0</v>
      </c>
      <c r="AI27" s="78">
        <f ca="1">IF(AH27=1,_xll.RiskBinomial(1,Prob_illness_Adv_infection),0)</f>
        <v>0</v>
      </c>
      <c r="AJ27" s="26"/>
      <c r="AK27" s="77">
        <f t="shared" ca="1" si="10"/>
        <v>2.0790458781350886E-10</v>
      </c>
      <c r="AL27" s="33">
        <f ca="1">INT(AK27) + _xll.RiskBinomial(1,AK27-INT(AK27))</f>
        <v>0</v>
      </c>
      <c r="AM27" s="26">
        <f t="shared" ca="1" si="11"/>
        <v>0</v>
      </c>
      <c r="AN27" s="31">
        <f ca="1">_xll.RiskBinomial(1,AM27)</f>
        <v>0</v>
      </c>
      <c r="AO27" s="78">
        <f ca="1">IF(AN27=1,_xll.RiskBinomial(1,Prob_illness_Adv_infection),0)</f>
        <v>0</v>
      </c>
      <c r="AP27" s="26"/>
      <c r="AQ27" s="77">
        <f t="shared" ca="1" si="12"/>
        <v>3.9446603493783541E-10</v>
      </c>
      <c r="AR27" s="33">
        <f ca="1">INT(AQ27) + _xll.RiskBinomial(1,AQ27-INT(AQ27))</f>
        <v>0</v>
      </c>
      <c r="AS27" s="26">
        <f t="shared" ca="1" si="13"/>
        <v>0</v>
      </c>
      <c r="AT27" s="31">
        <f ca="1">_xll.RiskBinomial(1,AS27)</f>
        <v>0</v>
      </c>
      <c r="AU27" s="78">
        <f ca="1">IF(AT27=1,_xll.RiskBinomial(1,Prob_illness_Adv_infection),0)</f>
        <v>0</v>
      </c>
      <c r="AV27" s="26"/>
      <c r="AW27" s="77">
        <f t="shared" ca="1" si="22"/>
        <v>6.9470961285038603E-12</v>
      </c>
      <c r="AX27" s="33">
        <f ca="1">INT(AW27) + _xll.RiskBinomial(1,AW27-INT(AW27))</f>
        <v>0</v>
      </c>
      <c r="AY27" s="26">
        <f t="shared" ca="1" si="14"/>
        <v>0</v>
      </c>
      <c r="AZ27" s="31">
        <f ca="1">_xll.RiskBinomial(1,AY27)</f>
        <v>0</v>
      </c>
      <c r="BA27" s="78">
        <f ca="1">IF(AZ27=1,_xll.RiskBinomial(1,Prob_illness_Adv_infection),0)</f>
        <v>0</v>
      </c>
      <c r="BC27" s="77">
        <f t="shared" ca="1" si="23"/>
        <v>3.5609042707725124E-11</v>
      </c>
      <c r="BD27" s="33">
        <f ca="1">INT(BC27) + _xll.RiskBinomial(1,BC27-INT(BC27))</f>
        <v>0</v>
      </c>
      <c r="BE27" s="26">
        <f t="shared" ca="1" si="15"/>
        <v>0</v>
      </c>
      <c r="BF27" s="31">
        <f ca="1">_xll.RiskBinomial(1,BE27)</f>
        <v>0</v>
      </c>
      <c r="BG27" s="78">
        <f ca="1">IF(BF27=1,_xll.RiskBinomial(1,Prob_illness_Adv_infection),0)</f>
        <v>0</v>
      </c>
      <c r="BI27" s="77">
        <f t="shared" ca="1" si="24"/>
        <v>1.6582470512745623E-11</v>
      </c>
      <c r="BJ27" s="33">
        <f ca="1">INT(BI27) + _xll.RiskBinomial(1,BI27-INT(BI27))</f>
        <v>0</v>
      </c>
      <c r="BK27" s="26">
        <f t="shared" ca="1" si="16"/>
        <v>0</v>
      </c>
      <c r="BL27" s="31">
        <f ca="1">_xll.RiskBinomial(1,BK27)</f>
        <v>0</v>
      </c>
      <c r="BM27" s="78">
        <f ca="1">IF(BL27=1,_xll.RiskBinomial(1,Prob_illness_Adv_infection),0)</f>
        <v>0</v>
      </c>
      <c r="BO27" s="77">
        <f t="shared" ca="1" si="25"/>
        <v>3.5851434273782874E-11</v>
      </c>
      <c r="BP27" s="33">
        <f ca="1">INT(BO27) + _xll.RiskBinomial(1,BO27-INT(BO27))</f>
        <v>0</v>
      </c>
      <c r="BQ27" s="26">
        <f t="shared" ca="1" si="17"/>
        <v>0</v>
      </c>
      <c r="BR27" s="31">
        <f ca="1">_xll.RiskBinomial(1,BQ27)</f>
        <v>0</v>
      </c>
      <c r="BS27" s="78">
        <f ca="1">IF(BR27=1,_xll.RiskBinomial(1,Prob_illness_Adv_infection),0)</f>
        <v>0</v>
      </c>
      <c r="BU27" s="77">
        <f t="shared" ca="1" si="26"/>
        <v>2.5615941266691045E-13</v>
      </c>
      <c r="BV27" s="33">
        <f ca="1">INT(BU27) + _xll.RiskBinomial(1,BU27-INT(BU27))</f>
        <v>0</v>
      </c>
      <c r="BW27" s="26">
        <f t="shared" ca="1" si="18"/>
        <v>0</v>
      </c>
      <c r="BX27" s="31">
        <f ca="1">_xll.RiskBinomial(1,BW27)</f>
        <v>0</v>
      </c>
      <c r="BY27" s="78">
        <f ca="1">IF(BX27=1,_xll.RiskBinomial(1,Prob_illness_Adv_infection),0)</f>
        <v>0</v>
      </c>
      <c r="CA27" s="77">
        <f t="shared" ca="1" si="27"/>
        <v>3.8868685654053714E-11</v>
      </c>
      <c r="CB27" s="33">
        <f ca="1">INT(CA27) + _xll.RiskBinomial(1,CA27-INT(CA27))</f>
        <v>0</v>
      </c>
      <c r="CC27" s="26">
        <f t="shared" ca="1" si="19"/>
        <v>0</v>
      </c>
      <c r="CD27" s="31">
        <f ca="1">_xll.RiskBinomial(1,CC27)</f>
        <v>0</v>
      </c>
      <c r="CE27" s="78">
        <f ca="1">IF(CD27=1,_xll.RiskBinomial(1,Prob_illness_Adv_infection),0)</f>
        <v>0</v>
      </c>
      <c r="CG27" s="77" t="e">
        <f t="shared" ca="1" si="28"/>
        <v>#VALUE!</v>
      </c>
      <c r="CH27" s="33" t="e">
        <f ca="1">INT(CG27) + _xll.RiskBinomial(1,CG27-INT(CG27))</f>
        <v>#VALUE!</v>
      </c>
      <c r="CI27" s="26" t="e">
        <f t="shared" ca="1" si="20"/>
        <v>#VALUE!</v>
      </c>
      <c r="CJ27" s="31" t="e">
        <f ca="1">_xll.RiskBinomial(1,CI27)</f>
        <v>#VALUE!</v>
      </c>
      <c r="CK27" s="78" t="e">
        <f ca="1">IF(CJ27=1,_xll.RiskBinomial(1,Prob_illness_Adv_infection),0)</f>
        <v>#VALUE!</v>
      </c>
    </row>
    <row r="28" spans="2:89" x14ac:dyDescent="0.2">
      <c r="B28" s="97">
        <v>20</v>
      </c>
      <c r="C28" s="100">
        <f ca="1" xml:space="preserve"> _xll.RiskPert(Dur_event_hours_min,Dur_event_hours_mode,Dur_event_hours_max)</f>
        <v>1.5852698409364534</v>
      </c>
      <c r="D28" s="26">
        <f ca="1">_xll.RiskPert(Primary_Ing_Rate_mL_per_hour_min,Primary_Ing_Rate_mL_per_hour_mode,Primary_Ing_Rate_mL_per_hour_max)</f>
        <v>8.1870691790717878</v>
      </c>
      <c r="E28" s="34">
        <f t="shared" ca="1" si="0"/>
        <v>12.978713855242873</v>
      </c>
      <c r="F28" s="26"/>
      <c r="G28" s="77">
        <f t="shared" ca="1" si="21"/>
        <v>1.1916369365032845E-9</v>
      </c>
      <c r="H28" s="33">
        <f ca="1">INT(G28) + _xll.RiskBinomial(1,G28-INT(G28))</f>
        <v>0</v>
      </c>
      <c r="I28" s="26">
        <f t="shared" ca="1" si="1"/>
        <v>0</v>
      </c>
      <c r="J28" s="31">
        <f ca="1">_xll.RiskBinomial(1,I28)</f>
        <v>0</v>
      </c>
      <c r="K28" s="78">
        <f ca="1">IF(J28=1,_xll.RiskBinomial(1,Prob_illness_Adv_infection),0)</f>
        <v>0</v>
      </c>
      <c r="L28" s="26"/>
      <c r="M28" s="77">
        <f t="shared" ca="1" si="2"/>
        <v>2.959504902518916E-11</v>
      </c>
      <c r="N28" s="33">
        <f ca="1">INT(M28) + _xll.RiskBinomial(1,M28-INT(M28))</f>
        <v>0</v>
      </c>
      <c r="O28" s="26">
        <f t="shared" ca="1" si="3"/>
        <v>0</v>
      </c>
      <c r="P28" s="31">
        <f ca="1">_xll.RiskBinomial(1,O28)</f>
        <v>0</v>
      </c>
      <c r="Q28" s="78">
        <f ca="1">IF(P28=1,_xll.RiskBinomial(1,Prob_illness_Adv_infection),0)</f>
        <v>0</v>
      </c>
      <c r="R28" s="26"/>
      <c r="S28" s="77">
        <f t="shared" ca="1" si="4"/>
        <v>3.7475862349305423E-10</v>
      </c>
      <c r="T28" s="33">
        <f ca="1">INT(S28) + _xll.RiskBinomial(1,S28-INT(S28))</f>
        <v>0</v>
      </c>
      <c r="U28" s="26">
        <f t="shared" ca="1" si="5"/>
        <v>0</v>
      </c>
      <c r="V28" s="31">
        <f ca="1">_xll.RiskBinomial(1,U28)</f>
        <v>0</v>
      </c>
      <c r="W28" s="78">
        <f ca="1">IF(V28=1,_xll.RiskBinomial(1,Prob_illness_Adv_infection),0)</f>
        <v>0</v>
      </c>
      <c r="X28" s="26"/>
      <c r="Y28" s="77">
        <f t="shared" ca="1" si="6"/>
        <v>3.1170121797665354E-11</v>
      </c>
      <c r="Z28" s="33">
        <f ca="1">INT(Y28) + _xll.RiskBinomial(1,Y28-INT(Y28))</f>
        <v>0</v>
      </c>
      <c r="AA28" s="26">
        <f t="shared" ca="1" si="7"/>
        <v>0</v>
      </c>
      <c r="AB28" s="31">
        <f ca="1">_xll.RiskBinomial(1,AA28)</f>
        <v>0</v>
      </c>
      <c r="AC28" s="78">
        <f ca="1">IF(AB28=1,_xll.RiskBinomial(1,Prob_illness_Adv_infection),0)</f>
        <v>0</v>
      </c>
      <c r="AD28" s="26"/>
      <c r="AE28" s="77">
        <f t="shared" ca="1" si="8"/>
        <v>4.6809033090448286E-11</v>
      </c>
      <c r="AF28" s="33">
        <f ca="1">INT(AE28) + _xll.RiskBinomial(1,AE28-INT(AE28))</f>
        <v>0</v>
      </c>
      <c r="AG28" s="26">
        <f t="shared" ca="1" si="9"/>
        <v>0</v>
      </c>
      <c r="AH28" s="31">
        <f ca="1">_xll.RiskBinomial(1,AG28)</f>
        <v>0</v>
      </c>
      <c r="AI28" s="78">
        <f ca="1">IF(AH28=1,_xll.RiskBinomial(1,Prob_illness_Adv_infection),0)</f>
        <v>0</v>
      </c>
      <c r="AJ28" s="26"/>
      <c r="AK28" s="77">
        <f t="shared" ca="1" si="10"/>
        <v>3.0454361986955761E-10</v>
      </c>
      <c r="AL28" s="33">
        <f ca="1">INT(AK28) + _xll.RiskBinomial(1,AK28-INT(AK28))</f>
        <v>0</v>
      </c>
      <c r="AM28" s="26">
        <f t="shared" ca="1" si="11"/>
        <v>0</v>
      </c>
      <c r="AN28" s="31">
        <f ca="1">_xll.RiskBinomial(1,AM28)</f>
        <v>0</v>
      </c>
      <c r="AO28" s="78">
        <f ca="1">IF(AN28=1,_xll.RiskBinomial(1,Prob_illness_Adv_infection),0)</f>
        <v>0</v>
      </c>
      <c r="AP28" s="26"/>
      <c r="AQ28" s="77">
        <f t="shared" ca="1" si="12"/>
        <v>5.7782329605597119E-10</v>
      </c>
      <c r="AR28" s="33">
        <f ca="1">INT(AQ28) + _xll.RiskBinomial(1,AQ28-INT(AQ28))</f>
        <v>0</v>
      </c>
      <c r="AS28" s="26">
        <f t="shared" ca="1" si="13"/>
        <v>0</v>
      </c>
      <c r="AT28" s="31">
        <f ca="1">_xll.RiskBinomial(1,AS28)</f>
        <v>0</v>
      </c>
      <c r="AU28" s="78">
        <f ca="1">IF(AT28=1,_xll.RiskBinomial(1,Prob_illness_Adv_infection),0)</f>
        <v>0</v>
      </c>
      <c r="AV28" s="26"/>
      <c r="AW28" s="77">
        <f t="shared" ca="1" si="22"/>
        <v>1.0176272802859645E-11</v>
      </c>
      <c r="AX28" s="33">
        <f ca="1">INT(AW28) + _xll.RiskBinomial(1,AW28-INT(AW28))</f>
        <v>0</v>
      </c>
      <c r="AY28" s="26">
        <f t="shared" ca="1" si="14"/>
        <v>0</v>
      </c>
      <c r="AZ28" s="31">
        <f ca="1">_xll.RiskBinomial(1,AY28)</f>
        <v>0</v>
      </c>
      <c r="BA28" s="78">
        <f ca="1">IF(AZ28=1,_xll.RiskBinomial(1,Prob_illness_Adv_infection),0)</f>
        <v>0</v>
      </c>
      <c r="BC28" s="77">
        <f t="shared" ca="1" si="23"/>
        <v>5.2160978650590644E-11</v>
      </c>
      <c r="BD28" s="33">
        <f ca="1">INT(BC28) + _xll.RiskBinomial(1,BC28-INT(BC28))</f>
        <v>0</v>
      </c>
      <c r="BE28" s="26">
        <f t="shared" ca="1" si="15"/>
        <v>0</v>
      </c>
      <c r="BF28" s="31">
        <f ca="1">_xll.RiskBinomial(1,BE28)</f>
        <v>0</v>
      </c>
      <c r="BG28" s="78">
        <f ca="1">IF(BF28=1,_xll.RiskBinomial(1,Prob_illness_Adv_infection),0)</f>
        <v>0</v>
      </c>
      <c r="BI28" s="77">
        <f t="shared" ca="1" si="24"/>
        <v>2.4290399983196597E-11</v>
      </c>
      <c r="BJ28" s="33">
        <f ca="1">INT(BI28) + _xll.RiskBinomial(1,BI28-INT(BI28))</f>
        <v>0</v>
      </c>
      <c r="BK28" s="26">
        <f t="shared" ca="1" si="16"/>
        <v>0</v>
      </c>
      <c r="BL28" s="31">
        <f ca="1">_xll.RiskBinomial(1,BK28)</f>
        <v>0</v>
      </c>
      <c r="BM28" s="78">
        <f ca="1">IF(BL28=1,_xll.RiskBinomial(1,Prob_illness_Adv_infection),0)</f>
        <v>0</v>
      </c>
      <c r="BO28" s="77">
        <f t="shared" ca="1" si="25"/>
        <v>5.2516039622209487E-11</v>
      </c>
      <c r="BP28" s="33">
        <f ca="1">INT(BO28) + _xll.RiskBinomial(1,BO28-INT(BO28))</f>
        <v>0</v>
      </c>
      <c r="BQ28" s="26">
        <f t="shared" ca="1" si="17"/>
        <v>0</v>
      </c>
      <c r="BR28" s="31">
        <f ca="1">_xll.RiskBinomial(1,BQ28)</f>
        <v>0</v>
      </c>
      <c r="BS28" s="78">
        <f ca="1">IF(BR28=1,_xll.RiskBinomial(1,Prob_illness_Adv_infection),0)</f>
        <v>0</v>
      </c>
      <c r="BU28" s="77">
        <f t="shared" ca="1" si="26"/>
        <v>3.7522844309341314E-13</v>
      </c>
      <c r="BV28" s="33">
        <f ca="1">INT(BU28) + _xll.RiskBinomial(1,BU28-INT(BU28))</f>
        <v>0</v>
      </c>
      <c r="BW28" s="26">
        <f t="shared" ca="1" si="18"/>
        <v>0</v>
      </c>
      <c r="BX28" s="31">
        <f ca="1">_xll.RiskBinomial(1,BW28)</f>
        <v>0</v>
      </c>
      <c r="BY28" s="78">
        <f ca="1">IF(BX28=1,_xll.RiskBinomial(1,Prob_illness_Adv_infection),0)</f>
        <v>0</v>
      </c>
      <c r="CA28" s="77">
        <f t="shared" ca="1" si="27"/>
        <v>5.6935781711923942E-11</v>
      </c>
      <c r="CB28" s="33">
        <f ca="1">INT(CA28) + _xll.RiskBinomial(1,CA28-INT(CA28))</f>
        <v>0</v>
      </c>
      <c r="CC28" s="26">
        <f t="shared" ca="1" si="19"/>
        <v>0</v>
      </c>
      <c r="CD28" s="31">
        <f ca="1">_xll.RiskBinomial(1,CC28)</f>
        <v>0</v>
      </c>
      <c r="CE28" s="78">
        <f ca="1">IF(CD28=1,_xll.RiskBinomial(1,Prob_illness_Adv_infection),0)</f>
        <v>0</v>
      </c>
      <c r="CG28" s="77" t="e">
        <f t="shared" ca="1" si="28"/>
        <v>#VALUE!</v>
      </c>
      <c r="CH28" s="33" t="e">
        <f ca="1">INT(CG28) + _xll.RiskBinomial(1,CG28-INT(CG28))</f>
        <v>#VALUE!</v>
      </c>
      <c r="CI28" s="26" t="e">
        <f t="shared" ca="1" si="20"/>
        <v>#VALUE!</v>
      </c>
      <c r="CJ28" s="31" t="e">
        <f ca="1">_xll.RiskBinomial(1,CI28)</f>
        <v>#VALUE!</v>
      </c>
      <c r="CK28" s="78" t="e">
        <f ca="1">IF(CJ28=1,_xll.RiskBinomial(1,Prob_illness_Adv_infection),0)</f>
        <v>#VALUE!</v>
      </c>
    </row>
    <row r="29" spans="2:89" x14ac:dyDescent="0.2">
      <c r="B29" s="97">
        <v>21</v>
      </c>
      <c r="C29" s="100">
        <f ca="1" xml:space="preserve"> _xll.RiskPert(Dur_event_hours_min,Dur_event_hours_mode,Dur_event_hours_max)</f>
        <v>0.76617598031021017</v>
      </c>
      <c r="D29" s="26">
        <f ca="1">_xll.RiskPert(Primary_Ing_Rate_mL_per_hour_min,Primary_Ing_Rate_mL_per_hour_mode,Primary_Ing_Rate_mL_per_hour_max)</f>
        <v>14.379649833415636</v>
      </c>
      <c r="E29" s="34">
        <f t="shared" ca="1" si="0"/>
        <v>11.017342307634776</v>
      </c>
      <c r="F29" s="26"/>
      <c r="G29" s="77">
        <f t="shared" ca="1" si="21"/>
        <v>1.0115541634022913E-9</v>
      </c>
      <c r="H29" s="33">
        <f ca="1">INT(G29) + _xll.RiskBinomial(1,G29-INT(G29))</f>
        <v>0</v>
      </c>
      <c r="I29" s="26">
        <f t="shared" ca="1" si="1"/>
        <v>0</v>
      </c>
      <c r="J29" s="31">
        <f ca="1">_xll.RiskBinomial(1,I29)</f>
        <v>0</v>
      </c>
      <c r="K29" s="78">
        <f ca="1">IF(J29=1,_xll.RiskBinomial(1,Prob_illness_Adv_infection),0)</f>
        <v>0</v>
      </c>
      <c r="L29" s="26"/>
      <c r="M29" s="77">
        <f t="shared" ca="1" si="2"/>
        <v>2.512258066233792E-11</v>
      </c>
      <c r="N29" s="33">
        <f ca="1">INT(M29) + _xll.RiskBinomial(1,M29-INT(M29))</f>
        <v>0</v>
      </c>
      <c r="O29" s="26">
        <f t="shared" ca="1" si="3"/>
        <v>0</v>
      </c>
      <c r="P29" s="31">
        <f ca="1">_xll.RiskBinomial(1,O29)</f>
        <v>0</v>
      </c>
      <c r="Q29" s="78">
        <f ca="1">IF(P29=1,_xll.RiskBinomial(1,Prob_illness_Adv_infection),0)</f>
        <v>0</v>
      </c>
      <c r="R29" s="26"/>
      <c r="S29" s="77">
        <f t="shared" ca="1" si="4"/>
        <v>3.1812428286899264E-10</v>
      </c>
      <c r="T29" s="33">
        <f ca="1">INT(S29) + _xll.RiskBinomial(1,S29-INT(S29))</f>
        <v>0</v>
      </c>
      <c r="U29" s="26">
        <f t="shared" ca="1" si="5"/>
        <v>0</v>
      </c>
      <c r="V29" s="31">
        <f ca="1">_xll.RiskBinomial(1,U29)</f>
        <v>0</v>
      </c>
      <c r="W29" s="78">
        <f ca="1">IF(V29=1,_xll.RiskBinomial(1,Prob_illness_Adv_infection),0)</f>
        <v>0</v>
      </c>
      <c r="X29" s="26"/>
      <c r="Y29" s="77">
        <f t="shared" ca="1" si="6"/>
        <v>2.6459625001811947E-11</v>
      </c>
      <c r="Z29" s="33">
        <f ca="1">INT(Y29) + _xll.RiskBinomial(1,Y29-INT(Y29))</f>
        <v>0</v>
      </c>
      <c r="AA29" s="26">
        <f t="shared" ca="1" si="7"/>
        <v>0</v>
      </c>
      <c r="AB29" s="31">
        <f ca="1">_xll.RiskBinomial(1,AA29)</f>
        <v>0</v>
      </c>
      <c r="AC29" s="78">
        <f ca="1">IF(AB29=1,_xll.RiskBinomial(1,Prob_illness_Adv_infection),0)</f>
        <v>0</v>
      </c>
      <c r="AD29" s="26"/>
      <c r="AE29" s="77">
        <f t="shared" ca="1" si="8"/>
        <v>3.9735149907673307E-11</v>
      </c>
      <c r="AF29" s="33">
        <f ca="1">INT(AE29) + _xll.RiskBinomial(1,AE29-INT(AE29))</f>
        <v>0</v>
      </c>
      <c r="AG29" s="26">
        <f t="shared" ca="1" si="9"/>
        <v>0</v>
      </c>
      <c r="AH29" s="31">
        <f ca="1">_xll.RiskBinomial(1,AG29)</f>
        <v>0</v>
      </c>
      <c r="AI29" s="78">
        <f ca="1">IF(AH29=1,_xll.RiskBinomial(1,Prob_illness_Adv_infection),0)</f>
        <v>0</v>
      </c>
      <c r="AJ29" s="26"/>
      <c r="AK29" s="77">
        <f t="shared" ca="1" si="10"/>
        <v>2.5852032374947006E-10</v>
      </c>
      <c r="AL29" s="33">
        <f ca="1">INT(AK29) + _xll.RiskBinomial(1,AK29-INT(AK29))</f>
        <v>0</v>
      </c>
      <c r="AM29" s="26">
        <f t="shared" ca="1" si="11"/>
        <v>0</v>
      </c>
      <c r="AN29" s="31">
        <f ca="1">_xll.RiskBinomial(1,AM29)</f>
        <v>0</v>
      </c>
      <c r="AO29" s="78">
        <f ca="1">IF(AN29=1,_xll.RiskBinomial(1,Prob_illness_Adv_infection),0)</f>
        <v>0</v>
      </c>
      <c r="AP29" s="26"/>
      <c r="AQ29" s="77">
        <f t="shared" ca="1" si="12"/>
        <v>4.905013791796319E-10</v>
      </c>
      <c r="AR29" s="33">
        <f ca="1">INT(AQ29) + _xll.RiskBinomial(1,AQ29-INT(AQ29))</f>
        <v>0</v>
      </c>
      <c r="AS29" s="26">
        <f t="shared" ca="1" si="13"/>
        <v>0</v>
      </c>
      <c r="AT29" s="31">
        <f ca="1">_xll.RiskBinomial(1,AS29)</f>
        <v>0</v>
      </c>
      <c r="AU29" s="78">
        <f ca="1">IF(AT29=1,_xll.RiskBinomial(1,Prob_illness_Adv_infection),0)</f>
        <v>0</v>
      </c>
      <c r="AV29" s="26"/>
      <c r="AW29" s="77">
        <f t="shared" ca="1" si="22"/>
        <v>8.6384122599088335E-12</v>
      </c>
      <c r="AX29" s="33">
        <f ca="1">INT(AW29) + _xll.RiskBinomial(1,AW29-INT(AW29))</f>
        <v>0</v>
      </c>
      <c r="AY29" s="26">
        <f t="shared" ca="1" si="14"/>
        <v>0</v>
      </c>
      <c r="AZ29" s="31">
        <f ca="1">_xll.RiskBinomial(1,AY29)</f>
        <v>0</v>
      </c>
      <c r="BA29" s="78">
        <f ca="1">IF(AZ29=1,_xll.RiskBinomial(1,Prob_illness_Adv_infection),0)</f>
        <v>0</v>
      </c>
      <c r="BC29" s="77">
        <f t="shared" ca="1" si="23"/>
        <v>4.427829778084222E-11</v>
      </c>
      <c r="BD29" s="33">
        <f ca="1">INT(BC29) + _xll.RiskBinomial(1,BC29-INT(BC29))</f>
        <v>0</v>
      </c>
      <c r="BE29" s="26">
        <f t="shared" ca="1" si="15"/>
        <v>0</v>
      </c>
      <c r="BF29" s="31">
        <f ca="1">_xll.RiskBinomial(1,BE29)</f>
        <v>0</v>
      </c>
      <c r="BG29" s="78">
        <f ca="1">IF(BF29=1,_xll.RiskBinomial(1,Prob_illness_Adv_infection),0)</f>
        <v>0</v>
      </c>
      <c r="BI29" s="77">
        <f t="shared" ca="1" si="24"/>
        <v>2.0619581754330538E-11</v>
      </c>
      <c r="BJ29" s="33">
        <f ca="1">INT(BI29) + _xll.RiskBinomial(1,BI29-INT(BI29))</f>
        <v>0</v>
      </c>
      <c r="BK29" s="26">
        <f t="shared" ca="1" si="16"/>
        <v>0</v>
      </c>
      <c r="BL29" s="31">
        <f ca="1">_xll.RiskBinomial(1,BK29)</f>
        <v>0</v>
      </c>
      <c r="BM29" s="78">
        <f ca="1">IF(BL29=1,_xll.RiskBinomial(1,Prob_illness_Adv_infection),0)</f>
        <v>0</v>
      </c>
      <c r="BO29" s="77">
        <f t="shared" ca="1" si="25"/>
        <v>4.4579701163953703E-11</v>
      </c>
      <c r="BP29" s="33">
        <f ca="1">INT(BO29) + _xll.RiskBinomial(1,BO29-INT(BO29))</f>
        <v>0</v>
      </c>
      <c r="BQ29" s="26">
        <f t="shared" ca="1" si="17"/>
        <v>0</v>
      </c>
      <c r="BR29" s="31">
        <f ca="1">_xll.RiskBinomial(1,BQ29)</f>
        <v>0</v>
      </c>
      <c r="BS29" s="78">
        <f ca="1">IF(BR29=1,_xll.RiskBinomial(1,Prob_illness_Adv_infection),0)</f>
        <v>0</v>
      </c>
      <c r="BU29" s="77">
        <f t="shared" ca="1" si="26"/>
        <v>3.1852310230655195E-13</v>
      </c>
      <c r="BV29" s="33">
        <f ca="1">INT(BU29) + _xll.RiskBinomial(1,BU29-INT(BU29))</f>
        <v>0</v>
      </c>
      <c r="BW29" s="26">
        <f t="shared" ca="1" si="18"/>
        <v>0</v>
      </c>
      <c r="BX29" s="31">
        <f ca="1">_xll.RiskBinomial(1,BW29)</f>
        <v>0</v>
      </c>
      <c r="BY29" s="78">
        <f ca="1">IF(BX29=1,_xll.RiskBinomial(1,Prob_illness_Adv_infection),0)</f>
        <v>0</v>
      </c>
      <c r="CA29" s="77">
        <f t="shared" ca="1" si="27"/>
        <v>4.8331522188513462E-11</v>
      </c>
      <c r="CB29" s="33">
        <f ca="1">INT(CA29) + _xll.RiskBinomial(1,CA29-INT(CA29))</f>
        <v>0</v>
      </c>
      <c r="CC29" s="26">
        <f t="shared" ca="1" si="19"/>
        <v>0</v>
      </c>
      <c r="CD29" s="31">
        <f ca="1">_xll.RiskBinomial(1,CC29)</f>
        <v>0</v>
      </c>
      <c r="CE29" s="78">
        <f ca="1">IF(CD29=1,_xll.RiskBinomial(1,Prob_illness_Adv_infection),0)</f>
        <v>0</v>
      </c>
      <c r="CG29" s="77" t="e">
        <f t="shared" ca="1" si="28"/>
        <v>#VALUE!</v>
      </c>
      <c r="CH29" s="33" t="e">
        <f ca="1">INT(CG29) + _xll.RiskBinomial(1,CG29-INT(CG29))</f>
        <v>#VALUE!</v>
      </c>
      <c r="CI29" s="26" t="e">
        <f t="shared" ca="1" si="20"/>
        <v>#VALUE!</v>
      </c>
      <c r="CJ29" s="31" t="e">
        <f ca="1">_xll.RiskBinomial(1,CI29)</f>
        <v>#VALUE!</v>
      </c>
      <c r="CK29" s="78" t="e">
        <f ca="1">IF(CJ29=1,_xll.RiskBinomial(1,Prob_illness_Adv_infection),0)</f>
        <v>#VALUE!</v>
      </c>
    </row>
    <row r="30" spans="2:89" x14ac:dyDescent="0.2">
      <c r="B30" s="97">
        <v>22</v>
      </c>
      <c r="C30" s="100">
        <f ca="1" xml:space="preserve"> _xll.RiskPert(Dur_event_hours_min,Dur_event_hours_mode,Dur_event_hours_max)</f>
        <v>1.3616010973405175</v>
      </c>
      <c r="D30" s="26">
        <f ca="1">_xll.RiskPert(Primary_Ing_Rate_mL_per_hour_min,Primary_Ing_Rate_mL_per_hour_mode,Primary_Ing_Rate_mL_per_hour_max)</f>
        <v>10.717590059059811</v>
      </c>
      <c r="E30" s="34">
        <f t="shared" ca="1" si="0"/>
        <v>14.59308238526166</v>
      </c>
      <c r="F30" s="26"/>
      <c r="G30" s="77">
        <f t="shared" ca="1" si="21"/>
        <v>1.3398597258301164E-9</v>
      </c>
      <c r="H30" s="33">
        <f ca="1">INT(G30) + _xll.RiskBinomial(1,G30-INT(G30))</f>
        <v>0</v>
      </c>
      <c r="I30" s="26">
        <f t="shared" ca="1" si="1"/>
        <v>0</v>
      </c>
      <c r="J30" s="31">
        <f ca="1">_xll.RiskBinomial(1,I30)</f>
        <v>0</v>
      </c>
      <c r="K30" s="78">
        <f ca="1">IF(J30=1,_xll.RiskBinomial(1,Prob_illness_Adv_infection),0)</f>
        <v>0</v>
      </c>
      <c r="L30" s="26"/>
      <c r="M30" s="77">
        <f t="shared" ca="1" si="2"/>
        <v>3.3276254753546322E-11</v>
      </c>
      <c r="N30" s="33">
        <f ca="1">INT(M30) + _xll.RiskBinomial(1,M30-INT(M30))</f>
        <v>0</v>
      </c>
      <c r="O30" s="26">
        <f t="shared" ca="1" si="3"/>
        <v>0</v>
      </c>
      <c r="P30" s="31">
        <f ca="1">_xll.RiskBinomial(1,O30)</f>
        <v>0</v>
      </c>
      <c r="Q30" s="78">
        <f ca="1">IF(P30=1,_xll.RiskBinomial(1,Prob_illness_Adv_infection),0)</f>
        <v>0</v>
      </c>
      <c r="R30" s="26"/>
      <c r="S30" s="77">
        <f t="shared" ca="1" si="4"/>
        <v>4.2137329848074185E-10</v>
      </c>
      <c r="T30" s="33">
        <f ca="1">INT(S30) + _xll.RiskBinomial(1,S30-INT(S30))</f>
        <v>0</v>
      </c>
      <c r="U30" s="26">
        <f t="shared" ca="1" si="5"/>
        <v>0</v>
      </c>
      <c r="V30" s="31">
        <f ca="1">_xll.RiskBinomial(1,U30)</f>
        <v>0</v>
      </c>
      <c r="W30" s="78">
        <f ca="1">IF(V30=1,_xll.RiskBinomial(1,Prob_illness_Adv_infection),0)</f>
        <v>0</v>
      </c>
      <c r="X30" s="26"/>
      <c r="Y30" s="77">
        <f t="shared" ca="1" si="6"/>
        <v>3.5047244312904127E-11</v>
      </c>
      <c r="Z30" s="33">
        <f ca="1">INT(Y30) + _xll.RiskBinomial(1,Y30-INT(Y30))</f>
        <v>0</v>
      </c>
      <c r="AA30" s="26">
        <f t="shared" ca="1" si="7"/>
        <v>0</v>
      </c>
      <c r="AB30" s="31">
        <f ca="1">_xll.RiskBinomial(1,AA30)</f>
        <v>0</v>
      </c>
      <c r="AC30" s="78">
        <f ca="1">IF(AB30=1,_xll.RiskBinomial(1,Prob_illness_Adv_infection),0)</f>
        <v>0</v>
      </c>
      <c r="AD30" s="26"/>
      <c r="AE30" s="77">
        <f t="shared" ca="1" si="8"/>
        <v>5.2631415091057831E-11</v>
      </c>
      <c r="AF30" s="33">
        <f ca="1">INT(AE30) + _xll.RiskBinomial(1,AE30-INT(AE30))</f>
        <v>0</v>
      </c>
      <c r="AG30" s="26">
        <f t="shared" ca="1" si="9"/>
        <v>0</v>
      </c>
      <c r="AH30" s="31">
        <f ca="1">_xll.RiskBinomial(1,AG30)</f>
        <v>0</v>
      </c>
      <c r="AI30" s="78">
        <f ca="1">IF(AH30=1,_xll.RiskBinomial(1,Prob_illness_Adv_infection),0)</f>
        <v>0</v>
      </c>
      <c r="AJ30" s="26"/>
      <c r="AK30" s="77">
        <f t="shared" ca="1" si="10"/>
        <v>3.4242454100079998E-10</v>
      </c>
      <c r="AL30" s="33">
        <f ca="1">INT(AK30) + _xll.RiskBinomial(1,AK30-INT(AK30))</f>
        <v>0</v>
      </c>
      <c r="AM30" s="26">
        <f t="shared" ca="1" si="11"/>
        <v>0</v>
      </c>
      <c r="AN30" s="31">
        <f ca="1">_xll.RiskBinomial(1,AM30)</f>
        <v>0</v>
      </c>
      <c r="AO30" s="78">
        <f ca="1">IF(AN30=1,_xll.RiskBinomial(1,Prob_illness_Adv_infection),0)</f>
        <v>0</v>
      </c>
      <c r="AP30" s="26"/>
      <c r="AQ30" s="77">
        <f t="shared" ca="1" si="12"/>
        <v>6.4969634568697659E-10</v>
      </c>
      <c r="AR30" s="33">
        <f ca="1">INT(AQ30) + _xll.RiskBinomial(1,AQ30-INT(AQ30))</f>
        <v>0</v>
      </c>
      <c r="AS30" s="26">
        <f t="shared" ca="1" si="13"/>
        <v>0</v>
      </c>
      <c r="AT30" s="31">
        <f ca="1">_xll.RiskBinomial(1,AS30)</f>
        <v>0</v>
      </c>
      <c r="AU30" s="78">
        <f ca="1">IF(AT30=1,_xll.RiskBinomial(1,Prob_illness_Adv_infection),0)</f>
        <v>0</v>
      </c>
      <c r="AV30" s="26"/>
      <c r="AW30" s="77">
        <f t="shared" ca="1" si="22"/>
        <v>1.144205728266666E-11</v>
      </c>
      <c r="AX30" s="33">
        <f ca="1">INT(AW30) + _xll.RiskBinomial(1,AW30-INT(AW30))</f>
        <v>0</v>
      </c>
      <c r="AY30" s="26">
        <f t="shared" ca="1" si="14"/>
        <v>0</v>
      </c>
      <c r="AZ30" s="31">
        <f ca="1">_xll.RiskBinomial(1,AY30)</f>
        <v>0</v>
      </c>
      <c r="BA30" s="78">
        <f ca="1">IF(AZ30=1,_xll.RiskBinomial(1,Prob_illness_Adv_infection),0)</f>
        <v>0</v>
      </c>
      <c r="BC30" s="77">
        <f t="shared" ca="1" si="23"/>
        <v>5.8649067021109659E-11</v>
      </c>
      <c r="BD30" s="33">
        <f ca="1">INT(BC30) + _xll.RiskBinomial(1,BC30-INT(BC30))</f>
        <v>0</v>
      </c>
      <c r="BE30" s="26">
        <f t="shared" ca="1" si="15"/>
        <v>0</v>
      </c>
      <c r="BF30" s="31">
        <f ca="1">_xll.RiskBinomial(1,BE30)</f>
        <v>0</v>
      </c>
      <c r="BG30" s="78">
        <f ca="1">IF(BF30=1,_xll.RiskBinomial(1,Prob_illness_Adv_infection),0)</f>
        <v>0</v>
      </c>
      <c r="BI30" s="77">
        <f t="shared" ca="1" si="24"/>
        <v>2.7311782359894942E-11</v>
      </c>
      <c r="BJ30" s="33">
        <f ca="1">INT(BI30) + _xll.RiskBinomial(1,BI30-INT(BI30))</f>
        <v>0</v>
      </c>
      <c r="BK30" s="26">
        <f t="shared" ca="1" si="16"/>
        <v>0</v>
      </c>
      <c r="BL30" s="31">
        <f ca="1">_xll.RiskBinomial(1,BK30)</f>
        <v>0</v>
      </c>
      <c r="BM30" s="78">
        <f ca="1">IF(BL30=1,_xll.RiskBinomial(1,Prob_illness_Adv_infection),0)</f>
        <v>0</v>
      </c>
      <c r="BO30" s="77">
        <f t="shared" ca="1" si="25"/>
        <v>5.904829255827888E-11</v>
      </c>
      <c r="BP30" s="33">
        <f ca="1">INT(BO30) + _xll.RiskBinomial(1,BO30-INT(BO30))</f>
        <v>0</v>
      </c>
      <c r="BQ30" s="26">
        <f t="shared" ca="1" si="17"/>
        <v>0</v>
      </c>
      <c r="BR30" s="31">
        <f ca="1">_xll.RiskBinomial(1,BQ30)</f>
        <v>0</v>
      </c>
      <c r="BS30" s="78">
        <f ca="1">IF(BR30=1,_xll.RiskBinomial(1,Prob_illness_Adv_infection),0)</f>
        <v>0</v>
      </c>
      <c r="BU30" s="77">
        <f t="shared" ca="1" si="26"/>
        <v>4.2190155699778136E-13</v>
      </c>
      <c r="BV30" s="33">
        <f ca="1">INT(BU30) + _xll.RiskBinomial(1,BU30-INT(BU30))</f>
        <v>0</v>
      </c>
      <c r="BW30" s="26">
        <f t="shared" ca="1" si="18"/>
        <v>0</v>
      </c>
      <c r="BX30" s="31">
        <f ca="1">_xll.RiskBinomial(1,BW30)</f>
        <v>0</v>
      </c>
      <c r="BY30" s="78">
        <f ca="1">IF(BX30=1,_xll.RiskBinomial(1,Prob_illness_Adv_infection),0)</f>
        <v>0</v>
      </c>
      <c r="CA30" s="77">
        <f t="shared" ca="1" si="27"/>
        <v>6.4017788084274859E-11</v>
      </c>
      <c r="CB30" s="33">
        <f ca="1">INT(CA30) + _xll.RiskBinomial(1,CA30-INT(CA30))</f>
        <v>0</v>
      </c>
      <c r="CC30" s="26">
        <f t="shared" ca="1" si="19"/>
        <v>0</v>
      </c>
      <c r="CD30" s="31">
        <f ca="1">_xll.RiskBinomial(1,CC30)</f>
        <v>0</v>
      </c>
      <c r="CE30" s="78">
        <f ca="1">IF(CD30=1,_xll.RiskBinomial(1,Prob_illness_Adv_infection),0)</f>
        <v>0</v>
      </c>
      <c r="CG30" s="77" t="e">
        <f t="shared" ca="1" si="28"/>
        <v>#VALUE!</v>
      </c>
      <c r="CH30" s="33" t="e">
        <f ca="1">INT(CG30) + _xll.RiskBinomial(1,CG30-INT(CG30))</f>
        <v>#VALUE!</v>
      </c>
      <c r="CI30" s="26" t="e">
        <f t="shared" ca="1" si="20"/>
        <v>#VALUE!</v>
      </c>
      <c r="CJ30" s="31" t="e">
        <f ca="1">_xll.RiskBinomial(1,CI30)</f>
        <v>#VALUE!</v>
      </c>
      <c r="CK30" s="78" t="e">
        <f ca="1">IF(CJ30=1,_xll.RiskBinomial(1,Prob_illness_Adv_infection),0)</f>
        <v>#VALUE!</v>
      </c>
    </row>
    <row r="31" spans="2:89" x14ac:dyDescent="0.2">
      <c r="B31" s="97">
        <v>23</v>
      </c>
      <c r="C31" s="100">
        <f ca="1" xml:space="preserve"> _xll.RiskPert(Dur_event_hours_min,Dur_event_hours_mode,Dur_event_hours_max)</f>
        <v>1.7394499949011533</v>
      </c>
      <c r="D31" s="26">
        <f ca="1">_xll.RiskPert(Primary_Ing_Rate_mL_per_hour_min,Primary_Ing_Rate_mL_per_hour_mode,Primary_Ing_Rate_mL_per_hour_max)</f>
        <v>11.283731947780428</v>
      </c>
      <c r="E31" s="34">
        <f t="shared" ca="1" si="0"/>
        <v>19.627487479032645</v>
      </c>
      <c r="F31" s="26"/>
      <c r="G31" s="77">
        <f t="shared" ca="1" si="21"/>
        <v>1.8020922035601314E-9</v>
      </c>
      <c r="H31" s="33">
        <f ca="1">INT(G31) + _xll.RiskBinomial(1,G31-INT(G31))</f>
        <v>0</v>
      </c>
      <c r="I31" s="26">
        <f t="shared" ca="1" si="1"/>
        <v>0</v>
      </c>
      <c r="J31" s="31">
        <f ca="1">_xll.RiskBinomial(1,I31)</f>
        <v>0</v>
      </c>
      <c r="K31" s="78">
        <f ca="1">IF(J31=1,_xll.RiskBinomial(1,Prob_illness_Adv_infection),0)</f>
        <v>0</v>
      </c>
      <c r="L31" s="26"/>
      <c r="M31" s="77">
        <f t="shared" ca="1" si="2"/>
        <v>4.4756087595583055E-11</v>
      </c>
      <c r="N31" s="33">
        <f ca="1">INT(M31) + _xll.RiskBinomial(1,M31-INT(M31))</f>
        <v>0</v>
      </c>
      <c r="O31" s="26">
        <f t="shared" ca="1" si="3"/>
        <v>0</v>
      </c>
      <c r="P31" s="31">
        <f ca="1">_xll.RiskBinomial(1,O31)</f>
        <v>0</v>
      </c>
      <c r="Q31" s="78">
        <f ca="1">IF(P31=1,_xll.RiskBinomial(1,Prob_illness_Adv_infection),0)</f>
        <v>0</v>
      </c>
      <c r="R31" s="26"/>
      <c r="S31" s="77">
        <f t="shared" ca="1" si="4"/>
        <v>5.6674107098047161E-10</v>
      </c>
      <c r="T31" s="33">
        <f ca="1">INT(S31) + _xll.RiskBinomial(1,S31-INT(S31))</f>
        <v>0</v>
      </c>
      <c r="U31" s="26">
        <f t="shared" ca="1" si="5"/>
        <v>0</v>
      </c>
      <c r="V31" s="31">
        <f ca="1">_xll.RiskBinomial(1,U31)</f>
        <v>0</v>
      </c>
      <c r="W31" s="78">
        <f ca="1">IF(V31=1,_xll.RiskBinomial(1,Prob_illness_Adv_infection),0)</f>
        <v>0</v>
      </c>
      <c r="X31" s="26"/>
      <c r="Y31" s="77">
        <f t="shared" ca="1" si="6"/>
        <v>4.7138043270478651E-11</v>
      </c>
      <c r="Z31" s="33">
        <f ca="1">INT(Y31) + _xll.RiskBinomial(1,Y31-INT(Y31))</f>
        <v>0</v>
      </c>
      <c r="AA31" s="26">
        <f t="shared" ca="1" si="7"/>
        <v>0</v>
      </c>
      <c r="AB31" s="31">
        <f ca="1">_xll.RiskBinomial(1,AA31)</f>
        <v>0</v>
      </c>
      <c r="AC31" s="78">
        <f ca="1">IF(AB31=1,_xll.RiskBinomial(1,Prob_illness_Adv_infection),0)</f>
        <v>0</v>
      </c>
      <c r="AD31" s="26"/>
      <c r="AE31" s="77">
        <f t="shared" ca="1" si="8"/>
        <v>7.0788501937521597E-11</v>
      </c>
      <c r="AF31" s="33">
        <f ca="1">INT(AE31) + _xll.RiskBinomial(1,AE31-INT(AE31))</f>
        <v>0</v>
      </c>
      <c r="AG31" s="26">
        <f t="shared" ca="1" si="9"/>
        <v>0</v>
      </c>
      <c r="AH31" s="31">
        <f ca="1">_xll.RiskBinomial(1,AG31)</f>
        <v>0</v>
      </c>
      <c r="AI31" s="78">
        <f ca="1">IF(AH31=1,_xll.RiskBinomial(1,Prob_illness_Adv_infection),0)</f>
        <v>0</v>
      </c>
      <c r="AJ31" s="26"/>
      <c r="AK31" s="77">
        <f t="shared" ca="1" si="10"/>
        <v>4.605561192332153E-10</v>
      </c>
      <c r="AL31" s="33">
        <f ca="1">INT(AK31) + _xll.RiskBinomial(1,AK31-INT(AK31))</f>
        <v>0</v>
      </c>
      <c r="AM31" s="26">
        <f t="shared" ca="1" si="11"/>
        <v>0</v>
      </c>
      <c r="AN31" s="31">
        <f ca="1">_xll.RiskBinomial(1,AM31)</f>
        <v>0</v>
      </c>
      <c r="AO31" s="78">
        <f ca="1">IF(AN31=1,_xll.RiskBinomial(1,Prob_illness_Adv_infection),0)</f>
        <v>0</v>
      </c>
      <c r="AP31" s="26"/>
      <c r="AQ31" s="77">
        <f t="shared" ca="1" si="12"/>
        <v>8.7383230995963102E-10</v>
      </c>
      <c r="AR31" s="33">
        <f ca="1">INT(AQ31) + _xll.RiskBinomial(1,AQ31-INT(AQ31))</f>
        <v>0</v>
      </c>
      <c r="AS31" s="26">
        <f t="shared" ca="1" si="13"/>
        <v>0</v>
      </c>
      <c r="AT31" s="31">
        <f ca="1">_xll.RiskBinomial(1,AS31)</f>
        <v>0</v>
      </c>
      <c r="AU31" s="78">
        <f ca="1">IF(AT31=1,_xll.RiskBinomial(1,Prob_illness_Adv_infection),0)</f>
        <v>0</v>
      </c>
      <c r="AV31" s="26"/>
      <c r="AW31" s="77">
        <f t="shared" ca="1" si="22"/>
        <v>1.5389403699709695E-11</v>
      </c>
      <c r="AX31" s="33">
        <f ca="1">INT(AW31) + _xll.RiskBinomial(1,AW31-INT(AW31))</f>
        <v>0</v>
      </c>
      <c r="AY31" s="26">
        <f t="shared" ca="1" si="14"/>
        <v>0</v>
      </c>
      <c r="AZ31" s="31">
        <f ca="1">_xll.RiskBinomial(1,AY31)</f>
        <v>0</v>
      </c>
      <c r="BA31" s="78">
        <f ca="1">IF(AZ31=1,_xll.RiskBinomial(1,Prob_illness_Adv_infection),0)</f>
        <v>0</v>
      </c>
      <c r="BC31" s="77">
        <f t="shared" ca="1" si="23"/>
        <v>7.8882157876143321E-11</v>
      </c>
      <c r="BD31" s="33">
        <f ca="1">INT(BC31) + _xll.RiskBinomial(1,BC31-INT(BC31))</f>
        <v>0</v>
      </c>
      <c r="BE31" s="26">
        <f t="shared" ca="1" si="15"/>
        <v>0</v>
      </c>
      <c r="BF31" s="31">
        <f ca="1">_xll.RiskBinomial(1,BE31)</f>
        <v>0</v>
      </c>
      <c r="BG31" s="78">
        <f ca="1">IF(BF31=1,_xll.RiskBinomial(1,Prob_illness_Adv_infection),0)</f>
        <v>0</v>
      </c>
      <c r="BI31" s="77">
        <f t="shared" ca="1" si="24"/>
        <v>3.6733957374235084E-11</v>
      </c>
      <c r="BJ31" s="33">
        <f ca="1">INT(BI31) + _xll.RiskBinomial(1,BI31-INT(BI31))</f>
        <v>0</v>
      </c>
      <c r="BK31" s="26">
        <f t="shared" ca="1" si="16"/>
        <v>0</v>
      </c>
      <c r="BL31" s="31">
        <f ca="1">_xll.RiskBinomial(1,BK31)</f>
        <v>0</v>
      </c>
      <c r="BM31" s="78">
        <f ca="1">IF(BL31=1,_xll.RiskBinomial(1,Prob_illness_Adv_infection),0)</f>
        <v>0</v>
      </c>
      <c r="BO31" s="77">
        <f t="shared" ca="1" si="25"/>
        <v>7.9419110524338635E-11</v>
      </c>
      <c r="BP31" s="33">
        <f ca="1">INT(BO31) + _xll.RiskBinomial(1,BO31-INT(BO31))</f>
        <v>0</v>
      </c>
      <c r="BQ31" s="26">
        <f t="shared" ca="1" si="17"/>
        <v>0</v>
      </c>
      <c r="BR31" s="31">
        <f ca="1">_xll.RiskBinomial(1,BQ31)</f>
        <v>0</v>
      </c>
      <c r="BS31" s="78">
        <f ca="1">IF(BR31=1,_xll.RiskBinomial(1,Prob_illness_Adv_infection),0)</f>
        <v>0</v>
      </c>
      <c r="BU31" s="77">
        <f t="shared" ca="1" si="26"/>
        <v>5.6745157114453244E-13</v>
      </c>
      <c r="BV31" s="33">
        <f ca="1">INT(BU31) + _xll.RiskBinomial(1,BU31-INT(BU31))</f>
        <v>0</v>
      </c>
      <c r="BW31" s="26">
        <f t="shared" ca="1" si="18"/>
        <v>0</v>
      </c>
      <c r="BX31" s="31">
        <f ca="1">_xll.RiskBinomial(1,BW31)</f>
        <v>0</v>
      </c>
      <c r="BY31" s="78">
        <f ca="1">IF(BX31=1,_xll.RiskBinomial(1,Prob_illness_Adv_infection),0)</f>
        <v>0</v>
      </c>
      <c r="CA31" s="77">
        <f t="shared" ca="1" si="27"/>
        <v>8.6103011062863974E-11</v>
      </c>
      <c r="CB31" s="33">
        <f ca="1">INT(CA31) + _xll.RiskBinomial(1,CA31-INT(CA31))</f>
        <v>0</v>
      </c>
      <c r="CC31" s="26">
        <f t="shared" ca="1" si="19"/>
        <v>0</v>
      </c>
      <c r="CD31" s="31">
        <f ca="1">_xll.RiskBinomial(1,CC31)</f>
        <v>0</v>
      </c>
      <c r="CE31" s="78">
        <f ca="1">IF(CD31=1,_xll.RiskBinomial(1,Prob_illness_Adv_infection),0)</f>
        <v>0</v>
      </c>
      <c r="CG31" s="77" t="e">
        <f t="shared" ca="1" si="28"/>
        <v>#VALUE!</v>
      </c>
      <c r="CH31" s="33" t="e">
        <f ca="1">INT(CG31) + _xll.RiskBinomial(1,CG31-INT(CG31))</f>
        <v>#VALUE!</v>
      </c>
      <c r="CI31" s="26" t="e">
        <f t="shared" ca="1" si="20"/>
        <v>#VALUE!</v>
      </c>
      <c r="CJ31" s="31" t="e">
        <f ca="1">_xll.RiskBinomial(1,CI31)</f>
        <v>#VALUE!</v>
      </c>
      <c r="CK31" s="78" t="e">
        <f ca="1">IF(CJ31=1,_xll.RiskBinomial(1,Prob_illness_Adv_infection),0)</f>
        <v>#VALUE!</v>
      </c>
    </row>
    <row r="32" spans="2:89" x14ac:dyDescent="0.2">
      <c r="B32" s="97">
        <v>24</v>
      </c>
      <c r="C32" s="100">
        <f ca="1" xml:space="preserve"> _xll.RiskPert(Dur_event_hours_min,Dur_event_hours_mode,Dur_event_hours_max)</f>
        <v>1.3576960405501708</v>
      </c>
      <c r="D32" s="26">
        <f ca="1">_xll.RiskPert(Primary_Ing_Rate_mL_per_hour_min,Primary_Ing_Rate_mL_per_hour_mode,Primary_Ing_Rate_mL_per_hour_max)</f>
        <v>13.588480835262825</v>
      </c>
      <c r="E32" s="34">
        <f t="shared" ca="1" si="0"/>
        <v>18.449026627128216</v>
      </c>
      <c r="F32" s="26"/>
      <c r="G32" s="77">
        <f t="shared" ca="1" si="21"/>
        <v>1.6938921542320412E-9</v>
      </c>
      <c r="H32" s="33">
        <f ca="1">INT(G32) + _xll.RiskBinomial(1,G32-INT(G32))</f>
        <v>0</v>
      </c>
      <c r="I32" s="26">
        <f t="shared" ca="1" si="1"/>
        <v>0</v>
      </c>
      <c r="J32" s="31">
        <f ca="1">_xll.RiskBinomial(1,I32)</f>
        <v>0</v>
      </c>
      <c r="K32" s="78">
        <f ca="1">IF(J32=1,_xll.RiskBinomial(1,Prob_illness_Adv_infection),0)</f>
        <v>0</v>
      </c>
      <c r="L32" s="26"/>
      <c r="M32" s="77">
        <f t="shared" ca="1" si="2"/>
        <v>4.2068871660678297E-11</v>
      </c>
      <c r="N32" s="33">
        <f ca="1">INT(M32) + _xll.RiskBinomial(1,M32-INT(M32))</f>
        <v>0</v>
      </c>
      <c r="O32" s="26">
        <f t="shared" ca="1" si="3"/>
        <v>0</v>
      </c>
      <c r="P32" s="31">
        <f ca="1">_xll.RiskBinomial(1,O32)</f>
        <v>0</v>
      </c>
      <c r="Q32" s="78">
        <f ca="1">IF(P32=1,_xll.RiskBinomial(1,Prob_illness_Adv_infection),0)</f>
        <v>0</v>
      </c>
      <c r="R32" s="26"/>
      <c r="S32" s="77">
        <f t="shared" ca="1" si="4"/>
        <v>5.3271317178907728E-10</v>
      </c>
      <c r="T32" s="33">
        <f ca="1">INT(S32) + _xll.RiskBinomial(1,S32-INT(S32))</f>
        <v>0</v>
      </c>
      <c r="U32" s="26">
        <f t="shared" ca="1" si="5"/>
        <v>0</v>
      </c>
      <c r="V32" s="31">
        <f ca="1">_xll.RiskBinomial(1,U32)</f>
        <v>0</v>
      </c>
      <c r="W32" s="78">
        <f ca="1">IF(V32=1,_xll.RiskBinomial(1,Prob_illness_Adv_infection),0)</f>
        <v>0</v>
      </c>
      <c r="X32" s="26"/>
      <c r="Y32" s="77">
        <f t="shared" ca="1" si="6"/>
        <v>4.4307811500417474E-11</v>
      </c>
      <c r="Z32" s="33">
        <f ca="1">INT(Y32) + _xll.RiskBinomial(1,Y32-INT(Y32))</f>
        <v>0</v>
      </c>
      <c r="AA32" s="26">
        <f t="shared" ca="1" si="7"/>
        <v>0</v>
      </c>
      <c r="AB32" s="31">
        <f ca="1">_xll.RiskBinomial(1,AA32)</f>
        <v>0</v>
      </c>
      <c r="AC32" s="78">
        <f ca="1">IF(AB32=1,_xll.RiskBinomial(1,Prob_illness_Adv_infection),0)</f>
        <v>0</v>
      </c>
      <c r="AD32" s="26"/>
      <c r="AE32" s="77">
        <f t="shared" ca="1" si="8"/>
        <v>6.6538264693073158E-11</v>
      </c>
      <c r="AF32" s="33">
        <f ca="1">INT(AE32) + _xll.RiskBinomial(1,AE32-INT(AE32))</f>
        <v>0</v>
      </c>
      <c r="AG32" s="26">
        <f t="shared" ca="1" si="9"/>
        <v>0</v>
      </c>
      <c r="AH32" s="31">
        <f ca="1">_xll.RiskBinomial(1,AG32)</f>
        <v>0</v>
      </c>
      <c r="AI32" s="78">
        <f ca="1">IF(AH32=1,_xll.RiskBinomial(1,Prob_illness_Adv_infection),0)</f>
        <v>0</v>
      </c>
      <c r="AJ32" s="26"/>
      <c r="AK32" s="77">
        <f t="shared" ca="1" si="10"/>
        <v>4.3290370792987501E-10</v>
      </c>
      <c r="AL32" s="33">
        <f ca="1">INT(AK32) + _xll.RiskBinomial(1,AK32-INT(AK32))</f>
        <v>0</v>
      </c>
      <c r="AM32" s="26">
        <f t="shared" ca="1" si="11"/>
        <v>0</v>
      </c>
      <c r="AN32" s="31">
        <f ca="1">_xll.RiskBinomial(1,AM32)</f>
        <v>0</v>
      </c>
      <c r="AO32" s="78">
        <f ca="1">IF(AN32=1,_xll.RiskBinomial(1,Prob_illness_Adv_infection),0)</f>
        <v>0</v>
      </c>
      <c r="AP32" s="26"/>
      <c r="AQ32" s="77">
        <f t="shared" ca="1" si="12"/>
        <v>8.2136623810419275E-10</v>
      </c>
      <c r="AR32" s="33">
        <f ca="1">INT(AQ32) + _xll.RiskBinomial(1,AQ32-INT(AQ32))</f>
        <v>0</v>
      </c>
      <c r="AS32" s="26">
        <f t="shared" ca="1" si="13"/>
        <v>0</v>
      </c>
      <c r="AT32" s="31">
        <f ca="1">_xll.RiskBinomial(1,AS32)</f>
        <v>0</v>
      </c>
      <c r="AU32" s="78">
        <f ca="1">IF(AT32=1,_xll.RiskBinomial(1,Prob_illness_Adv_infection),0)</f>
        <v>0</v>
      </c>
      <c r="AV32" s="26"/>
      <c r="AW32" s="77">
        <f t="shared" ca="1" si="22"/>
        <v>1.4465403120744357E-11</v>
      </c>
      <c r="AX32" s="33">
        <f ca="1">INT(AW32) + _xll.RiskBinomial(1,AW32-INT(AW32))</f>
        <v>0</v>
      </c>
      <c r="AY32" s="26">
        <f t="shared" ca="1" si="14"/>
        <v>0</v>
      </c>
      <c r="AZ32" s="31">
        <f ca="1">_xll.RiskBinomial(1,AY32)</f>
        <v>0</v>
      </c>
      <c r="BA32" s="78">
        <f ca="1">IF(AZ32=1,_xll.RiskBinomial(1,Prob_illness_Adv_infection),0)</f>
        <v>0</v>
      </c>
      <c r="BC32" s="77">
        <f t="shared" ca="1" si="23"/>
        <v>7.4145966600001385E-11</v>
      </c>
      <c r="BD32" s="33">
        <f ca="1">INT(BC32) + _xll.RiskBinomial(1,BC32-INT(BC32))</f>
        <v>0</v>
      </c>
      <c r="BE32" s="26">
        <f t="shared" ca="1" si="15"/>
        <v>0</v>
      </c>
      <c r="BF32" s="31">
        <f ca="1">_xll.RiskBinomial(1,BE32)</f>
        <v>0</v>
      </c>
      <c r="BG32" s="78">
        <f ca="1">IF(BF32=1,_xll.RiskBinomial(1,Prob_illness_Adv_infection),0)</f>
        <v>0</v>
      </c>
      <c r="BI32" s="77">
        <f t="shared" ca="1" si="24"/>
        <v>3.4528400970375105E-11</v>
      </c>
      <c r="BJ32" s="33">
        <f ca="1">INT(BI32) + _xll.RiskBinomial(1,BI32-INT(BI32))</f>
        <v>0</v>
      </c>
      <c r="BK32" s="26">
        <f t="shared" ca="1" si="16"/>
        <v>0</v>
      </c>
      <c r="BL32" s="31">
        <f ca="1">_xll.RiskBinomial(1,BK32)</f>
        <v>0</v>
      </c>
      <c r="BM32" s="78">
        <f ca="1">IF(BL32=1,_xll.RiskBinomial(1,Prob_illness_Adv_infection),0)</f>
        <v>0</v>
      </c>
      <c r="BO32" s="77">
        <f t="shared" ca="1" si="25"/>
        <v>7.4650679886133652E-11</v>
      </c>
      <c r="BP32" s="33">
        <f ca="1">INT(BO32) + _xll.RiskBinomial(1,BO32-INT(BO32))</f>
        <v>0</v>
      </c>
      <c r="BQ32" s="26">
        <f t="shared" ca="1" si="17"/>
        <v>0</v>
      </c>
      <c r="BR32" s="31">
        <f ca="1">_xll.RiskBinomial(1,BQ32)</f>
        <v>0</v>
      </c>
      <c r="BS32" s="78">
        <f ca="1">IF(BR32=1,_xll.RiskBinomial(1,Prob_illness_Adv_infection),0)</f>
        <v>0</v>
      </c>
      <c r="BU32" s="77">
        <f t="shared" ca="1" si="26"/>
        <v>5.3338101256387564E-13</v>
      </c>
      <c r="BV32" s="33">
        <f ca="1">INT(BU32) + _xll.RiskBinomial(1,BU32-INT(BU32))</f>
        <v>0</v>
      </c>
      <c r="BW32" s="26">
        <f t="shared" ca="1" si="18"/>
        <v>0</v>
      </c>
      <c r="BX32" s="31">
        <f ca="1">_xll.RiskBinomial(1,BW32)</f>
        <v>0</v>
      </c>
      <c r="BY32" s="78">
        <f ca="1">IF(BX32=1,_xll.RiskBinomial(1,Prob_illness_Adv_infection),0)</f>
        <v>0</v>
      </c>
      <c r="CA32" s="77">
        <f t="shared" ca="1" si="27"/>
        <v>8.0933270010827897E-11</v>
      </c>
      <c r="CB32" s="33">
        <f ca="1">INT(CA32) + _xll.RiskBinomial(1,CA32-INT(CA32))</f>
        <v>0</v>
      </c>
      <c r="CC32" s="26">
        <f t="shared" ca="1" si="19"/>
        <v>0</v>
      </c>
      <c r="CD32" s="31">
        <f ca="1">_xll.RiskBinomial(1,CC32)</f>
        <v>0</v>
      </c>
      <c r="CE32" s="78">
        <f ca="1">IF(CD32=1,_xll.RiskBinomial(1,Prob_illness_Adv_infection),0)</f>
        <v>0</v>
      </c>
      <c r="CG32" s="77" t="e">
        <f t="shared" ca="1" si="28"/>
        <v>#VALUE!</v>
      </c>
      <c r="CH32" s="33" t="e">
        <f ca="1">INT(CG32) + _xll.RiskBinomial(1,CG32-INT(CG32))</f>
        <v>#VALUE!</v>
      </c>
      <c r="CI32" s="26" t="e">
        <f t="shared" ca="1" si="20"/>
        <v>#VALUE!</v>
      </c>
      <c r="CJ32" s="31" t="e">
        <f ca="1">_xll.RiskBinomial(1,CI32)</f>
        <v>#VALUE!</v>
      </c>
      <c r="CK32" s="78" t="e">
        <f ca="1">IF(CJ32=1,_xll.RiskBinomial(1,Prob_illness_Adv_infection),0)</f>
        <v>#VALUE!</v>
      </c>
    </row>
    <row r="33" spans="2:89" x14ac:dyDescent="0.2">
      <c r="B33" s="97">
        <v>25</v>
      </c>
      <c r="C33" s="100">
        <f ca="1" xml:space="preserve"> _xll.RiskPert(Dur_event_hours_min,Dur_event_hours_mode,Dur_event_hours_max)</f>
        <v>2.1645390536767821</v>
      </c>
      <c r="D33" s="26">
        <f ca="1">_xll.RiskPert(Primary_Ing_Rate_mL_per_hour_min,Primary_Ing_Rate_mL_per_hour_mode,Primary_Ing_Rate_mL_per_hour_max)</f>
        <v>20.701767037526668</v>
      </c>
      <c r="E33" s="34">
        <f t="shared" ca="1" si="0"/>
        <v>44.809783232845177</v>
      </c>
      <c r="F33" s="26"/>
      <c r="G33" s="77">
        <f t="shared" ca="1" si="21"/>
        <v>4.1141975555146135E-9</v>
      </c>
      <c r="H33" s="33">
        <f ca="1">INT(G33) + _xll.RiskBinomial(1,G33-INT(G33))</f>
        <v>0</v>
      </c>
      <c r="I33" s="26">
        <f t="shared" ca="1" si="1"/>
        <v>0</v>
      </c>
      <c r="J33" s="31">
        <f ca="1">_xll.RiskBinomial(1,I33)</f>
        <v>0</v>
      </c>
      <c r="K33" s="78">
        <f ca="1">IF(J33=1,_xll.RiskBinomial(1,Prob_illness_Adv_infection),0)</f>
        <v>0</v>
      </c>
      <c r="L33" s="26"/>
      <c r="M33" s="77">
        <f t="shared" ca="1" si="2"/>
        <v>1.0217867088952287E-10</v>
      </c>
      <c r="N33" s="33">
        <f ca="1">INT(M33) + _xll.RiskBinomial(1,M33-INT(M33))</f>
        <v>0</v>
      </c>
      <c r="O33" s="26">
        <f t="shared" ca="1" si="3"/>
        <v>0</v>
      </c>
      <c r="P33" s="31">
        <f ca="1">_xll.RiskBinomial(1,O33)</f>
        <v>0</v>
      </c>
      <c r="Q33" s="78">
        <f ca="1">IF(P33=1,_xll.RiskBinomial(1,Prob_illness_Adv_infection),0)</f>
        <v>0</v>
      </c>
      <c r="R33" s="26"/>
      <c r="S33" s="77">
        <f t="shared" ca="1" si="4"/>
        <v>1.2938764865811082E-9</v>
      </c>
      <c r="T33" s="33">
        <f ca="1">INT(S33) + _xll.RiskBinomial(1,S33-INT(S33))</f>
        <v>0</v>
      </c>
      <c r="U33" s="26">
        <f t="shared" ca="1" si="5"/>
        <v>0</v>
      </c>
      <c r="V33" s="31">
        <f ca="1">_xll.RiskBinomial(1,U33)</f>
        <v>0</v>
      </c>
      <c r="W33" s="78">
        <f ca="1">IF(V33=1,_xll.RiskBinomial(1,Prob_illness_Adv_infection),0)</f>
        <v>0</v>
      </c>
      <c r="X33" s="26"/>
      <c r="Y33" s="77">
        <f t="shared" ca="1" si="6"/>
        <v>1.0761670352494492E-10</v>
      </c>
      <c r="Z33" s="33">
        <f ca="1">INT(Y33) + _xll.RiskBinomial(1,Y33-INT(Y33))</f>
        <v>0</v>
      </c>
      <c r="AA33" s="26">
        <f t="shared" ca="1" si="7"/>
        <v>0</v>
      </c>
      <c r="AB33" s="31">
        <f ca="1">_xll.RiskBinomial(1,AA33)</f>
        <v>0</v>
      </c>
      <c r="AC33" s="78">
        <f ca="1">IF(AB33=1,_xll.RiskBinomial(1,Prob_illness_Adv_infection),0)</f>
        <v>0</v>
      </c>
      <c r="AD33" s="26"/>
      <c r="AE33" s="77">
        <f t="shared" ca="1" si="8"/>
        <v>1.6161097698249654E-10</v>
      </c>
      <c r="AF33" s="33">
        <f ca="1">INT(AE33) + _xll.RiskBinomial(1,AE33-INT(AE33))</f>
        <v>0</v>
      </c>
      <c r="AG33" s="26">
        <f t="shared" ca="1" si="9"/>
        <v>0</v>
      </c>
      <c r="AH33" s="31">
        <f ca="1">_xll.RiskBinomial(1,AG33)</f>
        <v>0</v>
      </c>
      <c r="AI33" s="78">
        <f ca="1">IF(AH33=1,_xll.RiskBinomial(1,Prob_illness_Adv_infection),0)</f>
        <v>0</v>
      </c>
      <c r="AJ33" s="26"/>
      <c r="AK33" s="77">
        <f t="shared" ca="1" si="10"/>
        <v>1.0514550011277299E-9</v>
      </c>
      <c r="AL33" s="33">
        <f ca="1">INT(AK33) + _xll.RiskBinomial(1,AK33-INT(AK33))</f>
        <v>0</v>
      </c>
      <c r="AM33" s="26">
        <f t="shared" ca="1" si="11"/>
        <v>0</v>
      </c>
      <c r="AN33" s="31">
        <f ca="1">_xll.RiskBinomial(1,AM33)</f>
        <v>0</v>
      </c>
      <c r="AO33" s="78">
        <f ca="1">IF(AN33=1,_xll.RiskBinomial(1,Prob_illness_Adv_infection),0)</f>
        <v>0</v>
      </c>
      <c r="AP33" s="26"/>
      <c r="AQ33" s="77">
        <f t="shared" ca="1" si="12"/>
        <v>1.994969373078275E-9</v>
      </c>
      <c r="AR33" s="33">
        <f ca="1">INT(AQ33) + _xll.RiskBinomial(1,AQ33-INT(AQ33))</f>
        <v>0</v>
      </c>
      <c r="AS33" s="26">
        <f t="shared" ca="1" si="13"/>
        <v>0</v>
      </c>
      <c r="AT33" s="31">
        <f ca="1">_xll.RiskBinomial(1,AS33)</f>
        <v>0</v>
      </c>
      <c r="AU33" s="78">
        <f ca="1">IF(AT33=1,_xll.RiskBinomial(1,Prob_illness_Adv_infection),0)</f>
        <v>0</v>
      </c>
      <c r="AV33" s="26"/>
      <c r="AW33" s="77">
        <f t="shared" ca="1" si="22"/>
        <v>3.5134188448898924E-11</v>
      </c>
      <c r="AX33" s="33">
        <f ca="1">INT(AW33) + _xll.RiskBinomial(1,AW33-INT(AW33))</f>
        <v>0</v>
      </c>
      <c r="AY33" s="26">
        <f t="shared" ca="1" si="14"/>
        <v>0</v>
      </c>
      <c r="AZ33" s="31">
        <f ca="1">_xll.RiskBinomial(1,AY33)</f>
        <v>0</v>
      </c>
      <c r="BA33" s="78">
        <f ca="1">IF(AZ33=1,_xll.RiskBinomial(1,Prob_illness_Adv_infection),0)</f>
        <v>0</v>
      </c>
      <c r="BC33" s="77">
        <f t="shared" ca="1" si="23"/>
        <v>1.800888880527903E-10</v>
      </c>
      <c r="BD33" s="33">
        <f ca="1">INT(BC33) + _xll.RiskBinomial(1,BC33-INT(BC33))</f>
        <v>0</v>
      </c>
      <c r="BE33" s="26">
        <f t="shared" ca="1" si="15"/>
        <v>0</v>
      </c>
      <c r="BF33" s="31">
        <f ca="1">_xll.RiskBinomial(1,BE33)</f>
        <v>0</v>
      </c>
      <c r="BG33" s="78">
        <f ca="1">IF(BF33=1,_xll.RiskBinomial(1,Prob_illness_Adv_infection),0)</f>
        <v>0</v>
      </c>
      <c r="BI33" s="77">
        <f t="shared" ca="1" si="24"/>
        <v>8.3864053867437492E-11</v>
      </c>
      <c r="BJ33" s="33">
        <f ca="1">INT(BI33) + _xll.RiskBinomial(1,BI33-INT(BI33))</f>
        <v>0</v>
      </c>
      <c r="BK33" s="26">
        <f t="shared" ca="1" si="16"/>
        <v>0</v>
      </c>
      <c r="BL33" s="31">
        <f ca="1">_xll.RiskBinomial(1,BK33)</f>
        <v>0</v>
      </c>
      <c r="BM33" s="78">
        <f ca="1">IF(BL33=1,_xll.RiskBinomial(1,Prob_illness_Adv_infection),0)</f>
        <v>0</v>
      </c>
      <c r="BO33" s="77">
        <f t="shared" ca="1" si="25"/>
        <v>1.8131475722211913E-10</v>
      </c>
      <c r="BP33" s="33">
        <f ca="1">INT(BO33) + _xll.RiskBinomial(1,BO33-INT(BO33))</f>
        <v>0</v>
      </c>
      <c r="BQ33" s="26">
        <f t="shared" ca="1" si="17"/>
        <v>0</v>
      </c>
      <c r="BR33" s="31">
        <f ca="1">_xll.RiskBinomial(1,BQ33)</f>
        <v>0</v>
      </c>
      <c r="BS33" s="78">
        <f ca="1">IF(BR33=1,_xll.RiskBinomial(1,Prob_illness_Adv_infection),0)</f>
        <v>0</v>
      </c>
      <c r="BU33" s="77">
        <f t="shared" ca="1" si="26"/>
        <v>1.295498566756805E-12</v>
      </c>
      <c r="BV33" s="33">
        <f ca="1">INT(BU33) + _xll.RiskBinomial(1,BU33-INT(BU33))</f>
        <v>0</v>
      </c>
      <c r="BW33" s="26">
        <f t="shared" ca="1" si="18"/>
        <v>0</v>
      </c>
      <c r="BX33" s="31">
        <f ca="1">_xll.RiskBinomial(1,BW33)</f>
        <v>0</v>
      </c>
      <c r="BY33" s="78">
        <f ca="1">IF(BX33=1,_xll.RiskBinomial(1,Prob_illness_Adv_infection),0)</f>
        <v>0</v>
      </c>
      <c r="CA33" s="77">
        <f t="shared" ca="1" si="27"/>
        <v>1.9657418024308236E-10</v>
      </c>
      <c r="CB33" s="33">
        <f ca="1">INT(CA33) + _xll.RiskBinomial(1,CA33-INT(CA33))</f>
        <v>0</v>
      </c>
      <c r="CC33" s="26">
        <f t="shared" ca="1" si="19"/>
        <v>0</v>
      </c>
      <c r="CD33" s="31">
        <f ca="1">_xll.RiskBinomial(1,CC33)</f>
        <v>0</v>
      </c>
      <c r="CE33" s="78">
        <f ca="1">IF(CD33=1,_xll.RiskBinomial(1,Prob_illness_Adv_infection),0)</f>
        <v>0</v>
      </c>
      <c r="CG33" s="77" t="e">
        <f t="shared" ca="1" si="28"/>
        <v>#VALUE!</v>
      </c>
      <c r="CH33" s="33" t="e">
        <f ca="1">INT(CG33) + _xll.RiskBinomial(1,CG33-INT(CG33))</f>
        <v>#VALUE!</v>
      </c>
      <c r="CI33" s="26" t="e">
        <f t="shared" ca="1" si="20"/>
        <v>#VALUE!</v>
      </c>
      <c r="CJ33" s="31" t="e">
        <f ca="1">_xll.RiskBinomial(1,CI33)</f>
        <v>#VALUE!</v>
      </c>
      <c r="CK33" s="78" t="e">
        <f ca="1">IF(CJ33=1,_xll.RiskBinomial(1,Prob_illness_Adv_infection),0)</f>
        <v>#VALUE!</v>
      </c>
    </row>
    <row r="34" spans="2:89" x14ac:dyDescent="0.2">
      <c r="B34" s="97">
        <v>26</v>
      </c>
      <c r="C34" s="100">
        <f ca="1" xml:space="preserve"> _xll.RiskPert(Dur_event_hours_min,Dur_event_hours_mode,Dur_event_hours_max)</f>
        <v>1.3918654351101352</v>
      </c>
      <c r="D34" s="26">
        <f ca="1">_xll.RiskPert(Primary_Ing_Rate_mL_per_hour_min,Primary_Ing_Rate_mL_per_hour_mode,Primary_Ing_Rate_mL_per_hour_max)</f>
        <v>9.0641940963422698</v>
      </c>
      <c r="E34" s="34">
        <f t="shared" ca="1" si="0"/>
        <v>12.616138459828152</v>
      </c>
      <c r="F34" s="26"/>
      <c r="G34" s="77">
        <f t="shared" ca="1" si="21"/>
        <v>1.1583471792698333E-9</v>
      </c>
      <c r="H34" s="33">
        <f ca="1">INT(G34) + _xll.RiskBinomial(1,G34-INT(G34))</f>
        <v>0</v>
      </c>
      <c r="I34" s="26">
        <f t="shared" ca="1" si="1"/>
        <v>0</v>
      </c>
      <c r="J34" s="31">
        <f ca="1">_xll.RiskBinomial(1,I34)</f>
        <v>0</v>
      </c>
      <c r="K34" s="78">
        <f ca="1">IF(J34=1,_xll.RiskBinomial(1,Prob_illness_Adv_infection),0)</f>
        <v>0</v>
      </c>
      <c r="L34" s="26"/>
      <c r="M34" s="77">
        <f t="shared" ca="1" si="2"/>
        <v>2.8768277072104505E-11</v>
      </c>
      <c r="N34" s="33">
        <f ca="1">INT(M34) + _xll.RiskBinomial(1,M34-INT(M34))</f>
        <v>0</v>
      </c>
      <c r="O34" s="26">
        <f t="shared" ca="1" si="3"/>
        <v>0</v>
      </c>
      <c r="P34" s="31">
        <f ca="1">_xll.RiskBinomial(1,O34)</f>
        <v>0</v>
      </c>
      <c r="Q34" s="78">
        <f ca="1">IF(P34=1,_xll.RiskBinomial(1,Prob_illness_Adv_infection),0)</f>
        <v>0</v>
      </c>
      <c r="R34" s="26"/>
      <c r="S34" s="77">
        <f t="shared" ca="1" si="4"/>
        <v>3.6428930753358556E-10</v>
      </c>
      <c r="T34" s="33">
        <f ca="1">INT(S34) + _xll.RiskBinomial(1,S34-INT(S34))</f>
        <v>0</v>
      </c>
      <c r="U34" s="26">
        <f t="shared" ca="1" si="5"/>
        <v>0</v>
      </c>
      <c r="V34" s="31">
        <f ca="1">_xll.RiskBinomial(1,U34)</f>
        <v>0</v>
      </c>
      <c r="W34" s="78">
        <f ca="1">IF(V34=1,_xll.RiskBinomial(1,Prob_illness_Adv_infection),0)</f>
        <v>0</v>
      </c>
      <c r="X34" s="26"/>
      <c r="Y34" s="77">
        <f t="shared" ca="1" si="6"/>
        <v>3.0299348363412606E-11</v>
      </c>
      <c r="Z34" s="33">
        <f ca="1">INT(Y34) + _xll.RiskBinomial(1,Y34-INT(Y34))</f>
        <v>0</v>
      </c>
      <c r="AA34" s="26">
        <f t="shared" ca="1" si="7"/>
        <v>0</v>
      </c>
      <c r="AB34" s="31">
        <f ca="1">_xll.RiskBinomial(1,AA34)</f>
        <v>0</v>
      </c>
      <c r="AC34" s="78">
        <f ca="1">IF(AB34=1,_xll.RiskBinomial(1,Prob_illness_Adv_infection),0)</f>
        <v>0</v>
      </c>
      <c r="AD34" s="26"/>
      <c r="AE34" s="77">
        <f t="shared" ca="1" si="8"/>
        <v>4.5501368565978158E-11</v>
      </c>
      <c r="AF34" s="33">
        <f ca="1">INT(AE34) + _xll.RiskBinomial(1,AE34-INT(AE34))</f>
        <v>0</v>
      </c>
      <c r="AG34" s="26">
        <f t="shared" ca="1" si="9"/>
        <v>0</v>
      </c>
      <c r="AH34" s="31">
        <f ca="1">_xll.RiskBinomial(1,AG34)</f>
        <v>0</v>
      </c>
      <c r="AI34" s="78">
        <f ca="1">IF(AH34=1,_xll.RiskBinomial(1,Prob_illness_Adv_infection),0)</f>
        <v>0</v>
      </c>
      <c r="AJ34" s="26"/>
      <c r="AK34" s="77">
        <f t="shared" ca="1" si="10"/>
        <v>2.9603584131562717E-10</v>
      </c>
      <c r="AL34" s="33">
        <f ca="1">INT(AK34) + _xll.RiskBinomial(1,AK34-INT(AK34))</f>
        <v>0</v>
      </c>
      <c r="AM34" s="26">
        <f t="shared" ca="1" si="11"/>
        <v>0</v>
      </c>
      <c r="AN34" s="31">
        <f ca="1">_xll.RiskBinomial(1,AM34)</f>
        <v>0</v>
      </c>
      <c r="AO34" s="78">
        <f ca="1">IF(AN34=1,_xll.RiskBinomial(1,Prob_illness_Adv_infection),0)</f>
        <v>0</v>
      </c>
      <c r="AP34" s="26"/>
      <c r="AQ34" s="77">
        <f t="shared" ca="1" si="12"/>
        <v>5.6168113340533998E-10</v>
      </c>
      <c r="AR34" s="33">
        <f ca="1">INT(AQ34) + _xll.RiskBinomial(1,AQ34-INT(AQ34))</f>
        <v>0</v>
      </c>
      <c r="AS34" s="26">
        <f t="shared" ca="1" si="13"/>
        <v>0</v>
      </c>
      <c r="AT34" s="31">
        <f ca="1">_xll.RiskBinomial(1,AS34)</f>
        <v>0</v>
      </c>
      <c r="AU34" s="78">
        <f ca="1">IF(AT34=1,_xll.RiskBinomial(1,Prob_illness_Adv_infection),0)</f>
        <v>0</v>
      </c>
      <c r="AV34" s="26"/>
      <c r="AW34" s="77">
        <f t="shared" ca="1" si="22"/>
        <v>9.8919868422862523E-12</v>
      </c>
      <c r="AX34" s="33">
        <f ca="1">INT(AW34) + _xll.RiskBinomial(1,AW34-INT(AW34))</f>
        <v>0</v>
      </c>
      <c r="AY34" s="26">
        <f t="shared" ca="1" si="14"/>
        <v>0</v>
      </c>
      <c r="AZ34" s="31">
        <f ca="1">_xll.RiskBinomial(1,AY34)</f>
        <v>0</v>
      </c>
      <c r="BA34" s="78">
        <f ca="1">IF(AZ34=1,_xll.RiskBinomial(1,Prob_illness_Adv_infection),0)</f>
        <v>0</v>
      </c>
      <c r="BC34" s="77">
        <f t="shared" ca="1" si="23"/>
        <v>5.0703801331605612E-11</v>
      </c>
      <c r="BD34" s="33">
        <f ca="1">INT(BC34) + _xll.RiskBinomial(1,BC34-INT(BC34))</f>
        <v>0</v>
      </c>
      <c r="BE34" s="26">
        <f t="shared" ca="1" si="15"/>
        <v>0</v>
      </c>
      <c r="BF34" s="31">
        <f ca="1">_xll.RiskBinomial(1,BE34)</f>
        <v>0</v>
      </c>
      <c r="BG34" s="78">
        <f ca="1">IF(BF34=1,_xll.RiskBinomial(1,Prob_illness_Adv_infection),0)</f>
        <v>0</v>
      </c>
      <c r="BI34" s="77">
        <f t="shared" ca="1" si="24"/>
        <v>2.3611819541642941E-11</v>
      </c>
      <c r="BJ34" s="33">
        <f ca="1">INT(BI34) + _xll.RiskBinomial(1,BI34-INT(BI34))</f>
        <v>0</v>
      </c>
      <c r="BK34" s="26">
        <f t="shared" ca="1" si="16"/>
        <v>0</v>
      </c>
      <c r="BL34" s="31">
        <f ca="1">_xll.RiskBinomial(1,BK34)</f>
        <v>0</v>
      </c>
      <c r="BM34" s="78">
        <f ca="1">IF(BL34=1,_xll.RiskBinomial(1,Prob_illness_Adv_infection),0)</f>
        <v>0</v>
      </c>
      <c r="BO34" s="77">
        <f t="shared" ca="1" si="25"/>
        <v>5.1048943263971652E-11</v>
      </c>
      <c r="BP34" s="33">
        <f ca="1">INT(BO34) + _xll.RiskBinomial(1,BO34-INT(BO34))</f>
        <v>0</v>
      </c>
      <c r="BQ34" s="26">
        <f t="shared" ca="1" si="17"/>
        <v>0</v>
      </c>
      <c r="BR34" s="31">
        <f ca="1">_xll.RiskBinomial(1,BQ34)</f>
        <v>0</v>
      </c>
      <c r="BS34" s="78">
        <f ca="1">IF(BR34=1,_xll.RiskBinomial(1,Prob_illness_Adv_infection),0)</f>
        <v>0</v>
      </c>
      <c r="BU34" s="77">
        <f t="shared" ca="1" si="26"/>
        <v>3.6474600217955589E-13</v>
      </c>
      <c r="BV34" s="33">
        <f ca="1">INT(BU34) + _xll.RiskBinomial(1,BU34-INT(BU34))</f>
        <v>0</v>
      </c>
      <c r="BW34" s="26">
        <f t="shared" ca="1" si="18"/>
        <v>0</v>
      </c>
      <c r="BX34" s="31">
        <f ca="1">_xll.RiskBinomial(1,BW34)</f>
        <v>0</v>
      </c>
      <c r="BY34" s="78">
        <f ca="1">IF(BX34=1,_xll.RiskBinomial(1,Prob_illness_Adv_infection),0)</f>
        <v>0</v>
      </c>
      <c r="CA34" s="77">
        <f t="shared" ca="1" si="27"/>
        <v>5.5345214742215462E-11</v>
      </c>
      <c r="CB34" s="33">
        <f ca="1">INT(CA34) + _xll.RiskBinomial(1,CA34-INT(CA34))</f>
        <v>0</v>
      </c>
      <c r="CC34" s="26">
        <f t="shared" ca="1" si="19"/>
        <v>0</v>
      </c>
      <c r="CD34" s="31">
        <f ca="1">_xll.RiskBinomial(1,CC34)</f>
        <v>0</v>
      </c>
      <c r="CE34" s="78">
        <f ca="1">IF(CD34=1,_xll.RiskBinomial(1,Prob_illness_Adv_infection),0)</f>
        <v>0</v>
      </c>
      <c r="CG34" s="77" t="e">
        <f t="shared" ca="1" si="28"/>
        <v>#VALUE!</v>
      </c>
      <c r="CH34" s="33" t="e">
        <f ca="1">INT(CG34) + _xll.RiskBinomial(1,CG34-INT(CG34))</f>
        <v>#VALUE!</v>
      </c>
      <c r="CI34" s="26" t="e">
        <f t="shared" ca="1" si="20"/>
        <v>#VALUE!</v>
      </c>
      <c r="CJ34" s="31" t="e">
        <f ca="1">_xll.RiskBinomial(1,CI34)</f>
        <v>#VALUE!</v>
      </c>
      <c r="CK34" s="78" t="e">
        <f ca="1">IF(CJ34=1,_xll.RiskBinomial(1,Prob_illness_Adv_infection),0)</f>
        <v>#VALUE!</v>
      </c>
    </row>
    <row r="35" spans="2:89" x14ac:dyDescent="0.2">
      <c r="B35" s="97">
        <v>27</v>
      </c>
      <c r="C35" s="100">
        <f ca="1" xml:space="preserve"> _xll.RiskPert(Dur_event_hours_min,Dur_event_hours_mode,Dur_event_hours_max)</f>
        <v>1.3599284139642946</v>
      </c>
      <c r="D35" s="26">
        <f ca="1">_xll.RiskPert(Primary_Ing_Rate_mL_per_hour_min,Primary_Ing_Rate_mL_per_hour_mode,Primary_Ing_Rate_mL_per_hour_max)</f>
        <v>13.41441730438083</v>
      </c>
      <c r="E35" s="34">
        <f t="shared" ca="1" si="0"/>
        <v>18.242647249001813</v>
      </c>
      <c r="F35" s="26"/>
      <c r="G35" s="77">
        <f t="shared" ca="1" si="21"/>
        <v>1.674943490084657E-9</v>
      </c>
      <c r="H35" s="33">
        <f ca="1">INT(G35) + _xll.RiskBinomial(1,G35-INT(G35))</f>
        <v>0</v>
      </c>
      <c r="I35" s="26">
        <f t="shared" ca="1" si="1"/>
        <v>0</v>
      </c>
      <c r="J35" s="31">
        <f ca="1">_xll.RiskBinomial(1,I35)</f>
        <v>0</v>
      </c>
      <c r="K35" s="78">
        <f ca="1">IF(J35=1,_xll.RiskBinomial(1,Prob_illness_Adv_infection),0)</f>
        <v>0</v>
      </c>
      <c r="L35" s="26"/>
      <c r="M35" s="77">
        <f t="shared" ca="1" si="2"/>
        <v>4.1598269728810323E-11</v>
      </c>
      <c r="N35" s="33">
        <f ca="1">INT(M35) + _xll.RiskBinomial(1,M35-INT(M35))</f>
        <v>0</v>
      </c>
      <c r="O35" s="26">
        <f t="shared" ca="1" si="3"/>
        <v>0</v>
      </c>
      <c r="P35" s="31">
        <f ca="1">_xll.RiskBinomial(1,O35)</f>
        <v>0</v>
      </c>
      <c r="Q35" s="78">
        <f ca="1">IF(P35=1,_xll.RiskBinomial(1,Prob_illness_Adv_infection),0)</f>
        <v>0</v>
      </c>
      <c r="R35" s="26"/>
      <c r="S35" s="77">
        <f t="shared" ca="1" si="4"/>
        <v>5.2675399489939196E-10</v>
      </c>
      <c r="T35" s="33">
        <f ca="1">INT(S35) + _xll.RiskBinomial(1,S35-INT(S35))</f>
        <v>0</v>
      </c>
      <c r="U35" s="26">
        <f t="shared" ca="1" si="5"/>
        <v>0</v>
      </c>
      <c r="V35" s="31">
        <f ca="1">_xll.RiskBinomial(1,U35)</f>
        <v>0</v>
      </c>
      <c r="W35" s="78">
        <f ca="1">IF(V35=1,_xll.RiskBinomial(1,Prob_illness_Adv_infection),0)</f>
        <v>0</v>
      </c>
      <c r="X35" s="26"/>
      <c r="Y35" s="77">
        <f t="shared" ca="1" si="6"/>
        <v>4.3812163747914806E-11</v>
      </c>
      <c r="Z35" s="33">
        <f ca="1">INT(Y35) + _xll.RiskBinomial(1,Y35-INT(Y35))</f>
        <v>0</v>
      </c>
      <c r="AA35" s="26">
        <f t="shared" ca="1" si="7"/>
        <v>0</v>
      </c>
      <c r="AB35" s="31">
        <f ca="1">_xll.RiskBinomial(1,AA35)</f>
        <v>0</v>
      </c>
      <c r="AC35" s="78">
        <f ca="1">IF(AB35=1,_xll.RiskBinomial(1,Prob_illness_Adv_infection),0)</f>
        <v>0</v>
      </c>
      <c r="AD35" s="26"/>
      <c r="AE35" s="77">
        <f t="shared" ca="1" si="8"/>
        <v>6.5793936769085324E-11</v>
      </c>
      <c r="AF35" s="33">
        <f ca="1">INT(AE35) + _xll.RiskBinomial(1,AE35-INT(AE35))</f>
        <v>0</v>
      </c>
      <c r="AG35" s="26">
        <f t="shared" ca="1" si="9"/>
        <v>0</v>
      </c>
      <c r="AH35" s="31">
        <f ca="1">_xll.RiskBinomial(1,AG35)</f>
        <v>0</v>
      </c>
      <c r="AI35" s="78">
        <f ca="1">IF(AH35=1,_xll.RiskBinomial(1,Prob_illness_Adv_infection),0)</f>
        <v>0</v>
      </c>
      <c r="AJ35" s="26"/>
      <c r="AK35" s="77">
        <f t="shared" ca="1" si="10"/>
        <v>4.2806104604657494E-10</v>
      </c>
      <c r="AL35" s="33">
        <f ca="1">INT(AK35) + _xll.RiskBinomial(1,AK35-INT(AK35))</f>
        <v>0</v>
      </c>
      <c r="AM35" s="26">
        <f t="shared" ca="1" si="11"/>
        <v>0</v>
      </c>
      <c r="AN35" s="31">
        <f ca="1">_xll.RiskBinomial(1,AM35)</f>
        <v>0</v>
      </c>
      <c r="AO35" s="78">
        <f ca="1">IF(AN35=1,_xll.RiskBinomial(1,Prob_illness_Adv_infection),0)</f>
        <v>0</v>
      </c>
      <c r="AP35" s="26"/>
      <c r="AQ35" s="77">
        <f t="shared" ca="1" si="12"/>
        <v>8.1217805398695015E-10</v>
      </c>
      <c r="AR35" s="33">
        <f ca="1">INT(AQ35) + _xll.RiskBinomial(1,AQ35-INT(AQ35))</f>
        <v>0</v>
      </c>
      <c r="AS35" s="26">
        <f t="shared" ca="1" si="13"/>
        <v>0</v>
      </c>
      <c r="AT35" s="31">
        <f ca="1">_xll.RiskBinomial(1,AS35)</f>
        <v>0</v>
      </c>
      <c r="AU35" s="78">
        <f ca="1">IF(AT35=1,_xll.RiskBinomial(1,Prob_illness_Adv_infection),0)</f>
        <v>0</v>
      </c>
      <c r="AV35" s="26"/>
      <c r="AW35" s="77">
        <f t="shared" ca="1" si="22"/>
        <v>1.4303586404841463E-11</v>
      </c>
      <c r="AX35" s="33">
        <f ca="1">INT(AW35) + _xll.RiskBinomial(1,AW35-INT(AW35))</f>
        <v>0</v>
      </c>
      <c r="AY35" s="26">
        <f t="shared" ca="1" si="14"/>
        <v>0</v>
      </c>
      <c r="AZ35" s="31">
        <f ca="1">_xll.RiskBinomial(1,AY35)</f>
        <v>0</v>
      </c>
      <c r="BA35" s="78">
        <f ca="1">IF(AZ35=1,_xll.RiskBinomial(1,Prob_illness_Adv_infection),0)</f>
        <v>0</v>
      </c>
      <c r="BC35" s="77">
        <f t="shared" ca="1" si="23"/>
        <v>7.331653539006491E-11</v>
      </c>
      <c r="BD35" s="33">
        <f ca="1">INT(BC35) + _xll.RiskBinomial(1,BC35-INT(BC35))</f>
        <v>0</v>
      </c>
      <c r="BE35" s="26">
        <f t="shared" ca="1" si="15"/>
        <v>0</v>
      </c>
      <c r="BF35" s="31">
        <f ca="1">_xll.RiskBinomial(1,BE35)</f>
        <v>0</v>
      </c>
      <c r="BG35" s="78">
        <f ca="1">IF(BF35=1,_xll.RiskBinomial(1,Prob_illness_Adv_infection),0)</f>
        <v>0</v>
      </c>
      <c r="BI35" s="77">
        <f t="shared" ca="1" si="24"/>
        <v>3.4142150244849731E-11</v>
      </c>
      <c r="BJ35" s="33">
        <f ca="1">INT(BI35) + _xll.RiskBinomial(1,BI35-INT(BI35))</f>
        <v>0</v>
      </c>
      <c r="BK35" s="26">
        <f t="shared" ca="1" si="16"/>
        <v>0</v>
      </c>
      <c r="BL35" s="31">
        <f ca="1">_xll.RiskBinomial(1,BK35)</f>
        <v>0</v>
      </c>
      <c r="BM35" s="78">
        <f ca="1">IF(BL35=1,_xll.RiskBinomial(1,Prob_illness_Adv_infection),0)</f>
        <v>0</v>
      </c>
      <c r="BO35" s="77">
        <f t="shared" ca="1" si="25"/>
        <v>7.3815602719029388E-11</v>
      </c>
      <c r="BP35" s="33">
        <f ca="1">INT(BO35) + _xll.RiskBinomial(1,BO35-INT(BO35))</f>
        <v>0</v>
      </c>
      <c r="BQ35" s="26">
        <f t="shared" ca="1" si="17"/>
        <v>0</v>
      </c>
      <c r="BR35" s="31">
        <f ca="1">_xll.RiskBinomial(1,BQ35)</f>
        <v>0</v>
      </c>
      <c r="BS35" s="78">
        <f ca="1">IF(BR35=1,_xll.RiskBinomial(1,Prob_illness_Adv_infection),0)</f>
        <v>0</v>
      </c>
      <c r="BU35" s="77">
        <f t="shared" ca="1" si="26"/>
        <v>5.2741436489719058E-13</v>
      </c>
      <c r="BV35" s="33">
        <f ca="1">INT(BU35) + _xll.RiskBinomial(1,BU35-INT(BU35))</f>
        <v>0</v>
      </c>
      <c r="BW35" s="26">
        <f t="shared" ca="1" si="18"/>
        <v>0</v>
      </c>
      <c r="BX35" s="31">
        <f ca="1">_xll.RiskBinomial(1,BW35)</f>
        <v>0</v>
      </c>
      <c r="BY35" s="78">
        <f ca="1">IF(BX35=1,_xll.RiskBinomial(1,Prob_illness_Adv_infection),0)</f>
        <v>0</v>
      </c>
      <c r="CA35" s="77">
        <f t="shared" ca="1" si="27"/>
        <v>8.0027912873448615E-11</v>
      </c>
      <c r="CB35" s="33">
        <f ca="1">INT(CA35) + _xll.RiskBinomial(1,CA35-INT(CA35))</f>
        <v>0</v>
      </c>
      <c r="CC35" s="26">
        <f t="shared" ca="1" si="19"/>
        <v>0</v>
      </c>
      <c r="CD35" s="31">
        <f ca="1">_xll.RiskBinomial(1,CC35)</f>
        <v>0</v>
      </c>
      <c r="CE35" s="78">
        <f ca="1">IF(CD35=1,_xll.RiskBinomial(1,Prob_illness_Adv_infection),0)</f>
        <v>0</v>
      </c>
      <c r="CG35" s="77" t="e">
        <f t="shared" ca="1" si="28"/>
        <v>#VALUE!</v>
      </c>
      <c r="CH35" s="33" t="e">
        <f ca="1">INT(CG35) + _xll.RiskBinomial(1,CG35-INT(CG35))</f>
        <v>#VALUE!</v>
      </c>
      <c r="CI35" s="26" t="e">
        <f t="shared" ca="1" si="20"/>
        <v>#VALUE!</v>
      </c>
      <c r="CJ35" s="31" t="e">
        <f ca="1">_xll.RiskBinomial(1,CI35)</f>
        <v>#VALUE!</v>
      </c>
      <c r="CK35" s="78" t="e">
        <f ca="1">IF(CJ35=1,_xll.RiskBinomial(1,Prob_illness_Adv_infection),0)</f>
        <v>#VALUE!</v>
      </c>
    </row>
    <row r="36" spans="2:89" x14ac:dyDescent="0.2">
      <c r="B36" s="97">
        <v>28</v>
      </c>
      <c r="C36" s="100">
        <f ca="1" xml:space="preserve"> _xll.RiskPert(Dur_event_hours_min,Dur_event_hours_mode,Dur_event_hours_max)</f>
        <v>2.7562847819781857</v>
      </c>
      <c r="D36" s="26">
        <f ca="1">_xll.RiskPert(Primary_Ing_Rate_mL_per_hour_min,Primary_Ing_Rate_mL_per_hour_mode,Primary_Ing_Rate_mL_per_hour_max)</f>
        <v>21.747920505627715</v>
      </c>
      <c r="E36" s="34">
        <f t="shared" ca="1" si="0"/>
        <v>59.943462329333002</v>
      </c>
      <c r="F36" s="26"/>
      <c r="G36" s="77">
        <f t="shared" ca="1" si="21"/>
        <v>5.5036920152663092E-9</v>
      </c>
      <c r="H36" s="33">
        <f ca="1">INT(G36) + _xll.RiskBinomial(1,G36-INT(G36))</f>
        <v>0</v>
      </c>
      <c r="I36" s="26">
        <f t="shared" ca="1" si="1"/>
        <v>0</v>
      </c>
      <c r="J36" s="31">
        <f ca="1">_xll.RiskBinomial(1,I36)</f>
        <v>0</v>
      </c>
      <c r="K36" s="78">
        <f ca="1">IF(J36=1,_xll.RiskBinomial(1,Prob_illness_Adv_infection),0)</f>
        <v>0</v>
      </c>
      <c r="L36" s="26"/>
      <c r="M36" s="77">
        <f t="shared" ca="1" si="2"/>
        <v>1.3668763532062571E-10</v>
      </c>
      <c r="N36" s="33">
        <f ca="1">INT(M36) + _xll.RiskBinomial(1,M36-INT(M36))</f>
        <v>0</v>
      </c>
      <c r="O36" s="26">
        <f t="shared" ca="1" si="3"/>
        <v>0</v>
      </c>
      <c r="P36" s="31">
        <f ca="1">_xll.RiskBinomial(1,O36)</f>
        <v>0</v>
      </c>
      <c r="Q36" s="78">
        <f ca="1">IF(P36=1,_xll.RiskBinomial(1,Prob_illness_Adv_infection),0)</f>
        <v>0</v>
      </c>
      <c r="R36" s="26"/>
      <c r="S36" s="77">
        <f t="shared" ca="1" si="4"/>
        <v>1.7308594426614858E-9</v>
      </c>
      <c r="T36" s="33">
        <f ca="1">INT(S36) + _xll.RiskBinomial(1,S36-INT(S36))</f>
        <v>0</v>
      </c>
      <c r="U36" s="26">
        <f t="shared" ca="1" si="5"/>
        <v>0</v>
      </c>
      <c r="V36" s="31">
        <f ca="1">_xll.RiskBinomial(1,U36)</f>
        <v>0</v>
      </c>
      <c r="W36" s="78">
        <f ca="1">IF(V36=1,_xll.RiskBinomial(1,Prob_illness_Adv_infection),0)</f>
        <v>0</v>
      </c>
      <c r="X36" s="26"/>
      <c r="Y36" s="77">
        <f t="shared" ca="1" si="6"/>
        <v>1.4396226333507606E-10</v>
      </c>
      <c r="Z36" s="33">
        <f ca="1">INT(Y36) + _xll.RiskBinomial(1,Y36-INT(Y36))</f>
        <v>0</v>
      </c>
      <c r="AA36" s="26">
        <f t="shared" ca="1" si="7"/>
        <v>0</v>
      </c>
      <c r="AB36" s="31">
        <f ca="1">_xll.RiskBinomial(1,AA36)</f>
        <v>0</v>
      </c>
      <c r="AC36" s="78">
        <f ca="1">IF(AB36=1,_xll.RiskBinomial(1,Prob_illness_Adv_infection),0)</f>
        <v>0</v>
      </c>
      <c r="AD36" s="26"/>
      <c r="AE36" s="77">
        <f t="shared" ca="1" si="8"/>
        <v>2.1619210832638252E-10</v>
      </c>
      <c r="AF36" s="33">
        <f ca="1">INT(AE36) + _xll.RiskBinomial(1,AE36-INT(AE36))</f>
        <v>0</v>
      </c>
      <c r="AG36" s="26">
        <f t="shared" ca="1" si="9"/>
        <v>0</v>
      </c>
      <c r="AH36" s="31">
        <f ca="1">_xll.RiskBinomial(1,AG36)</f>
        <v>0</v>
      </c>
      <c r="AI36" s="78">
        <f ca="1">IF(AH36=1,_xll.RiskBinomial(1,Prob_illness_Adv_infection),0)</f>
        <v>0</v>
      </c>
      <c r="AJ36" s="26"/>
      <c r="AK36" s="77">
        <f t="shared" ca="1" si="10"/>
        <v>1.4065645647866024E-9</v>
      </c>
      <c r="AL36" s="33">
        <f ca="1">INT(AK36) + _xll.RiskBinomial(1,AK36-INT(AK36))</f>
        <v>0</v>
      </c>
      <c r="AM36" s="26">
        <f t="shared" ca="1" si="11"/>
        <v>0</v>
      </c>
      <c r="AN36" s="31">
        <f ca="1">_xll.RiskBinomial(1,AM36)</f>
        <v>0</v>
      </c>
      <c r="AO36" s="78">
        <f ca="1">IF(AN36=1,_xll.RiskBinomial(1,Prob_illness_Adv_infection),0)</f>
        <v>0</v>
      </c>
      <c r="AP36" s="26"/>
      <c r="AQ36" s="77">
        <f t="shared" ca="1" si="12"/>
        <v>2.6687335406620673E-9</v>
      </c>
      <c r="AR36" s="33">
        <f ca="1">INT(AQ36) + _xll.RiskBinomial(1,AQ36-INT(AQ36))</f>
        <v>0</v>
      </c>
      <c r="AS36" s="26">
        <f t="shared" ca="1" si="13"/>
        <v>0</v>
      </c>
      <c r="AT36" s="31">
        <f ca="1">_xll.RiskBinomial(1,AS36)</f>
        <v>0</v>
      </c>
      <c r="AU36" s="78">
        <f ca="1">IF(AT36=1,_xll.RiskBinomial(1,Prob_illness_Adv_infection),0)</f>
        <v>0</v>
      </c>
      <c r="AV36" s="26"/>
      <c r="AW36" s="77">
        <f t="shared" ca="1" si="22"/>
        <v>4.7000113587126931E-11</v>
      </c>
      <c r="AX36" s="33">
        <f ca="1">INT(AW36) + _xll.RiskBinomial(1,AW36-INT(AW36))</f>
        <v>0</v>
      </c>
      <c r="AY36" s="26">
        <f t="shared" ca="1" si="14"/>
        <v>0</v>
      </c>
      <c r="AZ36" s="31">
        <f ca="1">_xll.RiskBinomial(1,AY36)</f>
        <v>0</v>
      </c>
      <c r="BA36" s="78">
        <f ca="1">IF(AZ36=1,_xll.RiskBinomial(1,Prob_illness_Adv_infection),0)</f>
        <v>0</v>
      </c>
      <c r="BC36" s="77">
        <f t="shared" ca="1" si="23"/>
        <v>2.4091059358241112E-10</v>
      </c>
      <c r="BD36" s="33">
        <f ca="1">INT(BC36) + _xll.RiskBinomial(1,BC36-INT(BC36))</f>
        <v>0</v>
      </c>
      <c r="BE36" s="26">
        <f t="shared" ca="1" si="15"/>
        <v>0</v>
      </c>
      <c r="BF36" s="31">
        <f ca="1">_xll.RiskBinomial(1,BE36)</f>
        <v>0</v>
      </c>
      <c r="BG36" s="78">
        <f ca="1">IF(BF36=1,_xll.RiskBinomial(1,Prob_illness_Adv_infection),0)</f>
        <v>0</v>
      </c>
      <c r="BI36" s="77">
        <f t="shared" ca="1" si="24"/>
        <v>1.1218759367046149E-10</v>
      </c>
      <c r="BJ36" s="33">
        <f ca="1">INT(BI36) + _xll.RiskBinomial(1,BI36-INT(BI36))</f>
        <v>0</v>
      </c>
      <c r="BK36" s="26">
        <f t="shared" ca="1" si="16"/>
        <v>0</v>
      </c>
      <c r="BL36" s="31">
        <f ca="1">_xll.RiskBinomial(1,BK36)</f>
        <v>0</v>
      </c>
      <c r="BM36" s="78">
        <f ca="1">IF(BL36=1,_xll.RiskBinomial(1,Prob_illness_Adv_infection),0)</f>
        <v>0</v>
      </c>
      <c r="BO36" s="77">
        <f t="shared" ca="1" si="25"/>
        <v>2.4255047748880081E-10</v>
      </c>
      <c r="BP36" s="33">
        <f ca="1">INT(BO36) + _xll.RiskBinomial(1,BO36-INT(BO36))</f>
        <v>0</v>
      </c>
      <c r="BQ36" s="26">
        <f t="shared" ca="1" si="17"/>
        <v>0</v>
      </c>
      <c r="BR36" s="31">
        <f ca="1">_xll.RiskBinomial(1,BQ36)</f>
        <v>0</v>
      </c>
      <c r="BS36" s="78">
        <f ca="1">IF(BR36=1,_xll.RiskBinomial(1,Prob_illness_Adv_infection),0)</f>
        <v>0</v>
      </c>
      <c r="BU36" s="77">
        <f t="shared" ca="1" si="26"/>
        <v>1.7330293505452572E-12</v>
      </c>
      <c r="BV36" s="33">
        <f ca="1">INT(BU36) + _xll.RiskBinomial(1,BU36-INT(BU36))</f>
        <v>0</v>
      </c>
      <c r="BW36" s="26">
        <f t="shared" ca="1" si="18"/>
        <v>0</v>
      </c>
      <c r="BX36" s="31">
        <f ca="1">_xll.RiskBinomial(1,BW36)</f>
        <v>0</v>
      </c>
      <c r="BY36" s="78">
        <f ca="1">IF(BX36=1,_xll.RiskBinomial(1,Prob_illness_Adv_infection),0)</f>
        <v>0</v>
      </c>
      <c r="CA36" s="77">
        <f t="shared" ca="1" si="27"/>
        <v>2.6296348962660548E-10</v>
      </c>
      <c r="CB36" s="33">
        <f ca="1">INT(CA36) + _xll.RiskBinomial(1,CA36-INT(CA36))</f>
        <v>0</v>
      </c>
      <c r="CC36" s="26">
        <f t="shared" ca="1" si="19"/>
        <v>0</v>
      </c>
      <c r="CD36" s="31">
        <f ca="1">_xll.RiskBinomial(1,CC36)</f>
        <v>0</v>
      </c>
      <c r="CE36" s="78">
        <f ca="1">IF(CD36=1,_xll.RiskBinomial(1,Prob_illness_Adv_infection),0)</f>
        <v>0</v>
      </c>
      <c r="CG36" s="77" t="e">
        <f t="shared" ca="1" si="28"/>
        <v>#VALUE!</v>
      </c>
      <c r="CH36" s="33" t="e">
        <f ca="1">INT(CG36) + _xll.RiskBinomial(1,CG36-INT(CG36))</f>
        <v>#VALUE!</v>
      </c>
      <c r="CI36" s="26" t="e">
        <f t="shared" ca="1" si="20"/>
        <v>#VALUE!</v>
      </c>
      <c r="CJ36" s="31" t="e">
        <f ca="1">_xll.RiskBinomial(1,CI36)</f>
        <v>#VALUE!</v>
      </c>
      <c r="CK36" s="78" t="e">
        <f ca="1">IF(CJ36=1,_xll.RiskBinomial(1,Prob_illness_Adv_infection),0)</f>
        <v>#VALUE!</v>
      </c>
    </row>
    <row r="37" spans="2:89" x14ac:dyDescent="0.2">
      <c r="B37" s="97">
        <v>29</v>
      </c>
      <c r="C37" s="100">
        <f ca="1" xml:space="preserve"> _xll.RiskPert(Dur_event_hours_min,Dur_event_hours_mode,Dur_event_hours_max)</f>
        <v>0.70604779194131528</v>
      </c>
      <c r="D37" s="26">
        <f ca="1">_xll.RiskPert(Primary_Ing_Rate_mL_per_hour_min,Primary_Ing_Rate_mL_per_hour_mode,Primary_Ing_Rate_mL_per_hour_max)</f>
        <v>19.512707349060548</v>
      </c>
      <c r="E37" s="34">
        <f t="shared" ca="1" si="0"/>
        <v>13.776903938601276</v>
      </c>
      <c r="F37" s="26"/>
      <c r="G37" s="77">
        <f t="shared" ca="1" si="21"/>
        <v>1.2649225329259439E-9</v>
      </c>
      <c r="H37" s="33">
        <f ca="1">INT(G37) + _xll.RiskBinomial(1,G37-INT(G37))</f>
        <v>0</v>
      </c>
      <c r="I37" s="26">
        <f t="shared" ca="1" si="1"/>
        <v>0</v>
      </c>
      <c r="J37" s="31">
        <f ca="1">_xll.RiskBinomial(1,I37)</f>
        <v>0</v>
      </c>
      <c r="K37" s="78">
        <f ca="1">IF(J37=1,_xll.RiskBinomial(1,Prob_illness_Adv_infection),0)</f>
        <v>0</v>
      </c>
      <c r="L37" s="26"/>
      <c r="M37" s="77">
        <f t="shared" ca="1" si="2"/>
        <v>3.1415142673287363E-11</v>
      </c>
      <c r="N37" s="33">
        <f ca="1">INT(M37) + _xll.RiskBinomial(1,M37-INT(M37))</f>
        <v>0</v>
      </c>
      <c r="O37" s="26">
        <f t="shared" ca="1" si="3"/>
        <v>0</v>
      </c>
      <c r="P37" s="31">
        <f ca="1">_xll.RiskBinomial(1,O37)</f>
        <v>0</v>
      </c>
      <c r="Q37" s="78">
        <f ca="1">IF(P37=1,_xll.RiskBinomial(1,Prob_illness_Adv_infection),0)</f>
        <v>0</v>
      </c>
      <c r="R37" s="26"/>
      <c r="S37" s="77">
        <f t="shared" ca="1" si="4"/>
        <v>3.9780625519689712E-10</v>
      </c>
      <c r="T37" s="33">
        <f ca="1">INT(S37) + _xll.RiskBinomial(1,S37-INT(S37))</f>
        <v>0</v>
      </c>
      <c r="U37" s="26">
        <f t="shared" ca="1" si="5"/>
        <v>0</v>
      </c>
      <c r="V37" s="31">
        <f ca="1">_xll.RiskBinomial(1,U37)</f>
        <v>0</v>
      </c>
      <c r="W37" s="78">
        <f ca="1">IF(V37=1,_xll.RiskBinomial(1,Prob_illness_Adv_infection),0)</f>
        <v>0</v>
      </c>
      <c r="X37" s="26"/>
      <c r="Y37" s="77">
        <f t="shared" ca="1" si="6"/>
        <v>3.308708232191019E-11</v>
      </c>
      <c r="Z37" s="33">
        <f ca="1">INT(Y37) + _xll.RiskBinomial(1,Y37-INT(Y37))</f>
        <v>0</v>
      </c>
      <c r="AA37" s="26">
        <f t="shared" ca="1" si="7"/>
        <v>0</v>
      </c>
      <c r="AB37" s="31">
        <f ca="1">_xll.RiskBinomial(1,AA37)</f>
        <v>0</v>
      </c>
      <c r="AC37" s="78">
        <f ca="1">IF(AB37=1,_xll.RiskBinomial(1,Prob_illness_Adv_infection),0)</f>
        <v>0</v>
      </c>
      <c r="AD37" s="26"/>
      <c r="AE37" s="77">
        <f t="shared" ca="1" si="8"/>
        <v>4.9687785672646426E-11</v>
      </c>
      <c r="AF37" s="33">
        <f ca="1">INT(AE37) + _xll.RiskBinomial(1,AE37-INT(AE37))</f>
        <v>0</v>
      </c>
      <c r="AG37" s="26">
        <f t="shared" ca="1" si="9"/>
        <v>0</v>
      </c>
      <c r="AH37" s="31">
        <f ca="1">_xll.RiskBinomial(1,AG37)</f>
        <v>0</v>
      </c>
      <c r="AI37" s="78">
        <f ca="1">IF(AH37=1,_xll.RiskBinomial(1,Prob_illness_Adv_infection),0)</f>
        <v>0</v>
      </c>
      <c r="AJ37" s="26"/>
      <c r="AK37" s="77">
        <f t="shared" ca="1" si="10"/>
        <v>3.2327303327994392E-10</v>
      </c>
      <c r="AL37" s="33">
        <f ca="1">INT(AK37) + _xll.RiskBinomial(1,AK37-INT(AK37))</f>
        <v>0</v>
      </c>
      <c r="AM37" s="26">
        <f t="shared" ca="1" si="11"/>
        <v>0</v>
      </c>
      <c r="AN37" s="31">
        <f ca="1">_xll.RiskBinomial(1,AM37)</f>
        <v>0</v>
      </c>
      <c r="AO37" s="78">
        <f ca="1">IF(AN37=1,_xll.RiskBinomial(1,Prob_illness_Adv_infection),0)</f>
        <v>0</v>
      </c>
      <c r="AP37" s="26"/>
      <c r="AQ37" s="77">
        <f t="shared" ca="1" si="12"/>
        <v>6.1335939231246065E-10</v>
      </c>
      <c r="AR37" s="33">
        <f ca="1">INT(AQ37) + _xll.RiskBinomial(1,AQ37-INT(AQ37))</f>
        <v>0</v>
      </c>
      <c r="AS37" s="26">
        <f t="shared" ca="1" si="13"/>
        <v>0</v>
      </c>
      <c r="AT37" s="31">
        <f ca="1">_xll.RiskBinomial(1,AS37)</f>
        <v>0</v>
      </c>
      <c r="AU37" s="78">
        <f ca="1">IF(AT37=1,_xll.RiskBinomial(1,Prob_illness_Adv_infection),0)</f>
        <v>0</v>
      </c>
      <c r="AV37" s="26"/>
      <c r="AW37" s="77">
        <f t="shared" ca="1" si="22"/>
        <v>1.0802112938283479E-11</v>
      </c>
      <c r="AX37" s="33">
        <f ca="1">INT(AW37) + _xll.RiskBinomial(1,AW37-INT(AW37))</f>
        <v>0</v>
      </c>
      <c r="AY37" s="26">
        <f t="shared" ca="1" si="14"/>
        <v>0</v>
      </c>
      <c r="AZ37" s="31">
        <f ca="1">_xll.RiskBinomial(1,AY37)</f>
        <v>0</v>
      </c>
      <c r="BA37" s="78">
        <f ca="1">IF(AZ37=1,_xll.RiskBinomial(1,Prob_illness_Adv_infection),0)</f>
        <v>0</v>
      </c>
      <c r="BC37" s="77">
        <f t="shared" ca="1" si="23"/>
        <v>5.5368875547119593E-11</v>
      </c>
      <c r="BD37" s="33">
        <f ca="1">INT(BC37) + _xll.RiskBinomial(1,BC37-INT(BC37))</f>
        <v>0</v>
      </c>
      <c r="BE37" s="26">
        <f t="shared" ca="1" si="15"/>
        <v>0</v>
      </c>
      <c r="BF37" s="31">
        <f ca="1">_xll.RiskBinomial(1,BE37)</f>
        <v>0</v>
      </c>
      <c r="BG37" s="78">
        <f ca="1">IF(BF37=1,_xll.RiskBinomial(1,Prob_illness_Adv_infection),0)</f>
        <v>0</v>
      </c>
      <c r="BI37" s="77">
        <f t="shared" ca="1" si="24"/>
        <v>2.5784258049846591E-11</v>
      </c>
      <c r="BJ37" s="33">
        <f ca="1">INT(BI37) + _xll.RiskBinomial(1,BI37-INT(BI37))</f>
        <v>0</v>
      </c>
      <c r="BK37" s="26">
        <f t="shared" ca="1" si="16"/>
        <v>0</v>
      </c>
      <c r="BL37" s="31">
        <f ca="1">_xll.RiskBinomial(1,BK37)</f>
        <v>0</v>
      </c>
      <c r="BM37" s="78">
        <f ca="1">IF(BL37=1,_xll.RiskBinomial(1,Prob_illness_Adv_infection),0)</f>
        <v>0</v>
      </c>
      <c r="BO37" s="77">
        <f t="shared" ca="1" si="25"/>
        <v>5.5745772746094601E-11</v>
      </c>
      <c r="BP37" s="33">
        <f ca="1">INT(BO37) + _xll.RiskBinomial(1,BO37-INT(BO37))</f>
        <v>0</v>
      </c>
      <c r="BQ37" s="26">
        <f t="shared" ca="1" si="17"/>
        <v>0</v>
      </c>
      <c r="BR37" s="31">
        <f ca="1">_xll.RiskBinomial(1,BQ37)</f>
        <v>0</v>
      </c>
      <c r="BS37" s="78">
        <f ca="1">IF(BR37=1,_xll.RiskBinomial(1,Prob_illness_Adv_infection),0)</f>
        <v>0</v>
      </c>
      <c r="BU37" s="77">
        <f t="shared" ca="1" si="26"/>
        <v>3.9830496867304047E-13</v>
      </c>
      <c r="BV37" s="33">
        <f ca="1">INT(BU37) + _xll.RiskBinomial(1,BU37-INT(BU37))</f>
        <v>0</v>
      </c>
      <c r="BW37" s="26">
        <f t="shared" ca="1" si="18"/>
        <v>0</v>
      </c>
      <c r="BX37" s="31">
        <f ca="1">_xll.RiskBinomial(1,BW37)</f>
        <v>0</v>
      </c>
      <c r="BY37" s="78">
        <f ca="1">IF(BX37=1,_xll.RiskBinomial(1,Prob_illness_Adv_infection),0)</f>
        <v>0</v>
      </c>
      <c r="CA37" s="77">
        <f t="shared" ca="1" si="27"/>
        <v>6.0437328695514936E-11</v>
      </c>
      <c r="CB37" s="33">
        <f ca="1">INT(CA37) + _xll.RiskBinomial(1,CA37-INT(CA37))</f>
        <v>0</v>
      </c>
      <c r="CC37" s="26">
        <f t="shared" ca="1" si="19"/>
        <v>0</v>
      </c>
      <c r="CD37" s="31">
        <f ca="1">_xll.RiskBinomial(1,CC37)</f>
        <v>0</v>
      </c>
      <c r="CE37" s="78">
        <f ca="1">IF(CD37=1,_xll.RiskBinomial(1,Prob_illness_Adv_infection),0)</f>
        <v>0</v>
      </c>
      <c r="CG37" s="77" t="e">
        <f t="shared" ca="1" si="28"/>
        <v>#VALUE!</v>
      </c>
      <c r="CH37" s="33" t="e">
        <f ca="1">INT(CG37) + _xll.RiskBinomial(1,CG37-INT(CG37))</f>
        <v>#VALUE!</v>
      </c>
      <c r="CI37" s="26" t="e">
        <f t="shared" ca="1" si="20"/>
        <v>#VALUE!</v>
      </c>
      <c r="CJ37" s="31" t="e">
        <f ca="1">_xll.RiskBinomial(1,CI37)</f>
        <v>#VALUE!</v>
      </c>
      <c r="CK37" s="78" t="e">
        <f ca="1">IF(CJ37=1,_xll.RiskBinomial(1,Prob_illness_Adv_infection),0)</f>
        <v>#VALUE!</v>
      </c>
    </row>
    <row r="38" spans="2:89" x14ac:dyDescent="0.2">
      <c r="B38" s="97">
        <v>30</v>
      </c>
      <c r="C38" s="100">
        <f ca="1" xml:space="preserve"> _xll.RiskPert(Dur_event_hours_min,Dur_event_hours_mode,Dur_event_hours_max)</f>
        <v>1.6878177382903079</v>
      </c>
      <c r="D38" s="26">
        <f ca="1">_xll.RiskPert(Primary_Ing_Rate_mL_per_hour_min,Primary_Ing_Rate_mL_per_hour_mode,Primary_Ing_Rate_mL_per_hour_max)</f>
        <v>15.567111408067985</v>
      </c>
      <c r="E38" s="34">
        <f t="shared" ca="1" si="0"/>
        <v>26.274446768478558</v>
      </c>
      <c r="F38" s="26"/>
      <c r="G38" s="77">
        <f t="shared" ca="1" si="21"/>
        <v>2.4123808880230924E-9</v>
      </c>
      <c r="H38" s="33">
        <f ca="1">INT(G38) + _xll.RiskBinomial(1,G38-INT(G38))</f>
        <v>0</v>
      </c>
      <c r="I38" s="26">
        <f t="shared" ca="1" si="1"/>
        <v>0</v>
      </c>
      <c r="J38" s="31">
        <f ca="1">_xll.RiskBinomial(1,I38)</f>
        <v>0</v>
      </c>
      <c r="K38" s="78">
        <f ca="1">IF(J38=1,_xll.RiskBinomial(1,Prob_illness_Adv_infection),0)</f>
        <v>0</v>
      </c>
      <c r="L38" s="26"/>
      <c r="M38" s="77">
        <f t="shared" ca="1" si="2"/>
        <v>5.99129889830131E-11</v>
      </c>
      <c r="N38" s="33">
        <f ca="1">INT(M38) + _xll.RiskBinomial(1,M38-INT(M38))</f>
        <v>0</v>
      </c>
      <c r="O38" s="26">
        <f t="shared" ca="1" si="3"/>
        <v>0</v>
      </c>
      <c r="P38" s="31">
        <f ca="1">_xll.RiskBinomial(1,O38)</f>
        <v>0</v>
      </c>
      <c r="Q38" s="78">
        <f ca="1">IF(P38=1,_xll.RiskBinomial(1,Prob_illness_Adv_infection),0)</f>
        <v>0</v>
      </c>
      <c r="R38" s="26"/>
      <c r="S38" s="77">
        <f t="shared" ca="1" si="4"/>
        <v>7.5867112980682096E-10</v>
      </c>
      <c r="T38" s="33">
        <f ca="1">INT(S38) + _xll.RiskBinomial(1,S38-INT(S38))</f>
        <v>0</v>
      </c>
      <c r="U38" s="26">
        <f t="shared" ca="1" si="5"/>
        <v>0</v>
      </c>
      <c r="V38" s="31">
        <f ca="1">_xll.RiskBinomial(1,U38)</f>
        <v>0</v>
      </c>
      <c r="W38" s="78">
        <f ca="1">IF(V38=1,_xll.RiskBinomial(1,Prob_illness_Adv_infection),0)</f>
        <v>0</v>
      </c>
      <c r="X38" s="26"/>
      <c r="Y38" s="77">
        <f t="shared" ca="1" si="6"/>
        <v>6.3101607376058909E-11</v>
      </c>
      <c r="Z38" s="33">
        <f ca="1">INT(Y38) + _xll.RiskBinomial(1,Y38-INT(Y38))</f>
        <v>0</v>
      </c>
      <c r="AA38" s="26">
        <f t="shared" ca="1" si="7"/>
        <v>0</v>
      </c>
      <c r="AB38" s="31">
        <f ca="1">_xll.RiskBinomial(1,AA38)</f>
        <v>0</v>
      </c>
      <c r="AC38" s="78">
        <f ca="1">IF(AB38=1,_xll.RiskBinomial(1,Prob_illness_Adv_infection),0)</f>
        <v>0</v>
      </c>
      <c r="AD38" s="26"/>
      <c r="AE38" s="77">
        <f t="shared" ca="1" si="8"/>
        <v>9.4761427205833098E-11</v>
      </c>
      <c r="AF38" s="33">
        <f ca="1">INT(AE38) + _xll.RiskBinomial(1,AE38-INT(AE38))</f>
        <v>0</v>
      </c>
      <c r="AG38" s="26">
        <f t="shared" ca="1" si="9"/>
        <v>0</v>
      </c>
      <c r="AH38" s="31">
        <f ca="1">_xll.RiskBinomial(1,AG38)</f>
        <v>0</v>
      </c>
      <c r="AI38" s="78">
        <f ca="1">IF(AH38=1,_xll.RiskBinomial(1,Prob_illness_Adv_infection),0)</f>
        <v>0</v>
      </c>
      <c r="AJ38" s="26"/>
      <c r="AK38" s="77">
        <f t="shared" ca="1" si="10"/>
        <v>6.1652604550720513E-10</v>
      </c>
      <c r="AL38" s="33">
        <f ca="1">INT(AK38) + _xll.RiskBinomial(1,AK38-INT(AK38))</f>
        <v>0</v>
      </c>
      <c r="AM38" s="26">
        <f t="shared" ca="1" si="11"/>
        <v>0</v>
      </c>
      <c r="AN38" s="31">
        <f ca="1">_xll.RiskBinomial(1,AM38)</f>
        <v>0</v>
      </c>
      <c r="AO38" s="78">
        <f ca="1">IF(AN38=1,_xll.RiskBinomial(1,Prob_illness_Adv_infection),0)</f>
        <v>0</v>
      </c>
      <c r="AP38" s="26"/>
      <c r="AQ38" s="77">
        <f t="shared" ca="1" si="12"/>
        <v>1.1697605481668384E-9</v>
      </c>
      <c r="AR38" s="33">
        <f ca="1">INT(AQ38) + _xll.RiskBinomial(1,AQ38-INT(AQ38))</f>
        <v>0</v>
      </c>
      <c r="AS38" s="26">
        <f t="shared" ca="1" si="13"/>
        <v>0</v>
      </c>
      <c r="AT38" s="31">
        <f ca="1">_xll.RiskBinomial(1,AS38)</f>
        <v>0</v>
      </c>
      <c r="AU38" s="78">
        <f ca="1">IF(AT38=1,_xll.RiskBinomial(1,Prob_illness_Adv_infection),0)</f>
        <v>0</v>
      </c>
      <c r="AV38" s="26"/>
      <c r="AW38" s="77">
        <f t="shared" ca="1" si="22"/>
        <v>2.060111202407339E-11</v>
      </c>
      <c r="AX38" s="33">
        <f ca="1">INT(AW38) + _xll.RiskBinomial(1,AW38-INT(AW38))</f>
        <v>0</v>
      </c>
      <c r="AY38" s="26">
        <f t="shared" ca="1" si="14"/>
        <v>0</v>
      </c>
      <c r="AZ38" s="31">
        <f ca="1">_xll.RiskBinomial(1,AY38)</f>
        <v>0</v>
      </c>
      <c r="BA38" s="78">
        <f ca="1">IF(AZ38=1,_xll.RiskBinomial(1,Prob_illness_Adv_infection),0)</f>
        <v>0</v>
      </c>
      <c r="BC38" s="77">
        <f t="shared" ca="1" si="23"/>
        <v>1.05596045357997E-10</v>
      </c>
      <c r="BD38" s="33">
        <f ca="1">INT(BC38) + _xll.RiskBinomial(1,BC38-INT(BC38))</f>
        <v>0</v>
      </c>
      <c r="BE38" s="26">
        <f t="shared" ca="1" si="15"/>
        <v>0</v>
      </c>
      <c r="BF38" s="31">
        <f ca="1">_xll.RiskBinomial(1,BE38)</f>
        <v>0</v>
      </c>
      <c r="BG38" s="78">
        <f ca="1">IF(BF38=1,_xll.RiskBinomial(1,Prob_illness_Adv_infection),0)</f>
        <v>0</v>
      </c>
      <c r="BI38" s="77">
        <f t="shared" ca="1" si="24"/>
        <v>4.9174119135521106E-11</v>
      </c>
      <c r="BJ38" s="33">
        <f ca="1">INT(BI38) + _xll.RiskBinomial(1,BI38-INT(BI38))</f>
        <v>0</v>
      </c>
      <c r="BK38" s="26">
        <f t="shared" ca="1" si="16"/>
        <v>0</v>
      </c>
      <c r="BL38" s="31">
        <f ca="1">_xll.RiskBinomial(1,BK38)</f>
        <v>0</v>
      </c>
      <c r="BM38" s="78">
        <f ca="1">IF(BL38=1,_xll.RiskBinomial(1,Prob_illness_Adv_infection),0)</f>
        <v>0</v>
      </c>
      <c r="BO38" s="77">
        <f t="shared" ca="1" si="25"/>
        <v>1.0631484004770309E-10</v>
      </c>
      <c r="BP38" s="33">
        <f ca="1">INT(BO38) + _xll.RiskBinomial(1,BO38-INT(BO38))</f>
        <v>0</v>
      </c>
      <c r="BQ38" s="26">
        <f t="shared" ca="1" si="17"/>
        <v>0</v>
      </c>
      <c r="BR38" s="31">
        <f ca="1">_xll.RiskBinomial(1,BQ38)</f>
        <v>0</v>
      </c>
      <c r="BS38" s="78">
        <f ca="1">IF(BR38=1,_xll.RiskBinomial(1,Prob_illness_Adv_infection),0)</f>
        <v>0</v>
      </c>
      <c r="BU38" s="77">
        <f t="shared" ca="1" si="26"/>
        <v>7.5962224485705638E-13</v>
      </c>
      <c r="BV38" s="33">
        <f ca="1">INT(BU38) + _xll.RiskBinomial(1,BU38-INT(BU38))</f>
        <v>0</v>
      </c>
      <c r="BW38" s="26">
        <f t="shared" ca="1" si="18"/>
        <v>0</v>
      </c>
      <c r="BX38" s="31">
        <f ca="1">_xll.RiskBinomial(1,BW38)</f>
        <v>0</v>
      </c>
      <c r="BY38" s="78">
        <f ca="1">IF(BX38=1,_xll.RiskBinomial(1,Prob_illness_Adv_infection),0)</f>
        <v>0</v>
      </c>
      <c r="CA38" s="77">
        <f t="shared" ca="1" si="27"/>
        <v>1.1526228118569355E-10</v>
      </c>
      <c r="CB38" s="33">
        <f ca="1">INT(CA38) + _xll.RiskBinomial(1,CA38-INT(CA38))</f>
        <v>0</v>
      </c>
      <c r="CC38" s="26">
        <f t="shared" ca="1" si="19"/>
        <v>0</v>
      </c>
      <c r="CD38" s="31">
        <f ca="1">_xll.RiskBinomial(1,CC38)</f>
        <v>0</v>
      </c>
      <c r="CE38" s="78">
        <f ca="1">IF(CD38=1,_xll.RiskBinomial(1,Prob_illness_Adv_infection),0)</f>
        <v>0</v>
      </c>
      <c r="CG38" s="77" t="e">
        <f t="shared" ca="1" si="28"/>
        <v>#VALUE!</v>
      </c>
      <c r="CH38" s="33" t="e">
        <f ca="1">INT(CG38) + _xll.RiskBinomial(1,CG38-INT(CG38))</f>
        <v>#VALUE!</v>
      </c>
      <c r="CI38" s="26" t="e">
        <f t="shared" ca="1" si="20"/>
        <v>#VALUE!</v>
      </c>
      <c r="CJ38" s="31" t="e">
        <f ca="1">_xll.RiskBinomial(1,CI38)</f>
        <v>#VALUE!</v>
      </c>
      <c r="CK38" s="78" t="e">
        <f ca="1">IF(CJ38=1,_xll.RiskBinomial(1,Prob_illness_Adv_infection),0)</f>
        <v>#VALUE!</v>
      </c>
    </row>
    <row r="39" spans="2:89" x14ac:dyDescent="0.2">
      <c r="B39" s="97">
        <v>31</v>
      </c>
      <c r="C39" s="100">
        <f ca="1" xml:space="preserve"> _xll.RiskPert(Dur_event_hours_min,Dur_event_hours_mode,Dur_event_hours_max)</f>
        <v>1.2005994305912733</v>
      </c>
      <c r="D39" s="26">
        <f ca="1">_xll.RiskPert(Primary_Ing_Rate_mL_per_hour_min,Primary_Ing_Rate_mL_per_hour_mode,Primary_Ing_Rate_mL_per_hour_max)</f>
        <v>8.249604396174302</v>
      </c>
      <c r="E39" s="34">
        <f t="shared" ca="1" si="0"/>
        <v>9.904470340650132</v>
      </c>
      <c r="F39" s="26"/>
      <c r="G39" s="77">
        <f t="shared" ca="1" si="21"/>
        <v>9.0937613896558954E-10</v>
      </c>
      <c r="H39" s="33">
        <f ca="1">INT(G39) + _xll.RiskBinomial(1,G39-INT(G39))</f>
        <v>0</v>
      </c>
      <c r="I39" s="26">
        <f t="shared" ca="1" si="1"/>
        <v>0</v>
      </c>
      <c r="J39" s="31">
        <f ca="1">_xll.RiskBinomial(1,I39)</f>
        <v>0</v>
      </c>
      <c r="K39" s="78">
        <f ca="1">IF(J39=1,_xll.RiskBinomial(1,Prob_illness_Adv_infection),0)</f>
        <v>0</v>
      </c>
      <c r="L39" s="26"/>
      <c r="M39" s="77">
        <f t="shared" ca="1" si="2"/>
        <v>2.2584925484096617E-11</v>
      </c>
      <c r="N39" s="33">
        <f ca="1">INT(M39) + _xll.RiskBinomial(1,M39-INT(M39))</f>
        <v>0</v>
      </c>
      <c r="O39" s="26">
        <f t="shared" ca="1" si="3"/>
        <v>0</v>
      </c>
      <c r="P39" s="31">
        <f ca="1">_xll.RiskBinomial(1,O39)</f>
        <v>0</v>
      </c>
      <c r="Q39" s="78">
        <f ca="1">IF(P39=1,_xll.RiskBinomial(1,Prob_illness_Adv_infection),0)</f>
        <v>0</v>
      </c>
      <c r="R39" s="26"/>
      <c r="S39" s="77">
        <f t="shared" ca="1" si="4"/>
        <v>2.8599025394110331E-10</v>
      </c>
      <c r="T39" s="33">
        <f ca="1">INT(S39) + _xll.RiskBinomial(1,S39-INT(S39))</f>
        <v>0</v>
      </c>
      <c r="U39" s="26">
        <f t="shared" ca="1" si="5"/>
        <v>0</v>
      </c>
      <c r="V39" s="31">
        <f ca="1">_xll.RiskBinomial(1,U39)</f>
        <v>0</v>
      </c>
      <c r="W39" s="78">
        <f ca="1">IF(V39=1,_xll.RiskBinomial(1,Prob_illness_Adv_infection),0)</f>
        <v>0</v>
      </c>
      <c r="X39" s="26"/>
      <c r="Y39" s="77">
        <f t="shared" ca="1" si="6"/>
        <v>2.3786913734500506E-11</v>
      </c>
      <c r="Z39" s="33">
        <f ca="1">INT(Y39) + _xll.RiskBinomial(1,Y39-INT(Y39))</f>
        <v>0</v>
      </c>
      <c r="AA39" s="26">
        <f t="shared" ca="1" si="7"/>
        <v>0</v>
      </c>
      <c r="AB39" s="31">
        <f ca="1">_xll.RiskBinomial(1,AA39)</f>
        <v>0</v>
      </c>
      <c r="AC39" s="78">
        <f ca="1">IF(AB39=1,_xll.RiskBinomial(1,Prob_illness_Adv_infection),0)</f>
        <v>0</v>
      </c>
      <c r="AD39" s="26"/>
      <c r="AE39" s="77">
        <f t="shared" ca="1" si="8"/>
        <v>3.572146555427544E-11</v>
      </c>
      <c r="AF39" s="33">
        <f ca="1">INT(AE39) + _xll.RiskBinomial(1,AE39-INT(AE39))</f>
        <v>0</v>
      </c>
      <c r="AG39" s="26">
        <f t="shared" ca="1" si="9"/>
        <v>0</v>
      </c>
      <c r="AH39" s="31">
        <f ca="1">_xll.RiskBinomial(1,AG39)</f>
        <v>0</v>
      </c>
      <c r="AI39" s="78">
        <f ca="1">IF(AH39=1,_xll.RiskBinomial(1,Prob_illness_Adv_infection),0)</f>
        <v>0</v>
      </c>
      <c r="AJ39" s="26"/>
      <c r="AK39" s="77">
        <f t="shared" ca="1" si="10"/>
        <v>2.3240694602522437E-10</v>
      </c>
      <c r="AL39" s="33">
        <f ca="1">INT(AK39) + _xll.RiskBinomial(1,AK39-INT(AK39))</f>
        <v>0</v>
      </c>
      <c r="AM39" s="26">
        <f t="shared" ca="1" si="11"/>
        <v>0</v>
      </c>
      <c r="AN39" s="31">
        <f ca="1">_xll.RiskBinomial(1,AM39)</f>
        <v>0</v>
      </c>
      <c r="AO39" s="78">
        <f ca="1">IF(AN39=1,_xll.RiskBinomial(1,Prob_illness_Adv_infection),0)</f>
        <v>0</v>
      </c>
      <c r="AP39" s="26"/>
      <c r="AQ39" s="77">
        <f t="shared" ca="1" si="12"/>
        <v>4.4095537984383522E-10</v>
      </c>
      <c r="AR39" s="33">
        <f ca="1">INT(AQ39) + _xll.RiskBinomial(1,AQ39-INT(AQ39))</f>
        <v>0</v>
      </c>
      <c r="AS39" s="26">
        <f t="shared" ca="1" si="13"/>
        <v>0</v>
      </c>
      <c r="AT39" s="31">
        <f ca="1">_xll.RiskBinomial(1,AS39)</f>
        <v>0</v>
      </c>
      <c r="AU39" s="78">
        <f ca="1">IF(AT39=1,_xll.RiskBinomial(1,Prob_illness_Adv_infection),0)</f>
        <v>0</v>
      </c>
      <c r="AV39" s="26"/>
      <c r="AW39" s="77">
        <f t="shared" ca="1" si="22"/>
        <v>7.7658382239140477E-12</v>
      </c>
      <c r="AX39" s="33">
        <f ca="1">INT(AW39) + _xll.RiskBinomial(1,AW39-INT(AW39))</f>
        <v>0</v>
      </c>
      <c r="AY39" s="26">
        <f t="shared" ca="1" si="14"/>
        <v>0</v>
      </c>
      <c r="AZ39" s="31">
        <f ca="1">_xll.RiskBinomial(1,AY39)</f>
        <v>0</v>
      </c>
      <c r="BA39" s="78">
        <f ca="1">IF(AZ39=1,_xll.RiskBinomial(1,Prob_illness_Adv_infection),0)</f>
        <v>0</v>
      </c>
      <c r="BC39" s="77">
        <f t="shared" ca="1" si="23"/>
        <v>3.9805705846220163E-11</v>
      </c>
      <c r="BD39" s="33">
        <f ca="1">INT(BC39) + _xll.RiskBinomial(1,BC39-INT(BC39))</f>
        <v>0</v>
      </c>
      <c r="BE39" s="26">
        <f t="shared" ca="1" si="15"/>
        <v>0</v>
      </c>
      <c r="BF39" s="31">
        <f ca="1">_xll.RiskBinomial(1,BE39)</f>
        <v>0</v>
      </c>
      <c r="BG39" s="78">
        <f ca="1">IF(BF39=1,_xll.RiskBinomial(1,Prob_illness_Adv_infection),0)</f>
        <v>0</v>
      </c>
      <c r="BI39" s="77">
        <f t="shared" ca="1" si="24"/>
        <v>1.8536778673097349E-11</v>
      </c>
      <c r="BJ39" s="33">
        <f ca="1">INT(BI39) + _xll.RiskBinomial(1,BI39-INT(BI39))</f>
        <v>0</v>
      </c>
      <c r="BK39" s="26">
        <f t="shared" ca="1" si="16"/>
        <v>0</v>
      </c>
      <c r="BL39" s="31">
        <f ca="1">_xll.RiskBinomial(1,BK39)</f>
        <v>0</v>
      </c>
      <c r="BM39" s="78">
        <f ca="1">IF(BL39=1,_xll.RiskBinomial(1,Prob_illness_Adv_infection),0)</f>
        <v>0</v>
      </c>
      <c r="BO39" s="77">
        <f t="shared" ca="1" si="25"/>
        <v>4.0076664193999786E-11</v>
      </c>
      <c r="BP39" s="33">
        <f ca="1">INT(BO39) + _xll.RiskBinomial(1,BO39-INT(BO39))</f>
        <v>0</v>
      </c>
      <c r="BQ39" s="26">
        <f t="shared" ca="1" si="17"/>
        <v>0</v>
      </c>
      <c r="BR39" s="31">
        <f ca="1">_xll.RiskBinomial(1,BQ39)</f>
        <v>0</v>
      </c>
      <c r="BS39" s="78">
        <f ca="1">IF(BR39=1,_xll.RiskBinomial(1,Prob_illness_Adv_infection),0)</f>
        <v>0</v>
      </c>
      <c r="BU39" s="77">
        <f t="shared" ca="1" si="26"/>
        <v>2.8634878825730071E-13</v>
      </c>
      <c r="BV39" s="33">
        <f ca="1">INT(BU39) + _xll.RiskBinomial(1,BU39-INT(BU39))</f>
        <v>0</v>
      </c>
      <c r="BW39" s="26">
        <f t="shared" ca="1" si="18"/>
        <v>0</v>
      </c>
      <c r="BX39" s="31">
        <f ca="1">_xll.RiskBinomial(1,BW39)</f>
        <v>0</v>
      </c>
      <c r="BY39" s="78">
        <f ca="1">IF(BX39=1,_xll.RiskBinomial(1,Prob_illness_Adv_infection),0)</f>
        <v>0</v>
      </c>
      <c r="CA39" s="77">
        <f t="shared" ca="1" si="27"/>
        <v>4.3449510296405882E-11</v>
      </c>
      <c r="CB39" s="33">
        <f ca="1">INT(CA39) + _xll.RiskBinomial(1,CA39-INT(CA39))</f>
        <v>0</v>
      </c>
      <c r="CC39" s="26">
        <f t="shared" ca="1" si="19"/>
        <v>0</v>
      </c>
      <c r="CD39" s="31">
        <f ca="1">_xll.RiskBinomial(1,CC39)</f>
        <v>0</v>
      </c>
      <c r="CE39" s="78">
        <f ca="1">IF(CD39=1,_xll.RiskBinomial(1,Prob_illness_Adv_infection),0)</f>
        <v>0</v>
      </c>
      <c r="CG39" s="77" t="e">
        <f t="shared" ca="1" si="28"/>
        <v>#VALUE!</v>
      </c>
      <c r="CH39" s="33" t="e">
        <f ca="1">INT(CG39) + _xll.RiskBinomial(1,CG39-INT(CG39))</f>
        <v>#VALUE!</v>
      </c>
      <c r="CI39" s="26" t="e">
        <f t="shared" ca="1" si="20"/>
        <v>#VALUE!</v>
      </c>
      <c r="CJ39" s="31" t="e">
        <f ca="1">_xll.RiskBinomial(1,CI39)</f>
        <v>#VALUE!</v>
      </c>
      <c r="CK39" s="78" t="e">
        <f ca="1">IF(CJ39=1,_xll.RiskBinomial(1,Prob_illness_Adv_infection),0)</f>
        <v>#VALUE!</v>
      </c>
    </row>
    <row r="40" spans="2:89" x14ac:dyDescent="0.2">
      <c r="B40" s="97">
        <v>32</v>
      </c>
      <c r="C40" s="100">
        <f ca="1" xml:space="preserve"> _xll.RiskPert(Dur_event_hours_min,Dur_event_hours_mode,Dur_event_hours_max)</f>
        <v>1.6477345969206194</v>
      </c>
      <c r="D40" s="26">
        <f ca="1">_xll.RiskPert(Primary_Ing_Rate_mL_per_hour_min,Primary_Ing_Rate_mL_per_hour_mode,Primary_Ing_Rate_mL_per_hour_max)</f>
        <v>22.449745417818015</v>
      </c>
      <c r="E40" s="34">
        <f t="shared" ca="1" si="0"/>
        <v>36.991222216998892</v>
      </c>
      <c r="F40" s="26"/>
      <c r="G40" s="77">
        <f t="shared" ca="1" si="21"/>
        <v>3.3963385903889254E-9</v>
      </c>
      <c r="H40" s="33">
        <f ca="1">INT(G40) + _xll.RiskBinomial(1,G40-INT(G40))</f>
        <v>0</v>
      </c>
      <c r="I40" s="26">
        <f t="shared" ca="1" si="1"/>
        <v>0</v>
      </c>
      <c r="J40" s="31">
        <f ca="1">_xll.RiskBinomial(1,I40)</f>
        <v>0</v>
      </c>
      <c r="K40" s="78">
        <f ca="1">IF(J40=1,_xll.RiskBinomial(1,Prob_illness_Adv_infection),0)</f>
        <v>0</v>
      </c>
      <c r="L40" s="26"/>
      <c r="M40" s="77">
        <f t="shared" ca="1" si="2"/>
        <v>8.4350194266091421E-11</v>
      </c>
      <c r="N40" s="33">
        <f ca="1">INT(M40) + _xll.RiskBinomial(1,M40-INT(M40))</f>
        <v>0</v>
      </c>
      <c r="O40" s="26">
        <f t="shared" ca="1" si="3"/>
        <v>0</v>
      </c>
      <c r="P40" s="31">
        <f ca="1">_xll.RiskBinomial(1,O40)</f>
        <v>0</v>
      </c>
      <c r="Q40" s="78">
        <f ca="1">IF(P40=1,_xll.RiskBinomial(1,Prob_illness_Adv_infection),0)</f>
        <v>0</v>
      </c>
      <c r="R40" s="26"/>
      <c r="S40" s="77">
        <f t="shared" ca="1" si="4"/>
        <v>1.0681165848932087E-9</v>
      </c>
      <c r="T40" s="33">
        <f ca="1">INT(S40) + _xll.RiskBinomial(1,S40-INT(S40))</f>
        <v>0</v>
      </c>
      <c r="U40" s="26">
        <f t="shared" ca="1" si="5"/>
        <v>0</v>
      </c>
      <c r="V40" s="31">
        <f ca="1">_xll.RiskBinomial(1,U40)</f>
        <v>0</v>
      </c>
      <c r="W40" s="78">
        <f ca="1">IF(V40=1,_xll.RiskBinomial(1,Prob_illness_Adv_infection),0)</f>
        <v>0</v>
      </c>
      <c r="X40" s="26"/>
      <c r="Y40" s="77">
        <f t="shared" ca="1" si="6"/>
        <v>8.8839380759025406E-11</v>
      </c>
      <c r="Z40" s="33">
        <f ca="1">INT(Y40) + _xll.RiskBinomial(1,Y40-INT(Y40))</f>
        <v>0</v>
      </c>
      <c r="AA40" s="26">
        <f t="shared" ca="1" si="7"/>
        <v>0</v>
      </c>
      <c r="AB40" s="31">
        <f ca="1">_xll.RiskBinomial(1,AA40)</f>
        <v>0</v>
      </c>
      <c r="AC40" s="78">
        <f ca="1">IF(AB40=1,_xll.RiskBinomial(1,Prob_illness_Adv_infection),0)</f>
        <v>0</v>
      </c>
      <c r="AD40" s="26"/>
      <c r="AE40" s="77">
        <f t="shared" ca="1" si="8"/>
        <v>1.3341255259373503E-10</v>
      </c>
      <c r="AF40" s="33">
        <f ca="1">INT(AE40) + _xll.RiskBinomial(1,AE40-INT(AE40))</f>
        <v>0</v>
      </c>
      <c r="AG40" s="26">
        <f t="shared" ca="1" si="9"/>
        <v>0</v>
      </c>
      <c r="AH40" s="31">
        <f ca="1">_xll.RiskBinomial(1,AG40)</f>
        <v>0</v>
      </c>
      <c r="AI40" s="78">
        <f ca="1">IF(AH40=1,_xll.RiskBinomial(1,Prob_illness_Adv_infection),0)</f>
        <v>0</v>
      </c>
      <c r="AJ40" s="26"/>
      <c r="AK40" s="77">
        <f t="shared" ca="1" si="10"/>
        <v>8.6799361192582781E-10</v>
      </c>
      <c r="AL40" s="33">
        <f ca="1">INT(AK40) + _xll.RiskBinomial(1,AK40-INT(AK40))</f>
        <v>0</v>
      </c>
      <c r="AM40" s="26">
        <f t="shared" ca="1" si="11"/>
        <v>0</v>
      </c>
      <c r="AN40" s="31">
        <f ca="1">_xll.RiskBinomial(1,AM40)</f>
        <v>0</v>
      </c>
      <c r="AO40" s="78">
        <f ca="1">IF(AN40=1,_xll.RiskBinomial(1,Prob_illness_Adv_infection),0)</f>
        <v>0</v>
      </c>
      <c r="AP40" s="26"/>
      <c r="AQ40" s="77">
        <f t="shared" ca="1" si="12"/>
        <v>1.6468804370727988E-9</v>
      </c>
      <c r="AR40" s="33">
        <f ca="1">INT(AQ40) + _xll.RiskBinomial(1,AQ40-INT(AQ40))</f>
        <v>0</v>
      </c>
      <c r="AS40" s="26">
        <f t="shared" ca="1" si="13"/>
        <v>0</v>
      </c>
      <c r="AT40" s="31">
        <f ca="1">_xll.RiskBinomial(1,AS40)</f>
        <v>0</v>
      </c>
      <c r="AU40" s="78">
        <f ca="1">IF(AT40=1,_xll.RiskBinomial(1,Prob_illness_Adv_infection),0)</f>
        <v>0</v>
      </c>
      <c r="AV40" s="26"/>
      <c r="AW40" s="77">
        <f t="shared" ca="1" si="22"/>
        <v>2.9003857607918504E-11</v>
      </c>
      <c r="AX40" s="33">
        <f ca="1">INT(AW40) + _xll.RiskBinomial(1,AW40-INT(AW40))</f>
        <v>0</v>
      </c>
      <c r="AY40" s="26">
        <f t="shared" ca="1" si="14"/>
        <v>0</v>
      </c>
      <c r="AZ40" s="31">
        <f ca="1">_xll.RiskBinomial(1,AY40)</f>
        <v>0</v>
      </c>
      <c r="BA40" s="78">
        <f ca="1">IF(AZ40=1,_xll.RiskBinomial(1,Prob_illness_Adv_infection),0)</f>
        <v>0</v>
      </c>
      <c r="BC40" s="77">
        <f t="shared" ca="1" si="23"/>
        <v>1.4866637587057171E-10</v>
      </c>
      <c r="BD40" s="33">
        <f ca="1">INT(BC40) + _xll.RiskBinomial(1,BC40-INT(BC40))</f>
        <v>0</v>
      </c>
      <c r="BE40" s="26">
        <f t="shared" ca="1" si="15"/>
        <v>0</v>
      </c>
      <c r="BF40" s="31">
        <f ca="1">_xll.RiskBinomial(1,BE40)</f>
        <v>0</v>
      </c>
      <c r="BG40" s="78">
        <f ca="1">IF(BF40=1,_xll.RiskBinomial(1,Prob_illness_Adv_infection),0)</f>
        <v>0</v>
      </c>
      <c r="BI40" s="77">
        <f t="shared" ca="1" si="24"/>
        <v>6.9231172945171394E-11</v>
      </c>
      <c r="BJ40" s="33">
        <f ca="1">INT(BI40) + _xll.RiskBinomial(1,BI40-INT(BI40))</f>
        <v>0</v>
      </c>
      <c r="BK40" s="26">
        <f t="shared" ca="1" si="16"/>
        <v>0</v>
      </c>
      <c r="BL40" s="31">
        <f ca="1">_xll.RiskBinomial(1,BK40)</f>
        <v>0</v>
      </c>
      <c r="BM40" s="78">
        <f ca="1">IF(BL40=1,_xll.RiskBinomial(1,Prob_illness_Adv_infection),0)</f>
        <v>0</v>
      </c>
      <c r="BO40" s="77">
        <f t="shared" ca="1" si="25"/>
        <v>1.4967835128263692E-10</v>
      </c>
      <c r="BP40" s="33">
        <f ca="1">INT(BO40) + _xll.RiskBinomial(1,BO40-INT(BO40))</f>
        <v>0</v>
      </c>
      <c r="BQ40" s="26">
        <f t="shared" ca="1" si="17"/>
        <v>0</v>
      </c>
      <c r="BR40" s="31">
        <f ca="1">_xll.RiskBinomial(1,BQ40)</f>
        <v>0</v>
      </c>
      <c r="BS40" s="78">
        <f ca="1">IF(BR40=1,_xll.RiskBinomial(1,Prob_illness_Adv_infection),0)</f>
        <v>0</v>
      </c>
      <c r="BU40" s="77">
        <f t="shared" ca="1" si="26"/>
        <v>1.0694556390886105E-12</v>
      </c>
      <c r="BV40" s="33">
        <f ca="1">INT(BU40) + _xll.RiskBinomial(1,BU40-INT(BU40))</f>
        <v>0</v>
      </c>
      <c r="BW40" s="26">
        <f t="shared" ca="1" si="18"/>
        <v>0</v>
      </c>
      <c r="BX40" s="31">
        <f ca="1">_xll.RiskBinomial(1,BW40)</f>
        <v>0</v>
      </c>
      <c r="BY40" s="78">
        <f ca="1">IF(BX40=1,_xll.RiskBinomial(1,Prob_illness_Adv_infection),0)</f>
        <v>0</v>
      </c>
      <c r="CA40" s="77">
        <f t="shared" ca="1" si="27"/>
        <v>1.6227525908150996E-10</v>
      </c>
      <c r="CB40" s="33">
        <f ca="1">INT(CA40) + _xll.RiskBinomial(1,CA40-INT(CA40))</f>
        <v>0</v>
      </c>
      <c r="CC40" s="26">
        <f t="shared" ca="1" si="19"/>
        <v>0</v>
      </c>
      <c r="CD40" s="31">
        <f ca="1">_xll.RiskBinomial(1,CC40)</f>
        <v>0</v>
      </c>
      <c r="CE40" s="78">
        <f ca="1">IF(CD40=1,_xll.RiskBinomial(1,Prob_illness_Adv_infection),0)</f>
        <v>0</v>
      </c>
      <c r="CG40" s="77" t="e">
        <f t="shared" ca="1" si="28"/>
        <v>#VALUE!</v>
      </c>
      <c r="CH40" s="33" t="e">
        <f ca="1">INT(CG40) + _xll.RiskBinomial(1,CG40-INT(CG40))</f>
        <v>#VALUE!</v>
      </c>
      <c r="CI40" s="26" t="e">
        <f t="shared" ca="1" si="20"/>
        <v>#VALUE!</v>
      </c>
      <c r="CJ40" s="31" t="e">
        <f ca="1">_xll.RiskBinomial(1,CI40)</f>
        <v>#VALUE!</v>
      </c>
      <c r="CK40" s="78" t="e">
        <f ca="1">IF(CJ40=1,_xll.RiskBinomial(1,Prob_illness_Adv_infection),0)</f>
        <v>#VALUE!</v>
      </c>
    </row>
    <row r="41" spans="2:89" x14ac:dyDescent="0.2">
      <c r="B41" s="97">
        <v>33</v>
      </c>
      <c r="C41" s="100">
        <f ca="1" xml:space="preserve"> _xll.RiskPert(Dur_event_hours_min,Dur_event_hours_mode,Dur_event_hours_max)</f>
        <v>1.138578970740268</v>
      </c>
      <c r="D41" s="26">
        <f ca="1">_xll.RiskPert(Primary_Ing_Rate_mL_per_hour_min,Primary_Ing_Rate_mL_per_hour_mode,Primary_Ing_Rate_mL_per_hour_max)</f>
        <v>7.5144146254347142</v>
      </c>
      <c r="E41" s="34">
        <f t="shared" ca="1" si="0"/>
        <v>8.5557544699430732</v>
      </c>
      <c r="F41" s="26"/>
      <c r="G41" s="77">
        <f t="shared" ca="1" si="21"/>
        <v>7.8554417330949454E-10</v>
      </c>
      <c r="H41" s="33">
        <f ca="1">INT(G41) + _xll.RiskBinomial(1,G41-INT(G41))</f>
        <v>0</v>
      </c>
      <c r="I41" s="26">
        <f t="shared" ref="I41:I72" ca="1" si="29" xml:space="preserve"> MAX(1-(1-r_Adv)^H41,0)</f>
        <v>0</v>
      </c>
      <c r="J41" s="31">
        <f ca="1">_xll.RiskBinomial(1,I41)</f>
        <v>0</v>
      </c>
      <c r="K41" s="78">
        <f ca="1">IF(J41=1,_xll.RiskBinomial(1,Prob_illness_Adv_infection),0)</f>
        <v>0</v>
      </c>
      <c r="L41" s="26"/>
      <c r="M41" s="77">
        <f t="shared" ca="1" si="2"/>
        <v>1.9509481124985339E-11</v>
      </c>
      <c r="N41" s="33">
        <f ca="1">INT(M41) + _xll.RiskBinomial(1,M41-INT(M41))</f>
        <v>0</v>
      </c>
      <c r="O41" s="26">
        <f t="shared" ref="O41:O72" ca="1" si="30" xml:space="preserve"> MAX(1-(1-r_Adv)^N41,0)</f>
        <v>0</v>
      </c>
      <c r="P41" s="31">
        <f ca="1">_xll.RiskBinomial(1,O41)</f>
        <v>0</v>
      </c>
      <c r="Q41" s="78">
        <f ca="1">IF(P41=1,_xll.RiskBinomial(1,Prob_illness_Adv_infection),0)</f>
        <v>0</v>
      </c>
      <c r="R41" s="26"/>
      <c r="S41" s="77">
        <f t="shared" ca="1" si="4"/>
        <v>2.4704626389502991E-10</v>
      </c>
      <c r="T41" s="33">
        <f ca="1">INT(S41) + _xll.RiskBinomial(1,S41-INT(S41))</f>
        <v>0</v>
      </c>
      <c r="U41" s="26">
        <f t="shared" ref="U41:U72" ca="1" si="31" xml:space="preserve"> MAX(1-(1-r_Adv)^T41,0)</f>
        <v>0</v>
      </c>
      <c r="V41" s="31">
        <f ca="1">_xll.RiskBinomial(1,U41)</f>
        <v>0</v>
      </c>
      <c r="W41" s="78">
        <f ca="1">IF(V41=1,_xll.RiskBinomial(1,Prob_illness_Adv_infection),0)</f>
        <v>0</v>
      </c>
      <c r="X41" s="26"/>
      <c r="Y41" s="77">
        <f t="shared" ca="1" si="6"/>
        <v>2.0547791705209365E-11</v>
      </c>
      <c r="Z41" s="33">
        <f ca="1">INT(Y41) + _xll.RiskBinomial(1,Y41-INT(Y41))</f>
        <v>0</v>
      </c>
      <c r="AA41" s="26">
        <f t="shared" ref="AA41:AA72" ca="1" si="32" xml:space="preserve"> MAX(1-(1-r_Adv)^Z41,0)</f>
        <v>0</v>
      </c>
      <c r="AB41" s="31">
        <f ca="1">_xll.RiskBinomial(1,AA41)</f>
        <v>0</v>
      </c>
      <c r="AC41" s="78">
        <f ca="1">IF(AB41=1,_xll.RiskBinomial(1,Prob_illness_Adv_infection),0)</f>
        <v>0</v>
      </c>
      <c r="AD41" s="26"/>
      <c r="AE41" s="77">
        <f t="shared" ca="1" si="8"/>
        <v>3.0857186510475065E-11</v>
      </c>
      <c r="AF41" s="33">
        <f ca="1">INT(AE41) + _xll.RiskBinomial(1,AE41-INT(AE41))</f>
        <v>0</v>
      </c>
      <c r="AG41" s="26">
        <f t="shared" ref="AG41:AG72" ca="1" si="33" xml:space="preserve"> MAX(1-(1-r_Adv)^AF41,0)</f>
        <v>0</v>
      </c>
      <c r="AH41" s="31">
        <f ca="1">_xll.RiskBinomial(1,AG41)</f>
        <v>0</v>
      </c>
      <c r="AI41" s="78">
        <f ca="1">IF(AH41=1,_xll.RiskBinomial(1,Prob_illness_Adv_infection),0)</f>
        <v>0</v>
      </c>
      <c r="AJ41" s="26"/>
      <c r="AK41" s="77">
        <f t="shared" ca="1" si="10"/>
        <v>2.0075952563967308E-10</v>
      </c>
      <c r="AL41" s="33">
        <f ca="1">INT(AK41) + _xll.RiskBinomial(1,AK41-INT(AK41))</f>
        <v>0</v>
      </c>
      <c r="AM41" s="26">
        <f t="shared" ref="AM41:AM72" ca="1" si="34" xml:space="preserve"> MAX(1-(1-r_Adv)^AL41,0)</f>
        <v>0</v>
      </c>
      <c r="AN41" s="31">
        <f ca="1">_xll.RiskBinomial(1,AM41)</f>
        <v>0</v>
      </c>
      <c r="AO41" s="78">
        <f ca="1">IF(AN41=1,_xll.RiskBinomial(1,Prob_illness_Adv_infection),0)</f>
        <v>0</v>
      </c>
      <c r="AP41" s="26"/>
      <c r="AQ41" s="77">
        <f t="shared" ca="1" si="12"/>
        <v>3.8090941084050912E-10</v>
      </c>
      <c r="AR41" s="33">
        <f ca="1">INT(AQ41) + _xll.RiskBinomial(1,AQ41-INT(AQ41))</f>
        <v>0</v>
      </c>
      <c r="AS41" s="26">
        <f t="shared" ref="AS41:AS72" ca="1" si="35" xml:space="preserve"> MAX(1-(1-r_Adv)^AR41,0)</f>
        <v>0</v>
      </c>
      <c r="AT41" s="31">
        <f ca="1">_xll.RiskBinomial(1,AS41)</f>
        <v>0</v>
      </c>
      <c r="AU41" s="78">
        <f ca="1">IF(AT41=1,_xll.RiskBinomial(1,Prob_illness_Adv_infection),0)</f>
        <v>0</v>
      </c>
      <c r="AV41" s="26"/>
      <c r="AW41" s="77">
        <f t="shared" ca="1" si="22"/>
        <v>6.7083451019498002E-12</v>
      </c>
      <c r="AX41" s="33">
        <f ca="1">INT(AW41) + _xll.RiskBinomial(1,AW41-INT(AW41))</f>
        <v>0</v>
      </c>
      <c r="AY41" s="26">
        <f t="shared" ref="AY41:AY72" ca="1" si="36" xml:space="preserve"> MAX(1-(1-r_Adv)^AX41,0)</f>
        <v>0</v>
      </c>
      <c r="AZ41" s="31">
        <f ca="1">_xll.RiskBinomial(1,AY41)</f>
        <v>0</v>
      </c>
      <c r="BA41" s="78">
        <f ca="1">IF(AZ41=1,_xll.RiskBinomial(1,Prob_illness_Adv_infection),0)</f>
        <v>0</v>
      </c>
      <c r="BC41" s="77">
        <f t="shared" ca="1" si="23"/>
        <v>3.4385265845592132E-11</v>
      </c>
      <c r="BD41" s="33">
        <f ca="1">INT(BC41) + _xll.RiskBinomial(1,BC41-INT(BC41))</f>
        <v>0</v>
      </c>
      <c r="BE41" s="26">
        <f t="shared" ref="BE41:BE72" ca="1" si="37" xml:space="preserve"> MAX(1-(1-r_Adv)^BD41,0)</f>
        <v>0</v>
      </c>
      <c r="BF41" s="31">
        <f ca="1">_xll.RiskBinomial(1,BE41)</f>
        <v>0</v>
      </c>
      <c r="BG41" s="78">
        <f ca="1">IF(BF41=1,_xll.RiskBinomial(1,Prob_illness_Adv_infection),0)</f>
        <v>0</v>
      </c>
      <c r="BI41" s="77">
        <f t="shared" ca="1" si="24"/>
        <v>1.6012580333527231E-11</v>
      </c>
      <c r="BJ41" s="33">
        <f ca="1">INT(BI41) + _xll.RiskBinomial(1,BI41-INT(BI41))</f>
        <v>0</v>
      </c>
      <c r="BK41" s="26">
        <f t="shared" ref="BK41:BK72" ca="1" si="38" xml:space="preserve"> MAX(1-(1-r_Adv)^BJ41,0)</f>
        <v>0</v>
      </c>
      <c r="BL41" s="31">
        <f ca="1">_xll.RiskBinomial(1,BK41)</f>
        <v>0</v>
      </c>
      <c r="BM41" s="78">
        <f ca="1">IF(BL41=1,_xll.RiskBinomial(1,Prob_illness_Adv_infection),0)</f>
        <v>0</v>
      </c>
      <c r="BO41" s="77">
        <f t="shared" ca="1" si="25"/>
        <v>3.4619327134631424E-11</v>
      </c>
      <c r="BP41" s="33">
        <f ca="1">INT(BO41) + _xll.RiskBinomial(1,BO41-INT(BO41))</f>
        <v>0</v>
      </c>
      <c r="BQ41" s="26">
        <f t="shared" ref="BQ41:BQ72" ca="1" si="39" xml:space="preserve"> MAX(1-(1-r_Adv)^BP41,0)</f>
        <v>0</v>
      </c>
      <c r="BR41" s="31">
        <f ca="1">_xll.RiskBinomial(1,BQ41)</f>
        <v>0</v>
      </c>
      <c r="BS41" s="78">
        <f ca="1">IF(BR41=1,_xll.RiskBinomial(1,Prob_illness_Adv_infection),0)</f>
        <v>0</v>
      </c>
      <c r="BU41" s="77">
        <f t="shared" ca="1" si="26"/>
        <v>2.4735597571938103E-13</v>
      </c>
      <c r="BV41" s="33">
        <f ca="1">INT(BU41) + _xll.RiskBinomial(1,BU41-INT(BU41))</f>
        <v>0</v>
      </c>
      <c r="BW41" s="26">
        <f t="shared" ref="BW41:BW72" ca="1" si="40" xml:space="preserve"> MAX(1-(1-r_Adv)^BV41,0)</f>
        <v>0</v>
      </c>
      <c r="BX41" s="31">
        <f ca="1">_xll.RiskBinomial(1,BW41)</f>
        <v>0</v>
      </c>
      <c r="BY41" s="78">
        <f ca="1">IF(BX41=1,_xll.RiskBinomial(1,Prob_illness_Adv_infection),0)</f>
        <v>0</v>
      </c>
      <c r="CA41" s="77">
        <f t="shared" ca="1" si="27"/>
        <v>3.753288456118602E-11</v>
      </c>
      <c r="CB41" s="33">
        <f ca="1">INT(CA41) + _xll.RiskBinomial(1,CA41-INT(CA41))</f>
        <v>0</v>
      </c>
      <c r="CC41" s="26">
        <f t="shared" ref="CC41:CC72" ca="1" si="41" xml:space="preserve"> MAX(1-(1-r_Adv)^CB41,0)</f>
        <v>0</v>
      </c>
      <c r="CD41" s="31">
        <f ca="1">_xll.RiskBinomial(1,CC41)</f>
        <v>0</v>
      </c>
      <c r="CE41" s="78">
        <f ca="1">IF(CD41=1,_xll.RiskBinomial(1,Prob_illness_Adv_infection),0)</f>
        <v>0</v>
      </c>
      <c r="CG41" s="77" t="e">
        <f t="shared" ca="1" si="28"/>
        <v>#VALUE!</v>
      </c>
      <c r="CH41" s="33" t="e">
        <f ca="1">INT(CG41) + _xll.RiskBinomial(1,CG41-INT(CG41))</f>
        <v>#VALUE!</v>
      </c>
      <c r="CI41" s="26" t="e">
        <f t="shared" ref="CI41:CI72" ca="1" si="42" xml:space="preserve"> MAX(1-(1-r_Adv)^CH41,0)</f>
        <v>#VALUE!</v>
      </c>
      <c r="CJ41" s="31" t="e">
        <f ca="1">_xll.RiskBinomial(1,CI41)</f>
        <v>#VALUE!</v>
      </c>
      <c r="CK41" s="78" t="e">
        <f ca="1">IF(CJ41=1,_xll.RiskBinomial(1,Prob_illness_Adv_infection),0)</f>
        <v>#VALUE!</v>
      </c>
    </row>
    <row r="42" spans="2:89" x14ac:dyDescent="0.2">
      <c r="B42" s="97">
        <v>34</v>
      </c>
      <c r="C42" s="100">
        <f ca="1" xml:space="preserve"> _xll.RiskPert(Dur_event_hours_min,Dur_event_hours_mode,Dur_event_hours_max)</f>
        <v>0.84052251182088655</v>
      </c>
      <c r="D42" s="26">
        <f ca="1">_xll.RiskPert(Primary_Ing_Rate_mL_per_hour_min,Primary_Ing_Rate_mL_per_hour_mode,Primary_Ing_Rate_mL_per_hour_max)</f>
        <v>12.19226509847037</v>
      </c>
      <c r="E42" s="34">
        <f t="shared" ca="1" si="0"/>
        <v>10.247873285352444</v>
      </c>
      <c r="F42" s="26"/>
      <c r="G42" s="77">
        <f t="shared" ca="1" si="21"/>
        <v>9.4090558306732278E-10</v>
      </c>
      <c r="H42" s="33">
        <f ca="1">INT(G42) + _xll.RiskBinomial(1,G42-INT(G42))</f>
        <v>0</v>
      </c>
      <c r="I42" s="26">
        <f t="shared" ca="1" si="29"/>
        <v>0</v>
      </c>
      <c r="J42" s="31">
        <f ca="1">_xll.RiskBinomial(1,I42)</f>
        <v>0</v>
      </c>
      <c r="K42" s="78">
        <f ca="1">IF(J42=1,_xll.RiskBinomial(1,Prob_illness_Adv_infection),0)</f>
        <v>0</v>
      </c>
      <c r="L42" s="26"/>
      <c r="M42" s="77">
        <f t="shared" ca="1" si="2"/>
        <v>2.3367978958979557E-11</v>
      </c>
      <c r="N42" s="33">
        <f ca="1">INT(M42) + _xll.RiskBinomial(1,M42-INT(M42))</f>
        <v>0</v>
      </c>
      <c r="O42" s="26">
        <f t="shared" ca="1" si="30"/>
        <v>0</v>
      </c>
      <c r="P42" s="31">
        <f ca="1">_xll.RiskBinomial(1,O42)</f>
        <v>0</v>
      </c>
      <c r="Q42" s="78">
        <f ca="1">IF(P42=1,_xll.RiskBinomial(1,Prob_illness_Adv_infection),0)</f>
        <v>0</v>
      </c>
      <c r="R42" s="26"/>
      <c r="S42" s="77">
        <f t="shared" ca="1" si="4"/>
        <v>2.9590596795525528E-10</v>
      </c>
      <c r="T42" s="33">
        <f ca="1">INT(S42) + _xll.RiskBinomial(1,S42-INT(S42))</f>
        <v>0</v>
      </c>
      <c r="U42" s="26">
        <f t="shared" ca="1" si="31"/>
        <v>0</v>
      </c>
      <c r="V42" s="31">
        <f ca="1">_xll.RiskBinomial(1,U42)</f>
        <v>0</v>
      </c>
      <c r="W42" s="78">
        <f ca="1">IF(V42=1,_xll.RiskBinomial(1,Prob_illness_Adv_infection),0)</f>
        <v>0</v>
      </c>
      <c r="X42" s="26"/>
      <c r="Y42" s="77">
        <f t="shared" ca="1" si="6"/>
        <v>2.461164195729926E-11</v>
      </c>
      <c r="Z42" s="33">
        <f ca="1">INT(Y42) + _xll.RiskBinomial(1,Y42-INT(Y42))</f>
        <v>0</v>
      </c>
      <c r="AA42" s="26">
        <f t="shared" ca="1" si="32"/>
        <v>0</v>
      </c>
      <c r="AB42" s="31">
        <f ca="1">_xll.RiskBinomial(1,AA42)</f>
        <v>0</v>
      </c>
      <c r="AC42" s="78">
        <f ca="1">IF(AB42=1,_xll.RiskBinomial(1,Prob_illness_Adv_infection),0)</f>
        <v>0</v>
      </c>
      <c r="AD42" s="26"/>
      <c r="AE42" s="77">
        <f t="shared" ca="1" si="8"/>
        <v>3.6959982712540278E-11</v>
      </c>
      <c r="AF42" s="33">
        <f ca="1">INT(AE42) + _xll.RiskBinomial(1,AE42-INT(AE42))</f>
        <v>0</v>
      </c>
      <c r="AG42" s="26">
        <f t="shared" ca="1" si="33"/>
        <v>0</v>
      </c>
      <c r="AH42" s="31">
        <f ca="1">_xll.RiskBinomial(1,AG42)</f>
        <v>0</v>
      </c>
      <c r="AI42" s="78">
        <f ca="1">IF(AH42=1,_xll.RiskBinomial(1,Prob_illness_Adv_infection),0)</f>
        <v>0</v>
      </c>
      <c r="AJ42" s="26"/>
      <c r="AK42" s="77">
        <f t="shared" ca="1" si="10"/>
        <v>2.4046484583100993E-10</v>
      </c>
      <c r="AL42" s="33">
        <f ca="1">INT(AK42) + _xll.RiskBinomial(1,AK42-INT(AK42))</f>
        <v>0</v>
      </c>
      <c r="AM42" s="26">
        <f t="shared" ca="1" si="34"/>
        <v>0</v>
      </c>
      <c r="AN42" s="31">
        <f ca="1">_xll.RiskBinomial(1,AM42)</f>
        <v>0</v>
      </c>
      <c r="AO42" s="78">
        <f ca="1">IF(AN42=1,_xll.RiskBinomial(1,Prob_illness_Adv_infection),0)</f>
        <v>0</v>
      </c>
      <c r="AP42" s="26"/>
      <c r="AQ42" s="77">
        <f t="shared" ca="1" si="12"/>
        <v>4.5624396880544948E-10</v>
      </c>
      <c r="AR42" s="33">
        <f ca="1">INT(AQ42) + _xll.RiskBinomial(1,AQ42-INT(AQ42))</f>
        <v>0</v>
      </c>
      <c r="AS42" s="26">
        <f t="shared" ca="1" si="35"/>
        <v>0</v>
      </c>
      <c r="AT42" s="31">
        <f ca="1">_xll.RiskBinomial(1,AS42)</f>
        <v>0</v>
      </c>
      <c r="AU42" s="78">
        <f ca="1">IF(AT42=1,_xll.RiskBinomial(1,Prob_illness_Adv_infection),0)</f>
        <v>0</v>
      </c>
      <c r="AV42" s="26"/>
      <c r="AW42" s="77">
        <f t="shared" ca="1" si="22"/>
        <v>8.0350915633105695E-12</v>
      </c>
      <c r="AX42" s="33">
        <f ca="1">INT(AW42) + _xll.RiskBinomial(1,AW42-INT(AW42))</f>
        <v>0</v>
      </c>
      <c r="AY42" s="26">
        <f t="shared" ca="1" si="36"/>
        <v>0</v>
      </c>
      <c r="AZ42" s="31">
        <f ca="1">_xll.RiskBinomial(1,AY42)</f>
        <v>0</v>
      </c>
      <c r="BA42" s="78">
        <f ca="1">IF(AZ42=1,_xll.RiskBinomial(1,Prob_illness_Adv_infection),0)</f>
        <v>0</v>
      </c>
      <c r="BC42" s="77">
        <f t="shared" ca="1" si="23"/>
        <v>4.118582978353398E-11</v>
      </c>
      <c r="BD42" s="33">
        <f ca="1">INT(BC42) + _xll.RiskBinomial(1,BC42-INT(BC42))</f>
        <v>0</v>
      </c>
      <c r="BE42" s="26">
        <f t="shared" ca="1" si="37"/>
        <v>0</v>
      </c>
      <c r="BF42" s="31">
        <f ca="1">_xll.RiskBinomial(1,BE42)</f>
        <v>0</v>
      </c>
      <c r="BG42" s="78">
        <f ca="1">IF(BF42=1,_xll.RiskBinomial(1,Prob_illness_Adv_infection),0)</f>
        <v>0</v>
      </c>
      <c r="BI42" s="77">
        <f t="shared" ca="1" si="24"/>
        <v>1.917947678442501E-11</v>
      </c>
      <c r="BJ42" s="33">
        <f ca="1">INT(BI42) + _xll.RiskBinomial(1,BI42-INT(BI42))</f>
        <v>0</v>
      </c>
      <c r="BK42" s="26">
        <f t="shared" ca="1" si="38"/>
        <v>0</v>
      </c>
      <c r="BL42" s="31">
        <f ca="1">_xll.RiskBinomial(1,BK42)</f>
        <v>0</v>
      </c>
      <c r="BM42" s="78">
        <f ca="1">IF(BL42=1,_xll.RiskBinomial(1,Prob_illness_Adv_infection),0)</f>
        <v>0</v>
      </c>
      <c r="BO42" s="77">
        <f t="shared" ca="1" si="25"/>
        <v>4.1466182666439567E-11</v>
      </c>
      <c r="BP42" s="33">
        <f ca="1">INT(BO42) + _xll.RiskBinomial(1,BO42-INT(BO42))</f>
        <v>0</v>
      </c>
      <c r="BQ42" s="26">
        <f t="shared" ca="1" si="39"/>
        <v>0</v>
      </c>
      <c r="BR42" s="31">
        <f ca="1">_xll.RiskBinomial(1,BQ42)</f>
        <v>0</v>
      </c>
      <c r="BS42" s="78">
        <f ca="1">IF(BR42=1,_xll.RiskBinomial(1,Prob_illness_Adv_infection),0)</f>
        <v>0</v>
      </c>
      <c r="BU42" s="77">
        <f t="shared" ca="1" si="26"/>
        <v>2.9627693319766321E-13</v>
      </c>
      <c r="BV42" s="33">
        <f ca="1">INT(BU42) + _xll.RiskBinomial(1,BU42-INT(BU42))</f>
        <v>0</v>
      </c>
      <c r="BW42" s="26">
        <f t="shared" ca="1" si="40"/>
        <v>0</v>
      </c>
      <c r="BX42" s="31">
        <f ca="1">_xll.RiskBinomial(1,BW42)</f>
        <v>0</v>
      </c>
      <c r="BY42" s="78">
        <f ca="1">IF(BX42=1,_xll.RiskBinomial(1,Prob_illness_Adv_infection),0)</f>
        <v>0</v>
      </c>
      <c r="CA42" s="77">
        <f t="shared" ca="1" si="27"/>
        <v>4.4955970436977099E-11</v>
      </c>
      <c r="CB42" s="33">
        <f ca="1">INT(CA42) + _xll.RiskBinomial(1,CA42-INT(CA42))</f>
        <v>0</v>
      </c>
      <c r="CC42" s="26">
        <f t="shared" ca="1" si="41"/>
        <v>0</v>
      </c>
      <c r="CD42" s="31">
        <f ca="1">_xll.RiskBinomial(1,CC42)</f>
        <v>0</v>
      </c>
      <c r="CE42" s="78">
        <f ca="1">IF(CD42=1,_xll.RiskBinomial(1,Prob_illness_Adv_infection),0)</f>
        <v>0</v>
      </c>
      <c r="CG42" s="77" t="e">
        <f t="shared" ca="1" si="28"/>
        <v>#VALUE!</v>
      </c>
      <c r="CH42" s="33" t="e">
        <f ca="1">INT(CG42) + _xll.RiskBinomial(1,CG42-INT(CG42))</f>
        <v>#VALUE!</v>
      </c>
      <c r="CI42" s="26" t="e">
        <f t="shared" ca="1" si="42"/>
        <v>#VALUE!</v>
      </c>
      <c r="CJ42" s="31" t="e">
        <f ca="1">_xll.RiskBinomial(1,CI42)</f>
        <v>#VALUE!</v>
      </c>
      <c r="CK42" s="78" t="e">
        <f ca="1">IF(CJ42=1,_xll.RiskBinomial(1,Prob_illness_Adv_infection),0)</f>
        <v>#VALUE!</v>
      </c>
    </row>
    <row r="43" spans="2:89" x14ac:dyDescent="0.2">
      <c r="B43" s="97">
        <v>35</v>
      </c>
      <c r="C43" s="100">
        <f ca="1" xml:space="preserve"> _xll.RiskPert(Dur_event_hours_min,Dur_event_hours_mode,Dur_event_hours_max)</f>
        <v>0.4050324001980824</v>
      </c>
      <c r="D43" s="26">
        <f ca="1">_xll.RiskPert(Primary_Ing_Rate_mL_per_hour_min,Primary_Ing_Rate_mL_per_hour_mode,Primary_Ing_Rate_mL_per_hour_max)</f>
        <v>8.361401959574426</v>
      </c>
      <c r="E43" s="34">
        <f t="shared" ca="1" si="0"/>
        <v>3.3866387047073792</v>
      </c>
      <c r="F43" s="26"/>
      <c r="G43" s="77">
        <f t="shared" ca="1" si="21"/>
        <v>3.1094327343465677E-10</v>
      </c>
      <c r="H43" s="33">
        <f ca="1">INT(G43) + _xll.RiskBinomial(1,G43-INT(G43))</f>
        <v>0</v>
      </c>
      <c r="I43" s="26">
        <f t="shared" ca="1" si="29"/>
        <v>0</v>
      </c>
      <c r="J43" s="31">
        <f ca="1">_xll.RiskBinomial(1,I43)</f>
        <v>0</v>
      </c>
      <c r="K43" s="78">
        <f ca="1">IF(J43=1,_xll.RiskBinomial(1,Prob_illness_Adv_infection),0)</f>
        <v>0</v>
      </c>
      <c r="L43" s="26"/>
      <c r="M43" s="77">
        <f t="shared" ca="1" si="2"/>
        <v>7.7224707790233055E-12</v>
      </c>
      <c r="N43" s="33">
        <f ca="1">INT(M43) + _xll.RiskBinomial(1,M43-INT(M43))</f>
        <v>0</v>
      </c>
      <c r="O43" s="26">
        <f t="shared" ca="1" si="30"/>
        <v>0</v>
      </c>
      <c r="P43" s="31">
        <f ca="1">_xll.RiskBinomial(1,O43)</f>
        <v>0</v>
      </c>
      <c r="Q43" s="78">
        <f ca="1">IF(P43=1,_xll.RiskBinomial(1,Prob_illness_Adv_infection),0)</f>
        <v>0</v>
      </c>
      <c r="R43" s="26"/>
      <c r="S43" s="77">
        <f t="shared" ca="1" si="4"/>
        <v>9.7788738807254272E-11</v>
      </c>
      <c r="T43" s="33">
        <f ca="1">INT(S43) + _xll.RiskBinomial(1,S43-INT(S43))</f>
        <v>0</v>
      </c>
      <c r="U43" s="26">
        <f t="shared" ca="1" si="31"/>
        <v>0</v>
      </c>
      <c r="V43" s="31">
        <f ca="1">_xll.RiskBinomial(1,U43)</f>
        <v>0</v>
      </c>
      <c r="W43" s="78">
        <f ca="1">IF(V43=1,_xll.RiskBinomial(1,Prob_illness_Adv_infection),0)</f>
        <v>0</v>
      </c>
      <c r="X43" s="26"/>
      <c r="Y43" s="77">
        <f t="shared" ca="1" si="6"/>
        <v>8.1334670051126773E-12</v>
      </c>
      <c r="Z43" s="33">
        <f ca="1">INT(Y43) + _xll.RiskBinomial(1,Y43-INT(Y43))</f>
        <v>0</v>
      </c>
      <c r="AA43" s="26">
        <f t="shared" ca="1" si="32"/>
        <v>0</v>
      </c>
      <c r="AB43" s="31">
        <f ca="1">_xll.RiskBinomial(1,AA43)</f>
        <v>0</v>
      </c>
      <c r="AC43" s="78">
        <f ca="1">IF(AB43=1,_xll.RiskBinomial(1,Prob_illness_Adv_infection),0)</f>
        <v>0</v>
      </c>
      <c r="AD43" s="26"/>
      <c r="AE43" s="77">
        <f t="shared" ca="1" si="8"/>
        <v>1.221425211790172E-11</v>
      </c>
      <c r="AF43" s="33">
        <f ca="1">INT(AE43) + _xll.RiskBinomial(1,AE43-INT(AE43))</f>
        <v>0</v>
      </c>
      <c r="AG43" s="26">
        <f t="shared" ca="1" si="33"/>
        <v>0</v>
      </c>
      <c r="AH43" s="31">
        <f ca="1">_xll.RiskBinomial(1,AG43)</f>
        <v>0</v>
      </c>
      <c r="AI43" s="78">
        <f ca="1">IF(AH43=1,_xll.RiskBinomial(1,Prob_illness_Adv_infection),0)</f>
        <v>0</v>
      </c>
      <c r="AJ43" s="26"/>
      <c r="AK43" s="77">
        <f t="shared" ca="1" si="10"/>
        <v>7.946698122983117E-11</v>
      </c>
      <c r="AL43" s="33">
        <f ca="1">INT(AK43) + _xll.RiskBinomial(1,AK43-INT(AK43))</f>
        <v>0</v>
      </c>
      <c r="AM43" s="26">
        <f t="shared" ca="1" si="34"/>
        <v>0</v>
      </c>
      <c r="AN43" s="31">
        <f ca="1">_xll.RiskBinomial(1,AM43)</f>
        <v>0</v>
      </c>
      <c r="AO43" s="78">
        <f ca="1">IF(AN43=1,_xll.RiskBinomial(1,Prob_illness_Adv_infection),0)</f>
        <v>0</v>
      </c>
      <c r="AP43" s="26"/>
      <c r="AQ43" s="77">
        <f t="shared" ca="1" si="12"/>
        <v>1.5077601376612857E-10</v>
      </c>
      <c r="AR43" s="33">
        <f ca="1">INT(AQ43) + _xll.RiskBinomial(1,AQ43-INT(AQ43))</f>
        <v>0</v>
      </c>
      <c r="AS43" s="26">
        <f t="shared" ca="1" si="35"/>
        <v>0</v>
      </c>
      <c r="AT43" s="31">
        <f ca="1">_xll.RiskBinomial(1,AS43)</f>
        <v>0</v>
      </c>
      <c r="AU43" s="78">
        <f ca="1">IF(AT43=1,_xll.RiskBinomial(1,Prob_illness_Adv_infection),0)</f>
        <v>0</v>
      </c>
      <c r="AV43" s="26"/>
      <c r="AW43" s="77">
        <f t="shared" ca="1" si="22"/>
        <v>2.6553755424620693E-12</v>
      </c>
      <c r="AX43" s="33">
        <f ca="1">INT(AW43) + _xll.RiskBinomial(1,AW43-INT(AW43))</f>
        <v>0</v>
      </c>
      <c r="AY43" s="26">
        <f t="shared" ca="1" si="36"/>
        <v>0</v>
      </c>
      <c r="AZ43" s="31">
        <f ca="1">_xll.RiskBinomial(1,AY43)</f>
        <v>0</v>
      </c>
      <c r="BA43" s="78">
        <f ca="1">IF(AZ43=1,_xll.RiskBinomial(1,Prob_illness_Adv_infection),0)</f>
        <v>0</v>
      </c>
      <c r="BC43" s="77">
        <f t="shared" ca="1" si="23"/>
        <v>1.3610777704459984E-11</v>
      </c>
      <c r="BD43" s="33">
        <f ca="1">INT(BC43) + _xll.RiskBinomial(1,BC43-INT(BC43))</f>
        <v>0</v>
      </c>
      <c r="BE43" s="26">
        <f t="shared" ca="1" si="37"/>
        <v>0</v>
      </c>
      <c r="BF43" s="31">
        <f ca="1">_xll.RiskBinomial(1,BE43)</f>
        <v>0</v>
      </c>
      <c r="BG43" s="78">
        <f ca="1">IF(BF43=1,_xll.RiskBinomial(1,Prob_illness_Adv_infection),0)</f>
        <v>0</v>
      </c>
      <c r="BI43" s="77">
        <f t="shared" ca="1" si="24"/>
        <v>6.3382866479243814E-12</v>
      </c>
      <c r="BJ43" s="33">
        <f ca="1">INT(BI43) + _xll.RiskBinomial(1,BI43-INT(BI43))</f>
        <v>0</v>
      </c>
      <c r="BK43" s="26">
        <f t="shared" ca="1" si="38"/>
        <v>0</v>
      </c>
      <c r="BL43" s="31">
        <f ca="1">_xll.RiskBinomial(1,BK43)</f>
        <v>0</v>
      </c>
      <c r="BM43" s="78">
        <f ca="1">IF(BL43=1,_xll.RiskBinomial(1,Prob_illness_Adv_infection),0)</f>
        <v>0</v>
      </c>
      <c r="BO43" s="77">
        <f t="shared" ca="1" si="25"/>
        <v>1.3703426578795835E-11</v>
      </c>
      <c r="BP43" s="33">
        <f ca="1">INT(BO43) + _xll.RiskBinomial(1,BO43-INT(BO43))</f>
        <v>0</v>
      </c>
      <c r="BQ43" s="26">
        <f t="shared" ca="1" si="39"/>
        <v>0</v>
      </c>
      <c r="BR43" s="31">
        <f ca="1">_xll.RiskBinomial(1,BQ43)</f>
        <v>0</v>
      </c>
      <c r="BS43" s="78">
        <f ca="1">IF(BR43=1,_xll.RiskBinomial(1,Prob_illness_Adv_infection),0)</f>
        <v>0</v>
      </c>
      <c r="BU43" s="77">
        <f t="shared" ca="1" si="26"/>
        <v>9.7911332560422131E-14</v>
      </c>
      <c r="BV43" s="33">
        <f ca="1">INT(BU43) + _xll.RiskBinomial(1,BU43-INT(BU43))</f>
        <v>0</v>
      </c>
      <c r="BW43" s="26">
        <f t="shared" ca="1" si="40"/>
        <v>0</v>
      </c>
      <c r="BX43" s="31">
        <f ca="1">_xll.RiskBinomial(1,BW43)</f>
        <v>0</v>
      </c>
      <c r="BY43" s="78">
        <f ca="1">IF(BX43=1,_xll.RiskBinomial(1,Prob_illness_Adv_infection),0)</f>
        <v>0</v>
      </c>
      <c r="CA43" s="77">
        <f t="shared" ca="1" si="27"/>
        <v>1.4856704923075284E-11</v>
      </c>
      <c r="CB43" s="33">
        <f ca="1">INT(CA43) + _xll.RiskBinomial(1,CA43-INT(CA43))</f>
        <v>0</v>
      </c>
      <c r="CC43" s="26">
        <f t="shared" ca="1" si="41"/>
        <v>0</v>
      </c>
      <c r="CD43" s="31">
        <f ca="1">_xll.RiskBinomial(1,CC43)</f>
        <v>0</v>
      </c>
      <c r="CE43" s="78">
        <f ca="1">IF(CD43=1,_xll.RiskBinomial(1,Prob_illness_Adv_infection),0)</f>
        <v>0</v>
      </c>
      <c r="CG43" s="77" t="e">
        <f t="shared" ca="1" si="28"/>
        <v>#VALUE!</v>
      </c>
      <c r="CH43" s="33" t="e">
        <f ca="1">INT(CG43) + _xll.RiskBinomial(1,CG43-INT(CG43))</f>
        <v>#VALUE!</v>
      </c>
      <c r="CI43" s="26" t="e">
        <f t="shared" ca="1" si="42"/>
        <v>#VALUE!</v>
      </c>
      <c r="CJ43" s="31" t="e">
        <f ca="1">_xll.RiskBinomial(1,CI43)</f>
        <v>#VALUE!</v>
      </c>
      <c r="CK43" s="78" t="e">
        <f ca="1">IF(CJ43=1,_xll.RiskBinomial(1,Prob_illness_Adv_infection),0)</f>
        <v>#VALUE!</v>
      </c>
    </row>
    <row r="44" spans="2:89" x14ac:dyDescent="0.2">
      <c r="B44" s="97">
        <v>36</v>
      </c>
      <c r="C44" s="100">
        <f ca="1" xml:space="preserve"> _xll.RiskPert(Dur_event_hours_min,Dur_event_hours_mode,Dur_event_hours_max)</f>
        <v>0.97269460957514386</v>
      </c>
      <c r="D44" s="26">
        <f ca="1">_xll.RiskPert(Primary_Ing_Rate_mL_per_hour_min,Primary_Ing_Rate_mL_per_hour_mode,Primary_Ing_Rate_mL_per_hour_max)</f>
        <v>11.656275033952111</v>
      </c>
      <c r="E44" s="34">
        <f t="shared" ca="1" si="0"/>
        <v>11.337995893250545</v>
      </c>
      <c r="F44" s="26"/>
      <c r="G44" s="77">
        <f t="shared" ca="1" si="21"/>
        <v>1.0409948815430657E-9</v>
      </c>
      <c r="H44" s="33">
        <f ca="1">INT(G44) + _xll.RiskBinomial(1,G44-INT(G44))</f>
        <v>0</v>
      </c>
      <c r="I44" s="26">
        <f t="shared" ca="1" si="29"/>
        <v>0</v>
      </c>
      <c r="J44" s="31">
        <f ca="1">_xll.RiskBinomial(1,I44)</f>
        <v>0</v>
      </c>
      <c r="K44" s="78">
        <f ca="1">IF(J44=1,_xll.RiskBinomial(1,Prob_illness_Adv_infection),0)</f>
        <v>0</v>
      </c>
      <c r="L44" s="26"/>
      <c r="M44" s="77">
        <f t="shared" ca="1" si="2"/>
        <v>2.5853759320889508E-11</v>
      </c>
      <c r="N44" s="33">
        <f ca="1">INT(M44) + _xll.RiskBinomial(1,M44-INT(M44))</f>
        <v>0</v>
      </c>
      <c r="O44" s="26">
        <f t="shared" ca="1" si="30"/>
        <v>0</v>
      </c>
      <c r="P44" s="31">
        <f ca="1">_xll.RiskBinomial(1,O44)</f>
        <v>0</v>
      </c>
      <c r="Q44" s="78">
        <f ca="1">IF(P44=1,_xll.RiskBinomial(1,Prob_illness_Adv_infection),0)</f>
        <v>0</v>
      </c>
      <c r="R44" s="26"/>
      <c r="S44" s="77">
        <f t="shared" ca="1" si="4"/>
        <v>3.273831121878111E-10</v>
      </c>
      <c r="T44" s="33">
        <f ca="1">INT(S44) + _xll.RiskBinomial(1,S44-INT(S44))</f>
        <v>0</v>
      </c>
      <c r="U44" s="26">
        <f t="shared" ca="1" si="31"/>
        <v>0</v>
      </c>
      <c r="V44" s="31">
        <f ca="1">_xll.RiskBinomial(1,U44)</f>
        <v>0</v>
      </c>
      <c r="W44" s="78">
        <f ca="1">IF(V44=1,_xll.RiskBinomial(1,Prob_illness_Adv_infection),0)</f>
        <v>0</v>
      </c>
      <c r="X44" s="26"/>
      <c r="Y44" s="77">
        <f t="shared" ca="1" si="6"/>
        <v>2.7229717588024885E-11</v>
      </c>
      <c r="Z44" s="33">
        <f ca="1">INT(Y44) + _xll.RiskBinomial(1,Y44-INT(Y44))</f>
        <v>0</v>
      </c>
      <c r="AA44" s="26">
        <f t="shared" ca="1" si="32"/>
        <v>0</v>
      </c>
      <c r="AB44" s="31">
        <f ca="1">_xll.RiskBinomial(1,AA44)</f>
        <v>0</v>
      </c>
      <c r="AC44" s="78">
        <f ca="1">IF(AB44=1,_xll.RiskBinomial(1,Prob_illness_Adv_infection),0)</f>
        <v>0</v>
      </c>
      <c r="AD44" s="26"/>
      <c r="AE44" s="77">
        <f t="shared" ca="1" si="8"/>
        <v>4.0891619220970959E-11</v>
      </c>
      <c r="AF44" s="33">
        <f ca="1">INT(AE44) + _xll.RiskBinomial(1,AE44-INT(AE44))</f>
        <v>0</v>
      </c>
      <c r="AG44" s="26">
        <f t="shared" ca="1" si="33"/>
        <v>0</v>
      </c>
      <c r="AH44" s="31">
        <f ca="1">_xll.RiskBinomial(1,AG44)</f>
        <v>0</v>
      </c>
      <c r="AI44" s="78">
        <f ca="1">IF(AH44=1,_xll.RiskBinomial(1,Prob_illness_Adv_infection),0)</f>
        <v>0</v>
      </c>
      <c r="AJ44" s="26"/>
      <c r="AK44" s="77">
        <f t="shared" ca="1" si="10"/>
        <v>2.6604441317595292E-10</v>
      </c>
      <c r="AL44" s="33">
        <f ca="1">INT(AK44) + _xll.RiskBinomial(1,AK44-INT(AK44))</f>
        <v>0</v>
      </c>
      <c r="AM44" s="26">
        <f t="shared" ca="1" si="34"/>
        <v>0</v>
      </c>
      <c r="AN44" s="31">
        <f ca="1">_xll.RiskBinomial(1,AM44)</f>
        <v>0</v>
      </c>
      <c r="AO44" s="78">
        <f ca="1">IF(AN44=1,_xll.RiskBinomial(1,Prob_illness_Adv_infection),0)</f>
        <v>0</v>
      </c>
      <c r="AP44" s="26"/>
      <c r="AQ44" s="77">
        <f t="shared" ca="1" si="12"/>
        <v>5.0477714747217525E-10</v>
      </c>
      <c r="AR44" s="33">
        <f ca="1">INT(AQ44) + _xll.RiskBinomial(1,AQ44-INT(AQ44))</f>
        <v>0</v>
      </c>
      <c r="AS44" s="26">
        <f t="shared" ca="1" si="35"/>
        <v>0</v>
      </c>
      <c r="AT44" s="31">
        <f ca="1">_xll.RiskBinomial(1,AS44)</f>
        <v>0</v>
      </c>
      <c r="AU44" s="78">
        <f ca="1">IF(AT44=1,_xll.RiskBinomial(1,Prob_illness_Adv_infection),0)</f>
        <v>0</v>
      </c>
      <c r="AV44" s="26"/>
      <c r="AW44" s="77">
        <f t="shared" ca="1" si="22"/>
        <v>8.8898284170747484E-12</v>
      </c>
      <c r="AX44" s="33">
        <f ca="1">INT(AW44) + _xll.RiskBinomial(1,AW44-INT(AW44))</f>
        <v>0</v>
      </c>
      <c r="AY44" s="26">
        <f t="shared" ca="1" si="36"/>
        <v>0</v>
      </c>
      <c r="AZ44" s="31">
        <f ca="1">_xll.RiskBinomial(1,AY44)</f>
        <v>0</v>
      </c>
      <c r="BA44" s="78">
        <f ca="1">IF(AZ44=1,_xll.RiskBinomial(1,Prob_illness_Adv_infection),0)</f>
        <v>0</v>
      </c>
      <c r="BC44" s="77">
        <f t="shared" ca="1" si="23"/>
        <v>4.5566992871903418E-11</v>
      </c>
      <c r="BD44" s="33">
        <f ca="1">INT(BC44) + _xll.RiskBinomial(1,BC44-INT(BC44))</f>
        <v>0</v>
      </c>
      <c r="BE44" s="26">
        <f t="shared" ca="1" si="37"/>
        <v>0</v>
      </c>
      <c r="BF44" s="31">
        <f ca="1">_xll.RiskBinomial(1,BE44)</f>
        <v>0</v>
      </c>
      <c r="BG44" s="78">
        <f ca="1">IF(BF44=1,_xll.RiskBinomial(1,Prob_illness_Adv_infection),0)</f>
        <v>0</v>
      </c>
      <c r="BI44" s="77">
        <f t="shared" ca="1" si="24"/>
        <v>2.1219703148293381E-11</v>
      </c>
      <c r="BJ44" s="33">
        <f ca="1">INT(BI44) + _xll.RiskBinomial(1,BI44-INT(BI44))</f>
        <v>0</v>
      </c>
      <c r="BK44" s="26">
        <f t="shared" ca="1" si="38"/>
        <v>0</v>
      </c>
      <c r="BL44" s="31">
        <f ca="1">_xll.RiskBinomial(1,BK44)</f>
        <v>0</v>
      </c>
      <c r="BM44" s="78">
        <f ca="1">IF(BL44=1,_xll.RiskBinomial(1,Prob_illness_Adv_infection),0)</f>
        <v>0</v>
      </c>
      <c r="BO44" s="77">
        <f t="shared" ca="1" si="25"/>
        <v>4.5877168431898658E-11</v>
      </c>
      <c r="BP44" s="33">
        <f ca="1">INT(BO44) + _xll.RiskBinomial(1,BO44-INT(BO44))</f>
        <v>0</v>
      </c>
      <c r="BQ44" s="26">
        <f t="shared" ca="1" si="39"/>
        <v>0</v>
      </c>
      <c r="BR44" s="31">
        <f ca="1">_xll.RiskBinomial(1,BQ44)</f>
        <v>0</v>
      </c>
      <c r="BS44" s="78">
        <f ca="1">IF(BR44=1,_xll.RiskBinomial(1,Prob_illness_Adv_infection),0)</f>
        <v>0</v>
      </c>
      <c r="BU44" s="77">
        <f t="shared" ca="1" si="26"/>
        <v>3.2779353904203186E-13</v>
      </c>
      <c r="BV44" s="33">
        <f ca="1">INT(BU44) + _xll.RiskBinomial(1,BU44-INT(BU44))</f>
        <v>0</v>
      </c>
      <c r="BW44" s="26">
        <f t="shared" ca="1" si="40"/>
        <v>0</v>
      </c>
      <c r="BX44" s="31">
        <f ca="1">_xll.RiskBinomial(1,BW44)</f>
        <v>0</v>
      </c>
      <c r="BY44" s="78">
        <f ca="1">IF(BX44=1,_xll.RiskBinomial(1,Prob_illness_Adv_infection),0)</f>
        <v>0</v>
      </c>
      <c r="CA44" s="77">
        <f t="shared" ca="1" si="27"/>
        <v>4.9738184108900137E-11</v>
      </c>
      <c r="CB44" s="33">
        <f ca="1">INT(CA44) + _xll.RiskBinomial(1,CA44-INT(CA44))</f>
        <v>0</v>
      </c>
      <c r="CC44" s="26">
        <f t="shared" ca="1" si="41"/>
        <v>0</v>
      </c>
      <c r="CD44" s="31">
        <f ca="1">_xll.RiskBinomial(1,CC44)</f>
        <v>0</v>
      </c>
      <c r="CE44" s="78">
        <f ca="1">IF(CD44=1,_xll.RiskBinomial(1,Prob_illness_Adv_infection),0)</f>
        <v>0</v>
      </c>
      <c r="CG44" s="77" t="e">
        <f t="shared" ca="1" si="28"/>
        <v>#VALUE!</v>
      </c>
      <c r="CH44" s="33" t="e">
        <f ca="1">INT(CG44) + _xll.RiskBinomial(1,CG44-INT(CG44))</f>
        <v>#VALUE!</v>
      </c>
      <c r="CI44" s="26" t="e">
        <f t="shared" ca="1" si="42"/>
        <v>#VALUE!</v>
      </c>
      <c r="CJ44" s="31" t="e">
        <f ca="1">_xll.RiskBinomial(1,CI44)</f>
        <v>#VALUE!</v>
      </c>
      <c r="CK44" s="78" t="e">
        <f ca="1">IF(CJ44=1,_xll.RiskBinomial(1,Prob_illness_Adv_infection),0)</f>
        <v>#VALUE!</v>
      </c>
    </row>
    <row r="45" spans="2:89" x14ac:dyDescent="0.2">
      <c r="B45" s="97">
        <v>37</v>
      </c>
      <c r="C45" s="100">
        <f ca="1" xml:space="preserve"> _xll.RiskPert(Dur_event_hours_min,Dur_event_hours_mode,Dur_event_hours_max)</f>
        <v>0.92973821973597182</v>
      </c>
      <c r="D45" s="26">
        <f ca="1">_xll.RiskPert(Primary_Ing_Rate_mL_per_hour_min,Primary_Ing_Rate_mL_per_hour_mode,Primary_Ing_Rate_mL_per_hour_max)</f>
        <v>11.892204563763372</v>
      </c>
      <c r="E45" s="34">
        <f t="shared" ca="1" si="0"/>
        <v>11.056637099849356</v>
      </c>
      <c r="F45" s="26"/>
      <c r="G45" s="77">
        <f t="shared" ca="1" si="21"/>
        <v>1.0151620036195406E-9</v>
      </c>
      <c r="H45" s="33">
        <f ca="1">INT(G45) + _xll.RiskBinomial(1,G45-INT(G45))</f>
        <v>0</v>
      </c>
      <c r="I45" s="26">
        <f t="shared" ca="1" si="29"/>
        <v>0</v>
      </c>
      <c r="J45" s="31">
        <f ca="1">_xll.RiskBinomial(1,I45)</f>
        <v>0</v>
      </c>
      <c r="K45" s="78">
        <f ca="1">IF(J45=1,_xll.RiskBinomial(1,Prob_illness_Adv_infection),0)</f>
        <v>0</v>
      </c>
      <c r="L45" s="26"/>
      <c r="M45" s="77">
        <f t="shared" ca="1" si="2"/>
        <v>2.5212183631861385E-11</v>
      </c>
      <c r="N45" s="33">
        <f ca="1">INT(M45) + _xll.RiskBinomial(1,M45-INT(M45))</f>
        <v>0</v>
      </c>
      <c r="O45" s="26">
        <f t="shared" ca="1" si="30"/>
        <v>0</v>
      </c>
      <c r="P45" s="31">
        <f ca="1">_xll.RiskBinomial(1,O45)</f>
        <v>0</v>
      </c>
      <c r="Q45" s="78">
        <f ca="1">IF(P45=1,_xll.RiskBinomial(1,Prob_illness_Adv_infection),0)</f>
        <v>0</v>
      </c>
      <c r="R45" s="26"/>
      <c r="S45" s="77">
        <f t="shared" ca="1" si="4"/>
        <v>3.1925891472890015E-10</v>
      </c>
      <c r="T45" s="33">
        <f ca="1">INT(S45) + _xll.RiskBinomial(1,S45-INT(S45))</f>
        <v>0</v>
      </c>
      <c r="U45" s="26">
        <f t="shared" ca="1" si="31"/>
        <v>0</v>
      </c>
      <c r="V45" s="31">
        <f ca="1">_xll.RiskBinomial(1,U45)</f>
        <v>0</v>
      </c>
      <c r="W45" s="78">
        <f ca="1">IF(V45=1,_xll.RiskBinomial(1,Prob_illness_Adv_infection),0)</f>
        <v>0</v>
      </c>
      <c r="X45" s="26"/>
      <c r="Y45" s="77">
        <f t="shared" ca="1" si="6"/>
        <v>2.6553996714834009E-11</v>
      </c>
      <c r="Z45" s="33">
        <f ca="1">INT(Y45) + _xll.RiskBinomial(1,Y45-INT(Y45))</f>
        <v>0</v>
      </c>
      <c r="AA45" s="26">
        <f t="shared" ca="1" si="32"/>
        <v>0</v>
      </c>
      <c r="AB45" s="31">
        <f ca="1">_xll.RiskBinomial(1,AA45)</f>
        <v>0</v>
      </c>
      <c r="AC45" s="78">
        <f ca="1">IF(AB45=1,_xll.RiskBinomial(1,Prob_illness_Adv_infection),0)</f>
        <v>0</v>
      </c>
      <c r="AD45" s="26"/>
      <c r="AE45" s="77">
        <f t="shared" ca="1" si="8"/>
        <v>3.9876870516477045E-11</v>
      </c>
      <c r="AF45" s="33">
        <f ca="1">INT(AE45) + _xll.RiskBinomial(1,AE45-INT(AE45))</f>
        <v>0</v>
      </c>
      <c r="AG45" s="26">
        <f t="shared" ca="1" si="33"/>
        <v>0</v>
      </c>
      <c r="AH45" s="31">
        <f ca="1">_xll.RiskBinomial(1,AG45)</f>
        <v>0</v>
      </c>
      <c r="AI45" s="78">
        <f ca="1">IF(AH45=1,_xll.RiskBinomial(1,Prob_illness_Adv_infection),0)</f>
        <v>0</v>
      </c>
      <c r="AJ45" s="26"/>
      <c r="AK45" s="77">
        <f t="shared" ca="1" si="10"/>
        <v>2.5944237029402936E-10</v>
      </c>
      <c r="AL45" s="33">
        <f ca="1">INT(AK45) + _xll.RiskBinomial(1,AK45-INT(AK45))</f>
        <v>0</v>
      </c>
      <c r="AM45" s="26">
        <f t="shared" ca="1" si="34"/>
        <v>0</v>
      </c>
      <c r="AN45" s="31">
        <f ca="1">_xll.RiskBinomial(1,AM45)</f>
        <v>0</v>
      </c>
      <c r="AO45" s="78">
        <f ca="1">IF(AN45=1,_xll.RiskBinomial(1,Prob_illness_Adv_infection),0)</f>
        <v>0</v>
      </c>
      <c r="AP45" s="26"/>
      <c r="AQ45" s="77">
        <f t="shared" ca="1" si="12"/>
        <v>4.922508164974205E-10</v>
      </c>
      <c r="AR45" s="33">
        <f ca="1">INT(AQ45) + _xll.RiskBinomial(1,AQ45-INT(AQ45))</f>
        <v>0</v>
      </c>
      <c r="AS45" s="26">
        <f t="shared" ca="1" si="35"/>
        <v>0</v>
      </c>
      <c r="AT45" s="31">
        <f ca="1">_xll.RiskBinomial(1,AS45)</f>
        <v>0</v>
      </c>
      <c r="AU45" s="78">
        <f ca="1">IF(AT45=1,_xll.RiskBinomial(1,Prob_illness_Adv_infection),0)</f>
        <v>0</v>
      </c>
      <c r="AV45" s="26"/>
      <c r="AW45" s="77">
        <f t="shared" ca="1" si="22"/>
        <v>8.6692222869860331E-12</v>
      </c>
      <c r="AX45" s="33">
        <f ca="1">INT(AW45) + _xll.RiskBinomial(1,AW45-INT(AW45))</f>
        <v>0</v>
      </c>
      <c r="AY45" s="26">
        <f t="shared" ca="1" si="36"/>
        <v>0</v>
      </c>
      <c r="AZ45" s="31">
        <f ca="1">_xll.RiskBinomial(1,AY45)</f>
        <v>0</v>
      </c>
      <c r="BA45" s="78">
        <f ca="1">IF(AZ45=1,_xll.RiskBinomial(1,Prob_illness_Adv_infection),0)</f>
        <v>0</v>
      </c>
      <c r="BC45" s="77">
        <f t="shared" ca="1" si="23"/>
        <v>4.4436222120699372E-11</v>
      </c>
      <c r="BD45" s="33">
        <f ca="1">INT(BC45) + _xll.RiskBinomial(1,BC45-INT(BC45))</f>
        <v>0</v>
      </c>
      <c r="BE45" s="26">
        <f t="shared" ca="1" si="37"/>
        <v>0</v>
      </c>
      <c r="BF45" s="31">
        <f ca="1">_xll.RiskBinomial(1,BE45)</f>
        <v>0</v>
      </c>
      <c r="BG45" s="78">
        <f ca="1">IF(BF45=1,_xll.RiskBinomial(1,Prob_illness_Adv_infection),0)</f>
        <v>0</v>
      </c>
      <c r="BI45" s="77">
        <f t="shared" ca="1" si="24"/>
        <v>2.0693124189335621E-11</v>
      </c>
      <c r="BJ45" s="33">
        <f ca="1">INT(BI45) + _xll.RiskBinomial(1,BI45-INT(BI45))</f>
        <v>0</v>
      </c>
      <c r="BK45" s="26">
        <f t="shared" ca="1" si="38"/>
        <v>0</v>
      </c>
      <c r="BL45" s="31">
        <f ca="1">_xll.RiskBinomial(1,BK45)</f>
        <v>0</v>
      </c>
      <c r="BM45" s="78">
        <f ca="1">IF(BL45=1,_xll.RiskBinomial(1,Prob_illness_Adv_infection),0)</f>
        <v>0</v>
      </c>
      <c r="BO45" s="77">
        <f t="shared" ca="1" si="25"/>
        <v>4.473870049839498E-11</v>
      </c>
      <c r="BP45" s="33">
        <f ca="1">INT(BO45) + _xll.RiskBinomial(1,BO45-INT(BO45))</f>
        <v>0</v>
      </c>
      <c r="BQ45" s="26">
        <f t="shared" ca="1" si="39"/>
        <v>0</v>
      </c>
      <c r="BR45" s="31">
        <f ca="1">_xll.RiskBinomial(1,BQ45)</f>
        <v>0</v>
      </c>
      <c r="BS45" s="78">
        <f ca="1">IF(BR45=1,_xll.RiskBinomial(1,Prob_illness_Adv_infection),0)</f>
        <v>0</v>
      </c>
      <c r="BU45" s="77">
        <f t="shared" ca="1" si="26"/>
        <v>3.1965915660814208E-13</v>
      </c>
      <c r="BV45" s="33">
        <f ca="1">INT(BU45) + _xll.RiskBinomial(1,BU45-INT(BU45))</f>
        <v>0</v>
      </c>
      <c r="BW45" s="26">
        <f t="shared" ca="1" si="40"/>
        <v>0</v>
      </c>
      <c r="BX45" s="31">
        <f ca="1">_xll.RiskBinomial(1,BW45)</f>
        <v>0</v>
      </c>
      <c r="BY45" s="78">
        <f ca="1">IF(BX45=1,_xll.RiskBinomial(1,Prob_illness_Adv_infection),0)</f>
        <v>0</v>
      </c>
      <c r="CA45" s="77">
        <f t="shared" ca="1" si="27"/>
        <v>4.850390288331096E-11</v>
      </c>
      <c r="CB45" s="33">
        <f ca="1">INT(CA45) + _xll.RiskBinomial(1,CA45-INT(CA45))</f>
        <v>0</v>
      </c>
      <c r="CC45" s="26">
        <f t="shared" ca="1" si="41"/>
        <v>0</v>
      </c>
      <c r="CD45" s="31">
        <f ca="1">_xll.RiskBinomial(1,CC45)</f>
        <v>0</v>
      </c>
      <c r="CE45" s="78">
        <f ca="1">IF(CD45=1,_xll.RiskBinomial(1,Prob_illness_Adv_infection),0)</f>
        <v>0</v>
      </c>
      <c r="CG45" s="77" t="e">
        <f t="shared" ca="1" si="28"/>
        <v>#VALUE!</v>
      </c>
      <c r="CH45" s="33" t="e">
        <f ca="1">INT(CG45) + _xll.RiskBinomial(1,CG45-INT(CG45))</f>
        <v>#VALUE!</v>
      </c>
      <c r="CI45" s="26" t="e">
        <f t="shared" ca="1" si="42"/>
        <v>#VALUE!</v>
      </c>
      <c r="CJ45" s="31" t="e">
        <f ca="1">_xll.RiskBinomial(1,CI45)</f>
        <v>#VALUE!</v>
      </c>
      <c r="CK45" s="78" t="e">
        <f ca="1">IF(CJ45=1,_xll.RiskBinomial(1,Prob_illness_Adv_infection),0)</f>
        <v>#VALUE!</v>
      </c>
    </row>
    <row r="46" spans="2:89" x14ac:dyDescent="0.2">
      <c r="B46" s="97">
        <v>38</v>
      </c>
      <c r="C46" s="100">
        <f ca="1" xml:space="preserve"> _xll.RiskPert(Dur_event_hours_min,Dur_event_hours_mode,Dur_event_hours_max)</f>
        <v>0.50084237199067838</v>
      </c>
      <c r="D46" s="26">
        <f ca="1">_xll.RiskPert(Primary_Ing_Rate_mL_per_hour_min,Primary_Ing_Rate_mL_per_hour_mode,Primary_Ing_Rate_mL_per_hour_max)</f>
        <v>24.060274842036044</v>
      </c>
      <c r="E46" s="34">
        <f t="shared" ca="1" si="0"/>
        <v>12.050405122632977</v>
      </c>
      <c r="F46" s="26"/>
      <c r="G46" s="77">
        <f t="shared" ca="1" si="21"/>
        <v>1.1064045331546552E-9</v>
      </c>
      <c r="H46" s="33">
        <f ca="1">INT(G46) + _xll.RiskBinomial(1,G46-INT(G46))</f>
        <v>0</v>
      </c>
      <c r="I46" s="26">
        <f t="shared" ca="1" si="29"/>
        <v>0</v>
      </c>
      <c r="J46" s="31">
        <f ca="1">_xll.RiskBinomial(1,I46)</f>
        <v>0</v>
      </c>
      <c r="K46" s="78">
        <f ca="1">IF(J46=1,_xll.RiskBinomial(1,Prob_illness_Adv_infection),0)</f>
        <v>0</v>
      </c>
      <c r="L46" s="26"/>
      <c r="M46" s="77">
        <f t="shared" ca="1" si="2"/>
        <v>2.7478248950965857E-11</v>
      </c>
      <c r="N46" s="33">
        <f ca="1">INT(M46) + _xll.RiskBinomial(1,M46-INT(M46))</f>
        <v>0</v>
      </c>
      <c r="O46" s="26">
        <f t="shared" ca="1" si="30"/>
        <v>0</v>
      </c>
      <c r="P46" s="31">
        <f ca="1">_xll.RiskBinomial(1,O46)</f>
        <v>0</v>
      </c>
      <c r="Q46" s="78">
        <f ca="1">IF(P46=1,_xll.RiskBinomial(1,Prob_illness_Adv_infection),0)</f>
        <v>0</v>
      </c>
      <c r="R46" s="26"/>
      <c r="S46" s="77">
        <f t="shared" ca="1" si="4"/>
        <v>3.4795383322726586E-10</v>
      </c>
      <c r="T46" s="33">
        <f ca="1">INT(S46) + _xll.RiskBinomial(1,S46-INT(S46))</f>
        <v>0</v>
      </c>
      <c r="U46" s="26">
        <f t="shared" ca="1" si="31"/>
        <v>0</v>
      </c>
      <c r="V46" s="31">
        <f ca="1">_xll.RiskBinomial(1,U46)</f>
        <v>0</v>
      </c>
      <c r="W46" s="78">
        <f ca="1">IF(V46=1,_xll.RiskBinomial(1,Prob_illness_Adv_infection),0)</f>
        <v>0</v>
      </c>
      <c r="X46" s="26"/>
      <c r="Y46" s="77">
        <f t="shared" ca="1" si="6"/>
        <v>2.8940663888043748E-11</v>
      </c>
      <c r="Z46" s="33">
        <f ca="1">INT(Y46) + _xll.RiskBinomial(1,Y46-INT(Y46))</f>
        <v>0</v>
      </c>
      <c r="AA46" s="26">
        <f t="shared" ca="1" si="32"/>
        <v>0</v>
      </c>
      <c r="AB46" s="31">
        <f ca="1">_xll.RiskBinomial(1,AA46)</f>
        <v>0</v>
      </c>
      <c r="AC46" s="78">
        <f ca="1">IF(AB46=1,_xll.RiskBinomial(1,Prob_illness_Adv_infection),0)</f>
        <v>0</v>
      </c>
      <c r="AD46" s="26"/>
      <c r="AE46" s="77">
        <f t="shared" ca="1" si="8"/>
        <v>4.3460994550763919E-11</v>
      </c>
      <c r="AF46" s="33">
        <f ca="1">INT(AE46) + _xll.RiskBinomial(1,AE46-INT(AE46))</f>
        <v>0</v>
      </c>
      <c r="AG46" s="26">
        <f t="shared" ca="1" si="33"/>
        <v>0</v>
      </c>
      <c r="AH46" s="31">
        <f ca="1">_xll.RiskBinomial(1,AG46)</f>
        <v>0</v>
      </c>
      <c r="AI46" s="78">
        <f ca="1">IF(AH46=1,_xll.RiskBinomial(1,Prob_illness_Adv_infection),0)</f>
        <v>0</v>
      </c>
      <c r="AJ46" s="26"/>
      <c r="AK46" s="77">
        <f t="shared" ca="1" si="10"/>
        <v>2.8276099141047227E-10</v>
      </c>
      <c r="AL46" s="33">
        <f ca="1">INT(AK46) + _xll.RiskBinomial(1,AK46-INT(AK46))</f>
        <v>0</v>
      </c>
      <c r="AM46" s="26">
        <f t="shared" ca="1" si="34"/>
        <v>0</v>
      </c>
      <c r="AN46" s="31">
        <f ca="1">_xll.RiskBinomial(1,AM46)</f>
        <v>0</v>
      </c>
      <c r="AO46" s="78">
        <f ca="1">IF(AN46=1,_xll.RiskBinomial(1,Prob_illness_Adv_infection),0)</f>
        <v>0</v>
      </c>
      <c r="AP46" s="26"/>
      <c r="AQ46" s="77">
        <f t="shared" ca="1" si="12"/>
        <v>5.3649420770277449E-10</v>
      </c>
      <c r="AR46" s="33">
        <f ca="1">INT(AQ46) + _xll.RiskBinomial(1,AQ46-INT(AQ46))</f>
        <v>0</v>
      </c>
      <c r="AS46" s="26">
        <f t="shared" ca="1" si="35"/>
        <v>0</v>
      </c>
      <c r="AT46" s="31">
        <f ca="1">_xll.RiskBinomial(1,AS46)</f>
        <v>0</v>
      </c>
      <c r="AU46" s="78">
        <f ca="1">IF(AT46=1,_xll.RiskBinomial(1,Prob_illness_Adv_infection),0)</f>
        <v>0</v>
      </c>
      <c r="AV46" s="26"/>
      <c r="AW46" s="77">
        <f t="shared" ca="1" si="22"/>
        <v>9.4484100104690807E-12</v>
      </c>
      <c r="AX46" s="33">
        <f ca="1">INT(AW46) + _xll.RiskBinomial(1,AW46-INT(AW46))</f>
        <v>0</v>
      </c>
      <c r="AY46" s="26">
        <f t="shared" ca="1" si="36"/>
        <v>0</v>
      </c>
      <c r="AZ46" s="31">
        <f ca="1">_xll.RiskBinomial(1,AY46)</f>
        <v>0</v>
      </c>
      <c r="BA46" s="78">
        <f ca="1">IF(AZ46=1,_xll.RiskBinomial(1,Prob_illness_Adv_infection),0)</f>
        <v>0</v>
      </c>
      <c r="BC46" s="77">
        <f t="shared" ca="1" si="23"/>
        <v>4.8430139638120913E-11</v>
      </c>
      <c r="BD46" s="33">
        <f ca="1">INT(BC46) + _xll.RiskBinomial(1,BC46-INT(BC46))</f>
        <v>0</v>
      </c>
      <c r="BE46" s="26">
        <f t="shared" ca="1" si="37"/>
        <v>0</v>
      </c>
      <c r="BF46" s="31">
        <f ca="1">_xll.RiskBinomial(1,BE46)</f>
        <v>0</v>
      </c>
      <c r="BG46" s="78">
        <f ca="1">IF(BF46=1,_xll.RiskBinomial(1,Prob_illness_Adv_infection),0)</f>
        <v>0</v>
      </c>
      <c r="BI46" s="77">
        <f t="shared" ca="1" si="24"/>
        <v>2.2553017475616327E-11</v>
      </c>
      <c r="BJ46" s="33">
        <f ca="1">INT(BI46) + _xll.RiskBinomial(1,BI46-INT(BI46))</f>
        <v>0</v>
      </c>
      <c r="BK46" s="26">
        <f t="shared" ca="1" si="38"/>
        <v>0</v>
      </c>
      <c r="BL46" s="31">
        <f ca="1">_xll.RiskBinomial(1,BK46)</f>
        <v>0</v>
      </c>
      <c r="BM46" s="78">
        <f ca="1">IF(BL46=1,_xll.RiskBinomial(1,Prob_illness_Adv_infection),0)</f>
        <v>0</v>
      </c>
      <c r="BO46" s="77">
        <f t="shared" ca="1" si="25"/>
        <v>4.8759804703470529E-11</v>
      </c>
      <c r="BP46" s="33">
        <f ca="1">INT(BO46) + _xll.RiskBinomial(1,BO46-INT(BO46))</f>
        <v>0</v>
      </c>
      <c r="BQ46" s="26">
        <f t="shared" ca="1" si="39"/>
        <v>0</v>
      </c>
      <c r="BR46" s="31">
        <f ca="1">_xll.RiskBinomial(1,BQ46)</f>
        <v>0</v>
      </c>
      <c r="BS46" s="78">
        <f ca="1">IF(BR46=1,_xll.RiskBinomial(1,Prob_illness_Adv_infection),0)</f>
        <v>0</v>
      </c>
      <c r="BU46" s="77">
        <f t="shared" ca="1" si="26"/>
        <v>3.4839004875540097E-13</v>
      </c>
      <c r="BV46" s="33">
        <f ca="1">INT(BU46) + _xll.RiskBinomial(1,BU46-INT(BU46))</f>
        <v>0</v>
      </c>
      <c r="BW46" s="26">
        <f t="shared" ca="1" si="40"/>
        <v>0</v>
      </c>
      <c r="BX46" s="31">
        <f ca="1">_xll.RiskBinomial(1,BW46)</f>
        <v>0</v>
      </c>
      <c r="BY46" s="78">
        <f ca="1">IF(BX46=1,_xll.RiskBinomial(1,Prob_illness_Adv_infection),0)</f>
        <v>0</v>
      </c>
      <c r="CA46" s="77">
        <f t="shared" ca="1" si="27"/>
        <v>5.2863422620672469E-11</v>
      </c>
      <c r="CB46" s="33">
        <f ca="1">INT(CA46) + _xll.RiskBinomial(1,CA46-INT(CA46))</f>
        <v>0</v>
      </c>
      <c r="CC46" s="26">
        <f t="shared" ca="1" si="41"/>
        <v>0</v>
      </c>
      <c r="CD46" s="31">
        <f ca="1">_xll.RiskBinomial(1,CC46)</f>
        <v>0</v>
      </c>
      <c r="CE46" s="78">
        <f ca="1">IF(CD46=1,_xll.RiskBinomial(1,Prob_illness_Adv_infection),0)</f>
        <v>0</v>
      </c>
      <c r="CG46" s="77" t="e">
        <f t="shared" ca="1" si="28"/>
        <v>#VALUE!</v>
      </c>
      <c r="CH46" s="33" t="e">
        <f ca="1">INT(CG46) + _xll.RiskBinomial(1,CG46-INT(CG46))</f>
        <v>#VALUE!</v>
      </c>
      <c r="CI46" s="26" t="e">
        <f t="shared" ca="1" si="42"/>
        <v>#VALUE!</v>
      </c>
      <c r="CJ46" s="31" t="e">
        <f ca="1">_xll.RiskBinomial(1,CI46)</f>
        <v>#VALUE!</v>
      </c>
      <c r="CK46" s="78" t="e">
        <f ca="1">IF(CJ46=1,_xll.RiskBinomial(1,Prob_illness_Adv_infection),0)</f>
        <v>#VALUE!</v>
      </c>
    </row>
    <row r="47" spans="2:89" x14ac:dyDescent="0.2">
      <c r="B47" s="97">
        <v>39</v>
      </c>
      <c r="C47" s="100">
        <f ca="1" xml:space="preserve"> _xll.RiskPert(Dur_event_hours_min,Dur_event_hours_mode,Dur_event_hours_max)</f>
        <v>2.1798525155317434</v>
      </c>
      <c r="D47" s="26">
        <f ca="1">_xll.RiskPert(Primary_Ing_Rate_mL_per_hour_min,Primary_Ing_Rate_mL_per_hour_mode,Primary_Ing_Rate_mL_per_hour_max)</f>
        <v>8.6252261162244661</v>
      </c>
      <c r="E47" s="34">
        <f t="shared" ca="1" si="0"/>
        <v>18.801720846481992</v>
      </c>
      <c r="F47" s="26"/>
      <c r="G47" s="77">
        <f t="shared" ca="1" si="21"/>
        <v>1.72627467408422E-9</v>
      </c>
      <c r="H47" s="33">
        <f ca="1">INT(G47) + _xll.RiskBinomial(1,G47-INT(G47))</f>
        <v>0</v>
      </c>
      <c r="I47" s="26">
        <f t="shared" ca="1" si="29"/>
        <v>0</v>
      </c>
      <c r="J47" s="31">
        <f ca="1">_xll.RiskBinomial(1,I47)</f>
        <v>0</v>
      </c>
      <c r="K47" s="78">
        <f ca="1">IF(J47=1,_xll.RiskBinomial(1,Prob_illness_Adv_infection),0)</f>
        <v>0</v>
      </c>
      <c r="L47" s="26"/>
      <c r="M47" s="77">
        <f t="shared" ca="1" si="2"/>
        <v>4.2873111805664568E-11</v>
      </c>
      <c r="N47" s="33">
        <f ca="1">INT(M47) + _xll.RiskBinomial(1,M47-INT(M47))</f>
        <v>0</v>
      </c>
      <c r="O47" s="26">
        <f t="shared" ca="1" si="30"/>
        <v>0</v>
      </c>
      <c r="P47" s="31">
        <f ca="1">_xll.RiskBinomial(1,O47)</f>
        <v>0</v>
      </c>
      <c r="Q47" s="78">
        <f ca="1">IF(P47=1,_xll.RiskBinomial(1,Prob_illness_Adv_infection),0)</f>
        <v>0</v>
      </c>
      <c r="R47" s="26"/>
      <c r="S47" s="77">
        <f t="shared" ca="1" si="4"/>
        <v>5.4289717011380999E-10</v>
      </c>
      <c r="T47" s="33">
        <f ca="1">INT(S47) + _xll.RiskBinomial(1,S47-INT(S47))</f>
        <v>0</v>
      </c>
      <c r="U47" s="26">
        <f t="shared" ca="1" si="31"/>
        <v>0</v>
      </c>
      <c r="V47" s="31">
        <f ca="1">_xll.RiskBinomial(1,U47)</f>
        <v>0</v>
      </c>
      <c r="W47" s="78">
        <f ca="1">IF(V47=1,_xll.RiskBinomial(1,Prob_illness_Adv_infection),0)</f>
        <v>0</v>
      </c>
      <c r="X47" s="26"/>
      <c r="Y47" s="77">
        <f t="shared" ca="1" si="6"/>
        <v>4.5154853965272248E-11</v>
      </c>
      <c r="Z47" s="33">
        <f ca="1">INT(Y47) + _xll.RiskBinomial(1,Y47-INT(Y47))</f>
        <v>0</v>
      </c>
      <c r="AA47" s="26">
        <f t="shared" ca="1" si="32"/>
        <v>0</v>
      </c>
      <c r="AB47" s="31">
        <f ca="1">_xll.RiskBinomial(1,AA47)</f>
        <v>0</v>
      </c>
      <c r="AC47" s="78">
        <f ca="1">IF(AB47=1,_xll.RiskBinomial(1,Prob_illness_Adv_infection),0)</f>
        <v>0</v>
      </c>
      <c r="AD47" s="26"/>
      <c r="AE47" s="77">
        <f t="shared" ca="1" si="8"/>
        <v>6.7810291765144835E-11</v>
      </c>
      <c r="AF47" s="33">
        <f ca="1">INT(AE47) + _xll.RiskBinomial(1,AE47-INT(AE47))</f>
        <v>0</v>
      </c>
      <c r="AG47" s="26">
        <f t="shared" ca="1" si="33"/>
        <v>0</v>
      </c>
      <c r="AH47" s="31">
        <f ca="1">_xll.RiskBinomial(1,AG47)</f>
        <v>0</v>
      </c>
      <c r="AI47" s="78">
        <f ca="1">IF(AH47=1,_xll.RiskBinomial(1,Prob_illness_Adv_infection),0)</f>
        <v>0</v>
      </c>
      <c r="AJ47" s="26"/>
      <c r="AK47" s="77">
        <f t="shared" ca="1" si="10"/>
        <v>4.4117962613464205E-10</v>
      </c>
      <c r="AL47" s="33">
        <f ca="1">INT(AK47) + _xll.RiskBinomial(1,AK47-INT(AK47))</f>
        <v>0</v>
      </c>
      <c r="AM47" s="26">
        <f t="shared" ca="1" si="34"/>
        <v>0</v>
      </c>
      <c r="AN47" s="31">
        <f ca="1">_xll.RiskBinomial(1,AM47)</f>
        <v>0</v>
      </c>
      <c r="AO47" s="78">
        <f ca="1">IF(AN47=1,_xll.RiskBinomial(1,Prob_illness_Adv_infection),0)</f>
        <v>0</v>
      </c>
      <c r="AP47" s="26"/>
      <c r="AQ47" s="77">
        <f t="shared" ca="1" si="12"/>
        <v>8.3706848245597507E-10</v>
      </c>
      <c r="AR47" s="33">
        <f ca="1">INT(AQ47) + _xll.RiskBinomial(1,AQ47-INT(AQ47))</f>
        <v>0</v>
      </c>
      <c r="AS47" s="26">
        <f t="shared" ca="1" si="35"/>
        <v>0</v>
      </c>
      <c r="AT47" s="31">
        <f ca="1">_xll.RiskBinomial(1,AS47)</f>
        <v>0</v>
      </c>
      <c r="AU47" s="78">
        <f ca="1">IF(AT47=1,_xll.RiskBinomial(1,Prob_illness_Adv_infection),0)</f>
        <v>0</v>
      </c>
      <c r="AV47" s="26"/>
      <c r="AW47" s="77">
        <f t="shared" ca="1" si="22"/>
        <v>1.4741941507534186E-11</v>
      </c>
      <c r="AX47" s="33">
        <f ca="1">INT(AW47) + _xll.RiskBinomial(1,AW47-INT(AW47))</f>
        <v>0</v>
      </c>
      <c r="AY47" s="26">
        <f t="shared" ca="1" si="36"/>
        <v>0</v>
      </c>
      <c r="AZ47" s="31">
        <f ca="1">_xll.RiskBinomial(1,AY47)</f>
        <v>0</v>
      </c>
      <c r="BA47" s="78">
        <f ca="1">IF(AZ47=1,_xll.RiskBinomial(1,Prob_illness_Adv_infection),0)</f>
        <v>0</v>
      </c>
      <c r="BC47" s="77">
        <f t="shared" ca="1" si="23"/>
        <v>7.5563431832002589E-11</v>
      </c>
      <c r="BD47" s="33">
        <f ca="1">INT(BC47) + _xll.RiskBinomial(1,BC47-INT(BC47))</f>
        <v>0</v>
      </c>
      <c r="BE47" s="26">
        <f t="shared" ca="1" si="37"/>
        <v>0</v>
      </c>
      <c r="BF47" s="31">
        <f ca="1">_xll.RiskBinomial(1,BE47)</f>
        <v>0</v>
      </c>
      <c r="BG47" s="78">
        <f ca="1">IF(BF47=1,_xll.RiskBinomial(1,Prob_illness_Adv_infection),0)</f>
        <v>0</v>
      </c>
      <c r="BI47" s="77">
        <f t="shared" ca="1" si="24"/>
        <v>3.5188488229822901E-11</v>
      </c>
      <c r="BJ47" s="33">
        <f ca="1">INT(BI47) + _xll.RiskBinomial(1,BI47-INT(BI47))</f>
        <v>0</v>
      </c>
      <c r="BK47" s="26">
        <f t="shared" ca="1" si="38"/>
        <v>0</v>
      </c>
      <c r="BL47" s="31">
        <f ca="1">_xll.RiskBinomial(1,BK47)</f>
        <v>0</v>
      </c>
      <c r="BM47" s="78">
        <f ca="1">IF(BL47=1,_xll.RiskBinomial(1,Prob_illness_Adv_infection),0)</f>
        <v>0</v>
      </c>
      <c r="BO47" s="77">
        <f t="shared" ca="1" si="25"/>
        <v>7.60777938363056E-11</v>
      </c>
      <c r="BP47" s="33">
        <f ca="1">INT(BO47) + _xll.RiskBinomial(1,BO47-INT(BO47))</f>
        <v>0</v>
      </c>
      <c r="BQ47" s="26">
        <f t="shared" ca="1" si="39"/>
        <v>0</v>
      </c>
      <c r="BR47" s="31">
        <f ca="1">_xll.RiskBinomial(1,BQ47)</f>
        <v>0</v>
      </c>
      <c r="BS47" s="78">
        <f ca="1">IF(BR47=1,_xll.RiskBinomial(1,Prob_illness_Adv_infection),0)</f>
        <v>0</v>
      </c>
      <c r="BU47" s="77">
        <f t="shared" ca="1" si="26"/>
        <v>5.4357777815191601E-13</v>
      </c>
      <c r="BV47" s="33">
        <f ca="1">INT(BU47) + _xll.RiskBinomial(1,BU47-INT(BU47))</f>
        <v>0</v>
      </c>
      <c r="BW47" s="26">
        <f t="shared" ca="1" si="40"/>
        <v>0</v>
      </c>
      <c r="BX47" s="31">
        <f ca="1">_xll.RiskBinomial(1,BW47)</f>
        <v>0</v>
      </c>
      <c r="BY47" s="78">
        <f ca="1">IF(BX47=1,_xll.RiskBinomial(1,Prob_illness_Adv_infection),0)</f>
        <v>0</v>
      </c>
      <c r="CA47" s="77">
        <f t="shared" ca="1" si="27"/>
        <v>8.2480489658949822E-11</v>
      </c>
      <c r="CB47" s="33">
        <f ca="1">INT(CA47) + _xll.RiskBinomial(1,CA47-INT(CA47))</f>
        <v>0</v>
      </c>
      <c r="CC47" s="26">
        <f t="shared" ca="1" si="41"/>
        <v>0</v>
      </c>
      <c r="CD47" s="31">
        <f ca="1">_xll.RiskBinomial(1,CC47)</f>
        <v>0</v>
      </c>
      <c r="CE47" s="78">
        <f ca="1">IF(CD47=1,_xll.RiskBinomial(1,Prob_illness_Adv_infection),0)</f>
        <v>0</v>
      </c>
      <c r="CG47" s="77" t="e">
        <f t="shared" ca="1" si="28"/>
        <v>#VALUE!</v>
      </c>
      <c r="CH47" s="33" t="e">
        <f ca="1">INT(CG47) + _xll.RiskBinomial(1,CG47-INT(CG47))</f>
        <v>#VALUE!</v>
      </c>
      <c r="CI47" s="26" t="e">
        <f t="shared" ca="1" si="42"/>
        <v>#VALUE!</v>
      </c>
      <c r="CJ47" s="31" t="e">
        <f ca="1">_xll.RiskBinomial(1,CI47)</f>
        <v>#VALUE!</v>
      </c>
      <c r="CK47" s="78" t="e">
        <f ca="1">IF(CJ47=1,_xll.RiskBinomial(1,Prob_illness_Adv_infection),0)</f>
        <v>#VALUE!</v>
      </c>
    </row>
    <row r="48" spans="2:89" x14ac:dyDescent="0.2">
      <c r="B48" s="97">
        <v>40</v>
      </c>
      <c r="C48" s="100">
        <f ca="1" xml:space="preserve"> _xll.RiskPert(Dur_event_hours_min,Dur_event_hours_mode,Dur_event_hours_max)</f>
        <v>1.714129530401032</v>
      </c>
      <c r="D48" s="26">
        <f ca="1">_xll.RiskPert(Primary_Ing_Rate_mL_per_hour_min,Primary_Ing_Rate_mL_per_hour_mode,Primary_Ing_Rate_mL_per_hour_max)</f>
        <v>12.561438523789057</v>
      </c>
      <c r="E48" s="34">
        <f t="shared" ca="1" si="0"/>
        <v>21.53193271794397</v>
      </c>
      <c r="F48" s="26"/>
      <c r="G48" s="77">
        <f t="shared" ca="1" si="21"/>
        <v>1.9769483037520476E-9</v>
      </c>
      <c r="H48" s="33">
        <f ca="1">INT(G48) + _xll.RiskBinomial(1,G48-INT(G48))</f>
        <v>0</v>
      </c>
      <c r="I48" s="26">
        <f t="shared" ca="1" si="29"/>
        <v>0</v>
      </c>
      <c r="J48" s="31">
        <f ca="1">_xll.RiskBinomial(1,I48)</f>
        <v>0</v>
      </c>
      <c r="K48" s="78">
        <f ca="1">IF(J48=1,_xll.RiskBinomial(1,Prob_illness_Adv_infection),0)</f>
        <v>0</v>
      </c>
      <c r="L48" s="26"/>
      <c r="M48" s="77">
        <f t="shared" ca="1" si="2"/>
        <v>4.9098748265969953E-11</v>
      </c>
      <c r="N48" s="33">
        <f ca="1">INT(M48) + _xll.RiskBinomial(1,M48-INT(M48))</f>
        <v>0</v>
      </c>
      <c r="O48" s="26">
        <f t="shared" ca="1" si="30"/>
        <v>0</v>
      </c>
      <c r="P48" s="31">
        <f ca="1">_xll.RiskBinomial(1,O48)</f>
        <v>0</v>
      </c>
      <c r="Q48" s="78">
        <f ca="1">IF(P48=1,_xll.RiskBinomial(1,Prob_illness_Adv_infection),0)</f>
        <v>0</v>
      </c>
      <c r="R48" s="26"/>
      <c r="S48" s="77">
        <f t="shared" ca="1" si="4"/>
        <v>6.2173167206872968E-10</v>
      </c>
      <c r="T48" s="33">
        <f ca="1">INT(S48) + _xll.RiskBinomial(1,S48-INT(S48))</f>
        <v>0</v>
      </c>
      <c r="U48" s="26">
        <f t="shared" ca="1" si="31"/>
        <v>0</v>
      </c>
      <c r="V48" s="31">
        <f ca="1">_xll.RiskBinomial(1,U48)</f>
        <v>0</v>
      </c>
      <c r="W48" s="78">
        <f ca="1">IF(V48=1,_xll.RiskBinomial(1,Prob_illness_Adv_infection),0)</f>
        <v>0</v>
      </c>
      <c r="X48" s="26"/>
      <c r="Y48" s="77">
        <f t="shared" ca="1" si="6"/>
        <v>5.1711823902052569E-11</v>
      </c>
      <c r="Z48" s="33">
        <f ca="1">INT(Y48) + _xll.RiskBinomial(1,Y48-INT(Y48))</f>
        <v>0</v>
      </c>
      <c r="AA48" s="26">
        <f t="shared" ca="1" si="32"/>
        <v>0</v>
      </c>
      <c r="AB48" s="31">
        <f ca="1">_xll.RiskBinomial(1,AA48)</f>
        <v>0</v>
      </c>
      <c r="AC48" s="78">
        <f ca="1">IF(AB48=1,_xll.RiskBinomial(1,Prob_illness_Adv_infection),0)</f>
        <v>0</v>
      </c>
      <c r="AD48" s="26"/>
      <c r="AE48" s="77">
        <f t="shared" ca="1" si="8"/>
        <v>7.7657074679121562E-11</v>
      </c>
      <c r="AF48" s="33">
        <f ca="1">INT(AE48) + _xll.RiskBinomial(1,AE48-INT(AE48))</f>
        <v>0</v>
      </c>
      <c r="AG48" s="26">
        <f t="shared" ca="1" si="33"/>
        <v>0</v>
      </c>
      <c r="AH48" s="31">
        <f ca="1">_xll.RiskBinomial(1,AG48)</f>
        <v>0</v>
      </c>
      <c r="AI48" s="78">
        <f ca="1">IF(AH48=1,_xll.RiskBinomial(1,Prob_illness_Adv_infection),0)</f>
        <v>0</v>
      </c>
      <c r="AJ48" s="26"/>
      <c r="AK48" s="77">
        <f t="shared" ca="1" si="10"/>
        <v>5.0524364785663951E-10</v>
      </c>
      <c r="AL48" s="33">
        <f ca="1">INT(AK48) + _xll.RiskBinomial(1,AK48-INT(AK48))</f>
        <v>0</v>
      </c>
      <c r="AM48" s="26">
        <f t="shared" ca="1" si="34"/>
        <v>0</v>
      </c>
      <c r="AN48" s="31">
        <f ca="1">_xll.RiskBinomial(1,AM48)</f>
        <v>0</v>
      </c>
      <c r="AO48" s="78">
        <f ca="1">IF(AN48=1,_xll.RiskBinomial(1,Prob_illness_Adv_infection),0)</f>
        <v>0</v>
      </c>
      <c r="AP48" s="26"/>
      <c r="AQ48" s="77">
        <f t="shared" ca="1" si="12"/>
        <v>9.5861981952178328E-10</v>
      </c>
      <c r="AR48" s="33">
        <f ca="1">INT(AQ48) + _xll.RiskBinomial(1,AQ48-INT(AQ48))</f>
        <v>0</v>
      </c>
      <c r="AS48" s="26">
        <f t="shared" ca="1" si="35"/>
        <v>0</v>
      </c>
      <c r="AT48" s="31">
        <f ca="1">_xll.RiskBinomial(1,AS48)</f>
        <v>0</v>
      </c>
      <c r="AU48" s="78">
        <f ca="1">IF(AT48=1,_xll.RiskBinomial(1,Prob_illness_Adv_infection),0)</f>
        <v>0</v>
      </c>
      <c r="AV48" s="26"/>
      <c r="AW48" s="77">
        <f t="shared" ca="1" si="22"/>
        <v>1.6882629800957013E-11</v>
      </c>
      <c r="AX48" s="33">
        <f ca="1">INT(AW48) + _xll.RiskBinomial(1,AW48-INT(AW48))</f>
        <v>0</v>
      </c>
      <c r="AY48" s="26">
        <f t="shared" ca="1" si="36"/>
        <v>0</v>
      </c>
      <c r="AZ48" s="31">
        <f ca="1">_xll.RiskBinomial(1,AY48)</f>
        <v>0</v>
      </c>
      <c r="BA48" s="78">
        <f ca="1">IF(AZ48=1,_xll.RiskBinomial(1,Prob_illness_Adv_infection),0)</f>
        <v>0</v>
      </c>
      <c r="BC48" s="77">
        <f t="shared" ca="1" si="23"/>
        <v>8.6536053982955494E-11</v>
      </c>
      <c r="BD48" s="33">
        <f ca="1">INT(BC48) + _xll.RiskBinomial(1,BC48-INT(BC48))</f>
        <v>0</v>
      </c>
      <c r="BE48" s="26">
        <f t="shared" ca="1" si="37"/>
        <v>0</v>
      </c>
      <c r="BF48" s="31">
        <f ca="1">_xll.RiskBinomial(1,BE48)</f>
        <v>0</v>
      </c>
      <c r="BG48" s="78">
        <f ca="1">IF(BF48=1,_xll.RiskBinomial(1,Prob_illness_Adv_infection),0)</f>
        <v>0</v>
      </c>
      <c r="BI48" s="77">
        <f t="shared" ca="1" si="24"/>
        <v>4.0298234783784676E-11</v>
      </c>
      <c r="BJ48" s="33">
        <f ca="1">INT(BI48) + _xll.RiskBinomial(1,BI48-INT(BI48))</f>
        <v>0</v>
      </c>
      <c r="BK48" s="26">
        <f t="shared" ca="1" si="38"/>
        <v>0</v>
      </c>
      <c r="BL48" s="31">
        <f ca="1">_xll.RiskBinomial(1,BK48)</f>
        <v>0</v>
      </c>
      <c r="BM48" s="78">
        <f ca="1">IF(BL48=1,_xll.RiskBinomial(1,Prob_illness_Adv_infection),0)</f>
        <v>0</v>
      </c>
      <c r="BO48" s="77">
        <f t="shared" ca="1" si="25"/>
        <v>8.7125106876557614E-11</v>
      </c>
      <c r="BP48" s="33">
        <f ca="1">INT(BO48) + _xll.RiskBinomial(1,BO48-INT(BO48))</f>
        <v>0</v>
      </c>
      <c r="BQ48" s="26">
        <f t="shared" ca="1" si="39"/>
        <v>0</v>
      </c>
      <c r="BR48" s="31">
        <f ca="1">_xll.RiskBinomial(1,BQ48)</f>
        <v>0</v>
      </c>
      <c r="BS48" s="78">
        <f ca="1">IF(BR48=1,_xll.RiskBinomial(1,Prob_illness_Adv_infection),0)</f>
        <v>0</v>
      </c>
      <c r="BU48" s="77">
        <f t="shared" ca="1" si="26"/>
        <v>6.2251111170638016E-13</v>
      </c>
      <c r="BV48" s="33">
        <f ca="1">INT(BU48) + _xll.RiskBinomial(1,BU48-INT(BU48))</f>
        <v>0</v>
      </c>
      <c r="BW48" s="26">
        <f t="shared" ca="1" si="40"/>
        <v>0</v>
      </c>
      <c r="BX48" s="31">
        <f ca="1">_xll.RiskBinomial(1,BW48)</f>
        <v>0</v>
      </c>
      <c r="BY48" s="78">
        <f ca="1">IF(BX48=1,_xll.RiskBinomial(1,Prob_illness_Adv_infection),0)</f>
        <v>0</v>
      </c>
      <c r="CA48" s="77">
        <f t="shared" ca="1" si="27"/>
        <v>9.445754292282684E-11</v>
      </c>
      <c r="CB48" s="33">
        <f ca="1">INT(CA48) + _xll.RiskBinomial(1,CA48-INT(CA48))</f>
        <v>0</v>
      </c>
      <c r="CC48" s="26">
        <f t="shared" ca="1" si="41"/>
        <v>0</v>
      </c>
      <c r="CD48" s="31">
        <f ca="1">_xll.RiskBinomial(1,CC48)</f>
        <v>0</v>
      </c>
      <c r="CE48" s="78">
        <f ca="1">IF(CD48=1,_xll.RiskBinomial(1,Prob_illness_Adv_infection),0)</f>
        <v>0</v>
      </c>
      <c r="CG48" s="77" t="e">
        <f t="shared" ca="1" si="28"/>
        <v>#VALUE!</v>
      </c>
      <c r="CH48" s="33" t="e">
        <f ca="1">INT(CG48) + _xll.RiskBinomial(1,CG48-INT(CG48))</f>
        <v>#VALUE!</v>
      </c>
      <c r="CI48" s="26" t="e">
        <f t="shared" ca="1" si="42"/>
        <v>#VALUE!</v>
      </c>
      <c r="CJ48" s="31" t="e">
        <f ca="1">_xll.RiskBinomial(1,CI48)</f>
        <v>#VALUE!</v>
      </c>
      <c r="CK48" s="78" t="e">
        <f ca="1">IF(CJ48=1,_xll.RiskBinomial(1,Prob_illness_Adv_infection),0)</f>
        <v>#VALUE!</v>
      </c>
    </row>
    <row r="49" spans="2:89" x14ac:dyDescent="0.2">
      <c r="B49" s="97">
        <v>41</v>
      </c>
      <c r="C49" s="100">
        <f ca="1" xml:space="preserve"> _xll.RiskPert(Dur_event_hours_min,Dur_event_hours_mode,Dur_event_hours_max)</f>
        <v>0.37841292209764815</v>
      </c>
      <c r="D49" s="26">
        <f ca="1">_xll.RiskPert(Primary_Ing_Rate_mL_per_hour_min,Primary_Ing_Rate_mL_per_hour_mode,Primary_Ing_Rate_mL_per_hour_max)</f>
        <v>6.9324894211910628</v>
      </c>
      <c r="E49" s="34">
        <f t="shared" ca="1" si="0"/>
        <v>2.6233435792839437</v>
      </c>
      <c r="F49" s="26"/>
      <c r="G49" s="77">
        <f t="shared" ca="1" si="21"/>
        <v>2.4086154769108136E-10</v>
      </c>
      <c r="H49" s="33">
        <f ca="1">INT(G49) + _xll.RiskBinomial(1,G49-INT(G49))</f>
        <v>0</v>
      </c>
      <c r="I49" s="26">
        <f t="shared" ca="1" si="29"/>
        <v>0</v>
      </c>
      <c r="J49" s="31">
        <f ca="1">_xll.RiskBinomial(1,I49)</f>
        <v>0</v>
      </c>
      <c r="K49" s="78">
        <f ca="1">IF(J49=1,_xll.RiskBinomial(1,Prob_illness_Adv_infection),0)</f>
        <v>0</v>
      </c>
      <c r="L49" s="26"/>
      <c r="M49" s="77">
        <f t="shared" ca="1" si="2"/>
        <v>5.981947264170627E-12</v>
      </c>
      <c r="N49" s="33">
        <f ca="1">INT(M49) + _xll.RiskBinomial(1,M49-INT(M49))</f>
        <v>0</v>
      </c>
      <c r="O49" s="26">
        <f t="shared" ca="1" si="30"/>
        <v>0</v>
      </c>
      <c r="P49" s="31">
        <f ca="1">_xll.RiskBinomial(1,O49)</f>
        <v>0</v>
      </c>
      <c r="Q49" s="78">
        <f ca="1">IF(P49=1,_xll.RiskBinomial(1,Prob_illness_Adv_infection),0)</f>
        <v>0</v>
      </c>
      <c r="R49" s="26"/>
      <c r="S49" s="77">
        <f t="shared" ca="1" si="4"/>
        <v>7.5748694338048908E-11</v>
      </c>
      <c r="T49" s="33">
        <f ca="1">INT(S49) + _xll.RiskBinomial(1,S49-INT(S49))</f>
        <v>0</v>
      </c>
      <c r="U49" s="26">
        <f t="shared" ca="1" si="31"/>
        <v>0</v>
      </c>
      <c r="V49" s="31">
        <f ca="1">_xll.RiskBinomial(1,U49)</f>
        <v>0</v>
      </c>
      <c r="W49" s="78">
        <f ca="1">IF(V49=1,_xll.RiskBinomial(1,Prob_illness_Adv_infection),0)</f>
        <v>0</v>
      </c>
      <c r="X49" s="26"/>
      <c r="Y49" s="77">
        <f t="shared" ca="1" si="6"/>
        <v>6.3003114018398806E-12</v>
      </c>
      <c r="Z49" s="33">
        <f ca="1">INT(Y49) + _xll.RiskBinomial(1,Y49-INT(Y49))</f>
        <v>0</v>
      </c>
      <c r="AA49" s="26">
        <f t="shared" ca="1" si="32"/>
        <v>0</v>
      </c>
      <c r="AB49" s="31">
        <f ca="1">_xll.RiskBinomial(1,AA49)</f>
        <v>0</v>
      </c>
      <c r="AC49" s="78">
        <f ca="1">IF(AB49=1,_xll.RiskBinomial(1,Prob_illness_Adv_infection),0)</f>
        <v>0</v>
      </c>
      <c r="AD49" s="26"/>
      <c r="AE49" s="77">
        <f t="shared" ca="1" si="8"/>
        <v>9.4613517009401138E-12</v>
      </c>
      <c r="AF49" s="33">
        <f ca="1">INT(AE49) + _xll.RiskBinomial(1,AE49-INT(AE49))</f>
        <v>0</v>
      </c>
      <c r="AG49" s="26">
        <f t="shared" ca="1" si="33"/>
        <v>0</v>
      </c>
      <c r="AH49" s="31">
        <f ca="1">_xll.RiskBinomial(1,AG49)</f>
        <v>0</v>
      </c>
      <c r="AI49" s="78">
        <f ca="1">IF(AH49=1,_xll.RiskBinomial(1,Prob_illness_Adv_infection),0)</f>
        <v>0</v>
      </c>
      <c r="AJ49" s="26"/>
      <c r="AK49" s="77">
        <f t="shared" ca="1" si="10"/>
        <v>6.1556372896992554E-11</v>
      </c>
      <c r="AL49" s="33">
        <f ca="1">INT(AK49) + _xll.RiskBinomial(1,AK49-INT(AK49))</f>
        <v>0</v>
      </c>
      <c r="AM49" s="26">
        <f t="shared" ca="1" si="34"/>
        <v>0</v>
      </c>
      <c r="AN49" s="31">
        <f ca="1">_xll.RiskBinomial(1,AM49)</f>
        <v>0</v>
      </c>
      <c r="AO49" s="78">
        <f ca="1">IF(AN49=1,_xll.RiskBinomial(1,Prob_illness_Adv_infection),0)</f>
        <v>0</v>
      </c>
      <c r="AP49" s="26"/>
      <c r="AQ49" s="77">
        <f t="shared" ca="1" si="12"/>
        <v>1.1679347049143733E-10</v>
      </c>
      <c r="AR49" s="33">
        <f ca="1">INT(AQ49) + _xll.RiskBinomial(1,AQ49-INT(AQ49))</f>
        <v>0</v>
      </c>
      <c r="AS49" s="26">
        <f t="shared" ca="1" si="35"/>
        <v>0</v>
      </c>
      <c r="AT49" s="31">
        <f ca="1">_xll.RiskBinomial(1,AS49)</f>
        <v>0</v>
      </c>
      <c r="AU49" s="78">
        <f ca="1">IF(AT49=1,_xll.RiskBinomial(1,Prob_illness_Adv_infection),0)</f>
        <v>0</v>
      </c>
      <c r="AV49" s="26"/>
      <c r="AW49" s="77">
        <f t="shared" ca="1" si="22"/>
        <v>2.0568956382099162E-12</v>
      </c>
      <c r="AX49" s="33">
        <f ca="1">INT(AW49) + _xll.RiskBinomial(1,AW49-INT(AW49))</f>
        <v>0</v>
      </c>
      <c r="AY49" s="26">
        <f t="shared" ca="1" si="36"/>
        <v>0</v>
      </c>
      <c r="AZ49" s="31">
        <f ca="1">_xll.RiskBinomial(1,AY49)</f>
        <v>0</v>
      </c>
      <c r="BA49" s="78">
        <f ca="1">IF(AZ49=1,_xll.RiskBinomial(1,Prob_illness_Adv_infection),0)</f>
        <v>0</v>
      </c>
      <c r="BC49" s="77">
        <f t="shared" ca="1" si="23"/>
        <v>1.0543122373941359E-11</v>
      </c>
      <c r="BD49" s="33">
        <f ca="1">INT(BC49) + _xll.RiskBinomial(1,BC49-INT(BC49))</f>
        <v>0</v>
      </c>
      <c r="BE49" s="26">
        <f t="shared" ca="1" si="37"/>
        <v>0</v>
      </c>
      <c r="BF49" s="31">
        <f ca="1">_xll.RiskBinomial(1,BE49)</f>
        <v>0</v>
      </c>
      <c r="BG49" s="78">
        <f ca="1">IF(BF49=1,_xll.RiskBinomial(1,Prob_illness_Adv_infection),0)</f>
        <v>0</v>
      </c>
      <c r="BI49" s="77">
        <f t="shared" ca="1" si="24"/>
        <v>4.909736476578261E-12</v>
      </c>
      <c r="BJ49" s="33">
        <f ca="1">INT(BI49) + _xll.RiskBinomial(1,BI49-INT(BI49))</f>
        <v>0</v>
      </c>
      <c r="BK49" s="26">
        <f t="shared" ca="1" si="38"/>
        <v>0</v>
      </c>
      <c r="BL49" s="31">
        <f ca="1">_xll.RiskBinomial(1,BK49)</f>
        <v>0</v>
      </c>
      <c r="BM49" s="78">
        <f ca="1">IF(BL49=1,_xll.RiskBinomial(1,Prob_illness_Adv_infection),0)</f>
        <v>0</v>
      </c>
      <c r="BO49" s="77">
        <f t="shared" ca="1" si="25"/>
        <v>1.0614889648460192E-11</v>
      </c>
      <c r="BP49" s="33">
        <f ca="1">INT(BO49) + _xll.RiskBinomial(1,BO49-INT(BO49))</f>
        <v>0</v>
      </c>
      <c r="BQ49" s="26">
        <f t="shared" ca="1" si="39"/>
        <v>0</v>
      </c>
      <c r="BR49" s="31">
        <f ca="1">_xll.RiskBinomial(1,BQ49)</f>
        <v>0</v>
      </c>
      <c r="BS49" s="78">
        <f ca="1">IF(BR49=1,_xll.RiskBinomial(1,Prob_illness_Adv_infection),0)</f>
        <v>0</v>
      </c>
      <c r="BU49" s="77">
        <f t="shared" ca="1" si="26"/>
        <v>7.584365738645031E-14</v>
      </c>
      <c r="BV49" s="33">
        <f ca="1">INT(BU49) + _xll.RiskBinomial(1,BU49-INT(BU49))</f>
        <v>0</v>
      </c>
      <c r="BW49" s="26">
        <f t="shared" ca="1" si="40"/>
        <v>0</v>
      </c>
      <c r="BX49" s="31">
        <f ca="1">_xll.RiskBinomial(1,BW49)</f>
        <v>0</v>
      </c>
      <c r="BY49" s="78">
        <f ca="1">IF(BX49=1,_xll.RiskBinomial(1,Prob_illness_Adv_infection),0)</f>
        <v>0</v>
      </c>
      <c r="CA49" s="77">
        <f t="shared" ca="1" si="27"/>
        <v>1.1508237183698417E-11</v>
      </c>
      <c r="CB49" s="33">
        <f ca="1">INT(CA49) + _xll.RiskBinomial(1,CA49-INT(CA49))</f>
        <v>0</v>
      </c>
      <c r="CC49" s="26">
        <f t="shared" ca="1" si="41"/>
        <v>0</v>
      </c>
      <c r="CD49" s="31">
        <f ca="1">_xll.RiskBinomial(1,CC49)</f>
        <v>0</v>
      </c>
      <c r="CE49" s="78">
        <f ca="1">IF(CD49=1,_xll.RiskBinomial(1,Prob_illness_Adv_infection),0)</f>
        <v>0</v>
      </c>
      <c r="CG49" s="77" t="e">
        <f t="shared" ca="1" si="28"/>
        <v>#VALUE!</v>
      </c>
      <c r="CH49" s="33" t="e">
        <f ca="1">INT(CG49) + _xll.RiskBinomial(1,CG49-INT(CG49))</f>
        <v>#VALUE!</v>
      </c>
      <c r="CI49" s="26" t="e">
        <f t="shared" ca="1" si="42"/>
        <v>#VALUE!</v>
      </c>
      <c r="CJ49" s="31" t="e">
        <f ca="1">_xll.RiskBinomial(1,CI49)</f>
        <v>#VALUE!</v>
      </c>
      <c r="CK49" s="78" t="e">
        <f ca="1">IF(CJ49=1,_xll.RiskBinomial(1,Prob_illness_Adv_infection),0)</f>
        <v>#VALUE!</v>
      </c>
    </row>
    <row r="50" spans="2:89" x14ac:dyDescent="0.2">
      <c r="B50" s="97">
        <v>42</v>
      </c>
      <c r="C50" s="100">
        <f ca="1" xml:space="preserve"> _xll.RiskPert(Dur_event_hours_min,Dur_event_hours_mode,Dur_event_hours_max)</f>
        <v>1.5569911089155977</v>
      </c>
      <c r="D50" s="26">
        <f ca="1">_xll.RiskPert(Primary_Ing_Rate_mL_per_hour_min,Primary_Ing_Rate_mL_per_hour_mode,Primary_Ing_Rate_mL_per_hour_max)</f>
        <v>5.6635712150928406</v>
      </c>
      <c r="E50" s="34">
        <f t="shared" ca="1" si="0"/>
        <v>8.818130026609861</v>
      </c>
      <c r="F50" s="26"/>
      <c r="G50" s="77">
        <f t="shared" ca="1" si="21"/>
        <v>8.0963411072909915E-10</v>
      </c>
      <c r="H50" s="33">
        <f ca="1">INT(G50) + _xll.RiskBinomial(1,G50-INT(G50))</f>
        <v>0</v>
      </c>
      <c r="I50" s="26">
        <f t="shared" ca="1" si="29"/>
        <v>0</v>
      </c>
      <c r="J50" s="31">
        <f ca="1">_xll.RiskBinomial(1,I50)</f>
        <v>0</v>
      </c>
      <c r="K50" s="78">
        <f ca="1">IF(J50=1,_xll.RiskBinomial(1,Prob_illness_Adv_infection),0)</f>
        <v>0</v>
      </c>
      <c r="L50" s="26"/>
      <c r="M50" s="77">
        <f t="shared" ca="1" si="2"/>
        <v>2.01077697958946E-11</v>
      </c>
      <c r="N50" s="33">
        <f ca="1">INT(M50) + _xll.RiskBinomial(1,M50-INT(M50))</f>
        <v>0</v>
      </c>
      <c r="O50" s="26">
        <f t="shared" ca="1" si="30"/>
        <v>0</v>
      </c>
      <c r="P50" s="31">
        <f ca="1">_xll.RiskBinomial(1,O50)</f>
        <v>0</v>
      </c>
      <c r="Q50" s="78">
        <f ca="1">IF(P50=1,_xll.RiskBinomial(1,Prob_illness_Adv_infection),0)</f>
        <v>0</v>
      </c>
      <c r="R50" s="26"/>
      <c r="S50" s="77">
        <f t="shared" ca="1" si="4"/>
        <v>2.5462232293688552E-10</v>
      </c>
      <c r="T50" s="33">
        <f ca="1">INT(S50) + _xll.RiskBinomial(1,S50-INT(S50))</f>
        <v>0</v>
      </c>
      <c r="U50" s="26">
        <f t="shared" ca="1" si="31"/>
        <v>0</v>
      </c>
      <c r="V50" s="31">
        <f ca="1">_xll.RiskBinomial(1,U50)</f>
        <v>0</v>
      </c>
      <c r="W50" s="78">
        <f ca="1">IF(V50=1,_xll.RiskBinomial(1,Prob_illness_Adv_infection),0)</f>
        <v>0</v>
      </c>
      <c r="X50" s="26"/>
      <c r="Y50" s="77">
        <f t="shared" ca="1" si="6"/>
        <v>2.1177921789688451E-11</v>
      </c>
      <c r="Z50" s="33">
        <f ca="1">INT(Y50) + _xll.RiskBinomial(1,Y50-INT(Y50))</f>
        <v>0</v>
      </c>
      <c r="AA50" s="26">
        <f t="shared" ca="1" si="32"/>
        <v>0</v>
      </c>
      <c r="AB50" s="31">
        <f ca="1">_xll.RiskBinomial(1,AA50)</f>
        <v>0</v>
      </c>
      <c r="AC50" s="78">
        <f ca="1">IF(AB50=1,_xll.RiskBinomial(1,Prob_illness_Adv_infection),0)</f>
        <v>0</v>
      </c>
      <c r="AD50" s="26"/>
      <c r="AE50" s="77">
        <f t="shared" ca="1" si="8"/>
        <v>3.1803470267950706E-11</v>
      </c>
      <c r="AF50" s="33">
        <f ca="1">INT(AE50) + _xll.RiskBinomial(1,AE50-INT(AE50))</f>
        <v>0</v>
      </c>
      <c r="AG50" s="26">
        <f t="shared" ca="1" si="33"/>
        <v>0</v>
      </c>
      <c r="AH50" s="31">
        <f ca="1">_xll.RiskBinomial(1,AG50)</f>
        <v>0</v>
      </c>
      <c r="AI50" s="78">
        <f ca="1">IF(AH50=1,_xll.RiskBinomial(1,Prob_illness_Adv_infection),0)</f>
        <v>0</v>
      </c>
      <c r="AJ50" s="26"/>
      <c r="AK50" s="77">
        <f t="shared" ca="1" si="10"/>
        <v>2.0691612965173514E-10</v>
      </c>
      <c r="AL50" s="33">
        <f ca="1">INT(AK50) + _xll.RiskBinomial(1,AK50-INT(AK50))</f>
        <v>0</v>
      </c>
      <c r="AM50" s="26">
        <f t="shared" ca="1" si="34"/>
        <v>0</v>
      </c>
      <c r="AN50" s="31">
        <f ca="1">_xll.RiskBinomial(1,AM50)</f>
        <v>0</v>
      </c>
      <c r="AO50" s="78">
        <f ca="1">IF(AN50=1,_xll.RiskBinomial(1,Prob_illness_Adv_infection),0)</f>
        <v>0</v>
      </c>
      <c r="AP50" s="26"/>
      <c r="AQ50" s="77">
        <f t="shared" ca="1" si="12"/>
        <v>3.9259059209226167E-10</v>
      </c>
      <c r="AR50" s="33">
        <f ca="1">INT(AQ50) + _xll.RiskBinomial(1,AQ50-INT(AQ50))</f>
        <v>0</v>
      </c>
      <c r="AS50" s="26">
        <f t="shared" ca="1" si="35"/>
        <v>0</v>
      </c>
      <c r="AT50" s="31">
        <f ca="1">_xll.RiskBinomial(1,AS50)</f>
        <v>0</v>
      </c>
      <c r="AU50" s="78">
        <f ca="1">IF(AT50=1,_xll.RiskBinomial(1,Prob_illness_Adv_infection),0)</f>
        <v>0</v>
      </c>
      <c r="AV50" s="26"/>
      <c r="AW50" s="77">
        <f t="shared" ca="1" si="22"/>
        <v>6.9140669686326695E-12</v>
      </c>
      <c r="AX50" s="33">
        <f ca="1">INT(AW50) + _xll.RiskBinomial(1,AW50-INT(AW50))</f>
        <v>0</v>
      </c>
      <c r="AY50" s="26">
        <f t="shared" ca="1" si="36"/>
        <v>0</v>
      </c>
      <c r="AZ50" s="31">
        <f ca="1">_xll.RiskBinomial(1,AY50)</f>
        <v>0</v>
      </c>
      <c r="BA50" s="78">
        <f ca="1">IF(AZ50=1,_xll.RiskBinomial(1,Prob_illness_Adv_infection),0)</f>
        <v>0</v>
      </c>
      <c r="BC50" s="77">
        <f t="shared" ca="1" si="23"/>
        <v>3.5439743659216525E-11</v>
      </c>
      <c r="BD50" s="33">
        <f ca="1">INT(BC50) + _xll.RiskBinomial(1,BC50-INT(BC50))</f>
        <v>0</v>
      </c>
      <c r="BE50" s="26">
        <f t="shared" ca="1" si="37"/>
        <v>0</v>
      </c>
      <c r="BF50" s="31">
        <f ca="1">_xll.RiskBinomial(1,BE50)</f>
        <v>0</v>
      </c>
      <c r="BG50" s="78">
        <f ca="1">IF(BF50=1,_xll.RiskBinomial(1,Prob_illness_Adv_infection),0)</f>
        <v>0</v>
      </c>
      <c r="BI50" s="77">
        <f t="shared" ca="1" si="24"/>
        <v>1.6503631086963456E-11</v>
      </c>
      <c r="BJ50" s="33">
        <f ca="1">INT(BI50) + _xll.RiskBinomial(1,BI50-INT(BI50))</f>
        <v>0</v>
      </c>
      <c r="BK50" s="26">
        <f t="shared" ca="1" si="38"/>
        <v>0</v>
      </c>
      <c r="BL50" s="31">
        <f ca="1">_xll.RiskBinomial(1,BK50)</f>
        <v>0</v>
      </c>
      <c r="BM50" s="78">
        <f ca="1">IF(BL50=1,_xll.RiskBinomial(1,Prob_illness_Adv_infection),0)</f>
        <v>0</v>
      </c>
      <c r="BO50" s="77">
        <f t="shared" ca="1" si="25"/>
        <v>3.5680982802788877E-11</v>
      </c>
      <c r="BP50" s="33">
        <f ca="1">INT(BO50) + _xll.RiskBinomial(1,BO50-INT(BO50))</f>
        <v>0</v>
      </c>
      <c r="BQ50" s="26">
        <f t="shared" ca="1" si="39"/>
        <v>0</v>
      </c>
      <c r="BR50" s="31">
        <f ca="1">_xll.RiskBinomial(1,BQ50)</f>
        <v>0</v>
      </c>
      <c r="BS50" s="78">
        <f ca="1">IF(BR50=1,_xll.RiskBinomial(1,Prob_illness_Adv_infection),0)</f>
        <v>0</v>
      </c>
      <c r="BU50" s="77">
        <f t="shared" ca="1" si="26"/>
        <v>2.5494153255743984E-13</v>
      </c>
      <c r="BV50" s="33">
        <f ca="1">INT(BU50) + _xll.RiskBinomial(1,BU50-INT(BU50))</f>
        <v>0</v>
      </c>
      <c r="BW50" s="26">
        <f t="shared" ca="1" si="40"/>
        <v>0</v>
      </c>
      <c r="BX50" s="31">
        <f ca="1">_xll.RiskBinomial(1,BW50)</f>
        <v>0</v>
      </c>
      <c r="BY50" s="78">
        <f ca="1">IF(BX50=1,_xll.RiskBinomial(1,Prob_illness_Adv_infection),0)</f>
        <v>0</v>
      </c>
      <c r="CA50" s="77">
        <f t="shared" ca="1" si="27"/>
        <v>3.8683889012593216E-11</v>
      </c>
      <c r="CB50" s="33">
        <f ca="1">INT(CA50) + _xll.RiskBinomial(1,CA50-INT(CA50))</f>
        <v>0</v>
      </c>
      <c r="CC50" s="26">
        <f t="shared" ca="1" si="41"/>
        <v>0</v>
      </c>
      <c r="CD50" s="31">
        <f ca="1">_xll.RiskBinomial(1,CC50)</f>
        <v>0</v>
      </c>
      <c r="CE50" s="78">
        <f ca="1">IF(CD50=1,_xll.RiskBinomial(1,Prob_illness_Adv_infection),0)</f>
        <v>0</v>
      </c>
      <c r="CG50" s="77" t="e">
        <f t="shared" ca="1" si="28"/>
        <v>#VALUE!</v>
      </c>
      <c r="CH50" s="33" t="e">
        <f ca="1">INT(CG50) + _xll.RiskBinomial(1,CG50-INT(CG50))</f>
        <v>#VALUE!</v>
      </c>
      <c r="CI50" s="26" t="e">
        <f t="shared" ca="1" si="42"/>
        <v>#VALUE!</v>
      </c>
      <c r="CJ50" s="31" t="e">
        <f ca="1">_xll.RiskBinomial(1,CI50)</f>
        <v>#VALUE!</v>
      </c>
      <c r="CK50" s="78" t="e">
        <f ca="1">IF(CJ50=1,_xll.RiskBinomial(1,Prob_illness_Adv_infection),0)</f>
        <v>#VALUE!</v>
      </c>
    </row>
    <row r="51" spans="2:89" x14ac:dyDescent="0.2">
      <c r="B51" s="97">
        <v>43</v>
      </c>
      <c r="C51" s="100">
        <f ca="1" xml:space="preserve"> _xll.RiskPert(Dur_event_hours_min,Dur_event_hours_mode,Dur_event_hours_max)</f>
        <v>0.88317383398183358</v>
      </c>
      <c r="D51" s="26">
        <f ca="1">_xll.RiskPert(Primary_Ing_Rate_mL_per_hour_min,Primary_Ing_Rate_mL_per_hour_mode,Primary_Ing_Rate_mL_per_hour_max)</f>
        <v>15.333757565172549</v>
      </c>
      <c r="E51" s="34">
        <f t="shared" ca="1" si="0"/>
        <v>13.542373458181386</v>
      </c>
      <c r="F51" s="26"/>
      <c r="G51" s="77">
        <f t="shared" ca="1" si="21"/>
        <v>1.2433891832950556E-9</v>
      </c>
      <c r="H51" s="33">
        <f ca="1">INT(G51) + _xll.RiskBinomial(1,G51-INT(G51))</f>
        <v>0</v>
      </c>
      <c r="I51" s="26">
        <f t="shared" ca="1" si="29"/>
        <v>0</v>
      </c>
      <c r="J51" s="31">
        <f ca="1">_xll.RiskBinomial(1,I51)</f>
        <v>0</v>
      </c>
      <c r="K51" s="78">
        <f ca="1">IF(J51=1,_xll.RiskBinomial(1,Prob_illness_Adv_infection),0)</f>
        <v>0</v>
      </c>
      <c r="L51" s="26"/>
      <c r="M51" s="77">
        <f t="shared" ca="1" si="2"/>
        <v>3.0880348459982177E-11</v>
      </c>
      <c r="N51" s="33">
        <f ca="1">INT(M51) + _xll.RiskBinomial(1,M51-INT(M51))</f>
        <v>0</v>
      </c>
      <c r="O51" s="26">
        <f t="shared" ca="1" si="30"/>
        <v>0</v>
      </c>
      <c r="P51" s="31">
        <f ca="1">_xll.RiskBinomial(1,O51)</f>
        <v>0</v>
      </c>
      <c r="Q51" s="78">
        <f ca="1">IF(P51=1,_xll.RiskBinomial(1,Prob_illness_Adv_infection),0)</f>
        <v>0</v>
      </c>
      <c r="R51" s="26"/>
      <c r="S51" s="77">
        <f t="shared" ca="1" si="4"/>
        <v>3.910342190005819E-10</v>
      </c>
      <c r="T51" s="33">
        <f ca="1">INT(S51) + _xll.RiskBinomial(1,S51-INT(S51))</f>
        <v>0</v>
      </c>
      <c r="U51" s="26">
        <f t="shared" ca="1" si="31"/>
        <v>0</v>
      </c>
      <c r="V51" s="31">
        <f ca="1">_xll.RiskBinomial(1,U51)</f>
        <v>0</v>
      </c>
      <c r="W51" s="78">
        <f ca="1">IF(V51=1,_xll.RiskBinomial(1,Prob_illness_Adv_infection),0)</f>
        <v>0</v>
      </c>
      <c r="X51" s="26"/>
      <c r="Y51" s="77">
        <f t="shared" ca="1" si="6"/>
        <v>3.2523825922124493E-11</v>
      </c>
      <c r="Z51" s="33">
        <f ca="1">INT(Y51) + _xll.RiskBinomial(1,Y51-INT(Y51))</f>
        <v>0</v>
      </c>
      <c r="AA51" s="26">
        <f t="shared" ca="1" si="32"/>
        <v>0</v>
      </c>
      <c r="AB51" s="31">
        <f ca="1">_xll.RiskBinomial(1,AA51)</f>
        <v>0</v>
      </c>
      <c r="AC51" s="78">
        <f ca="1">IF(AB51=1,_xll.RiskBinomial(1,Prob_illness_Adv_infection),0)</f>
        <v>0</v>
      </c>
      <c r="AD51" s="26"/>
      <c r="AE51" s="77">
        <f t="shared" ca="1" si="8"/>
        <v>4.8841927975101254E-11</v>
      </c>
      <c r="AF51" s="33">
        <f ca="1">INT(AE51) + _xll.RiskBinomial(1,AE51-INT(AE51))</f>
        <v>0</v>
      </c>
      <c r="AG51" s="26">
        <f t="shared" ca="1" si="33"/>
        <v>0</v>
      </c>
      <c r="AH51" s="31">
        <f ca="1">_xll.RiskBinomial(1,AG51)</f>
        <v>0</v>
      </c>
      <c r="AI51" s="78">
        <f ca="1">IF(AH51=1,_xll.RiskBinomial(1,Prob_illness_Adv_infection),0)</f>
        <v>0</v>
      </c>
      <c r="AJ51" s="26"/>
      <c r="AK51" s="77">
        <f t="shared" ca="1" si="10"/>
        <v>3.177698099040801E-10</v>
      </c>
      <c r="AL51" s="33">
        <f ca="1">INT(AK51) + _xll.RiskBinomial(1,AK51-INT(AK51))</f>
        <v>0</v>
      </c>
      <c r="AM51" s="26">
        <f t="shared" ca="1" si="34"/>
        <v>0</v>
      </c>
      <c r="AN51" s="31">
        <f ca="1">_xll.RiskBinomial(1,AM51)</f>
        <v>0</v>
      </c>
      <c r="AO51" s="78">
        <f ca="1">IF(AN51=1,_xll.RiskBinomial(1,Prob_illness_Adv_infection),0)</f>
        <v>0</v>
      </c>
      <c r="AP51" s="26"/>
      <c r="AQ51" s="77">
        <f t="shared" ca="1" si="12"/>
        <v>6.0291789735900894E-10</v>
      </c>
      <c r="AR51" s="33">
        <f ca="1">INT(AQ51) + _xll.RiskBinomial(1,AQ51-INT(AQ51))</f>
        <v>0</v>
      </c>
      <c r="AS51" s="26">
        <f t="shared" ca="1" si="35"/>
        <v>0</v>
      </c>
      <c r="AT51" s="31">
        <f ca="1">_xll.RiskBinomial(1,AS51)</f>
        <v>0</v>
      </c>
      <c r="AU51" s="78">
        <f ca="1">IF(AT51=1,_xll.RiskBinomial(1,Prob_illness_Adv_infection),0)</f>
        <v>0</v>
      </c>
      <c r="AV51" s="26"/>
      <c r="AW51" s="77">
        <f t="shared" ca="1" si="22"/>
        <v>1.0618223673448935E-11</v>
      </c>
      <c r="AX51" s="33">
        <f ca="1">INT(AW51) + _xll.RiskBinomial(1,AW51-INT(AW51))</f>
        <v>0</v>
      </c>
      <c r="AY51" s="26">
        <f t="shared" ca="1" si="36"/>
        <v>0</v>
      </c>
      <c r="AZ51" s="31">
        <f ca="1">_xll.RiskBinomial(1,AY51)</f>
        <v>0</v>
      </c>
      <c r="BA51" s="78">
        <f ca="1">IF(AZ51=1,_xll.RiskBinomial(1,Prob_illness_Adv_infection),0)</f>
        <v>0</v>
      </c>
      <c r="BC51" s="77">
        <f t="shared" ca="1" si="23"/>
        <v>5.442630608156713E-11</v>
      </c>
      <c r="BD51" s="33">
        <f ca="1">INT(BC51) + _xll.RiskBinomial(1,BC51-INT(BC51))</f>
        <v>0</v>
      </c>
      <c r="BE51" s="26">
        <f t="shared" ca="1" si="37"/>
        <v>0</v>
      </c>
      <c r="BF51" s="31">
        <f ca="1">_xll.RiskBinomial(1,BE51)</f>
        <v>0</v>
      </c>
      <c r="BG51" s="78">
        <f ca="1">IF(BF51=1,_xll.RiskBinomial(1,Prob_illness_Adv_infection),0)</f>
        <v>0</v>
      </c>
      <c r="BI51" s="77">
        <f t="shared" ca="1" si="24"/>
        <v>2.5345320937803778E-11</v>
      </c>
      <c r="BJ51" s="33">
        <f ca="1">INT(BI51) + _xll.RiskBinomial(1,BI51-INT(BI51))</f>
        <v>0</v>
      </c>
      <c r="BK51" s="26">
        <f t="shared" ca="1" si="38"/>
        <v>0</v>
      </c>
      <c r="BL51" s="31">
        <f ca="1">_xll.RiskBinomial(1,BK51)</f>
        <v>0</v>
      </c>
      <c r="BM51" s="78">
        <f ca="1">IF(BL51=1,_xll.RiskBinomial(1,Prob_illness_Adv_infection),0)</f>
        <v>0</v>
      </c>
      <c r="BO51" s="77">
        <f t="shared" ca="1" si="25"/>
        <v>5.4796787188687356E-11</v>
      </c>
      <c r="BP51" s="33">
        <f ca="1">INT(BO51) + _xll.RiskBinomial(1,BO51-INT(BO51))</f>
        <v>0</v>
      </c>
      <c r="BQ51" s="26">
        <f t="shared" ca="1" si="39"/>
        <v>0</v>
      </c>
      <c r="BR51" s="31">
        <f ca="1">_xll.RiskBinomial(1,BQ51)</f>
        <v>0</v>
      </c>
      <c r="BS51" s="78">
        <f ca="1">IF(BR51=1,_xll.RiskBinomial(1,Prob_illness_Adv_infection),0)</f>
        <v>0</v>
      </c>
      <c r="BU51" s="77">
        <f t="shared" ca="1" si="26"/>
        <v>3.9152444265116843E-13</v>
      </c>
      <c r="BV51" s="33">
        <f ca="1">INT(BU51) + _xll.RiskBinomial(1,BU51-INT(BU51))</f>
        <v>0</v>
      </c>
      <c r="BW51" s="26">
        <f t="shared" ca="1" si="40"/>
        <v>0</v>
      </c>
      <c r="BX51" s="31">
        <f ca="1">_xll.RiskBinomial(1,BW51)</f>
        <v>0</v>
      </c>
      <c r="BY51" s="78">
        <f ca="1">IF(BX51=1,_xll.RiskBinomial(1,Prob_illness_Adv_infection),0)</f>
        <v>0</v>
      </c>
      <c r="CA51" s="77">
        <f t="shared" ca="1" si="27"/>
        <v>5.9408476654633765E-11</v>
      </c>
      <c r="CB51" s="33">
        <f ca="1">INT(CA51) + _xll.RiskBinomial(1,CA51-INT(CA51))</f>
        <v>0</v>
      </c>
      <c r="CC51" s="26">
        <f t="shared" ca="1" si="41"/>
        <v>0</v>
      </c>
      <c r="CD51" s="31">
        <f ca="1">_xll.RiskBinomial(1,CC51)</f>
        <v>0</v>
      </c>
      <c r="CE51" s="78">
        <f ca="1">IF(CD51=1,_xll.RiskBinomial(1,Prob_illness_Adv_infection),0)</f>
        <v>0</v>
      </c>
      <c r="CG51" s="77" t="e">
        <f t="shared" ca="1" si="28"/>
        <v>#VALUE!</v>
      </c>
      <c r="CH51" s="33" t="e">
        <f ca="1">INT(CG51) + _xll.RiskBinomial(1,CG51-INT(CG51))</f>
        <v>#VALUE!</v>
      </c>
      <c r="CI51" s="26" t="e">
        <f t="shared" ca="1" si="42"/>
        <v>#VALUE!</v>
      </c>
      <c r="CJ51" s="31" t="e">
        <f ca="1">_xll.RiskBinomial(1,CI51)</f>
        <v>#VALUE!</v>
      </c>
      <c r="CK51" s="78" t="e">
        <f ca="1">IF(CJ51=1,_xll.RiskBinomial(1,Prob_illness_Adv_infection),0)</f>
        <v>#VALUE!</v>
      </c>
    </row>
    <row r="52" spans="2:89" x14ac:dyDescent="0.2">
      <c r="B52" s="97">
        <v>44</v>
      </c>
      <c r="C52" s="100">
        <f ca="1" xml:space="preserve"> _xll.RiskPert(Dur_event_hours_min,Dur_event_hours_mode,Dur_event_hours_max)</f>
        <v>1.5132318880341711</v>
      </c>
      <c r="D52" s="26">
        <f ca="1">_xll.RiskPert(Primary_Ing_Rate_mL_per_hour_min,Primary_Ing_Rate_mL_per_hour_mode,Primary_Ing_Rate_mL_per_hour_max)</f>
        <v>9.7680930849745753</v>
      </c>
      <c r="E52" s="34">
        <f t="shared" ca="1" si="0"/>
        <v>14.781389941469607</v>
      </c>
      <c r="F52" s="26"/>
      <c r="G52" s="77">
        <f t="shared" ca="1" si="21"/>
        <v>1.3571491307667551E-9</v>
      </c>
      <c r="H52" s="33">
        <f ca="1">INT(G52) + _xll.RiskBinomial(1,G52-INT(G52))</f>
        <v>0</v>
      </c>
      <c r="I52" s="26">
        <f t="shared" ca="1" si="29"/>
        <v>0</v>
      </c>
      <c r="J52" s="31">
        <f ca="1">_xll.RiskBinomial(1,I52)</f>
        <v>0</v>
      </c>
      <c r="K52" s="78">
        <f ca="1">IF(J52=1,_xll.RiskBinomial(1,Prob_illness_Adv_infection),0)</f>
        <v>0</v>
      </c>
      <c r="L52" s="26"/>
      <c r="M52" s="77">
        <f t="shared" ca="1" si="2"/>
        <v>3.3705647944577846E-11</v>
      </c>
      <c r="N52" s="33">
        <f ca="1">INT(M52) + _xll.RiskBinomial(1,M52-INT(M52))</f>
        <v>0</v>
      </c>
      <c r="O52" s="26">
        <f t="shared" ca="1" si="30"/>
        <v>0</v>
      </c>
      <c r="P52" s="31">
        <f ca="1">_xll.RiskBinomial(1,O52)</f>
        <v>0</v>
      </c>
      <c r="Q52" s="78">
        <f ca="1">IF(P52=1,_xll.RiskBinomial(1,Prob_illness_Adv_infection),0)</f>
        <v>0</v>
      </c>
      <c r="R52" s="26"/>
      <c r="S52" s="77">
        <f t="shared" ca="1" si="4"/>
        <v>4.2681065393405776E-10</v>
      </c>
      <c r="T52" s="33">
        <f ca="1">INT(S52) + _xll.RiskBinomial(1,S52-INT(S52))</f>
        <v>0</v>
      </c>
      <c r="U52" s="26">
        <f t="shared" ca="1" si="31"/>
        <v>0</v>
      </c>
      <c r="V52" s="31">
        <f ca="1">_xll.RiskBinomial(1,U52)</f>
        <v>0</v>
      </c>
      <c r="W52" s="78">
        <f ca="1">IF(V52=1,_xll.RiskBinomial(1,Prob_illness_Adv_infection),0)</f>
        <v>0</v>
      </c>
      <c r="X52" s="26"/>
      <c r="Y52" s="77">
        <f t="shared" ca="1" si="6"/>
        <v>3.5499490161598253E-11</v>
      </c>
      <c r="Z52" s="33">
        <f ca="1">INT(Y52) + _xll.RiskBinomial(1,Y52-INT(Y52))</f>
        <v>0</v>
      </c>
      <c r="AA52" s="26">
        <f t="shared" ca="1" si="32"/>
        <v>0</v>
      </c>
      <c r="AB52" s="31">
        <f ca="1">_xll.RiskBinomial(1,AA52)</f>
        <v>0</v>
      </c>
      <c r="AC52" s="78">
        <f ca="1">IF(AB52=1,_xll.RiskBinomial(1,Prob_illness_Adv_infection),0)</f>
        <v>0</v>
      </c>
      <c r="AD52" s="26"/>
      <c r="AE52" s="77">
        <f t="shared" ca="1" si="8"/>
        <v>5.3310565176962417E-11</v>
      </c>
      <c r="AF52" s="33">
        <f ca="1">INT(AE52) + _xll.RiskBinomial(1,AE52-INT(AE52))</f>
        <v>0</v>
      </c>
      <c r="AG52" s="26">
        <f t="shared" ca="1" si="33"/>
        <v>0</v>
      </c>
      <c r="AH52" s="31">
        <f ca="1">_xll.RiskBinomial(1,AG52)</f>
        <v>0</v>
      </c>
      <c r="AI52" s="78">
        <f ca="1">IF(AH52=1,_xll.RiskBinomial(1,Prob_illness_Adv_infection),0)</f>
        <v>0</v>
      </c>
      <c r="AJ52" s="26"/>
      <c r="AK52" s="77">
        <f t="shared" ca="1" si="10"/>
        <v>3.4684315022941723E-10</v>
      </c>
      <c r="AL52" s="33">
        <f ca="1">INT(AK52) + _xll.RiskBinomial(1,AK52-INT(AK52))</f>
        <v>0</v>
      </c>
      <c r="AM52" s="26">
        <f t="shared" ca="1" si="34"/>
        <v>0</v>
      </c>
      <c r="AN52" s="31">
        <f ca="1">_xll.RiskBinomial(1,AM52)</f>
        <v>0</v>
      </c>
      <c r="AO52" s="78">
        <f ca="1">IF(AN52=1,_xll.RiskBinomial(1,Prob_illness_Adv_infection),0)</f>
        <v>0</v>
      </c>
      <c r="AP52" s="26"/>
      <c r="AQ52" s="77">
        <f t="shared" ca="1" si="12"/>
        <v>6.5807995703814043E-10</v>
      </c>
      <c r="AR52" s="33">
        <f ca="1">INT(AQ52) + _xll.RiskBinomial(1,AQ52-INT(AQ52))</f>
        <v>0</v>
      </c>
      <c r="AS52" s="26">
        <f t="shared" ca="1" si="35"/>
        <v>0</v>
      </c>
      <c r="AT52" s="31">
        <f ca="1">_xll.RiskBinomial(1,AS52)</f>
        <v>0</v>
      </c>
      <c r="AU52" s="78">
        <f ca="1">IF(AT52=1,_xll.RiskBinomial(1,Prob_illness_Adv_infection),0)</f>
        <v>0</v>
      </c>
      <c r="AV52" s="26"/>
      <c r="AW52" s="77">
        <f t="shared" ca="1" si="22"/>
        <v>1.1589704351874352E-11</v>
      </c>
      <c r="AX52" s="33">
        <f ca="1">INT(AW52) + _xll.RiskBinomial(1,AW52-INT(AW52))</f>
        <v>0</v>
      </c>
      <c r="AY52" s="26">
        <f t="shared" ca="1" si="36"/>
        <v>0</v>
      </c>
      <c r="AZ52" s="31">
        <f ca="1">_xll.RiskBinomial(1,AY52)</f>
        <v>0</v>
      </c>
      <c r="BA52" s="78">
        <f ca="1">IF(AZ52=1,_xll.RiskBinomial(1,Prob_illness_Adv_infection),0)</f>
        <v>0</v>
      </c>
      <c r="BC52" s="77">
        <f t="shared" ca="1" si="23"/>
        <v>5.9405868236442713E-11</v>
      </c>
      <c r="BD52" s="33">
        <f ca="1">INT(BC52) + _xll.RiskBinomial(1,BC52-INT(BC52))</f>
        <v>0</v>
      </c>
      <c r="BE52" s="26">
        <f t="shared" ca="1" si="37"/>
        <v>0</v>
      </c>
      <c r="BF52" s="31">
        <f ca="1">_xll.RiskBinomial(1,BE52)</f>
        <v>0</v>
      </c>
      <c r="BG52" s="78">
        <f ca="1">IF(BF52=1,_xll.RiskBinomial(1,Prob_illness_Adv_infection),0)</f>
        <v>0</v>
      </c>
      <c r="BI52" s="77">
        <f t="shared" ca="1" si="24"/>
        <v>2.7664210644481985E-11</v>
      </c>
      <c r="BJ52" s="33">
        <f ca="1">INT(BI52) + _xll.RiskBinomial(1,BI52-INT(BI52))</f>
        <v>0</v>
      </c>
      <c r="BK52" s="26">
        <f t="shared" ca="1" si="38"/>
        <v>0</v>
      </c>
      <c r="BL52" s="31">
        <f ca="1">_xll.RiskBinomial(1,BK52)</f>
        <v>0</v>
      </c>
      <c r="BM52" s="78">
        <f ca="1">IF(BL52=1,_xll.RiskBinomial(1,Prob_illness_Adv_infection),0)</f>
        <v>0</v>
      </c>
      <c r="BO52" s="77">
        <f t="shared" ca="1" si="25"/>
        <v>5.9810245336749535E-11</v>
      </c>
      <c r="BP52" s="33">
        <f ca="1">INT(BO52) + _xll.RiskBinomial(1,BO52-INT(BO52))</f>
        <v>0</v>
      </c>
      <c r="BQ52" s="26">
        <f t="shared" ca="1" si="39"/>
        <v>0</v>
      </c>
      <c r="BR52" s="31">
        <f ca="1">_xll.RiskBinomial(1,BQ52)</f>
        <v>0</v>
      </c>
      <c r="BS52" s="78">
        <f ca="1">IF(BR52=1,_xll.RiskBinomial(1,Prob_illness_Adv_infection),0)</f>
        <v>0</v>
      </c>
      <c r="BU52" s="77">
        <f t="shared" ca="1" si="26"/>
        <v>4.273457290418464E-13</v>
      </c>
      <c r="BV52" s="33">
        <f ca="1">INT(BU52) + _xll.RiskBinomial(1,BU52-INT(BU52))</f>
        <v>0</v>
      </c>
      <c r="BW52" s="26">
        <f t="shared" ca="1" si="40"/>
        <v>0</v>
      </c>
      <c r="BX52" s="31">
        <f ca="1">_xll.RiskBinomial(1,BW52)</f>
        <v>0</v>
      </c>
      <c r="BY52" s="78">
        <f ca="1">IF(BX52=1,_xll.RiskBinomial(1,Prob_illness_Adv_infection),0)</f>
        <v>0</v>
      </c>
      <c r="CA52" s="77">
        <f t="shared" ca="1" si="27"/>
        <v>6.484386669534082E-11</v>
      </c>
      <c r="CB52" s="33">
        <f ca="1">INT(CA52) + _xll.RiskBinomial(1,CA52-INT(CA52))</f>
        <v>0</v>
      </c>
      <c r="CC52" s="26">
        <f t="shared" ca="1" si="41"/>
        <v>0</v>
      </c>
      <c r="CD52" s="31">
        <f ca="1">_xll.RiskBinomial(1,CC52)</f>
        <v>0</v>
      </c>
      <c r="CE52" s="78">
        <f ca="1">IF(CD52=1,_xll.RiskBinomial(1,Prob_illness_Adv_infection),0)</f>
        <v>0</v>
      </c>
      <c r="CG52" s="77" t="e">
        <f t="shared" ca="1" si="28"/>
        <v>#VALUE!</v>
      </c>
      <c r="CH52" s="33" t="e">
        <f ca="1">INT(CG52) + _xll.RiskBinomial(1,CG52-INT(CG52))</f>
        <v>#VALUE!</v>
      </c>
      <c r="CI52" s="26" t="e">
        <f t="shared" ca="1" si="42"/>
        <v>#VALUE!</v>
      </c>
      <c r="CJ52" s="31" t="e">
        <f ca="1">_xll.RiskBinomial(1,CI52)</f>
        <v>#VALUE!</v>
      </c>
      <c r="CK52" s="78" t="e">
        <f ca="1">IF(CJ52=1,_xll.RiskBinomial(1,Prob_illness_Adv_infection),0)</f>
        <v>#VALUE!</v>
      </c>
    </row>
    <row r="53" spans="2:89" x14ac:dyDescent="0.2">
      <c r="B53" s="97">
        <v>45</v>
      </c>
      <c r="C53" s="100">
        <f ca="1" xml:space="preserve"> _xll.RiskPert(Dur_event_hours_min,Dur_event_hours_mode,Dur_event_hours_max)</f>
        <v>0.95774695748787964</v>
      </c>
      <c r="D53" s="26">
        <f ca="1">_xll.RiskPert(Primary_Ing_Rate_mL_per_hour_min,Primary_Ing_Rate_mL_per_hour_mode,Primary_Ing_Rate_mL_per_hour_max)</f>
        <v>9.1351055237943033</v>
      </c>
      <c r="E53" s="34">
        <f t="shared" ca="1" si="0"/>
        <v>8.7491195217447171</v>
      </c>
      <c r="F53" s="26"/>
      <c r="G53" s="77">
        <f t="shared" ca="1" si="21"/>
        <v>8.032979307715739E-10</v>
      </c>
      <c r="H53" s="33">
        <f ca="1">INT(G53) + _xll.RiskBinomial(1,G53-INT(G53))</f>
        <v>0</v>
      </c>
      <c r="I53" s="26">
        <f t="shared" ca="1" si="29"/>
        <v>0</v>
      </c>
      <c r="J53" s="31">
        <f ca="1">_xll.RiskBinomial(1,I53)</f>
        <v>0</v>
      </c>
      <c r="K53" s="78">
        <f ca="1">IF(J53=1,_xll.RiskBinomial(1,Prob_illness_Adv_infection),0)</f>
        <v>0</v>
      </c>
      <c r="L53" s="26"/>
      <c r="M53" s="77">
        <f t="shared" ca="1" si="2"/>
        <v>1.9950406801570479E-11</v>
      </c>
      <c r="N53" s="33">
        <f ca="1">INT(M53) + _xll.RiskBinomial(1,M53-INT(M53))</f>
        <v>0</v>
      </c>
      <c r="O53" s="26">
        <f t="shared" ca="1" si="30"/>
        <v>0</v>
      </c>
      <c r="P53" s="31">
        <f ca="1">_xll.RiskBinomial(1,O53)</f>
        <v>0</v>
      </c>
      <c r="Q53" s="78">
        <f ca="1">IF(P53=1,_xll.RiskBinomial(1,Prob_illness_Adv_infection),0)</f>
        <v>0</v>
      </c>
      <c r="R53" s="26"/>
      <c r="S53" s="77">
        <f t="shared" ca="1" si="4"/>
        <v>2.5262965385593689E-10</v>
      </c>
      <c r="T53" s="33">
        <f ca="1">INT(S53) + _xll.RiskBinomial(1,S53-INT(S53))</f>
        <v>0</v>
      </c>
      <c r="U53" s="26">
        <f t="shared" ca="1" si="31"/>
        <v>0</v>
      </c>
      <c r="V53" s="31">
        <f ca="1">_xll.RiskBinomial(1,U53)</f>
        <v>0</v>
      </c>
      <c r="W53" s="78">
        <f ca="1">IF(V53=1,_xll.RiskBinomial(1,Prob_illness_Adv_infection),0)</f>
        <v>0</v>
      </c>
      <c r="X53" s="26"/>
      <c r="Y53" s="77">
        <f t="shared" ca="1" si="6"/>
        <v>2.1012183807793118E-11</v>
      </c>
      <c r="Z53" s="33">
        <f ca="1">INT(Y53) + _xll.RiskBinomial(1,Y53-INT(Y53))</f>
        <v>0</v>
      </c>
      <c r="AA53" s="26">
        <f t="shared" ca="1" si="32"/>
        <v>0</v>
      </c>
      <c r="AB53" s="31">
        <f ca="1">_xll.RiskBinomial(1,AA53)</f>
        <v>0</v>
      </c>
      <c r="AC53" s="78">
        <f ca="1">IF(AB53=1,_xll.RiskBinomial(1,Prob_illness_Adv_infection),0)</f>
        <v>0</v>
      </c>
      <c r="AD53" s="26"/>
      <c r="AE53" s="77">
        <f t="shared" ca="1" si="8"/>
        <v>3.1554576961429727E-11</v>
      </c>
      <c r="AF53" s="33">
        <f ca="1">INT(AE53) + _xll.RiskBinomial(1,AE53-INT(AE53))</f>
        <v>0</v>
      </c>
      <c r="AG53" s="26">
        <f t="shared" ca="1" si="33"/>
        <v>0</v>
      </c>
      <c r="AH53" s="31">
        <f ca="1">_xll.RiskBinomial(1,AG53)</f>
        <v>0</v>
      </c>
      <c r="AI53" s="78">
        <f ca="1">IF(AH53=1,_xll.RiskBinomial(1,Prob_illness_Adv_infection),0)</f>
        <v>0</v>
      </c>
      <c r="AJ53" s="26"/>
      <c r="AK53" s="77">
        <f t="shared" ca="1" si="10"/>
        <v>2.0529680826172186E-10</v>
      </c>
      <c r="AL53" s="33">
        <f ca="1">INT(AK53) + _xll.RiskBinomial(1,AK53-INT(AK53))</f>
        <v>0</v>
      </c>
      <c r="AM53" s="26">
        <f t="shared" ca="1" si="34"/>
        <v>0</v>
      </c>
      <c r="AN53" s="31">
        <f ca="1">_xll.RiskBinomial(1,AM53)</f>
        <v>0</v>
      </c>
      <c r="AO53" s="78">
        <f ca="1">IF(AN53=1,_xll.RiskBinomial(1,Prob_illness_Adv_infection),0)</f>
        <v>0</v>
      </c>
      <c r="AP53" s="26"/>
      <c r="AQ53" s="77">
        <f t="shared" ca="1" si="12"/>
        <v>3.8951818616449276E-10</v>
      </c>
      <c r="AR53" s="33">
        <f ca="1">INT(AQ53) + _xll.RiskBinomial(1,AQ53-INT(AQ53))</f>
        <v>0</v>
      </c>
      <c r="AS53" s="26">
        <f t="shared" ca="1" si="35"/>
        <v>0</v>
      </c>
      <c r="AT53" s="31">
        <f ca="1">_xll.RiskBinomial(1,AS53)</f>
        <v>0</v>
      </c>
      <c r="AU53" s="78">
        <f ca="1">IF(AT53=1,_xll.RiskBinomial(1,Prob_illness_Adv_infection),0)</f>
        <v>0</v>
      </c>
      <c r="AV53" s="26"/>
      <c r="AW53" s="77">
        <f t="shared" ca="1" si="22"/>
        <v>6.8599576222364486E-12</v>
      </c>
      <c r="AX53" s="33">
        <f ca="1">INT(AW53) + _xll.RiskBinomial(1,AW53-INT(AW53))</f>
        <v>0</v>
      </c>
      <c r="AY53" s="26">
        <f t="shared" ca="1" si="36"/>
        <v>0</v>
      </c>
      <c r="AZ53" s="31">
        <f ca="1">_xll.RiskBinomial(1,AY53)</f>
        <v>0</v>
      </c>
      <c r="BA53" s="78">
        <f ca="1">IF(AZ53=1,_xll.RiskBinomial(1,Prob_illness_Adv_infection),0)</f>
        <v>0</v>
      </c>
      <c r="BC53" s="77">
        <f t="shared" ca="1" si="23"/>
        <v>3.5162392951659077E-11</v>
      </c>
      <c r="BD53" s="33">
        <f ca="1">INT(BC53) + _xll.RiskBinomial(1,BC53-INT(BC53))</f>
        <v>0</v>
      </c>
      <c r="BE53" s="26">
        <f t="shared" ca="1" si="37"/>
        <v>0</v>
      </c>
      <c r="BF53" s="31">
        <f ca="1">_xll.RiskBinomial(1,BE53)</f>
        <v>0</v>
      </c>
      <c r="BG53" s="78">
        <f ca="1">IF(BF53=1,_xll.RiskBinomial(1,Prob_illness_Adv_infection),0)</f>
        <v>0</v>
      </c>
      <c r="BI53" s="77">
        <f t="shared" ca="1" si="24"/>
        <v>1.6374474008310433E-11</v>
      </c>
      <c r="BJ53" s="33">
        <f ca="1">INT(BI53) + _xll.RiskBinomial(1,BI53-INT(BI53))</f>
        <v>0</v>
      </c>
      <c r="BK53" s="26">
        <f t="shared" ca="1" si="38"/>
        <v>0</v>
      </c>
      <c r="BL53" s="31">
        <f ca="1">_xll.RiskBinomial(1,BK53)</f>
        <v>0</v>
      </c>
      <c r="BM53" s="78">
        <f ca="1">IF(BL53=1,_xll.RiskBinomial(1,Prob_illness_Adv_infection),0)</f>
        <v>0</v>
      </c>
      <c r="BO53" s="77">
        <f t="shared" ca="1" si="25"/>
        <v>3.54017441626379E-11</v>
      </c>
      <c r="BP53" s="33">
        <f ca="1">INT(BO53) + _xll.RiskBinomial(1,BO53-INT(BO53))</f>
        <v>0</v>
      </c>
      <c r="BQ53" s="26">
        <f t="shared" ca="1" si="39"/>
        <v>0</v>
      </c>
      <c r="BR53" s="31">
        <f ca="1">_xll.RiskBinomial(1,BQ53)</f>
        <v>0</v>
      </c>
      <c r="BS53" s="78">
        <f ca="1">IF(BR53=1,_xll.RiskBinomial(1,Prob_illness_Adv_infection),0)</f>
        <v>0</v>
      </c>
      <c r="BU53" s="77">
        <f t="shared" ca="1" si="26"/>
        <v>2.5294636534854277E-13</v>
      </c>
      <c r="BV53" s="33">
        <f ca="1">INT(BU53) + _xll.RiskBinomial(1,BU53-INT(BU53))</f>
        <v>0</v>
      </c>
      <c r="BW53" s="26">
        <f t="shared" ca="1" si="40"/>
        <v>0</v>
      </c>
      <c r="BX53" s="31">
        <f ca="1">_xll.RiskBinomial(1,BW53)</f>
        <v>0</v>
      </c>
      <c r="BY53" s="78">
        <f ca="1">IF(BX53=1,_xll.RiskBinomial(1,Prob_illness_Adv_infection),0)</f>
        <v>0</v>
      </c>
      <c r="CA53" s="77">
        <f t="shared" ca="1" si="27"/>
        <v>3.8381149689987356E-11</v>
      </c>
      <c r="CB53" s="33">
        <f ca="1">INT(CA53) + _xll.RiskBinomial(1,CA53-INT(CA53))</f>
        <v>0</v>
      </c>
      <c r="CC53" s="26">
        <f t="shared" ca="1" si="41"/>
        <v>0</v>
      </c>
      <c r="CD53" s="31">
        <f ca="1">_xll.RiskBinomial(1,CC53)</f>
        <v>0</v>
      </c>
      <c r="CE53" s="78">
        <f ca="1">IF(CD53=1,_xll.RiskBinomial(1,Prob_illness_Adv_infection),0)</f>
        <v>0</v>
      </c>
      <c r="CG53" s="77" t="e">
        <f t="shared" ca="1" si="28"/>
        <v>#VALUE!</v>
      </c>
      <c r="CH53" s="33" t="e">
        <f ca="1">INT(CG53) + _xll.RiskBinomial(1,CG53-INT(CG53))</f>
        <v>#VALUE!</v>
      </c>
      <c r="CI53" s="26" t="e">
        <f t="shared" ca="1" si="42"/>
        <v>#VALUE!</v>
      </c>
      <c r="CJ53" s="31" t="e">
        <f ca="1">_xll.RiskBinomial(1,CI53)</f>
        <v>#VALUE!</v>
      </c>
      <c r="CK53" s="78" t="e">
        <f ca="1">IF(CJ53=1,_xll.RiskBinomial(1,Prob_illness_Adv_infection),0)</f>
        <v>#VALUE!</v>
      </c>
    </row>
    <row r="54" spans="2:89" x14ac:dyDescent="0.2">
      <c r="B54" s="97">
        <v>46</v>
      </c>
      <c r="C54" s="100">
        <f ca="1" xml:space="preserve"> _xll.RiskPert(Dur_event_hours_min,Dur_event_hours_mode,Dur_event_hours_max)</f>
        <v>0.99026147246264973</v>
      </c>
      <c r="D54" s="26">
        <f ca="1">_xll.RiskPert(Primary_Ing_Rate_mL_per_hour_min,Primary_Ing_Rate_mL_per_hour_mode,Primary_Ing_Rate_mL_per_hour_max)</f>
        <v>15.915438942651166</v>
      </c>
      <c r="E54" s="34">
        <f t="shared" ca="1" si="0"/>
        <v>15.76044600223914</v>
      </c>
      <c r="F54" s="26"/>
      <c r="G54" s="77">
        <f t="shared" ca="1" si="21"/>
        <v>1.4470408856765906E-9</v>
      </c>
      <c r="H54" s="33">
        <f ca="1">INT(G54) + _xll.RiskBinomial(1,G54-INT(G54))</f>
        <v>0</v>
      </c>
      <c r="I54" s="26">
        <f t="shared" ca="1" si="29"/>
        <v>0</v>
      </c>
      <c r="J54" s="31">
        <f ca="1">_xll.RiskBinomial(1,I54)</f>
        <v>0</v>
      </c>
      <c r="K54" s="78">
        <f ca="1">IF(J54=1,_xll.RiskBinomial(1,Prob_illness_Adv_infection),0)</f>
        <v>0</v>
      </c>
      <c r="L54" s="26"/>
      <c r="M54" s="77">
        <f t="shared" ca="1" si="2"/>
        <v>3.5938165930570591E-11</v>
      </c>
      <c r="N54" s="33">
        <f ca="1">INT(M54) + _xll.RiskBinomial(1,M54-INT(M54))</f>
        <v>0</v>
      </c>
      <c r="O54" s="26">
        <f t="shared" ca="1" si="30"/>
        <v>0</v>
      </c>
      <c r="P54" s="31">
        <f ca="1">_xll.RiskBinomial(1,O54)</f>
        <v>0</v>
      </c>
      <c r="Q54" s="78">
        <f ca="1">IF(P54=1,_xll.RiskBinomial(1,Prob_illness_Adv_infection),0)</f>
        <v>0</v>
      </c>
      <c r="R54" s="26"/>
      <c r="S54" s="77">
        <f t="shared" ca="1" si="4"/>
        <v>4.5508076650058963E-10</v>
      </c>
      <c r="T54" s="33">
        <f ca="1">INT(S54) + _xll.RiskBinomial(1,S54-INT(S54))</f>
        <v>0</v>
      </c>
      <c r="U54" s="26">
        <f t="shared" ca="1" si="31"/>
        <v>0</v>
      </c>
      <c r="V54" s="31">
        <f ca="1">_xll.RiskBinomial(1,U54)</f>
        <v>0</v>
      </c>
      <c r="W54" s="78">
        <f ca="1">IF(V54=1,_xll.RiskBinomial(1,Prob_illness_Adv_infection),0)</f>
        <v>0</v>
      </c>
      <c r="X54" s="26"/>
      <c r="Y54" s="77">
        <f t="shared" ca="1" si="6"/>
        <v>3.7850824585124431E-11</v>
      </c>
      <c r="Z54" s="33">
        <f ca="1">INT(Y54) + _xll.RiskBinomial(1,Y54-INT(Y54))</f>
        <v>0</v>
      </c>
      <c r="AA54" s="26">
        <f t="shared" ca="1" si="32"/>
        <v>0</v>
      </c>
      <c r="AB54" s="31">
        <f ca="1">_xll.RiskBinomial(1,AA54)</f>
        <v>0</v>
      </c>
      <c r="AC54" s="78">
        <f ca="1">IF(AB54=1,_xll.RiskBinomial(1,Prob_illness_Adv_infection),0)</f>
        <v>0</v>
      </c>
      <c r="AD54" s="26"/>
      <c r="AE54" s="77">
        <f t="shared" ca="1" si="8"/>
        <v>5.6841629044855004E-11</v>
      </c>
      <c r="AF54" s="33">
        <f ca="1">INT(AE54) + _xll.RiskBinomial(1,AE54-INT(AE54))</f>
        <v>0</v>
      </c>
      <c r="AG54" s="26">
        <f t="shared" ca="1" si="33"/>
        <v>0</v>
      </c>
      <c r="AH54" s="31">
        <f ca="1">_xll.RiskBinomial(1,AG54)</f>
        <v>0</v>
      </c>
      <c r="AI54" s="78">
        <f ca="1">IF(AH54=1,_xll.RiskBinomial(1,Prob_illness_Adv_infection),0)</f>
        <v>0</v>
      </c>
      <c r="AJ54" s="26"/>
      <c r="AK54" s="77">
        <f t="shared" ca="1" si="10"/>
        <v>3.6981655731177902E-10</v>
      </c>
      <c r="AL54" s="33">
        <f ca="1">INT(AK54) + _xll.RiskBinomial(1,AK54-INT(AK54))</f>
        <v>0</v>
      </c>
      <c r="AM54" s="26">
        <f t="shared" ca="1" si="34"/>
        <v>0</v>
      </c>
      <c r="AN54" s="31">
        <f ca="1">_xll.RiskBinomial(1,AM54)</f>
        <v>0</v>
      </c>
      <c r="AO54" s="78">
        <f ca="1">IF(AN54=1,_xll.RiskBinomial(1,Prob_illness_Adv_infection),0)</f>
        <v>0</v>
      </c>
      <c r="AP54" s="26"/>
      <c r="AQ54" s="77">
        <f t="shared" ca="1" si="12"/>
        <v>7.0166835927638669E-10</v>
      </c>
      <c r="AR54" s="33">
        <f ca="1">INT(AQ54) + _xll.RiskBinomial(1,AQ54-INT(AQ54))</f>
        <v>0</v>
      </c>
      <c r="AS54" s="26">
        <f t="shared" ca="1" si="35"/>
        <v>0</v>
      </c>
      <c r="AT54" s="31">
        <f ca="1">_xll.RiskBinomial(1,AS54)</f>
        <v>0</v>
      </c>
      <c r="AU54" s="78">
        <f ca="1">IF(AT54=1,_xll.RiskBinomial(1,Prob_illness_Adv_infection),0)</f>
        <v>0</v>
      </c>
      <c r="AV54" s="26"/>
      <c r="AW54" s="77">
        <f t="shared" ca="1" si="22"/>
        <v>1.2357356807642087E-11</v>
      </c>
      <c r="AX54" s="33">
        <f ca="1">INT(AW54) + _xll.RiskBinomial(1,AW54-INT(AW54))</f>
        <v>0</v>
      </c>
      <c r="AY54" s="26">
        <f t="shared" ca="1" si="36"/>
        <v>0</v>
      </c>
      <c r="AZ54" s="31">
        <f ca="1">_xll.RiskBinomial(1,AY54)</f>
        <v>0</v>
      </c>
      <c r="BA54" s="78">
        <f ca="1">IF(AZ54=1,_xll.RiskBinomial(1,Prob_illness_Adv_infection),0)</f>
        <v>0</v>
      </c>
      <c r="BC54" s="77">
        <f t="shared" ca="1" si="23"/>
        <v>6.3340658913941276E-11</v>
      </c>
      <c r="BD54" s="33">
        <f ca="1">INT(BC54) + _xll.RiskBinomial(1,BC54-INT(BC54))</f>
        <v>0</v>
      </c>
      <c r="BE54" s="26">
        <f t="shared" ca="1" si="37"/>
        <v>0</v>
      </c>
      <c r="BF54" s="31">
        <f ca="1">_xll.RiskBinomial(1,BE54)</f>
        <v>0</v>
      </c>
      <c r="BG54" s="78">
        <f ca="1">IF(BF54=1,_xll.RiskBinomial(1,Prob_illness_Adv_infection),0)</f>
        <v>0</v>
      </c>
      <c r="BI54" s="77">
        <f t="shared" ca="1" si="24"/>
        <v>2.9496569658426803E-11</v>
      </c>
      <c r="BJ54" s="33">
        <f ca="1">INT(BI54) + _xll.RiskBinomial(1,BI54-INT(BI54))</f>
        <v>0</v>
      </c>
      <c r="BK54" s="26">
        <f t="shared" ca="1" si="38"/>
        <v>0</v>
      </c>
      <c r="BL54" s="31">
        <f ca="1">_xll.RiskBinomial(1,BK54)</f>
        <v>0</v>
      </c>
      <c r="BM54" s="78">
        <f ca="1">IF(BL54=1,_xll.RiskBinomial(1,Prob_illness_Adv_infection),0)</f>
        <v>0</v>
      </c>
      <c r="BO54" s="77">
        <f t="shared" ca="1" si="25"/>
        <v>6.3771820224153894E-11</v>
      </c>
      <c r="BP54" s="33">
        <f ca="1">INT(BO54) + _xll.RiskBinomial(1,BO54-INT(BO54))</f>
        <v>0</v>
      </c>
      <c r="BQ54" s="26">
        <f t="shared" ca="1" si="39"/>
        <v>0</v>
      </c>
      <c r="BR54" s="31">
        <f ca="1">_xll.RiskBinomial(1,BQ54)</f>
        <v>0</v>
      </c>
      <c r="BS54" s="78">
        <f ca="1">IF(BR54=1,_xll.RiskBinomial(1,Prob_illness_Adv_infection),0)</f>
        <v>0</v>
      </c>
      <c r="BU54" s="77">
        <f t="shared" ca="1" si="26"/>
        <v>4.5565128269540201E-13</v>
      </c>
      <c r="BV54" s="33">
        <f ca="1">INT(BU54) + _xll.RiskBinomial(1,BU54-INT(BU54))</f>
        <v>0</v>
      </c>
      <c r="BW54" s="26">
        <f t="shared" ca="1" si="40"/>
        <v>0</v>
      </c>
      <c r="BX54" s="31">
        <f ca="1">_xll.RiskBinomial(1,BW54)</f>
        <v>0</v>
      </c>
      <c r="BY54" s="78">
        <f ca="1">IF(BX54=1,_xll.RiskBinomial(1,Prob_illness_Adv_infection),0)</f>
        <v>0</v>
      </c>
      <c r="CA54" s="77">
        <f t="shared" ca="1" si="27"/>
        <v>6.9138847136503109E-11</v>
      </c>
      <c r="CB54" s="33">
        <f ca="1">INT(CA54) + _xll.RiskBinomial(1,CA54-INT(CA54))</f>
        <v>0</v>
      </c>
      <c r="CC54" s="26">
        <f t="shared" ca="1" si="41"/>
        <v>0</v>
      </c>
      <c r="CD54" s="31">
        <f ca="1">_xll.RiskBinomial(1,CC54)</f>
        <v>0</v>
      </c>
      <c r="CE54" s="78">
        <f ca="1">IF(CD54=1,_xll.RiskBinomial(1,Prob_illness_Adv_infection),0)</f>
        <v>0</v>
      </c>
      <c r="CG54" s="77" t="e">
        <f t="shared" ca="1" si="28"/>
        <v>#VALUE!</v>
      </c>
      <c r="CH54" s="33" t="e">
        <f ca="1">INT(CG54) + _xll.RiskBinomial(1,CG54-INT(CG54))</f>
        <v>#VALUE!</v>
      </c>
      <c r="CI54" s="26" t="e">
        <f t="shared" ca="1" si="42"/>
        <v>#VALUE!</v>
      </c>
      <c r="CJ54" s="31" t="e">
        <f ca="1">_xll.RiskBinomial(1,CI54)</f>
        <v>#VALUE!</v>
      </c>
      <c r="CK54" s="78" t="e">
        <f ca="1">IF(CJ54=1,_xll.RiskBinomial(1,Prob_illness_Adv_infection),0)</f>
        <v>#VALUE!</v>
      </c>
    </row>
    <row r="55" spans="2:89" x14ac:dyDescent="0.2">
      <c r="B55" s="97">
        <v>47</v>
      </c>
      <c r="C55" s="100">
        <f ca="1" xml:space="preserve"> _xll.RiskPert(Dur_event_hours_min,Dur_event_hours_mode,Dur_event_hours_max)</f>
        <v>1.0810230147676605</v>
      </c>
      <c r="D55" s="26">
        <f ca="1">_xll.RiskPert(Primary_Ing_Rate_mL_per_hour_min,Primary_Ing_Rate_mL_per_hour_mode,Primary_Ing_Rate_mL_per_hour_max)</f>
        <v>6.1310446835194554</v>
      </c>
      <c r="E55" s="34">
        <f t="shared" ca="1" si="0"/>
        <v>6.6278004074534387</v>
      </c>
      <c r="F55" s="26"/>
      <c r="G55" s="77">
        <f t="shared" ca="1" si="21"/>
        <v>6.0852961713942036E-10</v>
      </c>
      <c r="H55" s="33">
        <f ca="1">INT(G55) + _xll.RiskBinomial(1,G55-INT(G55))</f>
        <v>0</v>
      </c>
      <c r="I55" s="26">
        <f t="shared" ca="1" si="29"/>
        <v>0</v>
      </c>
      <c r="J55" s="31">
        <f ca="1">_xll.RiskBinomial(1,I55)</f>
        <v>0</v>
      </c>
      <c r="K55" s="78">
        <f ca="1">IF(J55=1,_xll.RiskBinomial(1,Prob_illness_Adv_infection),0)</f>
        <v>0</v>
      </c>
      <c r="L55" s="26"/>
      <c r="M55" s="77">
        <f t="shared" ca="1" si="2"/>
        <v>1.5113213849654027E-11</v>
      </c>
      <c r="N55" s="33">
        <f ca="1">INT(M55) + _xll.RiskBinomial(1,M55-INT(M55))</f>
        <v>0</v>
      </c>
      <c r="O55" s="26">
        <f t="shared" ca="1" si="30"/>
        <v>0</v>
      </c>
      <c r="P55" s="31">
        <f ca="1">_xll.RiskBinomial(1,O55)</f>
        <v>0</v>
      </c>
      <c r="Q55" s="78">
        <f ca="1">IF(P55=1,_xll.RiskBinomial(1,Prob_illness_Adv_infection),0)</f>
        <v>0</v>
      </c>
      <c r="R55" s="26"/>
      <c r="S55" s="77">
        <f t="shared" ca="1" si="4"/>
        <v>1.9137684867600266E-10</v>
      </c>
      <c r="T55" s="33">
        <f ca="1">INT(S55) + _xll.RiskBinomial(1,S55-INT(S55))</f>
        <v>0</v>
      </c>
      <c r="U55" s="26">
        <f t="shared" ca="1" si="31"/>
        <v>0</v>
      </c>
      <c r="V55" s="31">
        <f ca="1">_xll.RiskBinomial(1,U55)</f>
        <v>0</v>
      </c>
      <c r="W55" s="78">
        <f ca="1">IF(V55=1,_xll.RiskBinomial(1,Prob_illness_Adv_infection),0)</f>
        <v>0</v>
      </c>
      <c r="X55" s="26"/>
      <c r="Y55" s="77">
        <f t="shared" ca="1" si="6"/>
        <v>1.5917551481226784E-11</v>
      </c>
      <c r="Z55" s="33">
        <f ca="1">INT(Y55) + _xll.RiskBinomial(1,Y55-INT(Y55))</f>
        <v>0</v>
      </c>
      <c r="AA55" s="26">
        <f t="shared" ca="1" si="32"/>
        <v>0</v>
      </c>
      <c r="AB55" s="31">
        <f ca="1">_xll.RiskBinomial(1,AA55)</f>
        <v>0</v>
      </c>
      <c r="AC55" s="78">
        <f ca="1">IF(AB55=1,_xll.RiskBinomial(1,Prob_illness_Adv_infection),0)</f>
        <v>0</v>
      </c>
      <c r="AD55" s="26"/>
      <c r="AE55" s="77">
        <f t="shared" ca="1" si="8"/>
        <v>2.3903826839055393E-11</v>
      </c>
      <c r="AF55" s="33">
        <f ca="1">INT(AE55) + _xll.RiskBinomial(1,AE55-INT(AE55))</f>
        <v>0</v>
      </c>
      <c r="AG55" s="26">
        <f t="shared" ca="1" si="33"/>
        <v>0</v>
      </c>
      <c r="AH55" s="31">
        <f ca="1">_xll.RiskBinomial(1,AG55)</f>
        <v>0</v>
      </c>
      <c r="AI55" s="78">
        <f ca="1">IF(AH55=1,_xll.RiskBinomial(1,Prob_illness_Adv_infection),0)</f>
        <v>0</v>
      </c>
      <c r="AJ55" s="26"/>
      <c r="AK55" s="77">
        <f t="shared" ca="1" si="10"/>
        <v>1.5552036591387102E-10</v>
      </c>
      <c r="AL55" s="33">
        <f ca="1">INT(AK55) + _xll.RiskBinomial(1,AK55-INT(AK55))</f>
        <v>0</v>
      </c>
      <c r="AM55" s="26">
        <f t="shared" ca="1" si="34"/>
        <v>0</v>
      </c>
      <c r="AN55" s="31">
        <f ca="1">_xll.RiskBinomial(1,AM55)</f>
        <v>0</v>
      </c>
      <c r="AO55" s="78">
        <f ca="1">IF(AN55=1,_xll.RiskBinomial(1,Prob_illness_Adv_infection),0)</f>
        <v>0</v>
      </c>
      <c r="AP55" s="26"/>
      <c r="AQ55" s="77">
        <f t="shared" ca="1" si="12"/>
        <v>2.9507526860905501E-10</v>
      </c>
      <c r="AR55" s="33">
        <f ca="1">INT(AQ55) + _xll.RiskBinomial(1,AQ55-INT(AQ55))</f>
        <v>0</v>
      </c>
      <c r="AS55" s="26">
        <f t="shared" ca="1" si="35"/>
        <v>0</v>
      </c>
      <c r="AT55" s="31">
        <f ca="1">_xll.RiskBinomial(1,AS55)</f>
        <v>0</v>
      </c>
      <c r="AU55" s="78">
        <f ca="1">IF(AT55=1,_xll.RiskBinomial(1,Prob_illness_Adv_infection),0)</f>
        <v>0</v>
      </c>
      <c r="AV55" s="26"/>
      <c r="AW55" s="77">
        <f t="shared" ca="1" si="22"/>
        <v>5.1966863420680888E-12</v>
      </c>
      <c r="AX55" s="33">
        <f ca="1">INT(AW55) + _xll.RiskBinomial(1,AW55-INT(AW55))</f>
        <v>0</v>
      </c>
      <c r="AY55" s="26">
        <f t="shared" ca="1" si="36"/>
        <v>0</v>
      </c>
      <c r="AZ55" s="31">
        <f ca="1">_xll.RiskBinomial(1,AY55)</f>
        <v>0</v>
      </c>
      <c r="BA55" s="78">
        <f ca="1">IF(AZ55=1,_xll.RiskBinomial(1,Prob_illness_Adv_infection),0)</f>
        <v>0</v>
      </c>
      <c r="BC55" s="77">
        <f t="shared" ca="1" si="23"/>
        <v>2.6636888632374077E-11</v>
      </c>
      <c r="BD55" s="33">
        <f ca="1">INT(BC55) + _xll.RiskBinomial(1,BC55-INT(BC55))</f>
        <v>0</v>
      </c>
      <c r="BE55" s="26">
        <f t="shared" ca="1" si="37"/>
        <v>0</v>
      </c>
      <c r="BF55" s="31">
        <f ca="1">_xll.RiskBinomial(1,BE55)</f>
        <v>0</v>
      </c>
      <c r="BG55" s="78">
        <f ca="1">IF(BF55=1,_xll.RiskBinomial(1,Prob_illness_Adv_infection),0)</f>
        <v>0</v>
      </c>
      <c r="BI55" s="77">
        <f t="shared" ca="1" si="24"/>
        <v>1.240430482568989E-11</v>
      </c>
      <c r="BJ55" s="33">
        <f ca="1">INT(BI55) + _xll.RiskBinomial(1,BI55-INT(BI55))</f>
        <v>0</v>
      </c>
      <c r="BK55" s="26">
        <f t="shared" ca="1" si="38"/>
        <v>0</v>
      </c>
      <c r="BL55" s="31">
        <f ca="1">_xll.RiskBinomial(1,BK55)</f>
        <v>0</v>
      </c>
      <c r="BM55" s="78">
        <f ca="1">IF(BL55=1,_xll.RiskBinomial(1,Prob_illness_Adv_infection),0)</f>
        <v>0</v>
      </c>
      <c r="BO55" s="77">
        <f t="shared" ca="1" si="25"/>
        <v>2.6818206540959873E-11</v>
      </c>
      <c r="BP55" s="33">
        <f ca="1">INT(BO55) + _xll.RiskBinomial(1,BO55-INT(BO55))</f>
        <v>0</v>
      </c>
      <c r="BQ55" s="26">
        <f t="shared" ca="1" si="39"/>
        <v>0</v>
      </c>
      <c r="BR55" s="31">
        <f ca="1">_xll.RiskBinomial(1,BQ55)</f>
        <v>0</v>
      </c>
      <c r="BS55" s="78">
        <f ca="1">IF(BR55=1,_xll.RiskBinomial(1,Prob_illness_Adv_infection),0)</f>
        <v>0</v>
      </c>
      <c r="BU55" s="77">
        <f t="shared" ca="1" si="26"/>
        <v>1.9161677002517633E-13</v>
      </c>
      <c r="BV55" s="33">
        <f ca="1">INT(BU55) + _xll.RiskBinomial(1,BU55-INT(BU55))</f>
        <v>0</v>
      </c>
      <c r="BW55" s="26">
        <f t="shared" ca="1" si="40"/>
        <v>0</v>
      </c>
      <c r="BX55" s="31">
        <f ca="1">_xll.RiskBinomial(1,BW55)</f>
        <v>0</v>
      </c>
      <c r="BY55" s="78">
        <f ca="1">IF(BX55=1,_xll.RiskBinomial(1,Prob_illness_Adv_infection),0)</f>
        <v>0</v>
      </c>
      <c r="CA55" s="77">
        <f t="shared" ca="1" si="27"/>
        <v>2.9075222817747218E-11</v>
      </c>
      <c r="CB55" s="33">
        <f ca="1">INT(CA55) + _xll.RiskBinomial(1,CA55-INT(CA55))</f>
        <v>0</v>
      </c>
      <c r="CC55" s="26">
        <f t="shared" ca="1" si="41"/>
        <v>0</v>
      </c>
      <c r="CD55" s="31">
        <f ca="1">_xll.RiskBinomial(1,CC55)</f>
        <v>0</v>
      </c>
      <c r="CE55" s="78">
        <f ca="1">IF(CD55=1,_xll.RiskBinomial(1,Prob_illness_Adv_infection),0)</f>
        <v>0</v>
      </c>
      <c r="CG55" s="77" t="e">
        <f t="shared" ca="1" si="28"/>
        <v>#VALUE!</v>
      </c>
      <c r="CH55" s="33" t="e">
        <f ca="1">INT(CG55) + _xll.RiskBinomial(1,CG55-INT(CG55))</f>
        <v>#VALUE!</v>
      </c>
      <c r="CI55" s="26" t="e">
        <f t="shared" ca="1" si="42"/>
        <v>#VALUE!</v>
      </c>
      <c r="CJ55" s="31" t="e">
        <f ca="1">_xll.RiskBinomial(1,CI55)</f>
        <v>#VALUE!</v>
      </c>
      <c r="CK55" s="78" t="e">
        <f ca="1">IF(CJ55=1,_xll.RiskBinomial(1,Prob_illness_Adv_infection),0)</f>
        <v>#VALUE!</v>
      </c>
    </row>
    <row r="56" spans="2:89" x14ac:dyDescent="0.2">
      <c r="B56" s="97">
        <v>48</v>
      </c>
      <c r="C56" s="100">
        <f ca="1" xml:space="preserve"> _xll.RiskPert(Dur_event_hours_min,Dur_event_hours_mode,Dur_event_hours_max)</f>
        <v>1.3294834504898667</v>
      </c>
      <c r="D56" s="26">
        <f ca="1">_xll.RiskPert(Primary_Ing_Rate_mL_per_hour_min,Primary_Ing_Rate_mL_per_hour_mode,Primary_Ing_Rate_mL_per_hour_max)</f>
        <v>9.2974253185462885</v>
      </c>
      <c r="E56" s="34">
        <f t="shared" ca="1" si="0"/>
        <v>12.360773093172767</v>
      </c>
      <c r="F56" s="26"/>
      <c r="G56" s="77">
        <f t="shared" ca="1" si="21"/>
        <v>1.1349008804605461E-9</v>
      </c>
      <c r="H56" s="33">
        <f ca="1">INT(G56) + _xll.RiskBinomial(1,G56-INT(G56))</f>
        <v>0</v>
      </c>
      <c r="I56" s="26">
        <f t="shared" ca="1" si="29"/>
        <v>0</v>
      </c>
      <c r="J56" s="31">
        <f ca="1">_xll.RiskBinomial(1,I56)</f>
        <v>0</v>
      </c>
      <c r="K56" s="78">
        <f ca="1">IF(J56=1,_xll.RiskBinomial(1,Prob_illness_Adv_infection),0)</f>
        <v>0</v>
      </c>
      <c r="L56" s="26"/>
      <c r="M56" s="77">
        <f t="shared" ca="1" si="2"/>
        <v>2.818597356886111E-11</v>
      </c>
      <c r="N56" s="33">
        <f ca="1">INT(M56) + _xll.RiskBinomial(1,M56-INT(M56))</f>
        <v>0</v>
      </c>
      <c r="O56" s="26">
        <f t="shared" ca="1" si="30"/>
        <v>0</v>
      </c>
      <c r="P56" s="31">
        <f ca="1">_xll.RiskBinomial(1,O56)</f>
        <v>0</v>
      </c>
      <c r="Q56" s="78">
        <f ca="1">IF(P56=1,_xll.RiskBinomial(1,Prob_illness_Adv_infection),0)</f>
        <v>0</v>
      </c>
      <c r="R56" s="26"/>
      <c r="S56" s="77">
        <f t="shared" ca="1" si="4"/>
        <v>3.5691566678898189E-10</v>
      </c>
      <c r="T56" s="33">
        <f ca="1">INT(S56) + _xll.RiskBinomial(1,S56-INT(S56))</f>
        <v>0</v>
      </c>
      <c r="U56" s="26">
        <f t="shared" ca="1" si="31"/>
        <v>0</v>
      </c>
      <c r="V56" s="31">
        <f ca="1">_xll.RiskBinomial(1,U56)</f>
        <v>0</v>
      </c>
      <c r="W56" s="78">
        <f ca="1">IF(V56=1,_xll.RiskBinomial(1,Prob_illness_Adv_infection),0)</f>
        <v>0</v>
      </c>
      <c r="X56" s="26"/>
      <c r="Y56" s="77">
        <f t="shared" ca="1" si="6"/>
        <v>2.9686054190327932E-11</v>
      </c>
      <c r="Z56" s="33">
        <f ca="1">INT(Y56) + _xll.RiskBinomial(1,Y56-INT(Y56))</f>
        <v>0</v>
      </c>
      <c r="AA56" s="26">
        <f t="shared" ca="1" si="32"/>
        <v>0</v>
      </c>
      <c r="AB56" s="31">
        <f ca="1">_xll.RiskBinomial(1,AA56)</f>
        <v>0</v>
      </c>
      <c r="AC56" s="78">
        <f ca="1">IF(AB56=1,_xll.RiskBinomial(1,Prob_illness_Adv_infection),0)</f>
        <v>0</v>
      </c>
      <c r="AD56" s="26"/>
      <c r="AE56" s="77">
        <f t="shared" ca="1" si="8"/>
        <v>4.4580367761796187E-11</v>
      </c>
      <c r="AF56" s="33">
        <f ca="1">INT(AE56) + _xll.RiskBinomial(1,AE56-INT(AE56))</f>
        <v>0</v>
      </c>
      <c r="AG56" s="26">
        <f t="shared" ca="1" si="33"/>
        <v>0</v>
      </c>
      <c r="AH56" s="31">
        <f ca="1">_xll.RiskBinomial(1,AG56)</f>
        <v>0</v>
      </c>
      <c r="AI56" s="78">
        <f ca="1">IF(AH56=1,_xll.RiskBinomial(1,Prob_illness_Adv_infection),0)</f>
        <v>0</v>
      </c>
      <c r="AJ56" s="26"/>
      <c r="AK56" s="77">
        <f t="shared" ca="1" si="10"/>
        <v>2.9004373038553439E-10</v>
      </c>
      <c r="AL56" s="33">
        <f ca="1">INT(AK56) + _xll.RiskBinomial(1,AK56-INT(AK56))</f>
        <v>0</v>
      </c>
      <c r="AM56" s="26">
        <f t="shared" ca="1" si="34"/>
        <v>0</v>
      </c>
      <c r="AN56" s="31">
        <f ca="1">_xll.RiskBinomial(1,AM56)</f>
        <v>0</v>
      </c>
      <c r="AO56" s="78">
        <f ca="1">IF(AN56=1,_xll.RiskBinomial(1,Prob_illness_Adv_infection),0)</f>
        <v>0</v>
      </c>
      <c r="AP56" s="26"/>
      <c r="AQ56" s="77">
        <f t="shared" ca="1" si="12"/>
        <v>5.5031205173013621E-10</v>
      </c>
      <c r="AR56" s="33">
        <f ca="1">INT(AQ56) + _xll.RiskBinomial(1,AQ56-INT(AQ56))</f>
        <v>0</v>
      </c>
      <c r="AS56" s="26">
        <f t="shared" ca="1" si="35"/>
        <v>0</v>
      </c>
      <c r="AT56" s="31">
        <f ca="1">_xll.RiskBinomial(1,AS56)</f>
        <v>0</v>
      </c>
      <c r="AU56" s="78">
        <f ca="1">IF(AT56=1,_xll.RiskBinomial(1,Prob_illness_Adv_infection),0)</f>
        <v>0</v>
      </c>
      <c r="AV56" s="26"/>
      <c r="AW56" s="77">
        <f t="shared" ca="1" si="22"/>
        <v>9.6917614837128605E-12</v>
      </c>
      <c r="AX56" s="33">
        <f ca="1">INT(AW56) + _xll.RiskBinomial(1,AW56-INT(AW56))</f>
        <v>0</v>
      </c>
      <c r="AY56" s="26">
        <f t="shared" ca="1" si="36"/>
        <v>0</v>
      </c>
      <c r="AZ56" s="31">
        <f ca="1">_xll.RiskBinomial(1,AY56)</f>
        <v>0</v>
      </c>
      <c r="BA56" s="78">
        <f ca="1">IF(AZ56=1,_xll.RiskBinomial(1,Prob_illness_Adv_infection),0)</f>
        <v>0</v>
      </c>
      <c r="BC56" s="77">
        <f t="shared" ca="1" si="23"/>
        <v>4.9677497216515585E-11</v>
      </c>
      <c r="BD56" s="33">
        <f ca="1">INT(BC56) + _xll.RiskBinomial(1,BC56-INT(BC56))</f>
        <v>0</v>
      </c>
      <c r="BE56" s="26">
        <f t="shared" ca="1" si="37"/>
        <v>0</v>
      </c>
      <c r="BF56" s="31">
        <f ca="1">_xll.RiskBinomial(1,BE56)</f>
        <v>0</v>
      </c>
      <c r="BG56" s="78">
        <f ca="1">IF(BF56=1,_xll.RiskBinomial(1,Prob_illness_Adv_infection),0)</f>
        <v>0</v>
      </c>
      <c r="BI56" s="77">
        <f t="shared" ca="1" si="24"/>
        <v>2.3133888756890398E-11</v>
      </c>
      <c r="BJ56" s="33">
        <f ca="1">INT(BI56) + _xll.RiskBinomial(1,BI56-INT(BI56))</f>
        <v>0</v>
      </c>
      <c r="BK56" s="26">
        <f t="shared" ca="1" si="38"/>
        <v>0</v>
      </c>
      <c r="BL56" s="31">
        <f ca="1">_xll.RiskBinomial(1,BK56)</f>
        <v>0</v>
      </c>
      <c r="BM56" s="78">
        <f ca="1">IF(BL56=1,_xll.RiskBinomial(1,Prob_illness_Adv_infection),0)</f>
        <v>0</v>
      </c>
      <c r="BO56" s="77">
        <f t="shared" ca="1" si="25"/>
        <v>5.0015653073357204E-11</v>
      </c>
      <c r="BP56" s="33">
        <f ca="1">INT(BO56) + _xll.RiskBinomial(1,BO56-INT(BO56))</f>
        <v>0</v>
      </c>
      <c r="BQ56" s="26">
        <f t="shared" ca="1" si="39"/>
        <v>0</v>
      </c>
      <c r="BR56" s="31">
        <f ca="1">_xll.RiskBinomial(1,BQ56)</f>
        <v>0</v>
      </c>
      <c r="BS56" s="78">
        <f ca="1">IF(BR56=1,_xll.RiskBinomial(1,Prob_illness_Adv_infection),0)</f>
        <v>0</v>
      </c>
      <c r="BU56" s="77">
        <f t="shared" ca="1" si="26"/>
        <v>3.5736311740231183E-13</v>
      </c>
      <c r="BV56" s="33">
        <f ca="1">INT(BU56) + _xll.RiskBinomial(1,BU56-INT(BU56))</f>
        <v>0</v>
      </c>
      <c r="BW56" s="26">
        <f t="shared" ca="1" si="40"/>
        <v>0</v>
      </c>
      <c r="BX56" s="31">
        <f ca="1">_xll.RiskBinomial(1,BW56)</f>
        <v>0</v>
      </c>
      <c r="BY56" s="78">
        <f ca="1">IF(BX56=1,_xll.RiskBinomial(1,Prob_illness_Adv_infection),0)</f>
        <v>0</v>
      </c>
      <c r="CA56" s="77">
        <f t="shared" ca="1" si="27"/>
        <v>5.4224963002725654E-11</v>
      </c>
      <c r="CB56" s="33">
        <f ca="1">INT(CA56) + _xll.RiskBinomial(1,CA56-INT(CA56))</f>
        <v>0</v>
      </c>
      <c r="CC56" s="26">
        <f t="shared" ca="1" si="41"/>
        <v>0</v>
      </c>
      <c r="CD56" s="31">
        <f ca="1">_xll.RiskBinomial(1,CC56)</f>
        <v>0</v>
      </c>
      <c r="CE56" s="78">
        <f ca="1">IF(CD56=1,_xll.RiskBinomial(1,Prob_illness_Adv_infection),0)</f>
        <v>0</v>
      </c>
      <c r="CG56" s="77" t="e">
        <f t="shared" ca="1" si="28"/>
        <v>#VALUE!</v>
      </c>
      <c r="CH56" s="33" t="e">
        <f ca="1">INT(CG56) + _xll.RiskBinomial(1,CG56-INT(CG56))</f>
        <v>#VALUE!</v>
      </c>
      <c r="CI56" s="26" t="e">
        <f t="shared" ca="1" si="42"/>
        <v>#VALUE!</v>
      </c>
      <c r="CJ56" s="31" t="e">
        <f ca="1">_xll.RiskBinomial(1,CI56)</f>
        <v>#VALUE!</v>
      </c>
      <c r="CK56" s="78" t="e">
        <f ca="1">IF(CJ56=1,_xll.RiskBinomial(1,Prob_illness_Adv_infection),0)</f>
        <v>#VALUE!</v>
      </c>
    </row>
    <row r="57" spans="2:89" x14ac:dyDescent="0.2">
      <c r="B57" s="97">
        <v>49</v>
      </c>
      <c r="C57" s="100">
        <f ca="1" xml:space="preserve"> _xll.RiskPert(Dur_event_hours_min,Dur_event_hours_mode,Dur_event_hours_max)</f>
        <v>2.7814174841737391</v>
      </c>
      <c r="D57" s="26">
        <f ca="1">_xll.RiskPert(Primary_Ing_Rate_mL_per_hour_min,Primary_Ing_Rate_mL_per_hour_mode,Primary_Ing_Rate_mL_per_hour_max)</f>
        <v>9.0056453228589319</v>
      </c>
      <c r="E57" s="34">
        <f t="shared" ca="1" si="0"/>
        <v>25.048459357267291</v>
      </c>
      <c r="F57" s="26"/>
      <c r="G57" s="77">
        <f t="shared" ca="1" si="21"/>
        <v>2.2998172011137585E-9</v>
      </c>
      <c r="H57" s="33">
        <f ca="1">INT(G57) + _xll.RiskBinomial(1,G57-INT(G57))</f>
        <v>0</v>
      </c>
      <c r="I57" s="26">
        <f t="shared" ca="1" si="29"/>
        <v>0</v>
      </c>
      <c r="J57" s="31">
        <f ca="1">_xll.RiskBinomial(1,I57)</f>
        <v>0</v>
      </c>
      <c r="K57" s="78">
        <f ca="1">IF(J57=1,_xll.RiskBinomial(1,Prob_illness_Adv_infection),0)</f>
        <v>0</v>
      </c>
      <c r="L57" s="26"/>
      <c r="M57" s="77">
        <f t="shared" ca="1" si="2"/>
        <v>5.7117399378084318E-11</v>
      </c>
      <c r="N57" s="33">
        <f ca="1">INT(M57) + _xll.RiskBinomial(1,M57-INT(M57))</f>
        <v>0</v>
      </c>
      <c r="O57" s="26">
        <f t="shared" ca="1" si="30"/>
        <v>0</v>
      </c>
      <c r="P57" s="31">
        <f ca="1">_xll.RiskBinomial(1,O57)</f>
        <v>0</v>
      </c>
      <c r="Q57" s="78">
        <f ca="1">IF(P57=1,_xll.RiskBinomial(1,Prob_illness_Adv_infection),0)</f>
        <v>0</v>
      </c>
      <c r="R57" s="26"/>
      <c r="S57" s="77">
        <f t="shared" ca="1" si="4"/>
        <v>7.232709075837422E-10</v>
      </c>
      <c r="T57" s="33">
        <f ca="1">INT(S57) + _xll.RiskBinomial(1,S57-INT(S57))</f>
        <v>0</v>
      </c>
      <c r="U57" s="26">
        <f t="shared" ca="1" si="31"/>
        <v>0</v>
      </c>
      <c r="V57" s="31">
        <f ca="1">_xll.RiskBinomial(1,U57)</f>
        <v>0</v>
      </c>
      <c r="W57" s="78">
        <f ca="1">IF(V57=1,_xll.RiskBinomial(1,Prob_illness_Adv_infection),0)</f>
        <v>0</v>
      </c>
      <c r="X57" s="26"/>
      <c r="Y57" s="77">
        <f t="shared" ca="1" si="6"/>
        <v>6.0157234200405398E-11</v>
      </c>
      <c r="Z57" s="33">
        <f ca="1">INT(Y57) + _xll.RiskBinomial(1,Y57-INT(Y57))</f>
        <v>0</v>
      </c>
      <c r="AA57" s="26">
        <f t="shared" ca="1" si="32"/>
        <v>0</v>
      </c>
      <c r="AB57" s="31">
        <f ca="1">_xll.RiskBinomial(1,AA57)</f>
        <v>0</v>
      </c>
      <c r="AC57" s="78">
        <f ca="1">IF(AB57=1,_xll.RiskBinomial(1,Prob_illness_Adv_infection),0)</f>
        <v>0</v>
      </c>
      <c r="AD57" s="26"/>
      <c r="AE57" s="77">
        <f t="shared" ca="1" si="8"/>
        <v>9.0339780659039167E-11</v>
      </c>
      <c r="AF57" s="33">
        <f ca="1">INT(AE57) + _xll.RiskBinomial(1,AE57-INT(AE57))</f>
        <v>0</v>
      </c>
      <c r="AG57" s="26">
        <f t="shared" ca="1" si="33"/>
        <v>0</v>
      </c>
      <c r="AH57" s="31">
        <f ca="1">_xll.RiskBinomial(1,AG57)</f>
        <v>0</v>
      </c>
      <c r="AI57" s="78">
        <f ca="1">IF(AH57=1,_xll.RiskBinomial(1,Prob_illness_Adv_infection),0)</f>
        <v>0</v>
      </c>
      <c r="AJ57" s="26"/>
      <c r="AK57" s="77">
        <f t="shared" ca="1" si="10"/>
        <v>5.8775843045003504E-10</v>
      </c>
      <c r="AL57" s="33">
        <f ca="1">INT(AK57) + _xll.RiskBinomial(1,AK57-INT(AK57))</f>
        <v>0</v>
      </c>
      <c r="AM57" s="26">
        <f t="shared" ca="1" si="34"/>
        <v>0</v>
      </c>
      <c r="AN57" s="31">
        <f ca="1">_xll.RiskBinomial(1,AM57)</f>
        <v>0</v>
      </c>
      <c r="AO57" s="78">
        <f ca="1">IF(AN57=1,_xll.RiskBinomial(1,Prob_illness_Adv_infection),0)</f>
        <v>0</v>
      </c>
      <c r="AP57" s="26"/>
      <c r="AQ57" s="77">
        <f t="shared" ca="1" si="12"/>
        <v>1.1151785537743003E-9</v>
      </c>
      <c r="AR57" s="33">
        <f ca="1">INT(AQ57) + _xll.RiskBinomial(1,AQ57-INT(AQ57))</f>
        <v>0</v>
      </c>
      <c r="AS57" s="26">
        <f t="shared" ca="1" si="35"/>
        <v>0</v>
      </c>
      <c r="AT57" s="31">
        <f ca="1">_xll.RiskBinomial(1,AS57)</f>
        <v>0</v>
      </c>
      <c r="AU57" s="78">
        <f ca="1">IF(AT57=1,_xll.RiskBinomial(1,Prob_illness_Adv_infection),0)</f>
        <v>0</v>
      </c>
      <c r="AV57" s="26"/>
      <c r="AW57" s="77">
        <f t="shared" ca="1" si="22"/>
        <v>1.9639847103025938E-11</v>
      </c>
      <c r="AX57" s="33">
        <f ca="1">INT(AW57) + _xll.RiskBinomial(1,AW57-INT(AW57))</f>
        <v>0</v>
      </c>
      <c r="AY57" s="26">
        <f t="shared" ca="1" si="36"/>
        <v>0</v>
      </c>
      <c r="AZ57" s="31">
        <f ca="1">_xll.RiskBinomial(1,AY57)</f>
        <v>0</v>
      </c>
      <c r="BA57" s="78">
        <f ca="1">IF(AZ57=1,_xll.RiskBinomial(1,Prob_illness_Adv_infection),0)</f>
        <v>0</v>
      </c>
      <c r="BC57" s="77">
        <f t="shared" ca="1" si="23"/>
        <v>1.0066884656963238E-10</v>
      </c>
      <c r="BD57" s="33">
        <f ca="1">INT(BC57) + _xll.RiskBinomial(1,BC57-INT(BC57))</f>
        <v>0</v>
      </c>
      <c r="BE57" s="26">
        <f t="shared" ca="1" si="37"/>
        <v>0</v>
      </c>
      <c r="BF57" s="31">
        <f ca="1">_xll.RiskBinomial(1,BE57)</f>
        <v>0</v>
      </c>
      <c r="BG57" s="78">
        <f ca="1">IF(BF57=1,_xll.RiskBinomial(1,Prob_illness_Adv_infection),0)</f>
        <v>0</v>
      </c>
      <c r="BI57" s="77">
        <f t="shared" ca="1" si="24"/>
        <v>4.6879614077097641E-11</v>
      </c>
      <c r="BJ57" s="33">
        <f ca="1">INT(BI57) + _xll.RiskBinomial(1,BI57-INT(BI57))</f>
        <v>0</v>
      </c>
      <c r="BK57" s="26">
        <f t="shared" ca="1" si="38"/>
        <v>0</v>
      </c>
      <c r="BL57" s="31">
        <f ca="1">_xll.RiskBinomial(1,BK57)</f>
        <v>0</v>
      </c>
      <c r="BM57" s="78">
        <f ca="1">IF(BL57=1,_xll.RiskBinomial(1,Prob_illness_Adv_infection),0)</f>
        <v>0</v>
      </c>
      <c r="BO57" s="77">
        <f t="shared" ca="1" si="25"/>
        <v>1.0135410170478228E-10</v>
      </c>
      <c r="BP57" s="33">
        <f ca="1">INT(BO57) + _xll.RiskBinomial(1,BO57-INT(BO57))</f>
        <v>0</v>
      </c>
      <c r="BQ57" s="26">
        <f t="shared" ca="1" si="39"/>
        <v>0</v>
      </c>
      <c r="BR57" s="31">
        <f ca="1">_xll.RiskBinomial(1,BQ57)</f>
        <v>0</v>
      </c>
      <c r="BS57" s="78">
        <f ca="1">IF(BR57=1,_xll.RiskBinomial(1,Prob_illness_Adv_infection),0)</f>
        <v>0</v>
      </c>
      <c r="BU57" s="77">
        <f t="shared" ca="1" si="26"/>
        <v>7.2417764281930529E-13</v>
      </c>
      <c r="BV57" s="33">
        <f ca="1">INT(BU57) + _xll.RiskBinomial(1,BU57-INT(BU57))</f>
        <v>0</v>
      </c>
      <c r="BW57" s="26">
        <f t="shared" ca="1" si="40"/>
        <v>0</v>
      </c>
      <c r="BX57" s="31">
        <f ca="1">_xll.RiskBinomial(1,BW57)</f>
        <v>0</v>
      </c>
      <c r="BY57" s="78">
        <f ca="1">IF(BX57=1,_xll.RiskBinomial(1,Prob_illness_Adv_infection),0)</f>
        <v>0</v>
      </c>
      <c r="CA57" s="77">
        <f t="shared" ca="1" si="27"/>
        <v>1.0988404784109337E-10</v>
      </c>
      <c r="CB57" s="33">
        <f ca="1">INT(CA57) + _xll.RiskBinomial(1,CA57-INT(CA57))</f>
        <v>0</v>
      </c>
      <c r="CC57" s="26">
        <f t="shared" ca="1" si="41"/>
        <v>0</v>
      </c>
      <c r="CD57" s="31">
        <f ca="1">_xll.RiskBinomial(1,CC57)</f>
        <v>0</v>
      </c>
      <c r="CE57" s="78">
        <f ca="1">IF(CD57=1,_xll.RiskBinomial(1,Prob_illness_Adv_infection),0)</f>
        <v>0</v>
      </c>
      <c r="CG57" s="77" t="e">
        <f t="shared" ca="1" si="28"/>
        <v>#VALUE!</v>
      </c>
      <c r="CH57" s="33" t="e">
        <f ca="1">INT(CG57) + _xll.RiskBinomial(1,CG57-INT(CG57))</f>
        <v>#VALUE!</v>
      </c>
      <c r="CI57" s="26" t="e">
        <f t="shared" ca="1" si="42"/>
        <v>#VALUE!</v>
      </c>
      <c r="CJ57" s="31" t="e">
        <f ca="1">_xll.RiskBinomial(1,CI57)</f>
        <v>#VALUE!</v>
      </c>
      <c r="CK57" s="78" t="e">
        <f ca="1">IF(CJ57=1,_xll.RiskBinomial(1,Prob_illness_Adv_infection),0)</f>
        <v>#VALUE!</v>
      </c>
    </row>
    <row r="58" spans="2:89" x14ac:dyDescent="0.2">
      <c r="B58" s="97">
        <v>50</v>
      </c>
      <c r="C58" s="100">
        <f ca="1" xml:space="preserve"> _xll.RiskPert(Dur_event_hours_min,Dur_event_hours_mode,Dur_event_hours_max)</f>
        <v>1.9915131111004398</v>
      </c>
      <c r="D58" s="26">
        <f ca="1">_xll.RiskPert(Primary_Ing_Rate_mL_per_hour_min,Primary_Ing_Rate_mL_per_hour_mode,Primary_Ing_Rate_mL_per_hour_max)</f>
        <v>18.42475861230508</v>
      </c>
      <c r="E58" s="34">
        <f t="shared" ca="1" si="0"/>
        <v>36.693148345266316</v>
      </c>
      <c r="F58" s="26"/>
      <c r="G58" s="77">
        <f t="shared" ca="1" si="21"/>
        <v>3.3689710222828148E-9</v>
      </c>
      <c r="H58" s="33">
        <f ca="1">INT(G58) + _xll.RiskBinomial(1,G58-INT(G58))</f>
        <v>0</v>
      </c>
      <c r="I58" s="26">
        <f t="shared" ca="1" si="29"/>
        <v>0</v>
      </c>
      <c r="J58" s="31">
        <f ca="1">_xll.RiskBinomial(1,I58)</f>
        <v>0</v>
      </c>
      <c r="K58" s="78">
        <f ca="1">IF(J58=1,_xll.RiskBinomial(1,Prob_illness_Adv_infection),0)</f>
        <v>0</v>
      </c>
      <c r="L58" s="26"/>
      <c r="M58" s="77">
        <f t="shared" ca="1" si="2"/>
        <v>8.3670503585994488E-11</v>
      </c>
      <c r="N58" s="33">
        <f ca="1">INT(M58) + _xll.RiskBinomial(1,M58-INT(M58))</f>
        <v>0</v>
      </c>
      <c r="O58" s="26">
        <f t="shared" ca="1" si="30"/>
        <v>0</v>
      </c>
      <c r="P58" s="31">
        <f ca="1">_xll.RiskBinomial(1,O58)</f>
        <v>0</v>
      </c>
      <c r="Q58" s="78">
        <f ca="1">IF(P58=1,_xll.RiskBinomial(1,Prob_illness_Adv_infection),0)</f>
        <v>0</v>
      </c>
      <c r="R58" s="26"/>
      <c r="S58" s="77">
        <f t="shared" ca="1" si="4"/>
        <v>1.0595097417872088E-9</v>
      </c>
      <c r="T58" s="33">
        <f ca="1">INT(S58) + _xll.RiskBinomial(1,S58-INT(S58))</f>
        <v>0</v>
      </c>
      <c r="U58" s="26">
        <f t="shared" ca="1" si="31"/>
        <v>0</v>
      </c>
      <c r="V58" s="31">
        <f ca="1">_xll.RiskBinomial(1,U58)</f>
        <v>0</v>
      </c>
      <c r="W58" s="78">
        <f ca="1">IF(V58=1,_xll.RiskBinomial(1,Prob_illness_Adv_infection),0)</f>
        <v>0</v>
      </c>
      <c r="X58" s="26"/>
      <c r="Y58" s="77">
        <f t="shared" ca="1" si="6"/>
        <v>8.8123516383692654E-11</v>
      </c>
      <c r="Z58" s="33">
        <f ca="1">INT(Y58) + _xll.RiskBinomial(1,Y58-INT(Y58))</f>
        <v>0</v>
      </c>
      <c r="AA58" s="26">
        <f t="shared" ca="1" si="32"/>
        <v>0</v>
      </c>
      <c r="AB58" s="31">
        <f ca="1">_xll.RiskBinomial(1,AA58)</f>
        <v>0</v>
      </c>
      <c r="AC58" s="78">
        <f ca="1">IF(AB58=1,_xll.RiskBinomial(1,Prob_illness_Adv_infection),0)</f>
        <v>0</v>
      </c>
      <c r="AD58" s="26"/>
      <c r="AE58" s="77">
        <f t="shared" ca="1" si="8"/>
        <v>1.323375192829658E-10</v>
      </c>
      <c r="AF58" s="33">
        <f ca="1">INT(AE58) + _xll.RiskBinomial(1,AE58-INT(AE58))</f>
        <v>0</v>
      </c>
      <c r="AG58" s="26">
        <f t="shared" ca="1" si="33"/>
        <v>0</v>
      </c>
      <c r="AH58" s="31">
        <f ca="1">_xll.RiskBinomial(1,AG58)</f>
        <v>0</v>
      </c>
      <c r="AI58" s="78">
        <f ca="1">IF(AH58=1,_xll.RiskBinomial(1,Prob_illness_Adv_infection),0)</f>
        <v>0</v>
      </c>
      <c r="AJ58" s="26"/>
      <c r="AK58" s="77">
        <f t="shared" ca="1" si="10"/>
        <v>8.6099935217879562E-10</v>
      </c>
      <c r="AL58" s="33">
        <f ca="1">INT(AK58) + _xll.RiskBinomial(1,AK58-INT(AK58))</f>
        <v>0</v>
      </c>
      <c r="AM58" s="26">
        <f t="shared" ca="1" si="34"/>
        <v>0</v>
      </c>
      <c r="AN58" s="31">
        <f ca="1">_xll.RiskBinomial(1,AM58)</f>
        <v>0</v>
      </c>
      <c r="AO58" s="78">
        <f ca="1">IF(AN58=1,_xll.RiskBinomial(1,Prob_illness_Adv_infection),0)</f>
        <v>0</v>
      </c>
      <c r="AP58" s="26"/>
      <c r="AQ58" s="77">
        <f t="shared" ca="1" si="12"/>
        <v>1.6336099367016771E-9</v>
      </c>
      <c r="AR58" s="33">
        <f ca="1">INT(AQ58) + _xll.RiskBinomial(1,AQ58-INT(AQ58))</f>
        <v>0</v>
      </c>
      <c r="AS58" s="26">
        <f t="shared" ca="1" si="35"/>
        <v>0</v>
      </c>
      <c r="AT58" s="31">
        <f ca="1">_xll.RiskBinomial(1,AS58)</f>
        <v>0</v>
      </c>
      <c r="AU58" s="78">
        <f ca="1">IF(AT58=1,_xll.RiskBinomial(1,Prob_illness_Adv_infection),0)</f>
        <v>0</v>
      </c>
      <c r="AV58" s="26"/>
      <c r="AW58" s="77">
        <f t="shared" ca="1" si="22"/>
        <v>2.8770145618580672E-11</v>
      </c>
      <c r="AX58" s="33">
        <f ca="1">INT(AW58) + _xll.RiskBinomial(1,AW58-INT(AW58))</f>
        <v>0</v>
      </c>
      <c r="AY58" s="26">
        <f t="shared" ca="1" si="36"/>
        <v>0</v>
      </c>
      <c r="AZ58" s="31">
        <f ca="1">_xll.RiskBinomial(1,AY58)</f>
        <v>0</v>
      </c>
      <c r="BA58" s="78">
        <f ca="1">IF(AZ58=1,_xll.RiskBinomial(1,Prob_illness_Adv_infection),0)</f>
        <v>0</v>
      </c>
      <c r="BC58" s="77">
        <f t="shared" ca="1" si="23"/>
        <v>1.4746842782786475E-10</v>
      </c>
      <c r="BD58" s="33">
        <f ca="1">INT(BC58) + _xll.RiskBinomial(1,BC58-INT(BC58))</f>
        <v>0</v>
      </c>
      <c r="BE58" s="26">
        <f t="shared" ca="1" si="37"/>
        <v>0</v>
      </c>
      <c r="BF58" s="31">
        <f ca="1">_xll.RiskBinomial(1,BE58)</f>
        <v>0</v>
      </c>
      <c r="BG58" s="78">
        <f ca="1">IF(BF58=1,_xll.RiskBinomial(1,Prob_illness_Adv_infection),0)</f>
        <v>0</v>
      </c>
      <c r="BI58" s="77">
        <f t="shared" ca="1" si="24"/>
        <v>6.8673310767941897E-11</v>
      </c>
      <c r="BJ58" s="33">
        <f ca="1">INT(BI58) + _xll.RiskBinomial(1,BI58-INT(BI58))</f>
        <v>0</v>
      </c>
      <c r="BK58" s="26">
        <f t="shared" ca="1" si="38"/>
        <v>0</v>
      </c>
      <c r="BL58" s="31">
        <f ca="1">_xll.RiskBinomial(1,BK58)</f>
        <v>0</v>
      </c>
      <c r="BM58" s="78">
        <f ca="1">IF(BL58=1,_xll.RiskBinomial(1,Prob_illness_Adv_infection),0)</f>
        <v>0</v>
      </c>
      <c r="BO58" s="77">
        <f t="shared" ca="1" si="25"/>
        <v>1.4847224878027457E-10</v>
      </c>
      <c r="BP58" s="33">
        <f ca="1">INT(BO58) + _xll.RiskBinomial(1,BO58-INT(BO58))</f>
        <v>0</v>
      </c>
      <c r="BQ58" s="26">
        <f t="shared" ca="1" si="39"/>
        <v>0</v>
      </c>
      <c r="BR58" s="31">
        <f ca="1">_xll.RiskBinomial(1,BQ58)</f>
        <v>0</v>
      </c>
      <c r="BS58" s="78">
        <f ca="1">IF(BR58=1,_xll.RiskBinomial(1,Prob_illness_Adv_infection),0)</f>
        <v>0</v>
      </c>
      <c r="BU58" s="77">
        <f t="shared" ca="1" si="26"/>
        <v>1.0608380059344702E-12</v>
      </c>
      <c r="BV58" s="33">
        <f ca="1">INT(BU58) + _xll.RiskBinomial(1,BU58-INT(BU58))</f>
        <v>0</v>
      </c>
      <c r="BW58" s="26">
        <f t="shared" ca="1" si="40"/>
        <v>0</v>
      </c>
      <c r="BX58" s="31">
        <f ca="1">_xll.RiskBinomial(1,BW58)</f>
        <v>0</v>
      </c>
      <c r="BY58" s="78">
        <f ca="1">IF(BX58=1,_xll.RiskBinomial(1,Prob_illness_Adv_infection),0)</f>
        <v>0</v>
      </c>
      <c r="CA58" s="77">
        <f t="shared" ca="1" si="27"/>
        <v>1.6096765117179875E-10</v>
      </c>
      <c r="CB58" s="33">
        <f ca="1">INT(CA58) + _xll.RiskBinomial(1,CA58-INT(CA58))</f>
        <v>0</v>
      </c>
      <c r="CC58" s="26">
        <f t="shared" ca="1" si="41"/>
        <v>0</v>
      </c>
      <c r="CD58" s="31">
        <f ca="1">_xll.RiskBinomial(1,CC58)</f>
        <v>0</v>
      </c>
      <c r="CE58" s="78">
        <f ca="1">IF(CD58=1,_xll.RiskBinomial(1,Prob_illness_Adv_infection),0)</f>
        <v>0</v>
      </c>
      <c r="CG58" s="77" t="e">
        <f t="shared" ca="1" si="28"/>
        <v>#VALUE!</v>
      </c>
      <c r="CH58" s="33" t="e">
        <f ca="1">INT(CG58) + _xll.RiskBinomial(1,CG58-INT(CG58))</f>
        <v>#VALUE!</v>
      </c>
      <c r="CI58" s="26" t="e">
        <f t="shared" ca="1" si="42"/>
        <v>#VALUE!</v>
      </c>
      <c r="CJ58" s="31" t="e">
        <f ca="1">_xll.RiskBinomial(1,CI58)</f>
        <v>#VALUE!</v>
      </c>
      <c r="CK58" s="78" t="e">
        <f ca="1">IF(CJ58=1,_xll.RiskBinomial(1,Prob_illness_Adv_infection),0)</f>
        <v>#VALUE!</v>
      </c>
    </row>
    <row r="59" spans="2:89" x14ac:dyDescent="0.2">
      <c r="B59" s="97">
        <v>51</v>
      </c>
      <c r="C59" s="100">
        <f ca="1" xml:space="preserve"> _xll.RiskPert(Dur_event_hours_min,Dur_event_hours_mode,Dur_event_hours_max)</f>
        <v>0.76395304610072023</v>
      </c>
      <c r="D59" s="26">
        <f ca="1">_xll.RiskPert(Primary_Ing_Rate_mL_per_hour_min,Primary_Ing_Rate_mL_per_hour_mode,Primary_Ing_Rate_mL_per_hour_max)</f>
        <v>18.360654244955576</v>
      </c>
      <c r="E59" s="34">
        <f t="shared" ca="1" si="0"/>
        <v>14.026677738835932</v>
      </c>
      <c r="F59" s="26"/>
      <c r="G59" s="77">
        <f t="shared" ca="1" si="21"/>
        <v>1.2878554436480781E-9</v>
      </c>
      <c r="H59" s="33">
        <f ca="1">INT(G59) + _xll.RiskBinomial(1,G59-INT(G59))</f>
        <v>0</v>
      </c>
      <c r="I59" s="26">
        <f t="shared" ca="1" si="29"/>
        <v>0</v>
      </c>
      <c r="J59" s="31">
        <f ca="1">_xll.RiskBinomial(1,I59)</f>
        <v>0</v>
      </c>
      <c r="K59" s="78">
        <f ca="1">IF(J59=1,_xll.RiskBinomial(1,Prob_illness_Adv_infection),0)</f>
        <v>0</v>
      </c>
      <c r="L59" s="26"/>
      <c r="M59" s="77">
        <f t="shared" ca="1" si="2"/>
        <v>3.1984695862116351E-11</v>
      </c>
      <c r="N59" s="33">
        <f ca="1">INT(M59) + _xll.RiskBinomial(1,M59-INT(M59))</f>
        <v>0</v>
      </c>
      <c r="O59" s="26">
        <f t="shared" ca="1" si="30"/>
        <v>0</v>
      </c>
      <c r="P59" s="31">
        <f ca="1">_xll.RiskBinomial(1,O59)</f>
        <v>0</v>
      </c>
      <c r="Q59" s="78">
        <f ca="1">IF(P59=1,_xll.RiskBinomial(1,Prob_illness_Adv_infection),0)</f>
        <v>0</v>
      </c>
      <c r="R59" s="26"/>
      <c r="S59" s="77">
        <f t="shared" ca="1" si="4"/>
        <v>4.0501844021034173E-10</v>
      </c>
      <c r="T59" s="33">
        <f ca="1">INT(S59) + _xll.RiskBinomial(1,S59-INT(S59))</f>
        <v>0</v>
      </c>
      <c r="U59" s="26">
        <f t="shared" ca="1" si="31"/>
        <v>0</v>
      </c>
      <c r="V59" s="31">
        <f ca="1">_xll.RiskBinomial(1,U59)</f>
        <v>0</v>
      </c>
      <c r="W59" s="78">
        <f ca="1">IF(V59=1,_xll.RiskBinomial(1,Prob_illness_Adv_infection),0)</f>
        <v>0</v>
      </c>
      <c r="X59" s="26"/>
      <c r="Y59" s="77">
        <f t="shared" ca="1" si="6"/>
        <v>3.368694759839404E-11</v>
      </c>
      <c r="Z59" s="33">
        <f ca="1">INT(Y59) + _xll.RiskBinomial(1,Y59-INT(Y59))</f>
        <v>0</v>
      </c>
      <c r="AA59" s="26">
        <f t="shared" ca="1" si="32"/>
        <v>0</v>
      </c>
      <c r="AB59" s="31">
        <f ca="1">_xll.RiskBinomial(1,AA59)</f>
        <v>0</v>
      </c>
      <c r="AC59" s="78">
        <f ca="1">IF(AB59=1,_xll.RiskBinomial(1,Prob_illness_Adv_infection),0)</f>
        <v>0</v>
      </c>
      <c r="AD59" s="26"/>
      <c r="AE59" s="77">
        <f t="shared" ca="1" si="8"/>
        <v>5.0588619931781285E-11</v>
      </c>
      <c r="AF59" s="33">
        <f ca="1">INT(AE59) + _xll.RiskBinomial(1,AE59-INT(AE59))</f>
        <v>0</v>
      </c>
      <c r="AG59" s="26">
        <f t="shared" ca="1" si="33"/>
        <v>0</v>
      </c>
      <c r="AH59" s="31">
        <f ca="1">_xll.RiskBinomial(1,AG59)</f>
        <v>0</v>
      </c>
      <c r="AI59" s="78">
        <f ca="1">IF(AH59=1,_xll.RiskBinomial(1,Prob_illness_Adv_infection),0)</f>
        <v>0</v>
      </c>
      <c r="AJ59" s="26"/>
      <c r="AK59" s="77">
        <f t="shared" ca="1" si="10"/>
        <v>3.2913393892286397E-10</v>
      </c>
      <c r="AL59" s="33">
        <f ca="1">INT(AK59) + _xll.RiskBinomial(1,AK59-INT(AK59))</f>
        <v>0</v>
      </c>
      <c r="AM59" s="26">
        <f t="shared" ca="1" si="34"/>
        <v>0</v>
      </c>
      <c r="AN59" s="31">
        <f ca="1">_xll.RiskBinomial(1,AM59)</f>
        <v>0</v>
      </c>
      <c r="AO59" s="78">
        <f ca="1">IF(AN59=1,_xll.RiskBinomial(1,Prob_illness_Adv_infection),0)</f>
        <v>0</v>
      </c>
      <c r="AP59" s="26"/>
      <c r="AQ59" s="77">
        <f t="shared" ca="1" si="12"/>
        <v>6.2447953273082055E-10</v>
      </c>
      <c r="AR59" s="33">
        <f ca="1">INT(AQ59) + _xll.RiskBinomial(1,AQ59-INT(AQ59))</f>
        <v>0</v>
      </c>
      <c r="AS59" s="26">
        <f t="shared" ca="1" si="35"/>
        <v>0</v>
      </c>
      <c r="AT59" s="31">
        <f ca="1">_xll.RiskBinomial(1,AS59)</f>
        <v>0</v>
      </c>
      <c r="AU59" s="78">
        <f ca="1">IF(AT59=1,_xll.RiskBinomial(1,Prob_illness_Adv_infection),0)</f>
        <v>0</v>
      </c>
      <c r="AV59" s="26"/>
      <c r="AW59" s="77">
        <f t="shared" ca="1" si="22"/>
        <v>1.0997954094698839E-11</v>
      </c>
      <c r="AX59" s="33">
        <f ca="1">INT(AW59) + _xll.RiskBinomial(1,AW59-INT(AW59))</f>
        <v>0</v>
      </c>
      <c r="AY59" s="26">
        <f t="shared" ca="1" si="36"/>
        <v>0</v>
      </c>
      <c r="AZ59" s="31">
        <f ca="1">_xll.RiskBinomial(1,AY59)</f>
        <v>0</v>
      </c>
      <c r="BA59" s="78">
        <f ca="1">IF(AZ59=1,_xll.RiskBinomial(1,Prob_illness_Adv_infection),0)</f>
        <v>0</v>
      </c>
      <c r="BC59" s="77">
        <f t="shared" ca="1" si="23"/>
        <v>5.6372707360258295E-11</v>
      </c>
      <c r="BD59" s="33">
        <f ca="1">INT(BC59) + _xll.RiskBinomial(1,BC59-INT(BC59))</f>
        <v>0</v>
      </c>
      <c r="BE59" s="26">
        <f t="shared" ca="1" si="37"/>
        <v>0</v>
      </c>
      <c r="BF59" s="31">
        <f ca="1">_xll.RiskBinomial(1,BE59)</f>
        <v>0</v>
      </c>
      <c r="BG59" s="78">
        <f ca="1">IF(BF59=1,_xll.RiskBinomial(1,Prob_illness_Adv_infection),0)</f>
        <v>0</v>
      </c>
      <c r="BI59" s="77">
        <f t="shared" ca="1" si="24"/>
        <v>2.6251723900522697E-11</v>
      </c>
      <c r="BJ59" s="33">
        <f ca="1">INT(BI59) + _xll.RiskBinomial(1,BI59-INT(BI59))</f>
        <v>0</v>
      </c>
      <c r="BK59" s="26">
        <f t="shared" ca="1" si="38"/>
        <v>0</v>
      </c>
      <c r="BL59" s="31">
        <f ca="1">_xll.RiskBinomial(1,BK59)</f>
        <v>0</v>
      </c>
      <c r="BM59" s="78">
        <f ca="1">IF(BL59=1,_xll.RiskBinomial(1,Prob_illness_Adv_infection),0)</f>
        <v>0</v>
      </c>
      <c r="BO59" s="77">
        <f t="shared" ca="1" si="25"/>
        <v>5.6756437665285668E-11</v>
      </c>
      <c r="BP59" s="33">
        <f ca="1">INT(BO59) + _xll.RiskBinomial(1,BO59-INT(BO59))</f>
        <v>0</v>
      </c>
      <c r="BQ59" s="26">
        <f t="shared" ca="1" si="39"/>
        <v>0</v>
      </c>
      <c r="BR59" s="31">
        <f ca="1">_xll.RiskBinomial(1,BQ59)</f>
        <v>0</v>
      </c>
      <c r="BS59" s="78">
        <f ca="1">IF(BR59=1,_xll.RiskBinomial(1,Prob_illness_Adv_infection),0)</f>
        <v>0</v>
      </c>
      <c r="BU59" s="77">
        <f t="shared" ca="1" si="26"/>
        <v>4.0552619530866082E-13</v>
      </c>
      <c r="BV59" s="33">
        <f ca="1">INT(BU59) + _xll.RiskBinomial(1,BU59-INT(BU59))</f>
        <v>0</v>
      </c>
      <c r="BW59" s="26">
        <f t="shared" ca="1" si="40"/>
        <v>0</v>
      </c>
      <c r="BX59" s="31">
        <f ca="1">_xll.RiskBinomial(1,BW59)</f>
        <v>0</v>
      </c>
      <c r="BY59" s="78">
        <f ca="1">IF(BX59=1,_xll.RiskBinomial(1,Prob_illness_Adv_infection),0)</f>
        <v>0</v>
      </c>
      <c r="CA59" s="77">
        <f t="shared" ca="1" si="27"/>
        <v>6.1533051024100944E-11</v>
      </c>
      <c r="CB59" s="33">
        <f ca="1">INT(CA59) + _xll.RiskBinomial(1,CA59-INT(CA59))</f>
        <v>0</v>
      </c>
      <c r="CC59" s="26">
        <f t="shared" ca="1" si="41"/>
        <v>0</v>
      </c>
      <c r="CD59" s="31">
        <f ca="1">_xll.RiskBinomial(1,CC59)</f>
        <v>0</v>
      </c>
      <c r="CE59" s="78">
        <f ca="1">IF(CD59=1,_xll.RiskBinomial(1,Prob_illness_Adv_infection),0)</f>
        <v>0</v>
      </c>
      <c r="CG59" s="77" t="e">
        <f t="shared" ca="1" si="28"/>
        <v>#VALUE!</v>
      </c>
      <c r="CH59" s="33" t="e">
        <f ca="1">INT(CG59) + _xll.RiskBinomial(1,CG59-INT(CG59))</f>
        <v>#VALUE!</v>
      </c>
      <c r="CI59" s="26" t="e">
        <f t="shared" ca="1" si="42"/>
        <v>#VALUE!</v>
      </c>
      <c r="CJ59" s="31" t="e">
        <f ca="1">_xll.RiskBinomial(1,CI59)</f>
        <v>#VALUE!</v>
      </c>
      <c r="CK59" s="78" t="e">
        <f ca="1">IF(CJ59=1,_xll.RiskBinomial(1,Prob_illness_Adv_infection),0)</f>
        <v>#VALUE!</v>
      </c>
    </row>
    <row r="60" spans="2:89" x14ac:dyDescent="0.2">
      <c r="B60" s="97">
        <v>52</v>
      </c>
      <c r="C60" s="100">
        <f ca="1" xml:space="preserve"> _xll.RiskPert(Dur_event_hours_min,Dur_event_hours_mode,Dur_event_hours_max)</f>
        <v>1.1203274567505479</v>
      </c>
      <c r="D60" s="26">
        <f ca="1">_xll.RiskPert(Primary_Ing_Rate_mL_per_hour_min,Primary_Ing_Rate_mL_per_hour_mode,Primary_Ing_Rate_mL_per_hour_max)</f>
        <v>15.133096627459228</v>
      </c>
      <c r="E60" s="34">
        <f t="shared" ca="1" si="0"/>
        <v>16.954023657401692</v>
      </c>
      <c r="F60" s="26"/>
      <c r="G60" s="77">
        <f t="shared" ca="1" si="21"/>
        <v>1.5566288800141127E-9</v>
      </c>
      <c r="H60" s="33">
        <f ca="1">INT(G60) + _xll.RiskBinomial(1,G60-INT(G60))</f>
        <v>0</v>
      </c>
      <c r="I60" s="26">
        <f t="shared" ca="1" si="29"/>
        <v>0</v>
      </c>
      <c r="J60" s="31">
        <f ca="1">_xll.RiskBinomial(1,I60)</f>
        <v>0</v>
      </c>
      <c r="K60" s="78">
        <f ca="1">IF(J60=1,_xll.RiskBinomial(1,Prob_illness_Adv_infection),0)</f>
        <v>0</v>
      </c>
      <c r="L60" s="26"/>
      <c r="M60" s="77">
        <f t="shared" ca="1" si="2"/>
        <v>3.8659852348338135E-11</v>
      </c>
      <c r="N60" s="33">
        <f ca="1">INT(M60) + _xll.RiskBinomial(1,M60-INT(M60))</f>
        <v>0</v>
      </c>
      <c r="O60" s="26">
        <f t="shared" ca="1" si="30"/>
        <v>0</v>
      </c>
      <c r="P60" s="31">
        <f ca="1">_xll.RiskBinomial(1,O60)</f>
        <v>0</v>
      </c>
      <c r="Q60" s="78">
        <f ca="1">IF(P60=1,_xll.RiskBinomial(1,Prob_illness_Adv_infection),0)</f>
        <v>0</v>
      </c>
      <c r="R60" s="26"/>
      <c r="S60" s="77">
        <f t="shared" ca="1" si="4"/>
        <v>4.8954516136049268E-10</v>
      </c>
      <c r="T60" s="33">
        <f ca="1">INT(S60) + _xll.RiskBinomial(1,S60-INT(S60))</f>
        <v>0</v>
      </c>
      <c r="U60" s="26">
        <f t="shared" ca="1" si="31"/>
        <v>0</v>
      </c>
      <c r="V60" s="31">
        <f ca="1">_xll.RiskBinomial(1,U60)</f>
        <v>0</v>
      </c>
      <c r="W60" s="78">
        <f ca="1">IF(V60=1,_xll.RiskBinomial(1,Prob_illness_Adv_infection),0)</f>
        <v>0</v>
      </c>
      <c r="X60" s="26"/>
      <c r="Y60" s="77">
        <f t="shared" ca="1" si="6"/>
        <v>4.071736138540682E-11</v>
      </c>
      <c r="Z60" s="33">
        <f ca="1">INT(Y60) + _xll.RiskBinomial(1,Y60-INT(Y60))</f>
        <v>0</v>
      </c>
      <c r="AA60" s="26">
        <f t="shared" ca="1" si="32"/>
        <v>0</v>
      </c>
      <c r="AB60" s="31">
        <f ca="1">_xll.RiskBinomial(1,AA60)</f>
        <v>0</v>
      </c>
      <c r="AC60" s="78">
        <f ca="1">IF(AB60=1,_xll.RiskBinomial(1,Prob_illness_Adv_infection),0)</f>
        <v>0</v>
      </c>
      <c r="AD60" s="26"/>
      <c r="AE60" s="77">
        <f t="shared" ca="1" si="8"/>
        <v>6.1146386556243869E-11</v>
      </c>
      <c r="AF60" s="33">
        <f ca="1">INT(AE60) + _xll.RiskBinomial(1,AE60-INT(AE60))</f>
        <v>0</v>
      </c>
      <c r="AG60" s="26">
        <f t="shared" ca="1" si="33"/>
        <v>0</v>
      </c>
      <c r="AH60" s="31">
        <f ca="1">_xll.RiskBinomial(1,AG60)</f>
        <v>0</v>
      </c>
      <c r="AI60" s="78">
        <f ca="1">IF(AH60=1,_xll.RiskBinomial(1,Prob_illness_Adv_infection),0)</f>
        <v>0</v>
      </c>
      <c r="AJ60" s="26"/>
      <c r="AK60" s="77">
        <f t="shared" ca="1" si="10"/>
        <v>3.9782368218970242E-10</v>
      </c>
      <c r="AL60" s="33">
        <f ca="1">INT(AK60) + _xll.RiskBinomial(1,AK60-INT(AK60))</f>
        <v>0</v>
      </c>
      <c r="AM60" s="26">
        <f t="shared" ca="1" si="34"/>
        <v>0</v>
      </c>
      <c r="AN60" s="31">
        <f ca="1">_xll.RiskBinomial(1,AM60)</f>
        <v>0</v>
      </c>
      <c r="AO60" s="78">
        <f ca="1">IF(AN60=1,_xll.RiskBinomial(1,Prob_illness_Adv_infection),0)</f>
        <v>0</v>
      </c>
      <c r="AP60" s="26"/>
      <c r="AQ60" s="77">
        <f t="shared" ca="1" si="12"/>
        <v>7.5480744397284009E-10</v>
      </c>
      <c r="AR60" s="33">
        <f ca="1">INT(AQ60) + _xll.RiskBinomial(1,AQ60-INT(AQ60))</f>
        <v>0</v>
      </c>
      <c r="AS60" s="26">
        <f t="shared" ca="1" si="35"/>
        <v>0</v>
      </c>
      <c r="AT60" s="31">
        <f ca="1">_xll.RiskBinomial(1,AS60)</f>
        <v>0</v>
      </c>
      <c r="AU60" s="78">
        <f ca="1">IF(AT60=1,_xll.RiskBinomial(1,Prob_illness_Adv_infection),0)</f>
        <v>0</v>
      </c>
      <c r="AV60" s="26"/>
      <c r="AW60" s="77">
        <f t="shared" ca="1" si="22"/>
        <v>1.3293210079838629E-11</v>
      </c>
      <c r="AX60" s="33">
        <f ca="1">INT(AW60) + _xll.RiskBinomial(1,AW60-INT(AW60))</f>
        <v>0</v>
      </c>
      <c r="AY60" s="26">
        <f t="shared" ca="1" si="36"/>
        <v>0</v>
      </c>
      <c r="AZ60" s="31">
        <f ca="1">_xll.RiskBinomial(1,AY60)</f>
        <v>0</v>
      </c>
      <c r="BA60" s="78">
        <f ca="1">IF(AZ60=1,_xll.RiskBinomial(1,Prob_illness_Adv_infection),0)</f>
        <v>0</v>
      </c>
      <c r="BC60" s="77">
        <f t="shared" ca="1" si="23"/>
        <v>6.8137604072232587E-11</v>
      </c>
      <c r="BD60" s="33">
        <f ca="1">INT(BC60) + _xll.RiskBinomial(1,BC60-INT(BC60))</f>
        <v>0</v>
      </c>
      <c r="BE60" s="26">
        <f t="shared" ca="1" si="37"/>
        <v>0</v>
      </c>
      <c r="BF60" s="31">
        <f ca="1">_xll.RiskBinomial(1,BE60)</f>
        <v>0</v>
      </c>
      <c r="BG60" s="78">
        <f ca="1">IF(BF60=1,_xll.RiskBinomial(1,Prob_illness_Adv_infection),0)</f>
        <v>0</v>
      </c>
      <c r="BI60" s="77">
        <f t="shared" ca="1" si="24"/>
        <v>3.1730418018000005E-11</v>
      </c>
      <c r="BJ60" s="33">
        <f ca="1">INT(BI60) + _xll.RiskBinomial(1,BI60-INT(BI60))</f>
        <v>0</v>
      </c>
      <c r="BK60" s="26">
        <f t="shared" ca="1" si="38"/>
        <v>0</v>
      </c>
      <c r="BL60" s="31">
        <f ca="1">_xll.RiskBinomial(1,BK60)</f>
        <v>0</v>
      </c>
      <c r="BM60" s="78">
        <f ca="1">IF(BL60=1,_xll.RiskBinomial(1,Prob_illness_Adv_infection),0)</f>
        <v>0</v>
      </c>
      <c r="BO60" s="77">
        <f t="shared" ca="1" si="25"/>
        <v>6.8601418297570049E-11</v>
      </c>
      <c r="BP60" s="33">
        <f ca="1">INT(BO60) + _xll.RiskBinomial(1,BO60-INT(BO60))</f>
        <v>0</v>
      </c>
      <c r="BQ60" s="26">
        <f t="shared" ca="1" si="39"/>
        <v>0</v>
      </c>
      <c r="BR60" s="31">
        <f ca="1">_xll.RiskBinomial(1,BQ60)</f>
        <v>0</v>
      </c>
      <c r="BS60" s="78">
        <f ca="1">IF(BR60=1,_xll.RiskBinomial(1,Prob_illness_Adv_infection),0)</f>
        <v>0</v>
      </c>
      <c r="BU60" s="77">
        <f t="shared" ca="1" si="26"/>
        <v>4.901588841613833E-13</v>
      </c>
      <c r="BV60" s="33">
        <f ca="1">INT(BU60) + _xll.RiskBinomial(1,BU60-INT(BU60))</f>
        <v>0</v>
      </c>
      <c r="BW60" s="26">
        <f t="shared" ca="1" si="40"/>
        <v>0</v>
      </c>
      <c r="BX60" s="31">
        <f ca="1">_xll.RiskBinomial(1,BW60)</f>
        <v>0</v>
      </c>
      <c r="BY60" s="78">
        <f ca="1">IF(BX60=1,_xll.RiskBinomial(1,Prob_illness_Adv_infection),0)</f>
        <v>0</v>
      </c>
      <c r="CA60" s="77">
        <f t="shared" ca="1" si="27"/>
        <v>7.4374903466007065E-11</v>
      </c>
      <c r="CB60" s="33">
        <f ca="1">INT(CA60) + _xll.RiskBinomial(1,CA60-INT(CA60))</f>
        <v>0</v>
      </c>
      <c r="CC60" s="26">
        <f t="shared" ca="1" si="41"/>
        <v>0</v>
      </c>
      <c r="CD60" s="31">
        <f ca="1">_xll.RiskBinomial(1,CC60)</f>
        <v>0</v>
      </c>
      <c r="CE60" s="78">
        <f ca="1">IF(CD60=1,_xll.RiskBinomial(1,Prob_illness_Adv_infection),0)</f>
        <v>0</v>
      </c>
      <c r="CG60" s="77" t="e">
        <f t="shared" ca="1" si="28"/>
        <v>#VALUE!</v>
      </c>
      <c r="CH60" s="33" t="e">
        <f ca="1">INT(CG60) + _xll.RiskBinomial(1,CG60-INT(CG60))</f>
        <v>#VALUE!</v>
      </c>
      <c r="CI60" s="26" t="e">
        <f t="shared" ca="1" si="42"/>
        <v>#VALUE!</v>
      </c>
      <c r="CJ60" s="31" t="e">
        <f ca="1">_xll.RiskBinomial(1,CI60)</f>
        <v>#VALUE!</v>
      </c>
      <c r="CK60" s="78" t="e">
        <f ca="1">IF(CJ60=1,_xll.RiskBinomial(1,Prob_illness_Adv_infection),0)</f>
        <v>#VALUE!</v>
      </c>
    </row>
    <row r="61" spans="2:89" x14ac:dyDescent="0.2">
      <c r="B61" s="97">
        <v>53</v>
      </c>
      <c r="C61" s="100">
        <f ca="1" xml:space="preserve"> _xll.RiskPert(Dur_event_hours_min,Dur_event_hours_mode,Dur_event_hours_max)</f>
        <v>0.80411269551420239</v>
      </c>
      <c r="D61" s="26">
        <f ca="1">_xll.RiskPert(Primary_Ing_Rate_mL_per_hour_min,Primary_Ing_Rate_mL_per_hour_mode,Primary_Ing_Rate_mL_per_hour_max)</f>
        <v>14.768552626226887</v>
      </c>
      <c r="E61" s="34">
        <f t="shared" ca="1" si="0"/>
        <v>11.875580661118654</v>
      </c>
      <c r="F61" s="26"/>
      <c r="G61" s="77">
        <f t="shared" ca="1" si="21"/>
        <v>1.090353074738334E-9</v>
      </c>
      <c r="H61" s="33">
        <f ca="1">INT(G61) + _xll.RiskBinomial(1,G61-INT(G61))</f>
        <v>0</v>
      </c>
      <c r="I61" s="26">
        <f t="shared" ca="1" si="29"/>
        <v>0</v>
      </c>
      <c r="J61" s="31">
        <f ca="1">_xll.RiskBinomial(1,I61)</f>
        <v>0</v>
      </c>
      <c r="K61" s="78">
        <f ca="1">IF(J61=1,_xll.RiskBinomial(1,Prob_illness_Adv_infection),0)</f>
        <v>0</v>
      </c>
      <c r="L61" s="26"/>
      <c r="M61" s="77">
        <f t="shared" ca="1" si="2"/>
        <v>2.7079600936453343E-11</v>
      </c>
      <c r="N61" s="33">
        <f ca="1">INT(M61) + _xll.RiskBinomial(1,M61-INT(M61))</f>
        <v>0</v>
      </c>
      <c r="O61" s="26">
        <f t="shared" ca="1" si="30"/>
        <v>0</v>
      </c>
      <c r="P61" s="31">
        <f ca="1">_xll.RiskBinomial(1,O61)</f>
        <v>0</v>
      </c>
      <c r="Q61" s="78">
        <f ca="1">IF(P61=1,_xll.RiskBinomial(1,Prob_illness_Adv_infection),0)</f>
        <v>0</v>
      </c>
      <c r="R61" s="26"/>
      <c r="S61" s="77">
        <f t="shared" ca="1" si="4"/>
        <v>3.4290580032656699E-10</v>
      </c>
      <c r="T61" s="33">
        <f ca="1">INT(S61) + _xll.RiskBinomial(1,S61-INT(S61))</f>
        <v>0</v>
      </c>
      <c r="U61" s="26">
        <f t="shared" ca="1" si="31"/>
        <v>0</v>
      </c>
      <c r="V61" s="31">
        <f ca="1">_xll.RiskBinomial(1,U61)</f>
        <v>0</v>
      </c>
      <c r="W61" s="78">
        <f ca="1">IF(V61=1,_xll.RiskBinomial(1,Prob_illness_Adv_infection),0)</f>
        <v>0</v>
      </c>
      <c r="X61" s="26"/>
      <c r="Y61" s="77">
        <f t="shared" ca="1" si="6"/>
        <v>2.8520799499369254E-11</v>
      </c>
      <c r="Z61" s="33">
        <f ca="1">INT(Y61) + _xll.RiskBinomial(1,Y61-INT(Y61))</f>
        <v>0</v>
      </c>
      <c r="AA61" s="26">
        <f t="shared" ca="1" si="32"/>
        <v>0</v>
      </c>
      <c r="AB61" s="31">
        <f ca="1">_xll.RiskBinomial(1,AA61)</f>
        <v>0</v>
      </c>
      <c r="AC61" s="78">
        <f ca="1">IF(AB61=1,_xll.RiskBinomial(1,Prob_illness_Adv_infection),0)</f>
        <v>0</v>
      </c>
      <c r="AD61" s="26"/>
      <c r="AE61" s="77">
        <f t="shared" ca="1" si="8"/>
        <v>4.2830472598025278E-11</v>
      </c>
      <c r="AF61" s="33">
        <f ca="1">INT(AE61) + _xll.RiskBinomial(1,AE61-INT(AE61))</f>
        <v>0</v>
      </c>
      <c r="AG61" s="26">
        <f t="shared" ca="1" si="33"/>
        <v>0</v>
      </c>
      <c r="AH61" s="31">
        <f ca="1">_xll.RiskBinomial(1,AG61)</f>
        <v>0</v>
      </c>
      <c r="AI61" s="78">
        <f ca="1">IF(AH61=1,_xll.RiskBinomial(1,Prob_illness_Adv_infection),0)</f>
        <v>0</v>
      </c>
      <c r="AJ61" s="26"/>
      <c r="AK61" s="77">
        <f t="shared" ca="1" si="10"/>
        <v>2.7865876102423019E-10</v>
      </c>
      <c r="AL61" s="33">
        <f ca="1">INT(AK61) + _xll.RiskBinomial(1,AK61-INT(AK61))</f>
        <v>0</v>
      </c>
      <c r="AM61" s="26">
        <f t="shared" ca="1" si="34"/>
        <v>0</v>
      </c>
      <c r="AN61" s="31">
        <f ca="1">_xll.RiskBinomial(1,AM61)</f>
        <v>0</v>
      </c>
      <c r="AO61" s="78">
        <f ca="1">IF(AN61=1,_xll.RiskBinomial(1,Prob_illness_Adv_infection),0)</f>
        <v>0</v>
      </c>
      <c r="AP61" s="26"/>
      <c r="AQ61" s="77">
        <f t="shared" ca="1" si="12"/>
        <v>5.2871087510833491E-10</v>
      </c>
      <c r="AR61" s="33">
        <f ca="1">INT(AQ61) + _xll.RiskBinomial(1,AQ61-INT(AQ61))</f>
        <v>0</v>
      </c>
      <c r="AS61" s="26">
        <f t="shared" ca="1" si="35"/>
        <v>0</v>
      </c>
      <c r="AT61" s="31">
        <f ca="1">_xll.RiskBinomial(1,AS61)</f>
        <v>0</v>
      </c>
      <c r="AU61" s="78">
        <f ca="1">IF(AT61=1,_xll.RiskBinomial(1,Prob_illness_Adv_infection),0)</f>
        <v>0</v>
      </c>
      <c r="AV61" s="26"/>
      <c r="AW61" s="77">
        <f t="shared" ca="1" si="22"/>
        <v>9.3113346859935263E-12</v>
      </c>
      <c r="AX61" s="33">
        <f ca="1">INT(AW61) + _xll.RiskBinomial(1,AW61-INT(AW61))</f>
        <v>0</v>
      </c>
      <c r="AY61" s="26">
        <f t="shared" ca="1" si="36"/>
        <v>0</v>
      </c>
      <c r="AZ61" s="31">
        <f ca="1">_xll.RiskBinomial(1,AY61)</f>
        <v>0</v>
      </c>
      <c r="BA61" s="78">
        <f ca="1">IF(AZ61=1,_xll.RiskBinomial(1,Prob_illness_Adv_infection),0)</f>
        <v>0</v>
      </c>
      <c r="BC61" s="77">
        <f t="shared" ca="1" si="23"/>
        <v>4.7727526489672007E-11</v>
      </c>
      <c r="BD61" s="33">
        <f ca="1">INT(BC61) + _xll.RiskBinomial(1,BC61-INT(BC61))</f>
        <v>0</v>
      </c>
      <c r="BE61" s="26">
        <f t="shared" ca="1" si="37"/>
        <v>0</v>
      </c>
      <c r="BF61" s="31">
        <f ca="1">_xll.RiskBinomial(1,BE61)</f>
        <v>0</v>
      </c>
      <c r="BG61" s="78">
        <f ca="1">IF(BF61=1,_xll.RiskBinomial(1,Prob_illness_Adv_infection),0)</f>
        <v>0</v>
      </c>
      <c r="BI61" s="77">
        <f t="shared" ca="1" si="24"/>
        <v>2.2225823568393044E-11</v>
      </c>
      <c r="BJ61" s="33">
        <f ca="1">INT(BI61) + _xll.RiskBinomial(1,BI61-INT(BI61))</f>
        <v>0</v>
      </c>
      <c r="BK61" s="26">
        <f t="shared" ca="1" si="38"/>
        <v>0</v>
      </c>
      <c r="BL61" s="31">
        <f ca="1">_xll.RiskBinomial(1,BK61)</f>
        <v>0</v>
      </c>
      <c r="BM61" s="78">
        <f ca="1">IF(BL61=1,_xll.RiskBinomial(1,Prob_illness_Adv_infection),0)</f>
        <v>0</v>
      </c>
      <c r="BO61" s="77">
        <f t="shared" ca="1" si="25"/>
        <v>4.8052408851291479E-11</v>
      </c>
      <c r="BP61" s="33">
        <f ca="1">INT(BO61) + _xll.RiskBinomial(1,BO61-INT(BO61))</f>
        <v>0</v>
      </c>
      <c r="BQ61" s="26">
        <f t="shared" ca="1" si="39"/>
        <v>0</v>
      </c>
      <c r="BR61" s="31">
        <f ca="1">_xll.RiskBinomial(1,BQ61)</f>
        <v>0</v>
      </c>
      <c r="BS61" s="78">
        <f ca="1">IF(BR61=1,_xll.RiskBinomial(1,Prob_illness_Adv_infection),0)</f>
        <v>0</v>
      </c>
      <c r="BU61" s="77">
        <f t="shared" ca="1" si="26"/>
        <v>3.4333568734175719E-13</v>
      </c>
      <c r="BV61" s="33">
        <f ca="1">INT(BU61) + _xll.RiskBinomial(1,BU61-INT(BU61))</f>
        <v>0</v>
      </c>
      <c r="BW61" s="26">
        <f t="shared" ca="1" si="40"/>
        <v>0</v>
      </c>
      <c r="BX61" s="31">
        <f ca="1">_xll.RiskBinomial(1,BW61)</f>
        <v>0</v>
      </c>
      <c r="BY61" s="78">
        <f ca="1">IF(BX61=1,_xll.RiskBinomial(1,Prob_illness_Adv_infection),0)</f>
        <v>0</v>
      </c>
      <c r="CA61" s="77">
        <f t="shared" ca="1" si="27"/>
        <v>5.2096492438706615E-11</v>
      </c>
      <c r="CB61" s="33">
        <f ca="1">INT(CA61) + _xll.RiskBinomial(1,CA61-INT(CA61))</f>
        <v>0</v>
      </c>
      <c r="CC61" s="26">
        <f t="shared" ca="1" si="41"/>
        <v>0</v>
      </c>
      <c r="CD61" s="31">
        <f ca="1">_xll.RiskBinomial(1,CC61)</f>
        <v>0</v>
      </c>
      <c r="CE61" s="78">
        <f ca="1">IF(CD61=1,_xll.RiskBinomial(1,Prob_illness_Adv_infection),0)</f>
        <v>0</v>
      </c>
      <c r="CG61" s="77" t="e">
        <f t="shared" ca="1" si="28"/>
        <v>#VALUE!</v>
      </c>
      <c r="CH61" s="33" t="e">
        <f ca="1">INT(CG61) + _xll.RiskBinomial(1,CG61-INT(CG61))</f>
        <v>#VALUE!</v>
      </c>
      <c r="CI61" s="26" t="e">
        <f t="shared" ca="1" si="42"/>
        <v>#VALUE!</v>
      </c>
      <c r="CJ61" s="31" t="e">
        <f ca="1">_xll.RiskBinomial(1,CI61)</f>
        <v>#VALUE!</v>
      </c>
      <c r="CK61" s="78" t="e">
        <f ca="1">IF(CJ61=1,_xll.RiskBinomial(1,Prob_illness_Adv_infection),0)</f>
        <v>#VALUE!</v>
      </c>
    </row>
    <row r="62" spans="2:89" x14ac:dyDescent="0.2">
      <c r="B62" s="97">
        <v>54</v>
      </c>
      <c r="C62" s="100">
        <f ca="1" xml:space="preserve"> _xll.RiskPert(Dur_event_hours_min,Dur_event_hours_mode,Dur_event_hours_max)</f>
        <v>0.50171155870000939</v>
      </c>
      <c r="D62" s="26">
        <f ca="1">_xll.RiskPert(Primary_Ing_Rate_mL_per_hour_min,Primary_Ing_Rate_mL_per_hour_mode,Primary_Ing_Rate_mL_per_hour_max)</f>
        <v>19.833857408044093</v>
      </c>
      <c r="E62" s="34">
        <f t="shared" ca="1" si="0"/>
        <v>9.9508755152235295</v>
      </c>
      <c r="F62" s="26"/>
      <c r="G62" s="77">
        <f t="shared" ca="1" si="21"/>
        <v>9.1363681692515528E-10</v>
      </c>
      <c r="H62" s="33">
        <f ca="1">INT(G62) + _xll.RiskBinomial(1,G62-INT(G62))</f>
        <v>0</v>
      </c>
      <c r="I62" s="26">
        <f t="shared" ca="1" si="29"/>
        <v>0</v>
      </c>
      <c r="J62" s="31">
        <f ca="1">_xll.RiskBinomial(1,I62)</f>
        <v>0</v>
      </c>
      <c r="K62" s="78">
        <f ca="1">IF(J62=1,_xll.RiskBinomial(1,Prob_illness_Adv_infection),0)</f>
        <v>0</v>
      </c>
      <c r="L62" s="26"/>
      <c r="M62" s="77">
        <f t="shared" ca="1" si="2"/>
        <v>2.269074208748582E-11</v>
      </c>
      <c r="N62" s="33">
        <f ca="1">INT(M62) + _xll.RiskBinomial(1,M62-INT(M62))</f>
        <v>0</v>
      </c>
      <c r="O62" s="26">
        <f t="shared" ca="1" si="30"/>
        <v>0</v>
      </c>
      <c r="P62" s="31">
        <f ca="1">_xll.RiskBinomial(1,O62)</f>
        <v>0</v>
      </c>
      <c r="Q62" s="78">
        <f ca="1">IF(P62=1,_xll.RiskBinomial(1,Prob_illness_Adv_infection),0)</f>
        <v>0</v>
      </c>
      <c r="R62" s="26"/>
      <c r="S62" s="77">
        <f t="shared" ca="1" si="4"/>
        <v>2.8733019713886911E-10</v>
      </c>
      <c r="T62" s="33">
        <f ca="1">INT(S62) + _xll.RiskBinomial(1,S62-INT(S62))</f>
        <v>0</v>
      </c>
      <c r="U62" s="26">
        <f t="shared" ca="1" si="31"/>
        <v>0</v>
      </c>
      <c r="V62" s="31">
        <f ca="1">_xll.RiskBinomial(1,U62)</f>
        <v>0</v>
      </c>
      <c r="W62" s="78">
        <f ca="1">IF(V62=1,_xll.RiskBinomial(1,Prob_illness_Adv_infection),0)</f>
        <v>0</v>
      </c>
      <c r="X62" s="26"/>
      <c r="Y62" s="77">
        <f t="shared" ca="1" si="6"/>
        <v>2.3898361984275304E-11</v>
      </c>
      <c r="Z62" s="33">
        <f ca="1">INT(Y62) + _xll.RiskBinomial(1,Y62-INT(Y62))</f>
        <v>0</v>
      </c>
      <c r="AA62" s="26">
        <f t="shared" ca="1" si="32"/>
        <v>0</v>
      </c>
      <c r="AB62" s="31">
        <f ca="1">_xll.RiskBinomial(1,AA62)</f>
        <v>0</v>
      </c>
      <c r="AC62" s="78">
        <f ca="1">IF(AB62=1,_xll.RiskBinomial(1,Prob_illness_Adv_infection),0)</f>
        <v>0</v>
      </c>
      <c r="AD62" s="26"/>
      <c r="AE62" s="77">
        <f t="shared" ca="1" si="8"/>
        <v>3.5888830470121608E-11</v>
      </c>
      <c r="AF62" s="33">
        <f ca="1">INT(AE62) + _xll.RiskBinomial(1,AE62-INT(AE62))</f>
        <v>0</v>
      </c>
      <c r="AG62" s="26">
        <f t="shared" ca="1" si="33"/>
        <v>0</v>
      </c>
      <c r="AH62" s="31">
        <f ca="1">_xll.RiskBinomial(1,AG62)</f>
        <v>0</v>
      </c>
      <c r="AI62" s="78">
        <f ca="1">IF(AH62=1,_xll.RiskBinomial(1,Prob_illness_Adv_infection),0)</f>
        <v>0</v>
      </c>
      <c r="AJ62" s="26"/>
      <c r="AK62" s="77">
        <f t="shared" ca="1" si="10"/>
        <v>2.3349583665051171E-10</v>
      </c>
      <c r="AL62" s="33">
        <f ca="1">INT(AK62) + _xll.RiskBinomial(1,AK62-INT(AK62))</f>
        <v>0</v>
      </c>
      <c r="AM62" s="26">
        <f t="shared" ca="1" si="34"/>
        <v>0</v>
      </c>
      <c r="AN62" s="31">
        <f ca="1">_xll.RiskBinomial(1,AM62)</f>
        <v>0</v>
      </c>
      <c r="AO62" s="78">
        <f ca="1">IF(AN62=1,_xll.RiskBinomial(1,Prob_illness_Adv_infection),0)</f>
        <v>0</v>
      </c>
      <c r="AP62" s="26"/>
      <c r="AQ62" s="77">
        <f t="shared" ca="1" si="12"/>
        <v>4.4302137738605093E-10</v>
      </c>
      <c r="AR62" s="33">
        <f ca="1">INT(AQ62) + _xll.RiskBinomial(1,AQ62-INT(AQ62))</f>
        <v>0</v>
      </c>
      <c r="AS62" s="26">
        <f t="shared" ca="1" si="35"/>
        <v>0</v>
      </c>
      <c r="AT62" s="31">
        <f ca="1">_xll.RiskBinomial(1,AS62)</f>
        <v>0</v>
      </c>
      <c r="AU62" s="78">
        <f ca="1">IF(AT62=1,_xll.RiskBinomial(1,Prob_illness_Adv_infection),0)</f>
        <v>0</v>
      </c>
      <c r="AV62" s="26"/>
      <c r="AW62" s="77">
        <f t="shared" ca="1" si="22"/>
        <v>7.8022233173208524E-12</v>
      </c>
      <c r="AX62" s="33">
        <f ca="1">INT(AW62) + _xll.RiskBinomial(1,AW62-INT(AW62))</f>
        <v>0</v>
      </c>
      <c r="AY62" s="26">
        <f t="shared" ca="1" si="36"/>
        <v>0</v>
      </c>
      <c r="AZ62" s="31">
        <f ca="1">_xll.RiskBinomial(1,AY62)</f>
        <v>0</v>
      </c>
      <c r="BA62" s="78">
        <f ca="1">IF(AZ62=1,_xll.RiskBinomial(1,Prob_illness_Adv_infection),0)</f>
        <v>0</v>
      </c>
      <c r="BC62" s="77">
        <f t="shared" ca="1" si="23"/>
        <v>3.999220655400964E-11</v>
      </c>
      <c r="BD62" s="33">
        <f ca="1">INT(BC62) + _xll.RiskBinomial(1,BC62-INT(BC62))</f>
        <v>0</v>
      </c>
      <c r="BE62" s="26">
        <f t="shared" ca="1" si="37"/>
        <v>0</v>
      </c>
      <c r="BF62" s="31">
        <f ca="1">_xll.RiskBinomial(1,BE62)</f>
        <v>0</v>
      </c>
      <c r="BG62" s="78">
        <f ca="1">IF(BF62=1,_xll.RiskBinomial(1,Prob_illness_Adv_infection),0)</f>
        <v>0</v>
      </c>
      <c r="BI62" s="77">
        <f t="shared" ca="1" si="24"/>
        <v>1.862362859245377E-11</v>
      </c>
      <c r="BJ62" s="33">
        <f ca="1">INT(BI62) + _xll.RiskBinomial(1,BI62-INT(BI62))</f>
        <v>0</v>
      </c>
      <c r="BK62" s="26">
        <f t="shared" ca="1" si="38"/>
        <v>0</v>
      </c>
      <c r="BL62" s="31">
        <f ca="1">_xll.RiskBinomial(1,BK62)</f>
        <v>0</v>
      </c>
      <c r="BM62" s="78">
        <f ca="1">IF(BL62=1,_xll.RiskBinomial(1,Prob_illness_Adv_infection),0)</f>
        <v>0</v>
      </c>
      <c r="BO62" s="77">
        <f t="shared" ca="1" si="25"/>
        <v>4.0264434416361819E-11</v>
      </c>
      <c r="BP62" s="33">
        <f ca="1">INT(BO62) + _xll.RiskBinomial(1,BO62-INT(BO62))</f>
        <v>0</v>
      </c>
      <c r="BQ62" s="26">
        <f t="shared" ca="1" si="39"/>
        <v>0</v>
      </c>
      <c r="BR62" s="31">
        <f ca="1">_xll.RiskBinomial(1,BQ62)</f>
        <v>0</v>
      </c>
      <c r="BS62" s="78">
        <f ca="1">IF(BR62=1,_xll.RiskBinomial(1,Prob_illness_Adv_infection),0)</f>
        <v>0</v>
      </c>
      <c r="BU62" s="77">
        <f t="shared" ca="1" si="26"/>
        <v>2.8769041128719903E-13</v>
      </c>
      <c r="BV62" s="33">
        <f ca="1">INT(BU62) + _xll.RiskBinomial(1,BU62-INT(BU62))</f>
        <v>0</v>
      </c>
      <c r="BW62" s="26">
        <f t="shared" ca="1" si="40"/>
        <v>0</v>
      </c>
      <c r="BX62" s="31">
        <f ca="1">_xll.RiskBinomial(1,BW62)</f>
        <v>0</v>
      </c>
      <c r="BY62" s="78">
        <f ca="1">IF(BX62=1,_xll.RiskBinomial(1,Prob_illness_Adv_infection),0)</f>
        <v>0</v>
      </c>
      <c r="CA62" s="77">
        <f t="shared" ca="1" si="27"/>
        <v>4.3653083232775644E-11</v>
      </c>
      <c r="CB62" s="33">
        <f ca="1">INT(CA62) + _xll.RiskBinomial(1,CA62-INT(CA62))</f>
        <v>0</v>
      </c>
      <c r="CC62" s="26">
        <f t="shared" ca="1" si="41"/>
        <v>0</v>
      </c>
      <c r="CD62" s="31">
        <f ca="1">_xll.RiskBinomial(1,CC62)</f>
        <v>0</v>
      </c>
      <c r="CE62" s="78">
        <f ca="1">IF(CD62=1,_xll.RiskBinomial(1,Prob_illness_Adv_infection),0)</f>
        <v>0</v>
      </c>
      <c r="CG62" s="77" t="e">
        <f t="shared" ca="1" si="28"/>
        <v>#VALUE!</v>
      </c>
      <c r="CH62" s="33" t="e">
        <f ca="1">INT(CG62) + _xll.RiskBinomial(1,CG62-INT(CG62))</f>
        <v>#VALUE!</v>
      </c>
      <c r="CI62" s="26" t="e">
        <f t="shared" ca="1" si="42"/>
        <v>#VALUE!</v>
      </c>
      <c r="CJ62" s="31" t="e">
        <f ca="1">_xll.RiskBinomial(1,CI62)</f>
        <v>#VALUE!</v>
      </c>
      <c r="CK62" s="78" t="e">
        <f ca="1">IF(CJ62=1,_xll.RiskBinomial(1,Prob_illness_Adv_infection),0)</f>
        <v>#VALUE!</v>
      </c>
    </row>
    <row r="63" spans="2:89" x14ac:dyDescent="0.2">
      <c r="B63" s="97">
        <v>55</v>
      </c>
      <c r="C63" s="100">
        <f ca="1" xml:space="preserve"> _xll.RiskPert(Dur_event_hours_min,Dur_event_hours_mode,Dur_event_hours_max)</f>
        <v>2.7668981294871906</v>
      </c>
      <c r="D63" s="26">
        <f ca="1">_xll.RiskPert(Primary_Ing_Rate_mL_per_hour_min,Primary_Ing_Rate_mL_per_hour_mode,Primary_Ing_Rate_mL_per_hour_max)</f>
        <v>5.1664533434906437</v>
      </c>
      <c r="E63" s="34">
        <f t="shared" ca="1" si="0"/>
        <v>14.295050092187104</v>
      </c>
      <c r="F63" s="26"/>
      <c r="G63" s="77">
        <f t="shared" ca="1" si="21"/>
        <v>1.3124959752567152E-9</v>
      </c>
      <c r="H63" s="33">
        <f ca="1">INT(G63) + _xll.RiskBinomial(1,G63-INT(G63))</f>
        <v>0</v>
      </c>
      <c r="I63" s="26">
        <f t="shared" ca="1" si="29"/>
        <v>0</v>
      </c>
      <c r="J63" s="31">
        <f ca="1">_xll.RiskBinomial(1,I63)</f>
        <v>0</v>
      </c>
      <c r="K63" s="78">
        <f ca="1">IF(J63=1,_xll.RiskBinomial(1,Prob_illness_Adv_infection),0)</f>
        <v>0</v>
      </c>
      <c r="L63" s="26"/>
      <c r="M63" s="77">
        <f t="shared" ca="1" si="2"/>
        <v>3.2596658884263176E-11</v>
      </c>
      <c r="N63" s="33">
        <f ca="1">INT(M63) + _xll.RiskBinomial(1,M63-INT(M63))</f>
        <v>0</v>
      </c>
      <c r="O63" s="26">
        <f t="shared" ca="1" si="30"/>
        <v>0</v>
      </c>
      <c r="P63" s="31">
        <f ca="1">_xll.RiskBinomial(1,O63)</f>
        <v>0</v>
      </c>
      <c r="Q63" s="78">
        <f ca="1">IF(P63=1,_xll.RiskBinomial(1,Prob_illness_Adv_infection),0)</f>
        <v>0</v>
      </c>
      <c r="R63" s="26"/>
      <c r="S63" s="77">
        <f t="shared" ca="1" si="4"/>
        <v>4.1276765595292081E-10</v>
      </c>
      <c r="T63" s="33">
        <f ca="1">INT(S63) + _xll.RiskBinomial(1,S63-INT(S63))</f>
        <v>0</v>
      </c>
      <c r="U63" s="26">
        <f t="shared" ca="1" si="31"/>
        <v>0</v>
      </c>
      <c r="V63" s="31">
        <f ca="1">_xll.RiskBinomial(1,U63)</f>
        <v>0</v>
      </c>
      <c r="W63" s="78">
        <f ca="1">IF(V63=1,_xll.RiskBinomial(1,Prob_illness_Adv_infection),0)</f>
        <v>0</v>
      </c>
      <c r="X63" s="26"/>
      <c r="Y63" s="77">
        <f t="shared" ca="1" si="6"/>
        <v>3.4331479794294393E-11</v>
      </c>
      <c r="Z63" s="33">
        <f ca="1">INT(Y63) + _xll.RiskBinomial(1,Y63-INT(Y63))</f>
        <v>0</v>
      </c>
      <c r="AA63" s="26">
        <f t="shared" ca="1" si="32"/>
        <v>0</v>
      </c>
      <c r="AB63" s="31">
        <f ca="1">_xll.RiskBinomial(1,AA63)</f>
        <v>0</v>
      </c>
      <c r="AC63" s="78">
        <f ca="1">IF(AB63=1,_xll.RiskBinomial(1,Prob_illness_Adv_infection),0)</f>
        <v>0</v>
      </c>
      <c r="AD63" s="26"/>
      <c r="AE63" s="77">
        <f t="shared" ca="1" si="8"/>
        <v>5.155653173788847E-11</v>
      </c>
      <c r="AF63" s="33">
        <f ca="1">INT(AE63) + _xll.RiskBinomial(1,AE63-INT(AE63))</f>
        <v>0</v>
      </c>
      <c r="AG63" s="26">
        <f t="shared" ca="1" si="33"/>
        <v>0</v>
      </c>
      <c r="AH63" s="31">
        <f ca="1">_xll.RiskBinomial(1,AG63)</f>
        <v>0</v>
      </c>
      <c r="AI63" s="78">
        <f ca="1">IF(AH63=1,_xll.RiskBinomial(1,Prob_illness_Adv_infection),0)</f>
        <v>0</v>
      </c>
      <c r="AJ63" s="26"/>
      <c r="AK63" s="77">
        <f t="shared" ca="1" si="10"/>
        <v>3.3543125689088913E-10</v>
      </c>
      <c r="AL63" s="33">
        <f ca="1">INT(AK63) + _xll.RiskBinomial(1,AK63-INT(AK63))</f>
        <v>0</v>
      </c>
      <c r="AM63" s="26">
        <f t="shared" ca="1" si="34"/>
        <v>0</v>
      </c>
      <c r="AN63" s="31">
        <f ca="1">_xll.RiskBinomial(1,AM63)</f>
        <v>0</v>
      </c>
      <c r="AO63" s="78">
        <f ca="1">IF(AN63=1,_xll.RiskBinomial(1,Prob_illness_Adv_infection),0)</f>
        <v>0</v>
      </c>
      <c r="AP63" s="26"/>
      <c r="AQ63" s="77">
        <f t="shared" ca="1" si="12"/>
        <v>6.3642769643280629E-10</v>
      </c>
      <c r="AR63" s="33">
        <f ca="1">INT(AQ63) + _xll.RiskBinomial(1,AQ63-INT(AQ63))</f>
        <v>0</v>
      </c>
      <c r="AS63" s="26">
        <f t="shared" ca="1" si="35"/>
        <v>0</v>
      </c>
      <c r="AT63" s="31">
        <f ca="1">_xll.RiskBinomial(1,AS63)</f>
        <v>0</v>
      </c>
      <c r="AU63" s="78">
        <f ca="1">IF(AT63=1,_xll.RiskBinomial(1,Prob_illness_Adv_infection),0)</f>
        <v>0</v>
      </c>
      <c r="AV63" s="26"/>
      <c r="AW63" s="77">
        <f t="shared" ca="1" si="22"/>
        <v>1.1208377894075828E-11</v>
      </c>
      <c r="AX63" s="33">
        <f ca="1">INT(AW63) + _xll.RiskBinomial(1,AW63-INT(AW63))</f>
        <v>0</v>
      </c>
      <c r="AY63" s="26">
        <f t="shared" ca="1" si="36"/>
        <v>0</v>
      </c>
      <c r="AZ63" s="31">
        <f ca="1">_xll.RiskBinomial(1,AY63)</f>
        <v>0</v>
      </c>
      <c r="BA63" s="78">
        <f ca="1">IF(AZ63=1,_xll.RiskBinomial(1,Prob_illness_Adv_infection),0)</f>
        <v>0</v>
      </c>
      <c r="BC63" s="77">
        <f t="shared" ca="1" si="23"/>
        <v>5.7451286081516128E-11</v>
      </c>
      <c r="BD63" s="33">
        <f ca="1">INT(BC63) + _xll.RiskBinomial(1,BC63-INT(BC63))</f>
        <v>0</v>
      </c>
      <c r="BE63" s="26">
        <f t="shared" ca="1" si="37"/>
        <v>0</v>
      </c>
      <c r="BF63" s="31">
        <f ca="1">_xll.RiskBinomial(1,BE63)</f>
        <v>0</v>
      </c>
      <c r="BG63" s="78">
        <f ca="1">IF(BF63=1,_xll.RiskBinomial(1,Prob_illness_Adv_infection),0)</f>
        <v>0</v>
      </c>
      <c r="BI63" s="77">
        <f t="shared" ca="1" si="24"/>
        <v>2.6753997999485005E-11</v>
      </c>
      <c r="BJ63" s="33">
        <f ca="1">INT(BI63) + _xll.RiskBinomial(1,BI63-INT(BI63))</f>
        <v>0</v>
      </c>
      <c r="BK63" s="26">
        <f t="shared" ca="1" si="38"/>
        <v>0</v>
      </c>
      <c r="BL63" s="31">
        <f ca="1">_xll.RiskBinomial(1,BK63)</f>
        <v>0</v>
      </c>
      <c r="BM63" s="78">
        <f ca="1">IF(BL63=1,_xll.RiskBinomial(1,Prob_illness_Adv_infection),0)</f>
        <v>0</v>
      </c>
      <c r="BO63" s="77">
        <f t="shared" ca="1" si="25"/>
        <v>5.7842358296504643E-11</v>
      </c>
      <c r="BP63" s="33">
        <f ca="1">INT(BO63) + _xll.RiskBinomial(1,BO63-INT(BO63))</f>
        <v>0</v>
      </c>
      <c r="BQ63" s="26">
        <f t="shared" ca="1" si="39"/>
        <v>0</v>
      </c>
      <c r="BR63" s="31">
        <f ca="1">_xll.RiskBinomial(1,BQ63)</f>
        <v>0</v>
      </c>
      <c r="BS63" s="78">
        <f ca="1">IF(BR63=1,_xll.RiskBinomial(1,Prob_illness_Adv_infection),0)</f>
        <v>0</v>
      </c>
      <c r="BU63" s="77">
        <f t="shared" ca="1" si="26"/>
        <v>4.1328512592693596E-13</v>
      </c>
      <c r="BV63" s="33">
        <f ca="1">INT(BU63) + _xll.RiskBinomial(1,BU63-INT(BU63))</f>
        <v>0</v>
      </c>
      <c r="BW63" s="26">
        <f t="shared" ca="1" si="40"/>
        <v>0</v>
      </c>
      <c r="BX63" s="31">
        <f ca="1">_xll.RiskBinomial(1,BW63)</f>
        <v>0</v>
      </c>
      <c r="BY63" s="78">
        <f ca="1">IF(BX63=1,_xll.RiskBinomial(1,Prob_illness_Adv_infection),0)</f>
        <v>0</v>
      </c>
      <c r="CA63" s="77">
        <f t="shared" ca="1" si="27"/>
        <v>6.2710362574254668E-11</v>
      </c>
      <c r="CB63" s="33">
        <f ca="1">INT(CA63) + _xll.RiskBinomial(1,CA63-INT(CA63))</f>
        <v>0</v>
      </c>
      <c r="CC63" s="26">
        <f t="shared" ca="1" si="41"/>
        <v>0</v>
      </c>
      <c r="CD63" s="31">
        <f ca="1">_xll.RiskBinomial(1,CC63)</f>
        <v>0</v>
      </c>
      <c r="CE63" s="78">
        <f ca="1">IF(CD63=1,_xll.RiskBinomial(1,Prob_illness_Adv_infection),0)</f>
        <v>0</v>
      </c>
      <c r="CG63" s="77" t="e">
        <f t="shared" ca="1" si="28"/>
        <v>#VALUE!</v>
      </c>
      <c r="CH63" s="33" t="e">
        <f ca="1">INT(CG63) + _xll.RiskBinomial(1,CG63-INT(CG63))</f>
        <v>#VALUE!</v>
      </c>
      <c r="CI63" s="26" t="e">
        <f t="shared" ca="1" si="42"/>
        <v>#VALUE!</v>
      </c>
      <c r="CJ63" s="31" t="e">
        <f ca="1">_xll.RiskBinomial(1,CI63)</f>
        <v>#VALUE!</v>
      </c>
      <c r="CK63" s="78" t="e">
        <f ca="1">IF(CJ63=1,_xll.RiskBinomial(1,Prob_illness_Adv_infection),0)</f>
        <v>#VALUE!</v>
      </c>
    </row>
    <row r="64" spans="2:89" x14ac:dyDescent="0.2">
      <c r="B64" s="97">
        <v>56</v>
      </c>
      <c r="C64" s="100">
        <f ca="1" xml:space="preserve"> _xll.RiskPert(Dur_event_hours_min,Dur_event_hours_mode,Dur_event_hours_max)</f>
        <v>1.8443390792057539</v>
      </c>
      <c r="D64" s="26">
        <f ca="1">_xll.RiskPert(Primary_Ing_Rate_mL_per_hour_min,Primary_Ing_Rate_mL_per_hour_mode,Primary_Ing_Rate_mL_per_hour_max)</f>
        <v>12.805968878193671</v>
      </c>
      <c r="E64" s="34">
        <f t="shared" ca="1" si="0"/>
        <v>23.618548849145256</v>
      </c>
      <c r="F64" s="26"/>
      <c r="G64" s="77">
        <f t="shared" ca="1" si="21"/>
        <v>2.1685303728211329E-9</v>
      </c>
      <c r="H64" s="33">
        <f ca="1">INT(G64) + _xll.RiskBinomial(1,G64-INT(G64))</f>
        <v>0</v>
      </c>
      <c r="I64" s="26">
        <f t="shared" ca="1" si="29"/>
        <v>0</v>
      </c>
      <c r="J64" s="31">
        <f ca="1">_xll.RiskBinomial(1,I64)</f>
        <v>0</v>
      </c>
      <c r="K64" s="78">
        <f ca="1">IF(J64=1,_xll.RiskBinomial(1,Prob_illness_Adv_infection),0)</f>
        <v>0</v>
      </c>
      <c r="L64" s="26"/>
      <c r="M64" s="77">
        <f t="shared" ca="1" si="2"/>
        <v>5.3856808840262275E-11</v>
      </c>
      <c r="N64" s="33">
        <f ca="1">INT(M64) + _xll.RiskBinomial(1,M64-INT(M64))</f>
        <v>0</v>
      </c>
      <c r="O64" s="26">
        <f t="shared" ca="1" si="30"/>
        <v>0</v>
      </c>
      <c r="P64" s="31">
        <f ca="1">_xll.RiskBinomial(1,O64)</f>
        <v>0</v>
      </c>
      <c r="Q64" s="78">
        <f ca="1">IF(P64=1,_xll.RiskBinomial(1,Prob_illness_Adv_infection),0)</f>
        <v>0</v>
      </c>
      <c r="R64" s="26"/>
      <c r="S64" s="77">
        <f t="shared" ca="1" si="4"/>
        <v>6.8198243326195131E-10</v>
      </c>
      <c r="T64" s="33">
        <f ca="1">INT(S64) + _xll.RiskBinomial(1,S64-INT(S64))</f>
        <v>0</v>
      </c>
      <c r="U64" s="26">
        <f t="shared" ca="1" si="31"/>
        <v>0</v>
      </c>
      <c r="V64" s="31">
        <f ca="1">_xll.RiskBinomial(1,U64)</f>
        <v>0</v>
      </c>
      <c r="W64" s="78">
        <f ca="1">IF(V64=1,_xll.RiskBinomial(1,Prob_illness_Adv_infection),0)</f>
        <v>0</v>
      </c>
      <c r="X64" s="26"/>
      <c r="Y64" s="77">
        <f t="shared" ca="1" si="6"/>
        <v>5.6723112360981321E-11</v>
      </c>
      <c r="Z64" s="33">
        <f ca="1">INT(Y64) + _xll.RiskBinomial(1,Y64-INT(Y64))</f>
        <v>0</v>
      </c>
      <c r="AA64" s="26">
        <f t="shared" ca="1" si="32"/>
        <v>0</v>
      </c>
      <c r="AB64" s="31">
        <f ca="1">_xll.RiskBinomial(1,AA64)</f>
        <v>0</v>
      </c>
      <c r="AC64" s="78">
        <f ca="1">IF(AB64=1,_xll.RiskBinomial(1,Prob_illness_Adv_infection),0)</f>
        <v>0</v>
      </c>
      <c r="AD64" s="26"/>
      <c r="AE64" s="77">
        <f t="shared" ca="1" si="8"/>
        <v>8.5182665012789974E-11</v>
      </c>
      <c r="AF64" s="33">
        <f ca="1">INT(AE64) + _xll.RiskBinomial(1,AE64-INT(AE64))</f>
        <v>0</v>
      </c>
      <c r="AG64" s="26">
        <f t="shared" ca="1" si="33"/>
        <v>0</v>
      </c>
      <c r="AH64" s="31">
        <f ca="1">_xll.RiskBinomial(1,AG64)</f>
        <v>0</v>
      </c>
      <c r="AI64" s="78">
        <f ca="1">IF(AH64=1,_xll.RiskBinomial(1,Prob_illness_Adv_infection),0)</f>
        <v>0</v>
      </c>
      <c r="AJ64" s="26"/>
      <c r="AK64" s="77">
        <f t="shared" ca="1" si="10"/>
        <v>5.5420578978856525E-10</v>
      </c>
      <c r="AL64" s="33">
        <f ca="1">INT(AK64) + _xll.RiskBinomial(1,AK64-INT(AK64))</f>
        <v>0</v>
      </c>
      <c r="AM64" s="26">
        <f t="shared" ca="1" si="34"/>
        <v>0</v>
      </c>
      <c r="AN64" s="31">
        <f ca="1">_xll.RiskBinomial(1,AM64)</f>
        <v>0</v>
      </c>
      <c r="AO64" s="78">
        <f ca="1">IF(AN64=1,_xll.RiskBinomial(1,Prob_illness_Adv_infection),0)</f>
        <v>0</v>
      </c>
      <c r="AP64" s="26"/>
      <c r="AQ64" s="77">
        <f t="shared" ca="1" si="12"/>
        <v>1.0515177309775655E-9</v>
      </c>
      <c r="AR64" s="33">
        <f ca="1">INT(AQ64) + _xll.RiskBinomial(1,AQ64-INT(AQ64))</f>
        <v>0</v>
      </c>
      <c r="AS64" s="26">
        <f t="shared" ca="1" si="35"/>
        <v>0</v>
      </c>
      <c r="AT64" s="31">
        <f ca="1">_xll.RiskBinomial(1,AS64)</f>
        <v>0</v>
      </c>
      <c r="AU64" s="78">
        <f ca="1">IF(AT64=1,_xll.RiskBinomial(1,Prob_illness_Adv_infection),0)</f>
        <v>0</v>
      </c>
      <c r="AV64" s="26"/>
      <c r="AW64" s="77">
        <f t="shared" ca="1" si="22"/>
        <v>1.8518691372448874E-11</v>
      </c>
      <c r="AX64" s="33">
        <f ca="1">INT(AW64) + _xll.RiskBinomial(1,AW64-INT(AW64))</f>
        <v>0</v>
      </c>
      <c r="AY64" s="26">
        <f t="shared" ca="1" si="36"/>
        <v>0</v>
      </c>
      <c r="AZ64" s="31">
        <f ca="1">_xll.RiskBinomial(1,AY64)</f>
        <v>0</v>
      </c>
      <c r="BA64" s="78">
        <f ca="1">IF(AZ64=1,_xll.RiskBinomial(1,Prob_illness_Adv_infection),0)</f>
        <v>0</v>
      </c>
      <c r="BC64" s="77">
        <f t="shared" ca="1" si="23"/>
        <v>9.4922088276145598E-11</v>
      </c>
      <c r="BD64" s="33">
        <f ca="1">INT(BC64) + _xll.RiskBinomial(1,BC64-INT(BC64))</f>
        <v>0</v>
      </c>
      <c r="BE64" s="26">
        <f t="shared" ca="1" si="37"/>
        <v>0</v>
      </c>
      <c r="BF64" s="31">
        <f ca="1">_xll.RiskBinomial(1,BE64)</f>
        <v>0</v>
      </c>
      <c r="BG64" s="78">
        <f ca="1">IF(BF64=1,_xll.RiskBinomial(1,Prob_illness_Adv_infection),0)</f>
        <v>0</v>
      </c>
      <c r="BI64" s="77">
        <f t="shared" ca="1" si="24"/>
        <v>4.4203455362925103E-11</v>
      </c>
      <c r="BJ64" s="33">
        <f ca="1">INT(BI64) + _xll.RiskBinomial(1,BI64-INT(BI64))</f>
        <v>0</v>
      </c>
      <c r="BK64" s="26">
        <f t="shared" ca="1" si="38"/>
        <v>0</v>
      </c>
      <c r="BL64" s="31">
        <f ca="1">_xll.RiskBinomial(1,BK64)</f>
        <v>0</v>
      </c>
      <c r="BM64" s="78">
        <f ca="1">IF(BL64=1,_xll.RiskBinomial(1,Prob_illness_Adv_infection),0)</f>
        <v>0</v>
      </c>
      <c r="BO64" s="77">
        <f t="shared" ca="1" si="25"/>
        <v>9.5568225096491396E-11</v>
      </c>
      <c r="BP64" s="33">
        <f ca="1">INT(BO64) + _xll.RiskBinomial(1,BO64-INT(BO64))</f>
        <v>0</v>
      </c>
      <c r="BQ64" s="26">
        <f t="shared" ca="1" si="39"/>
        <v>0</v>
      </c>
      <c r="BR64" s="31">
        <f ca="1">_xll.RiskBinomial(1,BQ64)</f>
        <v>0</v>
      </c>
      <c r="BS64" s="78">
        <f ca="1">IF(BR64=1,_xll.RiskBinomial(1,Prob_illness_Adv_infection),0)</f>
        <v>0</v>
      </c>
      <c r="BU64" s="77">
        <f t="shared" ca="1" si="26"/>
        <v>6.8283740682136013E-13</v>
      </c>
      <c r="BV64" s="33">
        <f ca="1">INT(BU64) + _xll.RiskBinomial(1,BU64-INT(BU64))</f>
        <v>0</v>
      </c>
      <c r="BW64" s="26">
        <f t="shared" ca="1" si="40"/>
        <v>0</v>
      </c>
      <c r="BX64" s="31">
        <f ca="1">_xll.RiskBinomial(1,BW64)</f>
        <v>0</v>
      </c>
      <c r="BY64" s="78">
        <f ca="1">IF(BX64=1,_xll.RiskBinomial(1,Prob_illness_Adv_infection),0)</f>
        <v>0</v>
      </c>
      <c r="CA64" s="77">
        <f t="shared" ca="1" si="27"/>
        <v>1.0361123271734096E-10</v>
      </c>
      <c r="CB64" s="33">
        <f ca="1">INT(CA64) + _xll.RiskBinomial(1,CA64-INT(CA64))</f>
        <v>0</v>
      </c>
      <c r="CC64" s="26">
        <f t="shared" ca="1" si="41"/>
        <v>0</v>
      </c>
      <c r="CD64" s="31">
        <f ca="1">_xll.RiskBinomial(1,CC64)</f>
        <v>0</v>
      </c>
      <c r="CE64" s="78">
        <f ca="1">IF(CD64=1,_xll.RiskBinomial(1,Prob_illness_Adv_infection),0)</f>
        <v>0</v>
      </c>
      <c r="CG64" s="77" t="e">
        <f t="shared" ca="1" si="28"/>
        <v>#VALUE!</v>
      </c>
      <c r="CH64" s="33" t="e">
        <f ca="1">INT(CG64) + _xll.RiskBinomial(1,CG64-INT(CG64))</f>
        <v>#VALUE!</v>
      </c>
      <c r="CI64" s="26" t="e">
        <f t="shared" ca="1" si="42"/>
        <v>#VALUE!</v>
      </c>
      <c r="CJ64" s="31" t="e">
        <f ca="1">_xll.RiskBinomial(1,CI64)</f>
        <v>#VALUE!</v>
      </c>
      <c r="CK64" s="78" t="e">
        <f ca="1">IF(CJ64=1,_xll.RiskBinomial(1,Prob_illness_Adv_infection),0)</f>
        <v>#VALUE!</v>
      </c>
    </row>
    <row r="65" spans="2:89" x14ac:dyDescent="0.2">
      <c r="B65" s="97">
        <v>57</v>
      </c>
      <c r="C65" s="100">
        <f ca="1" xml:space="preserve"> _xll.RiskPert(Dur_event_hours_min,Dur_event_hours_mode,Dur_event_hours_max)</f>
        <v>1.5473222272272242</v>
      </c>
      <c r="D65" s="26">
        <f ca="1">_xll.RiskPert(Primary_Ing_Rate_mL_per_hour_min,Primary_Ing_Rate_mL_per_hour_mode,Primary_Ing_Rate_mL_per_hour_max)</f>
        <v>12.843135571893585</v>
      </c>
      <c r="E65" s="34">
        <f t="shared" ca="1" si="0"/>
        <v>19.872469137683574</v>
      </c>
      <c r="F65" s="26"/>
      <c r="G65" s="77">
        <f t="shared" ca="1" si="21"/>
        <v>1.8245851251600908E-9</v>
      </c>
      <c r="H65" s="33">
        <f ca="1">INT(G65) + _xll.RiskBinomial(1,G65-INT(G65))</f>
        <v>0</v>
      </c>
      <c r="I65" s="26">
        <f t="shared" ca="1" si="29"/>
        <v>0</v>
      </c>
      <c r="J65" s="31">
        <f ca="1">_xll.RiskBinomial(1,I65)</f>
        <v>0</v>
      </c>
      <c r="K65" s="78">
        <f ca="1">IF(J65=1,_xll.RiskBinomial(1,Prob_illness_Adv_infection),0)</f>
        <v>0</v>
      </c>
      <c r="L65" s="26"/>
      <c r="M65" s="77">
        <f t="shared" ca="1" si="2"/>
        <v>4.5314713379224755E-11</v>
      </c>
      <c r="N65" s="33">
        <f ca="1">INT(M65) + _xll.RiskBinomial(1,M65-INT(M65))</f>
        <v>0</v>
      </c>
      <c r="O65" s="26">
        <f t="shared" ca="1" si="30"/>
        <v>0</v>
      </c>
      <c r="P65" s="31">
        <f ca="1">_xll.RiskBinomial(1,O65)</f>
        <v>0</v>
      </c>
      <c r="Q65" s="78">
        <f ca="1">IF(P65=1,_xll.RiskBinomial(1,Prob_illness_Adv_infection),0)</f>
        <v>0</v>
      </c>
      <c r="R65" s="26"/>
      <c r="S65" s="77">
        <f t="shared" ca="1" si="4"/>
        <v>5.7381488354780694E-10</v>
      </c>
      <c r="T65" s="33">
        <f ca="1">INT(S65) + _xll.RiskBinomial(1,S65-INT(S65))</f>
        <v>0</v>
      </c>
      <c r="U65" s="26">
        <f t="shared" ca="1" si="31"/>
        <v>0</v>
      </c>
      <c r="V65" s="31">
        <f ca="1">_xll.RiskBinomial(1,U65)</f>
        <v>0</v>
      </c>
      <c r="W65" s="78">
        <f ca="1">IF(V65=1,_xll.RiskBinomial(1,Prob_illness_Adv_infection),0)</f>
        <v>0</v>
      </c>
      <c r="X65" s="26"/>
      <c r="Y65" s="77">
        <f t="shared" ca="1" si="6"/>
        <v>4.772639957631236E-11</v>
      </c>
      <c r="Z65" s="33">
        <f ca="1">INT(Y65) + _xll.RiskBinomial(1,Y65-INT(Y65))</f>
        <v>0</v>
      </c>
      <c r="AA65" s="26">
        <f t="shared" ca="1" si="32"/>
        <v>0</v>
      </c>
      <c r="AB65" s="31">
        <f ca="1">_xll.RiskBinomial(1,AA65)</f>
        <v>0</v>
      </c>
      <c r="AC65" s="78">
        <f ca="1">IF(AB65=1,_xll.RiskBinomial(1,Prob_illness_Adv_infection),0)</f>
        <v>0</v>
      </c>
      <c r="AD65" s="26"/>
      <c r="AE65" s="77">
        <f t="shared" ca="1" si="8"/>
        <v>7.1672052857454394E-11</v>
      </c>
      <c r="AF65" s="33">
        <f ca="1">INT(AE65) + _xll.RiskBinomial(1,AE65-INT(AE65))</f>
        <v>0</v>
      </c>
      <c r="AG65" s="26">
        <f t="shared" ca="1" si="33"/>
        <v>0</v>
      </c>
      <c r="AH65" s="31">
        <f ca="1">_xll.RiskBinomial(1,AG65)</f>
        <v>0</v>
      </c>
      <c r="AI65" s="78">
        <f ca="1">IF(AH65=1,_xll.RiskBinomial(1,Prob_illness_Adv_infection),0)</f>
        <v>0</v>
      </c>
      <c r="AJ65" s="26"/>
      <c r="AK65" s="77">
        <f t="shared" ca="1" si="10"/>
        <v>4.6630457797568645E-10</v>
      </c>
      <c r="AL65" s="33">
        <f ca="1">INT(AK65) + _xll.RiskBinomial(1,AK65-INT(AK65))</f>
        <v>0</v>
      </c>
      <c r="AM65" s="26">
        <f t="shared" ca="1" si="34"/>
        <v>0</v>
      </c>
      <c r="AN65" s="31">
        <f ca="1">_xll.RiskBinomial(1,AM65)</f>
        <v>0</v>
      </c>
      <c r="AO65" s="78">
        <f ca="1">IF(AN65=1,_xll.RiskBinomial(1,Prob_illness_Adv_infection),0)</f>
        <v>0</v>
      </c>
      <c r="AP65" s="26"/>
      <c r="AQ65" s="77">
        <f t="shared" ca="1" si="12"/>
        <v>8.84739100189678E-10</v>
      </c>
      <c r="AR65" s="33">
        <f ca="1">INT(AQ65) + _xll.RiskBinomial(1,AQ65-INT(AQ65))</f>
        <v>0</v>
      </c>
      <c r="AS65" s="26">
        <f t="shared" ca="1" si="35"/>
        <v>0</v>
      </c>
      <c r="AT65" s="31">
        <f ca="1">_xll.RiskBinomial(1,AS65)</f>
        <v>0</v>
      </c>
      <c r="AU65" s="78">
        <f ca="1">IF(AT65=1,_xll.RiskBinomial(1,Prob_illness_Adv_infection),0)</f>
        <v>0</v>
      </c>
      <c r="AV65" s="26"/>
      <c r="AW65" s="77">
        <f t="shared" ca="1" si="22"/>
        <v>1.5581487462240742E-11</v>
      </c>
      <c r="AX65" s="33">
        <f ca="1">INT(AW65) + _xll.RiskBinomial(1,AW65-INT(AW65))</f>
        <v>0</v>
      </c>
      <c r="AY65" s="26">
        <f t="shared" ca="1" si="36"/>
        <v>0</v>
      </c>
      <c r="AZ65" s="31">
        <f ca="1">_xll.RiskBinomial(1,AY65)</f>
        <v>0</v>
      </c>
      <c r="BA65" s="78">
        <f ca="1">IF(AZ65=1,_xll.RiskBinomial(1,Prob_illness_Adv_infection),0)</f>
        <v>0</v>
      </c>
      <c r="BC65" s="77">
        <f t="shared" ca="1" si="23"/>
        <v>7.9866730246657172E-11</v>
      </c>
      <c r="BD65" s="33">
        <f ca="1">INT(BC65) + _xll.RiskBinomial(1,BC65-INT(BC65))</f>
        <v>0</v>
      </c>
      <c r="BE65" s="26">
        <f t="shared" ca="1" si="37"/>
        <v>0</v>
      </c>
      <c r="BF65" s="31">
        <f ca="1">_xll.RiskBinomial(1,BE65)</f>
        <v>0</v>
      </c>
      <c r="BG65" s="78">
        <f ca="1">IF(BF65=1,_xll.RiskBinomial(1,Prob_illness_Adv_infection),0)</f>
        <v>0</v>
      </c>
      <c r="BI65" s="77">
        <f t="shared" ca="1" si="24"/>
        <v>3.719245445981295E-11</v>
      </c>
      <c r="BJ65" s="33">
        <f ca="1">INT(BI65) + _xll.RiskBinomial(1,BI65-INT(BI65))</f>
        <v>0</v>
      </c>
      <c r="BK65" s="26">
        <f t="shared" ca="1" si="38"/>
        <v>0</v>
      </c>
      <c r="BL65" s="31">
        <f ca="1">_xll.RiskBinomial(1,BK65)</f>
        <v>0</v>
      </c>
      <c r="BM65" s="78">
        <f ca="1">IF(BL65=1,_xll.RiskBinomial(1,Prob_illness_Adv_infection),0)</f>
        <v>0</v>
      </c>
      <c r="BO65" s="77">
        <f t="shared" ca="1" si="25"/>
        <v>8.0410384901439549E-11</v>
      </c>
      <c r="BP65" s="33">
        <f ca="1">INT(BO65) + _xll.RiskBinomial(1,BO65-INT(BO65))</f>
        <v>0</v>
      </c>
      <c r="BQ65" s="26">
        <f t="shared" ca="1" si="39"/>
        <v>0</v>
      </c>
      <c r="BR65" s="31">
        <f ca="1">_xll.RiskBinomial(1,BQ65)</f>
        <v>0</v>
      </c>
      <c r="BS65" s="78">
        <f ca="1">IF(BR65=1,_xll.RiskBinomial(1,Prob_illness_Adv_infection),0)</f>
        <v>0</v>
      </c>
      <c r="BU65" s="77">
        <f t="shared" ca="1" si="26"/>
        <v>5.7453425186215199E-13</v>
      </c>
      <c r="BV65" s="33">
        <f ca="1">INT(BU65) + _xll.RiskBinomial(1,BU65-INT(BU65))</f>
        <v>0</v>
      </c>
      <c r="BW65" s="26">
        <f t="shared" ca="1" si="40"/>
        <v>0</v>
      </c>
      <c r="BX65" s="31">
        <f ca="1">_xll.RiskBinomial(1,BW65)</f>
        <v>0</v>
      </c>
      <c r="BY65" s="78">
        <f ca="1">IF(BX65=1,_xll.RiskBinomial(1,Prob_illness_Adv_infection),0)</f>
        <v>0</v>
      </c>
      <c r="CA65" s="77">
        <f t="shared" ca="1" si="27"/>
        <v>8.7177710944219301E-11</v>
      </c>
      <c r="CB65" s="33">
        <f ca="1">INT(CA65) + _xll.RiskBinomial(1,CA65-INT(CA65))</f>
        <v>0</v>
      </c>
      <c r="CC65" s="26">
        <f t="shared" ca="1" si="41"/>
        <v>0</v>
      </c>
      <c r="CD65" s="31">
        <f ca="1">_xll.RiskBinomial(1,CC65)</f>
        <v>0</v>
      </c>
      <c r="CE65" s="78">
        <f ca="1">IF(CD65=1,_xll.RiskBinomial(1,Prob_illness_Adv_infection),0)</f>
        <v>0</v>
      </c>
      <c r="CG65" s="77" t="e">
        <f t="shared" ca="1" si="28"/>
        <v>#VALUE!</v>
      </c>
      <c r="CH65" s="33" t="e">
        <f ca="1">INT(CG65) + _xll.RiskBinomial(1,CG65-INT(CG65))</f>
        <v>#VALUE!</v>
      </c>
      <c r="CI65" s="26" t="e">
        <f t="shared" ca="1" si="42"/>
        <v>#VALUE!</v>
      </c>
      <c r="CJ65" s="31" t="e">
        <f ca="1">_xll.RiskBinomial(1,CI65)</f>
        <v>#VALUE!</v>
      </c>
      <c r="CK65" s="78" t="e">
        <f ca="1">IF(CJ65=1,_xll.RiskBinomial(1,Prob_illness_Adv_infection),0)</f>
        <v>#VALUE!</v>
      </c>
    </row>
    <row r="66" spans="2:89" x14ac:dyDescent="0.2">
      <c r="B66" s="97">
        <v>58</v>
      </c>
      <c r="C66" s="100">
        <f ca="1" xml:space="preserve"> _xll.RiskPert(Dur_event_hours_min,Dur_event_hours_mode,Dur_event_hours_max)</f>
        <v>3.02082440659784</v>
      </c>
      <c r="D66" s="26">
        <f ca="1">_xll.RiskPert(Primary_Ing_Rate_mL_per_hour_min,Primary_Ing_Rate_mL_per_hour_mode,Primary_Ing_Rate_mL_per_hour_max)</f>
        <v>21.358706093852401</v>
      </c>
      <c r="E66" s="34">
        <f t="shared" ca="1" si="0"/>
        <v>64.520900661659354</v>
      </c>
      <c r="F66" s="26"/>
      <c r="G66" s="77">
        <f t="shared" ca="1" si="21"/>
        <v>5.9239682192264282E-9</v>
      </c>
      <c r="H66" s="33">
        <f ca="1">INT(G66) + _xll.RiskBinomial(1,G66-INT(G66))</f>
        <v>0</v>
      </c>
      <c r="I66" s="26">
        <f t="shared" ca="1" si="29"/>
        <v>0</v>
      </c>
      <c r="J66" s="31">
        <f ca="1">_xll.RiskBinomial(1,I66)</f>
        <v>0</v>
      </c>
      <c r="K66" s="78">
        <f ca="1">IF(J66=1,_xll.RiskBinomial(1,Prob_illness_Adv_infection),0)</f>
        <v>0</v>
      </c>
      <c r="L66" s="26"/>
      <c r="M66" s="77">
        <f t="shared" ca="1" si="2"/>
        <v>1.4712545784802923E-10</v>
      </c>
      <c r="N66" s="33">
        <f ca="1">INT(M66) + _xll.RiskBinomial(1,M66-INT(M66))</f>
        <v>0</v>
      </c>
      <c r="O66" s="26">
        <f t="shared" ca="1" si="30"/>
        <v>0</v>
      </c>
      <c r="P66" s="31">
        <f ca="1">_xll.RiskBinomial(1,O66)</f>
        <v>0</v>
      </c>
      <c r="Q66" s="78">
        <f ca="1">IF(P66=1,_xll.RiskBinomial(1,Prob_illness_Adv_infection),0)</f>
        <v>0</v>
      </c>
      <c r="R66" s="26"/>
      <c r="S66" s="77">
        <f t="shared" ca="1" si="4"/>
        <v>1.8630323611555631E-9</v>
      </c>
      <c r="T66" s="33">
        <f ca="1">INT(S66) + _xll.RiskBinomial(1,S66-INT(S66))</f>
        <v>0</v>
      </c>
      <c r="U66" s="26">
        <f t="shared" ca="1" si="31"/>
        <v>0</v>
      </c>
      <c r="V66" s="31">
        <f ca="1">_xll.RiskBinomial(1,U66)</f>
        <v>0</v>
      </c>
      <c r="W66" s="78">
        <f ca="1">IF(V66=1,_xll.RiskBinomial(1,Prob_illness_Adv_infection),0)</f>
        <v>0</v>
      </c>
      <c r="X66" s="26"/>
      <c r="Y66" s="77">
        <f t="shared" ca="1" si="6"/>
        <v>1.5495559533478558E-10</v>
      </c>
      <c r="Z66" s="33">
        <f ca="1">INT(Y66) + _xll.RiskBinomial(1,Y66-INT(Y66))</f>
        <v>0</v>
      </c>
      <c r="AA66" s="26">
        <f t="shared" ca="1" si="32"/>
        <v>0</v>
      </c>
      <c r="AB66" s="31">
        <f ca="1">_xll.RiskBinomial(1,AA66)</f>
        <v>0</v>
      </c>
      <c r="AC66" s="78">
        <f ca="1">IF(AB66=1,_xll.RiskBinomial(1,Prob_illness_Adv_infection),0)</f>
        <v>0</v>
      </c>
      <c r="AD66" s="26"/>
      <c r="AE66" s="77">
        <f t="shared" ca="1" si="8"/>
        <v>2.3270109872074246E-10</v>
      </c>
      <c r="AF66" s="33">
        <f ca="1">INT(AE66) + _xll.RiskBinomial(1,AE66-INT(AE66))</f>
        <v>0</v>
      </c>
      <c r="AG66" s="26">
        <f t="shared" ca="1" si="33"/>
        <v>0</v>
      </c>
      <c r="AH66" s="31">
        <f ca="1">_xll.RiskBinomial(1,AG66)</f>
        <v>0</v>
      </c>
      <c r="AI66" s="78">
        <f ca="1">IF(AH66=1,_xll.RiskBinomial(1,Prob_illness_Adv_infection),0)</f>
        <v>0</v>
      </c>
      <c r="AJ66" s="26"/>
      <c r="AK66" s="77">
        <f t="shared" ca="1" si="10"/>
        <v>1.5139734848848914E-9</v>
      </c>
      <c r="AL66" s="33">
        <f ca="1">INT(AK66) + _xll.RiskBinomial(1,AK66-INT(AK66))</f>
        <v>0</v>
      </c>
      <c r="AM66" s="26">
        <f t="shared" ca="1" si="34"/>
        <v>0</v>
      </c>
      <c r="AN66" s="31">
        <f ca="1">_xll.RiskBinomial(1,AM66)</f>
        <v>0</v>
      </c>
      <c r="AO66" s="78">
        <f ca="1">IF(AN66=1,_xll.RiskBinomial(1,Prob_illness_Adv_infection),0)</f>
        <v>0</v>
      </c>
      <c r="AP66" s="26"/>
      <c r="AQ66" s="77">
        <f t="shared" ca="1" si="12"/>
        <v>2.8725249589935E-9</v>
      </c>
      <c r="AR66" s="33">
        <f ca="1">INT(AQ66) + _xll.RiskBinomial(1,AQ66-INT(AQ66))</f>
        <v>0</v>
      </c>
      <c r="AS66" s="26">
        <f t="shared" ca="1" si="35"/>
        <v>0</v>
      </c>
      <c r="AT66" s="31">
        <f ca="1">_xll.RiskBinomial(1,AS66)</f>
        <v>0</v>
      </c>
      <c r="AU66" s="78">
        <f ca="1">IF(AT66=1,_xll.RiskBinomial(1,Prob_illness_Adv_infection),0)</f>
        <v>0</v>
      </c>
      <c r="AV66" s="26"/>
      <c r="AW66" s="77">
        <f t="shared" ca="1" si="22"/>
        <v>5.0589164222464189E-11</v>
      </c>
      <c r="AX66" s="33">
        <f ca="1">INT(AW66) + _xll.RiskBinomial(1,AW66-INT(AW66))</f>
        <v>0</v>
      </c>
      <c r="AY66" s="26">
        <f t="shared" ca="1" si="36"/>
        <v>0</v>
      </c>
      <c r="AZ66" s="31">
        <f ca="1">_xll.RiskBinomial(1,AY66)</f>
        <v>0</v>
      </c>
      <c r="BA66" s="78">
        <f ca="1">IF(AZ66=1,_xll.RiskBinomial(1,Prob_illness_Adv_infection),0)</f>
        <v>0</v>
      </c>
      <c r="BC66" s="77">
        <f t="shared" ca="1" si="23"/>
        <v>2.593071516535654E-10</v>
      </c>
      <c r="BD66" s="33">
        <f ca="1">INT(BC66) + _xll.RiskBinomial(1,BC66-INT(BC66))</f>
        <v>0</v>
      </c>
      <c r="BE66" s="26">
        <f t="shared" ca="1" si="37"/>
        <v>0</v>
      </c>
      <c r="BF66" s="31">
        <f ca="1">_xll.RiskBinomial(1,BE66)</f>
        <v>0</v>
      </c>
      <c r="BG66" s="78">
        <f ca="1">IF(BF66=1,_xll.RiskBinomial(1,Prob_illness_Adv_infection),0)</f>
        <v>0</v>
      </c>
      <c r="BI66" s="77">
        <f t="shared" ca="1" si="24"/>
        <v>1.2075452944165951E-10</v>
      </c>
      <c r="BJ66" s="33">
        <f ca="1">INT(BI66) + _xll.RiskBinomial(1,BI66-INT(BI66))</f>
        <v>0</v>
      </c>
      <c r="BK66" s="26">
        <f t="shared" ca="1" si="38"/>
        <v>0</v>
      </c>
      <c r="BL66" s="31">
        <f ca="1">_xll.RiskBinomial(1,BK66)</f>
        <v>0</v>
      </c>
      <c r="BM66" s="78">
        <f ca="1">IF(BL66=1,_xll.RiskBinomial(1,Prob_illness_Adv_infection),0)</f>
        <v>0</v>
      </c>
      <c r="BO66" s="77">
        <f t="shared" ca="1" si="25"/>
        <v>2.6107226135042466E-10</v>
      </c>
      <c r="BP66" s="33">
        <f ca="1">INT(BO66) + _xll.RiskBinomial(1,BO66-INT(BO66))</f>
        <v>0</v>
      </c>
      <c r="BQ66" s="26">
        <f t="shared" ca="1" si="39"/>
        <v>0</v>
      </c>
      <c r="BR66" s="31">
        <f ca="1">_xll.RiskBinomial(1,BQ66)</f>
        <v>0</v>
      </c>
      <c r="BS66" s="78">
        <f ca="1">IF(BR66=1,_xll.RiskBinomial(1,Prob_illness_Adv_infection),0)</f>
        <v>0</v>
      </c>
      <c r="BU66" s="77">
        <f t="shared" ca="1" si="26"/>
        <v>1.8653679688360894E-12</v>
      </c>
      <c r="BV66" s="33">
        <f ca="1">INT(BU66) + _xll.RiskBinomial(1,BU66-INT(BU66))</f>
        <v>0</v>
      </c>
      <c r="BW66" s="26">
        <f t="shared" ca="1" si="40"/>
        <v>0</v>
      </c>
      <c r="BX66" s="31">
        <f ca="1">_xll.RiskBinomial(1,BW66)</f>
        <v>0</v>
      </c>
      <c r="BY66" s="78">
        <f ca="1">IF(BX66=1,_xll.RiskBinomial(1,Prob_illness_Adv_infection),0)</f>
        <v>0</v>
      </c>
      <c r="CA66" s="77">
        <f t="shared" ca="1" si="27"/>
        <v>2.830440640653313E-10</v>
      </c>
      <c r="CB66" s="33">
        <f ca="1">INT(CA66) + _xll.RiskBinomial(1,CA66-INT(CA66))</f>
        <v>0</v>
      </c>
      <c r="CC66" s="26">
        <f t="shared" ca="1" si="41"/>
        <v>0</v>
      </c>
      <c r="CD66" s="31">
        <f ca="1">_xll.RiskBinomial(1,CC66)</f>
        <v>0</v>
      </c>
      <c r="CE66" s="78">
        <f ca="1">IF(CD66=1,_xll.RiskBinomial(1,Prob_illness_Adv_infection),0)</f>
        <v>0</v>
      </c>
      <c r="CG66" s="77" t="e">
        <f t="shared" ca="1" si="28"/>
        <v>#VALUE!</v>
      </c>
      <c r="CH66" s="33" t="e">
        <f ca="1">INT(CG66) + _xll.RiskBinomial(1,CG66-INT(CG66))</f>
        <v>#VALUE!</v>
      </c>
      <c r="CI66" s="26" t="e">
        <f t="shared" ca="1" si="42"/>
        <v>#VALUE!</v>
      </c>
      <c r="CJ66" s="31" t="e">
        <f ca="1">_xll.RiskBinomial(1,CI66)</f>
        <v>#VALUE!</v>
      </c>
      <c r="CK66" s="78" t="e">
        <f ca="1">IF(CJ66=1,_xll.RiskBinomial(1,Prob_illness_Adv_infection),0)</f>
        <v>#VALUE!</v>
      </c>
    </row>
    <row r="67" spans="2:89" x14ac:dyDescent="0.2">
      <c r="B67" s="97">
        <v>59</v>
      </c>
      <c r="C67" s="100">
        <f ca="1" xml:space="preserve"> _xll.RiskPert(Dur_event_hours_min,Dur_event_hours_mode,Dur_event_hours_max)</f>
        <v>1.1059955427820389</v>
      </c>
      <c r="D67" s="26">
        <f ca="1">_xll.RiskPert(Primary_Ing_Rate_mL_per_hour_min,Primary_Ing_Rate_mL_per_hour_mode,Primary_Ing_Rate_mL_per_hour_max)</f>
        <v>16.413308483100664</v>
      </c>
      <c r="E67" s="34">
        <f t="shared" ca="1" si="0"/>
        <v>18.153046024615964</v>
      </c>
      <c r="F67" s="26"/>
      <c r="G67" s="77">
        <f t="shared" ca="1" si="21"/>
        <v>1.6667167790464933E-9</v>
      </c>
      <c r="H67" s="33">
        <f ca="1">INT(G67) + _xll.RiskBinomial(1,G67-INT(G67))</f>
        <v>0</v>
      </c>
      <c r="I67" s="26">
        <f t="shared" ca="1" si="29"/>
        <v>0</v>
      </c>
      <c r="J67" s="31">
        <f ca="1">_xll.RiskBinomial(1,I67)</f>
        <v>0</v>
      </c>
      <c r="K67" s="78">
        <f ca="1">IF(J67=1,_xll.RiskBinomial(1,Prob_illness_Adv_infection),0)</f>
        <v>0</v>
      </c>
      <c r="L67" s="26"/>
      <c r="M67" s="77">
        <f t="shared" ca="1" si="2"/>
        <v>4.1393954212034761E-11</v>
      </c>
      <c r="N67" s="33">
        <f ca="1">INT(M67) + _xll.RiskBinomial(1,M67-INT(M67))</f>
        <v>0</v>
      </c>
      <c r="O67" s="26">
        <f t="shared" ca="1" si="30"/>
        <v>0</v>
      </c>
      <c r="P67" s="31">
        <f ca="1">_xll.RiskBinomial(1,O67)</f>
        <v>0</v>
      </c>
      <c r="Q67" s="78">
        <f ca="1">IF(P67=1,_xll.RiskBinomial(1,Prob_illness_Adv_infection),0)</f>
        <v>0</v>
      </c>
      <c r="R67" s="26"/>
      <c r="S67" s="77">
        <f t="shared" ca="1" si="4"/>
        <v>5.2416677155132734E-10</v>
      </c>
      <c r="T67" s="33">
        <f ca="1">INT(S67) + _xll.RiskBinomial(1,S67-INT(S67))</f>
        <v>0</v>
      </c>
      <c r="U67" s="26">
        <f t="shared" ca="1" si="31"/>
        <v>0</v>
      </c>
      <c r="V67" s="31">
        <f ca="1">_xll.RiskBinomial(1,U67)</f>
        <v>0</v>
      </c>
      <c r="W67" s="78">
        <f ca="1">IF(V67=1,_xll.RiskBinomial(1,Prob_illness_Adv_infection),0)</f>
        <v>0</v>
      </c>
      <c r="X67" s="26"/>
      <c r="Y67" s="77">
        <f t="shared" ca="1" si="6"/>
        <v>4.359697439182937E-11</v>
      </c>
      <c r="Z67" s="33">
        <f ca="1">INT(Y67) + _xll.RiskBinomial(1,Y67-INT(Y67))</f>
        <v>0</v>
      </c>
      <c r="AA67" s="26">
        <f t="shared" ca="1" si="32"/>
        <v>0</v>
      </c>
      <c r="AB67" s="31">
        <f ca="1">_xll.RiskBinomial(1,AA67)</f>
        <v>0</v>
      </c>
      <c r="AC67" s="78">
        <f ca="1">IF(AB67=1,_xll.RiskBinomial(1,Prob_illness_Adv_infection),0)</f>
        <v>0</v>
      </c>
      <c r="AD67" s="26"/>
      <c r="AE67" s="77">
        <f t="shared" ca="1" si="8"/>
        <v>6.5470780967670731E-11</v>
      </c>
      <c r="AF67" s="33">
        <f ca="1">INT(AE67) + _xll.RiskBinomial(1,AE67-INT(AE67))</f>
        <v>0</v>
      </c>
      <c r="AG67" s="26">
        <f t="shared" ca="1" si="33"/>
        <v>0</v>
      </c>
      <c r="AH67" s="31">
        <f ca="1">_xll.RiskBinomial(1,AG67)</f>
        <v>0</v>
      </c>
      <c r="AI67" s="78">
        <f ca="1">IF(AH67=1,_xll.RiskBinomial(1,Prob_illness_Adv_infection),0)</f>
        <v>0</v>
      </c>
      <c r="AJ67" s="26"/>
      <c r="AK67" s="77">
        <f t="shared" ca="1" si="10"/>
        <v>4.2595856643853674E-10</v>
      </c>
      <c r="AL67" s="33">
        <f ca="1">INT(AK67) + _xll.RiskBinomial(1,AK67-INT(AK67))</f>
        <v>0</v>
      </c>
      <c r="AM67" s="26">
        <f t="shared" ca="1" si="34"/>
        <v>0</v>
      </c>
      <c r="AN67" s="31">
        <f ca="1">_xll.RiskBinomial(1,AM67)</f>
        <v>0</v>
      </c>
      <c r="AO67" s="78">
        <f ca="1">IF(AN67=1,_xll.RiskBinomial(1,Prob_illness_Adv_infection),0)</f>
        <v>0</v>
      </c>
      <c r="AP67" s="26"/>
      <c r="AQ67" s="77">
        <f t="shared" ca="1" si="12"/>
        <v>8.0818893184567049E-10</v>
      </c>
      <c r="AR67" s="33">
        <f ca="1">INT(AQ67) + _xll.RiskBinomial(1,AQ67-INT(AQ67))</f>
        <v>0</v>
      </c>
      <c r="AS67" s="26">
        <f t="shared" ca="1" si="35"/>
        <v>0</v>
      </c>
      <c r="AT67" s="31">
        <f ca="1">_xll.RiskBinomial(1,AS67)</f>
        <v>0</v>
      </c>
      <c r="AU67" s="78">
        <f ca="1">IF(AT67=1,_xll.RiskBinomial(1,Prob_illness_Adv_infection),0)</f>
        <v>0</v>
      </c>
      <c r="AV67" s="26"/>
      <c r="AW67" s="77">
        <f t="shared" ca="1" si="22"/>
        <v>1.4233332409492584E-11</v>
      </c>
      <c r="AX67" s="33">
        <f ca="1">INT(AW67) + _xll.RiskBinomial(1,AW67-INT(AW67))</f>
        <v>0</v>
      </c>
      <c r="AY67" s="26">
        <f t="shared" ca="1" si="36"/>
        <v>0</v>
      </c>
      <c r="AZ67" s="31">
        <f ca="1">_xll.RiskBinomial(1,AY67)</f>
        <v>0</v>
      </c>
      <c r="BA67" s="78">
        <f ca="1">IF(AZ67=1,_xll.RiskBinomial(1,Prob_illness_Adv_infection),0)</f>
        <v>0</v>
      </c>
      <c r="BC67" s="77">
        <f t="shared" ca="1" si="23"/>
        <v>7.2956431330110684E-11</v>
      </c>
      <c r="BD67" s="33">
        <f ca="1">INT(BC67) + _xll.RiskBinomial(1,BC67-INT(BC67))</f>
        <v>0</v>
      </c>
      <c r="BE67" s="26">
        <f t="shared" ca="1" si="37"/>
        <v>0</v>
      </c>
      <c r="BF67" s="31">
        <f ca="1">_xll.RiskBinomial(1,BE67)</f>
        <v>0</v>
      </c>
      <c r="BG67" s="78">
        <f ca="1">IF(BF67=1,_xll.RiskBinomial(1,Prob_illness_Adv_infection),0)</f>
        <v>0</v>
      </c>
      <c r="BI67" s="77">
        <f t="shared" ca="1" si="24"/>
        <v>3.3974456465358843E-11</v>
      </c>
      <c r="BJ67" s="33">
        <f ca="1">INT(BI67) + _xll.RiskBinomial(1,BI67-INT(BI67))</f>
        <v>0</v>
      </c>
      <c r="BK67" s="26">
        <f t="shared" ca="1" si="38"/>
        <v>0</v>
      </c>
      <c r="BL67" s="31">
        <f ca="1">_xll.RiskBinomial(1,BK67)</f>
        <v>0</v>
      </c>
      <c r="BM67" s="78">
        <f ca="1">IF(BL67=1,_xll.RiskBinomial(1,Prob_illness_Adv_infection),0)</f>
        <v>0</v>
      </c>
      <c r="BO67" s="77">
        <f t="shared" ca="1" si="25"/>
        <v>7.3453047422524035E-11</v>
      </c>
      <c r="BP67" s="33">
        <f ca="1">INT(BO67) + _xll.RiskBinomial(1,BO67-INT(BO67))</f>
        <v>0</v>
      </c>
      <c r="BQ67" s="26">
        <f t="shared" ca="1" si="39"/>
        <v>0</v>
      </c>
      <c r="BR67" s="31">
        <f ca="1">_xll.RiskBinomial(1,BQ67)</f>
        <v>0</v>
      </c>
      <c r="BS67" s="78">
        <f ca="1">IF(BR67=1,_xll.RiskBinomial(1,Prob_illness_Adv_infection),0)</f>
        <v>0</v>
      </c>
      <c r="BU67" s="77">
        <f t="shared" ca="1" si="26"/>
        <v>5.2482389805274404E-13</v>
      </c>
      <c r="BV67" s="33">
        <f ca="1">INT(BU67) + _xll.RiskBinomial(1,BU67-INT(BU67))</f>
        <v>0</v>
      </c>
      <c r="BW67" s="26">
        <f t="shared" ca="1" si="40"/>
        <v>0</v>
      </c>
      <c r="BX67" s="31">
        <f ca="1">_xll.RiskBinomial(1,BW67)</f>
        <v>0</v>
      </c>
      <c r="BY67" s="78">
        <f ca="1">IF(BX67=1,_xll.RiskBinomial(1,Prob_illness_Adv_infection),0)</f>
        <v>0</v>
      </c>
      <c r="CA67" s="77">
        <f t="shared" ca="1" si="27"/>
        <v>7.9634844977072039E-11</v>
      </c>
      <c r="CB67" s="33">
        <f ca="1">INT(CA67) + _xll.RiskBinomial(1,CA67-INT(CA67))</f>
        <v>0</v>
      </c>
      <c r="CC67" s="26">
        <f t="shared" ca="1" si="41"/>
        <v>0</v>
      </c>
      <c r="CD67" s="31">
        <f ca="1">_xll.RiskBinomial(1,CC67)</f>
        <v>0</v>
      </c>
      <c r="CE67" s="78">
        <f ca="1">IF(CD67=1,_xll.RiskBinomial(1,Prob_illness_Adv_infection),0)</f>
        <v>0</v>
      </c>
      <c r="CG67" s="77" t="e">
        <f t="shared" ca="1" si="28"/>
        <v>#VALUE!</v>
      </c>
      <c r="CH67" s="33" t="e">
        <f ca="1">INT(CG67) + _xll.RiskBinomial(1,CG67-INT(CG67))</f>
        <v>#VALUE!</v>
      </c>
      <c r="CI67" s="26" t="e">
        <f t="shared" ca="1" si="42"/>
        <v>#VALUE!</v>
      </c>
      <c r="CJ67" s="31" t="e">
        <f ca="1">_xll.RiskBinomial(1,CI67)</f>
        <v>#VALUE!</v>
      </c>
      <c r="CK67" s="78" t="e">
        <f ca="1">IF(CJ67=1,_xll.RiskBinomial(1,Prob_illness_Adv_infection),0)</f>
        <v>#VALUE!</v>
      </c>
    </row>
    <row r="68" spans="2:89" x14ac:dyDescent="0.2">
      <c r="B68" s="97">
        <v>60</v>
      </c>
      <c r="C68" s="100">
        <f ca="1" xml:space="preserve"> _xll.RiskPert(Dur_event_hours_min,Dur_event_hours_mode,Dur_event_hours_max)</f>
        <v>1.7652268631597834</v>
      </c>
      <c r="D68" s="26">
        <f ca="1">_xll.RiskPert(Primary_Ing_Rate_mL_per_hour_min,Primary_Ing_Rate_mL_per_hour_mode,Primary_Ing_Rate_mL_per_hour_max)</f>
        <v>8.2300121139158833</v>
      </c>
      <c r="E68" s="34">
        <f t="shared" ca="1" si="0"/>
        <v>14.527838467614753</v>
      </c>
      <c r="F68" s="26"/>
      <c r="G68" s="77">
        <f t="shared" ca="1" si="21"/>
        <v>1.3338693740111782E-9</v>
      </c>
      <c r="H68" s="33">
        <f ca="1">INT(G68) + _xll.RiskBinomial(1,G68-INT(G68))</f>
        <v>0</v>
      </c>
      <c r="I68" s="26">
        <f t="shared" ca="1" si="29"/>
        <v>0</v>
      </c>
      <c r="J68" s="31">
        <f ca="1">_xll.RiskBinomial(1,I68)</f>
        <v>0</v>
      </c>
      <c r="K68" s="78">
        <f ca="1">IF(J68=1,_xll.RiskBinomial(1,Prob_illness_Adv_infection),0)</f>
        <v>0</v>
      </c>
      <c r="L68" s="26"/>
      <c r="M68" s="77">
        <f t="shared" ca="1" si="2"/>
        <v>3.3127480617457665E-11</v>
      </c>
      <c r="N68" s="33">
        <f ca="1">INT(M68) + _xll.RiskBinomial(1,M68-INT(M68))</f>
        <v>0</v>
      </c>
      <c r="O68" s="26">
        <f t="shared" ca="1" si="30"/>
        <v>0</v>
      </c>
      <c r="P68" s="31">
        <f ca="1">_xll.RiskBinomial(1,O68)</f>
        <v>0</v>
      </c>
      <c r="Q68" s="78">
        <f ca="1">IF(P68=1,_xll.RiskBinomial(1,Prob_illness_Adv_infection),0)</f>
        <v>0</v>
      </c>
      <c r="R68" s="26"/>
      <c r="S68" s="77">
        <f t="shared" ca="1" si="4"/>
        <v>4.1948938910101767E-10</v>
      </c>
      <c r="T68" s="33">
        <f ca="1">INT(S68) + _xll.RiskBinomial(1,S68-INT(S68))</f>
        <v>0</v>
      </c>
      <c r="U68" s="26">
        <f t="shared" ca="1" si="31"/>
        <v>0</v>
      </c>
      <c r="V68" s="31">
        <f ca="1">_xll.RiskBinomial(1,U68)</f>
        <v>0</v>
      </c>
      <c r="W68" s="78">
        <f ca="1">IF(V68=1,_xll.RiskBinomial(1,Prob_illness_Adv_infection),0)</f>
        <v>0</v>
      </c>
      <c r="X68" s="26"/>
      <c r="Y68" s="77">
        <f t="shared" ca="1" si="6"/>
        <v>3.4890552295321092E-11</v>
      </c>
      <c r="Z68" s="33">
        <f ca="1">INT(Y68) + _xll.RiskBinomial(1,Y68-INT(Y68))</f>
        <v>0</v>
      </c>
      <c r="AA68" s="26">
        <f t="shared" ca="1" si="32"/>
        <v>0</v>
      </c>
      <c r="AB68" s="31">
        <f ca="1">_xll.RiskBinomial(1,AA68)</f>
        <v>0</v>
      </c>
      <c r="AC68" s="78">
        <f ca="1">IF(AB68=1,_xll.RiskBinomial(1,Prob_illness_Adv_infection),0)</f>
        <v>0</v>
      </c>
      <c r="AD68" s="26"/>
      <c r="AE68" s="77">
        <f t="shared" ca="1" si="8"/>
        <v>5.2396106359071965E-11</v>
      </c>
      <c r="AF68" s="33">
        <f ca="1">INT(AE68) + _xll.RiskBinomial(1,AE68-INT(AE68))</f>
        <v>0</v>
      </c>
      <c r="AG68" s="26">
        <f t="shared" ca="1" si="33"/>
        <v>0</v>
      </c>
      <c r="AH68" s="31">
        <f ca="1">_xll.RiskBinomial(1,AG68)</f>
        <v>0</v>
      </c>
      <c r="AI68" s="78">
        <f ca="1">IF(AH68=1,_xll.RiskBinomial(1,Prob_illness_Adv_infection),0)</f>
        <v>0</v>
      </c>
      <c r="AJ68" s="26"/>
      <c r="AK68" s="77">
        <f t="shared" ca="1" si="10"/>
        <v>3.4089360202824273E-10</v>
      </c>
      <c r="AL68" s="33">
        <f ca="1">INT(AK68) + _xll.RiskBinomial(1,AK68-INT(AK68))</f>
        <v>0</v>
      </c>
      <c r="AM68" s="26">
        <f t="shared" ca="1" si="34"/>
        <v>0</v>
      </c>
      <c r="AN68" s="31">
        <f ca="1">_xll.RiskBinomial(1,AM68)</f>
        <v>0</v>
      </c>
      <c r="AO68" s="78">
        <f ca="1">IF(AN68=1,_xll.RiskBinomial(1,Prob_illness_Adv_infection),0)</f>
        <v>0</v>
      </c>
      <c r="AP68" s="26"/>
      <c r="AQ68" s="77">
        <f t="shared" ca="1" si="12"/>
        <v>6.4679163140150754E-10</v>
      </c>
      <c r="AR68" s="33">
        <f ca="1">INT(AQ68) + _xll.RiskBinomial(1,AQ68-INT(AQ68))</f>
        <v>0</v>
      </c>
      <c r="AS68" s="26">
        <f t="shared" ca="1" si="35"/>
        <v>0</v>
      </c>
      <c r="AT68" s="31">
        <f ca="1">_xll.RiskBinomial(1,AS68)</f>
        <v>0</v>
      </c>
      <c r="AU68" s="78">
        <f ca="1">IF(AT68=1,_xll.RiskBinomial(1,Prob_illness_Adv_infection),0)</f>
        <v>0</v>
      </c>
      <c r="AV68" s="26"/>
      <c r="AW68" s="77">
        <f t="shared" ca="1" si="22"/>
        <v>1.1390901219584644E-11</v>
      </c>
      <c r="AX68" s="33">
        <f ca="1">INT(AW68) + _xll.RiskBinomial(1,AW68-INT(AW68))</f>
        <v>0</v>
      </c>
      <c r="AY68" s="26">
        <f t="shared" ca="1" si="36"/>
        <v>0</v>
      </c>
      <c r="AZ68" s="31">
        <f ca="1">_xll.RiskBinomial(1,AY68)</f>
        <v>0</v>
      </c>
      <c r="BA68" s="78">
        <f ca="1">IF(AZ68=1,_xll.RiskBinomial(1,Prob_illness_Adv_infection),0)</f>
        <v>0</v>
      </c>
      <c r="BC68" s="77">
        <f t="shared" ca="1" si="23"/>
        <v>5.8386854090505112E-11</v>
      </c>
      <c r="BD68" s="33">
        <f ca="1">INT(BC68) + _xll.RiskBinomial(1,BC68-INT(BC68))</f>
        <v>0</v>
      </c>
      <c r="BE68" s="26">
        <f t="shared" ca="1" si="37"/>
        <v>0</v>
      </c>
      <c r="BF68" s="31">
        <f ca="1">_xll.RiskBinomial(1,BE68)</f>
        <v>0</v>
      </c>
      <c r="BG68" s="78">
        <f ca="1">IF(BF68=1,_xll.RiskBinomial(1,Prob_illness_Adv_infection),0)</f>
        <v>0</v>
      </c>
      <c r="BI68" s="77">
        <f t="shared" ca="1" si="24"/>
        <v>2.7189674663108489E-11</v>
      </c>
      <c r="BJ68" s="33">
        <f ca="1">INT(BI68) + _xll.RiskBinomial(1,BI68-INT(BI68))</f>
        <v>0</v>
      </c>
      <c r="BK68" s="26">
        <f t="shared" ca="1" si="38"/>
        <v>0</v>
      </c>
      <c r="BL68" s="31">
        <f ca="1">_xll.RiskBinomial(1,BK68)</f>
        <v>0</v>
      </c>
      <c r="BM68" s="78">
        <f ca="1">IF(BL68=1,_xll.RiskBinomial(1,Prob_illness_Adv_infection),0)</f>
        <v>0</v>
      </c>
      <c r="BO68" s="77">
        <f t="shared" ca="1" si="25"/>
        <v>5.8784294738273844E-11</v>
      </c>
      <c r="BP68" s="33">
        <f ca="1">INT(BO68) + _xll.RiskBinomial(1,BO68-INT(BO68))</f>
        <v>0</v>
      </c>
      <c r="BQ68" s="26">
        <f t="shared" ca="1" si="39"/>
        <v>0</v>
      </c>
      <c r="BR68" s="31">
        <f ca="1">_xll.RiskBinomial(1,BQ68)</f>
        <v>0</v>
      </c>
      <c r="BS68" s="78">
        <f ca="1">IF(BR68=1,_xll.RiskBinomial(1,Prob_illness_Adv_infection),0)</f>
        <v>0</v>
      </c>
      <c r="BU68" s="77">
        <f t="shared" ca="1" si="26"/>
        <v>4.2001528583770995E-13</v>
      </c>
      <c r="BV68" s="33">
        <f ca="1">INT(BU68) + _xll.RiskBinomial(1,BU68-INT(BU68))</f>
        <v>0</v>
      </c>
      <c r="BW68" s="26">
        <f t="shared" ca="1" si="40"/>
        <v>0</v>
      </c>
      <c r="BX68" s="31">
        <f ca="1">_xll.RiskBinomial(1,BW68)</f>
        <v>0</v>
      </c>
      <c r="BY68" s="78">
        <f ca="1">IF(BX68=1,_xll.RiskBinomial(1,Prob_illness_Adv_infection),0)</f>
        <v>0</v>
      </c>
      <c r="CA68" s="77">
        <f t="shared" ca="1" si="27"/>
        <v>6.3731572246973356E-11</v>
      </c>
      <c r="CB68" s="33">
        <f ca="1">INT(CA68) + _xll.RiskBinomial(1,CA68-INT(CA68))</f>
        <v>0</v>
      </c>
      <c r="CC68" s="26">
        <f t="shared" ca="1" si="41"/>
        <v>0</v>
      </c>
      <c r="CD68" s="31">
        <f ca="1">_xll.RiskBinomial(1,CC68)</f>
        <v>0</v>
      </c>
      <c r="CE68" s="78">
        <f ca="1">IF(CD68=1,_xll.RiskBinomial(1,Prob_illness_Adv_infection),0)</f>
        <v>0</v>
      </c>
      <c r="CG68" s="77" t="e">
        <f t="shared" ca="1" si="28"/>
        <v>#VALUE!</v>
      </c>
      <c r="CH68" s="33" t="e">
        <f ca="1">INT(CG68) + _xll.RiskBinomial(1,CG68-INT(CG68))</f>
        <v>#VALUE!</v>
      </c>
      <c r="CI68" s="26" t="e">
        <f t="shared" ca="1" si="42"/>
        <v>#VALUE!</v>
      </c>
      <c r="CJ68" s="31" t="e">
        <f ca="1">_xll.RiskBinomial(1,CI68)</f>
        <v>#VALUE!</v>
      </c>
      <c r="CK68" s="78" t="e">
        <f ca="1">IF(CJ68=1,_xll.RiskBinomial(1,Prob_illness_Adv_infection),0)</f>
        <v>#VALUE!</v>
      </c>
    </row>
    <row r="69" spans="2:89" x14ac:dyDescent="0.2">
      <c r="B69" s="97">
        <v>61</v>
      </c>
      <c r="C69" s="100">
        <f ca="1" xml:space="preserve"> _xll.RiskPert(Dur_event_hours_min,Dur_event_hours_mode,Dur_event_hours_max)</f>
        <v>0.59293213272427092</v>
      </c>
      <c r="D69" s="26">
        <f ca="1">_xll.RiskPert(Primary_Ing_Rate_mL_per_hour_min,Primary_Ing_Rate_mL_per_hour_mode,Primary_Ing_Rate_mL_per_hour_max)</f>
        <v>16.12570062531222</v>
      </c>
      <c r="E69" s="34">
        <f t="shared" ca="1" si="0"/>
        <v>9.5614460634394831</v>
      </c>
      <c r="F69" s="26"/>
      <c r="G69" s="77">
        <f t="shared" ca="1" si="21"/>
        <v>8.7788146211234896E-10</v>
      </c>
      <c r="H69" s="33">
        <f ca="1">INT(G69) + _xll.RiskBinomial(1,G69-INT(G69))</f>
        <v>0</v>
      </c>
      <c r="I69" s="26">
        <f t="shared" ca="1" si="29"/>
        <v>0</v>
      </c>
      <c r="J69" s="31">
        <f ca="1">_xll.RiskBinomial(1,I69)</f>
        <v>0</v>
      </c>
      <c r="K69" s="78">
        <f ca="1">IF(J69=1,_xll.RiskBinomial(1,Prob_illness_Adv_infection),0)</f>
        <v>0</v>
      </c>
      <c r="L69" s="26"/>
      <c r="M69" s="77">
        <f t="shared" ca="1" si="2"/>
        <v>2.1802735475586776E-11</v>
      </c>
      <c r="N69" s="33">
        <f ca="1">INT(M69) + _xll.RiskBinomial(1,M69-INT(M69))</f>
        <v>0</v>
      </c>
      <c r="O69" s="26">
        <f t="shared" ca="1" si="30"/>
        <v>0</v>
      </c>
      <c r="P69" s="31">
        <f ca="1">_xll.RiskBinomial(1,O69)</f>
        <v>0</v>
      </c>
      <c r="Q69" s="78">
        <f ca="1">IF(P69=1,_xll.RiskBinomial(1,Prob_illness_Adv_infection),0)</f>
        <v>0</v>
      </c>
      <c r="R69" s="26"/>
      <c r="S69" s="77">
        <f t="shared" ca="1" si="4"/>
        <v>2.7608547390003371E-10</v>
      </c>
      <c r="T69" s="33">
        <f ca="1">INT(S69) + _xll.RiskBinomial(1,S69-INT(S69))</f>
        <v>0</v>
      </c>
      <c r="U69" s="26">
        <f t="shared" ca="1" si="31"/>
        <v>0</v>
      </c>
      <c r="V69" s="31">
        <f ca="1">_xll.RiskBinomial(1,U69)</f>
        <v>0</v>
      </c>
      <c r="W69" s="78">
        <f ca="1">IF(V69=1,_xll.RiskBinomial(1,Prob_illness_Adv_infection),0)</f>
        <v>0</v>
      </c>
      <c r="X69" s="26"/>
      <c r="Y69" s="77">
        <f t="shared" ca="1" si="6"/>
        <v>2.296309493246313E-11</v>
      </c>
      <c r="Z69" s="33">
        <f ca="1">INT(Y69) + _xll.RiskBinomial(1,Y69-INT(Y69))</f>
        <v>0</v>
      </c>
      <c r="AA69" s="26">
        <f t="shared" ca="1" si="32"/>
        <v>0</v>
      </c>
      <c r="AB69" s="31">
        <f ca="1">_xll.RiskBinomial(1,AA69)</f>
        <v>0</v>
      </c>
      <c r="AC69" s="78">
        <f ca="1">IF(AB69=1,_xll.RiskBinomial(1,Prob_illness_Adv_infection),0)</f>
        <v>0</v>
      </c>
      <c r="AD69" s="26"/>
      <c r="AE69" s="77">
        <f t="shared" ca="1" si="8"/>
        <v>3.4484314098293984E-11</v>
      </c>
      <c r="AF69" s="33">
        <f ca="1">INT(AE69) + _xll.RiskBinomial(1,AE69-INT(AE69))</f>
        <v>0</v>
      </c>
      <c r="AG69" s="26">
        <f t="shared" ca="1" si="33"/>
        <v>0</v>
      </c>
      <c r="AH69" s="31">
        <f ca="1">_xll.RiskBinomial(1,AG69)</f>
        <v>0</v>
      </c>
      <c r="AI69" s="78">
        <f ca="1">IF(AH69=1,_xll.RiskBinomial(1,Prob_illness_Adv_infection),0)</f>
        <v>0</v>
      </c>
      <c r="AJ69" s="26"/>
      <c r="AK69" s="77">
        <f t="shared" ca="1" si="10"/>
        <v>2.243579315966745E-10</v>
      </c>
      <c r="AL69" s="33">
        <f ca="1">INT(AK69) + _xll.RiskBinomial(1,AK69-INT(AK69))</f>
        <v>0</v>
      </c>
      <c r="AM69" s="26">
        <f t="shared" ca="1" si="34"/>
        <v>0</v>
      </c>
      <c r="AN69" s="31">
        <f ca="1">_xll.RiskBinomial(1,AM69)</f>
        <v>0</v>
      </c>
      <c r="AO69" s="78">
        <f ca="1">IF(AN69=1,_xll.RiskBinomial(1,Prob_illness_Adv_infection),0)</f>
        <v>0</v>
      </c>
      <c r="AP69" s="26"/>
      <c r="AQ69" s="77">
        <f t="shared" ca="1" si="12"/>
        <v>4.2568364947857972E-10</v>
      </c>
      <c r="AR69" s="33">
        <f ca="1">INT(AQ69) + _xll.RiskBinomial(1,AQ69-INT(AQ69))</f>
        <v>0</v>
      </c>
      <c r="AS69" s="26">
        <f t="shared" ca="1" si="35"/>
        <v>0</v>
      </c>
      <c r="AT69" s="31">
        <f ca="1">_xll.RiskBinomial(1,AS69)</f>
        <v>0</v>
      </c>
      <c r="AU69" s="78">
        <f ca="1">IF(AT69=1,_xll.RiskBinomial(1,Prob_illness_Adv_infection),0)</f>
        <v>0</v>
      </c>
      <c r="AV69" s="26"/>
      <c r="AW69" s="77">
        <f t="shared" ca="1" si="22"/>
        <v>7.4968817878732589E-12</v>
      </c>
      <c r="AX69" s="33">
        <f ca="1">INT(AW69) + _xll.RiskBinomial(1,AW69-INT(AW69))</f>
        <v>0</v>
      </c>
      <c r="AY69" s="26">
        <f t="shared" ca="1" si="36"/>
        <v>0</v>
      </c>
      <c r="AZ69" s="31">
        <f ca="1">_xll.RiskBinomial(1,AY69)</f>
        <v>0</v>
      </c>
      <c r="BA69" s="78">
        <f ca="1">IF(AZ69=1,_xll.RiskBinomial(1,Prob_illness_Adv_infection),0)</f>
        <v>0</v>
      </c>
      <c r="BC69" s="77">
        <f t="shared" ca="1" si="23"/>
        <v>3.8427103759774503E-11</v>
      </c>
      <c r="BD69" s="33">
        <f ca="1">INT(BC69) + _xll.RiskBinomial(1,BC69-INT(BC69))</f>
        <v>0</v>
      </c>
      <c r="BE69" s="26">
        <f t="shared" ca="1" si="37"/>
        <v>0</v>
      </c>
      <c r="BF69" s="31">
        <f ca="1">_xll.RiskBinomial(1,BE69)</f>
        <v>0</v>
      </c>
      <c r="BG69" s="78">
        <f ca="1">IF(BF69=1,_xll.RiskBinomial(1,Prob_illness_Adv_infection),0)</f>
        <v>0</v>
      </c>
      <c r="BI69" s="77">
        <f t="shared" ca="1" si="24"/>
        <v>1.7894789259483173E-11</v>
      </c>
      <c r="BJ69" s="33">
        <f ca="1">INT(BI69) + _xll.RiskBinomial(1,BI69-INT(BI69))</f>
        <v>0</v>
      </c>
      <c r="BK69" s="26">
        <f t="shared" ca="1" si="38"/>
        <v>0</v>
      </c>
      <c r="BL69" s="31">
        <f ca="1">_xll.RiskBinomial(1,BK69)</f>
        <v>0</v>
      </c>
      <c r="BM69" s="78">
        <f ca="1">IF(BL69=1,_xll.RiskBinomial(1,Prob_illness_Adv_infection),0)</f>
        <v>0</v>
      </c>
      <c r="BO69" s="77">
        <f t="shared" ca="1" si="25"/>
        <v>3.8688677931701762E-11</v>
      </c>
      <c r="BP69" s="33">
        <f ca="1">INT(BO69) + _xll.RiskBinomial(1,BO69-INT(BO69))</f>
        <v>0</v>
      </c>
      <c r="BQ69" s="26">
        <f t="shared" ca="1" si="39"/>
        <v>0</v>
      </c>
      <c r="BR69" s="31">
        <f ca="1">_xll.RiskBinomial(1,BQ69)</f>
        <v>0</v>
      </c>
      <c r="BS69" s="78">
        <f ca="1">IF(BR69=1,_xll.RiskBinomial(1,Prob_illness_Adv_infection),0)</f>
        <v>0</v>
      </c>
      <c r="BU69" s="77">
        <f t="shared" ca="1" si="26"/>
        <v>2.7643159099749671E-13</v>
      </c>
      <c r="BV69" s="33">
        <f ca="1">INT(BU69) + _xll.RiskBinomial(1,BU69-INT(BU69))</f>
        <v>0</v>
      </c>
      <c r="BW69" s="26">
        <f t="shared" ca="1" si="40"/>
        <v>0</v>
      </c>
      <c r="BX69" s="31">
        <f ca="1">_xll.RiskBinomial(1,BW69)</f>
        <v>0</v>
      </c>
      <c r="BY69" s="78">
        <f ca="1">IF(BX69=1,_xll.RiskBinomial(1,Prob_illness_Adv_infection),0)</f>
        <v>0</v>
      </c>
      <c r="CA69" s="77">
        <f t="shared" ca="1" si="27"/>
        <v>4.1944711316554232E-11</v>
      </c>
      <c r="CB69" s="33">
        <f ca="1">INT(CA69) + _xll.RiskBinomial(1,CA69-INT(CA69))</f>
        <v>0</v>
      </c>
      <c r="CC69" s="26">
        <f t="shared" ca="1" si="41"/>
        <v>0</v>
      </c>
      <c r="CD69" s="31">
        <f ca="1">_xll.RiskBinomial(1,CC69)</f>
        <v>0</v>
      </c>
      <c r="CE69" s="78">
        <f ca="1">IF(CD69=1,_xll.RiskBinomial(1,Prob_illness_Adv_infection),0)</f>
        <v>0</v>
      </c>
      <c r="CG69" s="77" t="e">
        <f t="shared" ca="1" si="28"/>
        <v>#VALUE!</v>
      </c>
      <c r="CH69" s="33" t="e">
        <f ca="1">INT(CG69) + _xll.RiskBinomial(1,CG69-INT(CG69))</f>
        <v>#VALUE!</v>
      </c>
      <c r="CI69" s="26" t="e">
        <f t="shared" ca="1" si="42"/>
        <v>#VALUE!</v>
      </c>
      <c r="CJ69" s="31" t="e">
        <f ca="1">_xll.RiskBinomial(1,CI69)</f>
        <v>#VALUE!</v>
      </c>
      <c r="CK69" s="78" t="e">
        <f ca="1">IF(CJ69=1,_xll.RiskBinomial(1,Prob_illness_Adv_infection),0)</f>
        <v>#VALUE!</v>
      </c>
    </row>
    <row r="70" spans="2:89" x14ac:dyDescent="0.2">
      <c r="B70" s="97">
        <v>62</v>
      </c>
      <c r="C70" s="100">
        <f ca="1" xml:space="preserve"> _xll.RiskPert(Dur_event_hours_min,Dur_event_hours_mode,Dur_event_hours_max)</f>
        <v>1.5353741984266676</v>
      </c>
      <c r="D70" s="26">
        <f ca="1">_xll.RiskPert(Primary_Ing_Rate_mL_per_hour_min,Primary_Ing_Rate_mL_per_hour_mode,Primary_Ing_Rate_mL_per_hour_max)</f>
        <v>7.7995399024529197</v>
      </c>
      <c r="E70" s="34">
        <f t="shared" ca="1" si="0"/>
        <v>11.97521232582546</v>
      </c>
      <c r="F70" s="26"/>
      <c r="G70" s="77">
        <f t="shared" ca="1" si="21"/>
        <v>1.0995007278135254E-9</v>
      </c>
      <c r="H70" s="33">
        <f ca="1">INT(G70) + _xll.RiskBinomial(1,G70-INT(G70))</f>
        <v>0</v>
      </c>
      <c r="I70" s="26">
        <f t="shared" ca="1" si="29"/>
        <v>0</v>
      </c>
      <c r="J70" s="31">
        <f ca="1">_xll.RiskBinomial(1,I70)</f>
        <v>0</v>
      </c>
      <c r="K70" s="78">
        <f ca="1">IF(J70=1,_xll.RiskBinomial(1,Prob_illness_Adv_infection),0)</f>
        <v>0</v>
      </c>
      <c r="L70" s="26"/>
      <c r="M70" s="77">
        <f t="shared" ca="1" si="2"/>
        <v>2.7306788625029126E-11</v>
      </c>
      <c r="N70" s="33">
        <f ca="1">INT(M70) + _xll.RiskBinomial(1,M70-INT(M70))</f>
        <v>0</v>
      </c>
      <c r="O70" s="26">
        <f t="shared" ca="1" si="30"/>
        <v>0</v>
      </c>
      <c r="P70" s="31">
        <f ca="1">_xll.RiskBinomial(1,O70)</f>
        <v>0</v>
      </c>
      <c r="Q70" s="78">
        <f ca="1">IF(P70=1,_xll.RiskBinomial(1,Prob_illness_Adv_infection),0)</f>
        <v>0</v>
      </c>
      <c r="R70" s="26"/>
      <c r="S70" s="77">
        <f t="shared" ca="1" si="4"/>
        <v>3.4578265129487472E-10</v>
      </c>
      <c r="T70" s="33">
        <f ca="1">INT(S70) + _xll.RiskBinomial(1,S70-INT(S70))</f>
        <v>0</v>
      </c>
      <c r="U70" s="26">
        <f t="shared" ca="1" si="31"/>
        <v>0</v>
      </c>
      <c r="V70" s="31">
        <f ca="1">_xll.RiskBinomial(1,U70)</f>
        <v>0</v>
      </c>
      <c r="W70" s="78">
        <f ca="1">IF(V70=1,_xll.RiskBinomial(1,Prob_illness_Adv_infection),0)</f>
        <v>0</v>
      </c>
      <c r="X70" s="26"/>
      <c r="Y70" s="77">
        <f t="shared" ca="1" si="6"/>
        <v>2.8760078302989753E-11</v>
      </c>
      <c r="Z70" s="33">
        <f ca="1">INT(Y70) + _xll.RiskBinomial(1,Y70-INT(Y70))</f>
        <v>0</v>
      </c>
      <c r="AA70" s="26">
        <f t="shared" ca="1" si="32"/>
        <v>0</v>
      </c>
      <c r="AB70" s="31">
        <f ca="1">_xll.RiskBinomial(1,AA70)</f>
        <v>0</v>
      </c>
      <c r="AC70" s="78">
        <f ca="1">IF(AB70=1,_xll.RiskBinomial(1,Prob_illness_Adv_infection),0)</f>
        <v>0</v>
      </c>
      <c r="AD70" s="26"/>
      <c r="AE70" s="77">
        <f t="shared" ca="1" si="8"/>
        <v>4.3189804188361044E-11</v>
      </c>
      <c r="AF70" s="33">
        <f ca="1">INT(AE70) + _xll.RiskBinomial(1,AE70-INT(AE70))</f>
        <v>0</v>
      </c>
      <c r="AG70" s="26">
        <f t="shared" ca="1" si="33"/>
        <v>0</v>
      </c>
      <c r="AH70" s="31">
        <f ca="1">_xll.RiskBinomial(1,AG70)</f>
        <v>0</v>
      </c>
      <c r="AI70" s="78">
        <f ca="1">IF(AH70=1,_xll.RiskBinomial(1,Prob_illness_Adv_infection),0)</f>
        <v>0</v>
      </c>
      <c r="AJ70" s="26"/>
      <c r="AK70" s="77">
        <f t="shared" ca="1" si="10"/>
        <v>2.8099660344543314E-10</v>
      </c>
      <c r="AL70" s="33">
        <f ca="1">INT(AK70) + _xll.RiskBinomial(1,AK70-INT(AK70))</f>
        <v>0</v>
      </c>
      <c r="AM70" s="26">
        <f t="shared" ca="1" si="34"/>
        <v>0</v>
      </c>
      <c r="AN70" s="31">
        <f ca="1">_xll.RiskBinomial(1,AM70)</f>
        <v>0</v>
      </c>
      <c r="AO70" s="78">
        <f ca="1">IF(AN70=1,_xll.RiskBinomial(1,Prob_illness_Adv_infection),0)</f>
        <v>0</v>
      </c>
      <c r="AP70" s="26"/>
      <c r="AQ70" s="77">
        <f t="shared" ca="1" si="12"/>
        <v>5.3314656091931183E-10</v>
      </c>
      <c r="AR70" s="33">
        <f ca="1">INT(AQ70) + _xll.RiskBinomial(1,AQ70-INT(AQ70))</f>
        <v>0</v>
      </c>
      <c r="AS70" s="26">
        <f t="shared" ca="1" si="35"/>
        <v>0</v>
      </c>
      <c r="AT70" s="31">
        <f ca="1">_xll.RiskBinomial(1,AS70)</f>
        <v>0</v>
      </c>
      <c r="AU70" s="78">
        <f ca="1">IF(AT70=1,_xll.RiskBinomial(1,Prob_illness_Adv_infection),0)</f>
        <v>0</v>
      </c>
      <c r="AV70" s="26"/>
      <c r="AW70" s="77">
        <f t="shared" ca="1" si="22"/>
        <v>9.3894532893596014E-12</v>
      </c>
      <c r="AX70" s="33">
        <f ca="1">INT(AW70) + _xll.RiskBinomial(1,AW70-INT(AW70))</f>
        <v>0</v>
      </c>
      <c r="AY70" s="26">
        <f t="shared" ca="1" si="36"/>
        <v>0</v>
      </c>
      <c r="AZ70" s="31">
        <f ca="1">_xll.RiskBinomial(1,AY70)</f>
        <v>0</v>
      </c>
      <c r="BA70" s="78">
        <f ca="1">IF(AZ70=1,_xll.RiskBinomial(1,Prob_illness_Adv_infection),0)</f>
        <v>0</v>
      </c>
      <c r="BC70" s="77">
        <f t="shared" ca="1" si="23"/>
        <v>4.8127942524238878E-11</v>
      </c>
      <c r="BD70" s="33">
        <f ca="1">INT(BC70) + _xll.RiskBinomial(1,BC70-INT(BC70))</f>
        <v>0</v>
      </c>
      <c r="BE70" s="26">
        <f t="shared" ca="1" si="37"/>
        <v>0</v>
      </c>
      <c r="BF70" s="31">
        <f ca="1">_xll.RiskBinomial(1,BE70)</f>
        <v>0</v>
      </c>
      <c r="BG70" s="78">
        <f ca="1">IF(BF70=1,_xll.RiskBinomial(1,Prob_illness_Adv_infection),0)</f>
        <v>0</v>
      </c>
      <c r="BI70" s="77">
        <f t="shared" ca="1" si="24"/>
        <v>2.2412289886528443E-11</v>
      </c>
      <c r="BJ70" s="33">
        <f ca="1">INT(BI70) + _xll.RiskBinomial(1,BI70-INT(BI70))</f>
        <v>0</v>
      </c>
      <c r="BK70" s="26">
        <f t="shared" ca="1" si="38"/>
        <v>0</v>
      </c>
      <c r="BL70" s="31">
        <f ca="1">_xll.RiskBinomial(1,BK70)</f>
        <v>0</v>
      </c>
      <c r="BM70" s="78">
        <f ca="1">IF(BL70=1,_xll.RiskBinomial(1,Prob_illness_Adv_infection),0)</f>
        <v>0</v>
      </c>
      <c r="BO70" s="77">
        <f t="shared" ca="1" si="25"/>
        <v>4.845555052694031E-11</v>
      </c>
      <c r="BP70" s="33">
        <f ca="1">INT(BO70) + _xll.RiskBinomial(1,BO70-INT(BO70))</f>
        <v>0</v>
      </c>
      <c r="BQ70" s="26">
        <f t="shared" ca="1" si="39"/>
        <v>0</v>
      </c>
      <c r="BR70" s="31">
        <f ca="1">_xll.RiskBinomial(1,BQ70)</f>
        <v>0</v>
      </c>
      <c r="BS70" s="78">
        <f ca="1">IF(BR70=1,_xll.RiskBinomial(1,Prob_illness_Adv_infection),0)</f>
        <v>0</v>
      </c>
      <c r="BU70" s="77">
        <f t="shared" ca="1" si="26"/>
        <v>3.4621614490078091E-13</v>
      </c>
      <c r="BV70" s="33">
        <f ca="1">INT(BU70) + _xll.RiskBinomial(1,BU70-INT(BU70))</f>
        <v>0</v>
      </c>
      <c r="BW70" s="26">
        <f t="shared" ca="1" si="40"/>
        <v>0</v>
      </c>
      <c r="BX70" s="31">
        <f ca="1">_xll.RiskBinomial(1,BW70)</f>
        <v>0</v>
      </c>
      <c r="BY70" s="78">
        <f ca="1">IF(BX70=1,_xll.RiskBinomial(1,Prob_illness_Adv_infection),0)</f>
        <v>0</v>
      </c>
      <c r="CA70" s="77">
        <f t="shared" ca="1" si="27"/>
        <v>5.2533562457863468E-11</v>
      </c>
      <c r="CB70" s="33">
        <f ca="1">INT(CA70) + _xll.RiskBinomial(1,CA70-INT(CA70))</f>
        <v>0</v>
      </c>
      <c r="CC70" s="26">
        <f t="shared" ca="1" si="41"/>
        <v>0</v>
      </c>
      <c r="CD70" s="31">
        <f ca="1">_xll.RiskBinomial(1,CC70)</f>
        <v>0</v>
      </c>
      <c r="CE70" s="78">
        <f ca="1">IF(CD70=1,_xll.RiskBinomial(1,Prob_illness_Adv_infection),0)</f>
        <v>0</v>
      </c>
      <c r="CG70" s="77" t="e">
        <f t="shared" ca="1" si="28"/>
        <v>#VALUE!</v>
      </c>
      <c r="CH70" s="33" t="e">
        <f ca="1">INT(CG70) + _xll.RiskBinomial(1,CG70-INT(CG70))</f>
        <v>#VALUE!</v>
      </c>
      <c r="CI70" s="26" t="e">
        <f t="shared" ca="1" si="42"/>
        <v>#VALUE!</v>
      </c>
      <c r="CJ70" s="31" t="e">
        <f ca="1">_xll.RiskBinomial(1,CI70)</f>
        <v>#VALUE!</v>
      </c>
      <c r="CK70" s="78" t="e">
        <f ca="1">IF(CJ70=1,_xll.RiskBinomial(1,Prob_illness_Adv_infection),0)</f>
        <v>#VALUE!</v>
      </c>
    </row>
    <row r="71" spans="2:89" x14ac:dyDescent="0.2">
      <c r="B71" s="97">
        <v>63</v>
      </c>
      <c r="C71" s="100">
        <f ca="1" xml:space="preserve"> _xll.RiskPert(Dur_event_hours_min,Dur_event_hours_mode,Dur_event_hours_max)</f>
        <v>0.4656146419922973</v>
      </c>
      <c r="D71" s="26">
        <f ca="1">_xll.RiskPert(Primary_Ing_Rate_mL_per_hour_min,Primary_Ing_Rate_mL_per_hour_mode,Primary_Ing_Rate_mL_per_hour_max)</f>
        <v>11.241746675887624</v>
      </c>
      <c r="E71" s="34">
        <f t="shared" ca="1" si="0"/>
        <v>5.2343218538615144</v>
      </c>
      <c r="F71" s="26"/>
      <c r="G71" s="77">
        <f t="shared" ca="1" si="21"/>
        <v>4.805877784329197E-10</v>
      </c>
      <c r="H71" s="33">
        <f ca="1">INT(G71) + _xll.RiskBinomial(1,G71-INT(G71))</f>
        <v>0</v>
      </c>
      <c r="I71" s="26">
        <f t="shared" ca="1" si="29"/>
        <v>0</v>
      </c>
      <c r="J71" s="31">
        <f ca="1">_xll.RiskBinomial(1,I71)</f>
        <v>0</v>
      </c>
      <c r="K71" s="78">
        <f ca="1">IF(J71=1,_xll.RiskBinomial(1,Prob_illness_Adv_infection),0)</f>
        <v>0</v>
      </c>
      <c r="L71" s="26"/>
      <c r="M71" s="77">
        <f t="shared" ca="1" si="2"/>
        <v>1.1935698221443812E-11</v>
      </c>
      <c r="N71" s="33">
        <f ca="1">INT(M71) + _xll.RiskBinomial(1,M71-INT(M71))</f>
        <v>0</v>
      </c>
      <c r="O71" s="26">
        <f t="shared" ca="1" si="30"/>
        <v>0</v>
      </c>
      <c r="P71" s="31">
        <f ca="1">_xll.RiskBinomial(1,O71)</f>
        <v>0</v>
      </c>
      <c r="Q71" s="78">
        <f ca="1">IF(P71=1,_xll.RiskBinomial(1,Prob_illness_Adv_infection),0)</f>
        <v>0</v>
      </c>
      <c r="R71" s="26"/>
      <c r="S71" s="77">
        <f t="shared" ca="1" si="4"/>
        <v>1.5114034215958489E-10</v>
      </c>
      <c r="T71" s="33">
        <f ca="1">INT(S71) + _xll.RiskBinomial(1,S71-INT(S71))</f>
        <v>0</v>
      </c>
      <c r="U71" s="26">
        <f t="shared" ca="1" si="31"/>
        <v>0</v>
      </c>
      <c r="V71" s="31">
        <f ca="1">_xll.RiskBinomial(1,U71)</f>
        <v>0</v>
      </c>
      <c r="W71" s="78">
        <f ca="1">IF(V71=1,_xll.RiskBinomial(1,Prob_illness_Adv_infection),0)</f>
        <v>0</v>
      </c>
      <c r="X71" s="26"/>
      <c r="Y71" s="77">
        <f t="shared" ca="1" si="6"/>
        <v>1.2570925866212635E-11</v>
      </c>
      <c r="Z71" s="33">
        <f ca="1">INT(Y71) + _xll.RiskBinomial(1,Y71-INT(Y71))</f>
        <v>0</v>
      </c>
      <c r="AA71" s="26">
        <f t="shared" ca="1" si="32"/>
        <v>0</v>
      </c>
      <c r="AB71" s="31">
        <f ca="1">_xll.RiskBinomial(1,AA71)</f>
        <v>0</v>
      </c>
      <c r="AC71" s="78">
        <f ca="1">IF(AB71=1,_xll.RiskBinomial(1,Prob_illness_Adv_infection),0)</f>
        <v>0</v>
      </c>
      <c r="AD71" s="26"/>
      <c r="AE71" s="77">
        <f t="shared" ca="1" si="8"/>
        <v>1.8878106690400969E-11</v>
      </c>
      <c r="AF71" s="33">
        <f ca="1">INT(AE71) + _xll.RiskBinomial(1,AE71-INT(AE71))</f>
        <v>0</v>
      </c>
      <c r="AG71" s="26">
        <f t="shared" ca="1" si="33"/>
        <v>0</v>
      </c>
      <c r="AH71" s="31">
        <f ca="1">_xll.RiskBinomial(1,AG71)</f>
        <v>0</v>
      </c>
      <c r="AI71" s="78">
        <f ca="1">IF(AH71=1,_xll.RiskBinomial(1,Prob_illness_Adv_infection),0)</f>
        <v>0</v>
      </c>
      <c r="AJ71" s="26"/>
      <c r="AK71" s="77">
        <f t="shared" ca="1" si="10"/>
        <v>1.2282259572995949E-10</v>
      </c>
      <c r="AL71" s="33">
        <f ca="1">INT(AK71) + _xll.RiskBinomial(1,AK71-INT(AK71))</f>
        <v>0</v>
      </c>
      <c r="AM71" s="26">
        <f t="shared" ca="1" si="34"/>
        <v>0</v>
      </c>
      <c r="AN71" s="31">
        <f ca="1">_xll.RiskBinomial(1,AM71)</f>
        <v>0</v>
      </c>
      <c r="AO71" s="78">
        <f ca="1">IF(AN71=1,_xll.RiskBinomial(1,Prob_illness_Adv_infection),0)</f>
        <v>0</v>
      </c>
      <c r="AP71" s="26"/>
      <c r="AQ71" s="77">
        <f t="shared" ca="1" si="12"/>
        <v>2.3303642717989978E-10</v>
      </c>
      <c r="AR71" s="33">
        <f ca="1">INT(AQ71) + _xll.RiskBinomial(1,AQ71-INT(AQ71))</f>
        <v>0</v>
      </c>
      <c r="AS71" s="26">
        <f t="shared" ca="1" si="35"/>
        <v>0</v>
      </c>
      <c r="AT71" s="31">
        <f ca="1">_xll.RiskBinomial(1,AS71)</f>
        <v>0</v>
      </c>
      <c r="AU71" s="78">
        <f ca="1">IF(AT71=1,_xll.RiskBinomial(1,Prob_illness_Adv_infection),0)</f>
        <v>0</v>
      </c>
      <c r="AV71" s="26"/>
      <c r="AW71" s="77">
        <f t="shared" ca="1" si="22"/>
        <v>4.1040959618157814E-12</v>
      </c>
      <c r="AX71" s="33">
        <f ca="1">INT(AW71) + _xll.RiskBinomial(1,AW71-INT(AW71))</f>
        <v>0</v>
      </c>
      <c r="AY71" s="26">
        <f t="shared" ca="1" si="36"/>
        <v>0</v>
      </c>
      <c r="AZ71" s="31">
        <f ca="1">_xll.RiskBinomial(1,AY71)</f>
        <v>0</v>
      </c>
      <c r="BA71" s="78">
        <f ca="1">IF(AZ71=1,_xll.RiskBinomial(1,Prob_illness_Adv_infection),0)</f>
        <v>0</v>
      </c>
      <c r="BC71" s="77">
        <f t="shared" ca="1" si="23"/>
        <v>2.1036549038277667E-11</v>
      </c>
      <c r="BD71" s="33">
        <f ca="1">INT(BC71) + _xll.RiskBinomial(1,BC71-INT(BC71))</f>
        <v>0</v>
      </c>
      <c r="BE71" s="26">
        <f t="shared" ca="1" si="37"/>
        <v>0</v>
      </c>
      <c r="BF71" s="31">
        <f ca="1">_xll.RiskBinomial(1,BE71)</f>
        <v>0</v>
      </c>
      <c r="BG71" s="78">
        <f ca="1">IF(BF71=1,_xll.RiskBinomial(1,Prob_illness_Adv_infection),0)</f>
        <v>0</v>
      </c>
      <c r="BI71" s="77">
        <f t="shared" ca="1" si="24"/>
        <v>9.7963305832281982E-12</v>
      </c>
      <c r="BJ71" s="33">
        <f ca="1">INT(BI71) + _xll.RiskBinomial(1,BI71-INT(BI71))</f>
        <v>0</v>
      </c>
      <c r="BK71" s="26">
        <f t="shared" ca="1" si="38"/>
        <v>0</v>
      </c>
      <c r="BL71" s="31">
        <f ca="1">_xll.RiskBinomial(1,BK71)</f>
        <v>0</v>
      </c>
      <c r="BM71" s="78">
        <f ca="1">IF(BL71=1,_xll.RiskBinomial(1,Prob_illness_Adv_infection),0)</f>
        <v>0</v>
      </c>
      <c r="BO71" s="77">
        <f t="shared" ca="1" si="25"/>
        <v>2.1179745307486349E-11</v>
      </c>
      <c r="BP71" s="33">
        <f ca="1">INT(BO71) + _xll.RiskBinomial(1,BO71-INT(BO71))</f>
        <v>0</v>
      </c>
      <c r="BQ71" s="26">
        <f t="shared" ca="1" si="39"/>
        <v>0</v>
      </c>
      <c r="BR71" s="31">
        <f ca="1">_xll.RiskBinomial(1,BQ71)</f>
        <v>0</v>
      </c>
      <c r="BS71" s="78">
        <f ca="1">IF(BR71=1,_xll.RiskBinomial(1,Prob_illness_Adv_infection),0)</f>
        <v>0</v>
      </c>
      <c r="BU71" s="77">
        <f t="shared" ca="1" si="26"/>
        <v>1.513298206417334E-13</v>
      </c>
      <c r="BV71" s="33">
        <f ca="1">INT(BU71) + _xll.RiskBinomial(1,BU71-INT(BU71))</f>
        <v>0</v>
      </c>
      <c r="BW71" s="26">
        <f t="shared" ca="1" si="40"/>
        <v>0</v>
      </c>
      <c r="BX71" s="31">
        <f ca="1">_xll.RiskBinomial(1,BW71)</f>
        <v>0</v>
      </c>
      <c r="BY71" s="78">
        <f ca="1">IF(BX71=1,_xll.RiskBinomial(1,Prob_illness_Adv_infection),0)</f>
        <v>0</v>
      </c>
      <c r="CA71" s="77">
        <f t="shared" ca="1" si="27"/>
        <v>2.2962229524848042E-11</v>
      </c>
      <c r="CB71" s="33">
        <f ca="1">INT(CA71) + _xll.RiskBinomial(1,CA71-INT(CA71))</f>
        <v>0</v>
      </c>
      <c r="CC71" s="26">
        <f t="shared" ca="1" si="41"/>
        <v>0</v>
      </c>
      <c r="CD71" s="31">
        <f ca="1">_xll.RiskBinomial(1,CC71)</f>
        <v>0</v>
      </c>
      <c r="CE71" s="78">
        <f ca="1">IF(CD71=1,_xll.RiskBinomial(1,Prob_illness_Adv_infection),0)</f>
        <v>0</v>
      </c>
      <c r="CG71" s="77" t="e">
        <f t="shared" ca="1" si="28"/>
        <v>#VALUE!</v>
      </c>
      <c r="CH71" s="33" t="e">
        <f ca="1">INT(CG71) + _xll.RiskBinomial(1,CG71-INT(CG71))</f>
        <v>#VALUE!</v>
      </c>
      <c r="CI71" s="26" t="e">
        <f t="shared" ca="1" si="42"/>
        <v>#VALUE!</v>
      </c>
      <c r="CJ71" s="31" t="e">
        <f ca="1">_xll.RiskBinomial(1,CI71)</f>
        <v>#VALUE!</v>
      </c>
      <c r="CK71" s="78" t="e">
        <f ca="1">IF(CJ71=1,_xll.RiskBinomial(1,Prob_illness_Adv_infection),0)</f>
        <v>#VALUE!</v>
      </c>
    </row>
    <row r="72" spans="2:89" x14ac:dyDescent="0.2">
      <c r="B72" s="97">
        <v>64</v>
      </c>
      <c r="C72" s="100">
        <f ca="1" xml:space="preserve"> _xll.RiskPert(Dur_event_hours_min,Dur_event_hours_mode,Dur_event_hours_max)</f>
        <v>0.49868658595109017</v>
      </c>
      <c r="D72" s="26">
        <f ca="1">_xll.RiskPert(Primary_Ing_Rate_mL_per_hour_min,Primary_Ing_Rate_mL_per_hour_mode,Primary_Ing_Rate_mL_per_hour_max)</f>
        <v>15.880845039830897</v>
      </c>
      <c r="E72" s="34">
        <f t="shared" ca="1" si="0"/>
        <v>7.9195643949315748</v>
      </c>
      <c r="F72" s="26"/>
      <c r="G72" s="77">
        <f t="shared" ca="1" si="21"/>
        <v>7.2713256176801262E-10</v>
      </c>
      <c r="H72" s="33">
        <f ca="1">INT(G72) + _xll.RiskBinomial(1,G72-INT(G72))</f>
        <v>0</v>
      </c>
      <c r="I72" s="26">
        <f t="shared" ca="1" si="29"/>
        <v>0</v>
      </c>
      <c r="J72" s="31">
        <f ca="1">_xll.RiskBinomial(1,I72)</f>
        <v>0</v>
      </c>
      <c r="K72" s="78">
        <f ca="1">IF(J72=1,_xll.RiskBinomial(1,Prob_illness_Adv_infection),0)</f>
        <v>0</v>
      </c>
      <c r="L72" s="26"/>
      <c r="M72" s="77">
        <f t="shared" ca="1" si="2"/>
        <v>1.8058792199310452E-11</v>
      </c>
      <c r="N72" s="33">
        <f ca="1">INT(M72) + _xll.RiskBinomial(1,M72-INT(M72))</f>
        <v>0</v>
      </c>
      <c r="O72" s="26">
        <f t="shared" ca="1" si="30"/>
        <v>0</v>
      </c>
      <c r="P72" s="31">
        <f ca="1">_xll.RiskBinomial(1,O72)</f>
        <v>0</v>
      </c>
      <c r="Q72" s="78">
        <f ca="1">IF(P72=1,_xll.RiskBinomial(1,Prob_illness_Adv_infection),0)</f>
        <v>0</v>
      </c>
      <c r="R72" s="26"/>
      <c r="S72" s="77">
        <f t="shared" ca="1" si="4"/>
        <v>2.2867636072508359E-10</v>
      </c>
      <c r="T72" s="33">
        <f ca="1">INT(S72) + _xll.RiskBinomial(1,S72-INT(S72))</f>
        <v>0</v>
      </c>
      <c r="U72" s="26">
        <f t="shared" ca="1" si="31"/>
        <v>0</v>
      </c>
      <c r="V72" s="31">
        <f ca="1">_xll.RiskBinomial(1,U72)</f>
        <v>0</v>
      </c>
      <c r="W72" s="78">
        <f ca="1">IF(V72=1,_xll.RiskBinomial(1,Prob_illness_Adv_infection),0)</f>
        <v>0</v>
      </c>
      <c r="X72" s="26"/>
      <c r="Y72" s="77">
        <f t="shared" ca="1" si="6"/>
        <v>1.9019895925569869E-11</v>
      </c>
      <c r="Z72" s="33">
        <f ca="1">INT(Y72) + _xll.RiskBinomial(1,Y72-INT(Y72))</f>
        <v>0</v>
      </c>
      <c r="AA72" s="26">
        <f t="shared" ca="1" si="32"/>
        <v>0</v>
      </c>
      <c r="AB72" s="31">
        <f ca="1">_xll.RiskBinomial(1,AA72)</f>
        <v>0</v>
      </c>
      <c r="AC72" s="78">
        <f ca="1">IF(AB72=1,_xll.RiskBinomial(1,Prob_illness_Adv_infection),0)</f>
        <v>0</v>
      </c>
      <c r="AD72" s="26"/>
      <c r="AE72" s="77">
        <f t="shared" ca="1" si="8"/>
        <v>2.8562703204565804E-11</v>
      </c>
      <c r="AF72" s="33">
        <f ca="1">INT(AE72) + _xll.RiskBinomial(1,AE72-INT(AE72))</f>
        <v>0</v>
      </c>
      <c r="AG72" s="26">
        <f t="shared" ca="1" si="33"/>
        <v>0</v>
      </c>
      <c r="AH72" s="31">
        <f ca="1">_xll.RiskBinomial(1,AG72)</f>
        <v>0</v>
      </c>
      <c r="AI72" s="78">
        <f ca="1">IF(AH72=1,_xll.RiskBinomial(1,Prob_illness_Adv_infection),0)</f>
        <v>0</v>
      </c>
      <c r="AJ72" s="26"/>
      <c r="AK72" s="77">
        <f t="shared" ca="1" si="10"/>
        <v>1.8583141870010752E-10</v>
      </c>
      <c r="AL72" s="33">
        <f ca="1">INT(AK72) + _xll.RiskBinomial(1,AK72-INT(AK72))</f>
        <v>0</v>
      </c>
      <c r="AM72" s="26">
        <f t="shared" ca="1" si="34"/>
        <v>0</v>
      </c>
      <c r="AN72" s="31">
        <f ca="1">_xll.RiskBinomial(1,AM72)</f>
        <v>0</v>
      </c>
      <c r="AO72" s="78">
        <f ca="1">IF(AN72=1,_xll.RiskBinomial(1,Prob_illness_Adv_infection),0)</f>
        <v>0</v>
      </c>
      <c r="AP72" s="26"/>
      <c r="AQ72" s="77">
        <f t="shared" ca="1" si="12"/>
        <v>3.5258569169843548E-10</v>
      </c>
      <c r="AR72" s="33">
        <f ca="1">INT(AQ72) + _xll.RiskBinomial(1,AQ72-INT(AQ72))</f>
        <v>0</v>
      </c>
      <c r="AS72" s="26">
        <f t="shared" ca="1" si="35"/>
        <v>0</v>
      </c>
      <c r="AT72" s="31">
        <f ca="1">_xll.RiskBinomial(1,AS72)</f>
        <v>0</v>
      </c>
      <c r="AU72" s="78">
        <f ca="1">IF(AT72=1,_xll.RiskBinomial(1,Prob_illness_Adv_infection),0)</f>
        <v>0</v>
      </c>
      <c r="AV72" s="26"/>
      <c r="AW72" s="77">
        <f t="shared" ca="1" si="22"/>
        <v>6.2095249700017111E-12</v>
      </c>
      <c r="AX72" s="33">
        <f ca="1">INT(AW72) + _xll.RiskBinomial(1,AW72-INT(AW72))</f>
        <v>0</v>
      </c>
      <c r="AY72" s="26">
        <f t="shared" ca="1" si="36"/>
        <v>0</v>
      </c>
      <c r="AZ72" s="31">
        <f ca="1">_xll.RiskBinomial(1,AY72)</f>
        <v>0</v>
      </c>
      <c r="BA72" s="78">
        <f ca="1">IF(AZ72=1,_xll.RiskBinomial(1,Prob_illness_Adv_infection),0)</f>
        <v>0</v>
      </c>
      <c r="BC72" s="77">
        <f t="shared" ca="1" si="23"/>
        <v>3.1828441086951869E-11</v>
      </c>
      <c r="BD72" s="33">
        <f ca="1">INT(BC72) + _xll.RiskBinomial(1,BC72-INT(BC72))</f>
        <v>0</v>
      </c>
      <c r="BE72" s="26">
        <f t="shared" ca="1" si="37"/>
        <v>0</v>
      </c>
      <c r="BF72" s="31">
        <f ca="1">_xll.RiskBinomial(1,BE72)</f>
        <v>0</v>
      </c>
      <c r="BG72" s="78">
        <f ca="1">IF(BF72=1,_xll.RiskBinomial(1,Prob_illness_Adv_infection),0)</f>
        <v>0</v>
      </c>
      <c r="BI72" s="77">
        <f t="shared" ca="1" si="24"/>
        <v>1.4821914481754357E-11</v>
      </c>
      <c r="BJ72" s="33">
        <f ca="1">INT(BI72) + _xll.RiskBinomial(1,BI72-INT(BI72))</f>
        <v>0</v>
      </c>
      <c r="BK72" s="26">
        <f t="shared" ca="1" si="38"/>
        <v>0</v>
      </c>
      <c r="BL72" s="31">
        <f ca="1">_xll.RiskBinomial(1,BK72)</f>
        <v>0</v>
      </c>
      <c r="BM72" s="78">
        <f ca="1">IF(BL72=1,_xll.RiskBinomial(1,Prob_illness_Adv_infection),0)</f>
        <v>0</v>
      </c>
      <c r="BO72" s="77">
        <f t="shared" ca="1" si="25"/>
        <v>3.2045098011530454E-11</v>
      </c>
      <c r="BP72" s="33">
        <f ca="1">INT(BO72) + _xll.RiskBinomial(1,BO72-INT(BO72))</f>
        <v>0</v>
      </c>
      <c r="BQ72" s="26">
        <f t="shared" ca="1" si="39"/>
        <v>0</v>
      </c>
      <c r="BR72" s="31">
        <f ca="1">_xll.RiskBinomial(1,BQ72)</f>
        <v>0</v>
      </c>
      <c r="BS72" s="78">
        <f ca="1">IF(BR72=1,_xll.RiskBinomial(1,Prob_illness_Adv_infection),0)</f>
        <v>0</v>
      </c>
      <c r="BU72" s="77">
        <f t="shared" ca="1" si="26"/>
        <v>2.2896304295111489E-13</v>
      </c>
      <c r="BV72" s="33">
        <f ca="1">INT(BU72) + _xll.RiskBinomial(1,BU72-INT(BU72))</f>
        <v>0</v>
      </c>
      <c r="BW72" s="26">
        <f t="shared" ca="1" si="40"/>
        <v>0</v>
      </c>
      <c r="BX72" s="31">
        <f ca="1">_xll.RiskBinomial(1,BW72)</f>
        <v>0</v>
      </c>
      <c r="BY72" s="78">
        <f ca="1">IF(BX72=1,_xll.RiskBinomial(1,Prob_illness_Adv_infection),0)</f>
        <v>0</v>
      </c>
      <c r="CA72" s="77">
        <f t="shared" ca="1" si="27"/>
        <v>3.4742008697664695E-11</v>
      </c>
      <c r="CB72" s="33">
        <f ca="1">INT(CA72) + _xll.RiskBinomial(1,CA72-INT(CA72))</f>
        <v>0</v>
      </c>
      <c r="CC72" s="26">
        <f t="shared" ca="1" si="41"/>
        <v>0</v>
      </c>
      <c r="CD72" s="31">
        <f ca="1">_xll.RiskBinomial(1,CC72)</f>
        <v>0</v>
      </c>
      <c r="CE72" s="78">
        <f ca="1">IF(CD72=1,_xll.RiskBinomial(1,Prob_illness_Adv_infection),0)</f>
        <v>0</v>
      </c>
      <c r="CG72" s="77" t="e">
        <f t="shared" ca="1" si="28"/>
        <v>#VALUE!</v>
      </c>
      <c r="CH72" s="33" t="e">
        <f ca="1">INT(CG72) + _xll.RiskBinomial(1,CG72-INT(CG72))</f>
        <v>#VALUE!</v>
      </c>
      <c r="CI72" s="26" t="e">
        <f t="shared" ca="1" si="42"/>
        <v>#VALUE!</v>
      </c>
      <c r="CJ72" s="31" t="e">
        <f ca="1">_xll.RiskBinomial(1,CI72)</f>
        <v>#VALUE!</v>
      </c>
      <c r="CK72" s="78" t="e">
        <f ca="1">IF(CJ72=1,_xll.RiskBinomial(1,Prob_illness_Adv_infection),0)</f>
        <v>#VALUE!</v>
      </c>
    </row>
    <row r="73" spans="2:89" x14ac:dyDescent="0.2">
      <c r="B73" s="97">
        <v>65</v>
      </c>
      <c r="C73" s="100">
        <f ca="1" xml:space="preserve"> _xll.RiskPert(Dur_event_hours_min,Dur_event_hours_mode,Dur_event_hours_max)</f>
        <v>1.2052256001221384</v>
      </c>
      <c r="D73" s="26">
        <f ca="1">_xll.RiskPert(Primary_Ing_Rate_mL_per_hour_min,Primary_Ing_Rate_mL_per_hour_mode,Primary_Ing_Rate_mL_per_hour_max)</f>
        <v>14.677621936837394</v>
      </c>
      <c r="E73" s="34">
        <f t="shared" ref="E73:E108" ca="1" si="43">C73*D73</f>
        <v>17.689845707190713</v>
      </c>
      <c r="F73" s="26"/>
      <c r="G73" s="77">
        <f t="shared" ca="1" si="21"/>
        <v>1.6241881730998412E-9</v>
      </c>
      <c r="H73" s="33">
        <f ca="1">INT(G73) + _xll.RiskBinomial(1,G73-INT(G73))</f>
        <v>0</v>
      </c>
      <c r="I73" s="26">
        <f t="shared" ref="I73:I104" ca="1" si="44" xml:space="preserve"> MAX(1-(1-r_Adv)^H73,0)</f>
        <v>0</v>
      </c>
      <c r="J73" s="31">
        <f ca="1">_xll.RiskBinomial(1,I73)</f>
        <v>0</v>
      </c>
      <c r="K73" s="78">
        <f ca="1">IF(J73=1,_xll.RiskBinomial(1,Prob_illness_Adv_infection),0)</f>
        <v>0</v>
      </c>
      <c r="L73" s="26"/>
      <c r="M73" s="77">
        <f t="shared" ref="M73:M108" ca="1" si="45">$E73*P$3/V</f>
        <v>4.0337729669635606E-11</v>
      </c>
      <c r="N73" s="33">
        <f ca="1">INT(M73) + _xll.RiskBinomial(1,M73-INT(M73))</f>
        <v>0</v>
      </c>
      <c r="O73" s="26">
        <f t="shared" ref="O73:O104" ca="1" si="46" xml:space="preserve"> MAX(1-(1-r_Adv)^N73,0)</f>
        <v>0</v>
      </c>
      <c r="P73" s="31">
        <f ca="1">_xll.RiskBinomial(1,O73)</f>
        <v>0</v>
      </c>
      <c r="Q73" s="78">
        <f ca="1">IF(P73=1,_xll.RiskBinomial(1,Prob_illness_Adv_infection),0)</f>
        <v>0</v>
      </c>
      <c r="R73" s="26"/>
      <c r="S73" s="77">
        <f t="shared" ref="S73:S108" ca="1" si="47">$E73*V$3/V</f>
        <v>5.1079192445199713E-10</v>
      </c>
      <c r="T73" s="33">
        <f ca="1">INT(S73) + _xll.RiskBinomial(1,S73-INT(S73))</f>
        <v>0</v>
      </c>
      <c r="U73" s="26">
        <f t="shared" ref="U73:U104" ca="1" si="48" xml:space="preserve"> MAX(1-(1-r_Adv)^T73,0)</f>
        <v>0</v>
      </c>
      <c r="V73" s="31">
        <f ca="1">_xll.RiskBinomial(1,U73)</f>
        <v>0</v>
      </c>
      <c r="W73" s="78">
        <f ca="1">IF(V73=1,_xll.RiskBinomial(1,Prob_illness_Adv_infection),0)</f>
        <v>0</v>
      </c>
      <c r="X73" s="26"/>
      <c r="Y73" s="77">
        <f t="shared" ref="Y73:Y108" ca="1" si="49">$E73*AB$3/V</f>
        <v>4.2484536713343221E-11</v>
      </c>
      <c r="Z73" s="33">
        <f ca="1">INT(Y73) + _xll.RiskBinomial(1,Y73-INT(Y73))</f>
        <v>0</v>
      </c>
      <c r="AA73" s="26">
        <f t="shared" ref="AA73:AA104" ca="1" si="50" xml:space="preserve"> MAX(1-(1-r_Adv)^Z73,0)</f>
        <v>0</v>
      </c>
      <c r="AB73" s="31">
        <f ca="1">_xll.RiskBinomial(1,AA73)</f>
        <v>0</v>
      </c>
      <c r="AC73" s="78">
        <f ca="1">IF(AB73=1,_xll.RiskBinomial(1,Prob_illness_Adv_infection),0)</f>
        <v>0</v>
      </c>
      <c r="AD73" s="26"/>
      <c r="AE73" s="77">
        <f t="shared" ref="AE73:AE108" ca="1" si="51">$E73*AH$3/V</f>
        <v>6.3800202570790052E-11</v>
      </c>
      <c r="AF73" s="33">
        <f ca="1">INT(AE73) + _xll.RiskBinomial(1,AE73-INT(AE73))</f>
        <v>0</v>
      </c>
      <c r="AG73" s="26">
        <f t="shared" ref="AG73:AG104" ca="1" si="52" xml:space="preserve"> MAX(1-(1-r_Adv)^AF73,0)</f>
        <v>0</v>
      </c>
      <c r="AH73" s="31">
        <f ca="1">_xll.RiskBinomial(1,AG73)</f>
        <v>0</v>
      </c>
      <c r="AI73" s="78">
        <f ca="1">IF(AH73=1,_xll.RiskBinomial(1,Prob_illness_Adv_infection),0)</f>
        <v>0</v>
      </c>
      <c r="AJ73" s="26"/>
      <c r="AK73" s="77">
        <f t="shared" ref="AK73:AK108" ca="1" si="53">$E73*AN$3/V</f>
        <v>4.1508963882623486E-10</v>
      </c>
      <c r="AL73" s="33">
        <f ca="1">INT(AK73) + _xll.RiskBinomial(1,AK73-INT(AK73))</f>
        <v>0</v>
      </c>
      <c r="AM73" s="26">
        <f t="shared" ref="AM73:AM104" ca="1" si="54" xml:space="preserve"> MAX(1-(1-r_Adv)^AL73,0)</f>
        <v>0</v>
      </c>
      <c r="AN73" s="31">
        <f ca="1">_xll.RiskBinomial(1,AM73)</f>
        <v>0</v>
      </c>
      <c r="AO73" s="78">
        <f ca="1">IF(AN73=1,_xll.RiskBinomial(1,Prob_illness_Adv_infection),0)</f>
        <v>0</v>
      </c>
      <c r="AP73" s="26"/>
      <c r="AQ73" s="77">
        <f t="shared" ref="AQ73:AQ108" ca="1" si="55">$E73*AT$3/V</f>
        <v>7.8756686273050074E-10</v>
      </c>
      <c r="AR73" s="33">
        <f ca="1">INT(AQ73) + _xll.RiskBinomial(1,AQ73-INT(AQ73))</f>
        <v>0</v>
      </c>
      <c r="AS73" s="26">
        <f t="shared" ref="AS73:AS104" ca="1" si="56" xml:space="preserve"> MAX(1-(1-r_Adv)^AR73,0)</f>
        <v>0</v>
      </c>
      <c r="AT73" s="31">
        <f ca="1">_xll.RiskBinomial(1,AS73)</f>
        <v>0</v>
      </c>
      <c r="AU73" s="78">
        <f ca="1">IF(AT73=1,_xll.RiskBinomial(1,Prob_illness_Adv_infection),0)</f>
        <v>0</v>
      </c>
      <c r="AV73" s="26"/>
      <c r="AW73" s="77">
        <f t="shared" ca="1" si="22"/>
        <v>1.3870149058271199E-11</v>
      </c>
      <c r="AX73" s="33">
        <f ca="1">INT(AW73) + _xll.RiskBinomial(1,AW73-INT(AW73))</f>
        <v>0</v>
      </c>
      <c r="AY73" s="26">
        <f t="shared" ref="AY73:AY104" ca="1" si="57" xml:space="preserve"> MAX(1-(1-r_Adv)^AX73,0)</f>
        <v>0</v>
      </c>
      <c r="AZ73" s="31">
        <f ca="1">_xll.RiskBinomial(1,AY73)</f>
        <v>0</v>
      </c>
      <c r="BA73" s="78">
        <f ca="1">IF(AZ73=1,_xll.RiskBinomial(1,Prob_illness_Adv_infection),0)</f>
        <v>0</v>
      </c>
      <c r="BC73" s="77">
        <f t="shared" ca="1" si="23"/>
        <v>7.1094846111602668E-11</v>
      </c>
      <c r="BD73" s="33">
        <f ca="1">INT(BC73) + _xll.RiskBinomial(1,BC73-INT(BC73))</f>
        <v>0</v>
      </c>
      <c r="BE73" s="26">
        <f t="shared" ref="BE73:BE104" ca="1" si="58" xml:space="preserve"> MAX(1-(1-r_Adv)^BD73,0)</f>
        <v>0</v>
      </c>
      <c r="BF73" s="31">
        <f ca="1">_xll.RiskBinomial(1,BE73)</f>
        <v>0</v>
      </c>
      <c r="BG73" s="78">
        <f ca="1">IF(BF73=1,_xll.RiskBinomial(1,Prob_illness_Adv_infection),0)</f>
        <v>0</v>
      </c>
      <c r="BI73" s="77">
        <f t="shared" ca="1" si="24"/>
        <v>3.3107550768223234E-11</v>
      </c>
      <c r="BJ73" s="33">
        <f ca="1">INT(BI73) + _xll.RiskBinomial(1,BI73-INT(BI73))</f>
        <v>0</v>
      </c>
      <c r="BK73" s="26">
        <f t="shared" ref="BK73:BK104" ca="1" si="59" xml:space="preserve"> MAX(1-(1-r_Adv)^BJ73,0)</f>
        <v>0</v>
      </c>
      <c r="BL73" s="31">
        <f ca="1">_xll.RiskBinomial(1,BK73)</f>
        <v>0</v>
      </c>
      <c r="BM73" s="78">
        <f ca="1">IF(BL73=1,_xll.RiskBinomial(1,Prob_illness_Adv_infection),0)</f>
        <v>0</v>
      </c>
      <c r="BO73" s="77">
        <f t="shared" ca="1" si="25"/>
        <v>7.1578790350965431E-11</v>
      </c>
      <c r="BP73" s="33">
        <f ca="1">INT(BO73) + _xll.RiskBinomial(1,BO73-INT(BO73))</f>
        <v>0</v>
      </c>
      <c r="BQ73" s="26">
        <f t="shared" ref="BQ73:BQ104" ca="1" si="60" xml:space="preserve"> MAX(1-(1-r_Adv)^BP73,0)</f>
        <v>0</v>
      </c>
      <c r="BR73" s="31">
        <f ca="1">_xll.RiskBinomial(1,BQ73)</f>
        <v>0</v>
      </c>
      <c r="BS73" s="78">
        <f ca="1">IF(BR73=1,_xll.RiskBinomial(1,Prob_illness_Adv_infection),0)</f>
        <v>0</v>
      </c>
      <c r="BU73" s="77">
        <f t="shared" ca="1" si="26"/>
        <v>5.1143228345314788E-13</v>
      </c>
      <c r="BV73" s="33">
        <f ca="1">INT(BU73) + _xll.RiskBinomial(1,BU73-INT(BU73))</f>
        <v>0</v>
      </c>
      <c r="BW73" s="26">
        <f t="shared" ref="BW73:BW104" ca="1" si="61" xml:space="preserve"> MAX(1-(1-r_Adv)^BV73,0)</f>
        <v>0</v>
      </c>
      <c r="BX73" s="31">
        <f ca="1">_xll.RiskBinomial(1,BW73)</f>
        <v>0</v>
      </c>
      <c r="BY73" s="78">
        <f ca="1">IF(BX73=1,_xll.RiskBinomial(1,Prob_illness_Adv_infection),0)</f>
        <v>0</v>
      </c>
      <c r="CA73" s="77">
        <f t="shared" ca="1" si="27"/>
        <v>7.7602850708921624E-11</v>
      </c>
      <c r="CB73" s="33">
        <f ca="1">INT(CA73) + _xll.RiskBinomial(1,CA73-INT(CA73))</f>
        <v>0</v>
      </c>
      <c r="CC73" s="26">
        <f t="shared" ref="CC73:CC104" ca="1" si="62" xml:space="preserve"> MAX(1-(1-r_Adv)^CB73,0)</f>
        <v>0</v>
      </c>
      <c r="CD73" s="31">
        <f ca="1">_xll.RiskBinomial(1,CC73)</f>
        <v>0</v>
      </c>
      <c r="CE73" s="78">
        <f ca="1">IF(CD73=1,_xll.RiskBinomial(1,Prob_illness_Adv_infection),0)</f>
        <v>0</v>
      </c>
      <c r="CG73" s="77" t="e">
        <f t="shared" ca="1" si="28"/>
        <v>#VALUE!</v>
      </c>
      <c r="CH73" s="33" t="e">
        <f ca="1">INT(CG73) + _xll.RiskBinomial(1,CG73-INT(CG73))</f>
        <v>#VALUE!</v>
      </c>
      <c r="CI73" s="26" t="e">
        <f t="shared" ref="CI73:CI104" ca="1" si="63" xml:space="preserve"> MAX(1-(1-r_Adv)^CH73,0)</f>
        <v>#VALUE!</v>
      </c>
      <c r="CJ73" s="31" t="e">
        <f ca="1">_xll.RiskBinomial(1,CI73)</f>
        <v>#VALUE!</v>
      </c>
      <c r="CK73" s="78" t="e">
        <f ca="1">IF(CJ73=1,_xll.RiskBinomial(1,Prob_illness_Adv_infection),0)</f>
        <v>#VALUE!</v>
      </c>
    </row>
    <row r="74" spans="2:89" x14ac:dyDescent="0.2">
      <c r="B74" s="97">
        <v>66</v>
      </c>
      <c r="C74" s="100">
        <f ca="1" xml:space="preserve"> _xll.RiskPert(Dur_event_hours_min,Dur_event_hours_mode,Dur_event_hours_max)</f>
        <v>1.9121410499370983</v>
      </c>
      <c r="D74" s="26">
        <f ca="1">_xll.RiskPert(Primary_Ing_Rate_mL_per_hour_min,Primary_Ing_Rate_mL_per_hour_mode,Primary_Ing_Rate_mL_per_hour_max)</f>
        <v>27.693228103871213</v>
      </c>
      <c r="E74" s="34">
        <f t="shared" ca="1" si="43"/>
        <v>52.953358262683864</v>
      </c>
      <c r="F74" s="26"/>
      <c r="G74" s="77">
        <f t="shared" ref="G74:G108" ca="1" si="64">$E74*J$3/V</f>
        <v>4.8618975902774204E-9</v>
      </c>
      <c r="H74" s="33">
        <f ca="1">INT(G74) + _xll.RiskBinomial(1,G74-INT(G74))</f>
        <v>0</v>
      </c>
      <c r="I74" s="26">
        <f t="shared" ca="1" si="44"/>
        <v>0</v>
      </c>
      <c r="J74" s="31">
        <f ca="1">_xll.RiskBinomial(1,I74)</f>
        <v>0</v>
      </c>
      <c r="K74" s="78">
        <f ca="1">IF(J74=1,_xll.RiskBinomial(1,Prob_illness_Adv_infection),0)</f>
        <v>0</v>
      </c>
      <c r="L74" s="26"/>
      <c r="M74" s="77">
        <f t="shared" ca="1" si="45"/>
        <v>1.2074826915145111E-10</v>
      </c>
      <c r="N74" s="33">
        <f ca="1">INT(M74) + _xll.RiskBinomial(1,M74-INT(M74))</f>
        <v>0</v>
      </c>
      <c r="O74" s="26">
        <f t="shared" ca="1" si="46"/>
        <v>0</v>
      </c>
      <c r="P74" s="31">
        <f ca="1">_xll.RiskBinomial(1,O74)</f>
        <v>0</v>
      </c>
      <c r="Q74" s="78">
        <f ca="1">IF(P74=1,_xll.RiskBinomial(1,Prob_illness_Adv_infection),0)</f>
        <v>0</v>
      </c>
      <c r="R74" s="26"/>
      <c r="S74" s="77">
        <f t="shared" ca="1" si="47"/>
        <v>1.5290211243729277E-9</v>
      </c>
      <c r="T74" s="33">
        <f ca="1">INT(S74) + _xll.RiskBinomial(1,S74-INT(S74))</f>
        <v>0</v>
      </c>
      <c r="U74" s="26">
        <f t="shared" ca="1" si="48"/>
        <v>0</v>
      </c>
      <c r="V74" s="31">
        <f ca="1">_xll.RiskBinomial(1,U74)</f>
        <v>0</v>
      </c>
      <c r="W74" s="78">
        <f ca="1">IF(V74=1,_xll.RiskBinomial(1,Prob_illness_Adv_infection),0)</f>
        <v>0</v>
      </c>
      <c r="X74" s="26"/>
      <c r="Y74" s="77">
        <f t="shared" ca="1" si="49"/>
        <v>1.2717459103056697E-10</v>
      </c>
      <c r="Z74" s="33">
        <f ca="1">INT(Y74) + _xll.RiskBinomial(1,Y74-INT(Y74))</f>
        <v>0</v>
      </c>
      <c r="AA74" s="26">
        <f t="shared" ca="1" si="50"/>
        <v>0</v>
      </c>
      <c r="AB74" s="31">
        <f ca="1">_xll.RiskBinomial(1,AA74)</f>
        <v>0</v>
      </c>
      <c r="AC74" s="78">
        <f ca="1">IF(AB74=1,_xll.RiskBinomial(1,Prob_illness_Adv_infection),0)</f>
        <v>0</v>
      </c>
      <c r="AD74" s="26"/>
      <c r="AE74" s="77">
        <f t="shared" ca="1" si="51"/>
        <v>1.9098159700678201E-10</v>
      </c>
      <c r="AF74" s="33">
        <f ca="1">INT(AE74) + _xll.RiskBinomial(1,AE74-INT(AE74))</f>
        <v>0</v>
      </c>
      <c r="AG74" s="26">
        <f t="shared" ca="1" si="52"/>
        <v>0</v>
      </c>
      <c r="AH74" s="31">
        <f ca="1">_xll.RiskBinomial(1,AG74)</f>
        <v>0</v>
      </c>
      <c r="AI74" s="78">
        <f ca="1">IF(AH74=1,_xll.RiskBinomial(1,Prob_illness_Adv_infection),0)</f>
        <v>0</v>
      </c>
      <c r="AJ74" s="26"/>
      <c r="AK74" s="77">
        <f t="shared" ca="1" si="53"/>
        <v>1.2425427965693842E-9</v>
      </c>
      <c r="AL74" s="33">
        <f ca="1">INT(AK74) + _xll.RiskBinomial(1,AK74-INT(AK74))</f>
        <v>0</v>
      </c>
      <c r="AM74" s="26">
        <f t="shared" ca="1" si="54"/>
        <v>0</v>
      </c>
      <c r="AN74" s="31">
        <f ca="1">_xll.RiskBinomial(1,AM74)</f>
        <v>0</v>
      </c>
      <c r="AO74" s="78">
        <f ca="1">IF(AN74=1,_xll.RiskBinomial(1,Prob_illness_Adv_infection),0)</f>
        <v>0</v>
      </c>
      <c r="AP74" s="26"/>
      <c r="AQ74" s="77">
        <f t="shared" ca="1" si="55"/>
        <v>2.3575282073282222E-9</v>
      </c>
      <c r="AR74" s="33">
        <f ca="1">INT(AQ74) + _xll.RiskBinomial(1,AQ74-INT(AQ74))</f>
        <v>0</v>
      </c>
      <c r="AS74" s="26">
        <f t="shared" ca="1" si="56"/>
        <v>0</v>
      </c>
      <c r="AT74" s="31">
        <f ca="1">_xll.RiskBinomial(1,AS74)</f>
        <v>0</v>
      </c>
      <c r="AU74" s="78">
        <f ca="1">IF(AT74=1,_xll.RiskBinomial(1,Prob_illness_Adv_infection),0)</f>
        <v>0</v>
      </c>
      <c r="AV74" s="26"/>
      <c r="AW74" s="77">
        <f t="shared" ref="AW74:AW108" ca="1" si="65">$E74*AZ$3/V</f>
        <v>4.1519354345804624E-11</v>
      </c>
      <c r="AX74" s="33">
        <f ca="1">INT(AW74) + _xll.RiskBinomial(1,AW74-INT(AW74))</f>
        <v>0</v>
      </c>
      <c r="AY74" s="26">
        <f t="shared" ca="1" si="57"/>
        <v>0</v>
      </c>
      <c r="AZ74" s="31">
        <f ca="1">_xll.RiskBinomial(1,AY74)</f>
        <v>0</v>
      </c>
      <c r="BA74" s="78">
        <f ca="1">IF(AZ74=1,_xll.RiskBinomial(1,Prob_illness_Adv_infection),0)</f>
        <v>0</v>
      </c>
      <c r="BC74" s="77">
        <f t="shared" ref="BC74:BC108" ca="1" si="66">$E74*BF$3/V</f>
        <v>2.1281761972902692E-10</v>
      </c>
      <c r="BD74" s="33">
        <f ca="1">INT(BC74) + _xll.RiskBinomial(1,BC74-INT(BC74))</f>
        <v>0</v>
      </c>
      <c r="BE74" s="26">
        <f t="shared" ca="1" si="58"/>
        <v>0</v>
      </c>
      <c r="BF74" s="31">
        <f ca="1">_xll.RiskBinomial(1,BE74)</f>
        <v>0</v>
      </c>
      <c r="BG74" s="78">
        <f ca="1">IF(BF74=1,_xll.RiskBinomial(1,Prob_illness_Adv_infection),0)</f>
        <v>0</v>
      </c>
      <c r="BI74" s="77">
        <f t="shared" ref="BI74:BI108" ca="1" si="67">$E74*BL$3/V</f>
        <v>9.9105216972982529E-11</v>
      </c>
      <c r="BJ74" s="33">
        <f ca="1">INT(BI74) + _xll.RiskBinomial(1,BI74-INT(BI74))</f>
        <v>0</v>
      </c>
      <c r="BK74" s="26">
        <f t="shared" ca="1" si="59"/>
        <v>0</v>
      </c>
      <c r="BL74" s="31">
        <f ca="1">_xll.RiskBinomial(1,BK74)</f>
        <v>0</v>
      </c>
      <c r="BM74" s="78">
        <f ca="1">IF(BL74=1,_xll.RiskBinomial(1,Prob_illness_Adv_infection),0)</f>
        <v>0</v>
      </c>
      <c r="BO74" s="77">
        <f t="shared" ref="BO74:BO108" ca="1" si="68">$E74*BR$3/V</f>
        <v>2.142662741215139E-10</v>
      </c>
      <c r="BP74" s="33">
        <f ca="1">INT(BO74) + _xll.RiskBinomial(1,BO74-INT(BO74))</f>
        <v>0</v>
      </c>
      <c r="BQ74" s="26">
        <f t="shared" ca="1" si="60"/>
        <v>0</v>
      </c>
      <c r="BR74" s="31">
        <f ca="1">_xll.RiskBinomial(1,BQ74)</f>
        <v>0</v>
      </c>
      <c r="BS74" s="78">
        <f ca="1">IF(BR74=1,_xll.RiskBinomial(1,Prob_illness_Adv_infection),0)</f>
        <v>0</v>
      </c>
      <c r="BU74" s="77">
        <f t="shared" ref="BU74:BU108" ca="1" si="69">$E74*BX$3/V</f>
        <v>1.5309379957897817E-12</v>
      </c>
      <c r="BV74" s="33">
        <f ca="1">INT(BU74) + _xll.RiskBinomial(1,BU74-INT(BU74))</f>
        <v>0</v>
      </c>
      <c r="BW74" s="26">
        <f t="shared" ca="1" si="61"/>
        <v>0</v>
      </c>
      <c r="BX74" s="31">
        <f ca="1">_xll.RiskBinomial(1,BW74)</f>
        <v>0</v>
      </c>
      <c r="BY74" s="78">
        <f ca="1">IF(BX74=1,_xll.RiskBinomial(1,Prob_illness_Adv_infection),0)</f>
        <v>0</v>
      </c>
      <c r="CA74" s="77">
        <f t="shared" ref="CA74:CA108" ca="1" si="70">$E74*CD$3/V</f>
        <v>2.3229889190750277E-10</v>
      </c>
      <c r="CB74" s="33">
        <f ca="1">INT(CA74) + _xll.RiskBinomial(1,CA74-INT(CA74))</f>
        <v>0</v>
      </c>
      <c r="CC74" s="26">
        <f t="shared" ca="1" si="62"/>
        <v>0</v>
      </c>
      <c r="CD74" s="31">
        <f ca="1">_xll.RiskBinomial(1,CC74)</f>
        <v>0</v>
      </c>
      <c r="CE74" s="78">
        <f ca="1">IF(CD74=1,_xll.RiskBinomial(1,Prob_illness_Adv_infection),0)</f>
        <v>0</v>
      </c>
      <c r="CG74" s="77" t="e">
        <f t="shared" ref="CG74:CG108" ca="1" si="71">$E74*CJ$3/V</f>
        <v>#VALUE!</v>
      </c>
      <c r="CH74" s="33" t="e">
        <f ca="1">INT(CG74) + _xll.RiskBinomial(1,CG74-INT(CG74))</f>
        <v>#VALUE!</v>
      </c>
      <c r="CI74" s="26" t="e">
        <f t="shared" ca="1" si="63"/>
        <v>#VALUE!</v>
      </c>
      <c r="CJ74" s="31" t="e">
        <f ca="1">_xll.RiskBinomial(1,CI74)</f>
        <v>#VALUE!</v>
      </c>
      <c r="CK74" s="78" t="e">
        <f ca="1">IF(CJ74=1,_xll.RiskBinomial(1,Prob_illness_Adv_infection),0)</f>
        <v>#VALUE!</v>
      </c>
    </row>
    <row r="75" spans="2:89" x14ac:dyDescent="0.2">
      <c r="B75" s="97">
        <v>67</v>
      </c>
      <c r="C75" s="100">
        <f ca="1" xml:space="preserve"> _xll.RiskPert(Dur_event_hours_min,Dur_event_hours_mode,Dur_event_hours_max)</f>
        <v>1.9320652494580879</v>
      </c>
      <c r="D75" s="26">
        <f ca="1">_xll.RiskPert(Primary_Ing_Rate_mL_per_hour_min,Primary_Ing_Rate_mL_per_hour_mode,Primary_Ing_Rate_mL_per_hour_max)</f>
        <v>19.23045710233664</v>
      </c>
      <c r="E75" s="34">
        <f t="shared" ca="1" si="43"/>
        <v>37.154497898619098</v>
      </c>
      <c r="F75" s="26"/>
      <c r="G75" s="77">
        <f t="shared" ca="1" si="64"/>
        <v>3.4113297008503669E-9</v>
      </c>
      <c r="H75" s="33">
        <f ca="1">INT(G75) + _xll.RiskBinomial(1,G75-INT(G75))</f>
        <v>0</v>
      </c>
      <c r="I75" s="26">
        <f t="shared" ca="1" si="44"/>
        <v>0</v>
      </c>
      <c r="J75" s="31">
        <f ca="1">_xll.RiskBinomial(1,I75)</f>
        <v>0</v>
      </c>
      <c r="K75" s="78">
        <f ca="1">IF(J75=1,_xll.RiskBinomial(1,Prob_illness_Adv_infection),0)</f>
        <v>0</v>
      </c>
      <c r="L75" s="26"/>
      <c r="M75" s="77">
        <f t="shared" ca="1" si="45"/>
        <v>8.472250787559588E-11</v>
      </c>
      <c r="N75" s="33">
        <f ca="1">INT(M75) + _xll.RiskBinomial(1,M75-INT(M75))</f>
        <v>0</v>
      </c>
      <c r="O75" s="26">
        <f t="shared" ca="1" si="46"/>
        <v>0</v>
      </c>
      <c r="P75" s="31">
        <f ca="1">_xll.RiskBinomial(1,O75)</f>
        <v>0</v>
      </c>
      <c r="Q75" s="78">
        <f ca="1">IF(P75=1,_xll.RiskBinomial(1,Prob_illness_Adv_infection),0)</f>
        <v>0</v>
      </c>
      <c r="R75" s="26"/>
      <c r="S75" s="77">
        <f t="shared" ca="1" si="47"/>
        <v>1.0728311483219387E-9</v>
      </c>
      <c r="T75" s="33">
        <f ca="1">INT(S75) + _xll.RiskBinomial(1,S75-INT(S75))</f>
        <v>0</v>
      </c>
      <c r="U75" s="26">
        <f t="shared" ca="1" si="48"/>
        <v>0</v>
      </c>
      <c r="V75" s="31">
        <f ca="1">_xll.RiskBinomial(1,U75)</f>
        <v>0</v>
      </c>
      <c r="W75" s="78">
        <f ca="1">IF(V75=1,_xll.RiskBinomial(1,Prob_illness_Adv_infection),0)</f>
        <v>0</v>
      </c>
      <c r="X75" s="26"/>
      <c r="Y75" s="77">
        <f t="shared" ca="1" si="49"/>
        <v>8.9231509204067199E-11</v>
      </c>
      <c r="Z75" s="33">
        <f ca="1">INT(Y75) + _xll.RiskBinomial(1,Y75-INT(Y75))</f>
        <v>0</v>
      </c>
      <c r="AA75" s="26">
        <f t="shared" ca="1" si="50"/>
        <v>0</v>
      </c>
      <c r="AB75" s="31">
        <f ca="1">_xll.RiskBinomial(1,AA75)</f>
        <v>0</v>
      </c>
      <c r="AC75" s="78">
        <f ca="1">IF(AB75=1,_xll.RiskBinomial(1,Prob_illness_Adv_infection),0)</f>
        <v>0</v>
      </c>
      <c r="AD75" s="26"/>
      <c r="AE75" s="77">
        <f t="shared" ca="1" si="51"/>
        <v>1.3400142271361508E-10</v>
      </c>
      <c r="AF75" s="33">
        <f ca="1">INT(AE75) + _xll.RiskBinomial(1,AE75-INT(AE75))</f>
        <v>0</v>
      </c>
      <c r="AG75" s="26">
        <f t="shared" ca="1" si="52"/>
        <v>0</v>
      </c>
      <c r="AH75" s="31">
        <f ca="1">_xll.RiskBinomial(1,AG75)</f>
        <v>0</v>
      </c>
      <c r="AI75" s="78">
        <f ca="1">IF(AH75=1,_xll.RiskBinomial(1,Prob_illness_Adv_infection),0)</f>
        <v>0</v>
      </c>
      <c r="AJ75" s="26"/>
      <c r="AK75" s="77">
        <f t="shared" ca="1" si="53"/>
        <v>8.7182485188318305E-10</v>
      </c>
      <c r="AL75" s="33">
        <f ca="1">INT(AK75) + _xll.RiskBinomial(1,AK75-INT(AK75))</f>
        <v>0</v>
      </c>
      <c r="AM75" s="26">
        <f t="shared" ca="1" si="54"/>
        <v>0</v>
      </c>
      <c r="AN75" s="31">
        <f ca="1">_xll.RiskBinomial(1,AM75)</f>
        <v>0</v>
      </c>
      <c r="AO75" s="78">
        <f ca="1">IF(AN75=1,_xll.RiskBinomial(1,Prob_illness_Adv_infection),0)</f>
        <v>0</v>
      </c>
      <c r="AP75" s="26"/>
      <c r="AQ75" s="77">
        <f t="shared" ca="1" si="55"/>
        <v>1.6541496082381266E-9</v>
      </c>
      <c r="AR75" s="33">
        <f ca="1">INT(AQ75) + _xll.RiskBinomial(1,AQ75-INT(AQ75))</f>
        <v>0</v>
      </c>
      <c r="AS75" s="26">
        <f t="shared" ca="1" si="56"/>
        <v>0</v>
      </c>
      <c r="AT75" s="31">
        <f ca="1">_xll.RiskBinomial(1,AS75)</f>
        <v>0</v>
      </c>
      <c r="AU75" s="78">
        <f ca="1">IF(AT75=1,_xll.RiskBinomial(1,Prob_illness_Adv_infection),0)</f>
        <v>0</v>
      </c>
      <c r="AV75" s="26"/>
      <c r="AW75" s="77">
        <f t="shared" ca="1" si="65"/>
        <v>2.9131877833710665E-11</v>
      </c>
      <c r="AX75" s="33">
        <f ca="1">INT(AW75) + _xll.RiskBinomial(1,AW75-INT(AW75))</f>
        <v>0</v>
      </c>
      <c r="AY75" s="26">
        <f t="shared" ca="1" si="57"/>
        <v>0</v>
      </c>
      <c r="AZ75" s="31">
        <f ca="1">_xll.RiskBinomial(1,AY75)</f>
        <v>0</v>
      </c>
      <c r="BA75" s="78">
        <f ca="1">IF(AZ75=1,_xll.RiskBinomial(1,Prob_illness_Adv_infection),0)</f>
        <v>0</v>
      </c>
      <c r="BC75" s="77">
        <f t="shared" ca="1" si="66"/>
        <v>1.4932257489292028E-10</v>
      </c>
      <c r="BD75" s="33">
        <f ca="1">INT(BC75) + _xll.RiskBinomial(1,BC75-INT(BC75))</f>
        <v>0</v>
      </c>
      <c r="BE75" s="26">
        <f t="shared" ca="1" si="58"/>
        <v>0</v>
      </c>
      <c r="BF75" s="31">
        <f ca="1">_xll.RiskBinomial(1,BE75)</f>
        <v>0</v>
      </c>
      <c r="BG75" s="78">
        <f ca="1">IF(BF75=1,_xll.RiskBinomial(1,Prob_illness_Adv_infection),0)</f>
        <v>0</v>
      </c>
      <c r="BI75" s="77">
        <f t="shared" ca="1" si="67"/>
        <v>6.9536752655019278E-11</v>
      </c>
      <c r="BJ75" s="33">
        <f ca="1">INT(BI75) + _xll.RiskBinomial(1,BI75-INT(BI75))</f>
        <v>0</v>
      </c>
      <c r="BK75" s="26">
        <f t="shared" ca="1" si="59"/>
        <v>0</v>
      </c>
      <c r="BL75" s="31">
        <f ca="1">_xll.RiskBinomial(1,BK75)</f>
        <v>0</v>
      </c>
      <c r="BM75" s="78">
        <f ca="1">IF(BL75=1,_xll.RiskBinomial(1,Prob_illness_Adv_infection),0)</f>
        <v>0</v>
      </c>
      <c r="BO75" s="77">
        <f t="shared" ca="1" si="68"/>
        <v>1.5033901706670045E-10</v>
      </c>
      <c r="BP75" s="33">
        <f ca="1">INT(BO75) + _xll.RiskBinomial(1,BO75-INT(BO75))</f>
        <v>0</v>
      </c>
      <c r="BQ75" s="26">
        <f t="shared" ca="1" si="60"/>
        <v>0</v>
      </c>
      <c r="BR75" s="31">
        <f ca="1">_xll.RiskBinomial(1,BQ75)</f>
        <v>0</v>
      </c>
      <c r="BS75" s="78">
        <f ca="1">IF(BR75=1,_xll.RiskBinomial(1,Prob_illness_Adv_infection),0)</f>
        <v>0</v>
      </c>
      <c r="BU75" s="77">
        <f t="shared" ca="1" si="69"/>
        <v>1.0741761129732101E-12</v>
      </c>
      <c r="BV75" s="33">
        <f ca="1">INT(BU75) + _xll.RiskBinomial(1,BU75-INT(BU75))</f>
        <v>0</v>
      </c>
      <c r="BW75" s="26">
        <f t="shared" ca="1" si="61"/>
        <v>0</v>
      </c>
      <c r="BX75" s="31">
        <f ca="1">_xll.RiskBinomial(1,BW75)</f>
        <v>0</v>
      </c>
      <c r="BY75" s="78">
        <f ca="1">IF(BX75=1,_xll.RiskBinomial(1,Prob_illness_Adv_infection),0)</f>
        <v>0</v>
      </c>
      <c r="CA75" s="77">
        <f t="shared" ca="1" si="70"/>
        <v>1.6299152639977265E-10</v>
      </c>
      <c r="CB75" s="33">
        <f ca="1">INT(CA75) + _xll.RiskBinomial(1,CA75-INT(CA75))</f>
        <v>0</v>
      </c>
      <c r="CC75" s="26">
        <f t="shared" ca="1" si="62"/>
        <v>0</v>
      </c>
      <c r="CD75" s="31">
        <f ca="1">_xll.RiskBinomial(1,CC75)</f>
        <v>0</v>
      </c>
      <c r="CE75" s="78">
        <f ca="1">IF(CD75=1,_xll.RiskBinomial(1,Prob_illness_Adv_infection),0)</f>
        <v>0</v>
      </c>
      <c r="CG75" s="77" t="e">
        <f t="shared" ca="1" si="71"/>
        <v>#VALUE!</v>
      </c>
      <c r="CH75" s="33" t="e">
        <f ca="1">INT(CG75) + _xll.RiskBinomial(1,CG75-INT(CG75))</f>
        <v>#VALUE!</v>
      </c>
      <c r="CI75" s="26" t="e">
        <f t="shared" ca="1" si="63"/>
        <v>#VALUE!</v>
      </c>
      <c r="CJ75" s="31" t="e">
        <f ca="1">_xll.RiskBinomial(1,CI75)</f>
        <v>#VALUE!</v>
      </c>
      <c r="CK75" s="78" t="e">
        <f ca="1">IF(CJ75=1,_xll.RiskBinomial(1,Prob_illness_Adv_infection),0)</f>
        <v>#VALUE!</v>
      </c>
    </row>
    <row r="76" spans="2:89" x14ac:dyDescent="0.2">
      <c r="B76" s="97">
        <v>68</v>
      </c>
      <c r="C76" s="100">
        <f ca="1" xml:space="preserve"> _xll.RiskPert(Dur_event_hours_min,Dur_event_hours_mode,Dur_event_hours_max)</f>
        <v>1.8632226811597816</v>
      </c>
      <c r="D76" s="26">
        <f ca="1">_xll.RiskPert(Primary_Ing_Rate_mL_per_hour_min,Primary_Ing_Rate_mL_per_hour_mode,Primary_Ing_Rate_mL_per_hour_max)</f>
        <v>5.2787674668181852</v>
      </c>
      <c r="E76" s="34">
        <f t="shared" ca="1" si="43"/>
        <v>9.8355192727440084</v>
      </c>
      <c r="F76" s="26"/>
      <c r="G76" s="77">
        <f t="shared" ca="1" si="64"/>
        <v>9.0304541619562179E-10</v>
      </c>
      <c r="H76" s="33">
        <f ca="1">INT(G76) + _xll.RiskBinomial(1,G76-INT(G76))</f>
        <v>0</v>
      </c>
      <c r="I76" s="26">
        <f t="shared" ca="1" si="44"/>
        <v>0</v>
      </c>
      <c r="J76" s="31">
        <f ca="1">_xll.RiskBinomial(1,I76)</f>
        <v>0</v>
      </c>
      <c r="K76" s="78">
        <f ca="1">IF(J76=1,_xll.RiskBinomial(1,Prob_illness_Adv_infection),0)</f>
        <v>0</v>
      </c>
      <c r="L76" s="26"/>
      <c r="M76" s="77">
        <f t="shared" ca="1" si="45"/>
        <v>2.2427698022440505E-11</v>
      </c>
      <c r="N76" s="33">
        <f ca="1">INT(M76) + _xll.RiskBinomial(1,M76-INT(M76))</f>
        <v>0</v>
      </c>
      <c r="O76" s="26">
        <f t="shared" ca="1" si="46"/>
        <v>0</v>
      </c>
      <c r="P76" s="31">
        <f ca="1">_xll.RiskBinomial(1,O76)</f>
        <v>0</v>
      </c>
      <c r="Q76" s="78">
        <f ca="1">IF(P76=1,_xll.RiskBinomial(1,Prob_illness_Adv_infection),0)</f>
        <v>0</v>
      </c>
      <c r="R76" s="26"/>
      <c r="S76" s="77">
        <f t="shared" ca="1" si="47"/>
        <v>2.8399930109438211E-10</v>
      </c>
      <c r="T76" s="33">
        <f ca="1">INT(S76) + _xll.RiskBinomial(1,S76-INT(S76))</f>
        <v>0</v>
      </c>
      <c r="U76" s="26">
        <f t="shared" ca="1" si="48"/>
        <v>0</v>
      </c>
      <c r="V76" s="31">
        <f ca="1">_xll.RiskBinomial(1,U76)</f>
        <v>0</v>
      </c>
      <c r="W76" s="78">
        <f ca="1">IF(V76=1,_xll.RiskBinomial(1,Prob_illness_Adv_infection),0)</f>
        <v>0</v>
      </c>
      <c r="X76" s="26"/>
      <c r="Y76" s="77">
        <f t="shared" ca="1" si="49"/>
        <v>2.362131849843289E-11</v>
      </c>
      <c r="Z76" s="33">
        <f ca="1">INT(Y76) + _xll.RiskBinomial(1,Y76-INT(Y76))</f>
        <v>0</v>
      </c>
      <c r="AA76" s="26">
        <f t="shared" ca="1" si="50"/>
        <v>0</v>
      </c>
      <c r="AB76" s="31">
        <f ca="1">_xll.RiskBinomial(1,AA76)</f>
        <v>0</v>
      </c>
      <c r="AC76" s="78">
        <f ca="1">IF(AB76=1,_xll.RiskBinomial(1,Prob_illness_Adv_infection),0)</f>
        <v>0</v>
      </c>
      <c r="AD76" s="26"/>
      <c r="AE76" s="77">
        <f t="shared" ca="1" si="51"/>
        <v>3.5472786613107809E-11</v>
      </c>
      <c r="AF76" s="33">
        <f ca="1">INT(AE76) + _xll.RiskBinomial(1,AE76-INT(AE76))</f>
        <v>0</v>
      </c>
      <c r="AG76" s="26">
        <f t="shared" ca="1" si="52"/>
        <v>0</v>
      </c>
      <c r="AH76" s="31">
        <f ca="1">_xll.RiskBinomial(1,AG76)</f>
        <v>0</v>
      </c>
      <c r="AI76" s="78">
        <f ca="1">IF(AH76=1,_xll.RiskBinomial(1,Prob_illness_Adv_infection),0)</f>
        <v>0</v>
      </c>
      <c r="AJ76" s="26"/>
      <c r="AK76" s="77">
        <f t="shared" ca="1" si="53"/>
        <v>2.3078901931474987E-10</v>
      </c>
      <c r="AL76" s="33">
        <f ca="1">INT(AK76) + _xll.RiskBinomial(1,AK76-INT(AK76))</f>
        <v>0</v>
      </c>
      <c r="AM76" s="26">
        <f t="shared" ca="1" si="54"/>
        <v>0</v>
      </c>
      <c r="AN76" s="31">
        <f ca="1">_xll.RiskBinomial(1,AM76)</f>
        <v>0</v>
      </c>
      <c r="AO76" s="78">
        <f ca="1">IF(AN76=1,_xll.RiskBinomial(1,Prob_illness_Adv_infection),0)</f>
        <v>0</v>
      </c>
      <c r="AP76" s="26"/>
      <c r="AQ76" s="77">
        <f t="shared" ca="1" si="55"/>
        <v>4.3788562009965211E-10</v>
      </c>
      <c r="AR76" s="33">
        <f ca="1">INT(AQ76) + _xll.RiskBinomial(1,AQ76-INT(AQ76))</f>
        <v>0</v>
      </c>
      <c r="AS76" s="26">
        <f t="shared" ca="1" si="56"/>
        <v>0</v>
      </c>
      <c r="AT76" s="31">
        <f ca="1">_xll.RiskBinomial(1,AS76)</f>
        <v>0</v>
      </c>
      <c r="AU76" s="78">
        <f ca="1">IF(AT76=1,_xll.RiskBinomial(1,Prob_illness_Adv_infection),0)</f>
        <v>0</v>
      </c>
      <c r="AV76" s="26"/>
      <c r="AW76" s="77">
        <f t="shared" ca="1" si="65"/>
        <v>7.7117754804953097E-12</v>
      </c>
      <c r="AX76" s="33">
        <f ca="1">INT(AW76) + _xll.RiskBinomial(1,AW76-INT(AW76))</f>
        <v>0</v>
      </c>
      <c r="AY76" s="26">
        <f t="shared" ca="1" si="57"/>
        <v>0</v>
      </c>
      <c r="AZ76" s="31">
        <f ca="1">_xll.RiskBinomial(1,AY76)</f>
        <v>0</v>
      </c>
      <c r="BA76" s="78">
        <f ca="1">IF(AZ76=1,_xll.RiskBinomial(1,Prob_illness_Adv_infection),0)</f>
        <v>0</v>
      </c>
      <c r="BC76" s="77">
        <f t="shared" ca="1" si="66"/>
        <v>3.9528594013637928E-11</v>
      </c>
      <c r="BD76" s="33">
        <f ca="1">INT(BC76) + _xll.RiskBinomial(1,BC76-INT(BC76))</f>
        <v>0</v>
      </c>
      <c r="BE76" s="26">
        <f t="shared" ca="1" si="58"/>
        <v>0</v>
      </c>
      <c r="BF76" s="31">
        <f ca="1">_xll.RiskBinomial(1,BE76)</f>
        <v>0</v>
      </c>
      <c r="BG76" s="78">
        <f ca="1">IF(BF76=1,_xll.RiskBinomial(1,Prob_illness_Adv_infection),0)</f>
        <v>0</v>
      </c>
      <c r="BI76" s="77">
        <f t="shared" ca="1" si="67"/>
        <v>1.8407732834088292E-11</v>
      </c>
      <c r="BJ76" s="33">
        <f ca="1">INT(BI76) + _xll.RiskBinomial(1,BI76-INT(BI76))</f>
        <v>0</v>
      </c>
      <c r="BK76" s="26">
        <f t="shared" ca="1" si="59"/>
        <v>0</v>
      </c>
      <c r="BL76" s="31">
        <f ca="1">_xll.RiskBinomial(1,BK76)</f>
        <v>0</v>
      </c>
      <c r="BM76" s="78">
        <f ca="1">IF(BL76=1,_xll.RiskBinomial(1,Prob_illness_Adv_infection),0)</f>
        <v>0</v>
      </c>
      <c r="BO76" s="77">
        <f t="shared" ca="1" si="68"/>
        <v>3.9797666054851443E-11</v>
      </c>
      <c r="BP76" s="33">
        <f ca="1">INT(BO76) + _xll.RiskBinomial(1,BO76-INT(BO76))</f>
        <v>0</v>
      </c>
      <c r="BQ76" s="26">
        <f t="shared" ca="1" si="60"/>
        <v>0</v>
      </c>
      <c r="BR76" s="31">
        <f ca="1">_xll.RiskBinomial(1,BQ76)</f>
        <v>0</v>
      </c>
      <c r="BS76" s="78">
        <f ca="1">IF(BR76=1,_xll.RiskBinomial(1,Prob_illness_Adv_infection),0)</f>
        <v>0</v>
      </c>
      <c r="BU76" s="77">
        <f t="shared" ca="1" si="69"/>
        <v>2.8435533943420404E-13</v>
      </c>
      <c r="BV76" s="33">
        <f ca="1">INT(BU76) + _xll.RiskBinomial(1,BU76-INT(BU76))</f>
        <v>0</v>
      </c>
      <c r="BW76" s="26">
        <f t="shared" ca="1" si="61"/>
        <v>0</v>
      </c>
      <c r="BX76" s="31">
        <f ca="1">_xll.RiskBinomial(1,BW76)</f>
        <v>0</v>
      </c>
      <c r="BY76" s="78">
        <f ca="1">IF(BX76=1,_xll.RiskBinomial(1,Prob_illness_Adv_infection),0)</f>
        <v>0</v>
      </c>
      <c r="CA76" s="77">
        <f t="shared" ca="1" si="70"/>
        <v>4.3147031715331285E-11</v>
      </c>
      <c r="CB76" s="33">
        <f ca="1">INT(CA76) + _xll.RiskBinomial(1,CA76-INT(CA76))</f>
        <v>0</v>
      </c>
      <c r="CC76" s="26">
        <f t="shared" ca="1" si="62"/>
        <v>0</v>
      </c>
      <c r="CD76" s="31">
        <f ca="1">_xll.RiskBinomial(1,CC76)</f>
        <v>0</v>
      </c>
      <c r="CE76" s="78">
        <f ca="1">IF(CD76=1,_xll.RiskBinomial(1,Prob_illness_Adv_infection),0)</f>
        <v>0</v>
      </c>
      <c r="CG76" s="77" t="e">
        <f t="shared" ca="1" si="71"/>
        <v>#VALUE!</v>
      </c>
      <c r="CH76" s="33" t="e">
        <f ca="1">INT(CG76) + _xll.RiskBinomial(1,CG76-INT(CG76))</f>
        <v>#VALUE!</v>
      </c>
      <c r="CI76" s="26" t="e">
        <f t="shared" ca="1" si="63"/>
        <v>#VALUE!</v>
      </c>
      <c r="CJ76" s="31" t="e">
        <f ca="1">_xll.RiskBinomial(1,CI76)</f>
        <v>#VALUE!</v>
      </c>
      <c r="CK76" s="78" t="e">
        <f ca="1">IF(CJ76=1,_xll.RiskBinomial(1,Prob_illness_Adv_infection),0)</f>
        <v>#VALUE!</v>
      </c>
    </row>
    <row r="77" spans="2:89" x14ac:dyDescent="0.2">
      <c r="B77" s="97">
        <v>69</v>
      </c>
      <c r="C77" s="100">
        <f ca="1" xml:space="preserve"> _xll.RiskPert(Dur_event_hours_min,Dur_event_hours_mode,Dur_event_hours_max)</f>
        <v>1.7541381788213717</v>
      </c>
      <c r="D77" s="26">
        <f ca="1">_xll.RiskPert(Primary_Ing_Rate_mL_per_hour_min,Primary_Ing_Rate_mL_per_hour_mode,Primary_Ing_Rate_mL_per_hour_max)</f>
        <v>18.824549188227337</v>
      </c>
      <c r="E77" s="34">
        <f t="shared" ca="1" si="43"/>
        <v>33.02086043017043</v>
      </c>
      <c r="F77" s="26"/>
      <c r="G77" s="77">
        <f t="shared" ca="1" si="64"/>
        <v>3.0318009475041683E-9</v>
      </c>
      <c r="H77" s="33">
        <f ca="1">INT(G77) + _xll.RiskBinomial(1,G77-INT(G77))</f>
        <v>0</v>
      </c>
      <c r="I77" s="26">
        <f t="shared" ca="1" si="44"/>
        <v>0</v>
      </c>
      <c r="J77" s="31">
        <f ca="1">_xll.RiskBinomial(1,I77)</f>
        <v>0</v>
      </c>
      <c r="K77" s="78">
        <f ca="1">IF(J77=1,_xll.RiskBinomial(1,Prob_illness_Adv_infection),0)</f>
        <v>0</v>
      </c>
      <c r="L77" s="26"/>
      <c r="M77" s="77">
        <f t="shared" ca="1" si="45"/>
        <v>7.5296673783284916E-11</v>
      </c>
      <c r="N77" s="33">
        <f ca="1">INT(M77) + _xll.RiskBinomial(1,M77-INT(M77))</f>
        <v>0</v>
      </c>
      <c r="O77" s="26">
        <f t="shared" ca="1" si="46"/>
        <v>0</v>
      </c>
      <c r="P77" s="31">
        <f ca="1">_xll.RiskBinomial(1,O77)</f>
        <v>0</v>
      </c>
      <c r="Q77" s="78">
        <f ca="1">IF(P77=1,_xll.RiskBinomial(1,Prob_illness_Adv_infection),0)</f>
        <v>0</v>
      </c>
      <c r="R77" s="26"/>
      <c r="S77" s="77">
        <f t="shared" ca="1" si="47"/>
        <v>9.5347292030542734E-10</v>
      </c>
      <c r="T77" s="33">
        <f ca="1">INT(S77) + _xll.RiskBinomial(1,S77-INT(S77))</f>
        <v>0</v>
      </c>
      <c r="U77" s="26">
        <f t="shared" ca="1" si="48"/>
        <v>0</v>
      </c>
      <c r="V77" s="31">
        <f ca="1">_xll.RiskBinomial(1,U77)</f>
        <v>0</v>
      </c>
      <c r="W77" s="78">
        <f ca="1">IF(V77=1,_xll.RiskBinomial(1,Prob_illness_Adv_infection),0)</f>
        <v>0</v>
      </c>
      <c r="X77" s="26"/>
      <c r="Y77" s="77">
        <f t="shared" ca="1" si="49"/>
        <v>7.9304024493639634E-11</v>
      </c>
      <c r="Z77" s="33">
        <f ca="1">INT(Y77) + _xll.RiskBinomial(1,Y77-INT(Y77))</f>
        <v>0</v>
      </c>
      <c r="AA77" s="26">
        <f t="shared" ca="1" si="50"/>
        <v>0</v>
      </c>
      <c r="AB77" s="31">
        <f ca="1">_xll.RiskBinomial(1,AA77)</f>
        <v>0</v>
      </c>
      <c r="AC77" s="78">
        <f ca="1">IF(AB77=1,_xll.RiskBinomial(1,Prob_illness_Adv_infection),0)</f>
        <v>0</v>
      </c>
      <c r="AD77" s="26"/>
      <c r="AE77" s="77">
        <f t="shared" ca="1" si="51"/>
        <v>1.1909304464144054E-10</v>
      </c>
      <c r="AF77" s="33">
        <f ca="1">INT(AE77) + _xll.RiskBinomial(1,AE77-INT(AE77))</f>
        <v>0</v>
      </c>
      <c r="AG77" s="26">
        <f t="shared" ca="1" si="52"/>
        <v>0</v>
      </c>
      <c r="AH77" s="31">
        <f ca="1">_xll.RiskBinomial(1,AG77)</f>
        <v>0</v>
      </c>
      <c r="AI77" s="78">
        <f ca="1">IF(AH77=1,_xll.RiskBinomial(1,Prob_illness_Adv_infection),0)</f>
        <v>0</v>
      </c>
      <c r="AJ77" s="26"/>
      <c r="AK77" s="77">
        <f t="shared" ca="1" si="53"/>
        <v>7.7482965406076869E-10</v>
      </c>
      <c r="AL77" s="33">
        <f ca="1">INT(AK77) + _xll.RiskBinomial(1,AK77-INT(AK77))</f>
        <v>0</v>
      </c>
      <c r="AM77" s="26">
        <f t="shared" ca="1" si="54"/>
        <v>0</v>
      </c>
      <c r="AN77" s="31">
        <f ca="1">_xll.RiskBinomial(1,AM77)</f>
        <v>0</v>
      </c>
      <c r="AO77" s="78">
        <f ca="1">IF(AN77=1,_xll.RiskBinomial(1,Prob_illness_Adv_infection),0)</f>
        <v>0</v>
      </c>
      <c r="AP77" s="26"/>
      <c r="AQ77" s="77">
        <f t="shared" ca="1" si="55"/>
        <v>1.4701165789750144E-9</v>
      </c>
      <c r="AR77" s="33">
        <f ca="1">INT(AQ77) + _xll.RiskBinomial(1,AQ77-INT(AQ77))</f>
        <v>0</v>
      </c>
      <c r="AS77" s="26">
        <f t="shared" ca="1" si="56"/>
        <v>0</v>
      </c>
      <c r="AT77" s="31">
        <f ca="1">_xll.RiskBinomial(1,AS77)</f>
        <v>0</v>
      </c>
      <c r="AU77" s="78">
        <f ca="1">IF(AT77=1,_xll.RiskBinomial(1,Prob_illness_Adv_infection),0)</f>
        <v>0</v>
      </c>
      <c r="AV77" s="26"/>
      <c r="AW77" s="77">
        <f t="shared" ca="1" si="65"/>
        <v>2.5890799941384438E-11</v>
      </c>
      <c r="AX77" s="33">
        <f ca="1">INT(AW77) + _xll.RiskBinomial(1,AW77-INT(AW77))</f>
        <v>0</v>
      </c>
      <c r="AY77" s="26">
        <f t="shared" ca="1" si="57"/>
        <v>0</v>
      </c>
      <c r="AZ77" s="31">
        <f ca="1">_xll.RiskBinomial(1,AY77)</f>
        <v>0</v>
      </c>
      <c r="BA77" s="78">
        <f ca="1">IF(AZ77=1,_xll.RiskBinomial(1,Prob_illness_Adv_infection),0)</f>
        <v>0</v>
      </c>
      <c r="BC77" s="77">
        <f t="shared" ca="1" si="66"/>
        <v>1.327096363424696E-10</v>
      </c>
      <c r="BD77" s="33">
        <f ca="1">INT(BC77) + _xll.RiskBinomial(1,BC77-INT(BC77))</f>
        <v>0</v>
      </c>
      <c r="BE77" s="26">
        <f t="shared" ca="1" si="58"/>
        <v>0</v>
      </c>
      <c r="BF77" s="31">
        <f ca="1">_xll.RiskBinomial(1,BE77)</f>
        <v>0</v>
      </c>
      <c r="BG77" s="78">
        <f ca="1">IF(BF77=1,_xll.RiskBinomial(1,Prob_illness_Adv_infection),0)</f>
        <v>0</v>
      </c>
      <c r="BI77" s="77">
        <f t="shared" ca="1" si="67"/>
        <v>6.1800415402034396E-11</v>
      </c>
      <c r="BJ77" s="33">
        <f ca="1">INT(BI77) + _xll.RiskBinomial(1,BI77-INT(BI77))</f>
        <v>0</v>
      </c>
      <c r="BK77" s="26">
        <f t="shared" ca="1" si="59"/>
        <v>0</v>
      </c>
      <c r="BL77" s="31">
        <f ca="1">_xll.RiskBinomial(1,BK77)</f>
        <v>0</v>
      </c>
      <c r="BM77" s="78">
        <f ca="1">IF(BL77=1,_xll.RiskBinomial(1,Prob_illness_Adv_infection),0)</f>
        <v>0</v>
      </c>
      <c r="BO77" s="77">
        <f t="shared" ca="1" si="68"/>
        <v>1.3361299386454721E-10</v>
      </c>
      <c r="BP77" s="33">
        <f ca="1">INT(BO77) + _xll.RiskBinomial(1,BO77-INT(BO77))</f>
        <v>0</v>
      </c>
      <c r="BQ77" s="26">
        <f t="shared" ca="1" si="60"/>
        <v>0</v>
      </c>
      <c r="BR77" s="31">
        <f ca="1">_xll.RiskBinomial(1,BQ77)</f>
        <v>0</v>
      </c>
      <c r="BS77" s="78">
        <f ca="1">IF(BR77=1,_xll.RiskBinomial(1,Prob_illness_Adv_infection),0)</f>
        <v>0</v>
      </c>
      <c r="BU77" s="77">
        <f t="shared" ca="1" si="69"/>
        <v>9.5466825041470043E-13</v>
      </c>
      <c r="BV77" s="33">
        <f ca="1">INT(BU77) + _xll.RiskBinomial(1,BU77-INT(BU77))</f>
        <v>0</v>
      </c>
      <c r="BW77" s="26">
        <f t="shared" ca="1" si="61"/>
        <v>0</v>
      </c>
      <c r="BX77" s="31">
        <f ca="1">_xll.RiskBinomial(1,BW77)</f>
        <v>0</v>
      </c>
      <c r="BY77" s="78">
        <f ca="1">IF(BX77=1,_xll.RiskBinomial(1,Prob_illness_Adv_infection),0)</f>
        <v>0</v>
      </c>
      <c r="CA77" s="77">
        <f t="shared" ca="1" si="70"/>
        <v>1.4485784357073403E-10</v>
      </c>
      <c r="CB77" s="33">
        <f ca="1">INT(CA77) + _xll.RiskBinomial(1,CA77-INT(CA77))</f>
        <v>0</v>
      </c>
      <c r="CC77" s="26">
        <f t="shared" ca="1" si="62"/>
        <v>0</v>
      </c>
      <c r="CD77" s="31">
        <f ca="1">_xll.RiskBinomial(1,CC77)</f>
        <v>0</v>
      </c>
      <c r="CE77" s="78">
        <f ca="1">IF(CD77=1,_xll.RiskBinomial(1,Prob_illness_Adv_infection),0)</f>
        <v>0</v>
      </c>
      <c r="CG77" s="77" t="e">
        <f t="shared" ca="1" si="71"/>
        <v>#VALUE!</v>
      </c>
      <c r="CH77" s="33" t="e">
        <f ca="1">INT(CG77) + _xll.RiskBinomial(1,CG77-INT(CG77))</f>
        <v>#VALUE!</v>
      </c>
      <c r="CI77" s="26" t="e">
        <f t="shared" ca="1" si="63"/>
        <v>#VALUE!</v>
      </c>
      <c r="CJ77" s="31" t="e">
        <f ca="1">_xll.RiskBinomial(1,CI77)</f>
        <v>#VALUE!</v>
      </c>
      <c r="CK77" s="78" t="e">
        <f ca="1">IF(CJ77=1,_xll.RiskBinomial(1,Prob_illness_Adv_infection),0)</f>
        <v>#VALUE!</v>
      </c>
    </row>
    <row r="78" spans="2:89" x14ac:dyDescent="0.2">
      <c r="B78" s="97">
        <v>70</v>
      </c>
      <c r="C78" s="100">
        <f ca="1" xml:space="preserve"> _xll.RiskPert(Dur_event_hours_min,Dur_event_hours_mode,Dur_event_hours_max)</f>
        <v>0.95739051922863649</v>
      </c>
      <c r="D78" s="26">
        <f ca="1">_xll.RiskPert(Primary_Ing_Rate_mL_per_hour_min,Primary_Ing_Rate_mL_per_hour_mode,Primary_Ing_Rate_mL_per_hour_max)</f>
        <v>13.230061809011177</v>
      </c>
      <c r="E78" s="34">
        <f t="shared" ca="1" si="43"/>
        <v>12.666335744756164</v>
      </c>
      <c r="F78" s="26"/>
      <c r="G78" s="77">
        <f t="shared" ca="1" si="64"/>
        <v>1.1629560287675234E-9</v>
      </c>
      <c r="H78" s="33">
        <f ca="1">INT(G78) + _xll.RiskBinomial(1,G78-INT(G78))</f>
        <v>0</v>
      </c>
      <c r="I78" s="26">
        <f t="shared" ca="1" si="44"/>
        <v>0</v>
      </c>
      <c r="J78" s="31">
        <f ca="1">_xll.RiskBinomial(1,I78)</f>
        <v>0</v>
      </c>
      <c r="K78" s="78">
        <f ca="1">IF(J78=1,_xll.RiskBinomial(1,Prob_illness_Adv_infection),0)</f>
        <v>0</v>
      </c>
      <c r="L78" s="26"/>
      <c r="M78" s="77">
        <f t="shared" ca="1" si="45"/>
        <v>2.8882740733523142E-11</v>
      </c>
      <c r="N78" s="33">
        <f ca="1">INT(M78) + _xll.RiskBinomial(1,M78-INT(M78))</f>
        <v>0</v>
      </c>
      <c r="O78" s="26">
        <f t="shared" ca="1" si="46"/>
        <v>0</v>
      </c>
      <c r="P78" s="31">
        <f ca="1">_xll.RiskBinomial(1,O78)</f>
        <v>0</v>
      </c>
      <c r="Q78" s="78">
        <f ca="1">IF(P78=1,_xll.RiskBinomial(1,Prob_illness_Adv_infection),0)</f>
        <v>0</v>
      </c>
      <c r="R78" s="26"/>
      <c r="S78" s="77">
        <f t="shared" ca="1" si="47"/>
        <v>3.6573874740971874E-10</v>
      </c>
      <c r="T78" s="33">
        <f ca="1">INT(S78) + _xll.RiskBinomial(1,S78-INT(S78))</f>
        <v>0</v>
      </c>
      <c r="U78" s="26">
        <f t="shared" ca="1" si="48"/>
        <v>0</v>
      </c>
      <c r="V78" s="31">
        <f ca="1">_xll.RiskBinomial(1,U78)</f>
        <v>0</v>
      </c>
      <c r="W78" s="78">
        <f ca="1">IF(V78=1,_xll.RiskBinomial(1,Prob_illness_Adv_infection),0)</f>
        <v>0</v>
      </c>
      <c r="X78" s="26"/>
      <c r="Y78" s="77">
        <f t="shared" ca="1" si="49"/>
        <v>3.0419903874734424E-11</v>
      </c>
      <c r="Z78" s="33">
        <f ca="1">INT(Y78) + _xll.RiskBinomial(1,Y78-INT(Y78))</f>
        <v>0</v>
      </c>
      <c r="AA78" s="26">
        <f t="shared" ca="1" si="50"/>
        <v>0</v>
      </c>
      <c r="AB78" s="31">
        <f ca="1">_xll.RiskBinomial(1,AA78)</f>
        <v>0</v>
      </c>
      <c r="AC78" s="78">
        <f ca="1">IF(AB78=1,_xll.RiskBinomial(1,Prob_illness_Adv_infection),0)</f>
        <v>0</v>
      </c>
      <c r="AD78" s="26"/>
      <c r="AE78" s="77">
        <f t="shared" ca="1" si="51"/>
        <v>4.5682410108110379E-11</v>
      </c>
      <c r="AF78" s="33">
        <f ca="1">INT(AE78) + _xll.RiskBinomial(1,AE78-INT(AE78))</f>
        <v>0</v>
      </c>
      <c r="AG78" s="26">
        <f t="shared" ca="1" si="52"/>
        <v>0</v>
      </c>
      <c r="AH78" s="31">
        <f ca="1">_xll.RiskBinomial(1,AG78)</f>
        <v>0</v>
      </c>
      <c r="AI78" s="78">
        <f ca="1">IF(AH78=1,_xll.RiskBinomial(1,Prob_illness_Adv_infection),0)</f>
        <v>0</v>
      </c>
      <c r="AJ78" s="26"/>
      <c r="AK78" s="77">
        <f t="shared" ca="1" si="53"/>
        <v>2.9721371325502776E-10</v>
      </c>
      <c r="AL78" s="33">
        <f ca="1">INT(AK78) + _xll.RiskBinomial(1,AK78-INT(AK78))</f>
        <v>0</v>
      </c>
      <c r="AM78" s="26">
        <f t="shared" ca="1" si="54"/>
        <v>0</v>
      </c>
      <c r="AN78" s="31">
        <f ca="1">_xll.RiskBinomial(1,AM78)</f>
        <v>0</v>
      </c>
      <c r="AO78" s="78">
        <f ca="1">IF(AN78=1,_xll.RiskBinomial(1,Prob_illness_Adv_infection),0)</f>
        <v>0</v>
      </c>
      <c r="AP78" s="26"/>
      <c r="AQ78" s="77">
        <f t="shared" ca="1" si="55"/>
        <v>5.6391595890143099E-10</v>
      </c>
      <c r="AR78" s="33">
        <f ca="1">INT(AQ78) + _xll.RiskBinomial(1,AQ78-INT(AQ78))</f>
        <v>0</v>
      </c>
      <c r="AS78" s="26">
        <f t="shared" ca="1" si="56"/>
        <v>0</v>
      </c>
      <c r="AT78" s="31">
        <f ca="1">_xll.RiskBinomial(1,AS78)</f>
        <v>0</v>
      </c>
      <c r="AU78" s="78">
        <f ca="1">IF(AT78=1,_xll.RiskBinomial(1,Prob_illness_Adv_infection),0)</f>
        <v>0</v>
      </c>
      <c r="AV78" s="26"/>
      <c r="AW78" s="77">
        <f t="shared" ca="1" si="65"/>
        <v>9.9313452310363054E-12</v>
      </c>
      <c r="AX78" s="33">
        <f ca="1">INT(AW78) + _xll.RiskBinomial(1,AW78-INT(AW78))</f>
        <v>0</v>
      </c>
      <c r="AY78" s="26">
        <f t="shared" ca="1" si="57"/>
        <v>0</v>
      </c>
      <c r="AZ78" s="31">
        <f ca="1">_xll.RiskBinomial(1,AY78)</f>
        <v>0</v>
      </c>
      <c r="BA78" s="78">
        <f ca="1">IF(AZ78=1,_xll.RiskBinomial(1,Prob_illness_Adv_infection),0)</f>
        <v>0</v>
      </c>
      <c r="BC78" s="77">
        <f t="shared" ca="1" si="66"/>
        <v>5.0905542392904226E-11</v>
      </c>
      <c r="BD78" s="33">
        <f ca="1">INT(BC78) + _xll.RiskBinomial(1,BC78-INT(BC78))</f>
        <v>0</v>
      </c>
      <c r="BE78" s="26">
        <f t="shared" ca="1" si="58"/>
        <v>0</v>
      </c>
      <c r="BF78" s="31">
        <f ca="1">_xll.RiskBinomial(1,BE78)</f>
        <v>0</v>
      </c>
      <c r="BG78" s="78">
        <f ca="1">IF(BF78=1,_xll.RiskBinomial(1,Prob_illness_Adv_infection),0)</f>
        <v>0</v>
      </c>
      <c r="BI78" s="77">
        <f t="shared" ca="1" si="67"/>
        <v>2.3705766610865011E-11</v>
      </c>
      <c r="BJ78" s="33">
        <f ca="1">INT(BI78) + _xll.RiskBinomial(1,BI78-INT(BI78))</f>
        <v>0</v>
      </c>
      <c r="BK78" s="26">
        <f t="shared" ca="1" si="59"/>
        <v>0</v>
      </c>
      <c r="BL78" s="31">
        <f ca="1">_xll.RiskBinomial(1,BK78)</f>
        <v>0</v>
      </c>
      <c r="BM78" s="78">
        <f ca="1">IF(BL78=1,_xll.RiskBinomial(1,Prob_illness_Adv_infection),0)</f>
        <v>0</v>
      </c>
      <c r="BO78" s="77">
        <f t="shared" ca="1" si="68"/>
        <v>5.1252057581276828E-11</v>
      </c>
      <c r="BP78" s="33">
        <f ca="1">INT(BO78) + _xll.RiskBinomial(1,BO78-INT(BO78))</f>
        <v>0</v>
      </c>
      <c r="BQ78" s="26">
        <f t="shared" ca="1" si="60"/>
        <v>0</v>
      </c>
      <c r="BR78" s="31">
        <f ca="1">_xll.RiskBinomial(1,BQ78)</f>
        <v>0</v>
      </c>
      <c r="BS78" s="78">
        <f ca="1">IF(BR78=1,_xll.RiskBinomial(1,Prob_illness_Adv_infection),0)</f>
        <v>0</v>
      </c>
      <c r="BU78" s="77">
        <f t="shared" ca="1" si="69"/>
        <v>3.6619725915934096E-13</v>
      </c>
      <c r="BV78" s="33">
        <f ca="1">INT(BU78) + _xll.RiskBinomial(1,BU78-INT(BU78))</f>
        <v>0</v>
      </c>
      <c r="BW78" s="26">
        <f t="shared" ca="1" si="61"/>
        <v>0</v>
      </c>
      <c r="BX78" s="31">
        <f ca="1">_xll.RiskBinomial(1,BW78)</f>
        <v>0</v>
      </c>
      <c r="BY78" s="78">
        <f ca="1">IF(BX78=1,_xll.RiskBinomial(1,Prob_illness_Adv_infection),0)</f>
        <v>0</v>
      </c>
      <c r="CA78" s="77">
        <f t="shared" ca="1" si="70"/>
        <v>5.5565423130278358E-11</v>
      </c>
      <c r="CB78" s="33">
        <f ca="1">INT(CA78) + _xll.RiskBinomial(1,CA78-INT(CA78))</f>
        <v>0</v>
      </c>
      <c r="CC78" s="26">
        <f t="shared" ca="1" si="62"/>
        <v>0</v>
      </c>
      <c r="CD78" s="31">
        <f ca="1">_xll.RiskBinomial(1,CC78)</f>
        <v>0</v>
      </c>
      <c r="CE78" s="78">
        <f ca="1">IF(CD78=1,_xll.RiskBinomial(1,Prob_illness_Adv_infection),0)</f>
        <v>0</v>
      </c>
      <c r="CG78" s="77" t="e">
        <f t="shared" ca="1" si="71"/>
        <v>#VALUE!</v>
      </c>
      <c r="CH78" s="33" t="e">
        <f ca="1">INT(CG78) + _xll.RiskBinomial(1,CG78-INT(CG78))</f>
        <v>#VALUE!</v>
      </c>
      <c r="CI78" s="26" t="e">
        <f t="shared" ca="1" si="63"/>
        <v>#VALUE!</v>
      </c>
      <c r="CJ78" s="31" t="e">
        <f ca="1">_xll.RiskBinomial(1,CI78)</f>
        <v>#VALUE!</v>
      </c>
      <c r="CK78" s="78" t="e">
        <f ca="1">IF(CJ78=1,_xll.RiskBinomial(1,Prob_illness_Adv_infection),0)</f>
        <v>#VALUE!</v>
      </c>
    </row>
    <row r="79" spans="2:89" x14ac:dyDescent="0.2">
      <c r="B79" s="97">
        <v>71</v>
      </c>
      <c r="C79" s="100">
        <f ca="1" xml:space="preserve"> _xll.RiskPert(Dur_event_hours_min,Dur_event_hours_mode,Dur_event_hours_max)</f>
        <v>1.5066398067540783</v>
      </c>
      <c r="D79" s="26">
        <f ca="1">_xll.RiskPert(Primary_Ing_Rate_mL_per_hour_min,Primary_Ing_Rate_mL_per_hour_mode,Primary_Ing_Rate_mL_per_hour_max)</f>
        <v>13.015872888991845</v>
      </c>
      <c r="E79" s="34">
        <f t="shared" ca="1" si="43"/>
        <v>19.61023221420632</v>
      </c>
      <c r="F79" s="26"/>
      <c r="G79" s="77">
        <f t="shared" ca="1" si="64"/>
        <v>1.8005079163075167E-9</v>
      </c>
      <c r="H79" s="33">
        <f ca="1">INT(G79) + _xll.RiskBinomial(1,G79-INT(G79))</f>
        <v>0</v>
      </c>
      <c r="I79" s="26">
        <f t="shared" ca="1" si="44"/>
        <v>0</v>
      </c>
      <c r="J79" s="31">
        <f ca="1">_xll.RiskBinomial(1,I79)</f>
        <v>0</v>
      </c>
      <c r="K79" s="78">
        <f ca="1">IF(J79=1,_xll.RiskBinomial(1,Prob_illness_Adv_infection),0)</f>
        <v>0</v>
      </c>
      <c r="L79" s="26"/>
      <c r="M79" s="77">
        <f t="shared" ca="1" si="45"/>
        <v>4.4716740830243016E-11</v>
      </c>
      <c r="N79" s="33">
        <f ca="1">INT(M79) + _xll.RiskBinomial(1,M79-INT(M79))</f>
        <v>0</v>
      </c>
      <c r="O79" s="26">
        <f t="shared" ca="1" si="46"/>
        <v>0</v>
      </c>
      <c r="P79" s="31">
        <f ca="1">_xll.RiskBinomial(1,O79)</f>
        <v>0</v>
      </c>
      <c r="Q79" s="78">
        <f ca="1">IF(P79=1,_xll.RiskBinomial(1,Prob_illness_Adv_infection),0)</f>
        <v>0</v>
      </c>
      <c r="R79" s="26"/>
      <c r="S79" s="77">
        <f t="shared" ca="1" si="47"/>
        <v>5.6624282752072308E-10</v>
      </c>
      <c r="T79" s="33">
        <f ca="1">INT(S79) + _xll.RiskBinomial(1,S79-INT(S79))</f>
        <v>0</v>
      </c>
      <c r="U79" s="26">
        <f t="shared" ca="1" si="48"/>
        <v>0</v>
      </c>
      <c r="V79" s="31">
        <f ca="1">_xll.RiskBinomial(1,U79)</f>
        <v>0</v>
      </c>
      <c r="W79" s="78">
        <f ca="1">IF(V79=1,_xll.RiskBinomial(1,Prob_illness_Adv_infection),0)</f>
        <v>0</v>
      </c>
      <c r="X79" s="26"/>
      <c r="Y79" s="77">
        <f t="shared" ca="1" si="49"/>
        <v>4.709660243802897E-11</v>
      </c>
      <c r="Z79" s="33">
        <f ca="1">INT(Y79) + _xll.RiskBinomial(1,Y79-INT(Y79))</f>
        <v>0</v>
      </c>
      <c r="AA79" s="26">
        <f t="shared" ca="1" si="50"/>
        <v>0</v>
      </c>
      <c r="AB79" s="31">
        <f ca="1">_xll.RiskBinomial(1,AA79)</f>
        <v>0</v>
      </c>
      <c r="AC79" s="78">
        <f ca="1">IF(AB79=1,_xll.RiskBinomial(1,Prob_illness_Adv_infection),0)</f>
        <v>0</v>
      </c>
      <c r="AD79" s="26"/>
      <c r="AE79" s="77">
        <f t="shared" ca="1" si="51"/>
        <v>7.0726269094479635E-11</v>
      </c>
      <c r="AF79" s="33">
        <f ca="1">INT(AE79) + _xll.RiskBinomial(1,AE79-INT(AE79))</f>
        <v>0</v>
      </c>
      <c r="AG79" s="26">
        <f t="shared" ca="1" si="52"/>
        <v>0</v>
      </c>
      <c r="AH79" s="31">
        <f ca="1">_xll.RiskBinomial(1,AG79)</f>
        <v>0</v>
      </c>
      <c r="AI79" s="78">
        <f ca="1">IF(AH79=1,_xll.RiskBinomial(1,Prob_illness_Adv_infection),0)</f>
        <v>0</v>
      </c>
      <c r="AJ79" s="26"/>
      <c r="AK79" s="77">
        <f t="shared" ca="1" si="53"/>
        <v>4.6015122697111384E-10</v>
      </c>
      <c r="AL79" s="33">
        <f ca="1">INT(AK79) + _xll.RiskBinomial(1,AK79-INT(AK79))</f>
        <v>0</v>
      </c>
      <c r="AM79" s="26">
        <f t="shared" ca="1" si="54"/>
        <v>0</v>
      </c>
      <c r="AN79" s="31">
        <f ca="1">_xll.RiskBinomial(1,AM79)</f>
        <v>0</v>
      </c>
      <c r="AO79" s="78">
        <f ca="1">IF(AN79=1,_xll.RiskBinomial(1,Prob_illness_Adv_infection),0)</f>
        <v>0</v>
      </c>
      <c r="AP79" s="26"/>
      <c r="AQ79" s="77">
        <f t="shared" ca="1" si="55"/>
        <v>8.7306409100454261E-10</v>
      </c>
      <c r="AR79" s="33">
        <f ca="1">INT(AQ79) + _xll.RiskBinomial(1,AQ79-INT(AQ79))</f>
        <v>0</v>
      </c>
      <c r="AS79" s="26">
        <f t="shared" ca="1" si="56"/>
        <v>0</v>
      </c>
      <c r="AT79" s="31">
        <f ca="1">_xll.RiskBinomial(1,AS79)</f>
        <v>0</v>
      </c>
      <c r="AU79" s="78">
        <f ca="1">IF(AT79=1,_xll.RiskBinomial(1,Prob_illness_Adv_infection),0)</f>
        <v>0</v>
      </c>
      <c r="AV79" s="26"/>
      <c r="AW79" s="77">
        <f t="shared" ca="1" si="65"/>
        <v>1.5375874294244964E-11</v>
      </c>
      <c r="AX79" s="33">
        <f ca="1">INT(AW79) + _xll.RiskBinomial(1,AW79-INT(AW79))</f>
        <v>0</v>
      </c>
      <c r="AY79" s="26">
        <f t="shared" ca="1" si="57"/>
        <v>0</v>
      </c>
      <c r="AZ79" s="31">
        <f ca="1">_xll.RiskBinomial(1,AY79)</f>
        <v>0</v>
      </c>
      <c r="BA79" s="78">
        <f ca="1">IF(AZ79=1,_xll.RiskBinomial(1,Prob_illness_Adv_infection),0)</f>
        <v>0</v>
      </c>
      <c r="BC79" s="77">
        <f t="shared" ca="1" si="66"/>
        <v>7.8812809594776242E-11</v>
      </c>
      <c r="BD79" s="33">
        <f ca="1">INT(BC79) + _xll.RiskBinomial(1,BC79-INT(BC79))</f>
        <v>0</v>
      </c>
      <c r="BE79" s="26">
        <f t="shared" ca="1" si="58"/>
        <v>0</v>
      </c>
      <c r="BF79" s="31">
        <f ca="1">_xll.RiskBinomial(1,BE79)</f>
        <v>0</v>
      </c>
      <c r="BG79" s="78">
        <f ca="1">IF(BF79=1,_xll.RiskBinomial(1,Prob_illness_Adv_infection),0)</f>
        <v>0</v>
      </c>
      <c r="BI79" s="77">
        <f t="shared" ca="1" si="67"/>
        <v>3.6701663166263307E-11</v>
      </c>
      <c r="BJ79" s="33">
        <f ca="1">INT(BI79) + _xll.RiskBinomial(1,BI79-INT(BI79))</f>
        <v>0</v>
      </c>
      <c r="BK79" s="26">
        <f t="shared" ca="1" si="59"/>
        <v>0</v>
      </c>
      <c r="BL79" s="31">
        <f ca="1">_xll.RiskBinomial(1,BK79)</f>
        <v>0</v>
      </c>
      <c r="BM79" s="78">
        <f ca="1">IF(BL79=1,_xll.RiskBinomial(1,Prob_illness_Adv_infection),0)</f>
        <v>0</v>
      </c>
      <c r="BO79" s="77">
        <f t="shared" ca="1" si="68"/>
        <v>7.9349290187638251E-11</v>
      </c>
      <c r="BP79" s="33">
        <f ca="1">INT(BO79) + _xll.RiskBinomial(1,BO79-INT(BO79))</f>
        <v>0</v>
      </c>
      <c r="BQ79" s="26">
        <f t="shared" ca="1" si="60"/>
        <v>0</v>
      </c>
      <c r="BR79" s="31">
        <f ca="1">_xll.RiskBinomial(1,BQ79)</f>
        <v>0</v>
      </c>
      <c r="BS79" s="78">
        <f ca="1">IF(BR79=1,_xll.RiskBinomial(1,Prob_illness_Adv_infection),0)</f>
        <v>0</v>
      </c>
      <c r="BU79" s="77">
        <f t="shared" ca="1" si="69"/>
        <v>5.6695270305728132E-13</v>
      </c>
      <c r="BV79" s="33">
        <f ca="1">INT(BU79) + _xll.RiskBinomial(1,BU79-INT(BU79))</f>
        <v>0</v>
      </c>
      <c r="BW79" s="26">
        <f t="shared" ca="1" si="61"/>
        <v>0</v>
      </c>
      <c r="BX79" s="31">
        <f ca="1">_xll.RiskBinomial(1,BW79)</f>
        <v>0</v>
      </c>
      <c r="BY79" s="78">
        <f ca="1">IF(BX79=1,_xll.RiskBinomial(1,Prob_illness_Adv_infection),0)</f>
        <v>0</v>
      </c>
      <c r="CA79" s="77">
        <f t="shared" ca="1" si="70"/>
        <v>8.602731465700353E-11</v>
      </c>
      <c r="CB79" s="33">
        <f ca="1">INT(CA79) + _xll.RiskBinomial(1,CA79-INT(CA79))</f>
        <v>0</v>
      </c>
      <c r="CC79" s="26">
        <f t="shared" ca="1" si="62"/>
        <v>0</v>
      </c>
      <c r="CD79" s="31">
        <f ca="1">_xll.RiskBinomial(1,CC79)</f>
        <v>0</v>
      </c>
      <c r="CE79" s="78">
        <f ca="1">IF(CD79=1,_xll.RiskBinomial(1,Prob_illness_Adv_infection),0)</f>
        <v>0</v>
      </c>
      <c r="CG79" s="77" t="e">
        <f t="shared" ca="1" si="71"/>
        <v>#VALUE!</v>
      </c>
      <c r="CH79" s="33" t="e">
        <f ca="1">INT(CG79) + _xll.RiskBinomial(1,CG79-INT(CG79))</f>
        <v>#VALUE!</v>
      </c>
      <c r="CI79" s="26" t="e">
        <f t="shared" ca="1" si="63"/>
        <v>#VALUE!</v>
      </c>
      <c r="CJ79" s="31" t="e">
        <f ca="1">_xll.RiskBinomial(1,CI79)</f>
        <v>#VALUE!</v>
      </c>
      <c r="CK79" s="78" t="e">
        <f ca="1">IF(CJ79=1,_xll.RiskBinomial(1,Prob_illness_Adv_infection),0)</f>
        <v>#VALUE!</v>
      </c>
    </row>
    <row r="80" spans="2:89" x14ac:dyDescent="0.2">
      <c r="B80" s="97">
        <v>72</v>
      </c>
      <c r="C80" s="100">
        <f ca="1" xml:space="preserve"> _xll.RiskPert(Dur_event_hours_min,Dur_event_hours_mode,Dur_event_hours_max)</f>
        <v>1.2306469253555326</v>
      </c>
      <c r="D80" s="26">
        <f ca="1">_xll.RiskPert(Primary_Ing_Rate_mL_per_hour_min,Primary_Ing_Rate_mL_per_hour_mode,Primary_Ing_Rate_mL_per_hour_max)</f>
        <v>5.7899004354192076</v>
      </c>
      <c r="E80" s="34">
        <f t="shared" ca="1" si="43"/>
        <v>7.1253231689633072</v>
      </c>
      <c r="F80" s="26"/>
      <c r="G80" s="77">
        <f t="shared" ca="1" si="64"/>
        <v>6.5420952856814646E-10</v>
      </c>
      <c r="H80" s="33">
        <f ca="1">INT(G80) + _xll.RiskBinomial(1,G80-INT(G80))</f>
        <v>0</v>
      </c>
      <c r="I80" s="26">
        <f t="shared" ca="1" si="44"/>
        <v>0</v>
      </c>
      <c r="J80" s="31">
        <f ca="1">_xll.RiskBinomial(1,I80)</f>
        <v>0</v>
      </c>
      <c r="K80" s="78">
        <f ca="1">IF(J80=1,_xll.RiskBinomial(1,Prob_illness_Adv_infection),0)</f>
        <v>0</v>
      </c>
      <c r="L80" s="26"/>
      <c r="M80" s="77">
        <f t="shared" ca="1" si="45"/>
        <v>1.624770303573652E-11</v>
      </c>
      <c r="N80" s="33">
        <f ca="1">INT(M80) + _xll.RiskBinomial(1,M80-INT(M80))</f>
        <v>0</v>
      </c>
      <c r="O80" s="26">
        <f t="shared" ca="1" si="46"/>
        <v>0</v>
      </c>
      <c r="P80" s="31">
        <f ca="1">_xll.RiskBinomial(1,O80)</f>
        <v>0</v>
      </c>
      <c r="Q80" s="78">
        <f ca="1">IF(P80=1,_xll.RiskBinomial(1,Prob_illness_Adv_infection),0)</f>
        <v>0</v>
      </c>
      <c r="R80" s="26"/>
      <c r="S80" s="77">
        <f t="shared" ca="1" si="47"/>
        <v>2.0574275174925539E-10</v>
      </c>
      <c r="T80" s="33">
        <f ca="1">INT(S80) + _xll.RiskBinomial(1,S80-INT(S80))</f>
        <v>0</v>
      </c>
      <c r="U80" s="26">
        <f t="shared" ca="1" si="48"/>
        <v>0</v>
      </c>
      <c r="V80" s="31">
        <f ca="1">_xll.RiskBinomial(1,U80)</f>
        <v>0</v>
      </c>
      <c r="W80" s="78">
        <f ca="1">IF(V80=1,_xll.RiskBinomial(1,Prob_illness_Adv_infection),0)</f>
        <v>0</v>
      </c>
      <c r="X80" s="26"/>
      <c r="Y80" s="77">
        <f t="shared" ca="1" si="49"/>
        <v>1.7112419111897975E-11</v>
      </c>
      <c r="Z80" s="33">
        <f ca="1">INT(Y80) + _xll.RiskBinomial(1,Y80-INT(Y80))</f>
        <v>0</v>
      </c>
      <c r="AA80" s="26">
        <f t="shared" ca="1" si="50"/>
        <v>0</v>
      </c>
      <c r="AB80" s="31">
        <f ca="1">_xll.RiskBinomial(1,AA80)</f>
        <v>0</v>
      </c>
      <c r="AC80" s="78">
        <f ca="1">IF(AB80=1,_xll.RiskBinomial(1,Prob_illness_Adv_infection),0)</f>
        <v>0</v>
      </c>
      <c r="AD80" s="26"/>
      <c r="AE80" s="77">
        <f t="shared" ca="1" si="51"/>
        <v>2.5698192572556712E-11</v>
      </c>
      <c r="AF80" s="33">
        <f ca="1">INT(AE80) + _xll.RiskBinomial(1,AE80-INT(AE80))</f>
        <v>0</v>
      </c>
      <c r="AG80" s="26">
        <f t="shared" ca="1" si="52"/>
        <v>0</v>
      </c>
      <c r="AH80" s="31">
        <f ca="1">_xll.RiskBinomial(1,AG80)</f>
        <v>0</v>
      </c>
      <c r="AI80" s="78">
        <f ca="1">IF(AH80=1,_xll.RiskBinomial(1,Prob_illness_Adv_infection),0)</f>
        <v>0</v>
      </c>
      <c r="AJ80" s="26"/>
      <c r="AK80" s="77">
        <f t="shared" ca="1" si="53"/>
        <v>1.6719466465006723E-10</v>
      </c>
      <c r="AL80" s="33">
        <f ca="1">INT(AK80) + _xll.RiskBinomial(1,AK80-INT(AK80))</f>
        <v>0</v>
      </c>
      <c r="AM80" s="26">
        <f t="shared" ca="1" si="54"/>
        <v>0</v>
      </c>
      <c r="AN80" s="31">
        <f ca="1">_xll.RiskBinomial(1,AM80)</f>
        <v>0</v>
      </c>
      <c r="AO80" s="78">
        <f ca="1">IF(AN80=1,_xll.RiskBinomial(1,Prob_illness_Adv_infection),0)</f>
        <v>0</v>
      </c>
      <c r="AP80" s="26"/>
      <c r="AQ80" s="77">
        <f t="shared" ca="1" si="55"/>
        <v>3.1722540190615142E-10</v>
      </c>
      <c r="AR80" s="33">
        <f ca="1">INT(AQ80) + _xll.RiskBinomial(1,AQ80-INT(AQ80))</f>
        <v>0</v>
      </c>
      <c r="AS80" s="26">
        <f t="shared" ca="1" si="56"/>
        <v>0</v>
      </c>
      <c r="AT80" s="31">
        <f ca="1">_xll.RiskBinomial(1,AS80)</f>
        <v>0</v>
      </c>
      <c r="AU80" s="78">
        <f ca="1">IF(AT80=1,_xll.RiskBinomial(1,Prob_illness_Adv_infection),0)</f>
        <v>0</v>
      </c>
      <c r="AV80" s="26"/>
      <c r="AW80" s="77">
        <f t="shared" ca="1" si="65"/>
        <v>5.5867810312048925E-12</v>
      </c>
      <c r="AX80" s="33">
        <f ca="1">INT(AW80) + _xll.RiskBinomial(1,AW80-INT(AW80))</f>
        <v>0</v>
      </c>
      <c r="AY80" s="26">
        <f t="shared" ca="1" si="57"/>
        <v>0</v>
      </c>
      <c r="AZ80" s="31">
        <f ca="1">_xll.RiskBinomial(1,AY80)</f>
        <v>0</v>
      </c>
      <c r="BA80" s="78">
        <f ca="1">IF(AZ80=1,_xll.RiskBinomial(1,Prob_illness_Adv_infection),0)</f>
        <v>0</v>
      </c>
      <c r="BC80" s="77">
        <f t="shared" ca="1" si="66"/>
        <v>2.8636414504563322E-11</v>
      </c>
      <c r="BD80" s="33">
        <f ca="1">INT(BC80) + _xll.RiskBinomial(1,BC80-INT(BC80))</f>
        <v>0</v>
      </c>
      <c r="BE80" s="26">
        <f t="shared" ca="1" si="58"/>
        <v>0</v>
      </c>
      <c r="BF80" s="31">
        <f ca="1">_xll.RiskBinomial(1,BE80)</f>
        <v>0</v>
      </c>
      <c r="BG80" s="78">
        <f ca="1">IF(BF80=1,_xll.RiskBinomial(1,Prob_illness_Adv_infection),0)</f>
        <v>0</v>
      </c>
      <c r="BI80" s="77">
        <f t="shared" ca="1" si="67"/>
        <v>1.3335446925947949E-11</v>
      </c>
      <c r="BJ80" s="33">
        <f ca="1">INT(BI80) + _xll.RiskBinomial(1,BI80-INT(BI80))</f>
        <v>0</v>
      </c>
      <c r="BK80" s="26">
        <f t="shared" ca="1" si="59"/>
        <v>0</v>
      </c>
      <c r="BL80" s="31">
        <f ca="1">_xll.RiskBinomial(1,BK80)</f>
        <v>0</v>
      </c>
      <c r="BM80" s="78">
        <f ca="1">IF(BL80=1,_xll.RiskBinomial(1,Prob_illness_Adv_infection),0)</f>
        <v>0</v>
      </c>
      <c r="BO80" s="77">
        <f t="shared" ca="1" si="68"/>
        <v>2.8831343231376139E-11</v>
      </c>
      <c r="BP80" s="33">
        <f ca="1">INT(BO80) + _xll.RiskBinomial(1,BO80-INT(BO80))</f>
        <v>0</v>
      </c>
      <c r="BQ80" s="26">
        <f t="shared" ca="1" si="60"/>
        <v>0</v>
      </c>
      <c r="BR80" s="31">
        <f ca="1">_xll.RiskBinomial(1,BQ80)</f>
        <v>0</v>
      </c>
      <c r="BS80" s="78">
        <f ca="1">IF(BR80=1,_xll.RiskBinomial(1,Prob_illness_Adv_infection),0)</f>
        <v>0</v>
      </c>
      <c r="BU80" s="77">
        <f t="shared" ca="1" si="69"/>
        <v>2.060006830451456E-13</v>
      </c>
      <c r="BV80" s="33">
        <f ca="1">INT(BU80) + _xll.RiskBinomial(1,BU80-INT(BU80))</f>
        <v>0</v>
      </c>
      <c r="BW80" s="26">
        <f t="shared" ca="1" si="61"/>
        <v>0</v>
      </c>
      <c r="BX80" s="31">
        <f ca="1">_xll.RiskBinomial(1,BW80)</f>
        <v>0</v>
      </c>
      <c r="BY80" s="78">
        <f ca="1">IF(BX80=1,_xll.RiskBinomial(1,Prob_illness_Adv_infection),0)</f>
        <v>0</v>
      </c>
      <c r="CA80" s="77">
        <f t="shared" ca="1" si="70"/>
        <v>3.1257784792838191E-11</v>
      </c>
      <c r="CB80" s="33">
        <f ca="1">INT(CA80) + _xll.RiskBinomial(1,CA80-INT(CA80))</f>
        <v>0</v>
      </c>
      <c r="CC80" s="26">
        <f t="shared" ca="1" si="62"/>
        <v>0</v>
      </c>
      <c r="CD80" s="31">
        <f ca="1">_xll.RiskBinomial(1,CC80)</f>
        <v>0</v>
      </c>
      <c r="CE80" s="78">
        <f ca="1">IF(CD80=1,_xll.RiskBinomial(1,Prob_illness_Adv_infection),0)</f>
        <v>0</v>
      </c>
      <c r="CG80" s="77" t="e">
        <f t="shared" ca="1" si="71"/>
        <v>#VALUE!</v>
      </c>
      <c r="CH80" s="33" t="e">
        <f ca="1">INT(CG80) + _xll.RiskBinomial(1,CG80-INT(CG80))</f>
        <v>#VALUE!</v>
      </c>
      <c r="CI80" s="26" t="e">
        <f t="shared" ca="1" si="63"/>
        <v>#VALUE!</v>
      </c>
      <c r="CJ80" s="31" t="e">
        <f ca="1">_xll.RiskBinomial(1,CI80)</f>
        <v>#VALUE!</v>
      </c>
      <c r="CK80" s="78" t="e">
        <f ca="1">IF(CJ80=1,_xll.RiskBinomial(1,Prob_illness_Adv_infection),0)</f>
        <v>#VALUE!</v>
      </c>
    </row>
    <row r="81" spans="2:89" x14ac:dyDescent="0.2">
      <c r="B81" s="97">
        <v>73</v>
      </c>
      <c r="C81" s="100">
        <f ca="1" xml:space="preserve"> _xll.RiskPert(Dur_event_hours_min,Dur_event_hours_mode,Dur_event_hours_max)</f>
        <v>1.1568481231017498</v>
      </c>
      <c r="D81" s="26">
        <f ca="1">_xll.RiskPert(Primary_Ing_Rate_mL_per_hour_min,Primary_Ing_Rate_mL_per_hour_mode,Primary_Ing_Rate_mL_per_hour_max)</f>
        <v>7.5227167904035337</v>
      </c>
      <c r="E81" s="34">
        <f t="shared" ca="1" si="43"/>
        <v>8.7026407996043478</v>
      </c>
      <c r="F81" s="26"/>
      <c r="G81" s="77">
        <f t="shared" ca="1" si="64"/>
        <v>7.9903050006297836E-10</v>
      </c>
      <c r="H81" s="33">
        <f ca="1">INT(G81) + _xll.RiskBinomial(1,G81-INT(G81))</f>
        <v>0</v>
      </c>
      <c r="I81" s="26">
        <f t="shared" ca="1" si="44"/>
        <v>0</v>
      </c>
      <c r="J81" s="31">
        <f ca="1">_xll.RiskBinomial(1,I81)</f>
        <v>0</v>
      </c>
      <c r="K81" s="78">
        <f ca="1">IF(J81=1,_xll.RiskBinomial(1,Prob_illness_Adv_infection),0)</f>
        <v>0</v>
      </c>
      <c r="L81" s="26"/>
      <c r="M81" s="77">
        <f t="shared" ca="1" si="45"/>
        <v>1.9844422489433362E-11</v>
      </c>
      <c r="N81" s="33">
        <f ca="1">INT(M81) + _xll.RiskBinomial(1,M81-INT(M81))</f>
        <v>0</v>
      </c>
      <c r="O81" s="26">
        <f t="shared" ca="1" si="46"/>
        <v>0</v>
      </c>
      <c r="P81" s="31">
        <f ca="1">_xll.RiskBinomial(1,O81)</f>
        <v>0</v>
      </c>
      <c r="Q81" s="78">
        <f ca="1">IF(P81=1,_xll.RiskBinomial(1,Prob_illness_Adv_infection),0)</f>
        <v>0</v>
      </c>
      <c r="R81" s="26"/>
      <c r="S81" s="77">
        <f t="shared" ca="1" si="47"/>
        <v>2.5128758698202971E-10</v>
      </c>
      <c r="T81" s="33">
        <f ca="1">INT(S81) + _xll.RiskBinomial(1,S81-INT(S81))</f>
        <v>0</v>
      </c>
      <c r="U81" s="26">
        <f t="shared" ca="1" si="48"/>
        <v>0</v>
      </c>
      <c r="V81" s="31">
        <f ca="1">_xll.RiskBinomial(1,U81)</f>
        <v>0</v>
      </c>
      <c r="W81" s="78">
        <f ca="1">IF(V81=1,_xll.RiskBinomial(1,Prob_illness_Adv_infection),0)</f>
        <v>0</v>
      </c>
      <c r="X81" s="26"/>
      <c r="Y81" s="77">
        <f t="shared" ca="1" si="49"/>
        <v>2.090055892367335E-11</v>
      </c>
      <c r="Z81" s="33">
        <f ca="1">INT(Y81) + _xll.RiskBinomial(1,Y81-INT(Y81))</f>
        <v>0</v>
      </c>
      <c r="AA81" s="26">
        <f t="shared" ca="1" si="50"/>
        <v>0</v>
      </c>
      <c r="AB81" s="31">
        <f ca="1">_xll.RiskBinomial(1,AA81)</f>
        <v>0</v>
      </c>
      <c r="AC81" s="78">
        <f ca="1">IF(AB81=1,_xll.RiskBinomial(1,Prob_illness_Adv_infection),0)</f>
        <v>0</v>
      </c>
      <c r="AD81" s="26"/>
      <c r="AE81" s="77">
        <f t="shared" ca="1" si="51"/>
        <v>3.1386946788907549E-11</v>
      </c>
      <c r="AF81" s="33">
        <f ca="1">INT(AE81) + _xll.RiskBinomial(1,AE81-INT(AE81))</f>
        <v>0</v>
      </c>
      <c r="AG81" s="26">
        <f t="shared" ca="1" si="52"/>
        <v>0</v>
      </c>
      <c r="AH81" s="31">
        <f ca="1">_xll.RiskBinomial(1,AG81)</f>
        <v>0</v>
      </c>
      <c r="AI81" s="78">
        <f ca="1">IF(AH81=1,_xll.RiskBinomial(1,Prob_illness_Adv_infection),0)</f>
        <v>0</v>
      </c>
      <c r="AJ81" s="26"/>
      <c r="AK81" s="77">
        <f t="shared" ca="1" si="53"/>
        <v>2.042061918535466E-10</v>
      </c>
      <c r="AL81" s="33">
        <f ca="1">INT(AK81) + _xll.RiskBinomial(1,AK81-INT(AK81))</f>
        <v>0</v>
      </c>
      <c r="AM81" s="26">
        <f t="shared" ca="1" si="54"/>
        <v>0</v>
      </c>
      <c r="AN81" s="31">
        <f ca="1">_xll.RiskBinomial(1,AM81)</f>
        <v>0</v>
      </c>
      <c r="AO81" s="78">
        <f ca="1">IF(AN81=1,_xll.RiskBinomial(1,Prob_illness_Adv_infection),0)</f>
        <v>0</v>
      </c>
      <c r="AP81" s="26"/>
      <c r="AQ81" s="77">
        <f t="shared" ca="1" si="55"/>
        <v>3.8744891422251455E-10</v>
      </c>
      <c r="AR81" s="33">
        <f ca="1">INT(AQ81) + _xll.RiskBinomial(1,AQ81-INT(AQ81))</f>
        <v>0</v>
      </c>
      <c r="AS81" s="26">
        <f t="shared" ca="1" si="56"/>
        <v>0</v>
      </c>
      <c r="AT81" s="31">
        <f ca="1">_xll.RiskBinomial(1,AS81)</f>
        <v>0</v>
      </c>
      <c r="AU81" s="78">
        <f ca="1">IF(AT81=1,_xll.RiskBinomial(1,Prob_illness_Adv_infection),0)</f>
        <v>0</v>
      </c>
      <c r="AV81" s="26"/>
      <c r="AW81" s="77">
        <f t="shared" ca="1" si="65"/>
        <v>6.8235148620905616E-12</v>
      </c>
      <c r="AX81" s="33">
        <f ca="1">INT(AW81) + _xll.RiskBinomial(1,AW81-INT(AW81))</f>
        <v>0</v>
      </c>
      <c r="AY81" s="26">
        <f t="shared" ca="1" si="57"/>
        <v>0</v>
      </c>
      <c r="AZ81" s="31">
        <f ca="1">_xll.RiskBinomial(1,AY81)</f>
        <v>0</v>
      </c>
      <c r="BA81" s="78">
        <f ca="1">IF(AZ81=1,_xll.RiskBinomial(1,Prob_illness_Adv_infection),0)</f>
        <v>0</v>
      </c>
      <c r="BC81" s="77">
        <f t="shared" ca="1" si="66"/>
        <v>3.4975596658874557E-11</v>
      </c>
      <c r="BD81" s="33">
        <f ca="1">INT(BC81) + _xll.RiskBinomial(1,BC81-INT(BC81))</f>
        <v>0</v>
      </c>
      <c r="BE81" s="26">
        <f t="shared" ca="1" si="58"/>
        <v>0</v>
      </c>
      <c r="BF81" s="31">
        <f ca="1">_xll.RiskBinomial(1,BE81)</f>
        <v>0</v>
      </c>
      <c r="BG81" s="78">
        <f ca="1">IF(BF81=1,_xll.RiskBinomial(1,Prob_illness_Adv_infection),0)</f>
        <v>0</v>
      </c>
      <c r="BI81" s="77">
        <f t="shared" ca="1" si="67"/>
        <v>1.6287486440505987E-11</v>
      </c>
      <c r="BJ81" s="33">
        <f ca="1">INT(BI81) + _xll.RiskBinomial(1,BI81-INT(BI81))</f>
        <v>0</v>
      </c>
      <c r="BK81" s="26">
        <f t="shared" ca="1" si="59"/>
        <v>0</v>
      </c>
      <c r="BL81" s="31">
        <f ca="1">_xll.RiskBinomial(1,BK81)</f>
        <v>0</v>
      </c>
      <c r="BM81" s="78">
        <f ca="1">IF(BL81=1,_xll.RiskBinomial(1,Prob_illness_Adv_infection),0)</f>
        <v>0</v>
      </c>
      <c r="BO81" s="77">
        <f t="shared" ca="1" si="68"/>
        <v>3.5213676343227024E-11</v>
      </c>
      <c r="BP81" s="33">
        <f ca="1">INT(BO81) + _xll.RiskBinomial(1,BO81-INT(BO81))</f>
        <v>0</v>
      </c>
      <c r="BQ81" s="26">
        <f t="shared" ca="1" si="60"/>
        <v>0</v>
      </c>
      <c r="BR81" s="31">
        <f ca="1">_xll.RiskBinomial(1,BQ81)</f>
        <v>0</v>
      </c>
      <c r="BS81" s="78">
        <f ca="1">IF(BR81=1,_xll.RiskBinomial(1,Prob_illness_Adv_infection),0)</f>
        <v>0</v>
      </c>
      <c r="BU81" s="77">
        <f t="shared" ca="1" si="69"/>
        <v>2.51602615980137E-13</v>
      </c>
      <c r="BV81" s="33">
        <f ca="1">INT(BU81) + _xll.RiskBinomial(1,BU81-INT(BU81))</f>
        <v>0</v>
      </c>
      <c r="BW81" s="26">
        <f t="shared" ca="1" si="61"/>
        <v>0</v>
      </c>
      <c r="BX81" s="31">
        <f ca="1">_xll.RiskBinomial(1,BW81)</f>
        <v>0</v>
      </c>
      <c r="BY81" s="78">
        <f ca="1">IF(BX81=1,_xll.RiskBinomial(1,Prob_illness_Adv_infection),0)</f>
        <v>0</v>
      </c>
      <c r="CA81" s="77">
        <f t="shared" ca="1" si="70"/>
        <v>3.8177254110845345E-11</v>
      </c>
      <c r="CB81" s="33">
        <f ca="1">INT(CA81) + _xll.RiskBinomial(1,CA81-INT(CA81))</f>
        <v>0</v>
      </c>
      <c r="CC81" s="26">
        <f t="shared" ca="1" si="62"/>
        <v>0</v>
      </c>
      <c r="CD81" s="31">
        <f ca="1">_xll.RiskBinomial(1,CC81)</f>
        <v>0</v>
      </c>
      <c r="CE81" s="78">
        <f ca="1">IF(CD81=1,_xll.RiskBinomial(1,Prob_illness_Adv_infection),0)</f>
        <v>0</v>
      </c>
      <c r="CG81" s="77" t="e">
        <f t="shared" ca="1" si="71"/>
        <v>#VALUE!</v>
      </c>
      <c r="CH81" s="33" t="e">
        <f ca="1">INT(CG81) + _xll.RiskBinomial(1,CG81-INT(CG81))</f>
        <v>#VALUE!</v>
      </c>
      <c r="CI81" s="26" t="e">
        <f t="shared" ca="1" si="63"/>
        <v>#VALUE!</v>
      </c>
      <c r="CJ81" s="31" t="e">
        <f ca="1">_xll.RiskBinomial(1,CI81)</f>
        <v>#VALUE!</v>
      </c>
      <c r="CK81" s="78" t="e">
        <f ca="1">IF(CJ81=1,_xll.RiskBinomial(1,Prob_illness_Adv_infection),0)</f>
        <v>#VALUE!</v>
      </c>
    </row>
    <row r="82" spans="2:89" x14ac:dyDescent="0.2">
      <c r="B82" s="97">
        <v>74</v>
      </c>
      <c r="C82" s="100">
        <f ca="1" xml:space="preserve"> _xll.RiskPert(Dur_event_hours_min,Dur_event_hours_mode,Dur_event_hours_max)</f>
        <v>0.25314286294121319</v>
      </c>
      <c r="D82" s="26">
        <f ca="1">_xll.RiskPert(Primary_Ing_Rate_mL_per_hour_min,Primary_Ing_Rate_mL_per_hour_mode,Primary_Ing_Rate_mL_per_hour_max)</f>
        <v>11.439427801973679</v>
      </c>
      <c r="E82" s="34">
        <f t="shared" ca="1" si="43"/>
        <v>2.8958095042009266</v>
      </c>
      <c r="F82" s="26"/>
      <c r="G82" s="77">
        <f t="shared" ca="1" si="64"/>
        <v>2.6587792941356229E-10</v>
      </c>
      <c r="H82" s="33">
        <f ca="1">INT(G82) + _xll.RiskBinomial(1,G82-INT(G82))</f>
        <v>0</v>
      </c>
      <c r="I82" s="26">
        <f t="shared" ca="1" si="44"/>
        <v>0</v>
      </c>
      <c r="J82" s="31">
        <f ca="1">_xll.RiskBinomial(1,I82)</f>
        <v>0</v>
      </c>
      <c r="K82" s="78">
        <f ca="1">IF(J82=1,_xll.RiskBinomial(1,Prob_illness_Adv_infection),0)</f>
        <v>0</v>
      </c>
      <c r="L82" s="26"/>
      <c r="M82" s="77">
        <f t="shared" ca="1" si="45"/>
        <v>6.6032447590956909E-12</v>
      </c>
      <c r="N82" s="33">
        <f ca="1">INT(M82) + _xll.RiskBinomial(1,M82-INT(M82))</f>
        <v>0</v>
      </c>
      <c r="O82" s="26">
        <f t="shared" ca="1" si="46"/>
        <v>0</v>
      </c>
      <c r="P82" s="31">
        <f ca="1">_xll.RiskBinomial(1,O82)</f>
        <v>0</v>
      </c>
      <c r="Q82" s="78">
        <f ca="1">IF(P82=1,_xll.RiskBinomial(1,Prob_illness_Adv_infection),0)</f>
        <v>0</v>
      </c>
      <c r="R82" s="26"/>
      <c r="S82" s="77">
        <f t="shared" ca="1" si="47"/>
        <v>8.3616111411074399E-11</v>
      </c>
      <c r="T82" s="33">
        <f ca="1">INT(S82) + _xll.RiskBinomial(1,S82-INT(S82))</f>
        <v>0</v>
      </c>
      <c r="U82" s="26">
        <f t="shared" ca="1" si="48"/>
        <v>0</v>
      </c>
      <c r="V82" s="31">
        <f ca="1">_xll.RiskBinomial(1,U82)</f>
        <v>0</v>
      </c>
      <c r="W82" s="78">
        <f ca="1">IF(V82=1,_xll.RiskBinomial(1,Prob_illness_Adv_infection),0)</f>
        <v>0</v>
      </c>
      <c r="X82" s="26"/>
      <c r="Y82" s="77">
        <f t="shared" ca="1" si="49"/>
        <v>6.9546748588125575E-12</v>
      </c>
      <c r="Z82" s="33">
        <f ca="1">INT(Y82) + _xll.RiskBinomial(1,Y82-INT(Y82))</f>
        <v>0</v>
      </c>
      <c r="AA82" s="26">
        <f t="shared" ca="1" si="50"/>
        <v>0</v>
      </c>
      <c r="AB82" s="31">
        <f ca="1">_xll.RiskBinomial(1,AA82)</f>
        <v>0</v>
      </c>
      <c r="AC82" s="78">
        <f ca="1">IF(AB82=1,_xll.RiskBinomial(1,Prob_illness_Adv_infection),0)</f>
        <v>0</v>
      </c>
      <c r="AD82" s="26"/>
      <c r="AE82" s="77">
        <f t="shared" ca="1" si="51"/>
        <v>1.0444027383423599E-11</v>
      </c>
      <c r="AF82" s="33">
        <f ca="1">INT(AE82) + _xll.RiskBinomial(1,AE82-INT(AE82))</f>
        <v>0</v>
      </c>
      <c r="AG82" s="26">
        <f t="shared" ca="1" si="52"/>
        <v>0</v>
      </c>
      <c r="AH82" s="31">
        <f ca="1">_xll.RiskBinomial(1,AG82)</f>
        <v>0</v>
      </c>
      <c r="AI82" s="78">
        <f ca="1">IF(AH82=1,_xll.RiskBinomial(1,Prob_illness_Adv_infection),0)</f>
        <v>0</v>
      </c>
      <c r="AJ82" s="26"/>
      <c r="AK82" s="77">
        <f t="shared" ca="1" si="53"/>
        <v>6.7949745922302412E-11</v>
      </c>
      <c r="AL82" s="33">
        <f ca="1">INT(AK82) + _xll.RiskBinomial(1,AK82-INT(AK82))</f>
        <v>0</v>
      </c>
      <c r="AM82" s="26">
        <f t="shared" ca="1" si="54"/>
        <v>0</v>
      </c>
      <c r="AN82" s="31">
        <f ca="1">_xll.RiskBinomial(1,AM82)</f>
        <v>0</v>
      </c>
      <c r="AO82" s="78">
        <f ca="1">IF(AN82=1,_xll.RiskBinomial(1,Prob_illness_Adv_infection),0)</f>
        <v>0</v>
      </c>
      <c r="AP82" s="26"/>
      <c r="AQ82" s="77">
        <f t="shared" ca="1" si="55"/>
        <v>1.2892388345488146E-10</v>
      </c>
      <c r="AR82" s="33">
        <f ca="1">INT(AQ82) + _xll.RiskBinomial(1,AQ82-INT(AQ82))</f>
        <v>0</v>
      </c>
      <c r="AS82" s="26">
        <f t="shared" ca="1" si="56"/>
        <v>0</v>
      </c>
      <c r="AT82" s="31">
        <f ca="1">_xll.RiskBinomial(1,AS82)</f>
        <v>0</v>
      </c>
      <c r="AU82" s="78">
        <f ca="1">IF(AT82=1,_xll.RiskBinomial(1,Prob_illness_Adv_infection),0)</f>
        <v>0</v>
      </c>
      <c r="AV82" s="26"/>
      <c r="AW82" s="77">
        <f t="shared" ca="1" si="65"/>
        <v>2.2705291008444774E-12</v>
      </c>
      <c r="AX82" s="33">
        <f ca="1">INT(AW82) + _xll.RiskBinomial(1,AW82-INT(AW82))</f>
        <v>0</v>
      </c>
      <c r="AY82" s="26">
        <f t="shared" ca="1" si="57"/>
        <v>0</v>
      </c>
      <c r="AZ82" s="31">
        <f ca="1">_xll.RiskBinomial(1,AY82)</f>
        <v>0</v>
      </c>
      <c r="BA82" s="78">
        <f ca="1">IF(AZ82=1,_xll.RiskBinomial(1,Prob_illness_Adv_infection),0)</f>
        <v>0</v>
      </c>
      <c r="BC82" s="77">
        <f t="shared" ca="1" si="66"/>
        <v>1.1638153010345063E-11</v>
      </c>
      <c r="BD82" s="33">
        <f ca="1">INT(BC82) + _xll.RiskBinomial(1,BC82-INT(BC82))</f>
        <v>0</v>
      </c>
      <c r="BE82" s="26">
        <f t="shared" ca="1" si="58"/>
        <v>0</v>
      </c>
      <c r="BF82" s="31">
        <f ca="1">_xll.RiskBinomial(1,BE82)</f>
        <v>0</v>
      </c>
      <c r="BG82" s="78">
        <f ca="1">IF(BF82=1,_xll.RiskBinomial(1,Prob_illness_Adv_infection),0)</f>
        <v>0</v>
      </c>
      <c r="BI82" s="77">
        <f t="shared" ca="1" si="67"/>
        <v>5.4196719271816044E-12</v>
      </c>
      <c r="BJ82" s="33">
        <f ca="1">INT(BI82) + _xll.RiskBinomial(1,BI82-INT(BI82))</f>
        <v>0</v>
      </c>
      <c r="BK82" s="26">
        <f t="shared" ca="1" si="59"/>
        <v>0</v>
      </c>
      <c r="BL82" s="31">
        <f ca="1">_xll.RiskBinomial(1,BK82)</f>
        <v>0</v>
      </c>
      <c r="BM82" s="78">
        <f ca="1">IF(BL82=1,_xll.RiskBinomial(1,Prob_illness_Adv_infection),0)</f>
        <v>0</v>
      </c>
      <c r="BO82" s="77">
        <f t="shared" ca="1" si="68"/>
        <v>1.1717374183386744E-11</v>
      </c>
      <c r="BP82" s="33">
        <f ca="1">INT(BO82) + _xll.RiskBinomial(1,BO82-INT(BO82))</f>
        <v>0</v>
      </c>
      <c r="BQ82" s="26">
        <f t="shared" ca="1" si="60"/>
        <v>0</v>
      </c>
      <c r="BR82" s="31">
        <f ca="1">_xll.RiskBinomial(1,BQ82)</f>
        <v>0</v>
      </c>
      <c r="BS82" s="78">
        <f ca="1">IF(BR82=1,_xll.RiskBinomial(1,Prob_illness_Adv_infection),0)</f>
        <v>0</v>
      </c>
      <c r="BU82" s="77">
        <f t="shared" ca="1" si="69"/>
        <v>8.3720937519358603E-14</v>
      </c>
      <c r="BV82" s="33">
        <f ca="1">INT(BU82) + _xll.RiskBinomial(1,BU82-INT(BU82))</f>
        <v>0</v>
      </c>
      <c r="BW82" s="26">
        <f t="shared" ca="1" si="61"/>
        <v>0</v>
      </c>
      <c r="BX82" s="31">
        <f ca="1">_xll.RiskBinomial(1,BW82)</f>
        <v>0</v>
      </c>
      <c r="BY82" s="78">
        <f ca="1">IF(BX82=1,_xll.RiskBinomial(1,Prob_illness_Adv_infection),0)</f>
        <v>0</v>
      </c>
      <c r="CA82" s="77">
        <f t="shared" ca="1" si="70"/>
        <v>1.2703506653234041E-11</v>
      </c>
      <c r="CB82" s="33">
        <f ca="1">INT(CA82) + _xll.RiskBinomial(1,CA82-INT(CA82))</f>
        <v>0</v>
      </c>
      <c r="CC82" s="26">
        <f t="shared" ca="1" si="62"/>
        <v>0</v>
      </c>
      <c r="CD82" s="31">
        <f ca="1">_xll.RiskBinomial(1,CC82)</f>
        <v>0</v>
      </c>
      <c r="CE82" s="78">
        <f ca="1">IF(CD82=1,_xll.RiskBinomial(1,Prob_illness_Adv_infection),0)</f>
        <v>0</v>
      </c>
      <c r="CG82" s="77" t="e">
        <f t="shared" ca="1" si="71"/>
        <v>#VALUE!</v>
      </c>
      <c r="CH82" s="33" t="e">
        <f ca="1">INT(CG82) + _xll.RiskBinomial(1,CG82-INT(CG82))</f>
        <v>#VALUE!</v>
      </c>
      <c r="CI82" s="26" t="e">
        <f t="shared" ca="1" si="63"/>
        <v>#VALUE!</v>
      </c>
      <c r="CJ82" s="31" t="e">
        <f ca="1">_xll.RiskBinomial(1,CI82)</f>
        <v>#VALUE!</v>
      </c>
      <c r="CK82" s="78" t="e">
        <f ca="1">IF(CJ82=1,_xll.RiskBinomial(1,Prob_illness_Adv_infection),0)</f>
        <v>#VALUE!</v>
      </c>
    </row>
    <row r="83" spans="2:89" x14ac:dyDescent="0.2">
      <c r="B83" s="97">
        <v>75</v>
      </c>
      <c r="C83" s="100">
        <f ca="1" xml:space="preserve"> _xll.RiskPert(Dur_event_hours_min,Dur_event_hours_mode,Dur_event_hours_max)</f>
        <v>2.0963805299997418</v>
      </c>
      <c r="D83" s="26">
        <f ca="1">_xll.RiskPert(Primary_Ing_Rate_mL_per_hour_min,Primary_Ing_Rate_mL_per_hour_mode,Primary_Ing_Rate_mL_per_hour_max)</f>
        <v>5.941480326232079</v>
      </c>
      <c r="E83" s="34">
        <f t="shared" ca="1" si="43"/>
        <v>12.455603675289444</v>
      </c>
      <c r="F83" s="26"/>
      <c r="G83" s="77">
        <f t="shared" ca="1" si="64"/>
        <v>1.1436077234975925E-9</v>
      </c>
      <c r="H83" s="33">
        <f ca="1">INT(G83) + _xll.RiskBinomial(1,G83-INT(G83))</f>
        <v>0</v>
      </c>
      <c r="I83" s="26">
        <f t="shared" ca="1" si="44"/>
        <v>0</v>
      </c>
      <c r="J83" s="31">
        <f ca="1">_xll.RiskBinomial(1,I83)</f>
        <v>0</v>
      </c>
      <c r="K83" s="78">
        <f ca="1">IF(J83=1,_xll.RiskBinomial(1,Prob_illness_Adv_infection),0)</f>
        <v>0</v>
      </c>
      <c r="L83" s="26"/>
      <c r="M83" s="77">
        <f t="shared" ca="1" si="45"/>
        <v>2.8402213464287768E-11</v>
      </c>
      <c r="N83" s="33">
        <f ca="1">INT(M83) + _xll.RiskBinomial(1,M83-INT(M83))</f>
        <v>0</v>
      </c>
      <c r="O83" s="26">
        <f t="shared" ca="1" si="46"/>
        <v>0</v>
      </c>
      <c r="P83" s="31">
        <f ca="1">_xll.RiskBinomial(1,O83)</f>
        <v>0</v>
      </c>
      <c r="Q83" s="78">
        <f ca="1">IF(P83=1,_xll.RiskBinomial(1,Prob_illness_Adv_infection),0)</f>
        <v>0</v>
      </c>
      <c r="R83" s="26"/>
      <c r="S83" s="77">
        <f t="shared" ca="1" si="47"/>
        <v>3.5965388714081858E-10</v>
      </c>
      <c r="T83" s="33">
        <f ca="1">INT(S83) + _xll.RiskBinomial(1,S83-INT(S83))</f>
        <v>0</v>
      </c>
      <c r="U83" s="26">
        <f t="shared" ca="1" si="48"/>
        <v>0</v>
      </c>
      <c r="V83" s="31">
        <f ca="1">_xll.RiskBinomial(1,U83)</f>
        <v>0</v>
      </c>
      <c r="W83" s="78">
        <f ca="1">IF(V83=1,_xll.RiskBinomial(1,Prob_illness_Adv_infection),0)</f>
        <v>0</v>
      </c>
      <c r="X83" s="26"/>
      <c r="Y83" s="77">
        <f t="shared" ca="1" si="49"/>
        <v>2.9913802550272423E-11</v>
      </c>
      <c r="Z83" s="33">
        <f ca="1">INT(Y83) + _xll.RiskBinomial(1,Y83-INT(Y83))</f>
        <v>0</v>
      </c>
      <c r="AA83" s="26">
        <f t="shared" ca="1" si="50"/>
        <v>0</v>
      </c>
      <c r="AB83" s="31">
        <f ca="1">_xll.RiskBinomial(1,AA83)</f>
        <v>0</v>
      </c>
      <c r="AC83" s="78">
        <f ca="1">IF(AB83=1,_xll.RiskBinomial(1,Prob_illness_Adv_infection),0)</f>
        <v>0</v>
      </c>
      <c r="AD83" s="26"/>
      <c r="AE83" s="77">
        <f t="shared" ca="1" si="51"/>
        <v>4.4922383766293648E-11</v>
      </c>
      <c r="AF83" s="33">
        <f ca="1">INT(AE83) + _xll.RiskBinomial(1,AE83-INT(AE83))</f>
        <v>0</v>
      </c>
      <c r="AG83" s="26">
        <f t="shared" ca="1" si="52"/>
        <v>0</v>
      </c>
      <c r="AH83" s="31">
        <f ca="1">_xll.RiskBinomial(1,AG83)</f>
        <v>0</v>
      </c>
      <c r="AI83" s="78">
        <f ca="1">IF(AH83=1,_xll.RiskBinomial(1,Prob_illness_Adv_infection),0)</f>
        <v>0</v>
      </c>
      <c r="AJ83" s="26"/>
      <c r="AK83" s="77">
        <f t="shared" ca="1" si="53"/>
        <v>2.9226891610688252E-10</v>
      </c>
      <c r="AL83" s="33">
        <f ca="1">INT(AK83) + _xll.RiskBinomial(1,AK83-INT(AK83))</f>
        <v>0</v>
      </c>
      <c r="AM83" s="26">
        <f t="shared" ca="1" si="54"/>
        <v>0</v>
      </c>
      <c r="AN83" s="31">
        <f ca="1">_xll.RiskBinomial(1,AM83)</f>
        <v>0</v>
      </c>
      <c r="AO83" s="78">
        <f ca="1">IF(AN83=1,_xll.RiskBinomial(1,Prob_illness_Adv_infection),0)</f>
        <v>0</v>
      </c>
      <c r="AP83" s="26"/>
      <c r="AQ83" s="77">
        <f t="shared" ca="1" si="55"/>
        <v>5.5453398929164806E-10</v>
      </c>
      <c r="AR83" s="33">
        <f ca="1">INT(AQ83) + _xll.RiskBinomial(1,AQ83-INT(AQ83))</f>
        <v>0</v>
      </c>
      <c r="AS83" s="26">
        <f t="shared" ca="1" si="56"/>
        <v>0</v>
      </c>
      <c r="AT83" s="31">
        <f ca="1">_xll.RiskBinomial(1,AS83)</f>
        <v>0</v>
      </c>
      <c r="AU83" s="78">
        <f ca="1">IF(AT83=1,_xll.RiskBinomial(1,Prob_illness_Adv_infection),0)</f>
        <v>0</v>
      </c>
      <c r="AV83" s="26"/>
      <c r="AW83" s="77">
        <f t="shared" ca="1" si="65"/>
        <v>9.7661156827834771E-12</v>
      </c>
      <c r="AX83" s="33">
        <f ca="1">INT(AW83) + _xll.RiskBinomial(1,AW83-INT(AW83))</f>
        <v>0</v>
      </c>
      <c r="AY83" s="26">
        <f t="shared" ca="1" si="57"/>
        <v>0</v>
      </c>
      <c r="AZ83" s="31">
        <f ca="1">_xll.RiskBinomial(1,AY83)</f>
        <v>0</v>
      </c>
      <c r="BA83" s="78">
        <f ca="1">IF(AZ83=1,_xll.RiskBinomial(1,Prob_illness_Adv_infection),0)</f>
        <v>0</v>
      </c>
      <c r="BC83" s="77">
        <f t="shared" ca="1" si="66"/>
        <v>5.0058617874878266E-11</v>
      </c>
      <c r="BD83" s="33">
        <f ca="1">INT(BC83) + _xll.RiskBinomial(1,BC83-INT(BC83))</f>
        <v>0</v>
      </c>
      <c r="BE83" s="26">
        <f t="shared" ca="1" si="58"/>
        <v>0</v>
      </c>
      <c r="BF83" s="31">
        <f ca="1">_xll.RiskBinomial(1,BE83)</f>
        <v>0</v>
      </c>
      <c r="BG83" s="78">
        <f ca="1">IF(BF83=1,_xll.RiskBinomial(1,Prob_illness_Adv_infection),0)</f>
        <v>0</v>
      </c>
      <c r="BI83" s="77">
        <f t="shared" ca="1" si="67"/>
        <v>2.3311369576326366E-11</v>
      </c>
      <c r="BJ83" s="33">
        <f ca="1">INT(BI83) + _xll.RiskBinomial(1,BI83-INT(BI83))</f>
        <v>0</v>
      </c>
      <c r="BK83" s="26">
        <f t="shared" ca="1" si="59"/>
        <v>0</v>
      </c>
      <c r="BL83" s="31">
        <f ca="1">_xll.RiskBinomial(1,BK83)</f>
        <v>0</v>
      </c>
      <c r="BM83" s="78">
        <f ca="1">IF(BL83=1,_xll.RiskBinomial(1,Prob_illness_Adv_infection),0)</f>
        <v>0</v>
      </c>
      <c r="BO83" s="77">
        <f t="shared" ca="1" si="68"/>
        <v>5.039936802873584E-11</v>
      </c>
      <c r="BP83" s="33">
        <f ca="1">INT(BO83) + _xll.RiskBinomial(1,BO83-INT(BO83))</f>
        <v>0</v>
      </c>
      <c r="BQ83" s="26">
        <f t="shared" ca="1" si="60"/>
        <v>0</v>
      </c>
      <c r="BR83" s="31">
        <f ca="1">_xll.RiskBinomial(1,BQ83)</f>
        <v>0</v>
      </c>
      <c r="BS83" s="78">
        <f ca="1">IF(BR83=1,_xll.RiskBinomial(1,Prob_illness_Adv_infection),0)</f>
        <v>0</v>
      </c>
      <c r="BU83" s="77">
        <f t="shared" ca="1" si="69"/>
        <v>3.6010477054931521E-13</v>
      </c>
      <c r="BV83" s="33">
        <f ca="1">INT(BU83) + _xll.RiskBinomial(1,BU83-INT(BU83))</f>
        <v>0</v>
      </c>
      <c r="BW83" s="26">
        <f t="shared" ca="1" si="61"/>
        <v>0</v>
      </c>
      <c r="BX83" s="31">
        <f ca="1">_xll.RiskBinomial(1,BW83)</f>
        <v>0</v>
      </c>
      <c r="BY83" s="78">
        <f ca="1">IF(BX83=1,_xll.RiskBinomial(1,Prob_illness_Adv_infection),0)</f>
        <v>0</v>
      </c>
      <c r="CA83" s="77">
        <f t="shared" ca="1" si="70"/>
        <v>5.4640971351721549E-11</v>
      </c>
      <c r="CB83" s="33">
        <f ca="1">INT(CA83) + _xll.RiskBinomial(1,CA83-INT(CA83))</f>
        <v>0</v>
      </c>
      <c r="CC83" s="26">
        <f t="shared" ca="1" si="62"/>
        <v>0</v>
      </c>
      <c r="CD83" s="31">
        <f ca="1">_xll.RiskBinomial(1,CC83)</f>
        <v>0</v>
      </c>
      <c r="CE83" s="78">
        <f ca="1">IF(CD83=1,_xll.RiskBinomial(1,Prob_illness_Adv_infection),0)</f>
        <v>0</v>
      </c>
      <c r="CG83" s="77" t="e">
        <f t="shared" ca="1" si="71"/>
        <v>#VALUE!</v>
      </c>
      <c r="CH83" s="33" t="e">
        <f ca="1">INT(CG83) + _xll.RiskBinomial(1,CG83-INT(CG83))</f>
        <v>#VALUE!</v>
      </c>
      <c r="CI83" s="26" t="e">
        <f t="shared" ca="1" si="63"/>
        <v>#VALUE!</v>
      </c>
      <c r="CJ83" s="31" t="e">
        <f ca="1">_xll.RiskBinomial(1,CI83)</f>
        <v>#VALUE!</v>
      </c>
      <c r="CK83" s="78" t="e">
        <f ca="1">IF(CJ83=1,_xll.RiskBinomial(1,Prob_illness_Adv_infection),0)</f>
        <v>#VALUE!</v>
      </c>
    </row>
    <row r="84" spans="2:89" x14ac:dyDescent="0.2">
      <c r="B84" s="97">
        <v>76</v>
      </c>
      <c r="C84" s="100">
        <f ca="1" xml:space="preserve"> _xll.RiskPert(Dur_event_hours_min,Dur_event_hours_mode,Dur_event_hours_max)</f>
        <v>1.5223312088800447</v>
      </c>
      <c r="D84" s="26">
        <f ca="1">_xll.RiskPert(Primary_Ing_Rate_mL_per_hour_min,Primary_Ing_Rate_mL_per_hour_mode,Primary_Ing_Rate_mL_per_hour_max)</f>
        <v>14.064273920165075</v>
      </c>
      <c r="E84" s="34">
        <f t="shared" ca="1" si="43"/>
        <v>21.410483118904985</v>
      </c>
      <c r="F84" s="26"/>
      <c r="G84" s="77">
        <f t="shared" ca="1" si="64"/>
        <v>1.9657974432159005E-9</v>
      </c>
      <c r="H84" s="33">
        <f ca="1">INT(G84) + _xll.RiskBinomial(1,G84-INT(G84))</f>
        <v>0</v>
      </c>
      <c r="I84" s="26">
        <f t="shared" ca="1" si="44"/>
        <v>0</v>
      </c>
      <c r="J84" s="31">
        <f ca="1">_xll.RiskBinomial(1,I84)</f>
        <v>0</v>
      </c>
      <c r="K84" s="78">
        <f ca="1">IF(J84=1,_xll.RiskBinomial(1,Prob_illness_Adv_infection),0)</f>
        <v>0</v>
      </c>
      <c r="L84" s="26"/>
      <c r="M84" s="77">
        <f t="shared" ca="1" si="45"/>
        <v>4.8821809666526502E-11</v>
      </c>
      <c r="N84" s="33">
        <f ca="1">INT(M84) + _xll.RiskBinomial(1,M84-INT(M84))</f>
        <v>0</v>
      </c>
      <c r="O84" s="26">
        <f t="shared" ca="1" si="46"/>
        <v>0</v>
      </c>
      <c r="P84" s="31">
        <f ca="1">_xll.RiskBinomial(1,O84)</f>
        <v>0</v>
      </c>
      <c r="Q84" s="78">
        <f ca="1">IF(P84=1,_xll.RiskBinomial(1,Prob_illness_Adv_infection),0)</f>
        <v>0</v>
      </c>
      <c r="R84" s="26"/>
      <c r="S84" s="77">
        <f t="shared" ca="1" si="47"/>
        <v>6.1822483117006473E-10</v>
      </c>
      <c r="T84" s="33">
        <f ca="1">INT(S84) + _xll.RiskBinomial(1,S84-INT(S84))</f>
        <v>0</v>
      </c>
      <c r="U84" s="26">
        <f t="shared" ca="1" si="48"/>
        <v>0</v>
      </c>
      <c r="V84" s="31">
        <f ca="1">_xll.RiskBinomial(1,U84)</f>
        <v>0</v>
      </c>
      <c r="W84" s="78">
        <f ca="1">IF(V84=1,_xll.RiskBinomial(1,Prob_illness_Adv_infection),0)</f>
        <v>0</v>
      </c>
      <c r="X84" s="26"/>
      <c r="Y84" s="77">
        <f t="shared" ca="1" si="49"/>
        <v>5.1420146403299981E-11</v>
      </c>
      <c r="Z84" s="33">
        <f ca="1">INT(Y84) + _xll.RiskBinomial(1,Y84-INT(Y84))</f>
        <v>0</v>
      </c>
      <c r="AA84" s="26">
        <f t="shared" ca="1" si="50"/>
        <v>0</v>
      </c>
      <c r="AB84" s="31">
        <f ca="1">_xll.RiskBinomial(1,AA84)</f>
        <v>0</v>
      </c>
      <c r="AC84" s="78">
        <f ca="1">IF(AB84=1,_xll.RiskBinomial(1,Prob_illness_Adv_infection),0)</f>
        <v>0</v>
      </c>
      <c r="AD84" s="26"/>
      <c r="AE84" s="77">
        <f t="shared" ca="1" si="51"/>
        <v>7.721905452060322E-11</v>
      </c>
      <c r="AF84" s="33">
        <f ca="1">INT(AE84) + _xll.RiskBinomial(1,AE84-INT(AE84))</f>
        <v>0</v>
      </c>
      <c r="AG84" s="26">
        <f t="shared" ca="1" si="52"/>
        <v>0</v>
      </c>
      <c r="AH84" s="31">
        <f ca="1">_xll.RiskBinomial(1,AG84)</f>
        <v>0</v>
      </c>
      <c r="AI84" s="78">
        <f ca="1">IF(AH84=1,_xll.RiskBinomial(1,Prob_illness_Adv_infection),0)</f>
        <v>0</v>
      </c>
      <c r="AJ84" s="26"/>
      <c r="AK84" s="77">
        <f t="shared" ca="1" si="53"/>
        <v>5.0239385080158718E-10</v>
      </c>
      <c r="AL84" s="33">
        <f ca="1">INT(AK84) + _xll.RiskBinomial(1,AK84-INT(AK84))</f>
        <v>0</v>
      </c>
      <c r="AM84" s="26">
        <f t="shared" ca="1" si="54"/>
        <v>0</v>
      </c>
      <c r="AN84" s="31">
        <f ca="1">_xll.RiskBinomial(1,AM84)</f>
        <v>0</v>
      </c>
      <c r="AO84" s="78">
        <f ca="1">IF(AN84=1,_xll.RiskBinomial(1,Prob_illness_Adv_infection),0)</f>
        <v>0</v>
      </c>
      <c r="AP84" s="26"/>
      <c r="AQ84" s="77">
        <f t="shared" ca="1" si="55"/>
        <v>9.532127808580074E-10</v>
      </c>
      <c r="AR84" s="33">
        <f ca="1">INT(AQ84) + _xll.RiskBinomial(1,AQ84-INT(AQ84))</f>
        <v>0</v>
      </c>
      <c r="AS84" s="26">
        <f t="shared" ca="1" si="56"/>
        <v>0</v>
      </c>
      <c r="AT84" s="31">
        <f ca="1">_xll.RiskBinomial(1,AS84)</f>
        <v>0</v>
      </c>
      <c r="AU84" s="78">
        <f ca="1">IF(AT84=1,_xll.RiskBinomial(1,Prob_illness_Adv_infection),0)</f>
        <v>0</v>
      </c>
      <c r="AV84" s="26"/>
      <c r="AW84" s="77">
        <f t="shared" ca="1" si="65"/>
        <v>1.6787404321344532E-11</v>
      </c>
      <c r="AX84" s="33">
        <f ca="1">INT(AW84) + _xll.RiskBinomial(1,AW84-INT(AW84))</f>
        <v>0</v>
      </c>
      <c r="AY84" s="26">
        <f t="shared" ca="1" si="57"/>
        <v>0</v>
      </c>
      <c r="AZ84" s="31">
        <f ca="1">_xll.RiskBinomial(1,AY84)</f>
        <v>0</v>
      </c>
      <c r="BA84" s="78">
        <f ca="1">IF(AZ84=1,_xll.RiskBinomial(1,Prob_illness_Adv_infection),0)</f>
        <v>0</v>
      </c>
      <c r="BC84" s="77">
        <f t="shared" ca="1" si="66"/>
        <v>8.6047952464326499E-11</v>
      </c>
      <c r="BD84" s="33">
        <f ca="1">INT(BC84) + _xll.RiskBinomial(1,BC84-INT(BC84))</f>
        <v>0</v>
      </c>
      <c r="BE84" s="26">
        <f t="shared" ca="1" si="58"/>
        <v>0</v>
      </c>
      <c r="BF84" s="31">
        <f ca="1">_xll.RiskBinomial(1,BE84)</f>
        <v>0</v>
      </c>
      <c r="BG84" s="78">
        <f ca="1">IF(BF84=1,_xll.RiskBinomial(1,Prob_illness_Adv_infection),0)</f>
        <v>0</v>
      </c>
      <c r="BI84" s="77">
        <f t="shared" ca="1" si="67"/>
        <v>4.0070934962603701E-11</v>
      </c>
      <c r="BJ84" s="33">
        <f ca="1">INT(BI84) + _xll.RiskBinomial(1,BI84-INT(BI84))</f>
        <v>0</v>
      </c>
      <c r="BK84" s="26">
        <f t="shared" ca="1" si="59"/>
        <v>0</v>
      </c>
      <c r="BL84" s="31">
        <f ca="1">_xll.RiskBinomial(1,BK84)</f>
        <v>0</v>
      </c>
      <c r="BM84" s="78">
        <f ca="1">IF(BL84=1,_xll.RiskBinomial(1,Prob_illness_Adv_infection),0)</f>
        <v>0</v>
      </c>
      <c r="BO84" s="77">
        <f t="shared" ca="1" si="68"/>
        <v>8.6633682839756273E-11</v>
      </c>
      <c r="BP84" s="33">
        <f ca="1">INT(BO84) + _xll.RiskBinomial(1,BO84-INT(BO84))</f>
        <v>0</v>
      </c>
      <c r="BQ84" s="26">
        <f t="shared" ca="1" si="60"/>
        <v>0</v>
      </c>
      <c r="BR84" s="31">
        <f ca="1">_xll.RiskBinomial(1,BQ84)</f>
        <v>0</v>
      </c>
      <c r="BS84" s="78">
        <f ca="1">IF(BR84=1,_xll.RiskBinomial(1,Prob_illness_Adv_infection),0)</f>
        <v>0</v>
      </c>
      <c r="BU84" s="77">
        <f t="shared" ca="1" si="69"/>
        <v>6.1899987442432018E-13</v>
      </c>
      <c r="BV84" s="33">
        <f ca="1">INT(BU84) + _xll.RiskBinomial(1,BU84-INT(BU84))</f>
        <v>0</v>
      </c>
      <c r="BW84" s="26">
        <f t="shared" ca="1" si="61"/>
        <v>0</v>
      </c>
      <c r="BX84" s="31">
        <f ca="1">_xll.RiskBinomial(1,BW84)</f>
        <v>0</v>
      </c>
      <c r="BY84" s="78">
        <f ca="1">IF(BX84=1,_xll.RiskBinomial(1,Prob_illness_Adv_infection),0)</f>
        <v>0</v>
      </c>
      <c r="CA84" s="77">
        <f t="shared" ca="1" si="70"/>
        <v>9.3924760712123336E-11</v>
      </c>
      <c r="CB84" s="33">
        <f ca="1">INT(CA84) + _xll.RiskBinomial(1,CA84-INT(CA84))</f>
        <v>0</v>
      </c>
      <c r="CC84" s="26">
        <f t="shared" ca="1" si="62"/>
        <v>0</v>
      </c>
      <c r="CD84" s="31">
        <f ca="1">_xll.RiskBinomial(1,CC84)</f>
        <v>0</v>
      </c>
      <c r="CE84" s="78">
        <f ca="1">IF(CD84=1,_xll.RiskBinomial(1,Prob_illness_Adv_infection),0)</f>
        <v>0</v>
      </c>
      <c r="CG84" s="77" t="e">
        <f t="shared" ca="1" si="71"/>
        <v>#VALUE!</v>
      </c>
      <c r="CH84" s="33" t="e">
        <f ca="1">INT(CG84) + _xll.RiskBinomial(1,CG84-INT(CG84))</f>
        <v>#VALUE!</v>
      </c>
      <c r="CI84" s="26" t="e">
        <f t="shared" ca="1" si="63"/>
        <v>#VALUE!</v>
      </c>
      <c r="CJ84" s="31" t="e">
        <f ca="1">_xll.RiskBinomial(1,CI84)</f>
        <v>#VALUE!</v>
      </c>
      <c r="CK84" s="78" t="e">
        <f ca="1">IF(CJ84=1,_xll.RiskBinomial(1,Prob_illness_Adv_infection),0)</f>
        <v>#VALUE!</v>
      </c>
    </row>
    <row r="85" spans="2:89" x14ac:dyDescent="0.2">
      <c r="B85" s="97">
        <v>77</v>
      </c>
      <c r="C85" s="100">
        <f ca="1" xml:space="preserve"> _xll.RiskPert(Dur_event_hours_min,Dur_event_hours_mode,Dur_event_hours_max)</f>
        <v>0.9409297364074376</v>
      </c>
      <c r="D85" s="26">
        <f ca="1">_xll.RiskPert(Primary_Ing_Rate_mL_per_hour_min,Primary_Ing_Rate_mL_per_hour_mode,Primary_Ing_Rate_mL_per_hour_max)</f>
        <v>18.610666993192783</v>
      </c>
      <c r="E85" s="34">
        <f t="shared" ca="1" si="43"/>
        <v>17.511329988271484</v>
      </c>
      <c r="F85" s="26"/>
      <c r="G85" s="77">
        <f t="shared" ca="1" si="64"/>
        <v>1.6077978029304074E-9</v>
      </c>
      <c r="H85" s="33">
        <f ca="1">INT(G85) + _xll.RiskBinomial(1,G85-INT(G85))</f>
        <v>0</v>
      </c>
      <c r="I85" s="26">
        <f t="shared" ca="1" si="44"/>
        <v>0</v>
      </c>
      <c r="J85" s="31">
        <f ca="1">_xll.RiskBinomial(1,I85)</f>
        <v>0</v>
      </c>
      <c r="K85" s="78">
        <f ca="1">IF(J85=1,_xll.RiskBinomial(1,Prob_illness_Adv_infection),0)</f>
        <v>0</v>
      </c>
      <c r="L85" s="26"/>
      <c r="M85" s="77">
        <f t="shared" ca="1" si="45"/>
        <v>3.9930664569649038E-11</v>
      </c>
      <c r="N85" s="33">
        <f ca="1">INT(M85) + _xll.RiskBinomial(1,M85-INT(M85))</f>
        <v>0</v>
      </c>
      <c r="O85" s="26">
        <f t="shared" ca="1" si="46"/>
        <v>0</v>
      </c>
      <c r="P85" s="31">
        <f ca="1">_xll.RiskBinomial(1,O85)</f>
        <v>0</v>
      </c>
      <c r="Q85" s="78">
        <f ca="1">IF(P85=1,_xll.RiskBinomial(1,Prob_illness_Adv_infection),0)</f>
        <v>0</v>
      </c>
      <c r="R85" s="26"/>
      <c r="S85" s="77">
        <f t="shared" ca="1" si="47"/>
        <v>5.0563730698833996E-10</v>
      </c>
      <c r="T85" s="33">
        <f ca="1">INT(S85) + _xll.RiskBinomial(1,S85-INT(S85))</f>
        <v>0</v>
      </c>
      <c r="U85" s="26">
        <f t="shared" ca="1" si="48"/>
        <v>0</v>
      </c>
      <c r="V85" s="31">
        <f ca="1">_xll.RiskBinomial(1,U85)</f>
        <v>0</v>
      </c>
      <c r="W85" s="78">
        <f ca="1">IF(V85=1,_xll.RiskBinomial(1,Prob_illness_Adv_infection),0)</f>
        <v>0</v>
      </c>
      <c r="X85" s="26"/>
      <c r="Y85" s="77">
        <f t="shared" ca="1" si="49"/>
        <v>4.2055807275005046E-11</v>
      </c>
      <c r="Z85" s="33">
        <f ca="1">INT(Y85) + _xll.RiskBinomial(1,Y85-INT(Y85))</f>
        <v>0</v>
      </c>
      <c r="AA85" s="26">
        <f t="shared" ca="1" si="50"/>
        <v>0</v>
      </c>
      <c r="AB85" s="31">
        <f ca="1">_xll.RiskBinomial(1,AA85)</f>
        <v>0</v>
      </c>
      <c r="AC85" s="78">
        <f ca="1">IF(AB85=1,_xll.RiskBinomial(1,Prob_illness_Adv_infection),0)</f>
        <v>0</v>
      </c>
      <c r="AD85" s="26"/>
      <c r="AE85" s="77">
        <f t="shared" ca="1" si="51"/>
        <v>6.315636772804252E-11</v>
      </c>
      <c r="AF85" s="33">
        <f ca="1">INT(AE85) + _xll.RiskBinomial(1,AE85-INT(AE85))</f>
        <v>0</v>
      </c>
      <c r="AG85" s="26">
        <f t="shared" ca="1" si="52"/>
        <v>0</v>
      </c>
      <c r="AH85" s="31">
        <f ca="1">_xll.RiskBinomial(1,AG85)</f>
        <v>0</v>
      </c>
      <c r="AI85" s="78">
        <f ca="1">IF(AH85=1,_xll.RiskBinomial(1,Prob_illness_Adv_infection),0)</f>
        <v>0</v>
      </c>
      <c r="AJ85" s="26"/>
      <c r="AK85" s="77">
        <f t="shared" ca="1" si="53"/>
        <v>4.109007936255745E-10</v>
      </c>
      <c r="AL85" s="33">
        <f ca="1">INT(AK85) + _xll.RiskBinomial(1,AK85-INT(AK85))</f>
        <v>0</v>
      </c>
      <c r="AM85" s="26">
        <f t="shared" ca="1" si="54"/>
        <v>0</v>
      </c>
      <c r="AN85" s="31">
        <f ca="1">_xll.RiskBinomial(1,AM85)</f>
        <v>0</v>
      </c>
      <c r="AO85" s="78">
        <f ca="1">IF(AN85=1,_xll.RiskBinomial(1,Prob_illness_Adv_infection),0)</f>
        <v>0</v>
      </c>
      <c r="AP85" s="26"/>
      <c r="AQ85" s="77">
        <f t="shared" ca="1" si="55"/>
        <v>7.7961919224063609E-10</v>
      </c>
      <c r="AR85" s="33">
        <f ca="1">INT(AQ85) + _xll.RiskBinomial(1,AQ85-INT(AQ85))</f>
        <v>0</v>
      </c>
      <c r="AS85" s="26">
        <f t="shared" ca="1" si="56"/>
        <v>0</v>
      </c>
      <c r="AT85" s="31">
        <f ca="1">_xll.RiskBinomial(1,AS85)</f>
        <v>0</v>
      </c>
      <c r="AU85" s="78">
        <f ca="1">IF(AT85=1,_xll.RiskBinomial(1,Prob_illness_Adv_infection),0)</f>
        <v>0</v>
      </c>
      <c r="AV85" s="26"/>
      <c r="AW85" s="77">
        <f t="shared" ca="1" si="65"/>
        <v>1.373017951463365E-11</v>
      </c>
      <c r="AX85" s="33">
        <f ca="1">INT(AW85) + _xll.RiskBinomial(1,AW85-INT(AW85))</f>
        <v>0</v>
      </c>
      <c r="AY85" s="26">
        <f t="shared" ca="1" si="57"/>
        <v>0</v>
      </c>
      <c r="AZ85" s="31">
        <f ca="1">_xll.RiskBinomial(1,AY85)</f>
        <v>0</v>
      </c>
      <c r="BA85" s="78">
        <f ca="1">IF(AZ85=1,_xll.RiskBinomial(1,Prob_illness_Adv_infection),0)</f>
        <v>0</v>
      </c>
      <c r="BC85" s="77">
        <f t="shared" ca="1" si="66"/>
        <v>7.0377397933979178E-11</v>
      </c>
      <c r="BD85" s="33">
        <f ca="1">INT(BC85) + _xll.RiskBinomial(1,BC85-INT(BC85))</f>
        <v>0</v>
      </c>
      <c r="BE85" s="26">
        <f t="shared" ca="1" si="58"/>
        <v>0</v>
      </c>
      <c r="BF85" s="31">
        <f ca="1">_xll.RiskBinomial(1,BE85)</f>
        <v>0</v>
      </c>
      <c r="BG85" s="78">
        <f ca="1">IF(BF85=1,_xll.RiskBinomial(1,Prob_illness_Adv_infection),0)</f>
        <v>0</v>
      </c>
      <c r="BI85" s="77">
        <f t="shared" ca="1" si="67"/>
        <v>3.2773448463156669E-11</v>
      </c>
      <c r="BJ85" s="33">
        <f ca="1">INT(BI85) + _xll.RiskBinomial(1,BI85-INT(BI85))</f>
        <v>0</v>
      </c>
      <c r="BK85" s="26">
        <f t="shared" ca="1" si="59"/>
        <v>0</v>
      </c>
      <c r="BL85" s="31">
        <f ca="1">_xll.RiskBinomial(1,BK85)</f>
        <v>0</v>
      </c>
      <c r="BM85" s="78">
        <f ca="1">IF(BL85=1,_xll.RiskBinomial(1,Prob_illness_Adv_infection),0)</f>
        <v>0</v>
      </c>
      <c r="BO85" s="77">
        <f t="shared" ca="1" si="68"/>
        <v>7.0856458487229762E-11</v>
      </c>
      <c r="BP85" s="33">
        <f ca="1">INT(BO85) + _xll.RiskBinomial(1,BO85-INT(BO85))</f>
        <v>0</v>
      </c>
      <c r="BQ85" s="26">
        <f t="shared" ca="1" si="60"/>
        <v>0</v>
      </c>
      <c r="BR85" s="31">
        <f ca="1">_xll.RiskBinomial(1,BQ85)</f>
        <v>0</v>
      </c>
      <c r="BS85" s="78">
        <f ca="1">IF(BR85=1,_xll.RiskBinomial(1,Prob_illness_Adv_infection),0)</f>
        <v>0</v>
      </c>
      <c r="BU85" s="77">
        <f t="shared" ca="1" si="69"/>
        <v>5.062712038558267E-13</v>
      </c>
      <c r="BV85" s="33">
        <f ca="1">INT(BU85) + _xll.RiskBinomial(1,BU85-INT(BU85))</f>
        <v>0</v>
      </c>
      <c r="BW85" s="26">
        <f t="shared" ca="1" si="61"/>
        <v>0</v>
      </c>
      <c r="BX85" s="31">
        <f ca="1">_xll.RiskBinomial(1,BW85)</f>
        <v>0</v>
      </c>
      <c r="BY85" s="78">
        <f ca="1">IF(BX85=1,_xll.RiskBinomial(1,Prob_illness_Adv_infection),0)</f>
        <v>0</v>
      </c>
      <c r="CA85" s="77">
        <f t="shared" ca="1" si="70"/>
        <v>7.6819727502886331E-11</v>
      </c>
      <c r="CB85" s="33">
        <f ca="1">INT(CA85) + _xll.RiskBinomial(1,CA85-INT(CA85))</f>
        <v>0</v>
      </c>
      <c r="CC85" s="26">
        <f t="shared" ca="1" si="62"/>
        <v>0</v>
      </c>
      <c r="CD85" s="31">
        <f ca="1">_xll.RiskBinomial(1,CC85)</f>
        <v>0</v>
      </c>
      <c r="CE85" s="78">
        <f ca="1">IF(CD85=1,_xll.RiskBinomial(1,Prob_illness_Adv_infection),0)</f>
        <v>0</v>
      </c>
      <c r="CG85" s="77" t="e">
        <f t="shared" ca="1" si="71"/>
        <v>#VALUE!</v>
      </c>
      <c r="CH85" s="33" t="e">
        <f ca="1">INT(CG85) + _xll.RiskBinomial(1,CG85-INT(CG85))</f>
        <v>#VALUE!</v>
      </c>
      <c r="CI85" s="26" t="e">
        <f t="shared" ca="1" si="63"/>
        <v>#VALUE!</v>
      </c>
      <c r="CJ85" s="31" t="e">
        <f ca="1">_xll.RiskBinomial(1,CI85)</f>
        <v>#VALUE!</v>
      </c>
      <c r="CK85" s="78" t="e">
        <f ca="1">IF(CJ85=1,_xll.RiskBinomial(1,Prob_illness_Adv_infection),0)</f>
        <v>#VALUE!</v>
      </c>
    </row>
    <row r="86" spans="2:89" x14ac:dyDescent="0.2">
      <c r="B86" s="97">
        <v>78</v>
      </c>
      <c r="C86" s="100">
        <f ca="1" xml:space="preserve"> _xll.RiskPert(Dur_event_hours_min,Dur_event_hours_mode,Dur_event_hours_max)</f>
        <v>2.4065253167967189</v>
      </c>
      <c r="D86" s="26">
        <f ca="1">_xll.RiskPert(Primary_Ing_Rate_mL_per_hour_min,Primary_Ing_Rate_mL_per_hour_mode,Primary_Ing_Rate_mL_per_hour_max)</f>
        <v>15.943059127109301</v>
      </c>
      <c r="E86" s="34">
        <f t="shared" ca="1" si="43"/>
        <v>38.367375416575527</v>
      </c>
      <c r="F86" s="26"/>
      <c r="G86" s="77">
        <f t="shared" ca="1" si="64"/>
        <v>3.5226897066237789E-9</v>
      </c>
      <c r="H86" s="33">
        <f ca="1">INT(G86) + _xll.RiskBinomial(1,G86-INT(G86))</f>
        <v>0</v>
      </c>
      <c r="I86" s="26">
        <f t="shared" ca="1" si="44"/>
        <v>0</v>
      </c>
      <c r="J86" s="31">
        <f ca="1">_xll.RiskBinomial(1,I86)</f>
        <v>0</v>
      </c>
      <c r="K86" s="78">
        <f ca="1">IF(J86=1,_xll.RiskBinomial(1,Prob_illness_Adv_infection),0)</f>
        <v>0</v>
      </c>
      <c r="L86" s="26"/>
      <c r="M86" s="77">
        <f t="shared" ca="1" si="45"/>
        <v>8.7488203306269867E-11</v>
      </c>
      <c r="N86" s="33">
        <f ca="1">INT(M86) + _xll.RiskBinomial(1,M86-INT(M86))</f>
        <v>0</v>
      </c>
      <c r="O86" s="26">
        <f t="shared" ca="1" si="46"/>
        <v>0</v>
      </c>
      <c r="P86" s="31">
        <f ca="1">_xll.RiskBinomial(1,O86)</f>
        <v>0</v>
      </c>
      <c r="Q86" s="78">
        <f ca="1">IF(P86=1,_xll.RiskBinomial(1,Prob_illness_Adv_infection),0)</f>
        <v>0</v>
      </c>
      <c r="R86" s="26"/>
      <c r="S86" s="77">
        <f t="shared" ca="1" si="47"/>
        <v>1.1078528241339383E-9</v>
      </c>
      <c r="T86" s="33">
        <f ca="1">INT(S86) + _xll.RiskBinomial(1,S86-INT(S86))</f>
        <v>0</v>
      </c>
      <c r="U86" s="26">
        <f t="shared" ca="1" si="48"/>
        <v>0</v>
      </c>
      <c r="V86" s="31">
        <f ca="1">_xll.RiskBinomial(1,U86)</f>
        <v>0</v>
      </c>
      <c r="W86" s="78">
        <f ca="1">IF(V86=1,_xll.RiskBinomial(1,Prob_illness_Adv_infection),0)</f>
        <v>0</v>
      </c>
      <c r="X86" s="26"/>
      <c r="Y86" s="77">
        <f t="shared" ca="1" si="49"/>
        <v>9.2144397213003457E-11</v>
      </c>
      <c r="Z86" s="33">
        <f ca="1">INT(Y86) + _xll.RiskBinomial(1,Y86-INT(Y86))</f>
        <v>0</v>
      </c>
      <c r="AA86" s="26">
        <f t="shared" ca="1" si="50"/>
        <v>0</v>
      </c>
      <c r="AB86" s="31">
        <f ca="1">_xll.RiskBinomial(1,AA86)</f>
        <v>0</v>
      </c>
      <c r="AC86" s="78">
        <f ca="1">IF(AB86=1,_xll.RiskBinomial(1,Prob_illness_Adv_infection),0)</f>
        <v>0</v>
      </c>
      <c r="AD86" s="26"/>
      <c r="AE86" s="77">
        <f t="shared" ca="1" si="51"/>
        <v>1.3837578711565859E-10</v>
      </c>
      <c r="AF86" s="33">
        <f ca="1">INT(AE86) + _xll.RiskBinomial(1,AE86-INT(AE86))</f>
        <v>0</v>
      </c>
      <c r="AG86" s="26">
        <f t="shared" ca="1" si="52"/>
        <v>0</v>
      </c>
      <c r="AH86" s="31">
        <f ca="1">_xll.RiskBinomial(1,AG86)</f>
        <v>0</v>
      </c>
      <c r="AI86" s="78">
        <f ca="1">IF(AH86=1,_xll.RiskBinomial(1,Prob_illness_Adv_infection),0)</f>
        <v>0</v>
      </c>
      <c r="AJ86" s="26"/>
      <c r="AK86" s="77">
        <f t="shared" ca="1" si="53"/>
        <v>9.0028484521508329E-10</v>
      </c>
      <c r="AL86" s="33">
        <f ca="1">INT(AK86) + _xll.RiskBinomial(1,AK86-INT(AK86))</f>
        <v>0</v>
      </c>
      <c r="AM86" s="26">
        <f t="shared" ca="1" si="54"/>
        <v>0</v>
      </c>
      <c r="AN86" s="31">
        <f ca="1">_xll.RiskBinomial(1,AM86)</f>
        <v>0</v>
      </c>
      <c r="AO86" s="78">
        <f ca="1">IF(AN86=1,_xll.RiskBinomial(1,Prob_illness_Adv_infection),0)</f>
        <v>0</v>
      </c>
      <c r="AP86" s="26"/>
      <c r="AQ86" s="77">
        <f t="shared" ca="1" si="55"/>
        <v>1.7081479391170112E-9</v>
      </c>
      <c r="AR86" s="33">
        <f ca="1">INT(AQ86) + _xll.RiskBinomial(1,AQ86-INT(AQ86))</f>
        <v>0</v>
      </c>
      <c r="AS86" s="26">
        <f t="shared" ca="1" si="56"/>
        <v>0</v>
      </c>
      <c r="AT86" s="31">
        <f ca="1">_xll.RiskBinomial(1,AS86)</f>
        <v>0</v>
      </c>
      <c r="AU86" s="78">
        <f ca="1">IF(AT86=1,_xll.RiskBinomial(1,Prob_illness_Adv_infection),0)</f>
        <v>0</v>
      </c>
      <c r="AV86" s="26"/>
      <c r="AW86" s="77">
        <f t="shared" ca="1" si="65"/>
        <v>3.0082863627591469E-11</v>
      </c>
      <c r="AX86" s="33">
        <f ca="1">INT(AW86) + _xll.RiskBinomial(1,AW86-INT(AW86))</f>
        <v>0</v>
      </c>
      <c r="AY86" s="26">
        <f t="shared" ca="1" si="57"/>
        <v>0</v>
      </c>
      <c r="AZ86" s="31">
        <f ca="1">_xll.RiskBinomial(1,AY86)</f>
        <v>0</v>
      </c>
      <c r="BA86" s="78">
        <f ca="1">IF(AZ86=1,_xll.RiskBinomial(1,Prob_illness_Adv_infection),0)</f>
        <v>0</v>
      </c>
      <c r="BC86" s="77">
        <f t="shared" ca="1" si="66"/>
        <v>1.5419708549740134E-10</v>
      </c>
      <c r="BD86" s="33">
        <f ca="1">INT(BC86) + _xll.RiskBinomial(1,BC86-INT(BC86))</f>
        <v>0</v>
      </c>
      <c r="BE86" s="26">
        <f t="shared" ca="1" si="58"/>
        <v>0</v>
      </c>
      <c r="BF86" s="31">
        <f ca="1">_xll.RiskBinomial(1,BE86)</f>
        <v>0</v>
      </c>
      <c r="BG86" s="78">
        <f ca="1">IF(BF86=1,_xll.RiskBinomial(1,Prob_illness_Adv_infection),0)</f>
        <v>0</v>
      </c>
      <c r="BI86" s="77">
        <f t="shared" ca="1" si="67"/>
        <v>7.1806721803764108E-11</v>
      </c>
      <c r="BJ86" s="33">
        <f ca="1">INT(BI86) + _xll.RiskBinomial(1,BI86-INT(BI86))</f>
        <v>0</v>
      </c>
      <c r="BK86" s="26">
        <f t="shared" ca="1" si="59"/>
        <v>0</v>
      </c>
      <c r="BL86" s="31">
        <f ca="1">_xll.RiskBinomial(1,BK86)</f>
        <v>0</v>
      </c>
      <c r="BM86" s="78">
        <f ca="1">IF(BL86=1,_xll.RiskBinomial(1,Prob_illness_Adv_infection),0)</f>
        <v>0</v>
      </c>
      <c r="BO86" s="77">
        <f t="shared" ca="1" si="68"/>
        <v>1.5524670857606801E-10</v>
      </c>
      <c r="BP86" s="33">
        <f ca="1">INT(BO86) + _xll.RiskBinomial(1,BO86-INT(BO86))</f>
        <v>0</v>
      </c>
      <c r="BQ86" s="26">
        <f t="shared" ca="1" si="60"/>
        <v>0</v>
      </c>
      <c r="BR86" s="31">
        <f ca="1">_xll.RiskBinomial(1,BQ86)</f>
        <v>0</v>
      </c>
      <c r="BS86" s="78">
        <f ca="1">IF(BR86=1,_xll.RiskBinomial(1,Prob_illness_Adv_infection),0)</f>
        <v>0</v>
      </c>
      <c r="BU86" s="77">
        <f t="shared" ca="1" si="69"/>
        <v>1.1092416940316869E-12</v>
      </c>
      <c r="BV86" s="33">
        <f ca="1">INT(BU86) + _xll.RiskBinomial(1,BU86-INT(BU86))</f>
        <v>0</v>
      </c>
      <c r="BW86" s="26">
        <f t="shared" ca="1" si="61"/>
        <v>0</v>
      </c>
      <c r="BX86" s="31">
        <f ca="1">_xll.RiskBinomial(1,BW86)</f>
        <v>0</v>
      </c>
      <c r="BY86" s="78">
        <f ca="1">IF(BX86=1,_xll.RiskBinomial(1,Prob_illness_Adv_infection),0)</f>
        <v>0</v>
      </c>
      <c r="CA86" s="77">
        <f t="shared" ca="1" si="70"/>
        <v>1.6831224849719153E-10</v>
      </c>
      <c r="CB86" s="33">
        <f ca="1">INT(CA86) + _xll.RiskBinomial(1,CA86-INT(CA86))</f>
        <v>0</v>
      </c>
      <c r="CC86" s="26">
        <f t="shared" ca="1" si="62"/>
        <v>0</v>
      </c>
      <c r="CD86" s="31">
        <f ca="1">_xll.RiskBinomial(1,CC86)</f>
        <v>0</v>
      </c>
      <c r="CE86" s="78">
        <f ca="1">IF(CD86=1,_xll.RiskBinomial(1,Prob_illness_Adv_infection),0)</f>
        <v>0</v>
      </c>
      <c r="CG86" s="77" t="e">
        <f t="shared" ca="1" si="71"/>
        <v>#VALUE!</v>
      </c>
      <c r="CH86" s="33" t="e">
        <f ca="1">INT(CG86) + _xll.RiskBinomial(1,CG86-INT(CG86))</f>
        <v>#VALUE!</v>
      </c>
      <c r="CI86" s="26" t="e">
        <f t="shared" ca="1" si="63"/>
        <v>#VALUE!</v>
      </c>
      <c r="CJ86" s="31" t="e">
        <f ca="1">_xll.RiskBinomial(1,CI86)</f>
        <v>#VALUE!</v>
      </c>
      <c r="CK86" s="78" t="e">
        <f ca="1">IF(CJ86=1,_xll.RiskBinomial(1,Prob_illness_Adv_infection),0)</f>
        <v>#VALUE!</v>
      </c>
    </row>
    <row r="87" spans="2:89" x14ac:dyDescent="0.2">
      <c r="B87" s="97">
        <v>79</v>
      </c>
      <c r="C87" s="100">
        <f ca="1" xml:space="preserve"> _xll.RiskPert(Dur_event_hours_min,Dur_event_hours_mode,Dur_event_hours_max)</f>
        <v>0.79788484958508454</v>
      </c>
      <c r="D87" s="26">
        <f ca="1">_xll.RiskPert(Primary_Ing_Rate_mL_per_hour_min,Primary_Ing_Rate_mL_per_hour_mode,Primary_Ing_Rate_mL_per_hour_max)</f>
        <v>29.05148273100184</v>
      </c>
      <c r="E87" s="34">
        <f t="shared" ca="1" si="43"/>
        <v>23.179737929049086</v>
      </c>
      <c r="F87" s="26"/>
      <c r="G87" s="77">
        <f t="shared" ca="1" si="64"/>
        <v>2.1282410724821507E-9</v>
      </c>
      <c r="H87" s="33">
        <f ca="1">INT(G87) + _xll.RiskBinomial(1,G87-INT(G87))</f>
        <v>0</v>
      </c>
      <c r="I87" s="26">
        <f t="shared" ca="1" si="44"/>
        <v>0</v>
      </c>
      <c r="J87" s="31">
        <f ca="1">_xll.RiskBinomial(1,I87)</f>
        <v>0</v>
      </c>
      <c r="K87" s="78">
        <f ca="1">IF(J87=1,_xll.RiskBinomial(1,Prob_illness_Adv_infection),0)</f>
        <v>0</v>
      </c>
      <c r="L87" s="26"/>
      <c r="M87" s="77">
        <f t="shared" ca="1" si="45"/>
        <v>5.2856198853950847E-11</v>
      </c>
      <c r="N87" s="33">
        <f ca="1">INT(M87) + _xll.RiskBinomial(1,M87-INT(M87))</f>
        <v>0</v>
      </c>
      <c r="O87" s="26">
        <f t="shared" ca="1" si="46"/>
        <v>0</v>
      </c>
      <c r="P87" s="31">
        <f ca="1">_xll.RiskBinomial(1,O87)</f>
        <v>0</v>
      </c>
      <c r="Q87" s="78">
        <f ca="1">IF(P87=1,_xll.RiskBinomial(1,Prob_illness_Adv_infection),0)</f>
        <v>0</v>
      </c>
      <c r="R87" s="26"/>
      <c r="S87" s="77">
        <f t="shared" ca="1" si="47"/>
        <v>6.6931182674245162E-10</v>
      </c>
      <c r="T87" s="33">
        <f ca="1">INT(S87) + _xll.RiskBinomial(1,S87-INT(S87))</f>
        <v>0</v>
      </c>
      <c r="U87" s="26">
        <f t="shared" ca="1" si="48"/>
        <v>0</v>
      </c>
      <c r="V87" s="31">
        <f ca="1">_xll.RiskBinomial(1,U87)</f>
        <v>0</v>
      </c>
      <c r="W87" s="78">
        <f ca="1">IF(V87=1,_xll.RiskBinomial(1,Prob_illness_Adv_infection),0)</f>
        <v>0</v>
      </c>
      <c r="X87" s="26"/>
      <c r="Y87" s="77">
        <f t="shared" ca="1" si="49"/>
        <v>5.5669249090853214E-11</v>
      </c>
      <c r="Z87" s="33">
        <f ca="1">INT(Y87) + _xll.RiskBinomial(1,Y87-INT(Y87))</f>
        <v>0</v>
      </c>
      <c r="AA87" s="26">
        <f t="shared" ca="1" si="50"/>
        <v>0</v>
      </c>
      <c r="AB87" s="31">
        <f ca="1">_xll.RiskBinomial(1,AA87)</f>
        <v>0</v>
      </c>
      <c r="AC87" s="78">
        <f ca="1">IF(AB87=1,_xll.RiskBinomial(1,Prob_illness_Adv_infection),0)</f>
        <v>0</v>
      </c>
      <c r="AD87" s="26"/>
      <c r="AE87" s="77">
        <f t="shared" ca="1" si="51"/>
        <v>8.3600049423269596E-11</v>
      </c>
      <c r="AF87" s="33">
        <f ca="1">INT(AE87) + _xll.RiskBinomial(1,AE87-INT(AE87))</f>
        <v>0</v>
      </c>
      <c r="AG87" s="26">
        <f t="shared" ca="1" si="52"/>
        <v>0</v>
      </c>
      <c r="AH87" s="31">
        <f ca="1">_xll.RiskBinomial(1,AG87)</f>
        <v>0</v>
      </c>
      <c r="AI87" s="78">
        <f ca="1">IF(AH87=1,_xll.RiskBinomial(1,Prob_illness_Adv_infection),0)</f>
        <v>0</v>
      </c>
      <c r="AJ87" s="26"/>
      <c r="AK87" s="77">
        <f t="shared" ca="1" si="53"/>
        <v>5.4390915581274227E-10</v>
      </c>
      <c r="AL87" s="33">
        <f ca="1">INT(AK87) + _xll.RiskBinomial(1,AK87-INT(AK87))</f>
        <v>0</v>
      </c>
      <c r="AM87" s="26">
        <f t="shared" ca="1" si="54"/>
        <v>0</v>
      </c>
      <c r="AN87" s="31">
        <f ca="1">_xll.RiskBinomial(1,AM87)</f>
        <v>0</v>
      </c>
      <c r="AO87" s="78">
        <f ca="1">IF(AN87=1,_xll.RiskBinomial(1,Prob_illness_Adv_infection),0)</f>
        <v>0</v>
      </c>
      <c r="AP87" s="26"/>
      <c r="AQ87" s="77">
        <f t="shared" ca="1" si="55"/>
        <v>1.0319814984183666E-9</v>
      </c>
      <c r="AR87" s="33">
        <f ca="1">INT(AQ87) + _xll.RiskBinomial(1,AQ87-INT(AQ87))</f>
        <v>0</v>
      </c>
      <c r="AS87" s="26">
        <f t="shared" ca="1" si="56"/>
        <v>0</v>
      </c>
      <c r="AT87" s="31">
        <f ca="1">_xll.RiskBinomial(1,AS87)</f>
        <v>0</v>
      </c>
      <c r="AU87" s="78">
        <f ca="1">IF(AT87=1,_xll.RiskBinomial(1,Prob_illness_Adv_infection),0)</f>
        <v>0</v>
      </c>
      <c r="AV87" s="26"/>
      <c r="AW87" s="77">
        <f t="shared" ca="1" si="65"/>
        <v>1.8174631114893492E-11</v>
      </c>
      <c r="AX87" s="33">
        <f ca="1">INT(AW87) + _xll.RiskBinomial(1,AW87-INT(AW87))</f>
        <v>0</v>
      </c>
      <c r="AY87" s="26">
        <f t="shared" ca="1" si="57"/>
        <v>0</v>
      </c>
      <c r="AZ87" s="31">
        <f ca="1">_xll.RiskBinomial(1,AY87)</f>
        <v>0</v>
      </c>
      <c r="BA87" s="78">
        <f ca="1">IF(AZ87=1,_xll.RiskBinomial(1,Prob_illness_Adv_infection),0)</f>
        <v>0</v>
      </c>
      <c r="BC87" s="77">
        <f t="shared" ca="1" si="66"/>
        <v>9.3158523157901139E-11</v>
      </c>
      <c r="BD87" s="33">
        <f ca="1">INT(BC87) + _xll.RiskBinomial(1,BC87-INT(BC87))</f>
        <v>0</v>
      </c>
      <c r="BE87" s="26">
        <f t="shared" ca="1" si="58"/>
        <v>0</v>
      </c>
      <c r="BF87" s="31">
        <f ca="1">_xll.RiskBinomial(1,BE87)</f>
        <v>0</v>
      </c>
      <c r="BG87" s="78">
        <f ca="1">IF(BF87=1,_xll.RiskBinomial(1,Prob_illness_Adv_infection),0)</f>
        <v>0</v>
      </c>
      <c r="BI87" s="77">
        <f t="shared" ca="1" si="67"/>
        <v>4.3382195807855654E-11</v>
      </c>
      <c r="BJ87" s="33">
        <f ca="1">INT(BI87) + _xll.RiskBinomial(1,BI87-INT(BI87))</f>
        <v>0</v>
      </c>
      <c r="BK87" s="26">
        <f t="shared" ca="1" si="59"/>
        <v>0</v>
      </c>
      <c r="BL87" s="31">
        <f ca="1">_xll.RiskBinomial(1,BK87)</f>
        <v>0</v>
      </c>
      <c r="BM87" s="78">
        <f ca="1">IF(BL87=1,_xll.RiskBinomial(1,Prob_illness_Adv_infection),0)</f>
        <v>0</v>
      </c>
      <c r="BO87" s="77">
        <f t="shared" ca="1" si="68"/>
        <v>9.3792655350254981E-11</v>
      </c>
      <c r="BP87" s="33">
        <f ca="1">INT(BO87) + _xll.RiskBinomial(1,BO87-INT(BO87))</f>
        <v>0</v>
      </c>
      <c r="BQ87" s="26">
        <f t="shared" ca="1" si="60"/>
        <v>0</v>
      </c>
      <c r="BR87" s="31">
        <f ca="1">_xll.RiskBinomial(1,BQ87)</f>
        <v>0</v>
      </c>
      <c r="BS87" s="78">
        <f ca="1">IF(BR87=1,_xll.RiskBinomial(1,Prob_illness_Adv_infection),0)</f>
        <v>0</v>
      </c>
      <c r="BU87" s="77">
        <f t="shared" ca="1" si="69"/>
        <v>6.7015091567928438E-13</v>
      </c>
      <c r="BV87" s="33">
        <f ca="1">INT(BU87) + _xll.RiskBinomial(1,BU87-INT(BU87))</f>
        <v>0</v>
      </c>
      <c r="BW87" s="26">
        <f t="shared" ca="1" si="61"/>
        <v>0</v>
      </c>
      <c r="BX87" s="31">
        <f ca="1">_xll.RiskBinomial(1,BW87)</f>
        <v>0</v>
      </c>
      <c r="BY87" s="78">
        <f ca="1">IF(BX87=1,_xll.RiskBinomial(1,Prob_illness_Adv_infection),0)</f>
        <v>0</v>
      </c>
      <c r="CA87" s="77">
        <f t="shared" ca="1" si="70"/>
        <v>1.01686231285145E-10</v>
      </c>
      <c r="CB87" s="33">
        <f ca="1">INT(CA87) + _xll.RiskBinomial(1,CA87-INT(CA87))</f>
        <v>0</v>
      </c>
      <c r="CC87" s="26">
        <f t="shared" ca="1" si="62"/>
        <v>0</v>
      </c>
      <c r="CD87" s="31">
        <f ca="1">_xll.RiskBinomial(1,CC87)</f>
        <v>0</v>
      </c>
      <c r="CE87" s="78">
        <f ca="1">IF(CD87=1,_xll.RiskBinomial(1,Prob_illness_Adv_infection),0)</f>
        <v>0</v>
      </c>
      <c r="CG87" s="77" t="e">
        <f t="shared" ca="1" si="71"/>
        <v>#VALUE!</v>
      </c>
      <c r="CH87" s="33" t="e">
        <f ca="1">INT(CG87) + _xll.RiskBinomial(1,CG87-INT(CG87))</f>
        <v>#VALUE!</v>
      </c>
      <c r="CI87" s="26" t="e">
        <f t="shared" ca="1" si="63"/>
        <v>#VALUE!</v>
      </c>
      <c r="CJ87" s="31" t="e">
        <f ca="1">_xll.RiskBinomial(1,CI87)</f>
        <v>#VALUE!</v>
      </c>
      <c r="CK87" s="78" t="e">
        <f ca="1">IF(CJ87=1,_xll.RiskBinomial(1,Prob_illness_Adv_infection),0)</f>
        <v>#VALUE!</v>
      </c>
    </row>
    <row r="88" spans="2:89" x14ac:dyDescent="0.2">
      <c r="B88" s="97">
        <v>80</v>
      </c>
      <c r="C88" s="100">
        <f ca="1" xml:space="preserve"> _xll.RiskPert(Dur_event_hours_min,Dur_event_hours_mode,Dur_event_hours_max)</f>
        <v>0.75190043778032867</v>
      </c>
      <c r="D88" s="26">
        <f ca="1">_xll.RiskPert(Primary_Ing_Rate_mL_per_hour_min,Primary_Ing_Rate_mL_per_hour_mode,Primary_Ing_Rate_mL_per_hour_max)</f>
        <v>7.4895941871479899</v>
      </c>
      <c r="E88" s="34">
        <f t="shared" ca="1" si="43"/>
        <v>5.6314291481135781</v>
      </c>
      <c r="F88" s="26"/>
      <c r="G88" s="77">
        <f t="shared" ca="1" si="64"/>
        <v>5.1704807217724026E-10</v>
      </c>
      <c r="H88" s="33">
        <f ca="1">INT(G88) + _xll.RiskBinomial(1,G88-INT(G88))</f>
        <v>0</v>
      </c>
      <c r="I88" s="26">
        <f t="shared" ca="1" si="44"/>
        <v>0</v>
      </c>
      <c r="J88" s="31">
        <f ca="1">_xll.RiskBinomial(1,I88)</f>
        <v>0</v>
      </c>
      <c r="K88" s="78">
        <f ca="1">IF(J88=1,_xll.RiskBinomial(1,Prob_illness_Adv_infection),0)</f>
        <v>0</v>
      </c>
      <c r="L88" s="26"/>
      <c r="M88" s="77">
        <f t="shared" ca="1" si="45"/>
        <v>1.2841212432846397E-11</v>
      </c>
      <c r="N88" s="33">
        <f ca="1">INT(M88) + _xll.RiskBinomial(1,M88-INT(M88))</f>
        <v>0</v>
      </c>
      <c r="O88" s="26">
        <f t="shared" ca="1" si="46"/>
        <v>0</v>
      </c>
      <c r="P88" s="31">
        <f ca="1">_xll.RiskBinomial(1,O88)</f>
        <v>0</v>
      </c>
      <c r="Q88" s="78">
        <f ca="1">IF(P88=1,_xll.RiskBinomial(1,Prob_illness_Adv_infection),0)</f>
        <v>0</v>
      </c>
      <c r="R88" s="26"/>
      <c r="S88" s="77">
        <f t="shared" ca="1" si="47"/>
        <v>1.6260676207089507E-10</v>
      </c>
      <c r="T88" s="33">
        <f ca="1">INT(S88) + _xll.RiskBinomial(1,S88-INT(S88))</f>
        <v>0</v>
      </c>
      <c r="U88" s="26">
        <f t="shared" ca="1" si="48"/>
        <v>0</v>
      </c>
      <c r="V88" s="31">
        <f ca="1">_xll.RiskBinomial(1,U88)</f>
        <v>0</v>
      </c>
      <c r="W88" s="78">
        <f ca="1">IF(V88=1,_xll.RiskBinomial(1,Prob_illness_Adv_infection),0)</f>
        <v>0</v>
      </c>
      <c r="X88" s="26"/>
      <c r="Y88" s="77">
        <f t="shared" ca="1" si="49"/>
        <v>1.3524632286327445E-11</v>
      </c>
      <c r="Z88" s="33">
        <f ca="1">INT(Y88) + _xll.RiskBinomial(1,Y88-INT(Y88))</f>
        <v>0</v>
      </c>
      <c r="AA88" s="26">
        <f t="shared" ca="1" si="50"/>
        <v>0</v>
      </c>
      <c r="AB88" s="31">
        <f ca="1">_xll.RiskBinomial(1,AA88)</f>
        <v>0</v>
      </c>
      <c r="AC88" s="78">
        <f ca="1">IF(AB88=1,_xll.RiskBinomial(1,Prob_illness_Adv_infection),0)</f>
        <v>0</v>
      </c>
      <c r="AD88" s="26"/>
      <c r="AE88" s="77">
        <f t="shared" ca="1" si="51"/>
        <v>2.0310313971062633E-11</v>
      </c>
      <c r="AF88" s="33">
        <f ca="1">INT(AE88) + _xll.RiskBinomial(1,AE88-INT(AE88))</f>
        <v>0</v>
      </c>
      <c r="AG88" s="26">
        <f t="shared" ca="1" si="52"/>
        <v>0</v>
      </c>
      <c r="AH88" s="31">
        <f ca="1">_xll.RiskBinomial(1,AG88)</f>
        <v>0</v>
      </c>
      <c r="AI88" s="78">
        <f ca="1">IF(AH88=1,_xll.RiskBinomial(1,Prob_illness_Adv_infection),0)</f>
        <v>0</v>
      </c>
      <c r="AJ88" s="26"/>
      <c r="AK88" s="77">
        <f t="shared" ca="1" si="53"/>
        <v>1.3214066023288212E-10</v>
      </c>
      <c r="AL88" s="33">
        <f ca="1">INT(AK88) + _xll.RiskBinomial(1,AK88-INT(AK88))</f>
        <v>0</v>
      </c>
      <c r="AM88" s="26">
        <f t="shared" ca="1" si="54"/>
        <v>0</v>
      </c>
      <c r="AN88" s="31">
        <f ca="1">_xll.RiskBinomial(1,AM88)</f>
        <v>0</v>
      </c>
      <c r="AO88" s="78">
        <f ca="1">IF(AN88=1,_xll.RiskBinomial(1,Prob_illness_Adv_infection),0)</f>
        <v>0</v>
      </c>
      <c r="AP88" s="26"/>
      <c r="AQ88" s="77">
        <f t="shared" ca="1" si="55"/>
        <v>2.507159791148478E-10</v>
      </c>
      <c r="AR88" s="33">
        <f ca="1">INT(AQ88) + _xll.RiskBinomial(1,AQ88-INT(AQ88))</f>
        <v>0</v>
      </c>
      <c r="AS88" s="26">
        <f t="shared" ca="1" si="56"/>
        <v>0</v>
      </c>
      <c r="AT88" s="31">
        <f ca="1">_xll.RiskBinomial(1,AS88)</f>
        <v>0</v>
      </c>
      <c r="AU88" s="78">
        <f ca="1">IF(AT88=1,_xll.RiskBinomial(1,Prob_illness_Adv_infection),0)</f>
        <v>0</v>
      </c>
      <c r="AV88" s="26"/>
      <c r="AW88" s="77">
        <f t="shared" ca="1" si="65"/>
        <v>4.4154574883419273E-12</v>
      </c>
      <c r="AX88" s="33">
        <f ca="1">INT(AW88) + _xll.RiskBinomial(1,AW88-INT(AW88))</f>
        <v>0</v>
      </c>
      <c r="AY88" s="26">
        <f t="shared" ca="1" si="57"/>
        <v>0</v>
      </c>
      <c r="AZ88" s="31">
        <f ca="1">_xll.RiskBinomial(1,AY88)</f>
        <v>0</v>
      </c>
      <c r="BA88" s="78">
        <f ca="1">IF(AZ88=1,_xll.RiskBinomial(1,Prob_illness_Adv_infection),0)</f>
        <v>0</v>
      </c>
      <c r="BC88" s="77">
        <f t="shared" ca="1" si="66"/>
        <v>2.2632508801972458E-11</v>
      </c>
      <c r="BD88" s="33">
        <f ca="1">INT(BC88) + _xll.RiskBinomial(1,BC88-INT(BC88))</f>
        <v>0</v>
      </c>
      <c r="BE88" s="26">
        <f t="shared" ca="1" si="58"/>
        <v>0</v>
      </c>
      <c r="BF88" s="31">
        <f ca="1">_xll.RiskBinomial(1,BE88)</f>
        <v>0</v>
      </c>
      <c r="BG88" s="78">
        <f ca="1">IF(BF88=1,_xll.RiskBinomial(1,Prob_illness_Adv_infection),0)</f>
        <v>0</v>
      </c>
      <c r="BI88" s="77">
        <f t="shared" ca="1" si="67"/>
        <v>1.0539539434368022E-11</v>
      </c>
      <c r="BJ88" s="33">
        <f ca="1">INT(BI88) + _xll.RiskBinomial(1,BI88-INT(BI88))</f>
        <v>0</v>
      </c>
      <c r="BK88" s="26">
        <f t="shared" ca="1" si="59"/>
        <v>0</v>
      </c>
      <c r="BL88" s="31">
        <f ca="1">_xll.RiskBinomial(1,BK88)</f>
        <v>0</v>
      </c>
      <c r="BM88" s="78">
        <f ca="1">IF(BL88=1,_xll.RiskBinomial(1,Prob_illness_Adv_infection),0)</f>
        <v>0</v>
      </c>
      <c r="BO88" s="77">
        <f t="shared" ca="1" si="68"/>
        <v>2.2786568805701113E-11</v>
      </c>
      <c r="BP88" s="33">
        <f ca="1">INT(BO88) + _xll.RiskBinomial(1,BO88-INT(BO88))</f>
        <v>0</v>
      </c>
      <c r="BQ88" s="26">
        <f t="shared" ca="1" si="60"/>
        <v>0</v>
      </c>
      <c r="BR88" s="31">
        <f ca="1">_xll.RiskBinomial(1,BQ88)</f>
        <v>0</v>
      </c>
      <c r="BS88" s="78">
        <f ca="1">IF(BR88=1,_xll.RiskBinomial(1,Prob_illness_Adv_infection),0)</f>
        <v>0</v>
      </c>
      <c r="BU88" s="77">
        <f t="shared" ca="1" si="69"/>
        <v>1.6281061553598616E-13</v>
      </c>
      <c r="BV88" s="33">
        <f ca="1">INT(BU88) + _xll.RiskBinomial(1,BU88-INT(BU88))</f>
        <v>0</v>
      </c>
      <c r="BW88" s="26">
        <f t="shared" ca="1" si="61"/>
        <v>0</v>
      </c>
      <c r="BX88" s="31">
        <f ca="1">_xll.RiskBinomial(1,BW88)</f>
        <v>0</v>
      </c>
      <c r="BY88" s="78">
        <f ca="1">IF(BX88=1,_xll.RiskBinomial(1,Prob_illness_Adv_infection),0)</f>
        <v>0</v>
      </c>
      <c r="CA88" s="77">
        <f t="shared" ca="1" si="70"/>
        <v>2.4704283049867769E-11</v>
      </c>
      <c r="CB88" s="33">
        <f ca="1">INT(CA88) + _xll.RiskBinomial(1,CA88-INT(CA88))</f>
        <v>0</v>
      </c>
      <c r="CC88" s="26">
        <f t="shared" ca="1" si="62"/>
        <v>0</v>
      </c>
      <c r="CD88" s="31">
        <f ca="1">_xll.RiskBinomial(1,CC88)</f>
        <v>0</v>
      </c>
      <c r="CE88" s="78">
        <f ca="1">IF(CD88=1,_xll.RiskBinomial(1,Prob_illness_Adv_infection),0)</f>
        <v>0</v>
      </c>
      <c r="CG88" s="77" t="e">
        <f t="shared" ca="1" si="71"/>
        <v>#VALUE!</v>
      </c>
      <c r="CH88" s="33" t="e">
        <f ca="1">INT(CG88) + _xll.RiskBinomial(1,CG88-INT(CG88))</f>
        <v>#VALUE!</v>
      </c>
      <c r="CI88" s="26" t="e">
        <f t="shared" ca="1" si="63"/>
        <v>#VALUE!</v>
      </c>
      <c r="CJ88" s="31" t="e">
        <f ca="1">_xll.RiskBinomial(1,CI88)</f>
        <v>#VALUE!</v>
      </c>
      <c r="CK88" s="78" t="e">
        <f ca="1">IF(CJ88=1,_xll.RiskBinomial(1,Prob_illness_Adv_infection),0)</f>
        <v>#VALUE!</v>
      </c>
    </row>
    <row r="89" spans="2:89" x14ac:dyDescent="0.2">
      <c r="B89" s="97">
        <v>81</v>
      </c>
      <c r="C89" s="100">
        <f ca="1" xml:space="preserve"> _xll.RiskPert(Dur_event_hours_min,Dur_event_hours_mode,Dur_event_hours_max)</f>
        <v>1.7845416306136701</v>
      </c>
      <c r="D89" s="26">
        <f ca="1">_xll.RiskPert(Primary_Ing_Rate_mL_per_hour_min,Primary_Ing_Rate_mL_per_hour_mode,Primary_Ing_Rate_mL_per_hour_max)</f>
        <v>10.165597805368041</v>
      </c>
      <c r="E89" s="34">
        <f t="shared" ca="1" si="43"/>
        <v>18.140932483754231</v>
      </c>
      <c r="F89" s="26"/>
      <c r="G89" s="77">
        <f t="shared" ca="1" si="64"/>
        <v>1.6656045777233355E-9</v>
      </c>
      <c r="H89" s="33">
        <f ca="1">INT(G89) + _xll.RiskBinomial(1,G89-INT(G89))</f>
        <v>0</v>
      </c>
      <c r="I89" s="26">
        <f t="shared" ca="1" si="44"/>
        <v>0</v>
      </c>
      <c r="J89" s="31">
        <f ca="1">_xll.RiskBinomial(1,I89)</f>
        <v>0</v>
      </c>
      <c r="K89" s="78">
        <f ca="1">IF(J89=1,_xll.RiskBinomial(1,Prob_illness_Adv_infection),0)</f>
        <v>0</v>
      </c>
      <c r="L89" s="26"/>
      <c r="M89" s="77">
        <f t="shared" ca="1" si="45"/>
        <v>4.1366331996176536E-11</v>
      </c>
      <c r="N89" s="33">
        <f ca="1">INT(M89) + _xll.RiskBinomial(1,M89-INT(M89))</f>
        <v>0</v>
      </c>
      <c r="O89" s="26">
        <f t="shared" ca="1" si="46"/>
        <v>0</v>
      </c>
      <c r="P89" s="31">
        <f ca="1">_xll.RiskBinomial(1,O89)</f>
        <v>0</v>
      </c>
      <c r="Q89" s="78">
        <f ca="1">IF(P89=1,_xll.RiskBinomial(1,Prob_illness_Adv_infection),0)</f>
        <v>0</v>
      </c>
      <c r="R89" s="26"/>
      <c r="S89" s="77">
        <f t="shared" ca="1" si="47"/>
        <v>5.2381699468209341E-10</v>
      </c>
      <c r="T89" s="33">
        <f ca="1">INT(S89) + _xll.RiskBinomial(1,S89-INT(S89))</f>
        <v>0</v>
      </c>
      <c r="U89" s="26">
        <f t="shared" ca="1" si="48"/>
        <v>0</v>
      </c>
      <c r="V89" s="31">
        <f ca="1">_xll.RiskBinomial(1,U89)</f>
        <v>0</v>
      </c>
      <c r="W89" s="78">
        <f ca="1">IF(V89=1,_xll.RiskBinomial(1,Prob_illness_Adv_infection),0)</f>
        <v>0</v>
      </c>
      <c r="X89" s="26"/>
      <c r="Y89" s="77">
        <f t="shared" ca="1" si="49"/>
        <v>4.3567882098997231E-11</v>
      </c>
      <c r="Z89" s="33">
        <f ca="1">INT(Y89) + _xll.RiskBinomial(1,Y89-INT(Y89))</f>
        <v>0</v>
      </c>
      <c r="AA89" s="26">
        <f t="shared" ca="1" si="50"/>
        <v>0</v>
      </c>
      <c r="AB89" s="31">
        <f ca="1">_xll.RiskBinomial(1,AA89)</f>
        <v>0</v>
      </c>
      <c r="AC89" s="78">
        <f ca="1">IF(AB89=1,_xll.RiskBinomial(1,Prob_illness_Adv_infection),0)</f>
        <v>0</v>
      </c>
      <c r="AD89" s="26"/>
      <c r="AE89" s="77">
        <f t="shared" ca="1" si="51"/>
        <v>6.5427092267745325E-11</v>
      </c>
      <c r="AF89" s="33">
        <f ca="1">INT(AE89) + _xll.RiskBinomial(1,AE89-INT(AE89))</f>
        <v>0</v>
      </c>
      <c r="AG89" s="26">
        <f t="shared" ca="1" si="52"/>
        <v>0</v>
      </c>
      <c r="AH89" s="31">
        <f ca="1">_xll.RiskBinomial(1,AG89)</f>
        <v>0</v>
      </c>
      <c r="AI89" s="78">
        <f ca="1">IF(AH89=1,_xll.RiskBinomial(1,Prob_illness_Adv_infection),0)</f>
        <v>0</v>
      </c>
      <c r="AJ89" s="26"/>
      <c r="AK89" s="77">
        <f t="shared" ca="1" si="53"/>
        <v>4.2567432397625457E-10</v>
      </c>
      <c r="AL89" s="33">
        <f ca="1">INT(AK89) + _xll.RiskBinomial(1,AK89-INT(AK89))</f>
        <v>0</v>
      </c>
      <c r="AM89" s="26">
        <f t="shared" ca="1" si="54"/>
        <v>0</v>
      </c>
      <c r="AN89" s="31">
        <f ca="1">_xll.RiskBinomial(1,AM89)</f>
        <v>0</v>
      </c>
      <c r="AO89" s="78">
        <f ca="1">IF(AN89=1,_xll.RiskBinomial(1,Prob_illness_Adv_infection),0)</f>
        <v>0</v>
      </c>
      <c r="AP89" s="26"/>
      <c r="AQ89" s="77">
        <f t="shared" ca="1" si="55"/>
        <v>8.0764962678157062E-10</v>
      </c>
      <c r="AR89" s="33">
        <f ca="1">INT(AQ89) + _xll.RiskBinomial(1,AQ89-INT(AQ89))</f>
        <v>0</v>
      </c>
      <c r="AS89" s="26">
        <f t="shared" ca="1" si="56"/>
        <v>0</v>
      </c>
      <c r="AT89" s="31">
        <f ca="1">_xll.RiskBinomial(1,AS89)</f>
        <v>0</v>
      </c>
      <c r="AU89" s="78">
        <f ca="1">IF(AT89=1,_xll.RiskBinomial(1,Prob_illness_Adv_infection),0)</f>
        <v>0</v>
      </c>
      <c r="AV89" s="26"/>
      <c r="AW89" s="77">
        <f t="shared" ca="1" si="65"/>
        <v>1.4223834496387136E-11</v>
      </c>
      <c r="AX89" s="33">
        <f ca="1">INT(AW89) + _xll.RiskBinomial(1,AW89-INT(AW89))</f>
        <v>0</v>
      </c>
      <c r="AY89" s="26">
        <f t="shared" ca="1" si="57"/>
        <v>0</v>
      </c>
      <c r="AZ89" s="31">
        <f ca="1">_xll.RiskBinomial(1,AY89)</f>
        <v>0</v>
      </c>
      <c r="BA89" s="78">
        <f ca="1">IF(AZ89=1,_xll.RiskBinomial(1,Prob_illness_Adv_infection),0)</f>
        <v>0</v>
      </c>
      <c r="BC89" s="77">
        <f t="shared" ca="1" si="66"/>
        <v>7.2907747450234803E-11</v>
      </c>
      <c r="BD89" s="33">
        <f ca="1">INT(BC89) + _xll.RiskBinomial(1,BC89-INT(BC89))</f>
        <v>0</v>
      </c>
      <c r="BE89" s="26">
        <f t="shared" ca="1" si="58"/>
        <v>0</v>
      </c>
      <c r="BF89" s="31">
        <f ca="1">_xll.RiskBinomial(1,BE89)</f>
        <v>0</v>
      </c>
      <c r="BG89" s="78">
        <f ca="1">IF(BF89=1,_xll.RiskBinomial(1,Prob_illness_Adv_infection),0)</f>
        <v>0</v>
      </c>
      <c r="BI89" s="77">
        <f t="shared" ca="1" si="67"/>
        <v>3.3951785285762305E-11</v>
      </c>
      <c r="BJ89" s="33">
        <f ca="1">INT(BI89) + _xll.RiskBinomial(1,BI89-INT(BI89))</f>
        <v>0</v>
      </c>
      <c r="BK89" s="26">
        <f t="shared" ca="1" si="59"/>
        <v>0</v>
      </c>
      <c r="BL89" s="31">
        <f ca="1">_xll.RiskBinomial(1,BK89)</f>
        <v>0</v>
      </c>
      <c r="BM89" s="78">
        <f ca="1">IF(BL89=1,_xll.RiskBinomial(1,Prob_illness_Adv_infection),0)</f>
        <v>0</v>
      </c>
      <c r="BO89" s="77">
        <f t="shared" ca="1" si="68"/>
        <v>7.3404032150367219E-11</v>
      </c>
      <c r="BP89" s="33">
        <f ca="1">INT(BO89) + _xll.RiskBinomial(1,BO89-INT(BO89))</f>
        <v>0</v>
      </c>
      <c r="BQ89" s="26">
        <f t="shared" ca="1" si="60"/>
        <v>0</v>
      </c>
      <c r="BR89" s="31">
        <f ca="1">_xll.RiskBinomial(1,BQ89)</f>
        <v>0</v>
      </c>
      <c r="BS89" s="78">
        <f ca="1">IF(BR89=1,_xll.RiskBinomial(1,Prob_illness_Adv_infection),0)</f>
        <v>0</v>
      </c>
      <c r="BU89" s="77">
        <f t="shared" ca="1" si="69"/>
        <v>5.2447368268251606E-13</v>
      </c>
      <c r="BV89" s="33">
        <f ca="1">INT(BU89) + _xll.RiskBinomial(1,BU89-INT(BU89))</f>
        <v>0</v>
      </c>
      <c r="BW89" s="26">
        <f t="shared" ca="1" si="61"/>
        <v>0</v>
      </c>
      <c r="BX89" s="31">
        <f ca="1">_xll.RiskBinomial(1,BW89)</f>
        <v>0</v>
      </c>
      <c r="BY89" s="78">
        <f ca="1">IF(BX89=1,_xll.RiskBinomial(1,Prob_illness_Adv_infection),0)</f>
        <v>0</v>
      </c>
      <c r="CA89" s="77">
        <f t="shared" ca="1" si="70"/>
        <v>7.9581704586895126E-11</v>
      </c>
      <c r="CB89" s="33">
        <f ca="1">INT(CA89) + _xll.RiskBinomial(1,CA89-INT(CA89))</f>
        <v>0</v>
      </c>
      <c r="CC89" s="26">
        <f t="shared" ca="1" si="62"/>
        <v>0</v>
      </c>
      <c r="CD89" s="31">
        <f ca="1">_xll.RiskBinomial(1,CC89)</f>
        <v>0</v>
      </c>
      <c r="CE89" s="78">
        <f ca="1">IF(CD89=1,_xll.RiskBinomial(1,Prob_illness_Adv_infection),0)</f>
        <v>0</v>
      </c>
      <c r="CG89" s="77" t="e">
        <f t="shared" ca="1" si="71"/>
        <v>#VALUE!</v>
      </c>
      <c r="CH89" s="33" t="e">
        <f ca="1">INT(CG89) + _xll.RiskBinomial(1,CG89-INT(CG89))</f>
        <v>#VALUE!</v>
      </c>
      <c r="CI89" s="26" t="e">
        <f t="shared" ca="1" si="63"/>
        <v>#VALUE!</v>
      </c>
      <c r="CJ89" s="31" t="e">
        <f ca="1">_xll.RiskBinomial(1,CI89)</f>
        <v>#VALUE!</v>
      </c>
      <c r="CK89" s="78" t="e">
        <f ca="1">IF(CJ89=1,_xll.RiskBinomial(1,Prob_illness_Adv_infection),0)</f>
        <v>#VALUE!</v>
      </c>
    </row>
    <row r="90" spans="2:89" x14ac:dyDescent="0.2">
      <c r="B90" s="97">
        <v>82</v>
      </c>
      <c r="C90" s="100">
        <f ca="1" xml:space="preserve"> _xll.RiskPert(Dur_event_hours_min,Dur_event_hours_mode,Dur_event_hours_max)</f>
        <v>1.1580699451862231</v>
      </c>
      <c r="D90" s="26">
        <f ca="1">_xll.RiskPert(Primary_Ing_Rate_mL_per_hour_min,Primary_Ing_Rate_mL_per_hour_mode,Primary_Ing_Rate_mL_per_hour_max)</f>
        <v>23.074333933655602</v>
      </c>
      <c r="E90" s="34">
        <f t="shared" ca="1" si="43"/>
        <v>26.721692633757151</v>
      </c>
      <c r="F90" s="26"/>
      <c r="G90" s="77">
        <f t="shared" ca="1" si="64"/>
        <v>2.4534446404648686E-9</v>
      </c>
      <c r="H90" s="33">
        <f ca="1">INT(G90) + _xll.RiskBinomial(1,G90-INT(G90))</f>
        <v>0</v>
      </c>
      <c r="I90" s="26">
        <f t="shared" ca="1" si="44"/>
        <v>0</v>
      </c>
      <c r="J90" s="31">
        <f ca="1">_xll.RiskBinomial(1,I90)</f>
        <v>0</v>
      </c>
      <c r="K90" s="78">
        <f ca="1">IF(J90=1,_xll.RiskBinomial(1,Prob_illness_Adv_infection),0)</f>
        <v>0</v>
      </c>
      <c r="L90" s="26"/>
      <c r="M90" s="77">
        <f t="shared" ca="1" si="45"/>
        <v>6.0932832971937022E-11</v>
      </c>
      <c r="N90" s="33">
        <f ca="1">INT(M90) + _xll.RiskBinomial(1,M90-INT(M90))</f>
        <v>0</v>
      </c>
      <c r="O90" s="26">
        <f t="shared" ca="1" si="46"/>
        <v>0</v>
      </c>
      <c r="P90" s="31">
        <f ca="1">_xll.RiskBinomial(1,O90)</f>
        <v>0</v>
      </c>
      <c r="Q90" s="78">
        <f ca="1">IF(P90=1,_xll.RiskBinomial(1,Prob_illness_Adv_infection),0)</f>
        <v>0</v>
      </c>
      <c r="R90" s="26"/>
      <c r="S90" s="77">
        <f t="shared" ca="1" si="47"/>
        <v>7.7158529423822626E-10</v>
      </c>
      <c r="T90" s="33">
        <f ca="1">INT(S90) + _xll.RiskBinomial(1,S90-INT(S90))</f>
        <v>0</v>
      </c>
      <c r="U90" s="26">
        <f t="shared" ca="1" si="48"/>
        <v>0</v>
      </c>
      <c r="V90" s="31">
        <f ca="1">_xll.RiskBinomial(1,U90)</f>
        <v>0</v>
      </c>
      <c r="W90" s="78">
        <f ca="1">IF(V90=1,_xll.RiskBinomial(1,Prob_illness_Adv_infection),0)</f>
        <v>0</v>
      </c>
      <c r="X90" s="26"/>
      <c r="Y90" s="77">
        <f t="shared" ca="1" si="49"/>
        <v>6.4175728298187451E-11</v>
      </c>
      <c r="Z90" s="33">
        <f ca="1">INT(Y90) + _xll.RiskBinomial(1,Y90-INT(Y90))</f>
        <v>0</v>
      </c>
      <c r="AA90" s="26">
        <f t="shared" ca="1" si="50"/>
        <v>0</v>
      </c>
      <c r="AB90" s="31">
        <f ca="1">_xll.RiskBinomial(1,AA90)</f>
        <v>0</v>
      </c>
      <c r="AC90" s="78">
        <f ca="1">IF(AB90=1,_xll.RiskBinomial(1,Prob_illness_Adv_infection),0)</f>
        <v>0</v>
      </c>
      <c r="AD90" s="26"/>
      <c r="AE90" s="77">
        <f t="shared" ca="1" si="51"/>
        <v>9.6374464271053158E-11</v>
      </c>
      <c r="AF90" s="33">
        <f ca="1">INT(AE90) + _xll.RiskBinomial(1,AE90-INT(AE90))</f>
        <v>0</v>
      </c>
      <c r="AG90" s="26">
        <f t="shared" ca="1" si="52"/>
        <v>0</v>
      </c>
      <c r="AH90" s="31">
        <f ca="1">_xll.RiskBinomial(1,AG90)</f>
        <v>0</v>
      </c>
      <c r="AI90" s="78">
        <f ca="1">IF(AH90=1,_xll.RiskBinomial(1,Prob_illness_Adv_infection),0)</f>
        <v>0</v>
      </c>
      <c r="AJ90" s="26"/>
      <c r="AK90" s="77">
        <f t="shared" ca="1" si="53"/>
        <v>6.2702060423642883E-10</v>
      </c>
      <c r="AL90" s="33">
        <f ca="1">INT(AK90) + _xll.RiskBinomial(1,AK90-INT(AK90))</f>
        <v>0</v>
      </c>
      <c r="AM90" s="26">
        <f t="shared" ca="1" si="54"/>
        <v>0</v>
      </c>
      <c r="AN90" s="31">
        <f ca="1">_xll.RiskBinomial(1,AM90)</f>
        <v>0</v>
      </c>
      <c r="AO90" s="78">
        <f ca="1">IF(AN90=1,_xll.RiskBinomial(1,Prob_illness_Adv_infection),0)</f>
        <v>0</v>
      </c>
      <c r="AP90" s="26"/>
      <c r="AQ90" s="77">
        <f t="shared" ca="1" si="55"/>
        <v>1.1896723116054232E-9</v>
      </c>
      <c r="AR90" s="33">
        <f ca="1">INT(AQ90) + _xll.RiskBinomial(1,AQ90-INT(AQ90))</f>
        <v>0</v>
      </c>
      <c r="AS90" s="26">
        <f t="shared" ca="1" si="56"/>
        <v>0</v>
      </c>
      <c r="AT90" s="31">
        <f ca="1">_xll.RiskBinomial(1,AS90)</f>
        <v>0</v>
      </c>
      <c r="AU90" s="78">
        <f ca="1">IF(AT90=1,_xll.RiskBinomial(1,Prob_illness_Adv_infection),0)</f>
        <v>0</v>
      </c>
      <c r="AV90" s="26"/>
      <c r="AW90" s="77">
        <f t="shared" ca="1" si="65"/>
        <v>2.0951785903302757E-11</v>
      </c>
      <c r="AX90" s="33">
        <f ca="1">INT(AW90) + _xll.RiskBinomial(1,AW90-INT(AW90))</f>
        <v>0</v>
      </c>
      <c r="AY90" s="26">
        <f t="shared" ca="1" si="57"/>
        <v>0</v>
      </c>
      <c r="AZ90" s="31">
        <f ca="1">_xll.RiskBinomial(1,AY90)</f>
        <v>0</v>
      </c>
      <c r="BA90" s="78">
        <f ca="1">IF(AZ90=1,_xll.RiskBinomial(1,Prob_illness_Adv_infection),0)</f>
        <v>0</v>
      </c>
      <c r="BC90" s="77">
        <f t="shared" ca="1" si="66"/>
        <v>1.073935102139571E-10</v>
      </c>
      <c r="BD90" s="33">
        <f ca="1">INT(BC90) + _xll.RiskBinomial(1,BC90-INT(BC90))</f>
        <v>0</v>
      </c>
      <c r="BE90" s="26">
        <f t="shared" ca="1" si="58"/>
        <v>0</v>
      </c>
      <c r="BF90" s="31">
        <f ca="1">_xll.RiskBinomial(1,BE90)</f>
        <v>0</v>
      </c>
      <c r="BG90" s="78">
        <f ca="1">IF(BF90=1,_xll.RiskBinomial(1,Prob_illness_Adv_infection),0)</f>
        <v>0</v>
      </c>
      <c r="BI90" s="77">
        <f t="shared" ca="1" si="67"/>
        <v>5.0011165169482274E-11</v>
      </c>
      <c r="BJ90" s="33">
        <f ca="1">INT(BI90) + _xll.RiskBinomial(1,BI90-INT(BI90))</f>
        <v>0</v>
      </c>
      <c r="BK90" s="26">
        <f t="shared" ca="1" si="59"/>
        <v>0</v>
      </c>
      <c r="BL90" s="31">
        <f ca="1">_xll.RiskBinomial(1,BK90)</f>
        <v>0</v>
      </c>
      <c r="BM90" s="78">
        <f ca="1">IF(BL90=1,_xll.RiskBinomial(1,Prob_illness_Adv_infection),0)</f>
        <v>0</v>
      </c>
      <c r="BO90" s="77">
        <f t="shared" ca="1" si="68"/>
        <v>1.0812454028794314E-10</v>
      </c>
      <c r="BP90" s="33">
        <f ca="1">INT(BO90) + _xll.RiskBinomial(1,BO90-INT(BO90))</f>
        <v>0</v>
      </c>
      <c r="BQ90" s="26">
        <f t="shared" ca="1" si="60"/>
        <v>0</v>
      </c>
      <c r="BR90" s="31">
        <f ca="1">_xll.RiskBinomial(1,BQ90)</f>
        <v>0</v>
      </c>
      <c r="BS90" s="78">
        <f ca="1">IF(BR90=1,_xll.RiskBinomial(1,Prob_illness_Adv_infection),0)</f>
        <v>0</v>
      </c>
      <c r="BU90" s="77">
        <f t="shared" ca="1" si="69"/>
        <v>7.7255259924965738E-13</v>
      </c>
      <c r="BV90" s="33">
        <f ca="1">INT(BU90) + _xll.RiskBinomial(1,BU90-INT(BU90))</f>
        <v>0</v>
      </c>
      <c r="BW90" s="26">
        <f t="shared" ca="1" si="61"/>
        <v>0</v>
      </c>
      <c r="BX90" s="31">
        <f ca="1">_xll.RiskBinomial(1,BW90)</f>
        <v>0</v>
      </c>
      <c r="BY90" s="78">
        <f ca="1">IF(BX90=1,_xll.RiskBinomial(1,Prob_illness_Adv_infection),0)</f>
        <v>0</v>
      </c>
      <c r="CA90" s="77">
        <f t="shared" ca="1" si="70"/>
        <v>1.1722428552919603E-10</v>
      </c>
      <c r="CB90" s="33">
        <f ca="1">INT(CA90) + _xll.RiskBinomial(1,CA90-INT(CA90))</f>
        <v>0</v>
      </c>
      <c r="CC90" s="26">
        <f t="shared" ca="1" si="62"/>
        <v>0</v>
      </c>
      <c r="CD90" s="31">
        <f ca="1">_xll.RiskBinomial(1,CC90)</f>
        <v>0</v>
      </c>
      <c r="CE90" s="78">
        <f ca="1">IF(CD90=1,_xll.RiskBinomial(1,Prob_illness_Adv_infection),0)</f>
        <v>0</v>
      </c>
      <c r="CG90" s="77" t="e">
        <f t="shared" ca="1" si="71"/>
        <v>#VALUE!</v>
      </c>
      <c r="CH90" s="33" t="e">
        <f ca="1">INT(CG90) + _xll.RiskBinomial(1,CG90-INT(CG90))</f>
        <v>#VALUE!</v>
      </c>
      <c r="CI90" s="26" t="e">
        <f t="shared" ca="1" si="63"/>
        <v>#VALUE!</v>
      </c>
      <c r="CJ90" s="31" t="e">
        <f ca="1">_xll.RiskBinomial(1,CI90)</f>
        <v>#VALUE!</v>
      </c>
      <c r="CK90" s="78" t="e">
        <f ca="1">IF(CJ90=1,_xll.RiskBinomial(1,Prob_illness_Adv_infection),0)</f>
        <v>#VALUE!</v>
      </c>
    </row>
    <row r="91" spans="2:89" x14ac:dyDescent="0.2">
      <c r="B91" s="97">
        <v>83</v>
      </c>
      <c r="C91" s="100">
        <f ca="1" xml:space="preserve"> _xll.RiskPert(Dur_event_hours_min,Dur_event_hours_mode,Dur_event_hours_max)</f>
        <v>1.5173226275294698</v>
      </c>
      <c r="D91" s="26">
        <f ca="1">_xll.RiskPert(Primary_Ing_Rate_mL_per_hour_min,Primary_Ing_Rate_mL_per_hour_mode,Primary_Ing_Rate_mL_per_hour_max)</f>
        <v>13.089392816785367</v>
      </c>
      <c r="E91" s="34">
        <f t="shared" ca="1" si="43"/>
        <v>19.86083190153014</v>
      </c>
      <c r="F91" s="26"/>
      <c r="G91" s="77">
        <f t="shared" ca="1" si="64"/>
        <v>1.8235166556188163E-9</v>
      </c>
      <c r="H91" s="33">
        <f ca="1">INT(G91) + _xll.RiskBinomial(1,G91-INT(G91))</f>
        <v>0</v>
      </c>
      <c r="I91" s="26">
        <f t="shared" ca="1" si="44"/>
        <v>0</v>
      </c>
      <c r="J91" s="31">
        <f ca="1">_xll.RiskBinomial(1,I91)</f>
        <v>0</v>
      </c>
      <c r="K91" s="78">
        <f ca="1">IF(J91=1,_xll.RiskBinomial(1,Prob_illness_Adv_infection),0)</f>
        <v>0</v>
      </c>
      <c r="L91" s="26"/>
      <c r="M91" s="77">
        <f t="shared" ca="1" si="45"/>
        <v>4.5288177269536241E-11</v>
      </c>
      <c r="N91" s="33">
        <f ca="1">INT(M91) + _xll.RiskBinomial(1,M91-INT(M91))</f>
        <v>0</v>
      </c>
      <c r="O91" s="26">
        <f t="shared" ca="1" si="46"/>
        <v>0</v>
      </c>
      <c r="P91" s="31">
        <f ca="1">_xll.RiskBinomial(1,O91)</f>
        <v>0</v>
      </c>
      <c r="Q91" s="78">
        <f ca="1">IF(P91=1,_xll.RiskBinomial(1,Prob_illness_Adv_infection),0)</f>
        <v>0</v>
      </c>
      <c r="R91" s="26"/>
      <c r="S91" s="77">
        <f t="shared" ca="1" si="47"/>
        <v>5.7347885991320286E-10</v>
      </c>
      <c r="T91" s="33">
        <f ca="1">INT(S91) + _xll.RiskBinomial(1,S91-INT(S91))</f>
        <v>0</v>
      </c>
      <c r="U91" s="26">
        <f t="shared" ca="1" si="48"/>
        <v>0</v>
      </c>
      <c r="V91" s="31">
        <f ca="1">_xll.RiskBinomial(1,U91)</f>
        <v>0</v>
      </c>
      <c r="W91" s="78">
        <f ca="1">IF(V91=1,_xll.RiskBinomial(1,Prob_illness_Adv_infection),0)</f>
        <v>0</v>
      </c>
      <c r="X91" s="26"/>
      <c r="Y91" s="77">
        <f t="shared" ca="1" si="49"/>
        <v>4.7698451193110728E-11</v>
      </c>
      <c r="Z91" s="33">
        <f ca="1">INT(Y91) + _xll.RiskBinomial(1,Y91-INT(Y91))</f>
        <v>0</v>
      </c>
      <c r="AA91" s="26">
        <f t="shared" ca="1" si="50"/>
        <v>0</v>
      </c>
      <c r="AB91" s="31">
        <f ca="1">_xll.RiskBinomial(1,AA91)</f>
        <v>0</v>
      </c>
      <c r="AC91" s="78">
        <f ca="1">IF(AB91=1,_xll.RiskBinomial(1,Prob_illness_Adv_infection),0)</f>
        <v>0</v>
      </c>
      <c r="AD91" s="26"/>
      <c r="AE91" s="77">
        <f t="shared" ca="1" si="51"/>
        <v>7.1630081998225721E-11</v>
      </c>
      <c r="AF91" s="33">
        <f ca="1">INT(AE91) + _xll.RiskBinomial(1,AE91-INT(AE91))</f>
        <v>0</v>
      </c>
      <c r="AG91" s="26">
        <f t="shared" ca="1" si="52"/>
        <v>0</v>
      </c>
      <c r="AH91" s="31">
        <f ca="1">_xll.RiskBinomial(1,AG91)</f>
        <v>0</v>
      </c>
      <c r="AI91" s="78">
        <f ca="1">IF(AH91=1,_xll.RiskBinomial(1,Prob_illness_Adv_infection),0)</f>
        <v>0</v>
      </c>
      <c r="AJ91" s="26"/>
      <c r="AK91" s="77">
        <f t="shared" ca="1" si="53"/>
        <v>4.6603151193362929E-10</v>
      </c>
      <c r="AL91" s="33">
        <f ca="1">INT(AK91) + _xll.RiskBinomial(1,AK91-INT(AK91))</f>
        <v>0</v>
      </c>
      <c r="AM91" s="26">
        <f t="shared" ca="1" si="54"/>
        <v>0</v>
      </c>
      <c r="AN91" s="31">
        <f ca="1">_xll.RiskBinomial(1,AM91)</f>
        <v>0</v>
      </c>
      <c r="AO91" s="78">
        <f ca="1">IF(AN91=1,_xll.RiskBinomial(1,Prob_illness_Adv_infection),0)</f>
        <v>0</v>
      </c>
      <c r="AP91" s="26"/>
      <c r="AQ91" s="77">
        <f t="shared" ca="1" si="55"/>
        <v>8.8422100061323643E-10</v>
      </c>
      <c r="AR91" s="33">
        <f ca="1">INT(AQ91) + _xll.RiskBinomial(1,AQ91-INT(AQ91))</f>
        <v>0</v>
      </c>
      <c r="AS91" s="26">
        <f t="shared" ca="1" si="56"/>
        <v>0</v>
      </c>
      <c r="AT91" s="31">
        <f ca="1">_xll.RiskBinomial(1,AS91)</f>
        <v>0</v>
      </c>
      <c r="AU91" s="78">
        <f ca="1">IF(AT91=1,_xll.RiskBinomial(1,Prob_illness_Adv_infection),0)</f>
        <v>0</v>
      </c>
      <c r="AV91" s="26"/>
      <c r="AW91" s="77">
        <f t="shared" ca="1" si="65"/>
        <v>1.5572363007299408E-11</v>
      </c>
      <c r="AX91" s="33">
        <f ca="1">INT(AW91) + _xll.RiskBinomial(1,AW91-INT(AW91))</f>
        <v>0</v>
      </c>
      <c r="AY91" s="26">
        <f t="shared" ca="1" si="57"/>
        <v>0</v>
      </c>
      <c r="AZ91" s="31">
        <f ca="1">_xll.RiskBinomial(1,AY91)</f>
        <v>0</v>
      </c>
      <c r="BA91" s="78">
        <f ca="1">IF(AZ91=1,_xll.RiskBinomial(1,Prob_illness_Adv_infection),0)</f>
        <v>0</v>
      </c>
      <c r="BC91" s="77">
        <f t="shared" ca="1" si="66"/>
        <v>7.9819960618069824E-11</v>
      </c>
      <c r="BD91" s="33">
        <f ca="1">INT(BC91) + _xll.RiskBinomial(1,BC91-INT(BC91))</f>
        <v>0</v>
      </c>
      <c r="BE91" s="26">
        <f t="shared" ca="1" si="58"/>
        <v>0</v>
      </c>
      <c r="BF91" s="31">
        <f ca="1">_xll.RiskBinomial(1,BE91)</f>
        <v>0</v>
      </c>
      <c r="BG91" s="78">
        <f ca="1">IF(BF91=1,_xll.RiskBinomial(1,Prob_illness_Adv_infection),0)</f>
        <v>0</v>
      </c>
      <c r="BI91" s="77">
        <f t="shared" ca="1" si="67"/>
        <v>3.7170674711525215E-11</v>
      </c>
      <c r="BJ91" s="33">
        <f ca="1">INT(BI91) + _xll.RiskBinomial(1,BI91-INT(BI91))</f>
        <v>0</v>
      </c>
      <c r="BK91" s="26">
        <f t="shared" ca="1" si="59"/>
        <v>0</v>
      </c>
      <c r="BL91" s="31">
        <f ca="1">_xll.RiskBinomial(1,BK91)</f>
        <v>0</v>
      </c>
      <c r="BM91" s="78">
        <f ca="1">IF(BL91=1,_xll.RiskBinomial(1,Prob_illness_Adv_infection),0)</f>
        <v>0</v>
      </c>
      <c r="BO91" s="77">
        <f t="shared" ca="1" si="68"/>
        <v>8.0363296910923457E-11</v>
      </c>
      <c r="BP91" s="33">
        <f ca="1">INT(BO91) + _xll.RiskBinomial(1,BO91-INT(BO91))</f>
        <v>0</v>
      </c>
      <c r="BQ91" s="26">
        <f t="shared" ca="1" si="60"/>
        <v>0</v>
      </c>
      <c r="BR91" s="31">
        <f ca="1">_xll.RiskBinomial(1,BQ91)</f>
        <v>0</v>
      </c>
      <c r="BS91" s="78">
        <f ca="1">IF(BR91=1,_xll.RiskBinomial(1,Prob_illness_Adv_infection),0)</f>
        <v>0</v>
      </c>
      <c r="BU91" s="77">
        <f t="shared" ca="1" si="69"/>
        <v>5.7419780696842329E-13</v>
      </c>
      <c r="BV91" s="33">
        <f ca="1">INT(BU91) + _xll.RiskBinomial(1,BU91-INT(BU91))</f>
        <v>0</v>
      </c>
      <c r="BW91" s="26">
        <f t="shared" ca="1" si="61"/>
        <v>0</v>
      </c>
      <c r="BX91" s="31">
        <f ca="1">_xll.RiskBinomial(1,BW91)</f>
        <v>0</v>
      </c>
      <c r="BY91" s="78">
        <f ca="1">IF(BX91=1,_xll.RiskBinomial(1,Prob_illness_Adv_infection),0)</f>
        <v>0</v>
      </c>
      <c r="CA91" s="77">
        <f t="shared" ca="1" si="70"/>
        <v>8.7126660035419562E-11</v>
      </c>
      <c r="CB91" s="33">
        <f ca="1">INT(CA91) + _xll.RiskBinomial(1,CA91-INT(CA91))</f>
        <v>0</v>
      </c>
      <c r="CC91" s="26">
        <f t="shared" ca="1" si="62"/>
        <v>0</v>
      </c>
      <c r="CD91" s="31">
        <f ca="1">_xll.RiskBinomial(1,CC91)</f>
        <v>0</v>
      </c>
      <c r="CE91" s="78">
        <f ca="1">IF(CD91=1,_xll.RiskBinomial(1,Prob_illness_Adv_infection),0)</f>
        <v>0</v>
      </c>
      <c r="CG91" s="77" t="e">
        <f t="shared" ca="1" si="71"/>
        <v>#VALUE!</v>
      </c>
      <c r="CH91" s="33" t="e">
        <f ca="1">INT(CG91) + _xll.RiskBinomial(1,CG91-INT(CG91))</f>
        <v>#VALUE!</v>
      </c>
      <c r="CI91" s="26" t="e">
        <f t="shared" ca="1" si="63"/>
        <v>#VALUE!</v>
      </c>
      <c r="CJ91" s="31" t="e">
        <f ca="1">_xll.RiskBinomial(1,CI91)</f>
        <v>#VALUE!</v>
      </c>
      <c r="CK91" s="78" t="e">
        <f ca="1">IF(CJ91=1,_xll.RiskBinomial(1,Prob_illness_Adv_infection),0)</f>
        <v>#VALUE!</v>
      </c>
    </row>
    <row r="92" spans="2:89" x14ac:dyDescent="0.2">
      <c r="B92" s="97">
        <v>84</v>
      </c>
      <c r="C92" s="100">
        <f ca="1" xml:space="preserve"> _xll.RiskPert(Dur_event_hours_min,Dur_event_hours_mode,Dur_event_hours_max)</f>
        <v>2.2197883790651907</v>
      </c>
      <c r="D92" s="26">
        <f ca="1">_xll.RiskPert(Primary_Ing_Rate_mL_per_hour_min,Primary_Ing_Rate_mL_per_hour_mode,Primary_Ing_Rate_mL_per_hour_max)</f>
        <v>24.921143539478116</v>
      </c>
      <c r="E92" s="34">
        <f t="shared" ca="1" si="43"/>
        <v>55.319664821949075</v>
      </c>
      <c r="F92" s="26"/>
      <c r="G92" s="77">
        <f t="shared" ca="1" si="64"/>
        <v>5.0791593567791404E-9</v>
      </c>
      <c r="H92" s="33">
        <f ca="1">INT(G92) + _xll.RiskBinomial(1,G92-INT(G92))</f>
        <v>0</v>
      </c>
      <c r="I92" s="26">
        <f t="shared" ca="1" si="44"/>
        <v>0</v>
      </c>
      <c r="J92" s="31">
        <f ca="1">_xll.RiskBinomial(1,I92)</f>
        <v>0</v>
      </c>
      <c r="K92" s="78">
        <f ca="1">IF(J92=1,_xll.RiskBinomial(1,Prob_illness_Adv_infection),0)</f>
        <v>0</v>
      </c>
      <c r="L92" s="26"/>
      <c r="M92" s="77">
        <f t="shared" ca="1" si="45"/>
        <v>1.2614410108142244E-10</v>
      </c>
      <c r="N92" s="33">
        <f ca="1">INT(M92) + _xll.RiskBinomial(1,M92-INT(M92))</f>
        <v>0</v>
      </c>
      <c r="O92" s="26">
        <f t="shared" ca="1" si="46"/>
        <v>0</v>
      </c>
      <c r="P92" s="31">
        <f ca="1">_xll.RiskBinomial(1,O92)</f>
        <v>0</v>
      </c>
      <c r="Q92" s="78">
        <f ca="1">IF(P92=1,_xll.RiskBinomial(1,Prob_illness_Adv_infection),0)</f>
        <v>0</v>
      </c>
      <c r="R92" s="26"/>
      <c r="S92" s="77">
        <f t="shared" ca="1" si="47"/>
        <v>1.5973479091994987E-9</v>
      </c>
      <c r="T92" s="33">
        <f ca="1">INT(S92) + _xll.RiskBinomial(1,S92-INT(S92))</f>
        <v>0</v>
      </c>
      <c r="U92" s="26">
        <f t="shared" ca="1" si="48"/>
        <v>0</v>
      </c>
      <c r="V92" s="31">
        <f ca="1">_xll.RiskBinomial(1,U92)</f>
        <v>0</v>
      </c>
      <c r="W92" s="78">
        <f ca="1">IF(V92=1,_xll.RiskBinomial(1,Prob_illness_Adv_infection),0)</f>
        <v>0</v>
      </c>
      <c r="X92" s="26"/>
      <c r="Y92" s="77">
        <f t="shared" ca="1" si="49"/>
        <v>1.3285759355959766E-10</v>
      </c>
      <c r="Z92" s="33">
        <f ca="1">INT(Y92) + _xll.RiskBinomial(1,Y92-INT(Y92))</f>
        <v>0</v>
      </c>
      <c r="AA92" s="26">
        <f t="shared" ca="1" si="50"/>
        <v>0</v>
      </c>
      <c r="AB92" s="31">
        <f ca="1">_xll.RiskBinomial(1,AA92)</f>
        <v>0</v>
      </c>
      <c r="AC92" s="78">
        <f ca="1">IF(AB92=1,_xll.RiskBinomial(1,Prob_illness_Adv_infection),0)</f>
        <v>0</v>
      </c>
      <c r="AD92" s="26"/>
      <c r="AE92" s="77">
        <f t="shared" ca="1" si="51"/>
        <v>1.9951591891804331E-10</v>
      </c>
      <c r="AF92" s="33">
        <f ca="1">INT(AE92) + _xll.RiskBinomial(1,AE92-INT(AE92))</f>
        <v>0</v>
      </c>
      <c r="AG92" s="26">
        <f t="shared" ca="1" si="52"/>
        <v>0</v>
      </c>
      <c r="AH92" s="31">
        <f ca="1">_xll.RiskBinomial(1,AG92)</f>
        <v>0</v>
      </c>
      <c r="AI92" s="78">
        <f ca="1">IF(AH92=1,_xll.RiskBinomial(1,Prob_illness_Adv_infection),0)</f>
        <v>0</v>
      </c>
      <c r="AJ92" s="26"/>
      <c r="AK92" s="77">
        <f t="shared" ca="1" si="53"/>
        <v>1.2980678334349282E-9</v>
      </c>
      <c r="AL92" s="33">
        <f ca="1">INT(AK92) + _xll.RiskBinomial(1,AK92-INT(AK92))</f>
        <v>0</v>
      </c>
      <c r="AM92" s="26">
        <f t="shared" ca="1" si="54"/>
        <v>0</v>
      </c>
      <c r="AN92" s="31">
        <f ca="1">_xll.RiskBinomial(1,AM92)</f>
        <v>0</v>
      </c>
      <c r="AO92" s="78">
        <f ca="1">IF(AN92=1,_xll.RiskBinomial(1,Prob_illness_Adv_infection),0)</f>
        <v>0</v>
      </c>
      <c r="AP92" s="26"/>
      <c r="AQ92" s="77">
        <f t="shared" ca="1" si="55"/>
        <v>2.4628781727256908E-9</v>
      </c>
      <c r="AR92" s="33">
        <f ca="1">INT(AQ92) + _xll.RiskBinomial(1,AQ92-INT(AQ92))</f>
        <v>0</v>
      </c>
      <c r="AS92" s="26">
        <f t="shared" ca="1" si="56"/>
        <v>0</v>
      </c>
      <c r="AT92" s="31">
        <f ca="1">_xll.RiskBinomial(1,AS92)</f>
        <v>0</v>
      </c>
      <c r="AU92" s="78">
        <f ca="1">IF(AT92=1,_xll.RiskBinomial(1,Prob_illness_Adv_infection),0)</f>
        <v>0</v>
      </c>
      <c r="AV92" s="26"/>
      <c r="AW92" s="77">
        <f t="shared" ca="1" si="65"/>
        <v>4.3374713925409772E-11</v>
      </c>
      <c r="AX92" s="33">
        <f ca="1">INT(AW92) + _xll.RiskBinomial(1,AW92-INT(AW92))</f>
        <v>0</v>
      </c>
      <c r="AY92" s="26">
        <f t="shared" ca="1" si="57"/>
        <v>0</v>
      </c>
      <c r="AZ92" s="31">
        <f ca="1">_xll.RiskBinomial(1,AY92)</f>
        <v>0</v>
      </c>
      <c r="BA92" s="78">
        <f ca="1">IF(AZ92=1,_xll.RiskBinomial(1,Prob_illness_Adv_infection),0)</f>
        <v>0</v>
      </c>
      <c r="BC92" s="77">
        <f t="shared" ca="1" si="66"/>
        <v>2.2232771967384736E-10</v>
      </c>
      <c r="BD92" s="33">
        <f ca="1">INT(BC92) + _xll.RiskBinomial(1,BC92-INT(BC92))</f>
        <v>0</v>
      </c>
      <c r="BE92" s="26">
        <f t="shared" ca="1" si="58"/>
        <v>0</v>
      </c>
      <c r="BF92" s="31">
        <f ca="1">_xll.RiskBinomial(1,BE92)</f>
        <v>0</v>
      </c>
      <c r="BG92" s="78">
        <f ca="1">IF(BF92=1,_xll.RiskBinomial(1,Prob_illness_Adv_infection),0)</f>
        <v>0</v>
      </c>
      <c r="BI92" s="77">
        <f t="shared" ca="1" si="67"/>
        <v>1.0353389407061302E-10</v>
      </c>
      <c r="BJ92" s="33">
        <f ca="1">INT(BI92) + _xll.RiskBinomial(1,BI92-INT(BI92))</f>
        <v>0</v>
      </c>
      <c r="BK92" s="26">
        <f t="shared" ca="1" si="59"/>
        <v>0</v>
      </c>
      <c r="BL92" s="31">
        <f ca="1">_xll.RiskBinomial(1,BK92)</f>
        <v>0</v>
      </c>
      <c r="BM92" s="78">
        <f ca="1">IF(BL92=1,_xll.RiskBinomial(1,Prob_illness_Adv_infection),0)</f>
        <v>0</v>
      </c>
      <c r="BO92" s="77">
        <f t="shared" ca="1" si="68"/>
        <v>2.2384110953361187E-10</v>
      </c>
      <c r="BP92" s="33">
        <f ca="1">INT(BO92) + _xll.RiskBinomial(1,BO92-INT(BO92))</f>
        <v>0</v>
      </c>
      <c r="BQ92" s="26">
        <f t="shared" ca="1" si="60"/>
        <v>0</v>
      </c>
      <c r="BR92" s="31">
        <f ca="1">_xll.RiskBinomial(1,BQ92)</f>
        <v>0</v>
      </c>
      <c r="BS92" s="78">
        <f ca="1">IF(BR92=1,_xll.RiskBinomial(1,Prob_illness_Adv_infection),0)</f>
        <v>0</v>
      </c>
      <c r="BU92" s="77">
        <f t="shared" ca="1" si="69"/>
        <v>1.5993504391195295E-12</v>
      </c>
      <c r="BV92" s="33">
        <f ca="1">INT(BU92) + _xll.RiskBinomial(1,BU92-INT(BU92))</f>
        <v>0</v>
      </c>
      <c r="BW92" s="26">
        <f t="shared" ca="1" si="61"/>
        <v>0</v>
      </c>
      <c r="BX92" s="31">
        <f ca="1">_xll.RiskBinomial(1,BW92)</f>
        <v>0</v>
      </c>
      <c r="BY92" s="78">
        <f ca="1">IF(BX92=1,_xll.RiskBinomial(1,Prob_illness_Adv_infection),0)</f>
        <v>0</v>
      </c>
      <c r="CA92" s="77">
        <f t="shared" ca="1" si="70"/>
        <v>2.4267954404487871E-10</v>
      </c>
      <c r="CB92" s="33">
        <f ca="1">INT(CA92) + _xll.RiskBinomial(1,CA92-INT(CA92))</f>
        <v>0</v>
      </c>
      <c r="CC92" s="26">
        <f t="shared" ca="1" si="62"/>
        <v>0</v>
      </c>
      <c r="CD92" s="31">
        <f ca="1">_xll.RiskBinomial(1,CC92)</f>
        <v>0</v>
      </c>
      <c r="CE92" s="78">
        <f ca="1">IF(CD92=1,_xll.RiskBinomial(1,Prob_illness_Adv_infection),0)</f>
        <v>0</v>
      </c>
      <c r="CG92" s="77" t="e">
        <f t="shared" ca="1" si="71"/>
        <v>#VALUE!</v>
      </c>
      <c r="CH92" s="33" t="e">
        <f ca="1">INT(CG92) + _xll.RiskBinomial(1,CG92-INT(CG92))</f>
        <v>#VALUE!</v>
      </c>
      <c r="CI92" s="26" t="e">
        <f t="shared" ca="1" si="63"/>
        <v>#VALUE!</v>
      </c>
      <c r="CJ92" s="31" t="e">
        <f ca="1">_xll.RiskBinomial(1,CI92)</f>
        <v>#VALUE!</v>
      </c>
      <c r="CK92" s="78" t="e">
        <f ca="1">IF(CJ92=1,_xll.RiskBinomial(1,Prob_illness_Adv_infection),0)</f>
        <v>#VALUE!</v>
      </c>
    </row>
    <row r="93" spans="2:89" x14ac:dyDescent="0.2">
      <c r="B93" s="97">
        <v>85</v>
      </c>
      <c r="C93" s="100">
        <f ca="1" xml:space="preserve"> _xll.RiskPert(Dur_event_hours_min,Dur_event_hours_mode,Dur_event_hours_max)</f>
        <v>2.4431039200009699</v>
      </c>
      <c r="D93" s="26">
        <f ca="1">_xll.RiskPert(Primary_Ing_Rate_mL_per_hour_min,Primary_Ing_Rate_mL_per_hour_mode,Primary_Ing_Rate_mL_per_hour_max)</f>
        <v>10.978849954506941</v>
      </c>
      <c r="E93" s="34">
        <f t="shared" ca="1" si="43"/>
        <v>26.822471360958378</v>
      </c>
      <c r="F93" s="26"/>
      <c r="G93" s="77">
        <f t="shared" ca="1" si="64"/>
        <v>2.4626976107580888E-9</v>
      </c>
      <c r="H93" s="33">
        <f ca="1">INT(G93) + _xll.RiskBinomial(1,G93-INT(G93))</f>
        <v>0</v>
      </c>
      <c r="I93" s="26">
        <f t="shared" ca="1" si="44"/>
        <v>0</v>
      </c>
      <c r="J93" s="31">
        <f ca="1">_xll.RiskBinomial(1,I93)</f>
        <v>0</v>
      </c>
      <c r="K93" s="78">
        <f ca="1">IF(J93=1,_xll.RiskBinomial(1,Prob_illness_Adv_infection),0)</f>
        <v>0</v>
      </c>
      <c r="L93" s="26"/>
      <c r="M93" s="77">
        <f t="shared" ca="1" si="45"/>
        <v>6.1162636279528377E-11</v>
      </c>
      <c r="N93" s="33">
        <f ca="1">INT(M93) + _xll.RiskBinomial(1,M93-INT(M93))</f>
        <v>0</v>
      </c>
      <c r="O93" s="26">
        <f t="shared" ca="1" si="46"/>
        <v>0</v>
      </c>
      <c r="P93" s="31">
        <f ca="1">_xll.RiskBinomial(1,O93)</f>
        <v>0</v>
      </c>
      <c r="Q93" s="78">
        <f ca="1">IF(P93=1,_xll.RiskBinomial(1,Prob_illness_Adv_infection),0)</f>
        <v>0</v>
      </c>
      <c r="R93" s="26"/>
      <c r="S93" s="77">
        <f t="shared" ca="1" si="47"/>
        <v>7.7449526648236025E-10</v>
      </c>
      <c r="T93" s="33">
        <f ca="1">INT(S93) + _xll.RiskBinomial(1,S93-INT(S93))</f>
        <v>0</v>
      </c>
      <c r="U93" s="26">
        <f t="shared" ca="1" si="48"/>
        <v>0</v>
      </c>
      <c r="V93" s="31">
        <f ca="1">_xll.RiskBinomial(1,U93)</f>
        <v>0</v>
      </c>
      <c r="W93" s="78">
        <f ca="1">IF(V93=1,_xll.RiskBinomial(1,Prob_illness_Adv_infection),0)</f>
        <v>0</v>
      </c>
      <c r="X93" s="26"/>
      <c r="Y93" s="77">
        <f t="shared" ca="1" si="49"/>
        <v>6.4417761926211931E-11</v>
      </c>
      <c r="Z93" s="33">
        <f ca="1">INT(Y93) + _xll.RiskBinomial(1,Y93-INT(Y93))</f>
        <v>0</v>
      </c>
      <c r="AA93" s="26">
        <f t="shared" ca="1" si="50"/>
        <v>0</v>
      </c>
      <c r="AB93" s="31">
        <f ca="1">_xll.RiskBinomial(1,AA93)</f>
        <v>0</v>
      </c>
      <c r="AC93" s="78">
        <f ca="1">IF(AB93=1,_xll.RiskBinomial(1,Prob_illness_Adv_infection),0)</f>
        <v>0</v>
      </c>
      <c r="AD93" s="26"/>
      <c r="AE93" s="77">
        <f t="shared" ca="1" si="51"/>
        <v>9.6737932857308329E-11</v>
      </c>
      <c r="AF93" s="33">
        <f ca="1">INT(AE93) + _xll.RiskBinomial(1,AE93-INT(AE93))</f>
        <v>0</v>
      </c>
      <c r="AG93" s="26">
        <f t="shared" ca="1" si="52"/>
        <v>0</v>
      </c>
      <c r="AH93" s="31">
        <f ca="1">_xll.RiskBinomial(1,AG93)</f>
        <v>0</v>
      </c>
      <c r="AI93" s="78">
        <f ca="1">IF(AH93=1,_xll.RiskBinomial(1,Prob_illness_Adv_infection),0)</f>
        <v>0</v>
      </c>
      <c r="AJ93" s="26"/>
      <c r="AK93" s="77">
        <f t="shared" ca="1" si="53"/>
        <v>6.2938536231107495E-10</v>
      </c>
      <c r="AL93" s="33">
        <f ca="1">INT(AK93) + _xll.RiskBinomial(1,AK93-INT(AK93))</f>
        <v>0</v>
      </c>
      <c r="AM93" s="26">
        <f t="shared" ca="1" si="54"/>
        <v>0</v>
      </c>
      <c r="AN93" s="31">
        <f ca="1">_xll.RiskBinomial(1,AM93)</f>
        <v>0</v>
      </c>
      <c r="AO93" s="78">
        <f ca="1">IF(AN93=1,_xll.RiskBinomial(1,Prob_illness_Adv_infection),0)</f>
        <v>0</v>
      </c>
      <c r="AP93" s="26"/>
      <c r="AQ93" s="77">
        <f t="shared" ca="1" si="55"/>
        <v>1.1941590656068774E-9</v>
      </c>
      <c r="AR93" s="33">
        <f ca="1">INT(AQ93) + _xll.RiskBinomial(1,AQ93-INT(AQ93))</f>
        <v>0</v>
      </c>
      <c r="AS93" s="26">
        <f t="shared" ca="1" si="56"/>
        <v>0</v>
      </c>
      <c r="AT93" s="31">
        <f ca="1">_xll.RiskBinomial(1,AS93)</f>
        <v>0</v>
      </c>
      <c r="AU93" s="78">
        <f ca="1">IF(AT93=1,_xll.RiskBinomial(1,Prob_illness_Adv_infection),0)</f>
        <v>0</v>
      </c>
      <c r="AV93" s="26"/>
      <c r="AW93" s="77">
        <f t="shared" ca="1" si="65"/>
        <v>2.1030803888610323E-11</v>
      </c>
      <c r="AX93" s="33">
        <f ca="1">INT(AW93) + _xll.RiskBinomial(1,AW93-INT(AW93))</f>
        <v>0</v>
      </c>
      <c r="AY93" s="26">
        <f t="shared" ca="1" si="57"/>
        <v>0</v>
      </c>
      <c r="AZ93" s="31">
        <f ca="1">_xll.RiskBinomial(1,AY93)</f>
        <v>0</v>
      </c>
      <c r="BA93" s="78">
        <f ca="1">IF(AZ93=1,_xll.RiskBinomial(1,Prob_illness_Adv_infection),0)</f>
        <v>0</v>
      </c>
      <c r="BC93" s="77">
        <f t="shared" ca="1" si="66"/>
        <v>1.0779853625094408E-10</v>
      </c>
      <c r="BD93" s="33">
        <f ca="1">INT(BC93) + _xll.RiskBinomial(1,BC93-INT(BC93))</f>
        <v>0</v>
      </c>
      <c r="BE93" s="26">
        <f t="shared" ca="1" si="58"/>
        <v>0</v>
      </c>
      <c r="BF93" s="31">
        <f ca="1">_xll.RiskBinomial(1,BE93)</f>
        <v>0</v>
      </c>
      <c r="BG93" s="78">
        <f ca="1">IF(BF93=1,_xll.RiskBinomial(1,Prob_illness_Adv_infection),0)</f>
        <v>0</v>
      </c>
      <c r="BI93" s="77">
        <f t="shared" ca="1" si="67"/>
        <v>5.0199778280212531E-11</v>
      </c>
      <c r="BJ93" s="33">
        <f ca="1">INT(BI93) + _xll.RiskBinomial(1,BI93-INT(BI93))</f>
        <v>0</v>
      </c>
      <c r="BK93" s="26">
        <f t="shared" ca="1" si="59"/>
        <v>0</v>
      </c>
      <c r="BL93" s="31">
        <f ca="1">_xll.RiskBinomial(1,BK93)</f>
        <v>0</v>
      </c>
      <c r="BM93" s="78">
        <f ca="1">IF(BL93=1,_xll.RiskBinomial(1,Prob_illness_Adv_infection),0)</f>
        <v>0</v>
      </c>
      <c r="BO93" s="77">
        <f t="shared" ca="1" si="68"/>
        <v>1.0853232334640371E-10</v>
      </c>
      <c r="BP93" s="33">
        <f ca="1">INT(BO93) + _xll.RiskBinomial(1,BO93-INT(BO93))</f>
        <v>0</v>
      </c>
      <c r="BQ93" s="26">
        <f t="shared" ca="1" si="60"/>
        <v>0</v>
      </c>
      <c r="BR93" s="31">
        <f ca="1">_xll.RiskBinomial(1,BQ93)</f>
        <v>0</v>
      </c>
      <c r="BS93" s="78">
        <f ca="1">IF(BR93=1,_xll.RiskBinomial(1,Prob_illness_Adv_infection),0)</f>
        <v>0</v>
      </c>
      <c r="BU93" s="77">
        <f t="shared" ca="1" si="69"/>
        <v>7.7546621960729987E-13</v>
      </c>
      <c r="BV93" s="33">
        <f ca="1">INT(BU93) + _xll.RiskBinomial(1,BU93-INT(BU93))</f>
        <v>0</v>
      </c>
      <c r="BW93" s="26">
        <f t="shared" ca="1" si="61"/>
        <v>0</v>
      </c>
      <c r="BX93" s="31">
        <f ca="1">_xll.RiskBinomial(1,BW93)</f>
        <v>0</v>
      </c>
      <c r="BY93" s="78">
        <f ca="1">IF(BX93=1,_xll.RiskBinomial(1,Prob_illness_Adv_infection),0)</f>
        <v>0</v>
      </c>
      <c r="CA93" s="77">
        <f t="shared" ca="1" si="70"/>
        <v>1.1766638754925225E-10</v>
      </c>
      <c r="CB93" s="33">
        <f ca="1">INT(CA93) + _xll.RiskBinomial(1,CA93-INT(CA93))</f>
        <v>0</v>
      </c>
      <c r="CC93" s="26">
        <f t="shared" ca="1" si="62"/>
        <v>0</v>
      </c>
      <c r="CD93" s="31">
        <f ca="1">_xll.RiskBinomial(1,CC93)</f>
        <v>0</v>
      </c>
      <c r="CE93" s="78">
        <f ca="1">IF(CD93=1,_xll.RiskBinomial(1,Prob_illness_Adv_infection),0)</f>
        <v>0</v>
      </c>
      <c r="CG93" s="77" t="e">
        <f t="shared" ca="1" si="71"/>
        <v>#VALUE!</v>
      </c>
      <c r="CH93" s="33" t="e">
        <f ca="1">INT(CG93) + _xll.RiskBinomial(1,CG93-INT(CG93))</f>
        <v>#VALUE!</v>
      </c>
      <c r="CI93" s="26" t="e">
        <f t="shared" ca="1" si="63"/>
        <v>#VALUE!</v>
      </c>
      <c r="CJ93" s="31" t="e">
        <f ca="1">_xll.RiskBinomial(1,CI93)</f>
        <v>#VALUE!</v>
      </c>
      <c r="CK93" s="78" t="e">
        <f ca="1">IF(CJ93=1,_xll.RiskBinomial(1,Prob_illness_Adv_infection),0)</f>
        <v>#VALUE!</v>
      </c>
    </row>
    <row r="94" spans="2:89" x14ac:dyDescent="0.2">
      <c r="B94" s="97">
        <v>86</v>
      </c>
      <c r="C94" s="100">
        <f ca="1" xml:space="preserve"> _xll.RiskPert(Dur_event_hours_min,Dur_event_hours_mode,Dur_event_hours_max)</f>
        <v>1.1228970047915652</v>
      </c>
      <c r="D94" s="26">
        <f ca="1">_xll.RiskPert(Primary_Ing_Rate_mL_per_hour_min,Primary_Ing_Rate_mL_per_hour_mode,Primary_Ing_Rate_mL_per_hour_max)</f>
        <v>10.405625113568941</v>
      </c>
      <c r="E94" s="34">
        <f t="shared" ca="1" si="43"/>
        <v>11.684445273010455</v>
      </c>
      <c r="F94" s="26"/>
      <c r="G94" s="77">
        <f t="shared" ca="1" si="64"/>
        <v>1.0728040332167342E-9</v>
      </c>
      <c r="H94" s="33">
        <f ca="1">INT(G94) + _xll.RiskBinomial(1,G94-INT(G94))</f>
        <v>0</v>
      </c>
      <c r="I94" s="26">
        <f t="shared" ca="1" si="44"/>
        <v>0</v>
      </c>
      <c r="J94" s="31">
        <f ca="1">_xll.RiskBinomial(1,I94)</f>
        <v>0</v>
      </c>
      <c r="K94" s="78">
        <f ca="1">IF(J94=1,_xll.RiskBinomial(1,Prob_illness_Adv_infection),0)</f>
        <v>0</v>
      </c>
      <c r="L94" s="26"/>
      <c r="M94" s="77">
        <f t="shared" ca="1" si="45"/>
        <v>2.6643759508357933E-11</v>
      </c>
      <c r="N94" s="33">
        <f ca="1">INT(M94) + _xll.RiskBinomial(1,M94-INT(M94))</f>
        <v>0</v>
      </c>
      <c r="O94" s="26">
        <f t="shared" ca="1" si="46"/>
        <v>0</v>
      </c>
      <c r="P94" s="31">
        <f ca="1">_xll.RiskBinomial(1,O94)</f>
        <v>0</v>
      </c>
      <c r="Q94" s="78">
        <f ca="1">IF(P94=1,_xll.RiskBinomial(1,Prob_illness_Adv_infection),0)</f>
        <v>0</v>
      </c>
      <c r="R94" s="26"/>
      <c r="S94" s="77">
        <f t="shared" ca="1" si="47"/>
        <v>3.3738679160604543E-10</v>
      </c>
      <c r="T94" s="33">
        <f ca="1">INT(S94) + _xll.RiskBinomial(1,S94-INT(S94))</f>
        <v>0</v>
      </c>
      <c r="U94" s="26">
        <f t="shared" ca="1" si="48"/>
        <v>0</v>
      </c>
      <c r="V94" s="31">
        <f ca="1">_xll.RiskBinomial(1,U94)</f>
        <v>0</v>
      </c>
      <c r="W94" s="78">
        <f ca="1">IF(V94=1,_xll.RiskBinomial(1,Prob_illness_Adv_infection),0)</f>
        <v>0</v>
      </c>
      <c r="X94" s="26"/>
      <c r="Y94" s="77">
        <f t="shared" ca="1" si="49"/>
        <v>2.8061762233148155E-11</v>
      </c>
      <c r="Z94" s="33">
        <f ca="1">INT(Y94) + _xll.RiskBinomial(1,Y94-INT(Y94))</f>
        <v>0</v>
      </c>
      <c r="AA94" s="26">
        <f t="shared" ca="1" si="50"/>
        <v>0</v>
      </c>
      <c r="AB94" s="31">
        <f ca="1">_xll.RiskBinomial(1,AA94)</f>
        <v>0</v>
      </c>
      <c r="AC94" s="78">
        <f ca="1">IF(AB94=1,_xll.RiskBinomial(1,Prob_illness_Adv_infection),0)</f>
        <v>0</v>
      </c>
      <c r="AD94" s="26"/>
      <c r="AE94" s="77">
        <f t="shared" ca="1" si="51"/>
        <v>4.2141123652783053E-11</v>
      </c>
      <c r="AF94" s="33">
        <f ca="1">INT(AE94) + _xll.RiskBinomial(1,AE94-INT(AE94))</f>
        <v>0</v>
      </c>
      <c r="AG94" s="26">
        <f t="shared" ca="1" si="52"/>
        <v>0</v>
      </c>
      <c r="AH94" s="31">
        <f ca="1">_xll.RiskBinomial(1,AG94)</f>
        <v>0</v>
      </c>
      <c r="AI94" s="78">
        <f ca="1">IF(AH94=1,_xll.RiskBinomial(1,Prob_illness_Adv_infection),0)</f>
        <v>0</v>
      </c>
      <c r="AJ94" s="26"/>
      <c r="AK94" s="77">
        <f t="shared" ca="1" si="53"/>
        <v>2.74173797134212E-10</v>
      </c>
      <c r="AL94" s="33">
        <f ca="1">INT(AK94) + _xll.RiskBinomial(1,AK94-INT(AK94))</f>
        <v>0</v>
      </c>
      <c r="AM94" s="26">
        <f t="shared" ca="1" si="54"/>
        <v>0</v>
      </c>
      <c r="AN94" s="31">
        <f ca="1">_xll.RiskBinomial(1,AM94)</f>
        <v>0</v>
      </c>
      <c r="AO94" s="78">
        <f ca="1">IF(AN94=1,_xll.RiskBinomial(1,Prob_illness_Adv_infection),0)</f>
        <v>0</v>
      </c>
      <c r="AP94" s="26"/>
      <c r="AQ94" s="77">
        <f t="shared" ca="1" si="55"/>
        <v>5.2020136629402336E-10</v>
      </c>
      <c r="AR94" s="33">
        <f ca="1">INT(AQ94) + _xll.RiskBinomial(1,AQ94-INT(AQ94))</f>
        <v>0</v>
      </c>
      <c r="AS94" s="26">
        <f t="shared" ca="1" si="56"/>
        <v>0</v>
      </c>
      <c r="AT94" s="31">
        <f ca="1">_xll.RiskBinomial(1,AS94)</f>
        <v>0</v>
      </c>
      <c r="AU94" s="78">
        <f ca="1">IF(AT94=1,_xll.RiskBinomial(1,Prob_illness_Adv_infection),0)</f>
        <v>0</v>
      </c>
      <c r="AV94" s="26"/>
      <c r="AW94" s="77">
        <f t="shared" ca="1" si="65"/>
        <v>9.1614703871605748E-12</v>
      </c>
      <c r="AX94" s="33">
        <f ca="1">INT(AW94) + _xll.RiskBinomial(1,AW94-INT(AW94))</f>
        <v>0</v>
      </c>
      <c r="AY94" s="26">
        <f t="shared" ca="1" si="57"/>
        <v>0</v>
      </c>
      <c r="AZ94" s="31">
        <f ca="1">_xll.RiskBinomial(1,AY94)</f>
        <v>0</v>
      </c>
      <c r="BA94" s="78">
        <f ca="1">IF(AZ94=1,_xll.RiskBinomial(1,Prob_illness_Adv_infection),0)</f>
        <v>0</v>
      </c>
      <c r="BC94" s="77">
        <f t="shared" ca="1" si="66"/>
        <v>4.6959360320844985E-11</v>
      </c>
      <c r="BD94" s="33">
        <f ca="1">INT(BC94) + _xll.RiskBinomial(1,BC94-INT(BC94))</f>
        <v>0</v>
      </c>
      <c r="BE94" s="26">
        <f t="shared" ca="1" si="58"/>
        <v>0</v>
      </c>
      <c r="BF94" s="31">
        <f ca="1">_xll.RiskBinomial(1,BE94)</f>
        <v>0</v>
      </c>
      <c r="BG94" s="78">
        <f ca="1">IF(BF94=1,_xll.RiskBinomial(1,Prob_illness_Adv_infection),0)</f>
        <v>0</v>
      </c>
      <c r="BI94" s="77">
        <f t="shared" ca="1" si="67"/>
        <v>2.1868102835824757E-11</v>
      </c>
      <c r="BJ94" s="33">
        <f ca="1">INT(BI94) + _xll.RiskBinomial(1,BI94-INT(BI94))</f>
        <v>0</v>
      </c>
      <c r="BK94" s="26">
        <f t="shared" ca="1" si="59"/>
        <v>0</v>
      </c>
      <c r="BL94" s="31">
        <f ca="1">_xll.RiskBinomial(1,BK94)</f>
        <v>0</v>
      </c>
      <c r="BM94" s="78">
        <f ca="1">IF(BL94=1,_xll.RiskBinomial(1,Prob_illness_Adv_infection),0)</f>
        <v>0</v>
      </c>
      <c r="BO94" s="77">
        <f t="shared" ca="1" si="68"/>
        <v>4.727901375782914E-11</v>
      </c>
      <c r="BP94" s="33">
        <f ca="1">INT(BO94) + _xll.RiskBinomial(1,BO94-INT(BO94))</f>
        <v>0</v>
      </c>
      <c r="BQ94" s="26">
        <f t="shared" ca="1" si="60"/>
        <v>0</v>
      </c>
      <c r="BR94" s="31">
        <f ca="1">_xll.RiskBinomial(1,BQ94)</f>
        <v>0</v>
      </c>
      <c r="BS94" s="78">
        <f ca="1">IF(BR94=1,_xll.RiskBinomial(1,Prob_illness_Adv_infection),0)</f>
        <v>0</v>
      </c>
      <c r="BU94" s="77">
        <f t="shared" ca="1" si="69"/>
        <v>3.3780975966511589E-13</v>
      </c>
      <c r="BV94" s="33">
        <f ca="1">INT(BU94) + _xll.RiskBinomial(1,BU94-INT(BU94))</f>
        <v>0</v>
      </c>
      <c r="BW94" s="26">
        <f t="shared" ca="1" si="61"/>
        <v>0</v>
      </c>
      <c r="BX94" s="31">
        <f ca="1">_xll.RiskBinomial(1,BW94)</f>
        <v>0</v>
      </c>
      <c r="BY94" s="78">
        <f ca="1">IF(BX94=1,_xll.RiskBinomial(1,Prob_illness_Adv_infection),0)</f>
        <v>0</v>
      </c>
      <c r="CA94" s="77">
        <f t="shared" ca="1" si="70"/>
        <v>5.125800852911983E-11</v>
      </c>
      <c r="CB94" s="33">
        <f ca="1">INT(CA94) + _xll.RiskBinomial(1,CA94-INT(CA94))</f>
        <v>0</v>
      </c>
      <c r="CC94" s="26">
        <f t="shared" ca="1" si="62"/>
        <v>0</v>
      </c>
      <c r="CD94" s="31">
        <f ca="1">_xll.RiskBinomial(1,CC94)</f>
        <v>0</v>
      </c>
      <c r="CE94" s="78">
        <f ca="1">IF(CD94=1,_xll.RiskBinomial(1,Prob_illness_Adv_infection),0)</f>
        <v>0</v>
      </c>
      <c r="CG94" s="77" t="e">
        <f t="shared" ca="1" si="71"/>
        <v>#VALUE!</v>
      </c>
      <c r="CH94" s="33" t="e">
        <f ca="1">INT(CG94) + _xll.RiskBinomial(1,CG94-INT(CG94))</f>
        <v>#VALUE!</v>
      </c>
      <c r="CI94" s="26" t="e">
        <f t="shared" ca="1" si="63"/>
        <v>#VALUE!</v>
      </c>
      <c r="CJ94" s="31" t="e">
        <f ca="1">_xll.RiskBinomial(1,CI94)</f>
        <v>#VALUE!</v>
      </c>
      <c r="CK94" s="78" t="e">
        <f ca="1">IF(CJ94=1,_xll.RiskBinomial(1,Prob_illness_Adv_infection),0)</f>
        <v>#VALUE!</v>
      </c>
    </row>
    <row r="95" spans="2:89" x14ac:dyDescent="0.2">
      <c r="B95" s="97">
        <v>87</v>
      </c>
      <c r="C95" s="100">
        <f ca="1" xml:space="preserve"> _xll.RiskPert(Dur_event_hours_min,Dur_event_hours_mode,Dur_event_hours_max)</f>
        <v>1.1648678313867535</v>
      </c>
      <c r="D95" s="26">
        <f ca="1">_xll.RiskPert(Primary_Ing_Rate_mL_per_hour_min,Primary_Ing_Rate_mL_per_hour_mode,Primary_Ing_Rate_mL_per_hour_max)</f>
        <v>4.6138671286098347</v>
      </c>
      <c r="E95" s="34">
        <f t="shared" ca="1" si="43"/>
        <v>5.3745453964103653</v>
      </c>
      <c r="F95" s="26"/>
      <c r="G95" s="77">
        <f t="shared" ca="1" si="64"/>
        <v>4.9346236327485699E-10</v>
      </c>
      <c r="H95" s="33">
        <f ca="1">INT(G95) + _xll.RiskBinomial(1,G95-INT(G95))</f>
        <v>0</v>
      </c>
      <c r="I95" s="26">
        <f t="shared" ca="1" si="44"/>
        <v>0</v>
      </c>
      <c r="J95" s="31">
        <f ca="1">_xll.RiskBinomial(1,I95)</f>
        <v>0</v>
      </c>
      <c r="K95" s="78">
        <f ca="1">IF(J95=1,_xll.RiskBinomial(1,Prob_illness_Adv_infection),0)</f>
        <v>0</v>
      </c>
      <c r="L95" s="26"/>
      <c r="M95" s="77">
        <f t="shared" ca="1" si="45"/>
        <v>1.2255446592700378E-11</v>
      </c>
      <c r="N95" s="33">
        <f ca="1">INT(M95) + _xll.RiskBinomial(1,M95-INT(M95))</f>
        <v>0</v>
      </c>
      <c r="O95" s="26">
        <f t="shared" ca="1" si="46"/>
        <v>0</v>
      </c>
      <c r="P95" s="31">
        <f ca="1">_xll.RiskBinomial(1,O95)</f>
        <v>0</v>
      </c>
      <c r="Q95" s="78">
        <f ca="1">IF(P95=1,_xll.RiskBinomial(1,Prob_illness_Adv_infection),0)</f>
        <v>0</v>
      </c>
      <c r="R95" s="26"/>
      <c r="S95" s="77">
        <f t="shared" ca="1" si="47"/>
        <v>1.5518927816149072E-10</v>
      </c>
      <c r="T95" s="33">
        <f ca="1">INT(S95) + _xll.RiskBinomial(1,S95-INT(S95))</f>
        <v>0</v>
      </c>
      <c r="U95" s="26">
        <f t="shared" ca="1" si="48"/>
        <v>0</v>
      </c>
      <c r="V95" s="31">
        <f ca="1">_xll.RiskBinomial(1,U95)</f>
        <v>0</v>
      </c>
      <c r="W95" s="78">
        <f ca="1">IF(V95=1,_xll.RiskBinomial(1,Prob_illness_Adv_infection),0)</f>
        <v>0</v>
      </c>
      <c r="X95" s="26"/>
      <c r="Y95" s="77">
        <f t="shared" ca="1" si="49"/>
        <v>1.2907691507931608E-11</v>
      </c>
      <c r="Z95" s="33">
        <f ca="1">INT(Y95) + _xll.RiskBinomial(1,Y95-INT(Y95))</f>
        <v>0</v>
      </c>
      <c r="AA95" s="26">
        <f t="shared" ca="1" si="50"/>
        <v>0</v>
      </c>
      <c r="AB95" s="31">
        <f ca="1">_xll.RiskBinomial(1,AA95)</f>
        <v>0</v>
      </c>
      <c r="AC95" s="78">
        <f ca="1">IF(AB95=1,_xll.RiskBinomial(1,Prob_illness_Adv_infection),0)</f>
        <v>0</v>
      </c>
      <c r="AD95" s="26"/>
      <c r="AE95" s="77">
        <f t="shared" ca="1" si="51"/>
        <v>1.9383836958934289E-11</v>
      </c>
      <c r="AF95" s="33">
        <f ca="1">INT(AE95) + _xll.RiskBinomial(1,AE95-INT(AE95))</f>
        <v>0</v>
      </c>
      <c r="AG95" s="26">
        <f t="shared" ca="1" si="52"/>
        <v>0</v>
      </c>
      <c r="AH95" s="31">
        <f ca="1">_xll.RiskBinomial(1,AG95)</f>
        <v>0</v>
      </c>
      <c r="AI95" s="78">
        <f ca="1">IF(AH95=1,_xll.RiskBinomial(1,Prob_illness_Adv_infection),0)</f>
        <v>0</v>
      </c>
      <c r="AJ95" s="26"/>
      <c r="AK95" s="77">
        <f t="shared" ca="1" si="53"/>
        <v>1.2611292062001085E-10</v>
      </c>
      <c r="AL95" s="33">
        <f ca="1">INT(AK95) + _xll.RiskBinomial(1,AK95-INT(AK95))</f>
        <v>0</v>
      </c>
      <c r="AM95" s="26">
        <f t="shared" ca="1" si="54"/>
        <v>0</v>
      </c>
      <c r="AN95" s="31">
        <f ca="1">_xll.RiskBinomial(1,AM95)</f>
        <v>0</v>
      </c>
      <c r="AO95" s="78">
        <f ca="1">IF(AN95=1,_xll.RiskBinomial(1,Prob_illness_Adv_infection),0)</f>
        <v>0</v>
      </c>
      <c r="AP95" s="26"/>
      <c r="AQ95" s="77">
        <f t="shared" ca="1" si="55"/>
        <v>2.3927929765565895E-10</v>
      </c>
      <c r="AR95" s="33">
        <f ca="1">INT(AQ95) + _xll.RiskBinomial(1,AQ95-INT(AQ95))</f>
        <v>0</v>
      </c>
      <c r="AS95" s="26">
        <f t="shared" ca="1" si="56"/>
        <v>0</v>
      </c>
      <c r="AT95" s="31">
        <f ca="1">_xll.RiskBinomial(1,AS95)</f>
        <v>0</v>
      </c>
      <c r="AU95" s="78">
        <f ca="1">IF(AT95=1,_xll.RiskBinomial(1,Prob_illness_Adv_infection),0)</f>
        <v>0</v>
      </c>
      <c r="AV95" s="26"/>
      <c r="AW95" s="77">
        <f t="shared" ca="1" si="65"/>
        <v>4.2140416034468335E-12</v>
      </c>
      <c r="AX95" s="33">
        <f ca="1">INT(AW95) + _xll.RiskBinomial(1,AW95-INT(AW95))</f>
        <v>0</v>
      </c>
      <c r="AY95" s="26">
        <f t="shared" ca="1" si="57"/>
        <v>0</v>
      </c>
      <c r="AZ95" s="31">
        <f ca="1">_xll.RiskBinomial(1,AY95)</f>
        <v>0</v>
      </c>
      <c r="BA95" s="78">
        <f ca="1">IF(AZ95=1,_xll.RiskBinomial(1,Prob_illness_Adv_infection),0)</f>
        <v>0</v>
      </c>
      <c r="BC95" s="77">
        <f t="shared" ca="1" si="66"/>
        <v>2.1600102352633712E-11</v>
      </c>
      <c r="BD95" s="33">
        <f ca="1">INT(BC95) + _xll.RiskBinomial(1,BC95-INT(BC95))</f>
        <v>0</v>
      </c>
      <c r="BE95" s="26">
        <f t="shared" ca="1" si="58"/>
        <v>0</v>
      </c>
      <c r="BF95" s="31">
        <f ca="1">_xll.RiskBinomial(1,BE95)</f>
        <v>0</v>
      </c>
      <c r="BG95" s="78">
        <f ca="1">IF(BF95=1,_xll.RiskBinomial(1,Prob_illness_Adv_infection),0)</f>
        <v>0</v>
      </c>
      <c r="BI95" s="77">
        <f t="shared" ca="1" si="67"/>
        <v>1.0058766905776173E-11</v>
      </c>
      <c r="BJ95" s="33">
        <f ca="1">INT(BI95) + _xll.RiskBinomial(1,BI95-INT(BI95))</f>
        <v>0</v>
      </c>
      <c r="BK95" s="26">
        <f t="shared" ca="1" si="59"/>
        <v>0</v>
      </c>
      <c r="BL95" s="31">
        <f ca="1">_xll.RiskBinomial(1,BK95)</f>
        <v>0</v>
      </c>
      <c r="BM95" s="78">
        <f ca="1">IF(BL95=1,_xll.RiskBinomial(1,Prob_illness_Adv_infection),0)</f>
        <v>0</v>
      </c>
      <c r="BO95" s="77">
        <f t="shared" ca="1" si="68"/>
        <v>2.1747134742109509E-11</v>
      </c>
      <c r="BP95" s="33">
        <f ca="1">INT(BO95) + _xll.RiskBinomial(1,BO95-INT(BO95))</f>
        <v>0</v>
      </c>
      <c r="BQ95" s="26">
        <f t="shared" ca="1" si="60"/>
        <v>0</v>
      </c>
      <c r="BR95" s="31">
        <f ca="1">_xll.RiskBinomial(1,BQ95)</f>
        <v>0</v>
      </c>
      <c r="BS95" s="78">
        <f ca="1">IF(BR95=1,_xll.RiskBinomial(1,Prob_illness_Adv_infection),0)</f>
        <v>0</v>
      </c>
      <c r="BU95" s="77">
        <f t="shared" ca="1" si="69"/>
        <v>1.5538383262955402E-13</v>
      </c>
      <c r="BV95" s="33">
        <f ca="1">INT(BU95) + _xll.RiskBinomial(1,BU95-INT(BU95))</f>
        <v>0</v>
      </c>
      <c r="BW95" s="26">
        <f t="shared" ca="1" si="61"/>
        <v>0</v>
      </c>
      <c r="BX95" s="31">
        <f ca="1">_xll.RiskBinomial(1,BW95)</f>
        <v>0</v>
      </c>
      <c r="BY95" s="78">
        <f ca="1">IF(BX95=1,_xll.RiskBinomial(1,Prob_illness_Adv_infection),0)</f>
        <v>0</v>
      </c>
      <c r="CA95" s="77">
        <f t="shared" ca="1" si="70"/>
        <v>2.3577370369964133E-11</v>
      </c>
      <c r="CB95" s="33">
        <f ca="1">INT(CA95) + _xll.RiskBinomial(1,CA95-INT(CA95))</f>
        <v>0</v>
      </c>
      <c r="CC95" s="26">
        <f t="shared" ca="1" si="62"/>
        <v>0</v>
      </c>
      <c r="CD95" s="31">
        <f ca="1">_xll.RiskBinomial(1,CC95)</f>
        <v>0</v>
      </c>
      <c r="CE95" s="78">
        <f ca="1">IF(CD95=1,_xll.RiskBinomial(1,Prob_illness_Adv_infection),0)</f>
        <v>0</v>
      </c>
      <c r="CG95" s="77" t="e">
        <f t="shared" ca="1" si="71"/>
        <v>#VALUE!</v>
      </c>
      <c r="CH95" s="33" t="e">
        <f ca="1">INT(CG95) + _xll.RiskBinomial(1,CG95-INT(CG95))</f>
        <v>#VALUE!</v>
      </c>
      <c r="CI95" s="26" t="e">
        <f t="shared" ca="1" si="63"/>
        <v>#VALUE!</v>
      </c>
      <c r="CJ95" s="31" t="e">
        <f ca="1">_xll.RiskBinomial(1,CI95)</f>
        <v>#VALUE!</v>
      </c>
      <c r="CK95" s="78" t="e">
        <f ca="1">IF(CJ95=1,_xll.RiskBinomial(1,Prob_illness_Adv_infection),0)</f>
        <v>#VALUE!</v>
      </c>
    </row>
    <row r="96" spans="2:89" x14ac:dyDescent="0.2">
      <c r="B96" s="97">
        <v>88</v>
      </c>
      <c r="C96" s="100">
        <f ca="1" xml:space="preserve"> _xll.RiskPert(Dur_event_hours_min,Dur_event_hours_mode,Dur_event_hours_max)</f>
        <v>1.2256303476002286</v>
      </c>
      <c r="D96" s="26">
        <f ca="1">_xll.RiskPert(Primary_Ing_Rate_mL_per_hour_min,Primary_Ing_Rate_mL_per_hour_mode,Primary_Ing_Rate_mL_per_hour_max)</f>
        <v>8.2047426738666687</v>
      </c>
      <c r="E96" s="34">
        <f t="shared" ca="1" si="43"/>
        <v>10.055981615341635</v>
      </c>
      <c r="F96" s="26"/>
      <c r="G96" s="77">
        <f t="shared" ca="1" si="64"/>
        <v>9.2328710373704539E-10</v>
      </c>
      <c r="H96" s="33">
        <f ca="1">INT(G96) + _xll.RiskBinomial(1,G96-INT(G96))</f>
        <v>0</v>
      </c>
      <c r="I96" s="26">
        <f t="shared" ca="1" si="44"/>
        <v>0</v>
      </c>
      <c r="J96" s="31">
        <f ca="1">_xll.RiskBinomial(1,I96)</f>
        <v>0</v>
      </c>
      <c r="K96" s="78">
        <f ca="1">IF(J96=1,_xll.RiskBinomial(1,Prob_illness_Adv_infection),0)</f>
        <v>0</v>
      </c>
      <c r="L96" s="26"/>
      <c r="M96" s="77">
        <f t="shared" ca="1" si="45"/>
        <v>2.2930412999452585E-11</v>
      </c>
      <c r="N96" s="33">
        <f ca="1">INT(M96) + _xll.RiskBinomial(1,M96-INT(M96))</f>
        <v>0</v>
      </c>
      <c r="O96" s="26">
        <f t="shared" ca="1" si="46"/>
        <v>0</v>
      </c>
      <c r="P96" s="31">
        <f ca="1">_xll.RiskBinomial(1,O96)</f>
        <v>0</v>
      </c>
      <c r="Q96" s="78">
        <f ca="1">IF(P96=1,_xll.RiskBinomial(1,Prob_illness_Adv_infection),0)</f>
        <v>0</v>
      </c>
      <c r="R96" s="26"/>
      <c r="S96" s="77">
        <f t="shared" ca="1" si="47"/>
        <v>2.9036512169613351E-10</v>
      </c>
      <c r="T96" s="33">
        <f ca="1">INT(S96) + _xll.RiskBinomial(1,S96-INT(S96))</f>
        <v>0</v>
      </c>
      <c r="U96" s="26">
        <f t="shared" ca="1" si="48"/>
        <v>0</v>
      </c>
      <c r="V96" s="31">
        <f ca="1">_xll.RiskBinomial(1,U96)</f>
        <v>0</v>
      </c>
      <c r="W96" s="78">
        <f ca="1">IF(V96=1,_xll.RiskBinomial(1,Prob_illness_Adv_infection),0)</f>
        <v>0</v>
      </c>
      <c r="X96" s="26"/>
      <c r="Y96" s="77">
        <f t="shared" ca="1" si="49"/>
        <v>2.415078837866996E-11</v>
      </c>
      <c r="Z96" s="33">
        <f ca="1">INT(Y96) + _xll.RiskBinomial(1,Y96-INT(Y96))</f>
        <v>0</v>
      </c>
      <c r="AA96" s="26">
        <f t="shared" ca="1" si="50"/>
        <v>0</v>
      </c>
      <c r="AB96" s="31">
        <f ca="1">_xll.RiskBinomial(1,AA96)</f>
        <v>0</v>
      </c>
      <c r="AC96" s="78">
        <f ca="1">IF(AB96=1,_xll.RiskBinomial(1,Prob_illness_Adv_infection),0)</f>
        <v>0</v>
      </c>
      <c r="AD96" s="26"/>
      <c r="AE96" s="77">
        <f t="shared" ca="1" si="51"/>
        <v>3.6267906160772485E-11</v>
      </c>
      <c r="AF96" s="33">
        <f ca="1">INT(AE96) + _xll.RiskBinomial(1,AE96-INT(AE96))</f>
        <v>0</v>
      </c>
      <c r="AG96" s="26">
        <f t="shared" ca="1" si="52"/>
        <v>0</v>
      </c>
      <c r="AH96" s="31">
        <f ca="1">_xll.RiskBinomial(1,AG96)</f>
        <v>0</v>
      </c>
      <c r="AI96" s="78">
        <f ca="1">IF(AH96=1,_xll.RiskBinomial(1,Prob_illness_Adv_infection),0)</f>
        <v>0</v>
      </c>
      <c r="AJ96" s="26"/>
      <c r="AK96" s="77">
        <f t="shared" ca="1" si="53"/>
        <v>2.3596213589690504E-10</v>
      </c>
      <c r="AL96" s="33">
        <f ca="1">INT(AK96) + _xll.RiskBinomial(1,AK96-INT(AK96))</f>
        <v>0</v>
      </c>
      <c r="AM96" s="26">
        <f t="shared" ca="1" si="54"/>
        <v>0</v>
      </c>
      <c r="AN96" s="31">
        <f ca="1">_xll.RiskBinomial(1,AM96)</f>
        <v>0</v>
      </c>
      <c r="AO96" s="78">
        <f ca="1">IF(AN96=1,_xll.RiskBinomial(1,Prob_illness_Adv_infection),0)</f>
        <v>0</v>
      </c>
      <c r="AP96" s="26"/>
      <c r="AQ96" s="77">
        <f t="shared" ca="1" si="55"/>
        <v>4.477007896824626E-10</v>
      </c>
      <c r="AR96" s="33">
        <f ca="1">INT(AQ96) + _xll.RiskBinomial(1,AQ96-INT(AQ96))</f>
        <v>0</v>
      </c>
      <c r="AS96" s="26">
        <f t="shared" ca="1" si="56"/>
        <v>0</v>
      </c>
      <c r="AT96" s="31">
        <f ca="1">_xll.RiskBinomial(1,AS96)</f>
        <v>0</v>
      </c>
      <c r="AU96" s="78">
        <f ca="1">IF(AT96=1,_xll.RiskBinomial(1,Prob_illness_Adv_infection),0)</f>
        <v>0</v>
      </c>
      <c r="AV96" s="26"/>
      <c r="AW96" s="77">
        <f t="shared" ca="1" si="65"/>
        <v>7.8846342834594147E-12</v>
      </c>
      <c r="AX96" s="33">
        <f ca="1">INT(AW96) + _xll.RiskBinomial(1,AW96-INT(AW96))</f>
        <v>0</v>
      </c>
      <c r="AY96" s="26">
        <f t="shared" ca="1" si="57"/>
        <v>0</v>
      </c>
      <c r="AZ96" s="31">
        <f ca="1">_xll.RiskBinomial(1,AY96)</f>
        <v>0</v>
      </c>
      <c r="BA96" s="78">
        <f ca="1">IF(AZ96=1,_xll.RiskBinomial(1,Prob_illness_Adv_infection),0)</f>
        <v>0</v>
      </c>
      <c r="BC96" s="77">
        <f t="shared" ca="1" si="66"/>
        <v>4.0414624145263694E-11</v>
      </c>
      <c r="BD96" s="33">
        <f ca="1">INT(BC96) + _xll.RiskBinomial(1,BC96-INT(BC96))</f>
        <v>0</v>
      </c>
      <c r="BE96" s="26">
        <f t="shared" ca="1" si="58"/>
        <v>0</v>
      </c>
      <c r="BF96" s="31">
        <f ca="1">_xll.RiskBinomial(1,BE96)</f>
        <v>0</v>
      </c>
      <c r="BG96" s="78">
        <f ca="1">IF(BF96=1,_xll.RiskBinomial(1,Prob_illness_Adv_infection),0)</f>
        <v>0</v>
      </c>
      <c r="BI96" s="77">
        <f t="shared" ca="1" si="67"/>
        <v>1.8820340627330114E-11</v>
      </c>
      <c r="BJ96" s="33">
        <f ca="1">INT(BI96) + _xll.RiskBinomial(1,BI96-INT(BI96))</f>
        <v>0</v>
      </c>
      <c r="BK96" s="26">
        <f t="shared" ca="1" si="59"/>
        <v>0</v>
      </c>
      <c r="BL96" s="31">
        <f ca="1">_xll.RiskBinomial(1,BK96)</f>
        <v>0</v>
      </c>
      <c r="BM96" s="78">
        <f ca="1">IF(BL96=1,_xll.RiskBinomial(1,Prob_illness_Adv_infection),0)</f>
        <v>0</v>
      </c>
      <c r="BO96" s="77">
        <f t="shared" ca="1" si="68"/>
        <v>4.068972741379612E-11</v>
      </c>
      <c r="BP96" s="33">
        <f ca="1">INT(BO96) + _xll.RiskBinomial(1,BO96-INT(BO96))</f>
        <v>0</v>
      </c>
      <c r="BQ96" s="26">
        <f t="shared" ca="1" si="60"/>
        <v>0</v>
      </c>
      <c r="BR96" s="31">
        <f ca="1">_xll.RiskBinomial(1,BQ96)</f>
        <v>0</v>
      </c>
      <c r="BS96" s="78">
        <f ca="1">IF(BR96=1,_xll.RiskBinomial(1,Prob_illness_Adv_infection),0)</f>
        <v>0</v>
      </c>
      <c r="BU96" s="77">
        <f t="shared" ca="1" si="69"/>
        <v>2.9072914060559026E-13</v>
      </c>
      <c r="BV96" s="33">
        <f ca="1">INT(BU96) + _xll.RiskBinomial(1,BU96-INT(BU96))</f>
        <v>0</v>
      </c>
      <c r="BW96" s="26">
        <f t="shared" ca="1" si="61"/>
        <v>0</v>
      </c>
      <c r="BX96" s="31">
        <f ca="1">_xll.RiskBinomial(1,BW96)</f>
        <v>0</v>
      </c>
      <c r="BY96" s="78">
        <f ca="1">IF(BX96=1,_xll.RiskBinomial(1,Prob_illness_Adv_infection),0)</f>
        <v>0</v>
      </c>
      <c r="CA96" s="77">
        <f t="shared" ca="1" si="70"/>
        <v>4.4114168825667317E-11</v>
      </c>
      <c r="CB96" s="33">
        <f ca="1">INT(CA96) + _xll.RiskBinomial(1,CA96-INT(CA96))</f>
        <v>0</v>
      </c>
      <c r="CC96" s="26">
        <f t="shared" ca="1" si="62"/>
        <v>0</v>
      </c>
      <c r="CD96" s="31">
        <f ca="1">_xll.RiskBinomial(1,CC96)</f>
        <v>0</v>
      </c>
      <c r="CE96" s="78">
        <f ca="1">IF(CD96=1,_xll.RiskBinomial(1,Prob_illness_Adv_infection),0)</f>
        <v>0</v>
      </c>
      <c r="CG96" s="77" t="e">
        <f t="shared" ca="1" si="71"/>
        <v>#VALUE!</v>
      </c>
      <c r="CH96" s="33" t="e">
        <f ca="1">INT(CG96) + _xll.RiskBinomial(1,CG96-INT(CG96))</f>
        <v>#VALUE!</v>
      </c>
      <c r="CI96" s="26" t="e">
        <f t="shared" ca="1" si="63"/>
        <v>#VALUE!</v>
      </c>
      <c r="CJ96" s="31" t="e">
        <f ca="1">_xll.RiskBinomial(1,CI96)</f>
        <v>#VALUE!</v>
      </c>
      <c r="CK96" s="78" t="e">
        <f ca="1">IF(CJ96=1,_xll.RiskBinomial(1,Prob_illness_Adv_infection),0)</f>
        <v>#VALUE!</v>
      </c>
    </row>
    <row r="97" spans="2:89" x14ac:dyDescent="0.2">
      <c r="B97" s="97">
        <v>89</v>
      </c>
      <c r="C97" s="100">
        <f ca="1" xml:space="preserve"> _xll.RiskPert(Dur_event_hours_min,Dur_event_hours_mode,Dur_event_hours_max)</f>
        <v>2.3591043251204473</v>
      </c>
      <c r="D97" s="26">
        <f ca="1">_xll.RiskPert(Primary_Ing_Rate_mL_per_hour_min,Primary_Ing_Rate_mL_per_hour_mode,Primary_Ing_Rate_mL_per_hour_max)</f>
        <v>23.309003187538217</v>
      </c>
      <c r="E97" s="34">
        <f t="shared" ca="1" si="43"/>
        <v>54.9883702339677</v>
      </c>
      <c r="F97" s="26"/>
      <c r="G97" s="77">
        <f t="shared" ca="1" si="64"/>
        <v>5.0487416380201456E-9</v>
      </c>
      <c r="H97" s="33">
        <f ca="1">INT(G97) + _xll.RiskBinomial(1,G97-INT(G97))</f>
        <v>0</v>
      </c>
      <c r="I97" s="26">
        <f t="shared" ca="1" si="44"/>
        <v>0</v>
      </c>
      <c r="J97" s="31">
        <f ca="1">_xll.RiskBinomial(1,I97)</f>
        <v>0</v>
      </c>
      <c r="K97" s="78">
        <f ca="1">IF(J97=1,_xll.RiskBinomial(1,Prob_illness_Adv_infection),0)</f>
        <v>0</v>
      </c>
      <c r="L97" s="26"/>
      <c r="M97" s="77">
        <f t="shared" ca="1" si="45"/>
        <v>1.2538865800112616E-10</v>
      </c>
      <c r="N97" s="33">
        <f ca="1">INT(M97) + _xll.RiskBinomial(1,M97-INT(M97))</f>
        <v>0</v>
      </c>
      <c r="O97" s="26">
        <f t="shared" ca="1" si="46"/>
        <v>0</v>
      </c>
      <c r="P97" s="31">
        <f ca="1">_xll.RiskBinomial(1,O97)</f>
        <v>0</v>
      </c>
      <c r="Q97" s="78">
        <f ca="1">IF(P97=1,_xll.RiskBinomial(1,Prob_illness_Adv_infection),0)</f>
        <v>0</v>
      </c>
      <c r="R97" s="26"/>
      <c r="S97" s="77">
        <f t="shared" ca="1" si="47"/>
        <v>1.5877818223632098E-9</v>
      </c>
      <c r="T97" s="33">
        <f ca="1">INT(S97) + _xll.RiskBinomial(1,S97-INT(S97))</f>
        <v>0</v>
      </c>
      <c r="U97" s="26">
        <f t="shared" ca="1" si="48"/>
        <v>0</v>
      </c>
      <c r="V97" s="31">
        <f ca="1">_xll.RiskBinomial(1,U97)</f>
        <v>0</v>
      </c>
      <c r="W97" s="78">
        <f ca="1">IF(V97=1,_xll.RiskBinomial(1,Prob_illness_Adv_infection),0)</f>
        <v>0</v>
      </c>
      <c r="X97" s="26"/>
      <c r="Y97" s="77">
        <f t="shared" ca="1" si="49"/>
        <v>1.3206194517922172E-10</v>
      </c>
      <c r="Z97" s="33">
        <f ca="1">INT(Y97) + _xll.RiskBinomial(1,Y97-INT(Y97))</f>
        <v>0</v>
      </c>
      <c r="AA97" s="26">
        <f t="shared" ca="1" si="50"/>
        <v>0</v>
      </c>
      <c r="AB97" s="31">
        <f ca="1">_xll.RiskBinomial(1,AA97)</f>
        <v>0</v>
      </c>
      <c r="AC97" s="78">
        <f ca="1">IF(AB97=1,_xll.RiskBinomial(1,Prob_illness_Adv_infection),0)</f>
        <v>0</v>
      </c>
      <c r="AD97" s="26"/>
      <c r="AE97" s="77">
        <f t="shared" ca="1" si="51"/>
        <v>1.9832107176258021E-10</v>
      </c>
      <c r="AF97" s="33">
        <f ca="1">INT(AE97) + _xll.RiskBinomial(1,AE97-INT(AE97))</f>
        <v>0</v>
      </c>
      <c r="AG97" s="26">
        <f t="shared" ca="1" si="52"/>
        <v>0</v>
      </c>
      <c r="AH97" s="31">
        <f ca="1">_xll.RiskBinomial(1,AG97)</f>
        <v>0</v>
      </c>
      <c r="AI97" s="78">
        <f ca="1">IF(AH97=1,_xll.RiskBinomial(1,Prob_illness_Adv_infection),0)</f>
        <v>0</v>
      </c>
      <c r="AJ97" s="26"/>
      <c r="AK97" s="77">
        <f t="shared" ca="1" si="53"/>
        <v>1.2902940544463203E-9</v>
      </c>
      <c r="AL97" s="33">
        <f ca="1">INT(AK97) + _xll.RiskBinomial(1,AK97-INT(AK97))</f>
        <v>0</v>
      </c>
      <c r="AM97" s="26">
        <f t="shared" ca="1" si="54"/>
        <v>0</v>
      </c>
      <c r="AN97" s="31">
        <f ca="1">_xll.RiskBinomial(1,AM97)</f>
        <v>0</v>
      </c>
      <c r="AO97" s="78">
        <f ca="1">IF(AN97=1,_xll.RiskBinomial(1,Prob_illness_Adv_infection),0)</f>
        <v>0</v>
      </c>
      <c r="AP97" s="26"/>
      <c r="AQ97" s="77">
        <f t="shared" ca="1" si="55"/>
        <v>2.4481286580258525E-9</v>
      </c>
      <c r="AR97" s="33">
        <f ca="1">INT(AQ97) + _xll.RiskBinomial(1,AQ97-INT(AQ97))</f>
        <v>0</v>
      </c>
      <c r="AS97" s="26">
        <f t="shared" ca="1" si="56"/>
        <v>0</v>
      </c>
      <c r="AT97" s="31">
        <f ca="1">_xll.RiskBinomial(1,AS97)</f>
        <v>0</v>
      </c>
      <c r="AU97" s="78">
        <f ca="1">IF(AT97=1,_xll.RiskBinomial(1,Prob_illness_Adv_infection),0)</f>
        <v>0</v>
      </c>
      <c r="AV97" s="26"/>
      <c r="AW97" s="77">
        <f t="shared" ca="1" si="65"/>
        <v>4.3114954434368408E-11</v>
      </c>
      <c r="AX97" s="33">
        <f ca="1">INT(AW97) + _xll.RiskBinomial(1,AW97-INT(AW97))</f>
        <v>0</v>
      </c>
      <c r="AY97" s="26">
        <f t="shared" ca="1" si="57"/>
        <v>0</v>
      </c>
      <c r="AZ97" s="31">
        <f ca="1">_xll.RiskBinomial(1,AY97)</f>
        <v>0</v>
      </c>
      <c r="BA97" s="78">
        <f ca="1">IF(AZ97=1,_xll.RiskBinomial(1,Prob_illness_Adv_infection),0)</f>
        <v>0</v>
      </c>
      <c r="BC97" s="77">
        <f t="shared" ca="1" si="66"/>
        <v>2.2099625878153623E-10</v>
      </c>
      <c r="BD97" s="33">
        <f ca="1">INT(BC97) + _xll.RiskBinomial(1,BC97-INT(BC97))</f>
        <v>0</v>
      </c>
      <c r="BE97" s="26">
        <f t="shared" ca="1" si="58"/>
        <v>0</v>
      </c>
      <c r="BF97" s="31">
        <f ca="1">_xll.RiskBinomial(1,BE97)</f>
        <v>0</v>
      </c>
      <c r="BG97" s="78">
        <f ca="1">IF(BF97=1,_xll.RiskBinomial(1,Prob_illness_Adv_infection),0)</f>
        <v>0</v>
      </c>
      <c r="BI97" s="77">
        <f t="shared" ca="1" si="67"/>
        <v>1.0291385743646802E-10</v>
      </c>
      <c r="BJ97" s="33">
        <f ca="1">INT(BI97) + _xll.RiskBinomial(1,BI97-INT(BI97))</f>
        <v>0</v>
      </c>
      <c r="BK97" s="26">
        <f t="shared" ca="1" si="59"/>
        <v>0</v>
      </c>
      <c r="BL97" s="31">
        <f ca="1">_xll.RiskBinomial(1,BK97)</f>
        <v>0</v>
      </c>
      <c r="BM97" s="78">
        <f ca="1">IF(BL97=1,_xll.RiskBinomial(1,Prob_illness_Adv_infection),0)</f>
        <v>0</v>
      </c>
      <c r="BO97" s="77">
        <f t="shared" ca="1" si="68"/>
        <v>2.2250058535663225E-10</v>
      </c>
      <c r="BP97" s="33">
        <f ca="1">INT(BO97) + _xll.RiskBinomial(1,BO97-INT(BO97))</f>
        <v>0</v>
      </c>
      <c r="BQ97" s="26">
        <f t="shared" ca="1" si="60"/>
        <v>0</v>
      </c>
      <c r="BR97" s="31">
        <f ca="1">_xll.RiskBinomial(1,BQ97)</f>
        <v>0</v>
      </c>
      <c r="BS97" s="78">
        <f ca="1">IF(BR97=1,_xll.RiskBinomial(1,Prob_illness_Adv_infection),0)</f>
        <v>0</v>
      </c>
      <c r="BU97" s="77">
        <f t="shared" ca="1" si="69"/>
        <v>1.5897723596703621E-12</v>
      </c>
      <c r="BV97" s="33">
        <f ca="1">INT(BU97) + _xll.RiskBinomial(1,BU97-INT(BU97))</f>
        <v>0</v>
      </c>
      <c r="BW97" s="26">
        <f t="shared" ca="1" si="61"/>
        <v>0</v>
      </c>
      <c r="BX97" s="31">
        <f ca="1">_xll.RiskBinomial(1,BW97)</f>
        <v>0</v>
      </c>
      <c r="BY97" s="78">
        <f ca="1">IF(BX97=1,_xll.RiskBinomial(1,Prob_illness_Adv_infection),0)</f>
        <v>0</v>
      </c>
      <c r="CA97" s="77">
        <f t="shared" ca="1" si="70"/>
        <v>2.4122620155239212E-10</v>
      </c>
      <c r="CB97" s="33">
        <f ca="1">INT(CA97) + _xll.RiskBinomial(1,CA97-INT(CA97))</f>
        <v>0</v>
      </c>
      <c r="CC97" s="26">
        <f t="shared" ca="1" si="62"/>
        <v>0</v>
      </c>
      <c r="CD97" s="31">
        <f ca="1">_xll.RiskBinomial(1,CC97)</f>
        <v>0</v>
      </c>
      <c r="CE97" s="78">
        <f ca="1">IF(CD97=1,_xll.RiskBinomial(1,Prob_illness_Adv_infection),0)</f>
        <v>0</v>
      </c>
      <c r="CG97" s="77" t="e">
        <f t="shared" ca="1" si="71"/>
        <v>#VALUE!</v>
      </c>
      <c r="CH97" s="33" t="e">
        <f ca="1">INT(CG97) + _xll.RiskBinomial(1,CG97-INT(CG97))</f>
        <v>#VALUE!</v>
      </c>
      <c r="CI97" s="26" t="e">
        <f t="shared" ca="1" si="63"/>
        <v>#VALUE!</v>
      </c>
      <c r="CJ97" s="31" t="e">
        <f ca="1">_xll.RiskBinomial(1,CI97)</f>
        <v>#VALUE!</v>
      </c>
      <c r="CK97" s="78" t="e">
        <f ca="1">IF(CJ97=1,_xll.RiskBinomial(1,Prob_illness_Adv_infection),0)</f>
        <v>#VALUE!</v>
      </c>
    </row>
    <row r="98" spans="2:89" x14ac:dyDescent="0.2">
      <c r="B98" s="97">
        <v>90</v>
      </c>
      <c r="C98" s="100">
        <f ca="1" xml:space="preserve"> _xll.RiskPert(Dur_event_hours_min,Dur_event_hours_mode,Dur_event_hours_max)</f>
        <v>0.68959151337915914</v>
      </c>
      <c r="D98" s="26">
        <f ca="1">_xll.RiskPert(Primary_Ing_Rate_mL_per_hour_min,Primary_Ing_Rate_mL_per_hour_mode,Primary_Ing_Rate_mL_per_hour_max)</f>
        <v>6.5306572710929798</v>
      </c>
      <c r="E98" s="34">
        <f t="shared" ca="1" si="43"/>
        <v>4.5034858309336174</v>
      </c>
      <c r="F98" s="26"/>
      <c r="G98" s="77">
        <f t="shared" ca="1" si="64"/>
        <v>4.1348627599119371E-10</v>
      </c>
      <c r="H98" s="33">
        <f ca="1">INT(G98) + _xll.RiskBinomial(1,G98-INT(G98))</f>
        <v>0</v>
      </c>
      <c r="I98" s="26">
        <f t="shared" ca="1" si="44"/>
        <v>0</v>
      </c>
      <c r="J98" s="31">
        <f ca="1">_xll.RiskBinomial(1,I98)</f>
        <v>0</v>
      </c>
      <c r="K98" s="78">
        <f ca="1">IF(J98=1,_xll.RiskBinomial(1,Prob_illness_Adv_infection),0)</f>
        <v>0</v>
      </c>
      <c r="L98" s="26"/>
      <c r="M98" s="77">
        <f t="shared" ca="1" si="45"/>
        <v>1.0269190417268124E-11</v>
      </c>
      <c r="N98" s="33">
        <f ca="1">INT(M98) + _xll.RiskBinomial(1,M98-INT(M98))</f>
        <v>0</v>
      </c>
      <c r="O98" s="26">
        <f t="shared" ca="1" si="46"/>
        <v>0</v>
      </c>
      <c r="P98" s="31">
        <f ca="1">_xll.RiskBinomial(1,O98)</f>
        <v>0</v>
      </c>
      <c r="Q98" s="78">
        <f ca="1">IF(P98=1,_xll.RiskBinomial(1,Prob_illness_Adv_infection),0)</f>
        <v>0</v>
      </c>
      <c r="R98" s="26"/>
      <c r="S98" s="77">
        <f t="shared" ca="1" si="47"/>
        <v>1.3003754992559494E-10</v>
      </c>
      <c r="T98" s="33">
        <f ca="1">INT(S98) + _xll.RiskBinomial(1,S98-INT(S98))</f>
        <v>0</v>
      </c>
      <c r="U98" s="26">
        <f t="shared" ca="1" si="48"/>
        <v>0</v>
      </c>
      <c r="V98" s="31">
        <f ca="1">_xll.RiskBinomial(1,U98)</f>
        <v>0</v>
      </c>
      <c r="W98" s="78">
        <f ca="1">IF(V98=1,_xll.RiskBinomial(1,Prob_illness_Adv_infection),0)</f>
        <v>0</v>
      </c>
      <c r="X98" s="26"/>
      <c r="Y98" s="77">
        <f t="shared" ca="1" si="49"/>
        <v>1.0815725150420476E-11</v>
      </c>
      <c r="Z98" s="33">
        <f ca="1">INT(Y98) + _xll.RiskBinomial(1,Y98-INT(Y98))</f>
        <v>0</v>
      </c>
      <c r="AA98" s="26">
        <f t="shared" ca="1" si="50"/>
        <v>0</v>
      </c>
      <c r="AB98" s="31">
        <f ca="1">_xll.RiskBinomial(1,AA98)</f>
        <v>0</v>
      </c>
      <c r="AC98" s="78">
        <f ca="1">IF(AB98=1,_xll.RiskBinomial(1,Prob_illness_Adv_infection),0)</f>
        <v>0</v>
      </c>
      <c r="AD98" s="26"/>
      <c r="AE98" s="77">
        <f t="shared" ca="1" si="51"/>
        <v>1.6242273281753611E-11</v>
      </c>
      <c r="AF98" s="33">
        <f ca="1">INT(AE98) + _xll.RiskBinomial(1,AE98-INT(AE98))</f>
        <v>0</v>
      </c>
      <c r="AG98" s="26">
        <f t="shared" ca="1" si="52"/>
        <v>0</v>
      </c>
      <c r="AH98" s="31">
        <f ca="1">_xll.RiskBinomial(1,AG98)</f>
        <v>0</v>
      </c>
      <c r="AI98" s="78">
        <f ca="1">IF(AH98=1,_xll.RiskBinomial(1,Prob_illness_Adv_infection),0)</f>
        <v>0</v>
      </c>
      <c r="AJ98" s="26"/>
      <c r="AK98" s="77">
        <f t="shared" ca="1" si="53"/>
        <v>1.0567363548351543E-10</v>
      </c>
      <c r="AL98" s="33">
        <f ca="1">INT(AK98) + _xll.RiskBinomial(1,AK98-INT(AK98))</f>
        <v>0</v>
      </c>
      <c r="AM98" s="26">
        <f t="shared" ca="1" si="54"/>
        <v>0</v>
      </c>
      <c r="AN98" s="31">
        <f ca="1">_xll.RiskBinomial(1,AM98)</f>
        <v>0</v>
      </c>
      <c r="AO98" s="78">
        <f ca="1">IF(AN98=1,_xll.RiskBinomial(1,Prob_illness_Adv_infection),0)</f>
        <v>0</v>
      </c>
      <c r="AP98" s="26"/>
      <c r="AQ98" s="77">
        <f t="shared" ca="1" si="55"/>
        <v>2.0049899054675874E-10</v>
      </c>
      <c r="AR98" s="33">
        <f ca="1">INT(AQ98) + _xll.RiskBinomial(1,AQ98-INT(AQ98))</f>
        <v>0</v>
      </c>
      <c r="AS98" s="26">
        <f t="shared" ca="1" si="56"/>
        <v>0</v>
      </c>
      <c r="AT98" s="31">
        <f ca="1">_xll.RiskBinomial(1,AS98)</f>
        <v>0</v>
      </c>
      <c r="AU98" s="78">
        <f ca="1">IF(AT98=1,_xll.RiskBinomial(1,Prob_illness_Adv_infection),0)</f>
        <v>0</v>
      </c>
      <c r="AV98" s="26"/>
      <c r="AW98" s="77">
        <f t="shared" ca="1" si="65"/>
        <v>3.5310663976832038E-12</v>
      </c>
      <c r="AX98" s="33">
        <f ca="1">INT(AW98) + _xll.RiskBinomial(1,AW98-INT(AW98))</f>
        <v>0</v>
      </c>
      <c r="AY98" s="26">
        <f t="shared" ca="1" si="57"/>
        <v>0</v>
      </c>
      <c r="AZ98" s="31">
        <f ca="1">_xll.RiskBinomial(1,AY98)</f>
        <v>0</v>
      </c>
      <c r="BA98" s="78">
        <f ca="1">IF(AZ98=1,_xll.RiskBinomial(1,Prob_illness_Adv_infection),0)</f>
        <v>0</v>
      </c>
      <c r="BC98" s="77">
        <f t="shared" ca="1" si="66"/>
        <v>1.8099345659406255E-11</v>
      </c>
      <c r="BD98" s="33">
        <f ca="1">INT(BC98) + _xll.RiskBinomial(1,BC98-INT(BC98))</f>
        <v>0</v>
      </c>
      <c r="BE98" s="26">
        <f t="shared" ca="1" si="58"/>
        <v>0</v>
      </c>
      <c r="BF98" s="31">
        <f ca="1">_xll.RiskBinomial(1,BE98)</f>
        <v>0</v>
      </c>
      <c r="BG98" s="78">
        <f ca="1">IF(BF98=1,_xll.RiskBinomial(1,Prob_illness_Adv_infection),0)</f>
        <v>0</v>
      </c>
      <c r="BI98" s="77">
        <f t="shared" ca="1" si="67"/>
        <v>8.4285294654097281E-12</v>
      </c>
      <c r="BJ98" s="33">
        <f ca="1">INT(BI98) + _xll.RiskBinomial(1,BI98-INT(BI98))</f>
        <v>0</v>
      </c>
      <c r="BK98" s="26">
        <f t="shared" ca="1" si="59"/>
        <v>0</v>
      </c>
      <c r="BL98" s="31">
        <f ca="1">_xll.RiskBinomial(1,BK98)</f>
        <v>0</v>
      </c>
      <c r="BM98" s="78">
        <f ca="1">IF(BL98=1,_xll.RiskBinomial(1,Prob_illness_Adv_infection),0)</f>
        <v>0</v>
      </c>
      <c r="BO98" s="77">
        <f t="shared" ca="1" si="68"/>
        <v>1.8222548318208769E-11</v>
      </c>
      <c r="BP98" s="33">
        <f ca="1">INT(BO98) + _xll.RiskBinomial(1,BO98-INT(BO98))</f>
        <v>0</v>
      </c>
      <c r="BQ98" s="26">
        <f t="shared" ca="1" si="60"/>
        <v>0</v>
      </c>
      <c r="BR98" s="31">
        <f ca="1">_xll.RiskBinomial(1,BQ98)</f>
        <v>0</v>
      </c>
      <c r="BS98" s="78">
        <f ca="1">IF(BR98=1,_xll.RiskBinomial(1,Prob_illness_Adv_infection),0)</f>
        <v>0</v>
      </c>
      <c r="BU98" s="77">
        <f t="shared" ca="1" si="69"/>
        <v>1.3020057269787501E-13</v>
      </c>
      <c r="BV98" s="33">
        <f ca="1">INT(BU98) + _xll.RiskBinomial(1,BU98-INT(BU98))</f>
        <v>0</v>
      </c>
      <c r="BW98" s="26">
        <f t="shared" ca="1" si="61"/>
        <v>0</v>
      </c>
      <c r="BX98" s="31">
        <f ca="1">_xll.RiskBinomial(1,BW98)</f>
        <v>0</v>
      </c>
      <c r="BY98" s="78">
        <f ca="1">IF(BX98=1,_xll.RiskBinomial(1,Prob_illness_Adv_infection),0)</f>
        <v>0</v>
      </c>
      <c r="CA98" s="77">
        <f t="shared" ca="1" si="70"/>
        <v>1.9756155276449049E-11</v>
      </c>
      <c r="CB98" s="33">
        <f ca="1">INT(CA98) + _xll.RiskBinomial(1,CA98-INT(CA98))</f>
        <v>0</v>
      </c>
      <c r="CC98" s="26">
        <f t="shared" ca="1" si="62"/>
        <v>0</v>
      </c>
      <c r="CD98" s="31">
        <f ca="1">_xll.RiskBinomial(1,CC98)</f>
        <v>0</v>
      </c>
      <c r="CE98" s="78">
        <f ca="1">IF(CD98=1,_xll.RiskBinomial(1,Prob_illness_Adv_infection),0)</f>
        <v>0</v>
      </c>
      <c r="CG98" s="77" t="e">
        <f t="shared" ca="1" si="71"/>
        <v>#VALUE!</v>
      </c>
      <c r="CH98" s="33" t="e">
        <f ca="1">INT(CG98) + _xll.RiskBinomial(1,CG98-INT(CG98))</f>
        <v>#VALUE!</v>
      </c>
      <c r="CI98" s="26" t="e">
        <f t="shared" ca="1" si="63"/>
        <v>#VALUE!</v>
      </c>
      <c r="CJ98" s="31" t="e">
        <f ca="1">_xll.RiskBinomial(1,CI98)</f>
        <v>#VALUE!</v>
      </c>
      <c r="CK98" s="78" t="e">
        <f ca="1">IF(CJ98=1,_xll.RiskBinomial(1,Prob_illness_Adv_infection),0)</f>
        <v>#VALUE!</v>
      </c>
    </row>
    <row r="99" spans="2:89" x14ac:dyDescent="0.2">
      <c r="B99" s="97">
        <v>91</v>
      </c>
      <c r="C99" s="100">
        <f ca="1" xml:space="preserve"> _xll.RiskPert(Dur_event_hours_min,Dur_event_hours_mode,Dur_event_hours_max)</f>
        <v>2.4111635585799664</v>
      </c>
      <c r="D99" s="26">
        <f ca="1">_xll.RiskPert(Primary_Ing_Rate_mL_per_hour_min,Primary_Ing_Rate_mL_per_hour_mode,Primary_Ing_Rate_mL_per_hour_max)</f>
        <v>11.156219703193596</v>
      </c>
      <c r="E99" s="34">
        <f t="shared" ca="1" si="43"/>
        <v>26.899470399852209</v>
      </c>
      <c r="F99" s="26"/>
      <c r="G99" s="77">
        <f t="shared" ca="1" si="64"/>
        <v>2.4697672557047704E-9</v>
      </c>
      <c r="H99" s="33">
        <f ca="1">INT(G99) + _xll.RiskBinomial(1,G99-INT(G99))</f>
        <v>0</v>
      </c>
      <c r="I99" s="26">
        <f t="shared" ca="1" si="44"/>
        <v>0</v>
      </c>
      <c r="J99" s="31">
        <f ca="1">_xll.RiskBinomial(1,I99)</f>
        <v>0</v>
      </c>
      <c r="K99" s="78">
        <f ca="1">IF(J99=1,_xll.RiskBinomial(1,Prob_illness_Adv_infection),0)</f>
        <v>0</v>
      </c>
      <c r="L99" s="26"/>
      <c r="M99" s="77">
        <f t="shared" ca="1" si="45"/>
        <v>6.1338215335848721E-11</v>
      </c>
      <c r="N99" s="33">
        <f ca="1">INT(M99) + _xll.RiskBinomial(1,M99-INT(M99))</f>
        <v>0</v>
      </c>
      <c r="O99" s="26">
        <f t="shared" ca="1" si="46"/>
        <v>0</v>
      </c>
      <c r="P99" s="31">
        <f ca="1">_xll.RiskBinomial(1,O99)</f>
        <v>0</v>
      </c>
      <c r="Q99" s="78">
        <f ca="1">IF(P99=1,_xll.RiskBinomial(1,Prob_illness_Adv_infection),0)</f>
        <v>0</v>
      </c>
      <c r="R99" s="26"/>
      <c r="S99" s="77">
        <f t="shared" ca="1" si="47"/>
        <v>7.7671860341296701E-10</v>
      </c>
      <c r="T99" s="33">
        <f ca="1">INT(S99) + _xll.RiskBinomial(1,S99-INT(S99))</f>
        <v>0</v>
      </c>
      <c r="U99" s="26">
        <f t="shared" ca="1" si="48"/>
        <v>0</v>
      </c>
      <c r="V99" s="31">
        <f ca="1">_xll.RiskBinomial(1,U99)</f>
        <v>0</v>
      </c>
      <c r="W99" s="78">
        <f ca="1">IF(V99=1,_xll.RiskBinomial(1,Prob_illness_Adv_infection),0)</f>
        <v>0</v>
      </c>
      <c r="X99" s="26"/>
      <c r="Y99" s="77">
        <f t="shared" ca="1" si="49"/>
        <v>6.4602685443857266E-11</v>
      </c>
      <c r="Z99" s="33">
        <f ca="1">INT(Y99) + _xll.RiskBinomial(1,Y99-INT(Y99))</f>
        <v>0</v>
      </c>
      <c r="AA99" s="26">
        <f t="shared" ca="1" si="50"/>
        <v>0</v>
      </c>
      <c r="AB99" s="31">
        <f ca="1">_xll.RiskBinomial(1,AA99)</f>
        <v>0</v>
      </c>
      <c r="AC99" s="78">
        <f ca="1">IF(AB99=1,_xll.RiskBinomial(1,Prob_illness_Adv_infection),0)</f>
        <v>0</v>
      </c>
      <c r="AD99" s="26"/>
      <c r="AE99" s="77">
        <f t="shared" ca="1" si="51"/>
        <v>9.701563761293463E-11</v>
      </c>
      <c r="AF99" s="33">
        <f ca="1">INT(AE99) + _xll.RiskBinomial(1,AE99-INT(AE99))</f>
        <v>0</v>
      </c>
      <c r="AG99" s="26">
        <f t="shared" ca="1" si="52"/>
        <v>0</v>
      </c>
      <c r="AH99" s="31">
        <f ca="1">_xll.RiskBinomial(1,AG99)</f>
        <v>0</v>
      </c>
      <c r="AI99" s="78">
        <f ca="1">IF(AH99=1,_xll.RiskBinomial(1,Prob_illness_Adv_infection),0)</f>
        <v>0</v>
      </c>
      <c r="AJ99" s="26"/>
      <c r="AK99" s="77">
        <f t="shared" ca="1" si="53"/>
        <v>6.3119213348214381E-10</v>
      </c>
      <c r="AL99" s="33">
        <f ca="1">INT(AK99) + _xll.RiskBinomial(1,AK99-INT(AK99))</f>
        <v>0</v>
      </c>
      <c r="AM99" s="26">
        <f t="shared" ca="1" si="54"/>
        <v>0</v>
      </c>
      <c r="AN99" s="31">
        <f ca="1">_xll.RiskBinomial(1,AM99)</f>
        <v>0</v>
      </c>
      <c r="AO99" s="78">
        <f ca="1">IF(AN99=1,_xll.RiskBinomial(1,Prob_illness_Adv_infection),0)</f>
        <v>0</v>
      </c>
      <c r="AP99" s="26"/>
      <c r="AQ99" s="77">
        <f t="shared" ca="1" si="55"/>
        <v>1.1975871278126561E-9</v>
      </c>
      <c r="AR99" s="33">
        <f ca="1">INT(AQ99) + _xll.RiskBinomial(1,AQ99-INT(AQ99))</f>
        <v>0</v>
      </c>
      <c r="AS99" s="26">
        <f t="shared" ca="1" si="56"/>
        <v>0</v>
      </c>
      <c r="AT99" s="31">
        <f ca="1">_xll.RiskBinomial(1,AS99)</f>
        <v>0</v>
      </c>
      <c r="AU99" s="78">
        <f ca="1">IF(AT99=1,_xll.RiskBinomial(1,Prob_illness_Adv_infection),0)</f>
        <v>0</v>
      </c>
      <c r="AV99" s="26"/>
      <c r="AW99" s="77">
        <f t="shared" ca="1" si="65"/>
        <v>2.1091176837276965E-11</v>
      </c>
      <c r="AX99" s="33">
        <f ca="1">INT(AW99) + _xll.RiskBinomial(1,AW99-INT(AW99))</f>
        <v>0</v>
      </c>
      <c r="AY99" s="26">
        <f t="shared" ca="1" si="57"/>
        <v>0</v>
      </c>
      <c r="AZ99" s="31">
        <f ca="1">_xll.RiskBinomial(1,AY99)</f>
        <v>0</v>
      </c>
      <c r="BA99" s="78">
        <f ca="1">IF(AZ99=1,_xll.RiskBinomial(1,Prob_illness_Adv_infection),0)</f>
        <v>0</v>
      </c>
      <c r="BC99" s="77">
        <f t="shared" ca="1" si="66"/>
        <v>1.0810799258603653E-10</v>
      </c>
      <c r="BD99" s="33">
        <f ca="1">INT(BC99) + _xll.RiskBinomial(1,BC99-INT(BC99))</f>
        <v>0</v>
      </c>
      <c r="BE99" s="26">
        <f t="shared" ca="1" si="58"/>
        <v>0</v>
      </c>
      <c r="BF99" s="31">
        <f ca="1">_xll.RiskBinomial(1,BE99)</f>
        <v>0</v>
      </c>
      <c r="BG99" s="78">
        <f ca="1">IF(BF99=1,_xll.RiskBinomial(1,Prob_illness_Adv_infection),0)</f>
        <v>0</v>
      </c>
      <c r="BI99" s="77">
        <f t="shared" ca="1" si="67"/>
        <v>5.034388635393336E-11</v>
      </c>
      <c r="BJ99" s="33">
        <f ca="1">INT(BI99) + _xll.RiskBinomial(1,BI99-INT(BI99))</f>
        <v>0</v>
      </c>
      <c r="BK99" s="26">
        <f t="shared" ca="1" si="59"/>
        <v>0</v>
      </c>
      <c r="BL99" s="31">
        <f ca="1">_xll.RiskBinomial(1,BK99)</f>
        <v>0</v>
      </c>
      <c r="BM99" s="78">
        <f ca="1">IF(BL99=1,_xll.RiskBinomial(1,Prob_illness_Adv_infection),0)</f>
        <v>0</v>
      </c>
      <c r="BO99" s="77">
        <f t="shared" ca="1" si="68"/>
        <v>1.0884388615782875E-10</v>
      </c>
      <c r="BP99" s="33">
        <f ca="1">INT(BO99) + _xll.RiskBinomial(1,BO99-INT(BO99))</f>
        <v>0</v>
      </c>
      <c r="BQ99" s="26">
        <f t="shared" ca="1" si="60"/>
        <v>0</v>
      </c>
      <c r="BR99" s="31">
        <f ca="1">_xll.RiskBinomial(1,BQ99)</f>
        <v>0</v>
      </c>
      <c r="BS99" s="78">
        <f ca="1">IF(BR99=1,_xll.RiskBinomial(1,Prob_illness_Adv_infection),0)</f>
        <v>0</v>
      </c>
      <c r="BU99" s="77">
        <f t="shared" ca="1" si="69"/>
        <v>7.7769234384472958E-13</v>
      </c>
      <c r="BV99" s="33">
        <f ca="1">INT(BU99) + _xll.RiskBinomial(1,BU99-INT(BU99))</f>
        <v>0</v>
      </c>
      <c r="BW99" s="26">
        <f t="shared" ca="1" si="61"/>
        <v>0</v>
      </c>
      <c r="BX99" s="31">
        <f ca="1">_xll.RiskBinomial(1,BW99)</f>
        <v>0</v>
      </c>
      <c r="BY99" s="78">
        <f ca="1">IF(BX99=1,_xll.RiskBinomial(1,Prob_illness_Adv_infection),0)</f>
        <v>0</v>
      </c>
      <c r="CA99" s="77">
        <f t="shared" ca="1" si="70"/>
        <v>1.1800417144058262E-10</v>
      </c>
      <c r="CB99" s="33">
        <f ca="1">INT(CA99) + _xll.RiskBinomial(1,CA99-INT(CA99))</f>
        <v>0</v>
      </c>
      <c r="CC99" s="26">
        <f t="shared" ca="1" si="62"/>
        <v>0</v>
      </c>
      <c r="CD99" s="31">
        <f ca="1">_xll.RiskBinomial(1,CC99)</f>
        <v>0</v>
      </c>
      <c r="CE99" s="78">
        <f ca="1">IF(CD99=1,_xll.RiskBinomial(1,Prob_illness_Adv_infection),0)</f>
        <v>0</v>
      </c>
      <c r="CG99" s="77" t="e">
        <f t="shared" ca="1" si="71"/>
        <v>#VALUE!</v>
      </c>
      <c r="CH99" s="33" t="e">
        <f ca="1">INT(CG99) + _xll.RiskBinomial(1,CG99-INT(CG99))</f>
        <v>#VALUE!</v>
      </c>
      <c r="CI99" s="26" t="e">
        <f t="shared" ca="1" si="63"/>
        <v>#VALUE!</v>
      </c>
      <c r="CJ99" s="31" t="e">
        <f ca="1">_xll.RiskBinomial(1,CI99)</f>
        <v>#VALUE!</v>
      </c>
      <c r="CK99" s="78" t="e">
        <f ca="1">IF(CJ99=1,_xll.RiskBinomial(1,Prob_illness_Adv_infection),0)</f>
        <v>#VALUE!</v>
      </c>
    </row>
    <row r="100" spans="2:89" x14ac:dyDescent="0.2">
      <c r="B100" s="97">
        <v>92</v>
      </c>
      <c r="C100" s="100">
        <f ca="1" xml:space="preserve"> _xll.RiskPert(Dur_event_hours_min,Dur_event_hours_mode,Dur_event_hours_max)</f>
        <v>0.74067950516887504</v>
      </c>
      <c r="D100" s="26">
        <f ca="1">_xll.RiskPert(Primary_Ing_Rate_mL_per_hour_min,Primary_Ing_Rate_mL_per_hour_mode,Primary_Ing_Rate_mL_per_hour_max)</f>
        <v>18.338136268650945</v>
      </c>
      <c r="E100" s="34">
        <f t="shared" ca="1" si="43"/>
        <v>13.582681697183784</v>
      </c>
      <c r="F100" s="26"/>
      <c r="G100" s="77">
        <f t="shared" ca="1" si="64"/>
        <v>1.2470900728420776E-9</v>
      </c>
      <c r="H100" s="33">
        <f ca="1">INT(G100) + _xll.RiskBinomial(1,G100-INT(G100))</f>
        <v>0</v>
      </c>
      <c r="I100" s="26">
        <f t="shared" ca="1" si="44"/>
        <v>0</v>
      </c>
      <c r="J100" s="31">
        <f ca="1">_xll.RiskBinomial(1,I100)</f>
        <v>0</v>
      </c>
      <c r="K100" s="78">
        <f ca="1">IF(J100=1,_xll.RiskBinomial(1,Prob_illness_Adv_infection),0)</f>
        <v>0</v>
      </c>
      <c r="L100" s="26"/>
      <c r="M100" s="77">
        <f t="shared" ca="1" si="45"/>
        <v>3.0972262367839313E-11</v>
      </c>
      <c r="N100" s="33">
        <f ca="1">INT(M100) + _xll.RiskBinomial(1,M100-INT(M100))</f>
        <v>0</v>
      </c>
      <c r="O100" s="26">
        <f t="shared" ca="1" si="46"/>
        <v>0</v>
      </c>
      <c r="P100" s="31">
        <f ca="1">_xll.RiskBinomial(1,O100)</f>
        <v>0</v>
      </c>
      <c r="Q100" s="78">
        <f ca="1">IF(P100=1,_xll.RiskBinomial(1,Prob_illness_Adv_infection),0)</f>
        <v>0</v>
      </c>
      <c r="R100" s="26"/>
      <c r="S100" s="77">
        <f t="shared" ca="1" si="47"/>
        <v>3.921981140006913E-10</v>
      </c>
      <c r="T100" s="33">
        <f ca="1">INT(S100) + _xll.RiskBinomial(1,S100-INT(S100))</f>
        <v>0</v>
      </c>
      <c r="U100" s="26">
        <f t="shared" ca="1" si="48"/>
        <v>0</v>
      </c>
      <c r="V100" s="31">
        <f ca="1">_xll.RiskBinomial(1,U100)</f>
        <v>0</v>
      </c>
      <c r="W100" s="78">
        <f ca="1">IF(V100=1,_xll.RiskBinomial(1,Prob_illness_Adv_infection),0)</f>
        <v>0</v>
      </c>
      <c r="X100" s="26"/>
      <c r="Y100" s="77">
        <f t="shared" ca="1" si="49"/>
        <v>3.2620631563512949E-11</v>
      </c>
      <c r="Z100" s="33">
        <f ca="1">INT(Y100) + _xll.RiskBinomial(1,Y100-INT(Y100))</f>
        <v>0</v>
      </c>
      <c r="AA100" s="26">
        <f t="shared" ca="1" si="50"/>
        <v>0</v>
      </c>
      <c r="AB100" s="31">
        <f ca="1">_xll.RiskBinomial(1,AA100)</f>
        <v>0</v>
      </c>
      <c r="AC100" s="78">
        <f ca="1">IF(AB100=1,_xll.RiskBinomial(1,Prob_illness_Adv_infection),0)</f>
        <v>0</v>
      </c>
      <c r="AD100" s="26"/>
      <c r="AE100" s="77">
        <f t="shared" ca="1" si="51"/>
        <v>4.8987303681378867E-11</v>
      </c>
      <c r="AF100" s="33">
        <f ca="1">INT(AE100) + _xll.RiskBinomial(1,AE100-INT(AE100))</f>
        <v>0</v>
      </c>
      <c r="AG100" s="26">
        <f t="shared" ca="1" si="52"/>
        <v>0</v>
      </c>
      <c r="AH100" s="31">
        <f ca="1">_xll.RiskBinomial(1,AG100)</f>
        <v>0</v>
      </c>
      <c r="AI100" s="78">
        <f ca="1">IF(AH100=1,_xll.RiskBinomial(1,Prob_illness_Adv_infection),0)</f>
        <v>0</v>
      </c>
      <c r="AJ100" s="26"/>
      <c r="AK100" s="77">
        <f t="shared" ca="1" si="53"/>
        <v>3.1871563682909543E-10</v>
      </c>
      <c r="AL100" s="33">
        <f ca="1">INT(AK100) + _xll.RiskBinomial(1,AK100-INT(AK100))</f>
        <v>0</v>
      </c>
      <c r="AM100" s="26">
        <f t="shared" ca="1" si="54"/>
        <v>0</v>
      </c>
      <c r="AN100" s="31">
        <f ca="1">_xll.RiskBinomial(1,AM100)</f>
        <v>0</v>
      </c>
      <c r="AO100" s="78">
        <f ca="1">IF(AN100=1,_xll.RiskBinomial(1,Prob_illness_Adv_infection),0)</f>
        <v>0</v>
      </c>
      <c r="AP100" s="26"/>
      <c r="AQ100" s="77">
        <f t="shared" ca="1" si="55"/>
        <v>6.0471245418323302E-10</v>
      </c>
      <c r="AR100" s="33">
        <f ca="1">INT(AQ100) + _xll.RiskBinomial(1,AQ100-INT(AQ100))</f>
        <v>0</v>
      </c>
      <c r="AS100" s="26">
        <f t="shared" ca="1" si="56"/>
        <v>0</v>
      </c>
      <c r="AT100" s="31">
        <f ca="1">_xll.RiskBinomial(1,AS100)</f>
        <v>0</v>
      </c>
      <c r="AU100" s="78">
        <f ca="1">IF(AT100=1,_xll.RiskBinomial(1,Prob_illness_Adv_infection),0)</f>
        <v>0</v>
      </c>
      <c r="AV100" s="26"/>
      <c r="AW100" s="77">
        <f t="shared" ca="1" si="65"/>
        <v>1.0649828317858716E-11</v>
      </c>
      <c r="AX100" s="33">
        <f ca="1">INT(AW100) + _xll.RiskBinomial(1,AW100-INT(AW100))</f>
        <v>0</v>
      </c>
      <c r="AY100" s="26">
        <f t="shared" ca="1" si="57"/>
        <v>0</v>
      </c>
      <c r="AZ100" s="31">
        <f ca="1">_xll.RiskBinomial(1,AY100)</f>
        <v>0</v>
      </c>
      <c r="BA100" s="78">
        <f ca="1">IF(AZ100=1,_xll.RiskBinomial(1,Prob_illness_Adv_infection),0)</f>
        <v>0</v>
      </c>
      <c r="BC100" s="77">
        <f t="shared" ca="1" si="66"/>
        <v>5.4588303427182207E-11</v>
      </c>
      <c r="BD100" s="33">
        <f ca="1">INT(BC100) + _xll.RiskBinomial(1,BC100-INT(BC100))</f>
        <v>0</v>
      </c>
      <c r="BE100" s="26">
        <f t="shared" ca="1" si="58"/>
        <v>0</v>
      </c>
      <c r="BF100" s="31">
        <f ca="1">_xll.RiskBinomial(1,BE100)</f>
        <v>0</v>
      </c>
      <c r="BG100" s="78">
        <f ca="1">IF(BF100=1,_xll.RiskBinomial(1,Prob_illness_Adv_infection),0)</f>
        <v>0</v>
      </c>
      <c r="BI100" s="77">
        <f t="shared" ca="1" si="67"/>
        <v>2.5420760096021372E-11</v>
      </c>
      <c r="BJ100" s="33">
        <f ca="1">INT(BI100) + _xll.RiskBinomial(1,BI100-INT(BI100))</f>
        <v>0</v>
      </c>
      <c r="BK100" s="26">
        <f t="shared" ca="1" si="59"/>
        <v>0</v>
      </c>
      <c r="BL100" s="31">
        <f ca="1">_xll.RiskBinomial(1,BK100)</f>
        <v>0</v>
      </c>
      <c r="BM100" s="78">
        <f ca="1">IF(BL100=1,_xll.RiskBinomial(1,Prob_illness_Adv_infection),0)</f>
        <v>0</v>
      </c>
      <c r="BO100" s="77">
        <f t="shared" ca="1" si="68"/>
        <v>5.4959887253929671E-11</v>
      </c>
      <c r="BP100" s="33">
        <f ca="1">INT(BO100) + _xll.RiskBinomial(1,BO100-INT(BO100))</f>
        <v>0</v>
      </c>
      <c r="BQ100" s="26">
        <f t="shared" ca="1" si="60"/>
        <v>0</v>
      </c>
      <c r="BR100" s="31">
        <f ca="1">_xll.RiskBinomial(1,BQ100)</f>
        <v>0</v>
      </c>
      <c r="BS100" s="78">
        <f ca="1">IF(BR100=1,_xll.RiskBinomial(1,Prob_illness_Adv_infection),0)</f>
        <v>0</v>
      </c>
      <c r="BU100" s="77">
        <f t="shared" ca="1" si="69"/>
        <v>3.9268979677896566E-13</v>
      </c>
      <c r="BV100" s="33">
        <f ca="1">INT(BU100) + _xll.RiskBinomial(1,BU100-INT(BU100))</f>
        <v>0</v>
      </c>
      <c r="BW100" s="26">
        <f t="shared" ca="1" si="61"/>
        <v>0</v>
      </c>
      <c r="BX100" s="31">
        <f ca="1">_xll.RiskBinomial(1,BW100)</f>
        <v>0</v>
      </c>
      <c r="BY100" s="78">
        <f ca="1">IF(BX100=1,_xll.RiskBinomial(1,Prob_illness_Adv_infection),0)</f>
        <v>0</v>
      </c>
      <c r="CA100" s="77">
        <f t="shared" ca="1" si="70"/>
        <v>5.9585303197127073E-11</v>
      </c>
      <c r="CB100" s="33">
        <f ca="1">INT(CA100) + _xll.RiskBinomial(1,CA100-INT(CA100))</f>
        <v>0</v>
      </c>
      <c r="CC100" s="26">
        <f t="shared" ca="1" si="62"/>
        <v>0</v>
      </c>
      <c r="CD100" s="31">
        <f ca="1">_xll.RiskBinomial(1,CC100)</f>
        <v>0</v>
      </c>
      <c r="CE100" s="78">
        <f ca="1">IF(CD100=1,_xll.RiskBinomial(1,Prob_illness_Adv_infection),0)</f>
        <v>0</v>
      </c>
      <c r="CG100" s="77" t="e">
        <f t="shared" ca="1" si="71"/>
        <v>#VALUE!</v>
      </c>
      <c r="CH100" s="33" t="e">
        <f ca="1">INT(CG100) + _xll.RiskBinomial(1,CG100-INT(CG100))</f>
        <v>#VALUE!</v>
      </c>
      <c r="CI100" s="26" t="e">
        <f t="shared" ca="1" si="63"/>
        <v>#VALUE!</v>
      </c>
      <c r="CJ100" s="31" t="e">
        <f ca="1">_xll.RiskBinomial(1,CI100)</f>
        <v>#VALUE!</v>
      </c>
      <c r="CK100" s="78" t="e">
        <f ca="1">IF(CJ100=1,_xll.RiskBinomial(1,Prob_illness_Adv_infection),0)</f>
        <v>#VALUE!</v>
      </c>
    </row>
    <row r="101" spans="2:89" x14ac:dyDescent="0.2">
      <c r="B101" s="97">
        <v>93</v>
      </c>
      <c r="C101" s="100">
        <f ca="1" xml:space="preserve"> _xll.RiskPert(Dur_event_hours_min,Dur_event_hours_mode,Dur_event_hours_max)</f>
        <v>1.911592032091378</v>
      </c>
      <c r="D101" s="26">
        <f ca="1">_xll.RiskPert(Primary_Ing_Rate_mL_per_hour_min,Primary_Ing_Rate_mL_per_hour_mode,Primary_Ing_Rate_mL_per_hour_max)</f>
        <v>23.524561493221348</v>
      </c>
      <c r="E101" s="34">
        <f t="shared" ca="1" si="43"/>
        <v>44.969364308885581</v>
      </c>
      <c r="F101" s="26"/>
      <c r="G101" s="77">
        <f t="shared" ca="1" si="64"/>
        <v>4.128849446811213E-9</v>
      </c>
      <c r="H101" s="33">
        <f ca="1">INT(G101) + _xll.RiskBinomial(1,G101-INT(G101))</f>
        <v>0</v>
      </c>
      <c r="I101" s="26">
        <f t="shared" ca="1" si="44"/>
        <v>0</v>
      </c>
      <c r="J101" s="31">
        <f ca="1">_xll.RiskBinomial(1,I101)</f>
        <v>0</v>
      </c>
      <c r="K101" s="78">
        <f ca="1">IF(J101=1,_xll.RiskBinomial(1,Prob_illness_Adv_infection),0)</f>
        <v>0</v>
      </c>
      <c r="L101" s="26"/>
      <c r="M101" s="77">
        <f t="shared" ca="1" si="45"/>
        <v>1.0254255977879062E-10</v>
      </c>
      <c r="N101" s="33">
        <f ca="1">INT(M101) + _xll.RiskBinomial(1,M101-INT(M101))</f>
        <v>0</v>
      </c>
      <c r="O101" s="26">
        <f t="shared" ca="1" si="46"/>
        <v>0</v>
      </c>
      <c r="P101" s="31">
        <f ca="1">_xll.RiskBinomial(1,O101)</f>
        <v>0</v>
      </c>
      <c r="Q101" s="78">
        <f ca="1">IF(P101=1,_xll.RiskBinomial(1,Prob_illness_Adv_infection),0)</f>
        <v>0</v>
      </c>
      <c r="R101" s="26"/>
      <c r="S101" s="77">
        <f t="shared" ca="1" si="47"/>
        <v>1.2984843687687785E-9</v>
      </c>
      <c r="T101" s="33">
        <f ca="1">INT(S101) + _xll.RiskBinomial(1,S101-INT(S101))</f>
        <v>0</v>
      </c>
      <c r="U101" s="26">
        <f t="shared" ca="1" si="48"/>
        <v>0</v>
      </c>
      <c r="V101" s="31">
        <f ca="1">_xll.RiskBinomial(1,U101)</f>
        <v>0</v>
      </c>
      <c r="W101" s="78">
        <f ca="1">IF(V101=1,_xll.RiskBinomial(1,Prob_illness_Adv_infection),0)</f>
        <v>0</v>
      </c>
      <c r="X101" s="26"/>
      <c r="Y101" s="77">
        <f t="shared" ca="1" si="49"/>
        <v>1.07999958879232E-10</v>
      </c>
      <c r="Z101" s="33">
        <f ca="1">INT(Y101) + _xll.RiskBinomial(1,Y101-INT(Y101))</f>
        <v>0</v>
      </c>
      <c r="AA101" s="26">
        <f t="shared" ca="1" si="50"/>
        <v>0</v>
      </c>
      <c r="AB101" s="31">
        <f ca="1">_xll.RiskBinomial(1,AA101)</f>
        <v>0</v>
      </c>
      <c r="AC101" s="78">
        <f ca="1">IF(AB101=1,_xll.RiskBinomial(1,Prob_illness_Adv_infection),0)</f>
        <v>0</v>
      </c>
      <c r="AD101" s="26"/>
      <c r="AE101" s="77">
        <f t="shared" ca="1" si="51"/>
        <v>1.6218652213683915E-10</v>
      </c>
      <c r="AF101" s="33">
        <f ca="1">INT(AE101) + _xll.RiskBinomial(1,AE101-INT(AE101))</f>
        <v>0</v>
      </c>
      <c r="AG101" s="26">
        <f t="shared" ca="1" si="52"/>
        <v>0</v>
      </c>
      <c r="AH101" s="31">
        <f ca="1">_xll.RiskBinomial(1,AG101)</f>
        <v>0</v>
      </c>
      <c r="AI101" s="78">
        <f ca="1">IF(AH101=1,_xll.RiskBinomial(1,Prob_illness_Adv_infection),0)</f>
        <v>0</v>
      </c>
      <c r="AJ101" s="26"/>
      <c r="AK101" s="77">
        <f t="shared" ca="1" si="53"/>
        <v>1.0551995477062332E-9</v>
      </c>
      <c r="AL101" s="33">
        <f ca="1">INT(AK101) + _xll.RiskBinomial(1,AK101-INT(AK101))</f>
        <v>0</v>
      </c>
      <c r="AM101" s="26">
        <f t="shared" ca="1" si="54"/>
        <v>0</v>
      </c>
      <c r="AN101" s="31">
        <f ca="1">_xll.RiskBinomial(1,AM101)</f>
        <v>0</v>
      </c>
      <c r="AO101" s="78">
        <f ca="1">IF(AN101=1,_xll.RiskBinomial(1,Prob_illness_Adv_infection),0)</f>
        <v>0</v>
      </c>
      <c r="AP101" s="26"/>
      <c r="AQ101" s="77">
        <f t="shared" ca="1" si="55"/>
        <v>2.0020740572846053E-9</v>
      </c>
      <c r="AR101" s="33">
        <f ca="1">INT(AQ101) + _xll.RiskBinomial(1,AQ101-INT(AQ101))</f>
        <v>0</v>
      </c>
      <c r="AS101" s="26">
        <f t="shared" ca="1" si="56"/>
        <v>0</v>
      </c>
      <c r="AT101" s="31">
        <f ca="1">_xll.RiskBinomial(1,AS101)</f>
        <v>0</v>
      </c>
      <c r="AU101" s="78">
        <f ca="1">IF(AT101=1,_xll.RiskBinomial(1,Prob_illness_Adv_infection),0)</f>
        <v>0</v>
      </c>
      <c r="AV101" s="26"/>
      <c r="AW101" s="77">
        <f t="shared" ca="1" si="65"/>
        <v>3.525931183031202E-11</v>
      </c>
      <c r="AX101" s="33">
        <f ca="1">INT(AW101) + _xll.RiskBinomial(1,AW101-INT(AW101))</f>
        <v>0</v>
      </c>
      <c r="AY101" s="26">
        <f t="shared" ca="1" si="57"/>
        <v>0</v>
      </c>
      <c r="AZ101" s="31">
        <f ca="1">_xll.RiskBinomial(1,AY101)</f>
        <v>0</v>
      </c>
      <c r="BA101" s="78">
        <f ca="1">IF(AZ101=1,_xll.RiskBinomial(1,Prob_illness_Adv_infection),0)</f>
        <v>0</v>
      </c>
      <c r="BC101" s="77">
        <f t="shared" ca="1" si="66"/>
        <v>1.8073023858977122E-10</v>
      </c>
      <c r="BD101" s="33">
        <f ca="1">INT(BC101) + _xll.RiskBinomial(1,BC101-INT(BC101))</f>
        <v>0</v>
      </c>
      <c r="BE101" s="26">
        <f t="shared" ca="1" si="58"/>
        <v>0</v>
      </c>
      <c r="BF101" s="31">
        <f ca="1">_xll.RiskBinomial(1,BE101)</f>
        <v>0</v>
      </c>
      <c r="BG101" s="78">
        <f ca="1">IF(BF101=1,_xll.RiskBinomial(1,Prob_illness_Adv_infection),0)</f>
        <v>0</v>
      </c>
      <c r="BI101" s="77">
        <f t="shared" ca="1" si="67"/>
        <v>8.4162718913142658E-11</v>
      </c>
      <c r="BJ101" s="33">
        <f ca="1">INT(BI101) + _xll.RiskBinomial(1,BI101-INT(BI101))</f>
        <v>0</v>
      </c>
      <c r="BK101" s="26">
        <f t="shared" ca="1" si="59"/>
        <v>0</v>
      </c>
      <c r="BL101" s="31">
        <f ca="1">_xll.RiskBinomial(1,BK101)</f>
        <v>0</v>
      </c>
      <c r="BM101" s="78">
        <f ca="1">IF(BL101=1,_xll.RiskBinomial(1,Prob_illness_Adv_infection),0)</f>
        <v>0</v>
      </c>
      <c r="BO101" s="77">
        <f t="shared" ca="1" si="68"/>
        <v>1.8196047344683639E-10</v>
      </c>
      <c r="BP101" s="33">
        <f ca="1">INT(BO101) + _xll.RiskBinomial(1,BO101-INT(BO101))</f>
        <v>0</v>
      </c>
      <c r="BQ101" s="26">
        <f t="shared" ca="1" si="60"/>
        <v>0</v>
      </c>
      <c r="BR101" s="31">
        <f ca="1">_xll.RiskBinomial(1,BQ101)</f>
        <v>0</v>
      </c>
      <c r="BS101" s="78">
        <f ca="1">IF(BR101=1,_xll.RiskBinomial(1,Prob_illness_Adv_infection),0)</f>
        <v>0</v>
      </c>
      <c r="BU101" s="77">
        <f t="shared" ca="1" si="69"/>
        <v>1.3001122256584243E-12</v>
      </c>
      <c r="BV101" s="33">
        <f ca="1">INT(BU101) + _xll.RiskBinomial(1,BU101-INT(BU101))</f>
        <v>0</v>
      </c>
      <c r="BW101" s="26">
        <f t="shared" ca="1" si="61"/>
        <v>0</v>
      </c>
      <c r="BX101" s="31">
        <f ca="1">_xll.RiskBinomial(1,BW101)</f>
        <v>0</v>
      </c>
      <c r="BY101" s="78">
        <f ca="1">IF(BX101=1,_xll.RiskBinomial(1,Prob_illness_Adv_infection),0)</f>
        <v>0</v>
      </c>
      <c r="CA101" s="77">
        <f t="shared" ca="1" si="70"/>
        <v>1.9727423984930594E-10</v>
      </c>
      <c r="CB101" s="33">
        <f ca="1">INT(CA101) + _xll.RiskBinomial(1,CA101-INT(CA101))</f>
        <v>0</v>
      </c>
      <c r="CC101" s="26">
        <f t="shared" ca="1" si="62"/>
        <v>0</v>
      </c>
      <c r="CD101" s="31">
        <f ca="1">_xll.RiskBinomial(1,CC101)</f>
        <v>0</v>
      </c>
      <c r="CE101" s="78">
        <f ca="1">IF(CD101=1,_xll.RiskBinomial(1,Prob_illness_Adv_infection),0)</f>
        <v>0</v>
      </c>
      <c r="CG101" s="77" t="e">
        <f t="shared" ca="1" si="71"/>
        <v>#VALUE!</v>
      </c>
      <c r="CH101" s="33" t="e">
        <f ca="1">INT(CG101) + _xll.RiskBinomial(1,CG101-INT(CG101))</f>
        <v>#VALUE!</v>
      </c>
      <c r="CI101" s="26" t="e">
        <f t="shared" ca="1" si="63"/>
        <v>#VALUE!</v>
      </c>
      <c r="CJ101" s="31" t="e">
        <f ca="1">_xll.RiskBinomial(1,CI101)</f>
        <v>#VALUE!</v>
      </c>
      <c r="CK101" s="78" t="e">
        <f ca="1">IF(CJ101=1,_xll.RiskBinomial(1,Prob_illness_Adv_infection),0)</f>
        <v>#VALUE!</v>
      </c>
    </row>
    <row r="102" spans="2:89" x14ac:dyDescent="0.2">
      <c r="B102" s="97">
        <v>94</v>
      </c>
      <c r="C102" s="100">
        <f ca="1" xml:space="preserve"> _xll.RiskPert(Dur_event_hours_min,Dur_event_hours_mode,Dur_event_hours_max)</f>
        <v>1.7458483809669143</v>
      </c>
      <c r="D102" s="26">
        <f ca="1">_xll.RiskPert(Primary_Ing_Rate_mL_per_hour_min,Primary_Ing_Rate_mL_per_hour_mode,Primary_Ing_Rate_mL_per_hour_max)</f>
        <v>6.0356216947977286</v>
      </c>
      <c r="E102" s="34">
        <f t="shared" ca="1" si="43"/>
        <v>10.537280363991398</v>
      </c>
      <c r="F102" s="26"/>
      <c r="G102" s="77">
        <f t="shared" ca="1" si="64"/>
        <v>9.6747741202034159E-10</v>
      </c>
      <c r="H102" s="33">
        <f ca="1">INT(G102) + _xll.RiskBinomial(1,G102-INT(G102))</f>
        <v>0</v>
      </c>
      <c r="I102" s="26">
        <f t="shared" ca="1" si="44"/>
        <v>0</v>
      </c>
      <c r="J102" s="31">
        <f ca="1">_xll.RiskBinomial(1,I102)</f>
        <v>0</v>
      </c>
      <c r="K102" s="78">
        <f ca="1">IF(J102=1,_xll.RiskBinomial(1,Prob_illness_Adv_infection),0)</f>
        <v>0</v>
      </c>
      <c r="L102" s="26"/>
      <c r="M102" s="77">
        <f t="shared" ca="1" si="45"/>
        <v>2.4027906959248757E-11</v>
      </c>
      <c r="N102" s="33">
        <f ca="1">INT(M102) + _xll.RiskBinomial(1,M102-INT(M102))</f>
        <v>0</v>
      </c>
      <c r="O102" s="26">
        <f t="shared" ca="1" si="46"/>
        <v>0</v>
      </c>
      <c r="P102" s="31">
        <f ca="1">_xll.RiskBinomial(1,O102)</f>
        <v>0</v>
      </c>
      <c r="Q102" s="78">
        <f ca="1">IF(P102=1,_xll.RiskBinomial(1,Prob_illness_Adv_infection),0)</f>
        <v>0</v>
      </c>
      <c r="R102" s="26"/>
      <c r="S102" s="77">
        <f t="shared" ca="1" si="47"/>
        <v>3.0426255857198018E-10</v>
      </c>
      <c r="T102" s="33">
        <f ca="1">INT(S102) + _xll.RiskBinomial(1,S102-INT(S102))</f>
        <v>0</v>
      </c>
      <c r="U102" s="26">
        <f t="shared" ca="1" si="48"/>
        <v>0</v>
      </c>
      <c r="V102" s="31">
        <f ca="1">_xll.RiskBinomial(1,U102)</f>
        <v>0</v>
      </c>
      <c r="W102" s="78">
        <f ca="1">IF(V102=1,_xll.RiskBinomial(1,Prob_illness_Adv_infection),0)</f>
        <v>0</v>
      </c>
      <c r="X102" s="26"/>
      <c r="Y102" s="77">
        <f t="shared" ca="1" si="49"/>
        <v>2.5306691866781516E-11</v>
      </c>
      <c r="Z102" s="33">
        <f ca="1">INT(Y102) + _xll.RiskBinomial(1,Y102-INT(Y102))</f>
        <v>0</v>
      </c>
      <c r="AA102" s="26">
        <f t="shared" ca="1" si="50"/>
        <v>0</v>
      </c>
      <c r="AB102" s="31">
        <f ca="1">_xll.RiskBinomial(1,AA102)</f>
        <v>0</v>
      </c>
      <c r="AC102" s="78">
        <f ca="1">IF(AB102=1,_xll.RiskBinomial(1,Prob_illness_Adv_infection),0)</f>
        <v>0</v>
      </c>
      <c r="AD102" s="26"/>
      <c r="AE102" s="77">
        <f t="shared" ca="1" si="51"/>
        <v>3.8003758364867212E-11</v>
      </c>
      <c r="AF102" s="33">
        <f ca="1">INT(AE102) + _xll.RiskBinomial(1,AE102-INT(AE102))</f>
        <v>0</v>
      </c>
      <c r="AG102" s="26">
        <f t="shared" ca="1" si="52"/>
        <v>0</v>
      </c>
      <c r="AH102" s="31">
        <f ca="1">_xll.RiskBinomial(1,AG102)</f>
        <v>0</v>
      </c>
      <c r="AI102" s="78">
        <f ca="1">IF(AH102=1,_xll.RiskBinomial(1,Prob_illness_Adv_infection),0)</f>
        <v>0</v>
      </c>
      <c r="AJ102" s="26"/>
      <c r="AK102" s="77">
        <f t="shared" ca="1" si="53"/>
        <v>2.4725574054735935E-10</v>
      </c>
      <c r="AL102" s="33">
        <f ca="1">INT(AK102) + _xll.RiskBinomial(1,AK102-INT(AK102))</f>
        <v>0</v>
      </c>
      <c r="AM102" s="26">
        <f t="shared" ca="1" si="54"/>
        <v>0</v>
      </c>
      <c r="AN102" s="31">
        <f ca="1">_xll.RiskBinomial(1,AM102)</f>
        <v>0</v>
      </c>
      <c r="AO102" s="78">
        <f ca="1">IF(AN102=1,_xll.RiskBinomial(1,Prob_illness_Adv_infection),0)</f>
        <v>0</v>
      </c>
      <c r="AP102" s="26"/>
      <c r="AQ102" s="77">
        <f t="shared" ca="1" si="55"/>
        <v>4.6912861623247765E-10</v>
      </c>
      <c r="AR102" s="33">
        <f ca="1">INT(AQ102) + _xll.RiskBinomial(1,AQ102-INT(AQ102))</f>
        <v>0</v>
      </c>
      <c r="AS102" s="26">
        <f t="shared" ca="1" si="56"/>
        <v>0</v>
      </c>
      <c r="AT102" s="31">
        <f ca="1">_xll.RiskBinomial(1,AS102)</f>
        <v>0</v>
      </c>
      <c r="AU102" s="78">
        <f ca="1">IF(AT102=1,_xll.RiskBinomial(1,Prob_illness_Adv_infection),0)</f>
        <v>0</v>
      </c>
      <c r="AV102" s="26"/>
      <c r="AW102" s="77">
        <f t="shared" ca="1" si="65"/>
        <v>8.2620081450425063E-12</v>
      </c>
      <c r="AX102" s="33">
        <f ca="1">INT(AW102) + _xll.RiskBinomial(1,AW102-INT(AW102))</f>
        <v>0</v>
      </c>
      <c r="AY102" s="26">
        <f t="shared" ca="1" si="57"/>
        <v>0</v>
      </c>
      <c r="AZ102" s="31">
        <f ca="1">_xll.RiskBinomial(1,AY102)</f>
        <v>0</v>
      </c>
      <c r="BA102" s="78">
        <f ca="1">IF(AZ102=1,_xll.RiskBinomial(1,Prob_illness_Adv_infection),0)</f>
        <v>0</v>
      </c>
      <c r="BC102" s="77">
        <f t="shared" ca="1" si="66"/>
        <v>4.23489463002078E-11</v>
      </c>
      <c r="BD102" s="33">
        <f ca="1">INT(BC102) + _xll.RiskBinomial(1,BC102-INT(BC102))</f>
        <v>0</v>
      </c>
      <c r="BE102" s="26">
        <f t="shared" ca="1" si="58"/>
        <v>0</v>
      </c>
      <c r="BF102" s="31">
        <f ca="1">_xll.RiskBinomial(1,BE102)</f>
        <v>0</v>
      </c>
      <c r="BG102" s="78">
        <f ca="1">IF(BF102=1,_xll.RiskBinomial(1,Prob_illness_Adv_infection),0)</f>
        <v>0</v>
      </c>
      <c r="BI102" s="77">
        <f t="shared" ca="1" si="67"/>
        <v>1.9721118566231366E-11</v>
      </c>
      <c r="BJ102" s="33">
        <f ca="1">INT(BI102) + _xll.RiskBinomial(1,BI102-INT(BI102))</f>
        <v>0</v>
      </c>
      <c r="BK102" s="26">
        <f t="shared" ca="1" si="59"/>
        <v>0</v>
      </c>
      <c r="BL102" s="31">
        <f ca="1">_xll.RiskBinomial(1,BK102)</f>
        <v>0</v>
      </c>
      <c r="BM102" s="78">
        <f ca="1">IF(BL102=1,_xll.RiskBinomial(1,Prob_illness_Adv_infection),0)</f>
        <v>0</v>
      </c>
      <c r="BO102" s="77">
        <f t="shared" ca="1" si="68"/>
        <v>4.2637216543776466E-11</v>
      </c>
      <c r="BP102" s="33">
        <f ca="1">INT(BO102) + _xll.RiskBinomial(1,BO102-INT(BO102))</f>
        <v>0</v>
      </c>
      <c r="BQ102" s="26">
        <f t="shared" ca="1" si="60"/>
        <v>0</v>
      </c>
      <c r="BR102" s="31">
        <f ca="1">_xll.RiskBinomial(1,BQ102)</f>
        <v>0</v>
      </c>
      <c r="BS102" s="78">
        <f ca="1">IF(BR102=1,_xll.RiskBinomial(1,Prob_illness_Adv_infection),0)</f>
        <v>0</v>
      </c>
      <c r="BU102" s="77">
        <f t="shared" ca="1" si="69"/>
        <v>3.0464400013118996E-13</v>
      </c>
      <c r="BV102" s="33">
        <f ca="1">INT(BU102) + _xll.RiskBinomial(1,BU102-INT(BU102))</f>
        <v>0</v>
      </c>
      <c r="BW102" s="26">
        <f t="shared" ca="1" si="61"/>
        <v>0</v>
      </c>
      <c r="BX102" s="31">
        <f ca="1">_xll.RiskBinomial(1,BW102)</f>
        <v>0</v>
      </c>
      <c r="BY102" s="78">
        <f ca="1">IF(BX102=1,_xll.RiskBinomial(1,Prob_illness_Adv_infection),0)</f>
        <v>0</v>
      </c>
      <c r="CA102" s="77">
        <f t="shared" ca="1" si="70"/>
        <v>4.6225558351392573E-11</v>
      </c>
      <c r="CB102" s="33">
        <f ca="1">INT(CA102) + _xll.RiskBinomial(1,CA102-INT(CA102))</f>
        <v>0</v>
      </c>
      <c r="CC102" s="26">
        <f t="shared" ca="1" si="62"/>
        <v>0</v>
      </c>
      <c r="CD102" s="31">
        <f ca="1">_xll.RiskBinomial(1,CC102)</f>
        <v>0</v>
      </c>
      <c r="CE102" s="78">
        <f ca="1">IF(CD102=1,_xll.RiskBinomial(1,Prob_illness_Adv_infection),0)</f>
        <v>0</v>
      </c>
      <c r="CG102" s="77" t="e">
        <f t="shared" ca="1" si="71"/>
        <v>#VALUE!</v>
      </c>
      <c r="CH102" s="33" t="e">
        <f ca="1">INT(CG102) + _xll.RiskBinomial(1,CG102-INT(CG102))</f>
        <v>#VALUE!</v>
      </c>
      <c r="CI102" s="26" t="e">
        <f t="shared" ca="1" si="63"/>
        <v>#VALUE!</v>
      </c>
      <c r="CJ102" s="31" t="e">
        <f ca="1">_xll.RiskBinomial(1,CI102)</f>
        <v>#VALUE!</v>
      </c>
      <c r="CK102" s="78" t="e">
        <f ca="1">IF(CJ102=1,_xll.RiskBinomial(1,Prob_illness_Adv_infection),0)</f>
        <v>#VALUE!</v>
      </c>
    </row>
    <row r="103" spans="2:89" x14ac:dyDescent="0.2">
      <c r="B103" s="97">
        <v>95</v>
      </c>
      <c r="C103" s="100">
        <f ca="1" xml:space="preserve"> _xll.RiskPert(Dur_event_hours_min,Dur_event_hours_mode,Dur_event_hours_max)</f>
        <v>0.91614888024255192</v>
      </c>
      <c r="D103" s="26">
        <f ca="1">_xll.RiskPert(Primary_Ing_Rate_mL_per_hour_min,Primary_Ing_Rate_mL_per_hour_mode,Primary_Ing_Rate_mL_per_hour_max)</f>
        <v>14.606243883717303</v>
      </c>
      <c r="E103" s="34">
        <f t="shared" ca="1" si="43"/>
        <v>13.381493978617231</v>
      </c>
      <c r="F103" s="26"/>
      <c r="G103" s="77">
        <f t="shared" ca="1" si="64"/>
        <v>1.2286180794466854E-9</v>
      </c>
      <c r="H103" s="33">
        <f ca="1">INT(G103) + _xll.RiskBinomial(1,G103-INT(G103))</f>
        <v>0</v>
      </c>
      <c r="I103" s="26">
        <f t="shared" ca="1" si="44"/>
        <v>0</v>
      </c>
      <c r="J103" s="31">
        <f ca="1">_xll.RiskBinomial(1,I103)</f>
        <v>0</v>
      </c>
      <c r="K103" s="78">
        <f ca="1">IF(J103=1,_xll.RiskBinomial(1,Prob_illness_Adv_infection),0)</f>
        <v>0</v>
      </c>
      <c r="L103" s="26"/>
      <c r="M103" s="77">
        <f t="shared" ca="1" si="45"/>
        <v>3.0513498852389914E-11</v>
      </c>
      <c r="N103" s="33">
        <f ca="1">INT(M103) + _xll.RiskBinomial(1,M103-INT(M103))</f>
        <v>0</v>
      </c>
      <c r="O103" s="26">
        <f t="shared" ca="1" si="46"/>
        <v>0</v>
      </c>
      <c r="P103" s="31">
        <f ca="1">_xll.RiskBinomial(1,O103)</f>
        <v>0</v>
      </c>
      <c r="Q103" s="78">
        <f ca="1">IF(P103=1,_xll.RiskBinomial(1,Prob_illness_Adv_infection),0)</f>
        <v>0</v>
      </c>
      <c r="R103" s="26"/>
      <c r="S103" s="77">
        <f t="shared" ca="1" si="47"/>
        <v>3.8638884558514236E-10</v>
      </c>
      <c r="T103" s="33">
        <f ca="1">INT(S103) + _xll.RiskBinomial(1,S103-INT(S103))</f>
        <v>0</v>
      </c>
      <c r="U103" s="26">
        <f t="shared" ca="1" si="48"/>
        <v>0</v>
      </c>
      <c r="V103" s="31">
        <f ca="1">_xll.RiskBinomial(1,U103)</f>
        <v>0</v>
      </c>
      <c r="W103" s="78">
        <f ca="1">IF(V103=1,_xll.RiskBinomial(1,Prob_illness_Adv_infection),0)</f>
        <v>0</v>
      </c>
      <c r="X103" s="26"/>
      <c r="Y103" s="77">
        <f t="shared" ca="1" si="49"/>
        <v>3.2137452277656318E-11</v>
      </c>
      <c r="Z103" s="33">
        <f ca="1">INT(Y103) + _xll.RiskBinomial(1,Y103-INT(Y103))</f>
        <v>0</v>
      </c>
      <c r="AA103" s="26">
        <f t="shared" ca="1" si="50"/>
        <v>0</v>
      </c>
      <c r="AB103" s="31">
        <f ca="1">_xll.RiskBinomial(1,AA103)</f>
        <v>0</v>
      </c>
      <c r="AC103" s="78">
        <f ca="1">IF(AB103=1,_xll.RiskBinomial(1,Prob_illness_Adv_infection),0)</f>
        <v>0</v>
      </c>
      <c r="AD103" s="26"/>
      <c r="AE103" s="77">
        <f t="shared" ca="1" si="51"/>
        <v>4.8261699998239697E-11</v>
      </c>
      <c r="AF103" s="33">
        <f ca="1">INT(AE103) + _xll.RiskBinomial(1,AE103-INT(AE103))</f>
        <v>0</v>
      </c>
      <c r="AG103" s="26">
        <f t="shared" ca="1" si="52"/>
        <v>0</v>
      </c>
      <c r="AH103" s="31">
        <f ca="1">_xll.RiskBinomial(1,AG103)</f>
        <v>0</v>
      </c>
      <c r="AI103" s="78">
        <f ca="1">IF(AH103=1,_xll.RiskBinomial(1,Prob_illness_Adv_infection),0)</f>
        <v>0</v>
      </c>
      <c r="AJ103" s="26"/>
      <c r="AK103" s="77">
        <f t="shared" ca="1" si="53"/>
        <v>3.1399479647704423E-10</v>
      </c>
      <c r="AL103" s="33">
        <f ca="1">INT(AK103) + _xll.RiskBinomial(1,AK103-INT(AK103))</f>
        <v>0</v>
      </c>
      <c r="AM103" s="26">
        <f t="shared" ca="1" si="54"/>
        <v>0</v>
      </c>
      <c r="AN103" s="31">
        <f ca="1">_xll.RiskBinomial(1,AM103)</f>
        <v>0</v>
      </c>
      <c r="AO103" s="78">
        <f ca="1">IF(AN103=1,_xll.RiskBinomial(1,Prob_illness_Adv_infection),0)</f>
        <v>0</v>
      </c>
      <c r="AP103" s="26"/>
      <c r="AQ103" s="77">
        <f t="shared" ca="1" si="55"/>
        <v>5.9575540713182996E-10</v>
      </c>
      <c r="AR103" s="33">
        <f ca="1">INT(AQ103) + _xll.RiskBinomial(1,AQ103-INT(AQ103))</f>
        <v>0</v>
      </c>
      <c r="AS103" s="26">
        <f t="shared" ca="1" si="56"/>
        <v>0</v>
      </c>
      <c r="AT103" s="31">
        <f ca="1">_xll.RiskBinomial(1,AS103)</f>
        <v>0</v>
      </c>
      <c r="AU103" s="78">
        <f ca="1">IF(AT103=1,_xll.RiskBinomial(1,Prob_illness_Adv_infection),0)</f>
        <v>0</v>
      </c>
      <c r="AV103" s="26"/>
      <c r="AW103" s="77">
        <f t="shared" ca="1" si="65"/>
        <v>1.0492082247519771E-11</v>
      </c>
      <c r="AX103" s="33">
        <f ca="1">INT(AW103) + _xll.RiskBinomial(1,AW103-INT(AW103))</f>
        <v>0</v>
      </c>
      <c r="AY103" s="26">
        <f t="shared" ca="1" si="57"/>
        <v>0</v>
      </c>
      <c r="AZ103" s="31">
        <f ca="1">_xll.RiskBinomial(1,AY103)</f>
        <v>0</v>
      </c>
      <c r="BA103" s="78">
        <f ca="1">IF(AZ103=1,_xll.RiskBinomial(1,Prob_illness_Adv_infection),0)</f>
        <v>0</v>
      </c>
      <c r="BC103" s="77">
        <f t="shared" ca="1" si="66"/>
        <v>5.3779737308076974E-11</v>
      </c>
      <c r="BD103" s="33">
        <f ca="1">INT(BC103) + _xll.RiskBinomial(1,BC103-INT(BC103))</f>
        <v>0</v>
      </c>
      <c r="BE103" s="26">
        <f t="shared" ca="1" si="58"/>
        <v>0</v>
      </c>
      <c r="BF103" s="31">
        <f ca="1">_xll.RiskBinomial(1,BE103)</f>
        <v>0</v>
      </c>
      <c r="BG103" s="78">
        <f ca="1">IF(BF103=1,_xll.RiskBinomial(1,Prob_illness_Adv_infection),0)</f>
        <v>0</v>
      </c>
      <c r="BI103" s="77">
        <f t="shared" ca="1" si="67"/>
        <v>2.5044225856173388E-11</v>
      </c>
      <c r="BJ103" s="33">
        <f ca="1">INT(BI103) + _xll.RiskBinomial(1,BI103-INT(BI103))</f>
        <v>0</v>
      </c>
      <c r="BK103" s="26">
        <f t="shared" ca="1" si="59"/>
        <v>0</v>
      </c>
      <c r="BL103" s="31">
        <f ca="1">_xll.RiskBinomial(1,BK103)</f>
        <v>0</v>
      </c>
      <c r="BM103" s="78">
        <f ca="1">IF(BL103=1,_xll.RiskBinomial(1,Prob_illness_Adv_infection),0)</f>
        <v>0</v>
      </c>
      <c r="BO103" s="77">
        <f t="shared" ca="1" si="68"/>
        <v>5.4145817206805936E-11</v>
      </c>
      <c r="BP103" s="33">
        <f ca="1">INT(BO103) + _xll.RiskBinomial(1,BO103-INT(BO103))</f>
        <v>0</v>
      </c>
      <c r="BQ103" s="26">
        <f t="shared" ca="1" si="60"/>
        <v>0</v>
      </c>
      <c r="BR103" s="31">
        <f ca="1">_xll.RiskBinomial(1,BQ103)</f>
        <v>0</v>
      </c>
      <c r="BS103" s="78">
        <f ca="1">IF(BR103=1,_xll.RiskBinomial(1,Prob_illness_Adv_infection),0)</f>
        <v>0</v>
      </c>
      <c r="BU103" s="77">
        <f t="shared" ca="1" si="69"/>
        <v>3.8687324552055668E-13</v>
      </c>
      <c r="BV103" s="33">
        <f ca="1">INT(BU103) + _xll.RiskBinomial(1,BU103-INT(BU103))</f>
        <v>0</v>
      </c>
      <c r="BW103" s="26">
        <f t="shared" ca="1" si="61"/>
        <v>0</v>
      </c>
      <c r="BX103" s="31">
        <f ca="1">_xll.RiskBinomial(1,BW103)</f>
        <v>0</v>
      </c>
      <c r="BY103" s="78">
        <f ca="1">IF(BX103=1,_xll.RiskBinomial(1,Prob_illness_Adv_infection),0)</f>
        <v>0</v>
      </c>
      <c r="CA103" s="77">
        <f t="shared" ca="1" si="70"/>
        <v>5.8702721135823821E-11</v>
      </c>
      <c r="CB103" s="33">
        <f ca="1">INT(CA103) + _xll.RiskBinomial(1,CA103-INT(CA103))</f>
        <v>0</v>
      </c>
      <c r="CC103" s="26">
        <f t="shared" ca="1" si="62"/>
        <v>0</v>
      </c>
      <c r="CD103" s="31">
        <f ca="1">_xll.RiskBinomial(1,CC103)</f>
        <v>0</v>
      </c>
      <c r="CE103" s="78">
        <f ca="1">IF(CD103=1,_xll.RiskBinomial(1,Prob_illness_Adv_infection),0)</f>
        <v>0</v>
      </c>
      <c r="CG103" s="77" t="e">
        <f t="shared" ca="1" si="71"/>
        <v>#VALUE!</v>
      </c>
      <c r="CH103" s="33" t="e">
        <f ca="1">INT(CG103) + _xll.RiskBinomial(1,CG103-INT(CG103))</f>
        <v>#VALUE!</v>
      </c>
      <c r="CI103" s="26" t="e">
        <f t="shared" ca="1" si="63"/>
        <v>#VALUE!</v>
      </c>
      <c r="CJ103" s="31" t="e">
        <f ca="1">_xll.RiskBinomial(1,CI103)</f>
        <v>#VALUE!</v>
      </c>
      <c r="CK103" s="78" t="e">
        <f ca="1">IF(CJ103=1,_xll.RiskBinomial(1,Prob_illness_Adv_infection),0)</f>
        <v>#VALUE!</v>
      </c>
    </row>
    <row r="104" spans="2:89" x14ac:dyDescent="0.2">
      <c r="B104" s="97">
        <v>96</v>
      </c>
      <c r="C104" s="100">
        <f ca="1" xml:space="preserve"> _xll.RiskPert(Dur_event_hours_min,Dur_event_hours_mode,Dur_event_hours_max)</f>
        <v>1.1855476068835229</v>
      </c>
      <c r="D104" s="26">
        <f ca="1">_xll.RiskPert(Primary_Ing_Rate_mL_per_hour_min,Primary_Ing_Rate_mL_per_hour_mode,Primary_Ing_Rate_mL_per_hour_max)</f>
        <v>13.146335813398402</v>
      </c>
      <c r="E104" s="34">
        <f t="shared" ca="1" si="43"/>
        <v>15.585606962861627</v>
      </c>
      <c r="F104" s="26"/>
      <c r="G104" s="77">
        <f t="shared" ca="1" si="64"/>
        <v>1.4309880887978897E-9</v>
      </c>
      <c r="H104" s="33">
        <f ca="1">INT(G104) + _xll.RiskBinomial(1,G104-INT(G104))</f>
        <v>0</v>
      </c>
      <c r="I104" s="26">
        <f t="shared" ca="1" si="44"/>
        <v>0</v>
      </c>
      <c r="J104" s="31">
        <f ca="1">_xll.RiskBinomial(1,I104)</f>
        <v>0</v>
      </c>
      <c r="K104" s="78">
        <f ca="1">IF(J104=1,_xll.RiskBinomial(1,Prob_illness_Adv_infection),0)</f>
        <v>0</v>
      </c>
      <c r="L104" s="26"/>
      <c r="M104" s="77">
        <f t="shared" ca="1" si="45"/>
        <v>3.553948467450728E-11</v>
      </c>
      <c r="N104" s="33">
        <f ca="1">INT(M104) + _xll.RiskBinomial(1,M104-INT(M104))</f>
        <v>0</v>
      </c>
      <c r="O104" s="26">
        <f t="shared" ca="1" si="46"/>
        <v>0</v>
      </c>
      <c r="P104" s="31">
        <f ca="1">_xll.RiskBinomial(1,O104)</f>
        <v>0</v>
      </c>
      <c r="Q104" s="78">
        <f ca="1">IF(P104=1,_xll.RiskBinomial(1,Prob_illness_Adv_infection),0)</f>
        <v>0</v>
      </c>
      <c r="R104" s="26"/>
      <c r="S104" s="77">
        <f t="shared" ca="1" si="47"/>
        <v>4.5003231266604447E-10</v>
      </c>
      <c r="T104" s="33">
        <f ca="1">INT(S104) + _xll.RiskBinomial(1,S104-INT(S104))</f>
        <v>0</v>
      </c>
      <c r="U104" s="26">
        <f t="shared" ca="1" si="48"/>
        <v>0</v>
      </c>
      <c r="V104" s="31">
        <f ca="1">_xll.RiskBinomial(1,U104)</f>
        <v>0</v>
      </c>
      <c r="W104" s="78">
        <f ca="1">IF(V104=1,_xll.RiskBinomial(1,Prob_illness_Adv_infection),0)</f>
        <v>0</v>
      </c>
      <c r="X104" s="26"/>
      <c r="Y104" s="77">
        <f t="shared" ca="1" si="49"/>
        <v>3.7430925185756568E-11</v>
      </c>
      <c r="Z104" s="33">
        <f ca="1">INT(Y104) + _xll.RiskBinomial(1,Y104-INT(Y104))</f>
        <v>0</v>
      </c>
      <c r="AA104" s="26">
        <f t="shared" ca="1" si="50"/>
        <v>0</v>
      </c>
      <c r="AB104" s="31">
        <f ca="1">_xll.RiskBinomial(1,AA104)</f>
        <v>0</v>
      </c>
      <c r="AC104" s="78">
        <f ca="1">IF(AB104=1,_xll.RiskBinomial(1,Prob_illness_Adv_infection),0)</f>
        <v>0</v>
      </c>
      <c r="AD104" s="26"/>
      <c r="AE104" s="77">
        <f t="shared" ca="1" si="51"/>
        <v>5.6211054515590833E-11</v>
      </c>
      <c r="AF104" s="33">
        <f ca="1">INT(AE104) + _xll.RiskBinomial(1,AE104-INT(AE104))</f>
        <v>0</v>
      </c>
      <c r="AG104" s="26">
        <f t="shared" ca="1" si="52"/>
        <v>0</v>
      </c>
      <c r="AH104" s="31">
        <f ca="1">_xll.RiskBinomial(1,AG104)</f>
        <v>0</v>
      </c>
      <c r="AI104" s="78">
        <f ca="1">IF(AH104=1,_xll.RiskBinomial(1,Prob_illness_Adv_infection),0)</f>
        <v>0</v>
      </c>
      <c r="AJ104" s="26"/>
      <c r="AK104" s="77">
        <f t="shared" ca="1" si="53"/>
        <v>3.6571398485811215E-10</v>
      </c>
      <c r="AL104" s="33">
        <f ca="1">INT(AK104) + _xll.RiskBinomial(1,AK104-INT(AK104))</f>
        <v>0</v>
      </c>
      <c r="AM104" s="26">
        <f t="shared" ca="1" si="54"/>
        <v>0</v>
      </c>
      <c r="AN104" s="31">
        <f ca="1">_xll.RiskBinomial(1,AM104)</f>
        <v>0</v>
      </c>
      <c r="AO104" s="78">
        <f ca="1">IF(AN104=1,_xll.RiskBinomial(1,Prob_illness_Adv_infection),0)</f>
        <v>0</v>
      </c>
      <c r="AP104" s="26"/>
      <c r="AQ104" s="77">
        <f t="shared" ca="1" si="55"/>
        <v>6.9388437766317295E-10</v>
      </c>
      <c r="AR104" s="33">
        <f ca="1">INT(AQ104) + _xll.RiskBinomial(1,AQ104-INT(AQ104))</f>
        <v>0</v>
      </c>
      <c r="AS104" s="26">
        <f t="shared" ca="1" si="56"/>
        <v>0</v>
      </c>
      <c r="AT104" s="31">
        <f ca="1">_xll.RiskBinomial(1,AS104)</f>
        <v>0</v>
      </c>
      <c r="AU104" s="78">
        <f ca="1">IF(AT104=1,_xll.RiskBinomial(1,Prob_illness_Adv_infection),0)</f>
        <v>0</v>
      </c>
      <c r="AV104" s="26"/>
      <c r="AW104" s="77">
        <f t="shared" ca="1" si="65"/>
        <v>1.2220270053042225E-11</v>
      </c>
      <c r="AX104" s="33">
        <f ca="1">INT(AW104) + _xll.RiskBinomial(1,AW104-INT(AW104))</f>
        <v>0</v>
      </c>
      <c r="AY104" s="26">
        <f t="shared" ca="1" si="57"/>
        <v>0</v>
      </c>
      <c r="AZ104" s="31">
        <f ca="1">_xll.RiskBinomial(1,AY104)</f>
        <v>0</v>
      </c>
      <c r="BA104" s="78">
        <f ca="1">IF(AZ104=1,_xll.RiskBinomial(1,Prob_illness_Adv_infection),0)</f>
        <v>0</v>
      </c>
      <c r="BC104" s="77">
        <f t="shared" ca="1" si="66"/>
        <v>6.2637987177590725E-11</v>
      </c>
      <c r="BD104" s="33">
        <f ca="1">INT(BC104) + _xll.RiskBinomial(1,BC104-INT(BC104))</f>
        <v>0</v>
      </c>
      <c r="BE104" s="26">
        <f t="shared" ca="1" si="58"/>
        <v>0</v>
      </c>
      <c r="BF104" s="31">
        <f ca="1">_xll.RiskBinomial(1,BE104)</f>
        <v>0</v>
      </c>
      <c r="BG104" s="78">
        <f ca="1">IF(BF104=1,_xll.RiskBinomial(1,Prob_illness_Adv_infection),0)</f>
        <v>0</v>
      </c>
      <c r="BI104" s="77">
        <f t="shared" ca="1" si="67"/>
        <v>2.9169348467904749E-11</v>
      </c>
      <c r="BJ104" s="33">
        <f ca="1">INT(BI104) + _xll.RiskBinomial(1,BI104-INT(BI104))</f>
        <v>0</v>
      </c>
      <c r="BK104" s="26">
        <f t="shared" ca="1" si="59"/>
        <v>0</v>
      </c>
      <c r="BL104" s="31">
        <f ca="1">_xll.RiskBinomial(1,BK104)</f>
        <v>0</v>
      </c>
      <c r="BM104" s="78">
        <f ca="1">IF(BL104=1,_xll.RiskBinomial(1,Prob_illness_Adv_infection),0)</f>
        <v>0</v>
      </c>
      <c r="BO104" s="77">
        <f t="shared" ca="1" si="68"/>
        <v>6.3064365385264029E-11</v>
      </c>
      <c r="BP104" s="33">
        <f ca="1">INT(BO104) + _xll.RiskBinomial(1,BO104-INT(BO104))</f>
        <v>0</v>
      </c>
      <c r="BQ104" s="26">
        <f t="shared" ca="1" si="60"/>
        <v>0</v>
      </c>
      <c r="BR104" s="31">
        <f ca="1">_xll.RiskBinomial(1,BQ104)</f>
        <v>0</v>
      </c>
      <c r="BS104" s="78">
        <f ca="1">IF(BR104=1,_xll.RiskBinomial(1,Prob_illness_Adv_infection),0)</f>
        <v>0</v>
      </c>
      <c r="BU104" s="77">
        <f t="shared" ca="1" si="69"/>
        <v>4.505964998202043E-13</v>
      </c>
      <c r="BV104" s="33">
        <f ca="1">INT(BU104) + _xll.RiskBinomial(1,BU104-INT(BU104))</f>
        <v>0</v>
      </c>
      <c r="BW104" s="26">
        <f t="shared" ca="1" si="61"/>
        <v>0</v>
      </c>
      <c r="BX104" s="31">
        <f ca="1">_xll.RiskBinomial(1,BW104)</f>
        <v>0</v>
      </c>
      <c r="BY104" s="78">
        <f ca="1">IF(BX104=1,_xll.RiskBinomial(1,Prob_illness_Adv_infection),0)</f>
        <v>0</v>
      </c>
      <c r="CA104" s="77">
        <f t="shared" ca="1" si="70"/>
        <v>6.8371853003513626E-11</v>
      </c>
      <c r="CB104" s="33">
        <f ca="1">INT(CA104) + _xll.RiskBinomial(1,CA104-INT(CA104))</f>
        <v>0</v>
      </c>
      <c r="CC104" s="26">
        <f t="shared" ca="1" si="62"/>
        <v>0</v>
      </c>
      <c r="CD104" s="31">
        <f ca="1">_xll.RiskBinomial(1,CC104)</f>
        <v>0</v>
      </c>
      <c r="CE104" s="78">
        <f ca="1">IF(CD104=1,_xll.RiskBinomial(1,Prob_illness_Adv_infection),0)</f>
        <v>0</v>
      </c>
      <c r="CG104" s="77" t="e">
        <f t="shared" ca="1" si="71"/>
        <v>#VALUE!</v>
      </c>
      <c r="CH104" s="33" t="e">
        <f ca="1">INT(CG104) + _xll.RiskBinomial(1,CG104-INT(CG104))</f>
        <v>#VALUE!</v>
      </c>
      <c r="CI104" s="26" t="e">
        <f t="shared" ca="1" si="63"/>
        <v>#VALUE!</v>
      </c>
      <c r="CJ104" s="31" t="e">
        <f ca="1">_xll.RiskBinomial(1,CI104)</f>
        <v>#VALUE!</v>
      </c>
      <c r="CK104" s="78" t="e">
        <f ca="1">IF(CJ104=1,_xll.RiskBinomial(1,Prob_illness_Adv_infection),0)</f>
        <v>#VALUE!</v>
      </c>
    </row>
    <row r="105" spans="2:89" x14ac:dyDescent="0.2">
      <c r="B105" s="97">
        <v>97</v>
      </c>
      <c r="C105" s="100">
        <f ca="1" xml:space="preserve"> _xll.RiskPert(Dur_event_hours_min,Dur_event_hours_mode,Dur_event_hours_max)</f>
        <v>0.5485874023558448</v>
      </c>
      <c r="D105" s="26">
        <f ca="1">_xll.RiskPert(Primary_Ing_Rate_mL_per_hour_min,Primary_Ing_Rate_mL_per_hour_mode,Primary_Ing_Rate_mL_per_hour_max)</f>
        <v>14.596057685742903</v>
      </c>
      <c r="E105" s="34">
        <f t="shared" ca="1" si="43"/>
        <v>8.0072133704577624</v>
      </c>
      <c r="F105" s="26"/>
      <c r="G105" s="77">
        <f t="shared" ca="1" si="64"/>
        <v>7.3518002763008543E-10</v>
      </c>
      <c r="H105" s="33">
        <f ca="1">INT(G105) + _xll.RiskBinomial(1,G105-INT(G105))</f>
        <v>0</v>
      </c>
      <c r="I105" s="26">
        <f t="shared" ref="I105:I108" ca="1" si="72" xml:space="preserve"> MAX(1-(1-r_Adv)^H105,0)</f>
        <v>0</v>
      </c>
      <c r="J105" s="31">
        <f ca="1">_xll.RiskBinomial(1,I105)</f>
        <v>0</v>
      </c>
      <c r="K105" s="78">
        <f ca="1">IF(J105=1,_xll.RiskBinomial(1,Prob_illness_Adv_infection),0)</f>
        <v>0</v>
      </c>
      <c r="L105" s="26"/>
      <c r="M105" s="77">
        <f t="shared" ca="1" si="45"/>
        <v>1.8258656049969066E-11</v>
      </c>
      <c r="N105" s="33">
        <f ca="1">INT(M105) + _xll.RiskBinomial(1,M105-INT(M105))</f>
        <v>0</v>
      </c>
      <c r="O105" s="26">
        <f t="shared" ref="O105:O108" ca="1" si="73" xml:space="preserve"> MAX(1-(1-r_Adv)^N105,0)</f>
        <v>0</v>
      </c>
      <c r="P105" s="31">
        <f ca="1">_xll.RiskBinomial(1,O105)</f>
        <v>0</v>
      </c>
      <c r="Q105" s="78">
        <f ca="1">IF(P105=1,_xll.RiskBinomial(1,Prob_illness_Adv_infection),0)</f>
        <v>0</v>
      </c>
      <c r="R105" s="26"/>
      <c r="S105" s="77">
        <f t="shared" ca="1" si="47"/>
        <v>2.3120721314891615E-10</v>
      </c>
      <c r="T105" s="33">
        <f ca="1">INT(S105) + _xll.RiskBinomial(1,S105-INT(S105))</f>
        <v>0</v>
      </c>
      <c r="U105" s="26">
        <f t="shared" ref="U105:U108" ca="1" si="74" xml:space="preserve"> MAX(1-(1-r_Adv)^T105,0)</f>
        <v>0</v>
      </c>
      <c r="V105" s="31">
        <f ca="1">_xll.RiskBinomial(1,U105)</f>
        <v>0</v>
      </c>
      <c r="W105" s="78">
        <f ca="1">IF(V105=1,_xll.RiskBinomial(1,Prob_illness_Adv_infection),0)</f>
        <v>0</v>
      </c>
      <c r="X105" s="26"/>
      <c r="Y105" s="77">
        <f t="shared" ca="1" si="49"/>
        <v>1.9230396694217931E-11</v>
      </c>
      <c r="Z105" s="33">
        <f ca="1">INT(Y105) + _xll.RiskBinomial(1,Y105-INT(Y105))</f>
        <v>0</v>
      </c>
      <c r="AA105" s="26">
        <f t="shared" ref="AA105:AA108" ca="1" si="75" xml:space="preserve"> MAX(1-(1-r_Adv)^Z105,0)</f>
        <v>0</v>
      </c>
      <c r="AB105" s="31">
        <f ca="1">_xll.RiskBinomial(1,AA105)</f>
        <v>0</v>
      </c>
      <c r="AC105" s="78">
        <f ca="1">IF(AB105=1,_xll.RiskBinomial(1,Prob_illness_Adv_infection),0)</f>
        <v>0</v>
      </c>
      <c r="AD105" s="26"/>
      <c r="AE105" s="77">
        <f t="shared" ca="1" si="51"/>
        <v>2.8878818024686586E-11</v>
      </c>
      <c r="AF105" s="33">
        <f ca="1">INT(AE105) + _xll.RiskBinomial(1,AE105-INT(AE105))</f>
        <v>0</v>
      </c>
      <c r="AG105" s="26">
        <f t="shared" ref="AG105:AG108" ca="1" si="76" xml:space="preserve"> MAX(1-(1-r_Adv)^AF105,0)</f>
        <v>0</v>
      </c>
      <c r="AH105" s="31">
        <f ca="1">_xll.RiskBinomial(1,AG105)</f>
        <v>0</v>
      </c>
      <c r="AI105" s="78">
        <f ca="1">IF(AH105=1,_xll.RiskBinomial(1,Prob_illness_Adv_infection),0)</f>
        <v>0</v>
      </c>
      <c r="AJ105" s="26"/>
      <c r="AK105" s="77">
        <f t="shared" ca="1" si="53"/>
        <v>1.8788808907456225E-10</v>
      </c>
      <c r="AL105" s="33">
        <f ca="1">INT(AK105) + _xll.RiskBinomial(1,AK105-INT(AK105))</f>
        <v>0</v>
      </c>
      <c r="AM105" s="26">
        <f t="shared" ref="AM105:AM108" ca="1" si="77" xml:space="preserve"> MAX(1-(1-r_Adv)^AL105,0)</f>
        <v>0</v>
      </c>
      <c r="AN105" s="31">
        <f ca="1">_xll.RiskBinomial(1,AM105)</f>
        <v>0</v>
      </c>
      <c r="AO105" s="78">
        <f ca="1">IF(AN105=1,_xll.RiskBinomial(1,Prob_illness_Adv_infection),0)</f>
        <v>0</v>
      </c>
      <c r="AP105" s="26"/>
      <c r="AQ105" s="77">
        <f t="shared" ca="1" si="55"/>
        <v>3.5648789807260649E-10</v>
      </c>
      <c r="AR105" s="33">
        <f ca="1">INT(AQ105) + _xll.RiskBinomial(1,AQ105-INT(AQ105))</f>
        <v>0</v>
      </c>
      <c r="AS105" s="26">
        <f t="shared" ref="AS105:AS108" ca="1" si="78" xml:space="preserve"> MAX(1-(1-r_Adv)^AR105,0)</f>
        <v>0</v>
      </c>
      <c r="AT105" s="31">
        <f ca="1">_xll.RiskBinomial(1,AS105)</f>
        <v>0</v>
      </c>
      <c r="AU105" s="78">
        <f ca="1">IF(AT105=1,_xll.RiskBinomial(1,Prob_illness_Adv_infection),0)</f>
        <v>0</v>
      </c>
      <c r="AV105" s="26"/>
      <c r="AW105" s="77">
        <f t="shared" ca="1" si="65"/>
        <v>6.2782482576705686E-12</v>
      </c>
      <c r="AX105" s="33">
        <f ca="1">INT(AW105) + _xll.RiskBinomial(1,AW105-INT(AW105))</f>
        <v>0</v>
      </c>
      <c r="AY105" s="26">
        <f t="shared" ref="AY105:AY108" ca="1" si="79" xml:space="preserve"> MAX(1-(1-r_Adv)^AX105,0)</f>
        <v>0</v>
      </c>
      <c r="AZ105" s="31">
        <f ca="1">_xll.RiskBinomial(1,AY105)</f>
        <v>0</v>
      </c>
      <c r="BA105" s="78">
        <f ca="1">IF(AZ105=1,_xll.RiskBinomial(1,Prob_illness_Adv_infection),0)</f>
        <v>0</v>
      </c>
      <c r="BC105" s="77">
        <f t="shared" ca="1" si="66"/>
        <v>3.2180699129787193E-11</v>
      </c>
      <c r="BD105" s="33">
        <f ca="1">INT(BC105) + _xll.RiskBinomial(1,BC105-INT(BC105))</f>
        <v>0</v>
      </c>
      <c r="BE105" s="26">
        <f t="shared" ref="BE105:BE108" ca="1" si="80" xml:space="preserve"> MAX(1-(1-r_Adv)^BD105,0)</f>
        <v>0</v>
      </c>
      <c r="BF105" s="31">
        <f ca="1">_xll.RiskBinomial(1,BE105)</f>
        <v>0</v>
      </c>
      <c r="BG105" s="78">
        <f ca="1">IF(BF105=1,_xll.RiskBinomial(1,Prob_illness_Adv_infection),0)</f>
        <v>0</v>
      </c>
      <c r="BI105" s="77">
        <f t="shared" ca="1" si="67"/>
        <v>1.4985954516644909E-11</v>
      </c>
      <c r="BJ105" s="33">
        <f ca="1">INT(BI105) + _xll.RiskBinomial(1,BI105-INT(BI105))</f>
        <v>0</v>
      </c>
      <c r="BK105" s="26">
        <f t="shared" ref="BK105:BK108" ca="1" si="81" xml:space="preserve"> MAX(1-(1-r_Adv)^BJ105,0)</f>
        <v>0</v>
      </c>
      <c r="BL105" s="31">
        <f ca="1">_xll.RiskBinomial(1,BK105)</f>
        <v>0</v>
      </c>
      <c r="BM105" s="78">
        <f ca="1">IF(BL105=1,_xll.RiskBinomial(1,Prob_illness_Adv_infection),0)</f>
        <v>0</v>
      </c>
      <c r="BO105" s="77">
        <f t="shared" ca="1" si="68"/>
        <v>3.2399753882899394E-11</v>
      </c>
      <c r="BP105" s="33">
        <f ca="1">INT(BO105) + _xll.RiskBinomial(1,BO105-INT(BO105))</f>
        <v>0</v>
      </c>
      <c r="BQ105" s="26">
        <f t="shared" ref="BQ105:BQ108" ca="1" si="82" xml:space="preserve"> MAX(1-(1-r_Adv)^BP105,0)</f>
        <v>0</v>
      </c>
      <c r="BR105" s="31">
        <f ca="1">_xll.RiskBinomial(1,BQ105)</f>
        <v>0</v>
      </c>
      <c r="BS105" s="78">
        <f ca="1">IF(BR105=1,_xll.RiskBinomial(1,Prob_illness_Adv_infection),0)</f>
        <v>0</v>
      </c>
      <c r="BU105" s="77">
        <f t="shared" ca="1" si="69"/>
        <v>2.3149706820140103E-13</v>
      </c>
      <c r="BV105" s="33">
        <f ca="1">INT(BU105) + _xll.RiskBinomial(1,BU105-INT(BU105))</f>
        <v>0</v>
      </c>
      <c r="BW105" s="26">
        <f t="shared" ref="BW105:BW108" ca="1" si="83" xml:space="preserve"> MAX(1-(1-r_Adv)^BV105,0)</f>
        <v>0</v>
      </c>
      <c r="BX105" s="31">
        <f ca="1">_xll.RiskBinomial(1,BW105)</f>
        <v>0</v>
      </c>
      <c r="BY105" s="78">
        <f ca="1">IF(BX105=1,_xll.RiskBinomial(1,Prob_illness_Adv_infection),0)</f>
        <v>0</v>
      </c>
      <c r="CA105" s="77">
        <f t="shared" ca="1" si="70"/>
        <v>3.5126512354459386E-11</v>
      </c>
      <c r="CB105" s="33">
        <f ca="1">INT(CA105) + _xll.RiskBinomial(1,CA105-INT(CA105))</f>
        <v>0</v>
      </c>
      <c r="CC105" s="26">
        <f t="shared" ref="CC105:CC108" ca="1" si="84" xml:space="preserve"> MAX(1-(1-r_Adv)^CB105,0)</f>
        <v>0</v>
      </c>
      <c r="CD105" s="31">
        <f ca="1">_xll.RiskBinomial(1,CC105)</f>
        <v>0</v>
      </c>
      <c r="CE105" s="78">
        <f ca="1">IF(CD105=1,_xll.RiskBinomial(1,Prob_illness_Adv_infection),0)</f>
        <v>0</v>
      </c>
      <c r="CG105" s="77" t="e">
        <f t="shared" ca="1" si="71"/>
        <v>#VALUE!</v>
      </c>
      <c r="CH105" s="33" t="e">
        <f ca="1">INT(CG105) + _xll.RiskBinomial(1,CG105-INT(CG105))</f>
        <v>#VALUE!</v>
      </c>
      <c r="CI105" s="26" t="e">
        <f t="shared" ref="CI105:CI108" ca="1" si="85" xml:space="preserve"> MAX(1-(1-r_Adv)^CH105,0)</f>
        <v>#VALUE!</v>
      </c>
      <c r="CJ105" s="31" t="e">
        <f ca="1">_xll.RiskBinomial(1,CI105)</f>
        <v>#VALUE!</v>
      </c>
      <c r="CK105" s="78" t="e">
        <f ca="1">IF(CJ105=1,_xll.RiskBinomial(1,Prob_illness_Adv_infection),0)</f>
        <v>#VALUE!</v>
      </c>
    </row>
    <row r="106" spans="2:89" x14ac:dyDescent="0.2">
      <c r="B106" s="97">
        <v>98</v>
      </c>
      <c r="C106" s="100">
        <f ca="1" xml:space="preserve"> _xll.RiskPert(Dur_event_hours_min,Dur_event_hours_mode,Dur_event_hours_max)</f>
        <v>0.77209577161746101</v>
      </c>
      <c r="D106" s="26">
        <f ca="1">_xll.RiskPert(Primary_Ing_Rate_mL_per_hour_min,Primary_Ing_Rate_mL_per_hour_mode,Primary_Ing_Rate_mL_per_hour_max)</f>
        <v>12.400855302733888</v>
      </c>
      <c r="E106" s="34">
        <f t="shared" ca="1" si="43"/>
        <v>9.5746479436808034</v>
      </c>
      <c r="F106" s="26"/>
      <c r="G106" s="77">
        <f t="shared" ca="1" si="64"/>
        <v>8.7909358900737993E-10</v>
      </c>
      <c r="H106" s="33">
        <f ca="1">INT(G106) + _xll.RiskBinomial(1,G106-INT(G106))</f>
        <v>0</v>
      </c>
      <c r="I106" s="26">
        <f t="shared" ca="1" si="72"/>
        <v>0</v>
      </c>
      <c r="J106" s="31">
        <f ca="1">_xll.RiskBinomial(1,I106)</f>
        <v>0</v>
      </c>
      <c r="K106" s="78">
        <f ca="1">IF(J106=1,_xll.RiskBinomial(1,Prob_illness_Adv_infection),0)</f>
        <v>0</v>
      </c>
      <c r="L106" s="26"/>
      <c r="M106" s="77">
        <f t="shared" ca="1" si="45"/>
        <v>2.1832839405554283E-11</v>
      </c>
      <c r="N106" s="33">
        <f ca="1">INT(M106) + _xll.RiskBinomial(1,M106-INT(M106))</f>
        <v>0</v>
      </c>
      <c r="O106" s="26">
        <f t="shared" ca="1" si="73"/>
        <v>0</v>
      </c>
      <c r="P106" s="31">
        <f ca="1">_xll.RiskBinomial(1,O106)</f>
        <v>0</v>
      </c>
      <c r="Q106" s="78">
        <f ca="1">IF(P106=1,_xll.RiskBinomial(1,Prob_illness_Adv_infection),0)</f>
        <v>0</v>
      </c>
      <c r="R106" s="26"/>
      <c r="S106" s="77">
        <f t="shared" ca="1" si="47"/>
        <v>2.7646667642302171E-10</v>
      </c>
      <c r="T106" s="33">
        <f ca="1">INT(S106) + _xll.RiskBinomial(1,S106-INT(S106))</f>
        <v>0</v>
      </c>
      <c r="U106" s="26">
        <f t="shared" ca="1" si="74"/>
        <v>0</v>
      </c>
      <c r="V106" s="31">
        <f ca="1">_xll.RiskBinomial(1,U106)</f>
        <v>0</v>
      </c>
      <c r="W106" s="78">
        <f ca="1">IF(V106=1,_xll.RiskBinomial(1,Prob_illness_Adv_infection),0)</f>
        <v>0</v>
      </c>
      <c r="X106" s="26"/>
      <c r="Y106" s="77">
        <f t="shared" ca="1" si="49"/>
        <v>2.2994801018264069E-11</v>
      </c>
      <c r="Z106" s="33">
        <f ca="1">INT(Y106) + _xll.RiskBinomial(1,Y106-INT(Y106))</f>
        <v>0</v>
      </c>
      <c r="AA106" s="26">
        <f t="shared" ca="1" si="75"/>
        <v>0</v>
      </c>
      <c r="AB106" s="31">
        <f ca="1">_xll.RiskBinomial(1,AA106)</f>
        <v>0</v>
      </c>
      <c r="AC106" s="78">
        <f ca="1">IF(AB106=1,_xll.RiskBinomial(1,Prob_illness_Adv_infection),0)</f>
        <v>0</v>
      </c>
      <c r="AD106" s="26"/>
      <c r="AE106" s="77">
        <f t="shared" ca="1" si="51"/>
        <v>3.4531928003336082E-11</v>
      </c>
      <c r="AF106" s="33">
        <f ca="1">INT(AE106) + _xll.RiskBinomial(1,AE106-INT(AE106))</f>
        <v>0</v>
      </c>
      <c r="AG106" s="26">
        <f t="shared" ca="1" si="76"/>
        <v>0</v>
      </c>
      <c r="AH106" s="31">
        <f ca="1">_xll.RiskBinomial(1,AG106)</f>
        <v>0</v>
      </c>
      <c r="AI106" s="78">
        <f ca="1">IF(AH106=1,_xll.RiskBinomial(1,Prob_illness_Adv_infection),0)</f>
        <v>0</v>
      </c>
      <c r="AJ106" s="26"/>
      <c r="AK106" s="77">
        <f t="shared" ca="1" si="53"/>
        <v>2.2466771178311046E-10</v>
      </c>
      <c r="AL106" s="33">
        <f ca="1">INT(AK106) + _xll.RiskBinomial(1,AK106-INT(AK106))</f>
        <v>0</v>
      </c>
      <c r="AM106" s="26">
        <f t="shared" ca="1" si="77"/>
        <v>0</v>
      </c>
      <c r="AN106" s="31">
        <f ca="1">_xll.RiskBinomial(1,AM106)</f>
        <v>0</v>
      </c>
      <c r="AO106" s="78">
        <f ca="1">IF(AN106=1,_xll.RiskBinomial(1,Prob_illness_Adv_infection),0)</f>
        <v>0</v>
      </c>
      <c r="AP106" s="26"/>
      <c r="AQ106" s="77">
        <f t="shared" ca="1" si="55"/>
        <v>4.2627140833051672E-10</v>
      </c>
      <c r="AR106" s="33">
        <f ca="1">INT(AQ106) + _xll.RiskBinomial(1,AQ106-INT(AQ106))</f>
        <v>0</v>
      </c>
      <c r="AS106" s="26">
        <f t="shared" ca="1" si="78"/>
        <v>0</v>
      </c>
      <c r="AT106" s="31">
        <f ca="1">_xll.RiskBinomial(1,AS106)</f>
        <v>0</v>
      </c>
      <c r="AU106" s="78">
        <f ca="1">IF(AT106=1,_xll.RiskBinomial(1,Prob_illness_Adv_infection),0)</f>
        <v>0</v>
      </c>
      <c r="AV106" s="26"/>
      <c r="AW106" s="77">
        <f t="shared" ca="1" si="65"/>
        <v>7.5072330396494186E-12</v>
      </c>
      <c r="AX106" s="33">
        <f ca="1">INT(AW106) + _xll.RiskBinomial(1,AW106-INT(AW106))</f>
        <v>0</v>
      </c>
      <c r="AY106" s="26">
        <f t="shared" ca="1" si="79"/>
        <v>0</v>
      </c>
      <c r="AZ106" s="31">
        <f ca="1">_xll.RiskBinomial(1,AY106)</f>
        <v>0</v>
      </c>
      <c r="BA106" s="78">
        <f ca="1">IF(AZ106=1,_xll.RiskBinomial(1,Prob_illness_Adv_infection),0)</f>
        <v>0</v>
      </c>
      <c r="BC106" s="77">
        <f t="shared" ca="1" si="66"/>
        <v>3.8480161636009061E-11</v>
      </c>
      <c r="BD106" s="33">
        <f ca="1">INT(BC106) + _xll.RiskBinomial(1,BC106-INT(BC106))</f>
        <v>0</v>
      </c>
      <c r="BE106" s="26">
        <f t="shared" ca="1" si="80"/>
        <v>0</v>
      </c>
      <c r="BF106" s="31">
        <f ca="1">_xll.RiskBinomial(1,BE106)</f>
        <v>0</v>
      </c>
      <c r="BG106" s="78">
        <f ca="1">IF(BF106=1,_xll.RiskBinomial(1,Prob_illness_Adv_infection),0)</f>
        <v>0</v>
      </c>
      <c r="BI106" s="77">
        <f t="shared" ca="1" si="67"/>
        <v>1.7919497328030532E-11</v>
      </c>
      <c r="BJ106" s="33">
        <f ca="1">INT(BI106) + _xll.RiskBinomial(1,BI106-INT(BI106))</f>
        <v>0</v>
      </c>
      <c r="BK106" s="26">
        <f t="shared" ca="1" si="81"/>
        <v>0</v>
      </c>
      <c r="BL106" s="31">
        <f ca="1">_xll.RiskBinomial(1,BK106)</f>
        <v>0</v>
      </c>
      <c r="BM106" s="78">
        <f ca="1">IF(BL106=1,_xll.RiskBinomial(1,Prob_illness_Adv_infection),0)</f>
        <v>0</v>
      </c>
      <c r="BO106" s="77">
        <f t="shared" ca="1" si="68"/>
        <v>3.8742096974110251E-11</v>
      </c>
      <c r="BP106" s="33">
        <f ca="1">INT(BO106) + _xll.RiskBinomial(1,BO106-INT(BO106))</f>
        <v>0</v>
      </c>
      <c r="BQ106" s="26">
        <f t="shared" ca="1" si="82"/>
        <v>0</v>
      </c>
      <c r="BR106" s="31">
        <f ca="1">_xll.RiskBinomial(1,BQ106)</f>
        <v>0</v>
      </c>
      <c r="BS106" s="78">
        <f ca="1">IF(BR106=1,_xll.RiskBinomial(1,Prob_illness_Adv_infection),0)</f>
        <v>0</v>
      </c>
      <c r="BU106" s="77">
        <f t="shared" ca="1" si="69"/>
        <v>2.7681327141853901E-13</v>
      </c>
      <c r="BV106" s="33">
        <f ca="1">INT(BU106) + _xll.RiskBinomial(1,BU106-INT(BU106))</f>
        <v>0</v>
      </c>
      <c r="BW106" s="26">
        <f t="shared" ca="1" si="83"/>
        <v>0</v>
      </c>
      <c r="BX106" s="31">
        <f ca="1">_xll.RiskBinomial(1,BW106)</f>
        <v>0</v>
      </c>
      <c r="BY106" s="78">
        <f ca="1">IF(BX106=1,_xll.RiskBinomial(1,Prob_illness_Adv_infection),0)</f>
        <v>0</v>
      </c>
      <c r="CA106" s="77">
        <f t="shared" ca="1" si="70"/>
        <v>4.2002626097632717E-11</v>
      </c>
      <c r="CB106" s="33">
        <f ca="1">INT(CA106) + _xll.RiskBinomial(1,CA106-INT(CA106))</f>
        <v>0</v>
      </c>
      <c r="CC106" s="26">
        <f t="shared" ca="1" si="84"/>
        <v>0</v>
      </c>
      <c r="CD106" s="31">
        <f ca="1">_xll.RiskBinomial(1,CC106)</f>
        <v>0</v>
      </c>
      <c r="CE106" s="78">
        <f ca="1">IF(CD106=1,_xll.RiskBinomial(1,Prob_illness_Adv_infection),0)</f>
        <v>0</v>
      </c>
      <c r="CG106" s="77" t="e">
        <f t="shared" ca="1" si="71"/>
        <v>#VALUE!</v>
      </c>
      <c r="CH106" s="33" t="e">
        <f ca="1">INT(CG106) + _xll.RiskBinomial(1,CG106-INT(CG106))</f>
        <v>#VALUE!</v>
      </c>
      <c r="CI106" s="26" t="e">
        <f t="shared" ca="1" si="85"/>
        <v>#VALUE!</v>
      </c>
      <c r="CJ106" s="31" t="e">
        <f ca="1">_xll.RiskBinomial(1,CI106)</f>
        <v>#VALUE!</v>
      </c>
      <c r="CK106" s="78" t="e">
        <f ca="1">IF(CJ106=1,_xll.RiskBinomial(1,Prob_illness_Adv_infection),0)</f>
        <v>#VALUE!</v>
      </c>
    </row>
    <row r="107" spans="2:89" x14ac:dyDescent="0.2">
      <c r="B107" s="97">
        <v>99</v>
      </c>
      <c r="C107" s="100">
        <f ca="1" xml:space="preserve"> _xll.RiskPert(Dur_event_hours_min,Dur_event_hours_mode,Dur_event_hours_max)</f>
        <v>1.0011368166567651</v>
      </c>
      <c r="D107" s="26">
        <f ca="1">_xll.RiskPert(Primary_Ing_Rate_mL_per_hour_min,Primary_Ing_Rate_mL_per_hour_mode,Primary_Ing_Rate_mL_per_hour_max)</f>
        <v>19.64013134197948</v>
      </c>
      <c r="E107" s="34">
        <f t="shared" ca="1" si="43"/>
        <v>19.662458570430097</v>
      </c>
      <c r="F107" s="26"/>
      <c r="G107" s="77">
        <f t="shared" ca="1" si="64"/>
        <v>1.8053030644115092E-9</v>
      </c>
      <c r="H107" s="33">
        <f ca="1">INT(G107) + _xll.RiskBinomial(1,G107-INT(G107))</f>
        <v>0</v>
      </c>
      <c r="I107" s="26">
        <f t="shared" ca="1" si="72"/>
        <v>0</v>
      </c>
      <c r="J107" s="31">
        <f ca="1">_xll.RiskBinomial(1,I107)</f>
        <v>0</v>
      </c>
      <c r="K107" s="78">
        <f ca="1">IF(J107=1,_xll.RiskBinomial(1,Prob_illness_Adv_infection),0)</f>
        <v>0</v>
      </c>
      <c r="L107" s="26"/>
      <c r="M107" s="77">
        <f t="shared" ca="1" si="45"/>
        <v>4.4835831334131842E-11</v>
      </c>
      <c r="N107" s="33">
        <f ca="1">INT(M107) + _xll.RiskBinomial(1,M107-INT(M107))</f>
        <v>0</v>
      </c>
      <c r="O107" s="26">
        <f t="shared" ca="1" si="73"/>
        <v>0</v>
      </c>
      <c r="P107" s="31">
        <f ca="1">_xll.RiskBinomial(1,O107)</f>
        <v>0</v>
      </c>
      <c r="Q107" s="78">
        <f ca="1">IF(P107=1,_xll.RiskBinomial(1,Prob_illness_Adv_infection),0)</f>
        <v>0</v>
      </c>
      <c r="R107" s="26"/>
      <c r="S107" s="77">
        <f t="shared" ca="1" si="47"/>
        <v>5.677508565586369E-10</v>
      </c>
      <c r="T107" s="33">
        <f ca="1">INT(S107) + _xll.RiskBinomial(1,S107-INT(S107))</f>
        <v>0</v>
      </c>
      <c r="U107" s="26">
        <f t="shared" ca="1" si="74"/>
        <v>0</v>
      </c>
      <c r="V107" s="31">
        <f ca="1">_xll.RiskBinomial(1,U107)</f>
        <v>0</v>
      </c>
      <c r="W107" s="78">
        <f ca="1">IF(V107=1,_xll.RiskBinomial(1,Prob_illness_Adv_infection),0)</f>
        <v>0</v>
      </c>
      <c r="X107" s="26"/>
      <c r="Y107" s="77">
        <f t="shared" ca="1" si="49"/>
        <v>4.7222031036170517E-11</v>
      </c>
      <c r="Z107" s="33">
        <f ca="1">INT(Y107) + _xll.RiskBinomial(1,Y107-INT(Y107))</f>
        <v>0</v>
      </c>
      <c r="AA107" s="26">
        <f t="shared" ca="1" si="75"/>
        <v>0</v>
      </c>
      <c r="AB107" s="31">
        <f ca="1">_xll.RiskBinomial(1,AA107)</f>
        <v>0</v>
      </c>
      <c r="AC107" s="78">
        <f ca="1">IF(AB107=1,_xll.RiskBinomial(1,Prob_illness_Adv_infection),0)</f>
        <v>0</v>
      </c>
      <c r="AD107" s="26"/>
      <c r="AE107" s="77">
        <f t="shared" ca="1" si="51"/>
        <v>7.0914628685725632E-11</v>
      </c>
      <c r="AF107" s="33">
        <f ca="1">INT(AE107) + _xll.RiskBinomial(1,AE107-INT(AE107))</f>
        <v>0</v>
      </c>
      <c r="AG107" s="26">
        <f t="shared" ca="1" si="76"/>
        <v>0</v>
      </c>
      <c r="AH107" s="31">
        <f ca="1">_xll.RiskBinomial(1,AG107)</f>
        <v>0</v>
      </c>
      <c r="AI107" s="78">
        <f ca="1">IF(AH107=1,_xll.RiskBinomial(1,Prob_illness_Adv_infection),0)</f>
        <v>0</v>
      </c>
      <c r="AJ107" s="26"/>
      <c r="AK107" s="77">
        <f t="shared" ca="1" si="53"/>
        <v>4.6137671077131034E-10</v>
      </c>
      <c r="AL107" s="33">
        <f ca="1">INT(AK107) + _xll.RiskBinomial(1,AK107-INT(AK107))</f>
        <v>0</v>
      </c>
      <c r="AM107" s="26">
        <f t="shared" ca="1" si="77"/>
        <v>0</v>
      </c>
      <c r="AN107" s="31">
        <f ca="1">_xll.RiskBinomial(1,AM107)</f>
        <v>0</v>
      </c>
      <c r="AO107" s="78">
        <f ca="1">IF(AN107=1,_xll.RiskBinomial(1,Prob_illness_Adv_infection),0)</f>
        <v>0</v>
      </c>
      <c r="AP107" s="26"/>
      <c r="AQ107" s="77">
        <f t="shared" ca="1" si="55"/>
        <v>8.7538925246744263E-10</v>
      </c>
      <c r="AR107" s="33">
        <f ca="1">INT(AQ107) + _xll.RiskBinomial(1,AQ107-INT(AQ107))</f>
        <v>0</v>
      </c>
      <c r="AS107" s="26">
        <f t="shared" ca="1" si="78"/>
        <v>0</v>
      </c>
      <c r="AT107" s="31">
        <f ca="1">_xll.RiskBinomial(1,AS107)</f>
        <v>0</v>
      </c>
      <c r="AU107" s="78">
        <f ca="1">IF(AT107=1,_xll.RiskBinomial(1,Prob_illness_Adv_infection),0)</f>
        <v>0</v>
      </c>
      <c r="AV107" s="26"/>
      <c r="AW107" s="77">
        <f t="shared" ca="1" si="65"/>
        <v>1.5416823625154034E-11</v>
      </c>
      <c r="AX107" s="33">
        <f ca="1">INT(AW107) + _xll.RiskBinomial(1,AW107-INT(AW107))</f>
        <v>0</v>
      </c>
      <c r="AY107" s="26">
        <f t="shared" ca="1" si="79"/>
        <v>0</v>
      </c>
      <c r="AZ107" s="31">
        <f ca="1">_xll.RiskBinomial(1,AY107)</f>
        <v>0</v>
      </c>
      <c r="BA107" s="78">
        <f ca="1">IF(AZ107=1,_xll.RiskBinomial(1,Prob_illness_Adv_infection),0)</f>
        <v>0</v>
      </c>
      <c r="BC107" s="77">
        <f t="shared" ca="1" si="66"/>
        <v>7.9022705419768654E-11</v>
      </c>
      <c r="BD107" s="33">
        <f ca="1">INT(BC107) + _xll.RiskBinomial(1,BC107-INT(BC107))</f>
        <v>0</v>
      </c>
      <c r="BE107" s="26">
        <f t="shared" ca="1" si="80"/>
        <v>0</v>
      </c>
      <c r="BF107" s="31">
        <f ca="1">_xll.RiskBinomial(1,BE107)</f>
        <v>0</v>
      </c>
      <c r="BG107" s="78">
        <f ca="1">IF(BF107=1,_xll.RiskBinomial(1,Prob_illness_Adv_infection),0)</f>
        <v>0</v>
      </c>
      <c r="BI107" s="77">
        <f t="shared" ca="1" si="67"/>
        <v>3.6799407757637282E-11</v>
      </c>
      <c r="BJ107" s="33">
        <f ca="1">INT(BI107) + _xll.RiskBinomial(1,BI107-INT(BI107))</f>
        <v>0</v>
      </c>
      <c r="BK107" s="26">
        <f t="shared" ca="1" si="81"/>
        <v>0</v>
      </c>
      <c r="BL107" s="31">
        <f ca="1">_xll.RiskBinomial(1,BK107)</f>
        <v>0</v>
      </c>
      <c r="BM107" s="78">
        <f ca="1">IF(BL107=1,_xll.RiskBinomial(1,Prob_illness_Adv_infection),0)</f>
        <v>0</v>
      </c>
      <c r="BO107" s="77">
        <f t="shared" ca="1" si="68"/>
        <v>7.9560614778299731E-11</v>
      </c>
      <c r="BP107" s="33">
        <f ca="1">INT(BO107) + _xll.RiskBinomial(1,BO107-INT(BO107))</f>
        <v>0</v>
      </c>
      <c r="BQ107" s="26">
        <f t="shared" ca="1" si="82"/>
        <v>0</v>
      </c>
      <c r="BR107" s="31">
        <f ca="1">_xll.RiskBinomial(1,BQ107)</f>
        <v>0</v>
      </c>
      <c r="BS107" s="78">
        <f ca="1">IF(BR107=1,_xll.RiskBinomial(1,Prob_illness_Adv_infection),0)</f>
        <v>0</v>
      </c>
      <c r="BU107" s="77">
        <f t="shared" ca="1" si="69"/>
        <v>5.6846262264968936E-13</v>
      </c>
      <c r="BV107" s="33">
        <f ca="1">INT(BU107) + _xll.RiskBinomial(1,BU107-INT(BU107))</f>
        <v>0</v>
      </c>
      <c r="BW107" s="26">
        <f t="shared" ca="1" si="83"/>
        <v>0</v>
      </c>
      <c r="BX107" s="31">
        <f ca="1">_xll.RiskBinomial(1,BW107)</f>
        <v>0</v>
      </c>
      <c r="BY107" s="78">
        <f ca="1">IF(BX107=1,_xll.RiskBinomial(1,Prob_illness_Adv_infection),0)</f>
        <v>0</v>
      </c>
      <c r="CA107" s="77">
        <f t="shared" ca="1" si="70"/>
        <v>8.625642429380818E-11</v>
      </c>
      <c r="CB107" s="33">
        <f ca="1">INT(CA107) + _xll.RiskBinomial(1,CA107-INT(CA107))</f>
        <v>0</v>
      </c>
      <c r="CC107" s="26">
        <f t="shared" ca="1" si="84"/>
        <v>0</v>
      </c>
      <c r="CD107" s="31">
        <f ca="1">_xll.RiskBinomial(1,CC107)</f>
        <v>0</v>
      </c>
      <c r="CE107" s="78">
        <f ca="1">IF(CD107=1,_xll.RiskBinomial(1,Prob_illness_Adv_infection),0)</f>
        <v>0</v>
      </c>
      <c r="CG107" s="77" t="e">
        <f t="shared" ca="1" si="71"/>
        <v>#VALUE!</v>
      </c>
      <c r="CH107" s="33" t="e">
        <f ca="1">INT(CG107) + _xll.RiskBinomial(1,CG107-INT(CG107))</f>
        <v>#VALUE!</v>
      </c>
      <c r="CI107" s="26" t="e">
        <f t="shared" ca="1" si="85"/>
        <v>#VALUE!</v>
      </c>
      <c r="CJ107" s="31" t="e">
        <f ca="1">_xll.RiskBinomial(1,CI107)</f>
        <v>#VALUE!</v>
      </c>
      <c r="CK107" s="78" t="e">
        <f ca="1">IF(CJ107=1,_xll.RiskBinomial(1,Prob_illness_Adv_infection),0)</f>
        <v>#VALUE!</v>
      </c>
    </row>
    <row r="108" spans="2:89" ht="12.75" thickBot="1" x14ac:dyDescent="0.25">
      <c r="B108" s="98">
        <v>100</v>
      </c>
      <c r="C108" s="101">
        <f ca="1" xml:space="preserve"> _xll.RiskPert(Dur_event_hours_min,Dur_event_hours_mode,Dur_event_hours_max)</f>
        <v>1.0442411801080189</v>
      </c>
      <c r="D108" s="26">
        <f ca="1">_xll.RiskPert(Primary_Ing_Rate_mL_per_hour_min,Primary_Ing_Rate_mL_per_hour_mode,Primary_Ing_Rate_mL_per_hour_max)</f>
        <v>6.3109357627072198</v>
      </c>
      <c r="E108" s="53">
        <f t="shared" ca="1" si="43"/>
        <v>6.5901390084352878</v>
      </c>
      <c r="F108" s="26"/>
      <c r="G108" s="79">
        <f t="shared" ca="1" si="64"/>
        <v>6.0507174645585595E-10</v>
      </c>
      <c r="H108" s="52">
        <f ca="1">INT(G108) + _xll.RiskBinomial(1,G108-INT(G108))</f>
        <v>0</v>
      </c>
      <c r="I108" s="26">
        <f t="shared" ca="1" si="72"/>
        <v>0</v>
      </c>
      <c r="J108" s="50">
        <f ca="1">_xll.RiskBinomial(1,I108)</f>
        <v>0</v>
      </c>
      <c r="K108" s="78">
        <f ca="1">IF(J108=1,_xll.RiskBinomial(1,Prob_illness_Adv_infection),0)</f>
        <v>0</v>
      </c>
      <c r="L108" s="26"/>
      <c r="M108" s="79">
        <f t="shared" ca="1" si="45"/>
        <v>1.502733546734813E-11</v>
      </c>
      <c r="N108" s="52">
        <f ca="1">INT(M108) + _xll.RiskBinomial(1,M108-INT(M108))</f>
        <v>0</v>
      </c>
      <c r="O108" s="26">
        <f t="shared" ca="1" si="73"/>
        <v>0</v>
      </c>
      <c r="P108" s="50">
        <f ca="1">_xll.RiskBinomial(1,O108)</f>
        <v>0</v>
      </c>
      <c r="Q108" s="78">
        <f ca="1">IF(P108=1,_xll.RiskBinomial(1,Prob_illness_Adv_infection),0)</f>
        <v>0</v>
      </c>
      <c r="R108" s="26"/>
      <c r="S108" s="79">
        <f t="shared" ca="1" si="47"/>
        <v>1.9028938082577622E-10</v>
      </c>
      <c r="T108" s="52">
        <f ca="1">INT(S108) + _xll.RiskBinomial(1,S108-INT(S108))</f>
        <v>0</v>
      </c>
      <c r="U108" s="26">
        <f t="shared" ca="1" si="74"/>
        <v>0</v>
      </c>
      <c r="V108" s="50">
        <f ca="1">_xll.RiskBinomial(1,U108)</f>
        <v>0</v>
      </c>
      <c r="W108" s="78">
        <f ca="1">IF(V108=1,_xll.RiskBinomial(1,Prob_illness_Adv_infection),0)</f>
        <v>0</v>
      </c>
      <c r="X108" s="26"/>
      <c r="Y108" s="79">
        <f t="shared" ca="1" si="49"/>
        <v>1.5827102581007597E-11</v>
      </c>
      <c r="Z108" s="52">
        <f ca="1">INT(Y108) + _xll.RiskBinomial(1,Y108-INT(Y108))</f>
        <v>0</v>
      </c>
      <c r="AA108" s="26">
        <f t="shared" ca="1" si="75"/>
        <v>0</v>
      </c>
      <c r="AB108" s="50">
        <f ca="1">_xll.RiskBinomial(1,AA108)</f>
        <v>0</v>
      </c>
      <c r="AC108" s="78">
        <f ca="1">IF(AB108=1,_xll.RiskBinomial(1,Prob_illness_Adv_infection),0)</f>
        <v>0</v>
      </c>
      <c r="AD108" s="26"/>
      <c r="AE108" s="79">
        <f t="shared" ca="1" si="51"/>
        <v>2.376799722661956E-11</v>
      </c>
      <c r="AF108" s="52">
        <f ca="1">INT(AE108) + _xll.RiskBinomial(1,AE108-INT(AE108))</f>
        <v>0</v>
      </c>
      <c r="AG108" s="26">
        <f t="shared" ca="1" si="76"/>
        <v>0</v>
      </c>
      <c r="AH108" s="50">
        <f ca="1">_xll.RiskBinomial(1,AG108)</f>
        <v>0</v>
      </c>
      <c r="AI108" s="78">
        <f ca="1">IF(AH108=1,_xll.RiskBinomial(1,Prob_illness_Adv_infection),0)</f>
        <v>0</v>
      </c>
      <c r="AJ108" s="26"/>
      <c r="AK108" s="79">
        <f t="shared" ca="1" si="53"/>
        <v>1.5463664670145413E-10</v>
      </c>
      <c r="AL108" s="52">
        <f ca="1">INT(AK108) + _xll.RiskBinomial(1,AK108-INT(AK108))</f>
        <v>0</v>
      </c>
      <c r="AM108" s="26">
        <f t="shared" ca="1" si="77"/>
        <v>0</v>
      </c>
      <c r="AN108" s="50">
        <f ca="1">_xll.RiskBinomial(1,AM108)</f>
        <v>0</v>
      </c>
      <c r="AO108" s="78">
        <f ca="1">IF(AN108=1,_xll.RiskBinomial(1,Prob_illness_Adv_infection),0)</f>
        <v>0</v>
      </c>
      <c r="AP108" s="26"/>
      <c r="AQ108" s="79">
        <f t="shared" ca="1" si="55"/>
        <v>2.933985513351045E-10</v>
      </c>
      <c r="AR108" s="52">
        <f ca="1">INT(AQ108) + _xll.RiskBinomial(1,AQ108-INT(AQ108))</f>
        <v>0</v>
      </c>
      <c r="AS108" s="26">
        <f t="shared" ca="1" si="78"/>
        <v>0</v>
      </c>
      <c r="AT108" s="50">
        <f ca="1">_xll.RiskBinomial(1,AS108)</f>
        <v>0</v>
      </c>
      <c r="AU108" s="78">
        <f ca="1">IF(AT108=1,_xll.RiskBinomial(1,Prob_illness_Adv_infection),0)</f>
        <v>0</v>
      </c>
      <c r="AV108" s="26"/>
      <c r="AW108" s="79">
        <f t="shared" ca="1" si="65"/>
        <v>5.1671570162180362E-12</v>
      </c>
      <c r="AX108" s="52">
        <f ca="1">INT(AW108) + _xll.RiskBinomial(1,AW108-INT(AW108))</f>
        <v>0</v>
      </c>
      <c r="AY108" s="26">
        <f t="shared" ca="1" si="79"/>
        <v>0</v>
      </c>
      <c r="AZ108" s="50">
        <f ca="1">_xll.RiskBinomial(1,AY108)</f>
        <v>0</v>
      </c>
      <c r="BA108" s="78">
        <f ca="1">IF(AZ108=1,_xll.RiskBinomial(1,Prob_illness_Adv_infection),0)</f>
        <v>0</v>
      </c>
      <c r="BC108" s="79">
        <f t="shared" ca="1" si="66"/>
        <v>2.6485528840329386E-11</v>
      </c>
      <c r="BD108" s="52">
        <f ca="1">INT(BC108) + _xll.RiskBinomial(1,BC108-INT(BC108))</f>
        <v>0</v>
      </c>
      <c r="BE108" s="26">
        <f t="shared" ca="1" si="80"/>
        <v>0</v>
      </c>
      <c r="BF108" s="50">
        <f ca="1">_xll.RiskBinomial(1,BE108)</f>
        <v>0</v>
      </c>
      <c r="BG108" s="78">
        <f ca="1">IF(BF108=1,_xll.RiskBinomial(1,Prob_illness_Adv_infection),0)</f>
        <v>0</v>
      </c>
      <c r="BI108" s="79">
        <f t="shared" ca="1" si="67"/>
        <v>1.2333819378805019E-11</v>
      </c>
      <c r="BJ108" s="52">
        <f ca="1">INT(BI108) + _xll.RiskBinomial(1,BI108-INT(BI108))</f>
        <v>0</v>
      </c>
      <c r="BK108" s="26">
        <f t="shared" ca="1" si="81"/>
        <v>0</v>
      </c>
      <c r="BL108" s="50">
        <f ca="1">_xll.RiskBinomial(1,BK108)</f>
        <v>0</v>
      </c>
      <c r="BM108" s="78">
        <f ca="1">IF(BL108=1,_xll.RiskBinomial(1,Prob_illness_Adv_infection),0)</f>
        <v>0</v>
      </c>
      <c r="BO108" s="79">
        <f t="shared" ca="1" si="68"/>
        <v>2.6665816439357772E-11</v>
      </c>
      <c r="BP108" s="52">
        <f ca="1">INT(BO108) + _xll.RiskBinomial(1,BO108-INT(BO108))</f>
        <v>0</v>
      </c>
      <c r="BQ108" s="26">
        <f t="shared" ca="1" si="82"/>
        <v>0</v>
      </c>
      <c r="BR108" s="50">
        <f ca="1">_xll.RiskBinomial(1,BQ108)</f>
        <v>0</v>
      </c>
      <c r="BS108" s="78">
        <f ca="1">IF(BR108=1,_xll.RiskBinomial(1,Prob_illness_Adv_infection),0)</f>
        <v>0</v>
      </c>
      <c r="BU108" s="79">
        <f t="shared" ca="1" si="69"/>
        <v>1.9052793886086248E-13</v>
      </c>
      <c r="BV108" s="52">
        <f ca="1">INT(BU108) + _xll.RiskBinomial(1,BU108-INT(BU108))</f>
        <v>0</v>
      </c>
      <c r="BW108" s="26">
        <f t="shared" ca="1" si="83"/>
        <v>0</v>
      </c>
      <c r="BX108" s="50">
        <f ca="1">_xll.RiskBinomial(1,BW108)</f>
        <v>0</v>
      </c>
      <c r="BY108" s="78">
        <f ca="1">IF(BX108=1,_xll.RiskBinomial(1,Prob_illness_Adv_infection),0)</f>
        <v>0</v>
      </c>
      <c r="CA108" s="79">
        <f t="shared" ca="1" si="70"/>
        <v>2.8910007587842379E-11</v>
      </c>
      <c r="CB108" s="52">
        <f ca="1">INT(CA108) + _xll.RiskBinomial(1,CA108-INT(CA108))</f>
        <v>0</v>
      </c>
      <c r="CC108" s="26">
        <f t="shared" ca="1" si="84"/>
        <v>0</v>
      </c>
      <c r="CD108" s="50">
        <f ca="1">_xll.RiskBinomial(1,CC108)</f>
        <v>0</v>
      </c>
      <c r="CE108" s="78">
        <f ca="1">IF(CD108=1,_xll.RiskBinomial(1,Prob_illness_Adv_infection),0)</f>
        <v>0</v>
      </c>
      <c r="CG108" s="79" t="e">
        <f t="shared" ca="1" si="71"/>
        <v>#VALUE!</v>
      </c>
      <c r="CH108" s="52" t="e">
        <f ca="1">INT(CG108) + _xll.RiskBinomial(1,CG108-INT(CG108))</f>
        <v>#VALUE!</v>
      </c>
      <c r="CI108" s="26" t="e">
        <f t="shared" ca="1" si="85"/>
        <v>#VALUE!</v>
      </c>
      <c r="CJ108" s="50" t="e">
        <f ca="1">_xll.RiskBinomial(1,CI108)</f>
        <v>#VALUE!</v>
      </c>
      <c r="CK108" s="78" t="e">
        <f ca="1">IF(CJ108=1,_xll.RiskBinomial(1,Prob_illness_Adv_infection),0)</f>
        <v>#VALUE!</v>
      </c>
    </row>
    <row r="109" spans="2:89" ht="12.75" thickBot="1" x14ac:dyDescent="0.25">
      <c r="F109" s="26"/>
      <c r="I109" s="80"/>
      <c r="J109" s="81">
        <f ca="1">SUM(J9:J108)</f>
        <v>0</v>
      </c>
      <c r="K109" s="81">
        <f ca="1">SUM(K9:K108)</f>
        <v>0</v>
      </c>
      <c r="L109" s="26"/>
      <c r="O109" s="80"/>
      <c r="P109" s="81">
        <f ca="1">SUM(P9:P108)</f>
        <v>0</v>
      </c>
      <c r="Q109" s="81">
        <f ca="1">SUM(Q9:Q108)</f>
        <v>0</v>
      </c>
      <c r="R109" s="26"/>
      <c r="U109" s="80"/>
      <c r="V109" s="81">
        <f ca="1">SUM(V9:V108)</f>
        <v>0</v>
      </c>
      <c r="W109" s="81">
        <f ca="1">SUM(W9:W108)</f>
        <v>0</v>
      </c>
      <c r="X109" s="26"/>
      <c r="AA109" s="80"/>
      <c r="AB109" s="81">
        <f ca="1">SUM(AB9:AB108)</f>
        <v>0</v>
      </c>
      <c r="AC109" s="81">
        <f ca="1">SUM(AC9:AC108)</f>
        <v>0</v>
      </c>
      <c r="AD109" s="26"/>
      <c r="AG109" s="80"/>
      <c r="AH109" s="81">
        <f ca="1">SUM(AH9:AH108)</f>
        <v>0</v>
      </c>
      <c r="AI109" s="81">
        <f ca="1">SUM(AI9:AI108)</f>
        <v>0</v>
      </c>
      <c r="AJ109" s="26"/>
      <c r="AM109" s="80"/>
      <c r="AN109" s="81">
        <f ca="1">SUM(AN9:AN108)</f>
        <v>0</v>
      </c>
      <c r="AO109" s="81">
        <f ca="1">SUM(AO9:AO108)</f>
        <v>0</v>
      </c>
      <c r="AP109" s="26"/>
      <c r="AS109" s="80"/>
      <c r="AT109" s="81">
        <f ca="1">SUM(AT9:AT108)</f>
        <v>0</v>
      </c>
      <c r="AU109" s="81">
        <f ca="1">SUM(AU9:AU108)</f>
        <v>0</v>
      </c>
      <c r="AV109" s="26"/>
      <c r="AY109" s="80"/>
      <c r="AZ109" s="81">
        <f ca="1">SUM(AZ9:AZ108)</f>
        <v>0</v>
      </c>
      <c r="BA109" s="81">
        <f ca="1">SUM(BA9:BA108)</f>
        <v>0</v>
      </c>
      <c r="BE109" s="80"/>
      <c r="BF109" s="81">
        <f ca="1">SUM(BF9:BF108)</f>
        <v>0</v>
      </c>
      <c r="BG109" s="81">
        <f ca="1">SUM(BG9:BG108)</f>
        <v>0</v>
      </c>
      <c r="BK109" s="80"/>
      <c r="BL109" s="81">
        <f ca="1">SUM(BL9:BL108)</f>
        <v>0</v>
      </c>
      <c r="BM109" s="81">
        <f ca="1">SUM(BM9:BM108)</f>
        <v>0</v>
      </c>
      <c r="BQ109" s="80"/>
      <c r="BR109" s="81">
        <f ca="1">SUM(BR9:BR108)</f>
        <v>0</v>
      </c>
      <c r="BS109" s="81">
        <f ca="1">SUM(BS9:BS108)</f>
        <v>0</v>
      </c>
      <c r="BW109" s="80"/>
      <c r="BX109" s="81">
        <f ca="1">SUM(BX9:BX108)</f>
        <v>0</v>
      </c>
      <c r="BY109" s="81">
        <f ca="1">SUM(BY9:BY108)</f>
        <v>0</v>
      </c>
      <c r="CC109" s="80"/>
      <c r="CD109" s="81">
        <f ca="1">SUM(CD9:CD108)</f>
        <v>0</v>
      </c>
      <c r="CE109" s="81">
        <f ca="1">SUM(CE9:CE108)</f>
        <v>0</v>
      </c>
      <c r="CI109" s="80"/>
      <c r="CJ109" s="81" t="e">
        <f ca="1">SUM(CJ9:CJ108)</f>
        <v>#VALUE!</v>
      </c>
      <c r="CK109" s="81" t="e">
        <f ca="1">SUM(CK9:CK108)</f>
        <v>#VALUE!</v>
      </c>
    </row>
    <row r="110" spans="2:89" x14ac:dyDescent="0.2">
      <c r="F110" s="26"/>
      <c r="L110" s="26"/>
      <c r="R110" s="26"/>
      <c r="X110" s="26"/>
      <c r="AD110" s="26"/>
      <c r="AJ110" s="26"/>
      <c r="AP110" s="26"/>
      <c r="AV110" s="26"/>
    </row>
    <row r="111" spans="2:89" x14ac:dyDescent="0.2">
      <c r="F111" s="26"/>
      <c r="L111" s="26"/>
      <c r="R111" s="26"/>
      <c r="X111" s="26"/>
      <c r="AD111" s="26"/>
      <c r="AJ111" s="26"/>
      <c r="AP111" s="26"/>
      <c r="AV111" s="26"/>
    </row>
    <row r="112" spans="2:89" x14ac:dyDescent="0.2">
      <c r="F112" s="26"/>
      <c r="L112" s="26"/>
      <c r="R112" s="26"/>
      <c r="X112" s="26"/>
      <c r="AD112" s="26"/>
      <c r="AJ112" s="26"/>
      <c r="AP112" s="26"/>
      <c r="AV112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14"/>
  <sheetViews>
    <sheetView workbookViewId="0">
      <selection activeCell="K32" sqref="K32"/>
    </sheetView>
  </sheetViews>
  <sheetFormatPr defaultRowHeight="15" x14ac:dyDescent="0.25"/>
  <cols>
    <col min="2" max="2" width="13.42578125" customWidth="1"/>
  </cols>
  <sheetData>
    <row r="1" spans="2:9" ht="15.75" thickBot="1" x14ac:dyDescent="0.3"/>
    <row r="2" spans="2:9" x14ac:dyDescent="0.25">
      <c r="B2" s="20" t="s">
        <v>10</v>
      </c>
      <c r="C2" s="21"/>
      <c r="D2" s="21"/>
      <c r="E2" s="21"/>
      <c r="F2" s="22"/>
      <c r="G2" s="23"/>
      <c r="H2" s="24"/>
      <c r="I2" s="25"/>
    </row>
    <row r="3" spans="2:9" x14ac:dyDescent="0.25">
      <c r="B3" s="30" t="s">
        <v>12</v>
      </c>
      <c r="C3" s="26"/>
      <c r="D3" s="26"/>
      <c r="E3" s="26"/>
      <c r="F3" s="31"/>
      <c r="G3" s="32"/>
      <c r="H3" s="33"/>
      <c r="I3" s="34"/>
    </row>
    <row r="4" spans="2:9" x14ac:dyDescent="0.25">
      <c r="B4" s="38" t="s">
        <v>14</v>
      </c>
      <c r="C4" s="39" t="s">
        <v>15</v>
      </c>
      <c r="D4" s="26"/>
      <c r="E4" s="26"/>
      <c r="F4" s="31"/>
      <c r="G4" s="32"/>
      <c r="H4" s="33"/>
      <c r="I4" s="34"/>
    </row>
    <row r="5" spans="2:9" x14ac:dyDescent="0.25">
      <c r="B5" s="38"/>
      <c r="C5" s="39" t="s">
        <v>16</v>
      </c>
      <c r="D5" s="26"/>
      <c r="E5" s="26"/>
      <c r="F5" s="31"/>
      <c r="G5" s="32"/>
      <c r="H5" s="33"/>
      <c r="I5" s="34"/>
    </row>
    <row r="6" spans="2:9" x14ac:dyDescent="0.25">
      <c r="B6" s="38" t="s">
        <v>18</v>
      </c>
      <c r="C6" s="39" t="s">
        <v>19</v>
      </c>
      <c r="D6" s="26"/>
      <c r="E6" s="26"/>
      <c r="F6" s="31"/>
      <c r="G6" s="32"/>
      <c r="H6" s="33"/>
      <c r="I6" s="34"/>
    </row>
    <row r="7" spans="2:9" x14ac:dyDescent="0.25">
      <c r="B7" s="38"/>
      <c r="C7" s="39" t="s">
        <v>21</v>
      </c>
      <c r="D7" s="26"/>
      <c r="E7" s="26"/>
      <c r="F7" s="31"/>
      <c r="G7" s="32"/>
      <c r="H7" s="33"/>
      <c r="I7" s="34"/>
    </row>
    <row r="8" spans="2:9" x14ac:dyDescent="0.25">
      <c r="B8" s="38" t="s">
        <v>22</v>
      </c>
      <c r="C8" s="39" t="s">
        <v>23</v>
      </c>
      <c r="D8" s="26"/>
      <c r="E8" s="26"/>
      <c r="F8" s="31"/>
      <c r="G8" s="32"/>
      <c r="H8" s="33"/>
      <c r="I8" s="34"/>
    </row>
    <row r="9" spans="2:9" x14ac:dyDescent="0.25">
      <c r="B9" s="38"/>
      <c r="C9" s="39" t="s">
        <v>24</v>
      </c>
      <c r="D9" s="26"/>
      <c r="E9" s="26"/>
      <c r="F9" s="31"/>
      <c r="G9" s="32"/>
      <c r="H9" s="33"/>
      <c r="I9" s="34"/>
    </row>
    <row r="10" spans="2:9" x14ac:dyDescent="0.25">
      <c r="B10" s="38"/>
      <c r="C10" s="39" t="s">
        <v>25</v>
      </c>
      <c r="D10" s="26"/>
      <c r="E10" s="26"/>
      <c r="F10" s="31"/>
      <c r="G10" s="32"/>
      <c r="H10" s="33"/>
      <c r="I10" s="34"/>
    </row>
    <row r="11" spans="2:9" x14ac:dyDescent="0.25">
      <c r="B11" s="38"/>
      <c r="C11" s="39" t="s">
        <v>26</v>
      </c>
      <c r="D11" s="26"/>
      <c r="E11" s="26"/>
      <c r="F11" s="31"/>
      <c r="G11" s="32"/>
      <c r="H11" s="33"/>
      <c r="I11" s="34"/>
    </row>
    <row r="12" spans="2:9" x14ac:dyDescent="0.25">
      <c r="B12" s="38"/>
      <c r="C12" s="39" t="s">
        <v>27</v>
      </c>
      <c r="D12" s="26"/>
      <c r="E12" s="26"/>
      <c r="F12" s="31"/>
      <c r="G12" s="32"/>
      <c r="H12" s="33"/>
      <c r="I12" s="34"/>
    </row>
    <row r="13" spans="2:9" x14ac:dyDescent="0.25">
      <c r="B13" s="38" t="s">
        <v>28</v>
      </c>
      <c r="C13" s="39" t="s">
        <v>29</v>
      </c>
      <c r="D13" s="26"/>
      <c r="E13" s="26"/>
      <c r="F13" s="31"/>
      <c r="G13" s="32"/>
      <c r="H13" s="33"/>
      <c r="I13" s="34"/>
    </row>
    <row r="14" spans="2:9" ht="15.75" thickBot="1" x14ac:dyDescent="0.3">
      <c r="B14" s="47" t="s">
        <v>30</v>
      </c>
      <c r="C14" s="48" t="s">
        <v>29</v>
      </c>
      <c r="D14" s="49"/>
      <c r="E14" s="49"/>
      <c r="F14" s="50"/>
      <c r="G14" s="51"/>
      <c r="H14" s="52"/>
      <c r="I14" s="5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AFC5-C10F-45A9-8058-188F4D1B2777}">
  <sheetPr>
    <outlinePr summaryBelow="0" summaryRight="0"/>
  </sheetPr>
  <dimension ref="B1:AD46"/>
  <sheetViews>
    <sheetView showGridLines="0" workbookViewId="0">
      <selection activeCell="L21" sqref="L21"/>
    </sheetView>
  </sheetViews>
  <sheetFormatPr defaultRowHeight="15" outlineLevelRow="1" x14ac:dyDescent="0.25"/>
  <cols>
    <col min="1" max="1" width="0.28515625" customWidth="1"/>
    <col min="2" max="30" width="14.28515625" customWidth="1"/>
  </cols>
  <sheetData>
    <row r="1" spans="2:30" s="199" customFormat="1" ht="65.650000000000006" customHeight="1" x14ac:dyDescent="0.25"/>
    <row r="2" spans="2:30" ht="15.75" thickBot="1" x14ac:dyDescent="0.3"/>
    <row r="3" spans="2:30" ht="84.75" x14ac:dyDescent="0.25">
      <c r="B3" s="182" t="s">
        <v>135</v>
      </c>
      <c r="C3" s="183" t="s">
        <v>136</v>
      </c>
      <c r="D3" s="184" t="s">
        <v>137</v>
      </c>
      <c r="E3" s="184" t="s">
        <v>138</v>
      </c>
      <c r="F3" s="184" t="s">
        <v>139</v>
      </c>
      <c r="G3" s="184" t="s">
        <v>140</v>
      </c>
      <c r="H3" s="184" t="s">
        <v>141</v>
      </c>
      <c r="I3" s="184" t="s">
        <v>142</v>
      </c>
      <c r="J3" s="184" t="s">
        <v>143</v>
      </c>
      <c r="K3" s="184" t="s">
        <v>144</v>
      </c>
      <c r="L3" s="184" t="s">
        <v>145</v>
      </c>
      <c r="M3" s="184" t="s">
        <v>146</v>
      </c>
      <c r="N3" s="184" t="s">
        <v>147</v>
      </c>
      <c r="O3" s="184" t="s">
        <v>148</v>
      </c>
      <c r="P3" s="184" t="s">
        <v>149</v>
      </c>
      <c r="Q3" s="184" t="s">
        <v>150</v>
      </c>
      <c r="R3" s="184" t="s">
        <v>151</v>
      </c>
      <c r="S3" s="184" t="s">
        <v>152</v>
      </c>
      <c r="T3" s="184" t="s">
        <v>153</v>
      </c>
      <c r="U3" s="184" t="s">
        <v>154</v>
      </c>
      <c r="V3" s="184" t="s">
        <v>155</v>
      </c>
      <c r="W3" s="184" t="s">
        <v>156</v>
      </c>
      <c r="X3" s="184" t="s">
        <v>157</v>
      </c>
      <c r="Y3" s="184" t="s">
        <v>158</v>
      </c>
      <c r="Z3" s="184" t="s">
        <v>159</v>
      </c>
      <c r="AA3" s="184" t="s">
        <v>160</v>
      </c>
      <c r="AB3" s="184" t="s">
        <v>161</v>
      </c>
      <c r="AC3" s="184" t="s">
        <v>162</v>
      </c>
      <c r="AD3" s="185" t="s">
        <v>163</v>
      </c>
    </row>
    <row r="4" spans="2:30" x14ac:dyDescent="0.25">
      <c r="B4" s="179" t="s">
        <v>164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8"/>
    </row>
    <row r="5" spans="2:30" ht="37.5" customHeight="1" outlineLevel="1" x14ac:dyDescent="0.25">
      <c r="B5" s="180" t="s">
        <v>165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90"/>
    </row>
    <row r="6" spans="2:30" outlineLevel="1" x14ac:dyDescent="0.25">
      <c r="B6" s="180" t="s">
        <v>166</v>
      </c>
      <c r="C6" s="191" t="s">
        <v>167</v>
      </c>
      <c r="D6" s="191" t="s">
        <v>167</v>
      </c>
      <c r="E6" s="191" t="s">
        <v>167</v>
      </c>
      <c r="F6" s="191" t="s">
        <v>167</v>
      </c>
      <c r="G6" s="191" t="s">
        <v>167</v>
      </c>
      <c r="H6" s="191" t="s">
        <v>167</v>
      </c>
      <c r="I6" s="191" t="s">
        <v>167</v>
      </c>
      <c r="J6" s="191" t="s">
        <v>167</v>
      </c>
      <c r="K6" s="191" t="s">
        <v>167</v>
      </c>
      <c r="L6" s="191" t="s">
        <v>167</v>
      </c>
      <c r="M6" s="191" t="s">
        <v>167</v>
      </c>
      <c r="N6" s="191" t="s">
        <v>167</v>
      </c>
      <c r="O6" s="191" t="s">
        <v>167</v>
      </c>
      <c r="P6" s="191" t="s">
        <v>167</v>
      </c>
      <c r="Q6" s="191" t="s">
        <v>167</v>
      </c>
      <c r="R6" s="191" t="s">
        <v>167</v>
      </c>
      <c r="S6" s="191" t="s">
        <v>167</v>
      </c>
      <c r="T6" s="191" t="s">
        <v>167</v>
      </c>
      <c r="U6" s="191" t="s">
        <v>167</v>
      </c>
      <c r="V6" s="191" t="s">
        <v>167</v>
      </c>
      <c r="W6" s="191" t="s">
        <v>167</v>
      </c>
      <c r="X6" s="191" t="s">
        <v>167</v>
      </c>
      <c r="Y6" s="191" t="s">
        <v>167</v>
      </c>
      <c r="Z6" s="191" t="s">
        <v>167</v>
      </c>
      <c r="AA6" s="191" t="s">
        <v>167</v>
      </c>
      <c r="AB6" s="191" t="s">
        <v>167</v>
      </c>
      <c r="AC6" s="191" t="s">
        <v>167</v>
      </c>
      <c r="AD6" s="192" t="s">
        <v>167</v>
      </c>
    </row>
    <row r="7" spans="2:30" x14ac:dyDescent="0.25">
      <c r="B7" s="179" t="s">
        <v>168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8"/>
    </row>
    <row r="8" spans="2:30" outlineLevel="1" x14ac:dyDescent="0.25">
      <c r="B8" s="180" t="s">
        <v>169</v>
      </c>
      <c r="C8" s="193">
        <v>0</v>
      </c>
      <c r="D8" s="193">
        <v>0</v>
      </c>
      <c r="E8" s="193">
        <v>0</v>
      </c>
      <c r="F8" s="193">
        <v>0</v>
      </c>
      <c r="G8" s="193">
        <v>0</v>
      </c>
      <c r="H8" s="193">
        <v>0</v>
      </c>
      <c r="I8" s="193">
        <v>0</v>
      </c>
      <c r="J8" s="193">
        <v>0</v>
      </c>
      <c r="K8" s="193">
        <v>0</v>
      </c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  <c r="U8" s="193">
        <v>0</v>
      </c>
      <c r="V8" s="193">
        <v>0</v>
      </c>
      <c r="W8" s="193">
        <v>0</v>
      </c>
      <c r="X8" s="193">
        <v>0</v>
      </c>
      <c r="Y8" s="193">
        <v>0</v>
      </c>
      <c r="Z8" s="193">
        <v>0</v>
      </c>
      <c r="AA8" s="193">
        <v>0</v>
      </c>
      <c r="AB8" s="193">
        <v>0</v>
      </c>
      <c r="AC8" s="191" t="s">
        <v>170</v>
      </c>
      <c r="AD8" s="192" t="s">
        <v>170</v>
      </c>
    </row>
    <row r="9" spans="2:30" outlineLevel="1" x14ac:dyDescent="0.25">
      <c r="B9" s="180" t="s">
        <v>171</v>
      </c>
      <c r="C9" s="193">
        <v>74</v>
      </c>
      <c r="D9" s="193">
        <v>46</v>
      </c>
      <c r="E9" s="193">
        <v>58</v>
      </c>
      <c r="F9" s="193">
        <v>27</v>
      </c>
      <c r="G9" s="193">
        <v>55</v>
      </c>
      <c r="H9" s="193">
        <v>28</v>
      </c>
      <c r="I9" s="193">
        <v>7</v>
      </c>
      <c r="J9" s="193">
        <v>4</v>
      </c>
      <c r="K9" s="193">
        <v>11</v>
      </c>
      <c r="L9" s="193">
        <v>8</v>
      </c>
      <c r="M9" s="193">
        <v>47</v>
      </c>
      <c r="N9" s="193">
        <v>25</v>
      </c>
      <c r="O9" s="193">
        <v>45</v>
      </c>
      <c r="P9" s="193">
        <v>21</v>
      </c>
      <c r="Q9" s="193">
        <v>35</v>
      </c>
      <c r="R9" s="193">
        <v>17</v>
      </c>
      <c r="S9" s="193">
        <v>44</v>
      </c>
      <c r="T9" s="193">
        <v>25</v>
      </c>
      <c r="U9" s="193">
        <v>40</v>
      </c>
      <c r="V9" s="193">
        <v>22</v>
      </c>
      <c r="W9" s="193">
        <v>15</v>
      </c>
      <c r="X9" s="193">
        <v>7</v>
      </c>
      <c r="Y9" s="193">
        <v>0</v>
      </c>
      <c r="Z9" s="193">
        <v>0</v>
      </c>
      <c r="AA9" s="193">
        <v>30</v>
      </c>
      <c r="AB9" s="193">
        <v>13</v>
      </c>
      <c r="AC9" s="191" t="s">
        <v>170</v>
      </c>
      <c r="AD9" s="192" t="s">
        <v>170</v>
      </c>
    </row>
    <row r="10" spans="2:30" outlineLevel="1" x14ac:dyDescent="0.25">
      <c r="B10" s="180" t="s">
        <v>172</v>
      </c>
      <c r="C10" s="193">
        <v>0.12520000000000001</v>
      </c>
      <c r="D10" s="193">
        <v>6.08E-2</v>
      </c>
      <c r="E10" s="193">
        <v>5.67E-2</v>
      </c>
      <c r="F10" s="193">
        <v>2.6599999999999999E-2</v>
      </c>
      <c r="G10" s="193">
        <v>3.7600000000000001E-2</v>
      </c>
      <c r="H10" s="193">
        <v>2.06E-2</v>
      </c>
      <c r="I10" s="194">
        <v>7.4999999999999997E-3</v>
      </c>
      <c r="J10" s="194">
        <v>3.8E-3</v>
      </c>
      <c r="K10" s="193">
        <v>1.37E-2</v>
      </c>
      <c r="L10" s="194">
        <v>6.7999999999999996E-3</v>
      </c>
      <c r="M10" s="193">
        <v>6.08E-2</v>
      </c>
      <c r="N10" s="193">
        <v>3.15E-2</v>
      </c>
      <c r="O10" s="193">
        <v>4.19E-2</v>
      </c>
      <c r="P10" s="193">
        <v>2.24E-2</v>
      </c>
      <c r="Q10" s="193">
        <v>1.8599999999999998E-2</v>
      </c>
      <c r="R10" s="194">
        <v>8.9999999999999993E-3</v>
      </c>
      <c r="S10" s="193">
        <v>4.2700000000000002E-2</v>
      </c>
      <c r="T10" s="193">
        <v>2.1299999999999999E-2</v>
      </c>
      <c r="U10" s="193">
        <v>5.3999999999999999E-2</v>
      </c>
      <c r="V10" s="193">
        <v>2.5600000000000001E-2</v>
      </c>
      <c r="W10" s="193">
        <v>1.5800000000000002E-2</v>
      </c>
      <c r="X10" s="194">
        <v>7.9000000000000008E-3</v>
      </c>
      <c r="Y10" s="193">
        <v>0</v>
      </c>
      <c r="Z10" s="193">
        <v>0</v>
      </c>
      <c r="AA10" s="193">
        <v>1.8200000000000001E-2</v>
      </c>
      <c r="AB10" s="194">
        <v>9.1999999999999998E-3</v>
      </c>
      <c r="AC10" s="191" t="s">
        <v>170</v>
      </c>
      <c r="AD10" s="192" t="s">
        <v>170</v>
      </c>
    </row>
    <row r="11" spans="2:30" outlineLevel="1" x14ac:dyDescent="0.25">
      <c r="B11" s="180" t="s">
        <v>173</v>
      </c>
      <c r="C11" s="193">
        <v>0</v>
      </c>
      <c r="D11" s="193">
        <v>0</v>
      </c>
      <c r="E11" s="193">
        <v>0</v>
      </c>
      <c r="F11" s="193">
        <v>0</v>
      </c>
      <c r="G11" s="193">
        <v>0</v>
      </c>
      <c r="H11" s="193">
        <v>0</v>
      </c>
      <c r="I11" s="193">
        <v>0</v>
      </c>
      <c r="J11" s="193">
        <v>0</v>
      </c>
      <c r="K11" s="193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  <c r="U11" s="193">
        <v>0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0</v>
      </c>
      <c r="AB11" s="193">
        <v>0</v>
      </c>
      <c r="AC11" s="191" t="s">
        <v>170</v>
      </c>
      <c r="AD11" s="192" t="s">
        <v>170</v>
      </c>
    </row>
    <row r="12" spans="2:30" outlineLevel="1" x14ac:dyDescent="0.25">
      <c r="B12" s="180" t="s">
        <v>8</v>
      </c>
      <c r="C12" s="193">
        <v>0</v>
      </c>
      <c r="D12" s="193">
        <v>0</v>
      </c>
      <c r="E12" s="193">
        <v>0</v>
      </c>
      <c r="F12" s="193">
        <v>0</v>
      </c>
      <c r="G12" s="193">
        <v>0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1" t="s">
        <v>170</v>
      </c>
      <c r="AD12" s="192" t="s">
        <v>170</v>
      </c>
    </row>
    <row r="13" spans="2:30" outlineLevel="1" x14ac:dyDescent="0.25">
      <c r="B13" s="180" t="s">
        <v>174</v>
      </c>
      <c r="C13" s="193">
        <v>1.9397683444479084</v>
      </c>
      <c r="D13" s="193">
        <v>0.9979994791061404</v>
      </c>
      <c r="E13" s="193">
        <v>1.3015584948252346</v>
      </c>
      <c r="F13" s="193">
        <v>0.61622269760316639</v>
      </c>
      <c r="G13" s="193">
        <v>0.9008148459804266</v>
      </c>
      <c r="H13" s="193">
        <v>0.48249240397336407</v>
      </c>
      <c r="I13" s="193">
        <v>0.14438086640361475</v>
      </c>
      <c r="J13" s="193">
        <v>8.2378629655168081E-2</v>
      </c>
      <c r="K13" s="193">
        <v>0.23689221555842713</v>
      </c>
      <c r="L13" s="193">
        <v>0.14267373822659815</v>
      </c>
      <c r="M13" s="193">
        <v>1.105362177096026</v>
      </c>
      <c r="N13" s="193">
        <v>0.57753017593049472</v>
      </c>
      <c r="O13" s="193">
        <v>0.77408288343767451</v>
      </c>
      <c r="P13" s="193">
        <v>0.41026219848665324</v>
      </c>
      <c r="Q13" s="193">
        <v>0.56381364703493297</v>
      </c>
      <c r="R13" s="193">
        <v>0.26291807201345213</v>
      </c>
      <c r="S13" s="193">
        <v>0.88778123744124848</v>
      </c>
      <c r="T13" s="193">
        <v>0.44549540583009428</v>
      </c>
      <c r="U13" s="193">
        <v>0.9507756819775095</v>
      </c>
      <c r="V13" s="193">
        <v>0.46729698976959122</v>
      </c>
      <c r="W13" s="193">
        <v>0.29147702462729635</v>
      </c>
      <c r="X13" s="193">
        <v>0.15504836019577301</v>
      </c>
      <c r="Y13" s="193">
        <v>0</v>
      </c>
      <c r="Z13" s="193">
        <v>0</v>
      </c>
      <c r="AA13" s="193">
        <v>0.42081643105610361</v>
      </c>
      <c r="AB13" s="193">
        <v>0.22742148546962679</v>
      </c>
      <c r="AC13" s="191" t="s">
        <v>170</v>
      </c>
      <c r="AD13" s="192" t="s">
        <v>170</v>
      </c>
    </row>
    <row r="14" spans="2:30" outlineLevel="1" x14ac:dyDescent="0.25">
      <c r="B14" s="180" t="s">
        <v>175</v>
      </c>
      <c r="C14" s="193">
        <v>3.7627012301221794</v>
      </c>
      <c r="D14" s="193">
        <v>0.99600296029612756</v>
      </c>
      <c r="E14" s="193">
        <v>1.6940545154517304</v>
      </c>
      <c r="F14" s="193">
        <v>0.37973041304132349</v>
      </c>
      <c r="G14" s="193">
        <v>0.81146738673873975</v>
      </c>
      <c r="H14" s="193">
        <v>0.23279891989199594</v>
      </c>
      <c r="I14" s="193">
        <v>2.0845834583458449E-2</v>
      </c>
      <c r="J14" s="193">
        <v>6.7862386238633377E-3</v>
      </c>
      <c r="K14" s="193">
        <v>5.6117921792180309E-2</v>
      </c>
      <c r="L14" s="193">
        <v>2.0355795579551857E-2</v>
      </c>
      <c r="M14" s="193">
        <v>1.2218255425544664</v>
      </c>
      <c r="N14" s="193">
        <v>0.33354110411030813</v>
      </c>
      <c r="O14" s="193">
        <v>0.59920431043118438</v>
      </c>
      <c r="P14" s="193">
        <v>0.16831507150710207</v>
      </c>
      <c r="Q14" s="193">
        <v>0.31788582858283199</v>
      </c>
      <c r="R14" s="193">
        <v>6.9125912591270808E-2</v>
      </c>
      <c r="S14" s="193">
        <v>0.78815552555271451</v>
      </c>
      <c r="T14" s="193">
        <v>0.19846615661572042</v>
      </c>
      <c r="U14" s="193">
        <v>0.90397439743979824</v>
      </c>
      <c r="V14" s="193">
        <v>0.21836647664772146</v>
      </c>
      <c r="W14" s="193">
        <v>8.4958855885581525E-2</v>
      </c>
      <c r="X14" s="193">
        <v>2.4039993999398171E-2</v>
      </c>
      <c r="Y14" s="193">
        <v>0</v>
      </c>
      <c r="Z14" s="193">
        <v>0</v>
      </c>
      <c r="AA14" s="193">
        <v>0.17708646864679642</v>
      </c>
      <c r="AB14" s="193">
        <v>5.1720532053211664E-2</v>
      </c>
      <c r="AC14" s="191" t="s">
        <v>170</v>
      </c>
      <c r="AD14" s="192" t="s">
        <v>170</v>
      </c>
    </row>
    <row r="15" spans="2:30" outlineLevel="1" x14ac:dyDescent="0.25">
      <c r="B15" s="180" t="s">
        <v>176</v>
      </c>
      <c r="C15" s="193">
        <v>23.821889990755</v>
      </c>
      <c r="D15" s="193">
        <v>26.87208737666235</v>
      </c>
      <c r="E15" s="193">
        <v>31.817080673297234</v>
      </c>
      <c r="F15" s="193">
        <v>31.809240589306022</v>
      </c>
      <c r="G15" s="193">
        <v>39.511084594254626</v>
      </c>
      <c r="H15" s="193">
        <v>37.121784159361965</v>
      </c>
      <c r="I15" s="193">
        <v>28.260287780564607</v>
      </c>
      <c r="J15" s="193">
        <v>28.132653138032339</v>
      </c>
      <c r="K15" s="193">
        <v>26.41035103718951</v>
      </c>
      <c r="L15" s="193">
        <v>31.337579018455664</v>
      </c>
      <c r="M15" s="193">
        <v>27.057150735726296</v>
      </c>
      <c r="N15" s="193">
        <v>26.65156479561357</v>
      </c>
      <c r="O15" s="193">
        <v>33.846225458471935</v>
      </c>
      <c r="P15" s="193">
        <v>30.389688643765133</v>
      </c>
      <c r="Q15" s="193">
        <v>48.848760606995491</v>
      </c>
      <c r="R15" s="193">
        <v>47.81402788790178</v>
      </c>
      <c r="S15" s="193">
        <v>37.948645506028249</v>
      </c>
      <c r="T15" s="193">
        <v>37.357597949400649</v>
      </c>
      <c r="U15" s="193">
        <v>25.676587792758024</v>
      </c>
      <c r="V15" s="193">
        <v>27.142208781527188</v>
      </c>
      <c r="W15" s="193">
        <v>29.946907277668227</v>
      </c>
      <c r="X15" s="193">
        <v>29.179471402464863</v>
      </c>
      <c r="Y15" s="191" t="s">
        <v>170</v>
      </c>
      <c r="Z15" s="191" t="s">
        <v>170</v>
      </c>
      <c r="AA15" s="193">
        <v>47.535508375990624</v>
      </c>
      <c r="AB15" s="193">
        <v>38.419792607824547</v>
      </c>
      <c r="AC15" s="191" t="s">
        <v>170</v>
      </c>
      <c r="AD15" s="192" t="s">
        <v>170</v>
      </c>
    </row>
    <row r="16" spans="2:30" outlineLevel="1" x14ac:dyDescent="0.25">
      <c r="B16" s="180" t="s">
        <v>177</v>
      </c>
      <c r="C16" s="193">
        <v>697.56015023494228</v>
      </c>
      <c r="D16" s="193">
        <v>912.11860804991409</v>
      </c>
      <c r="E16" s="193">
        <v>1128.5406888938774</v>
      </c>
      <c r="F16" s="193">
        <v>1141.717293809133</v>
      </c>
      <c r="G16" s="193">
        <v>1922.5033719435937</v>
      </c>
      <c r="H16" s="193">
        <v>1700.3450043310231</v>
      </c>
      <c r="I16" s="193">
        <v>1003.9077960855246</v>
      </c>
      <c r="J16" s="193">
        <v>976.95784088759808</v>
      </c>
      <c r="K16" s="193">
        <v>877.33857051339942</v>
      </c>
      <c r="L16" s="193">
        <v>1298.140964331744</v>
      </c>
      <c r="M16" s="193">
        <v>897.00772986538925</v>
      </c>
      <c r="N16" s="193">
        <v>856.31900843217193</v>
      </c>
      <c r="O16" s="193">
        <v>1521.9972367302648</v>
      </c>
      <c r="P16" s="193">
        <v>1180.9867653629713</v>
      </c>
      <c r="Q16" s="193">
        <v>2654.0746255736135</v>
      </c>
      <c r="R16" s="193">
        <v>2634.5888667962458</v>
      </c>
      <c r="S16" s="193">
        <v>1687.1355218160056</v>
      </c>
      <c r="T16" s="193">
        <v>1725.9765003583852</v>
      </c>
      <c r="U16" s="193">
        <v>782.45723828010671</v>
      </c>
      <c r="V16" s="193">
        <v>909.15578869260321</v>
      </c>
      <c r="W16" s="193">
        <v>1148.5737310047186</v>
      </c>
      <c r="X16" s="193">
        <v>1068.461623012751</v>
      </c>
      <c r="Y16" s="191" t="s">
        <v>170</v>
      </c>
      <c r="Z16" s="191" t="s">
        <v>170</v>
      </c>
      <c r="AA16" s="193">
        <v>2927.0334219045885</v>
      </c>
      <c r="AB16" s="193">
        <v>1758.510082594277</v>
      </c>
      <c r="AC16" s="191" t="s">
        <v>170</v>
      </c>
      <c r="AD16" s="192" t="s">
        <v>170</v>
      </c>
    </row>
    <row r="17" spans="2:30" outlineLevel="1" x14ac:dyDescent="0.25">
      <c r="B17" s="180" t="s">
        <v>178</v>
      </c>
      <c r="C17" s="195">
        <v>0</v>
      </c>
      <c r="D17" s="195">
        <v>0</v>
      </c>
      <c r="E17" s="195">
        <v>0</v>
      </c>
      <c r="F17" s="195">
        <v>0</v>
      </c>
      <c r="G17" s="195">
        <v>0</v>
      </c>
      <c r="H17" s="195">
        <v>0</v>
      </c>
      <c r="I17" s="195">
        <v>0</v>
      </c>
      <c r="J17" s="195">
        <v>0</v>
      </c>
      <c r="K17" s="195">
        <v>0</v>
      </c>
      <c r="L17" s="195">
        <v>0</v>
      </c>
      <c r="M17" s="195">
        <v>0</v>
      </c>
      <c r="N17" s="195">
        <v>0</v>
      </c>
      <c r="O17" s="195">
        <v>0</v>
      </c>
      <c r="P17" s="195">
        <v>0</v>
      </c>
      <c r="Q17" s="195">
        <v>0</v>
      </c>
      <c r="R17" s="195">
        <v>0</v>
      </c>
      <c r="S17" s="195">
        <v>0</v>
      </c>
      <c r="T17" s="195">
        <v>0</v>
      </c>
      <c r="U17" s="195">
        <v>0</v>
      </c>
      <c r="V17" s="195">
        <v>0</v>
      </c>
      <c r="W17" s="195">
        <v>0</v>
      </c>
      <c r="X17" s="195">
        <v>0</v>
      </c>
      <c r="Y17" s="195">
        <v>0</v>
      </c>
      <c r="Z17" s="195">
        <v>0</v>
      </c>
      <c r="AA17" s="195">
        <v>0</v>
      </c>
      <c r="AB17" s="195">
        <v>0</v>
      </c>
      <c r="AC17" s="195">
        <v>10000</v>
      </c>
      <c r="AD17" s="196">
        <v>10000</v>
      </c>
    </row>
    <row r="18" spans="2:30" x14ac:dyDescent="0.25">
      <c r="B18" s="179" t="s">
        <v>179</v>
      </c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8"/>
    </row>
    <row r="19" spans="2:30" outlineLevel="1" x14ac:dyDescent="0.25">
      <c r="B19" s="181">
        <v>0.01</v>
      </c>
      <c r="C19" s="193">
        <v>0</v>
      </c>
      <c r="D19" s="193">
        <v>0</v>
      </c>
      <c r="E19" s="193">
        <v>0</v>
      </c>
      <c r="F19" s="193">
        <v>0</v>
      </c>
      <c r="G19" s="193">
        <v>0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93">
        <v>0</v>
      </c>
      <c r="AB19" s="193">
        <v>0</v>
      </c>
      <c r="AC19" s="191" t="s">
        <v>170</v>
      </c>
      <c r="AD19" s="192" t="s">
        <v>170</v>
      </c>
    </row>
    <row r="20" spans="2:30" outlineLevel="1" x14ac:dyDescent="0.25">
      <c r="B20" s="181">
        <v>2.5000000000000001E-2</v>
      </c>
      <c r="C20" s="193">
        <v>0</v>
      </c>
      <c r="D20" s="193">
        <v>0</v>
      </c>
      <c r="E20" s="193">
        <v>0</v>
      </c>
      <c r="F20" s="193">
        <v>0</v>
      </c>
      <c r="G20" s="193">
        <v>0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93">
        <v>0</v>
      </c>
      <c r="AB20" s="193">
        <v>0</v>
      </c>
      <c r="AC20" s="191" t="s">
        <v>170</v>
      </c>
      <c r="AD20" s="192" t="s">
        <v>170</v>
      </c>
    </row>
    <row r="21" spans="2:30" outlineLevel="1" x14ac:dyDescent="0.25">
      <c r="B21" s="181">
        <v>0.05</v>
      </c>
      <c r="C21" s="193">
        <v>0</v>
      </c>
      <c r="D21" s="193">
        <v>0</v>
      </c>
      <c r="E21" s="193">
        <v>0</v>
      </c>
      <c r="F21" s="193">
        <v>0</v>
      </c>
      <c r="G21" s="193">
        <v>0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0</v>
      </c>
      <c r="X21" s="193">
        <v>0</v>
      </c>
      <c r="Y21" s="193">
        <v>0</v>
      </c>
      <c r="Z21" s="193">
        <v>0</v>
      </c>
      <c r="AA21" s="193">
        <v>0</v>
      </c>
      <c r="AB21" s="193">
        <v>0</v>
      </c>
      <c r="AC21" s="191" t="s">
        <v>170</v>
      </c>
      <c r="AD21" s="192" t="s">
        <v>170</v>
      </c>
    </row>
    <row r="22" spans="2:30" outlineLevel="1" x14ac:dyDescent="0.25">
      <c r="B22" s="181">
        <v>0.1</v>
      </c>
      <c r="C22" s="193">
        <v>0</v>
      </c>
      <c r="D22" s="193">
        <v>0</v>
      </c>
      <c r="E22" s="193">
        <v>0</v>
      </c>
      <c r="F22" s="193">
        <v>0</v>
      </c>
      <c r="G22" s="193">
        <v>0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0</v>
      </c>
      <c r="AB22" s="193">
        <v>0</v>
      </c>
      <c r="AC22" s="191" t="s">
        <v>170</v>
      </c>
      <c r="AD22" s="192" t="s">
        <v>170</v>
      </c>
    </row>
    <row r="23" spans="2:30" outlineLevel="1" x14ac:dyDescent="0.25">
      <c r="B23" s="181">
        <v>0.2</v>
      </c>
      <c r="C23" s="193">
        <v>0</v>
      </c>
      <c r="D23" s="193">
        <v>0</v>
      </c>
      <c r="E23" s="193">
        <v>0</v>
      </c>
      <c r="F23" s="193">
        <v>0</v>
      </c>
      <c r="G23" s="193">
        <v>0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0</v>
      </c>
      <c r="X23" s="193">
        <v>0</v>
      </c>
      <c r="Y23" s="193">
        <v>0</v>
      </c>
      <c r="Z23" s="193">
        <v>0</v>
      </c>
      <c r="AA23" s="193">
        <v>0</v>
      </c>
      <c r="AB23" s="193">
        <v>0</v>
      </c>
      <c r="AC23" s="191" t="s">
        <v>170</v>
      </c>
      <c r="AD23" s="192" t="s">
        <v>170</v>
      </c>
    </row>
    <row r="24" spans="2:30" outlineLevel="1" x14ac:dyDescent="0.25">
      <c r="B24" s="181">
        <v>0.25</v>
      </c>
      <c r="C24" s="193">
        <v>0</v>
      </c>
      <c r="D24" s="193">
        <v>0</v>
      </c>
      <c r="E24" s="193">
        <v>0</v>
      </c>
      <c r="F24" s="193">
        <v>0</v>
      </c>
      <c r="G24" s="193">
        <v>0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0</v>
      </c>
      <c r="X24" s="193">
        <v>0</v>
      </c>
      <c r="Y24" s="193">
        <v>0</v>
      </c>
      <c r="Z24" s="193">
        <v>0</v>
      </c>
      <c r="AA24" s="193">
        <v>0</v>
      </c>
      <c r="AB24" s="193">
        <v>0</v>
      </c>
      <c r="AC24" s="191" t="s">
        <v>170</v>
      </c>
      <c r="AD24" s="192" t="s">
        <v>170</v>
      </c>
    </row>
    <row r="25" spans="2:30" outlineLevel="1" x14ac:dyDescent="0.25">
      <c r="B25" s="181">
        <v>0.3</v>
      </c>
      <c r="C25" s="193">
        <v>0</v>
      </c>
      <c r="D25" s="193">
        <v>0</v>
      </c>
      <c r="E25" s="193">
        <v>0</v>
      </c>
      <c r="F25" s="193">
        <v>0</v>
      </c>
      <c r="G25" s="193">
        <v>0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0</v>
      </c>
      <c r="AB25" s="193">
        <v>0</v>
      </c>
      <c r="AC25" s="191" t="s">
        <v>170</v>
      </c>
      <c r="AD25" s="192" t="s">
        <v>170</v>
      </c>
    </row>
    <row r="26" spans="2:30" outlineLevel="1" x14ac:dyDescent="0.25">
      <c r="B26" s="181">
        <v>0.35</v>
      </c>
      <c r="C26" s="193">
        <v>0</v>
      </c>
      <c r="D26" s="193">
        <v>0</v>
      </c>
      <c r="E26" s="193">
        <v>0</v>
      </c>
      <c r="F26" s="193">
        <v>0</v>
      </c>
      <c r="G26" s="193">
        <v>0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0</v>
      </c>
      <c r="AB26" s="193">
        <v>0</v>
      </c>
      <c r="AC26" s="191" t="s">
        <v>170</v>
      </c>
      <c r="AD26" s="192" t="s">
        <v>170</v>
      </c>
    </row>
    <row r="27" spans="2:30" outlineLevel="1" x14ac:dyDescent="0.25">
      <c r="B27" s="181">
        <v>0.4</v>
      </c>
      <c r="C27" s="193">
        <v>0</v>
      </c>
      <c r="D27" s="193">
        <v>0</v>
      </c>
      <c r="E27" s="193">
        <v>0</v>
      </c>
      <c r="F27" s="193">
        <v>0</v>
      </c>
      <c r="G27" s="193">
        <v>0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1" t="s">
        <v>170</v>
      </c>
      <c r="AD27" s="192" t="s">
        <v>170</v>
      </c>
    </row>
    <row r="28" spans="2:30" outlineLevel="1" x14ac:dyDescent="0.25">
      <c r="B28" s="181">
        <v>0.45</v>
      </c>
      <c r="C28" s="193">
        <v>0</v>
      </c>
      <c r="D28" s="193">
        <v>0</v>
      </c>
      <c r="E28" s="193">
        <v>0</v>
      </c>
      <c r="F28" s="193">
        <v>0</v>
      </c>
      <c r="G28" s="193">
        <v>0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1" t="s">
        <v>170</v>
      </c>
      <c r="AD28" s="192" t="s">
        <v>170</v>
      </c>
    </row>
    <row r="29" spans="2:30" outlineLevel="1" x14ac:dyDescent="0.25">
      <c r="B29" s="181">
        <v>0.5</v>
      </c>
      <c r="C29" s="193">
        <v>0</v>
      </c>
      <c r="D29" s="193">
        <v>0</v>
      </c>
      <c r="E29" s="193">
        <v>0</v>
      </c>
      <c r="F29" s="193">
        <v>0</v>
      </c>
      <c r="G29" s="193">
        <v>0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1" t="s">
        <v>170</v>
      </c>
      <c r="AD29" s="192" t="s">
        <v>170</v>
      </c>
    </row>
    <row r="30" spans="2:30" outlineLevel="1" x14ac:dyDescent="0.25">
      <c r="B30" s="181">
        <v>0.55000000000000004</v>
      </c>
      <c r="C30" s="193">
        <v>0</v>
      </c>
      <c r="D30" s="193">
        <v>0</v>
      </c>
      <c r="E30" s="193">
        <v>0</v>
      </c>
      <c r="F30" s="193">
        <v>0</v>
      </c>
      <c r="G30" s="193">
        <v>0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1" t="s">
        <v>170</v>
      </c>
      <c r="AD30" s="192" t="s">
        <v>170</v>
      </c>
    </row>
    <row r="31" spans="2:30" outlineLevel="1" x14ac:dyDescent="0.25">
      <c r="B31" s="181">
        <v>0.6</v>
      </c>
      <c r="C31" s="193">
        <v>0</v>
      </c>
      <c r="D31" s="193">
        <v>0</v>
      </c>
      <c r="E31" s="193">
        <v>0</v>
      </c>
      <c r="F31" s="193">
        <v>0</v>
      </c>
      <c r="G31" s="193">
        <v>0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1" t="s">
        <v>170</v>
      </c>
      <c r="AD31" s="192" t="s">
        <v>170</v>
      </c>
    </row>
    <row r="32" spans="2:30" outlineLevel="1" x14ac:dyDescent="0.25">
      <c r="B32" s="181">
        <v>0.65</v>
      </c>
      <c r="C32" s="193">
        <v>0</v>
      </c>
      <c r="D32" s="193">
        <v>0</v>
      </c>
      <c r="E32" s="193">
        <v>0</v>
      </c>
      <c r="F32" s="193">
        <v>0</v>
      </c>
      <c r="G32" s="193">
        <v>0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1" t="s">
        <v>170</v>
      </c>
      <c r="AD32" s="192" t="s">
        <v>170</v>
      </c>
    </row>
    <row r="33" spans="2:30" outlineLevel="1" x14ac:dyDescent="0.25">
      <c r="B33" s="181">
        <v>0.7</v>
      </c>
      <c r="C33" s="193">
        <v>0</v>
      </c>
      <c r="D33" s="193">
        <v>0</v>
      </c>
      <c r="E33" s="193">
        <v>0</v>
      </c>
      <c r="F33" s="193">
        <v>0</v>
      </c>
      <c r="G33" s="193">
        <v>0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1" t="s">
        <v>170</v>
      </c>
      <c r="AD33" s="192" t="s">
        <v>170</v>
      </c>
    </row>
    <row r="34" spans="2:30" outlineLevel="1" x14ac:dyDescent="0.25">
      <c r="B34" s="181">
        <v>0.75</v>
      </c>
      <c r="C34" s="193">
        <v>0</v>
      </c>
      <c r="D34" s="193">
        <v>0</v>
      </c>
      <c r="E34" s="193">
        <v>0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1" t="s">
        <v>170</v>
      </c>
      <c r="AD34" s="192" t="s">
        <v>170</v>
      </c>
    </row>
    <row r="35" spans="2:30" outlineLevel="1" x14ac:dyDescent="0.25">
      <c r="B35" s="181">
        <v>0.8</v>
      </c>
      <c r="C35" s="193">
        <v>0</v>
      </c>
      <c r="D35" s="193">
        <v>0</v>
      </c>
      <c r="E35" s="193">
        <v>0</v>
      </c>
      <c r="F35" s="193">
        <v>0</v>
      </c>
      <c r="G35" s="193">
        <v>0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0</v>
      </c>
      <c r="Y35" s="193">
        <v>0</v>
      </c>
      <c r="Z35" s="193">
        <v>0</v>
      </c>
      <c r="AA35" s="193">
        <v>0</v>
      </c>
      <c r="AB35" s="193">
        <v>0</v>
      </c>
      <c r="AC35" s="191" t="s">
        <v>170</v>
      </c>
      <c r="AD35" s="192" t="s">
        <v>170</v>
      </c>
    </row>
    <row r="36" spans="2:30" outlineLevel="1" x14ac:dyDescent="0.25">
      <c r="B36" s="181">
        <v>0.9</v>
      </c>
      <c r="C36" s="193">
        <v>0</v>
      </c>
      <c r="D36" s="193">
        <v>0</v>
      </c>
      <c r="E36" s="193">
        <v>0</v>
      </c>
      <c r="F36" s="193">
        <v>0</v>
      </c>
      <c r="G36" s="193">
        <v>0</v>
      </c>
      <c r="H36" s="193">
        <v>0</v>
      </c>
      <c r="I36" s="193">
        <v>0</v>
      </c>
      <c r="J36" s="193">
        <v>0</v>
      </c>
      <c r="K36" s="193">
        <v>0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0</v>
      </c>
      <c r="X36" s="193">
        <v>0</v>
      </c>
      <c r="Y36" s="193">
        <v>0</v>
      </c>
      <c r="Z36" s="193">
        <v>0</v>
      </c>
      <c r="AA36" s="193">
        <v>0</v>
      </c>
      <c r="AB36" s="193">
        <v>0</v>
      </c>
      <c r="AC36" s="191" t="s">
        <v>170</v>
      </c>
      <c r="AD36" s="192" t="s">
        <v>170</v>
      </c>
    </row>
    <row r="37" spans="2:30" outlineLevel="1" x14ac:dyDescent="0.25">
      <c r="B37" s="181">
        <v>0.95</v>
      </c>
      <c r="C37" s="193">
        <v>0</v>
      </c>
      <c r="D37" s="193">
        <v>0</v>
      </c>
      <c r="E37" s="193">
        <v>0</v>
      </c>
      <c r="F37" s="193">
        <v>0</v>
      </c>
      <c r="G37" s="193">
        <v>0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0</v>
      </c>
      <c r="X37" s="193">
        <v>0</v>
      </c>
      <c r="Y37" s="193">
        <v>0</v>
      </c>
      <c r="Z37" s="193">
        <v>0</v>
      </c>
      <c r="AA37" s="193">
        <v>0</v>
      </c>
      <c r="AB37" s="193">
        <v>0</v>
      </c>
      <c r="AC37" s="191" t="s">
        <v>170</v>
      </c>
      <c r="AD37" s="192" t="s">
        <v>170</v>
      </c>
    </row>
    <row r="38" spans="2:30" outlineLevel="1" x14ac:dyDescent="0.25">
      <c r="B38" s="181">
        <v>0.97499999999999998</v>
      </c>
      <c r="C38" s="193">
        <v>0</v>
      </c>
      <c r="D38" s="193">
        <v>0</v>
      </c>
      <c r="E38" s="193">
        <v>0</v>
      </c>
      <c r="F38" s="193">
        <v>0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0</v>
      </c>
      <c r="AA38" s="193">
        <v>0</v>
      </c>
      <c r="AB38" s="193">
        <v>0</v>
      </c>
      <c r="AC38" s="191" t="s">
        <v>170</v>
      </c>
      <c r="AD38" s="192" t="s">
        <v>170</v>
      </c>
    </row>
    <row r="39" spans="2:30" outlineLevel="1" x14ac:dyDescent="0.25">
      <c r="B39" s="181">
        <v>0.99</v>
      </c>
      <c r="C39" s="193">
        <v>1</v>
      </c>
      <c r="D39" s="193">
        <v>0</v>
      </c>
      <c r="E39" s="193">
        <v>0</v>
      </c>
      <c r="F39" s="193">
        <v>0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1" t="s">
        <v>170</v>
      </c>
      <c r="AD39" s="192" t="s">
        <v>170</v>
      </c>
    </row>
    <row r="40" spans="2:30" outlineLevel="1" x14ac:dyDescent="0.25">
      <c r="B40" s="181">
        <v>0.995</v>
      </c>
      <c r="C40" s="193">
        <v>7</v>
      </c>
      <c r="D40" s="193">
        <v>3</v>
      </c>
      <c r="E40" s="193">
        <v>1</v>
      </c>
      <c r="F40" s="193">
        <v>0</v>
      </c>
      <c r="G40" s="193">
        <v>1</v>
      </c>
      <c r="H40" s="193">
        <v>0</v>
      </c>
      <c r="I40" s="193">
        <v>0</v>
      </c>
      <c r="J40" s="193">
        <v>0</v>
      </c>
      <c r="K40" s="193">
        <v>1</v>
      </c>
      <c r="L40" s="193">
        <v>0</v>
      </c>
      <c r="M40" s="193">
        <v>1</v>
      </c>
      <c r="N40" s="193">
        <v>1</v>
      </c>
      <c r="O40" s="193">
        <v>1</v>
      </c>
      <c r="P40" s="193">
        <v>1</v>
      </c>
      <c r="Q40" s="193">
        <v>0</v>
      </c>
      <c r="R40" s="193">
        <v>0</v>
      </c>
      <c r="S40" s="193">
        <v>1</v>
      </c>
      <c r="T40" s="193">
        <v>1</v>
      </c>
      <c r="U40" s="193">
        <v>2</v>
      </c>
      <c r="V40" s="193">
        <v>1</v>
      </c>
      <c r="W40" s="193">
        <v>1</v>
      </c>
      <c r="X40" s="193">
        <v>0</v>
      </c>
      <c r="Y40" s="193">
        <v>0</v>
      </c>
      <c r="Z40" s="193">
        <v>0</v>
      </c>
      <c r="AA40" s="193">
        <v>1</v>
      </c>
      <c r="AB40" s="193">
        <v>0</v>
      </c>
      <c r="AC40" s="191" t="s">
        <v>170</v>
      </c>
      <c r="AD40" s="192" t="s">
        <v>170</v>
      </c>
    </row>
    <row r="41" spans="2:30" outlineLevel="1" x14ac:dyDescent="0.25">
      <c r="B41" s="181">
        <v>0.999</v>
      </c>
      <c r="C41" s="193">
        <v>28</v>
      </c>
      <c r="D41" s="193">
        <v>16</v>
      </c>
      <c r="E41" s="193">
        <v>15</v>
      </c>
      <c r="F41" s="193">
        <v>8</v>
      </c>
      <c r="G41" s="193">
        <v>12</v>
      </c>
      <c r="H41" s="193">
        <v>7</v>
      </c>
      <c r="I41" s="193">
        <v>2</v>
      </c>
      <c r="J41" s="193">
        <v>1</v>
      </c>
      <c r="K41" s="193">
        <v>4</v>
      </c>
      <c r="L41" s="193">
        <v>2</v>
      </c>
      <c r="M41" s="193">
        <v>17</v>
      </c>
      <c r="N41" s="193">
        <v>10</v>
      </c>
      <c r="O41" s="193">
        <v>10</v>
      </c>
      <c r="P41" s="193">
        <v>6</v>
      </c>
      <c r="Q41" s="193">
        <v>4</v>
      </c>
      <c r="R41" s="193">
        <v>2</v>
      </c>
      <c r="S41" s="193">
        <v>8</v>
      </c>
      <c r="T41" s="193">
        <v>6</v>
      </c>
      <c r="U41" s="193">
        <v>15</v>
      </c>
      <c r="V41" s="193">
        <v>8</v>
      </c>
      <c r="W41" s="193">
        <v>4</v>
      </c>
      <c r="X41" s="193">
        <v>2</v>
      </c>
      <c r="Y41" s="193">
        <v>0</v>
      </c>
      <c r="Z41" s="193">
        <v>0</v>
      </c>
      <c r="AA41" s="193">
        <v>5</v>
      </c>
      <c r="AB41" s="193">
        <v>2</v>
      </c>
      <c r="AC41" s="191" t="s">
        <v>170</v>
      </c>
      <c r="AD41" s="192" t="s">
        <v>170</v>
      </c>
    </row>
    <row r="42" spans="2:30" x14ac:dyDescent="0.25">
      <c r="B42" s="179" t="s">
        <v>180</v>
      </c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8"/>
    </row>
    <row r="43" spans="2:30" outlineLevel="1" x14ac:dyDescent="0.25">
      <c r="B43" s="180" t="s">
        <v>169</v>
      </c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2"/>
    </row>
    <row r="44" spans="2:30" outlineLevel="1" x14ac:dyDescent="0.25">
      <c r="B44" s="180" t="s">
        <v>171</v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2"/>
    </row>
    <row r="45" spans="2:30" outlineLevel="1" x14ac:dyDescent="0.25">
      <c r="B45" s="180" t="s">
        <v>181</v>
      </c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2"/>
    </row>
    <row r="46" spans="2:30" ht="15.75" outlineLevel="1" thickBot="1" x14ac:dyDescent="0.3">
      <c r="B46" s="186" t="s">
        <v>182</v>
      </c>
      <c r="C46" s="197">
        <v>0</v>
      </c>
      <c r="D46" s="197">
        <v>0</v>
      </c>
      <c r="E46" s="197">
        <v>0</v>
      </c>
      <c r="F46" s="197">
        <v>0</v>
      </c>
      <c r="G46" s="197">
        <v>0</v>
      </c>
      <c r="H46" s="197">
        <v>0</v>
      </c>
      <c r="I46" s="197">
        <v>0</v>
      </c>
      <c r="J46" s="197">
        <v>0</v>
      </c>
      <c r="K46" s="197">
        <v>0</v>
      </c>
      <c r="L46" s="197">
        <v>0</v>
      </c>
      <c r="M46" s="197">
        <v>0</v>
      </c>
      <c r="N46" s="197">
        <v>0</v>
      </c>
      <c r="O46" s="197">
        <v>0</v>
      </c>
      <c r="P46" s="197">
        <v>0</v>
      </c>
      <c r="Q46" s="197">
        <v>0</v>
      </c>
      <c r="R46" s="197">
        <v>0</v>
      </c>
      <c r="S46" s="197">
        <v>0</v>
      </c>
      <c r="T46" s="197">
        <v>0</v>
      </c>
      <c r="U46" s="197">
        <v>0</v>
      </c>
      <c r="V46" s="197">
        <v>0</v>
      </c>
      <c r="W46" s="197">
        <v>0</v>
      </c>
      <c r="X46" s="197">
        <v>0</v>
      </c>
      <c r="Y46" s="197">
        <v>0</v>
      </c>
      <c r="Z46" s="197">
        <v>0</v>
      </c>
      <c r="AA46" s="197">
        <v>0</v>
      </c>
      <c r="AB46" s="197">
        <v>0</v>
      </c>
      <c r="AC46" s="197">
        <v>0</v>
      </c>
      <c r="AD46" s="198">
        <v>0</v>
      </c>
    </row>
  </sheetData>
  <mergeCells count="4">
    <mergeCell ref="B4:AD4"/>
    <mergeCell ref="B7:AD7"/>
    <mergeCell ref="B18:AD18"/>
    <mergeCell ref="B42:AD42"/>
  </mergeCells>
  <pageMargins left="0.7" right="0.7" top="0.75" bottom="0.75" header="0.3" footer="0.3"/>
  <pageSetup fitToWidth="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C0CA-6518-49C4-BB2D-2584FE298ABE}">
  <sheetPr>
    <outlinePr summaryBelow="0" summaryRight="0"/>
  </sheetPr>
  <dimension ref="B1:AD46"/>
  <sheetViews>
    <sheetView showGridLines="0" workbookViewId="0">
      <selection activeCell="K24" sqref="K24"/>
    </sheetView>
  </sheetViews>
  <sheetFormatPr defaultRowHeight="15" outlineLevelRow="1" x14ac:dyDescent="0.25"/>
  <cols>
    <col min="1" max="1" width="0.28515625" customWidth="1"/>
    <col min="2" max="30" width="14.28515625" customWidth="1"/>
  </cols>
  <sheetData>
    <row r="1" spans="2:30" s="199" customFormat="1" ht="65.650000000000006" customHeight="1" x14ac:dyDescent="0.25"/>
    <row r="2" spans="2:30" ht="15.75" thickBot="1" x14ac:dyDescent="0.3"/>
    <row r="3" spans="2:30" ht="84.75" x14ac:dyDescent="0.25">
      <c r="B3" s="182" t="s">
        <v>135</v>
      </c>
      <c r="C3" s="183" t="s">
        <v>136</v>
      </c>
      <c r="D3" s="184" t="s">
        <v>137</v>
      </c>
      <c r="E3" s="184" t="s">
        <v>138</v>
      </c>
      <c r="F3" s="184" t="s">
        <v>139</v>
      </c>
      <c r="G3" s="184" t="s">
        <v>140</v>
      </c>
      <c r="H3" s="184" t="s">
        <v>141</v>
      </c>
      <c r="I3" s="184" t="s">
        <v>142</v>
      </c>
      <c r="J3" s="184" t="s">
        <v>143</v>
      </c>
      <c r="K3" s="184" t="s">
        <v>144</v>
      </c>
      <c r="L3" s="184" t="s">
        <v>145</v>
      </c>
      <c r="M3" s="184" t="s">
        <v>146</v>
      </c>
      <c r="N3" s="184" t="s">
        <v>147</v>
      </c>
      <c r="O3" s="184" t="s">
        <v>148</v>
      </c>
      <c r="P3" s="184" t="s">
        <v>149</v>
      </c>
      <c r="Q3" s="184" t="s">
        <v>150</v>
      </c>
      <c r="R3" s="184" t="s">
        <v>151</v>
      </c>
      <c r="S3" s="184" t="s">
        <v>152</v>
      </c>
      <c r="T3" s="184" t="s">
        <v>153</v>
      </c>
      <c r="U3" s="184" t="s">
        <v>154</v>
      </c>
      <c r="V3" s="184" t="s">
        <v>155</v>
      </c>
      <c r="W3" s="184" t="s">
        <v>156</v>
      </c>
      <c r="X3" s="184" t="s">
        <v>157</v>
      </c>
      <c r="Y3" s="184" t="s">
        <v>158</v>
      </c>
      <c r="Z3" s="184" t="s">
        <v>159</v>
      </c>
      <c r="AA3" s="184" t="s">
        <v>160</v>
      </c>
      <c r="AB3" s="184" t="s">
        <v>161</v>
      </c>
      <c r="AC3" s="184" t="s">
        <v>162</v>
      </c>
      <c r="AD3" s="185" t="s">
        <v>163</v>
      </c>
    </row>
    <row r="4" spans="2:30" x14ac:dyDescent="0.25">
      <c r="B4" s="179" t="s">
        <v>164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8"/>
    </row>
    <row r="5" spans="2:30" ht="37.5" customHeight="1" outlineLevel="1" x14ac:dyDescent="0.25">
      <c r="B5" s="180" t="s">
        <v>165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90"/>
    </row>
    <row r="6" spans="2:30" outlineLevel="1" x14ac:dyDescent="0.25">
      <c r="B6" s="180" t="s">
        <v>166</v>
      </c>
      <c r="C6" s="191" t="s">
        <v>167</v>
      </c>
      <c r="D6" s="191" t="s">
        <v>167</v>
      </c>
      <c r="E6" s="191" t="s">
        <v>167</v>
      </c>
      <c r="F6" s="191" t="s">
        <v>167</v>
      </c>
      <c r="G6" s="191" t="s">
        <v>167</v>
      </c>
      <c r="H6" s="191" t="s">
        <v>167</v>
      </c>
      <c r="I6" s="191" t="s">
        <v>167</v>
      </c>
      <c r="J6" s="191" t="s">
        <v>167</v>
      </c>
      <c r="K6" s="191" t="s">
        <v>167</v>
      </c>
      <c r="L6" s="191" t="s">
        <v>167</v>
      </c>
      <c r="M6" s="191" t="s">
        <v>167</v>
      </c>
      <c r="N6" s="191" t="s">
        <v>167</v>
      </c>
      <c r="O6" s="191" t="s">
        <v>167</v>
      </c>
      <c r="P6" s="191" t="s">
        <v>167</v>
      </c>
      <c r="Q6" s="191" t="s">
        <v>167</v>
      </c>
      <c r="R6" s="191" t="s">
        <v>167</v>
      </c>
      <c r="S6" s="191" t="s">
        <v>167</v>
      </c>
      <c r="T6" s="191" t="s">
        <v>167</v>
      </c>
      <c r="U6" s="191" t="s">
        <v>167</v>
      </c>
      <c r="V6" s="191" t="s">
        <v>167</v>
      </c>
      <c r="W6" s="191" t="s">
        <v>167</v>
      </c>
      <c r="X6" s="191" t="s">
        <v>167</v>
      </c>
      <c r="Y6" s="191" t="s">
        <v>167</v>
      </c>
      <c r="Z6" s="191" t="s">
        <v>167</v>
      </c>
      <c r="AA6" s="191" t="s">
        <v>167</v>
      </c>
      <c r="AB6" s="191" t="s">
        <v>167</v>
      </c>
      <c r="AC6" s="191" t="s">
        <v>167</v>
      </c>
      <c r="AD6" s="192" t="s">
        <v>167</v>
      </c>
    </row>
    <row r="7" spans="2:30" x14ac:dyDescent="0.25">
      <c r="B7" s="179" t="s">
        <v>168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8"/>
    </row>
    <row r="8" spans="2:30" outlineLevel="1" x14ac:dyDescent="0.25">
      <c r="B8" s="180" t="s">
        <v>169</v>
      </c>
      <c r="C8" s="193">
        <v>0</v>
      </c>
      <c r="D8" s="193">
        <v>0</v>
      </c>
      <c r="E8" s="193">
        <v>0</v>
      </c>
      <c r="F8" s="193">
        <v>0</v>
      </c>
      <c r="G8" s="193">
        <v>0</v>
      </c>
      <c r="H8" s="193">
        <v>0</v>
      </c>
      <c r="I8" s="193">
        <v>0</v>
      </c>
      <c r="J8" s="193">
        <v>0</v>
      </c>
      <c r="K8" s="193">
        <v>0</v>
      </c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  <c r="U8" s="193">
        <v>0</v>
      </c>
      <c r="V8" s="193">
        <v>0</v>
      </c>
      <c r="W8" s="193">
        <v>0</v>
      </c>
      <c r="X8" s="193">
        <v>0</v>
      </c>
      <c r="Y8" s="193">
        <v>0</v>
      </c>
      <c r="Z8" s="193">
        <v>0</v>
      </c>
      <c r="AA8" s="193">
        <v>0</v>
      </c>
      <c r="AB8" s="193">
        <v>0</v>
      </c>
      <c r="AC8" s="191" t="s">
        <v>170</v>
      </c>
      <c r="AD8" s="192" t="s">
        <v>170</v>
      </c>
    </row>
    <row r="9" spans="2:30" outlineLevel="1" x14ac:dyDescent="0.25">
      <c r="B9" s="180" t="s">
        <v>171</v>
      </c>
      <c r="C9" s="193">
        <v>10</v>
      </c>
      <c r="D9" s="193">
        <v>8</v>
      </c>
      <c r="E9" s="193">
        <v>13</v>
      </c>
      <c r="F9" s="193">
        <v>7</v>
      </c>
      <c r="G9" s="193">
        <v>6</v>
      </c>
      <c r="H9" s="193">
        <v>4</v>
      </c>
      <c r="I9" s="193">
        <v>1</v>
      </c>
      <c r="J9" s="193">
        <v>1</v>
      </c>
      <c r="K9" s="193">
        <v>2</v>
      </c>
      <c r="L9" s="193">
        <v>1</v>
      </c>
      <c r="M9" s="193">
        <v>7</v>
      </c>
      <c r="N9" s="193">
        <v>4</v>
      </c>
      <c r="O9" s="193">
        <v>5</v>
      </c>
      <c r="P9" s="193">
        <v>3</v>
      </c>
      <c r="Q9" s="193">
        <v>4</v>
      </c>
      <c r="R9" s="193">
        <v>3</v>
      </c>
      <c r="S9" s="193">
        <v>7</v>
      </c>
      <c r="T9" s="193">
        <v>4</v>
      </c>
      <c r="U9" s="193">
        <v>6</v>
      </c>
      <c r="V9" s="193">
        <v>3</v>
      </c>
      <c r="W9" s="193">
        <v>1</v>
      </c>
      <c r="X9" s="193">
        <v>1</v>
      </c>
      <c r="Y9" s="193">
        <v>0</v>
      </c>
      <c r="Z9" s="193">
        <v>0</v>
      </c>
      <c r="AA9" s="193">
        <v>3</v>
      </c>
      <c r="AB9" s="193">
        <v>2</v>
      </c>
      <c r="AC9" s="191" t="s">
        <v>170</v>
      </c>
      <c r="AD9" s="192" t="s">
        <v>170</v>
      </c>
    </row>
    <row r="10" spans="2:30" outlineLevel="1" x14ac:dyDescent="0.25">
      <c r="B10" s="180" t="s">
        <v>172</v>
      </c>
      <c r="C10" s="193">
        <v>1.55E-2</v>
      </c>
      <c r="D10" s="194">
        <v>7.1000000000000004E-3</v>
      </c>
      <c r="E10" s="194">
        <v>7.6E-3</v>
      </c>
      <c r="F10" s="194">
        <v>3.3999999999999998E-3</v>
      </c>
      <c r="G10" s="194">
        <v>3.2000000000000002E-3</v>
      </c>
      <c r="H10" s="194">
        <v>1.6999999999999999E-3</v>
      </c>
      <c r="I10" s="194">
        <v>1.1000000000000001E-3</v>
      </c>
      <c r="J10" s="200">
        <v>5.9999999999999995E-4</v>
      </c>
      <c r="K10" s="194">
        <v>1.6999999999999999E-3</v>
      </c>
      <c r="L10" s="200">
        <v>8.9999999999999998E-4</v>
      </c>
      <c r="M10" s="194">
        <v>7.0000000000000001E-3</v>
      </c>
      <c r="N10" s="194">
        <v>3.5000000000000001E-3</v>
      </c>
      <c r="O10" s="194">
        <v>4.5999999999999999E-3</v>
      </c>
      <c r="P10" s="194">
        <v>2.8999999999999998E-3</v>
      </c>
      <c r="Q10" s="194">
        <v>1.6999999999999999E-3</v>
      </c>
      <c r="R10" s="194">
        <v>1.1000000000000001E-3</v>
      </c>
      <c r="S10" s="194">
        <v>4.4999999999999997E-3</v>
      </c>
      <c r="T10" s="194">
        <v>2.3E-3</v>
      </c>
      <c r="U10" s="194">
        <v>5.1999999999999998E-3</v>
      </c>
      <c r="V10" s="194">
        <v>2.7000000000000001E-3</v>
      </c>
      <c r="W10" s="194">
        <v>1.5E-3</v>
      </c>
      <c r="X10" s="200">
        <v>8.0000000000000004E-4</v>
      </c>
      <c r="Y10" s="193">
        <v>0</v>
      </c>
      <c r="Z10" s="193">
        <v>0</v>
      </c>
      <c r="AA10" s="194">
        <v>1.8E-3</v>
      </c>
      <c r="AB10" s="194">
        <v>1E-3</v>
      </c>
      <c r="AC10" s="191" t="s">
        <v>170</v>
      </c>
      <c r="AD10" s="192" t="s">
        <v>170</v>
      </c>
    </row>
    <row r="11" spans="2:30" outlineLevel="1" x14ac:dyDescent="0.25">
      <c r="B11" s="180" t="s">
        <v>173</v>
      </c>
      <c r="C11" s="193">
        <v>0</v>
      </c>
      <c r="D11" s="193">
        <v>0</v>
      </c>
      <c r="E11" s="193">
        <v>0</v>
      </c>
      <c r="F11" s="193">
        <v>0</v>
      </c>
      <c r="G11" s="193">
        <v>0</v>
      </c>
      <c r="H11" s="193">
        <v>0</v>
      </c>
      <c r="I11" s="193">
        <v>0</v>
      </c>
      <c r="J11" s="193">
        <v>0</v>
      </c>
      <c r="K11" s="193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  <c r="U11" s="193">
        <v>0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0</v>
      </c>
      <c r="AB11" s="193">
        <v>0</v>
      </c>
      <c r="AC11" s="191" t="s">
        <v>170</v>
      </c>
      <c r="AD11" s="192" t="s">
        <v>170</v>
      </c>
    </row>
    <row r="12" spans="2:30" outlineLevel="1" x14ac:dyDescent="0.25">
      <c r="B12" s="180" t="s">
        <v>8</v>
      </c>
      <c r="C12" s="193">
        <v>0</v>
      </c>
      <c r="D12" s="193">
        <v>0</v>
      </c>
      <c r="E12" s="193">
        <v>0</v>
      </c>
      <c r="F12" s="193">
        <v>0</v>
      </c>
      <c r="G12" s="193">
        <v>0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1" t="s">
        <v>170</v>
      </c>
      <c r="AD12" s="192" t="s">
        <v>170</v>
      </c>
    </row>
    <row r="13" spans="2:30" outlineLevel="1" x14ac:dyDescent="0.25">
      <c r="B13" s="180" t="s">
        <v>174</v>
      </c>
      <c r="C13" s="193">
        <v>0.29097803494714475</v>
      </c>
      <c r="D13" s="193">
        <v>0.16140692432332152</v>
      </c>
      <c r="E13" s="193">
        <v>0.2185109029350123</v>
      </c>
      <c r="F13" s="193">
        <v>0.11743005995866553</v>
      </c>
      <c r="G13" s="193">
        <v>9.1600213208849424E-2</v>
      </c>
      <c r="H13" s="193">
        <v>5.5654467403561593E-2</v>
      </c>
      <c r="I13" s="193">
        <v>3.3149658972441862E-2</v>
      </c>
      <c r="J13" s="193">
        <v>2.448877232522793E-2</v>
      </c>
      <c r="K13" s="193">
        <v>4.3558004200981847E-2</v>
      </c>
      <c r="L13" s="193">
        <v>2.9987996398442147E-2</v>
      </c>
      <c r="M13" s="193">
        <v>0.14816610718894233</v>
      </c>
      <c r="N13" s="193">
        <v>8.4192985728520423E-2</v>
      </c>
      <c r="O13" s="193">
        <v>9.7876442414917997E-2</v>
      </c>
      <c r="P13" s="193">
        <v>6.3968736113195424E-2</v>
      </c>
      <c r="Q13" s="193">
        <v>5.7423337973109036E-2</v>
      </c>
      <c r="R13" s="193">
        <v>4.1218441212515791E-2</v>
      </c>
      <c r="S13" s="193">
        <v>0.11261002664867596</v>
      </c>
      <c r="T13" s="193">
        <v>6.2410732329866693E-2</v>
      </c>
      <c r="U13" s="193">
        <v>0.12399394118160384</v>
      </c>
      <c r="V13" s="193">
        <v>6.8506783006729577E-2</v>
      </c>
      <c r="W13" s="193">
        <v>3.8702710369931372E-2</v>
      </c>
      <c r="X13" s="193">
        <v>2.827436902910915E-2</v>
      </c>
      <c r="Y13" s="193">
        <v>0</v>
      </c>
      <c r="Z13" s="193">
        <v>0</v>
      </c>
      <c r="AA13" s="193">
        <v>5.2887046655790922E-2</v>
      </c>
      <c r="AB13" s="193">
        <v>3.7405078719215758E-2</v>
      </c>
      <c r="AC13" s="191" t="s">
        <v>170</v>
      </c>
      <c r="AD13" s="192" t="s">
        <v>170</v>
      </c>
    </row>
    <row r="14" spans="2:30" outlineLevel="1" x14ac:dyDescent="0.25">
      <c r="B14" s="180" t="s">
        <v>175</v>
      </c>
      <c r="C14" s="193">
        <v>8.4668216821701794E-2</v>
      </c>
      <c r="D14" s="193">
        <v>2.6052195219514438E-2</v>
      </c>
      <c r="E14" s="193">
        <v>4.7747014701474369E-2</v>
      </c>
      <c r="F14" s="193">
        <v>1.3789818981895779E-2</v>
      </c>
      <c r="G14" s="193">
        <v>8.3905990599066737E-3</v>
      </c>
      <c r="H14" s="193">
        <v>3.0974197419740999E-3</v>
      </c>
      <c r="I14" s="193">
        <v>1.0988998899891954E-3</v>
      </c>
      <c r="J14" s="193">
        <v>5.9969996999684942E-4</v>
      </c>
      <c r="K14" s="193">
        <v>1.8972997299727525E-3</v>
      </c>
      <c r="L14" s="193">
        <v>8.9927992799297913E-4</v>
      </c>
      <c r="M14" s="193">
        <v>2.1953195319525148E-2</v>
      </c>
      <c r="N14" s="193">
        <v>7.0884588458828427E-3</v>
      </c>
      <c r="O14" s="193">
        <v>9.5797979798007589E-3</v>
      </c>
      <c r="P14" s="193">
        <v>4.0919991999196327E-3</v>
      </c>
      <c r="Q14" s="193">
        <v>3.2974397439739065E-3</v>
      </c>
      <c r="R14" s="193">
        <v>1.6989598959896203E-3</v>
      </c>
      <c r="S14" s="193">
        <v>1.2681018101815511E-2</v>
      </c>
      <c r="T14" s="193">
        <v>3.8950995099502673E-3</v>
      </c>
      <c r="U14" s="193">
        <v>1.5374497449747032E-2</v>
      </c>
      <c r="V14" s="193">
        <v>4.6931793179311315E-3</v>
      </c>
      <c r="W14" s="193">
        <v>1.4978997899787933E-3</v>
      </c>
      <c r="X14" s="193">
        <v>7.9943994399424669E-4</v>
      </c>
      <c r="Y14" s="193">
        <v>0</v>
      </c>
      <c r="Z14" s="193">
        <v>0</v>
      </c>
      <c r="AA14" s="193">
        <v>2.7970397039718061E-3</v>
      </c>
      <c r="AB14" s="193">
        <v>1.3991399139907275E-3</v>
      </c>
      <c r="AC14" s="191" t="s">
        <v>170</v>
      </c>
      <c r="AD14" s="192" t="s">
        <v>170</v>
      </c>
    </row>
    <row r="15" spans="2:30" outlineLevel="1" x14ac:dyDescent="0.25">
      <c r="B15" s="180" t="s">
        <v>176</v>
      </c>
      <c r="C15" s="193">
        <v>25.147368810489652</v>
      </c>
      <c r="D15" s="193">
        <v>30.673801200921584</v>
      </c>
      <c r="E15" s="193">
        <v>40.547117412817116</v>
      </c>
      <c r="F15" s="193">
        <v>47.971801392467704</v>
      </c>
      <c r="G15" s="193">
        <v>41.542814101805874</v>
      </c>
      <c r="H15" s="193">
        <v>48.070736070117867</v>
      </c>
      <c r="I15" s="193">
        <v>30.105878336472784</v>
      </c>
      <c r="J15" s="193">
        <v>40.794196895335595</v>
      </c>
      <c r="K15" s="193">
        <v>27.721869476162972</v>
      </c>
      <c r="L15" s="193">
        <v>33.293310652375602</v>
      </c>
      <c r="M15" s="193">
        <v>28.027634797051036</v>
      </c>
      <c r="N15" s="193">
        <v>29.877562070094267</v>
      </c>
      <c r="O15" s="193">
        <v>30.370250735008625</v>
      </c>
      <c r="P15" s="193">
        <v>26.996096147029863</v>
      </c>
      <c r="Q15" s="193">
        <v>46.92815183026655</v>
      </c>
      <c r="R15" s="193">
        <v>49.914567538441844</v>
      </c>
      <c r="S15" s="193">
        <v>39.177262872568356</v>
      </c>
      <c r="T15" s="193">
        <v>38.980305838738076</v>
      </c>
      <c r="U15" s="193">
        <v>32.826602191934164</v>
      </c>
      <c r="V15" s="193">
        <v>32.549402519323152</v>
      </c>
      <c r="W15" s="193">
        <v>25.765622881619571</v>
      </c>
      <c r="X15" s="193">
        <v>35.318196452621869</v>
      </c>
      <c r="Y15" s="191" t="s">
        <v>170</v>
      </c>
      <c r="Z15" s="191" t="s">
        <v>170</v>
      </c>
      <c r="AA15" s="193">
        <v>36.413239928870048</v>
      </c>
      <c r="AB15" s="193">
        <v>41.969302958441638</v>
      </c>
      <c r="AC15" s="191" t="s">
        <v>170</v>
      </c>
      <c r="AD15" s="192" t="s">
        <v>170</v>
      </c>
    </row>
    <row r="16" spans="2:30" outlineLevel="1" x14ac:dyDescent="0.25">
      <c r="B16" s="180" t="s">
        <v>177</v>
      </c>
      <c r="C16" s="193">
        <v>730.28998491752668</v>
      </c>
      <c r="D16" s="193">
        <v>1122.9466659990517</v>
      </c>
      <c r="E16" s="193">
        <v>1941.076237648902</v>
      </c>
      <c r="F16" s="193">
        <v>2643.5468057895168</v>
      </c>
      <c r="G16" s="193">
        <v>2194.5205969912572</v>
      </c>
      <c r="H16" s="193">
        <v>2945.9409730653774</v>
      </c>
      <c r="I16" s="193">
        <v>907.54481933783086</v>
      </c>
      <c r="J16" s="193">
        <v>1665.4990001013196</v>
      </c>
      <c r="K16" s="193">
        <v>857.43535353018967</v>
      </c>
      <c r="L16" s="193">
        <v>1109.6658673340562</v>
      </c>
      <c r="M16" s="193">
        <v>939.85890189111001</v>
      </c>
      <c r="N16" s="193">
        <v>1044.5875785137744</v>
      </c>
      <c r="O16" s="193">
        <v>1171.9210688043404</v>
      </c>
      <c r="P16" s="193">
        <v>885.55922036116544</v>
      </c>
      <c r="Q16" s="193">
        <v>2727.8568294927527</v>
      </c>
      <c r="R16" s="193">
        <v>3080.1802758954645</v>
      </c>
      <c r="S16" s="193">
        <v>1939.6388924188232</v>
      </c>
      <c r="T16" s="193">
        <v>1992.7673667878637</v>
      </c>
      <c r="U16" s="193">
        <v>1268.7708336240987</v>
      </c>
      <c r="V16" s="193">
        <v>1244.2590265096771</v>
      </c>
      <c r="W16" s="193">
        <v>664.99972238479245</v>
      </c>
      <c r="X16" s="193">
        <v>1248.6241254561101</v>
      </c>
      <c r="Y16" s="191" t="s">
        <v>170</v>
      </c>
      <c r="Z16" s="191" t="s">
        <v>170</v>
      </c>
      <c r="AA16" s="193">
        <v>1581.125192461411</v>
      </c>
      <c r="AB16" s="193">
        <v>1938.0242099716006</v>
      </c>
      <c r="AC16" s="191" t="s">
        <v>170</v>
      </c>
      <c r="AD16" s="192" t="s">
        <v>170</v>
      </c>
    </row>
    <row r="17" spans="2:30" outlineLevel="1" x14ac:dyDescent="0.25">
      <c r="B17" s="180" t="s">
        <v>178</v>
      </c>
      <c r="C17" s="195">
        <v>0</v>
      </c>
      <c r="D17" s="195">
        <v>0</v>
      </c>
      <c r="E17" s="195">
        <v>0</v>
      </c>
      <c r="F17" s="195">
        <v>0</v>
      </c>
      <c r="G17" s="195">
        <v>0</v>
      </c>
      <c r="H17" s="195">
        <v>0</v>
      </c>
      <c r="I17" s="195">
        <v>0</v>
      </c>
      <c r="J17" s="195">
        <v>0</v>
      </c>
      <c r="K17" s="195">
        <v>0</v>
      </c>
      <c r="L17" s="195">
        <v>0</v>
      </c>
      <c r="M17" s="195">
        <v>0</v>
      </c>
      <c r="N17" s="195">
        <v>0</v>
      </c>
      <c r="O17" s="195">
        <v>0</v>
      </c>
      <c r="P17" s="195">
        <v>0</v>
      </c>
      <c r="Q17" s="195">
        <v>0</v>
      </c>
      <c r="R17" s="195">
        <v>0</v>
      </c>
      <c r="S17" s="195">
        <v>0</v>
      </c>
      <c r="T17" s="195">
        <v>0</v>
      </c>
      <c r="U17" s="195">
        <v>0</v>
      </c>
      <c r="V17" s="195">
        <v>0</v>
      </c>
      <c r="W17" s="195">
        <v>0</v>
      </c>
      <c r="X17" s="195">
        <v>0</v>
      </c>
      <c r="Y17" s="195">
        <v>0</v>
      </c>
      <c r="Z17" s="195">
        <v>0</v>
      </c>
      <c r="AA17" s="195">
        <v>0</v>
      </c>
      <c r="AB17" s="195">
        <v>0</v>
      </c>
      <c r="AC17" s="195">
        <v>10000</v>
      </c>
      <c r="AD17" s="196">
        <v>10000</v>
      </c>
    </row>
    <row r="18" spans="2:30" x14ac:dyDescent="0.25">
      <c r="B18" s="179" t="s">
        <v>179</v>
      </c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8"/>
    </row>
    <row r="19" spans="2:30" outlineLevel="1" x14ac:dyDescent="0.25">
      <c r="B19" s="181">
        <v>0.01</v>
      </c>
      <c r="C19" s="193">
        <v>0</v>
      </c>
      <c r="D19" s="193">
        <v>0</v>
      </c>
      <c r="E19" s="193">
        <v>0</v>
      </c>
      <c r="F19" s="193">
        <v>0</v>
      </c>
      <c r="G19" s="193">
        <v>0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93">
        <v>0</v>
      </c>
      <c r="AB19" s="193">
        <v>0</v>
      </c>
      <c r="AC19" s="191" t="s">
        <v>170</v>
      </c>
      <c r="AD19" s="192" t="s">
        <v>170</v>
      </c>
    </row>
    <row r="20" spans="2:30" outlineLevel="1" x14ac:dyDescent="0.25">
      <c r="B20" s="181">
        <v>2.5000000000000001E-2</v>
      </c>
      <c r="C20" s="193">
        <v>0</v>
      </c>
      <c r="D20" s="193">
        <v>0</v>
      </c>
      <c r="E20" s="193">
        <v>0</v>
      </c>
      <c r="F20" s="193">
        <v>0</v>
      </c>
      <c r="G20" s="193">
        <v>0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93">
        <v>0</v>
      </c>
      <c r="AB20" s="193">
        <v>0</v>
      </c>
      <c r="AC20" s="191" t="s">
        <v>170</v>
      </c>
      <c r="AD20" s="192" t="s">
        <v>170</v>
      </c>
    </row>
    <row r="21" spans="2:30" outlineLevel="1" x14ac:dyDescent="0.25">
      <c r="B21" s="181">
        <v>0.05</v>
      </c>
      <c r="C21" s="193">
        <v>0</v>
      </c>
      <c r="D21" s="193">
        <v>0</v>
      </c>
      <c r="E21" s="193">
        <v>0</v>
      </c>
      <c r="F21" s="193">
        <v>0</v>
      </c>
      <c r="G21" s="193">
        <v>0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0</v>
      </c>
      <c r="X21" s="193">
        <v>0</v>
      </c>
      <c r="Y21" s="193">
        <v>0</v>
      </c>
      <c r="Z21" s="193">
        <v>0</v>
      </c>
      <c r="AA21" s="193">
        <v>0</v>
      </c>
      <c r="AB21" s="193">
        <v>0</v>
      </c>
      <c r="AC21" s="191" t="s">
        <v>170</v>
      </c>
      <c r="AD21" s="192" t="s">
        <v>170</v>
      </c>
    </row>
    <row r="22" spans="2:30" outlineLevel="1" x14ac:dyDescent="0.25">
      <c r="B22" s="181">
        <v>0.1</v>
      </c>
      <c r="C22" s="193">
        <v>0</v>
      </c>
      <c r="D22" s="193">
        <v>0</v>
      </c>
      <c r="E22" s="193">
        <v>0</v>
      </c>
      <c r="F22" s="193">
        <v>0</v>
      </c>
      <c r="G22" s="193">
        <v>0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0</v>
      </c>
      <c r="AB22" s="193">
        <v>0</v>
      </c>
      <c r="AC22" s="191" t="s">
        <v>170</v>
      </c>
      <c r="AD22" s="192" t="s">
        <v>170</v>
      </c>
    </row>
    <row r="23" spans="2:30" outlineLevel="1" x14ac:dyDescent="0.25">
      <c r="B23" s="181">
        <v>0.2</v>
      </c>
      <c r="C23" s="193">
        <v>0</v>
      </c>
      <c r="D23" s="193">
        <v>0</v>
      </c>
      <c r="E23" s="193">
        <v>0</v>
      </c>
      <c r="F23" s="193">
        <v>0</v>
      </c>
      <c r="G23" s="193">
        <v>0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0</v>
      </c>
      <c r="X23" s="193">
        <v>0</v>
      </c>
      <c r="Y23" s="193">
        <v>0</v>
      </c>
      <c r="Z23" s="193">
        <v>0</v>
      </c>
      <c r="AA23" s="193">
        <v>0</v>
      </c>
      <c r="AB23" s="193">
        <v>0</v>
      </c>
      <c r="AC23" s="191" t="s">
        <v>170</v>
      </c>
      <c r="AD23" s="192" t="s">
        <v>170</v>
      </c>
    </row>
    <row r="24" spans="2:30" outlineLevel="1" x14ac:dyDescent="0.25">
      <c r="B24" s="181">
        <v>0.25</v>
      </c>
      <c r="C24" s="193">
        <v>0</v>
      </c>
      <c r="D24" s="193">
        <v>0</v>
      </c>
      <c r="E24" s="193">
        <v>0</v>
      </c>
      <c r="F24" s="193">
        <v>0</v>
      </c>
      <c r="G24" s="193">
        <v>0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0</v>
      </c>
      <c r="X24" s="193">
        <v>0</v>
      </c>
      <c r="Y24" s="193">
        <v>0</v>
      </c>
      <c r="Z24" s="193">
        <v>0</v>
      </c>
      <c r="AA24" s="193">
        <v>0</v>
      </c>
      <c r="AB24" s="193">
        <v>0</v>
      </c>
      <c r="AC24" s="191" t="s">
        <v>170</v>
      </c>
      <c r="AD24" s="192" t="s">
        <v>170</v>
      </c>
    </row>
    <row r="25" spans="2:30" outlineLevel="1" x14ac:dyDescent="0.25">
      <c r="B25" s="181">
        <v>0.3</v>
      </c>
      <c r="C25" s="193">
        <v>0</v>
      </c>
      <c r="D25" s="193">
        <v>0</v>
      </c>
      <c r="E25" s="193">
        <v>0</v>
      </c>
      <c r="F25" s="193">
        <v>0</v>
      </c>
      <c r="G25" s="193">
        <v>0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0</v>
      </c>
      <c r="AB25" s="193">
        <v>0</v>
      </c>
      <c r="AC25" s="191" t="s">
        <v>170</v>
      </c>
      <c r="AD25" s="192" t="s">
        <v>170</v>
      </c>
    </row>
    <row r="26" spans="2:30" outlineLevel="1" x14ac:dyDescent="0.25">
      <c r="B26" s="181">
        <v>0.35</v>
      </c>
      <c r="C26" s="193">
        <v>0</v>
      </c>
      <c r="D26" s="193">
        <v>0</v>
      </c>
      <c r="E26" s="193">
        <v>0</v>
      </c>
      <c r="F26" s="193">
        <v>0</v>
      </c>
      <c r="G26" s="193">
        <v>0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0</v>
      </c>
      <c r="AB26" s="193">
        <v>0</v>
      </c>
      <c r="AC26" s="191" t="s">
        <v>170</v>
      </c>
      <c r="AD26" s="192" t="s">
        <v>170</v>
      </c>
    </row>
    <row r="27" spans="2:30" outlineLevel="1" x14ac:dyDescent="0.25">
      <c r="B27" s="181">
        <v>0.4</v>
      </c>
      <c r="C27" s="193">
        <v>0</v>
      </c>
      <c r="D27" s="193">
        <v>0</v>
      </c>
      <c r="E27" s="193">
        <v>0</v>
      </c>
      <c r="F27" s="193">
        <v>0</v>
      </c>
      <c r="G27" s="193">
        <v>0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1" t="s">
        <v>170</v>
      </c>
      <c r="AD27" s="192" t="s">
        <v>170</v>
      </c>
    </row>
    <row r="28" spans="2:30" outlineLevel="1" x14ac:dyDescent="0.25">
      <c r="B28" s="181">
        <v>0.45</v>
      </c>
      <c r="C28" s="193">
        <v>0</v>
      </c>
      <c r="D28" s="193">
        <v>0</v>
      </c>
      <c r="E28" s="193">
        <v>0</v>
      </c>
      <c r="F28" s="193">
        <v>0</v>
      </c>
      <c r="G28" s="193">
        <v>0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1" t="s">
        <v>170</v>
      </c>
      <c r="AD28" s="192" t="s">
        <v>170</v>
      </c>
    </row>
    <row r="29" spans="2:30" outlineLevel="1" x14ac:dyDescent="0.25">
      <c r="B29" s="181">
        <v>0.5</v>
      </c>
      <c r="C29" s="193">
        <v>0</v>
      </c>
      <c r="D29" s="193">
        <v>0</v>
      </c>
      <c r="E29" s="193">
        <v>0</v>
      </c>
      <c r="F29" s="193">
        <v>0</v>
      </c>
      <c r="G29" s="193">
        <v>0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1" t="s">
        <v>170</v>
      </c>
      <c r="AD29" s="192" t="s">
        <v>170</v>
      </c>
    </row>
    <row r="30" spans="2:30" outlineLevel="1" x14ac:dyDescent="0.25">
      <c r="B30" s="181">
        <v>0.55000000000000004</v>
      </c>
      <c r="C30" s="193">
        <v>0</v>
      </c>
      <c r="D30" s="193">
        <v>0</v>
      </c>
      <c r="E30" s="193">
        <v>0</v>
      </c>
      <c r="F30" s="193">
        <v>0</v>
      </c>
      <c r="G30" s="193">
        <v>0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1" t="s">
        <v>170</v>
      </c>
      <c r="AD30" s="192" t="s">
        <v>170</v>
      </c>
    </row>
    <row r="31" spans="2:30" outlineLevel="1" x14ac:dyDescent="0.25">
      <c r="B31" s="181">
        <v>0.6</v>
      </c>
      <c r="C31" s="193">
        <v>0</v>
      </c>
      <c r="D31" s="193">
        <v>0</v>
      </c>
      <c r="E31" s="193">
        <v>0</v>
      </c>
      <c r="F31" s="193">
        <v>0</v>
      </c>
      <c r="G31" s="193">
        <v>0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1" t="s">
        <v>170</v>
      </c>
      <c r="AD31" s="192" t="s">
        <v>170</v>
      </c>
    </row>
    <row r="32" spans="2:30" outlineLevel="1" x14ac:dyDescent="0.25">
      <c r="B32" s="181">
        <v>0.65</v>
      </c>
      <c r="C32" s="193">
        <v>0</v>
      </c>
      <c r="D32" s="193">
        <v>0</v>
      </c>
      <c r="E32" s="193">
        <v>0</v>
      </c>
      <c r="F32" s="193">
        <v>0</v>
      </c>
      <c r="G32" s="193">
        <v>0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1" t="s">
        <v>170</v>
      </c>
      <c r="AD32" s="192" t="s">
        <v>170</v>
      </c>
    </row>
    <row r="33" spans="2:30" outlineLevel="1" x14ac:dyDescent="0.25">
      <c r="B33" s="181">
        <v>0.7</v>
      </c>
      <c r="C33" s="193">
        <v>0</v>
      </c>
      <c r="D33" s="193">
        <v>0</v>
      </c>
      <c r="E33" s="193">
        <v>0</v>
      </c>
      <c r="F33" s="193">
        <v>0</v>
      </c>
      <c r="G33" s="193">
        <v>0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1" t="s">
        <v>170</v>
      </c>
      <c r="AD33" s="192" t="s">
        <v>170</v>
      </c>
    </row>
    <row r="34" spans="2:30" outlineLevel="1" x14ac:dyDescent="0.25">
      <c r="B34" s="181">
        <v>0.75</v>
      </c>
      <c r="C34" s="193">
        <v>0</v>
      </c>
      <c r="D34" s="193">
        <v>0</v>
      </c>
      <c r="E34" s="193">
        <v>0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1" t="s">
        <v>170</v>
      </c>
      <c r="AD34" s="192" t="s">
        <v>170</v>
      </c>
    </row>
    <row r="35" spans="2:30" outlineLevel="1" x14ac:dyDescent="0.25">
      <c r="B35" s="181">
        <v>0.8</v>
      </c>
      <c r="C35" s="193">
        <v>0</v>
      </c>
      <c r="D35" s="193">
        <v>0</v>
      </c>
      <c r="E35" s="193">
        <v>0</v>
      </c>
      <c r="F35" s="193">
        <v>0</v>
      </c>
      <c r="G35" s="193">
        <v>0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0</v>
      </c>
      <c r="Y35" s="193">
        <v>0</v>
      </c>
      <c r="Z35" s="193">
        <v>0</v>
      </c>
      <c r="AA35" s="193">
        <v>0</v>
      </c>
      <c r="AB35" s="193">
        <v>0</v>
      </c>
      <c r="AC35" s="191" t="s">
        <v>170</v>
      </c>
      <c r="AD35" s="192" t="s">
        <v>170</v>
      </c>
    </row>
    <row r="36" spans="2:30" outlineLevel="1" x14ac:dyDescent="0.25">
      <c r="B36" s="181">
        <v>0.9</v>
      </c>
      <c r="C36" s="193">
        <v>0</v>
      </c>
      <c r="D36" s="193">
        <v>0</v>
      </c>
      <c r="E36" s="193">
        <v>0</v>
      </c>
      <c r="F36" s="193">
        <v>0</v>
      </c>
      <c r="G36" s="193">
        <v>0</v>
      </c>
      <c r="H36" s="193">
        <v>0</v>
      </c>
      <c r="I36" s="193">
        <v>0</v>
      </c>
      <c r="J36" s="193">
        <v>0</v>
      </c>
      <c r="K36" s="193">
        <v>0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0</v>
      </c>
      <c r="X36" s="193">
        <v>0</v>
      </c>
      <c r="Y36" s="193">
        <v>0</v>
      </c>
      <c r="Z36" s="193">
        <v>0</v>
      </c>
      <c r="AA36" s="193">
        <v>0</v>
      </c>
      <c r="AB36" s="193">
        <v>0</v>
      </c>
      <c r="AC36" s="191" t="s">
        <v>170</v>
      </c>
      <c r="AD36" s="192" t="s">
        <v>170</v>
      </c>
    </row>
    <row r="37" spans="2:30" outlineLevel="1" x14ac:dyDescent="0.25">
      <c r="B37" s="181">
        <v>0.95</v>
      </c>
      <c r="C37" s="193">
        <v>0</v>
      </c>
      <c r="D37" s="193">
        <v>0</v>
      </c>
      <c r="E37" s="193">
        <v>0</v>
      </c>
      <c r="F37" s="193">
        <v>0</v>
      </c>
      <c r="G37" s="193">
        <v>0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0</v>
      </c>
      <c r="X37" s="193">
        <v>0</v>
      </c>
      <c r="Y37" s="193">
        <v>0</v>
      </c>
      <c r="Z37" s="193">
        <v>0</v>
      </c>
      <c r="AA37" s="193">
        <v>0</v>
      </c>
      <c r="AB37" s="193">
        <v>0</v>
      </c>
      <c r="AC37" s="191" t="s">
        <v>170</v>
      </c>
      <c r="AD37" s="192" t="s">
        <v>170</v>
      </c>
    </row>
    <row r="38" spans="2:30" outlineLevel="1" x14ac:dyDescent="0.25">
      <c r="B38" s="181">
        <v>0.97499999999999998</v>
      </c>
      <c r="C38" s="193">
        <v>0</v>
      </c>
      <c r="D38" s="193">
        <v>0</v>
      </c>
      <c r="E38" s="193">
        <v>0</v>
      </c>
      <c r="F38" s="193">
        <v>0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0</v>
      </c>
      <c r="AA38" s="193">
        <v>0</v>
      </c>
      <c r="AB38" s="193">
        <v>0</v>
      </c>
      <c r="AC38" s="191" t="s">
        <v>170</v>
      </c>
      <c r="AD38" s="192" t="s">
        <v>170</v>
      </c>
    </row>
    <row r="39" spans="2:30" outlineLevel="1" x14ac:dyDescent="0.25">
      <c r="B39" s="181">
        <v>0.99</v>
      </c>
      <c r="C39" s="193">
        <v>0</v>
      </c>
      <c r="D39" s="193">
        <v>0</v>
      </c>
      <c r="E39" s="193">
        <v>0</v>
      </c>
      <c r="F39" s="193">
        <v>0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1" t="s">
        <v>170</v>
      </c>
      <c r="AD39" s="192" t="s">
        <v>170</v>
      </c>
    </row>
    <row r="40" spans="2:30" outlineLevel="1" x14ac:dyDescent="0.25">
      <c r="B40" s="181">
        <v>0.995</v>
      </c>
      <c r="C40" s="193">
        <v>0</v>
      </c>
      <c r="D40" s="193">
        <v>0</v>
      </c>
      <c r="E40" s="193">
        <v>0</v>
      </c>
      <c r="F40" s="193">
        <v>0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1" t="s">
        <v>170</v>
      </c>
      <c r="AD40" s="192" t="s">
        <v>170</v>
      </c>
    </row>
    <row r="41" spans="2:30" outlineLevel="1" x14ac:dyDescent="0.25">
      <c r="B41" s="181">
        <v>0.999</v>
      </c>
      <c r="C41" s="193">
        <v>4</v>
      </c>
      <c r="D41" s="193">
        <v>3</v>
      </c>
      <c r="E41" s="193">
        <v>2</v>
      </c>
      <c r="F41" s="193">
        <v>1</v>
      </c>
      <c r="G41" s="193">
        <v>1</v>
      </c>
      <c r="H41" s="193">
        <v>1</v>
      </c>
      <c r="I41" s="193">
        <v>1</v>
      </c>
      <c r="J41" s="193">
        <v>0</v>
      </c>
      <c r="K41" s="193">
        <v>1</v>
      </c>
      <c r="L41" s="193">
        <v>0</v>
      </c>
      <c r="M41" s="193">
        <v>3</v>
      </c>
      <c r="N41" s="193">
        <v>1</v>
      </c>
      <c r="O41" s="193">
        <v>1</v>
      </c>
      <c r="P41" s="193">
        <v>1</v>
      </c>
      <c r="Q41" s="193">
        <v>1</v>
      </c>
      <c r="R41" s="193">
        <v>0</v>
      </c>
      <c r="S41" s="193">
        <v>1</v>
      </c>
      <c r="T41" s="193">
        <v>1</v>
      </c>
      <c r="U41" s="193">
        <v>2</v>
      </c>
      <c r="V41" s="193">
        <v>1</v>
      </c>
      <c r="W41" s="193">
        <v>1</v>
      </c>
      <c r="X41" s="193">
        <v>0</v>
      </c>
      <c r="Y41" s="193">
        <v>0</v>
      </c>
      <c r="Z41" s="193">
        <v>0</v>
      </c>
      <c r="AA41" s="193">
        <v>1</v>
      </c>
      <c r="AB41" s="193">
        <v>0</v>
      </c>
      <c r="AC41" s="191" t="s">
        <v>170</v>
      </c>
      <c r="AD41" s="192" t="s">
        <v>170</v>
      </c>
    </row>
    <row r="42" spans="2:30" x14ac:dyDescent="0.25">
      <c r="B42" s="179" t="s">
        <v>180</v>
      </c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8"/>
    </row>
    <row r="43" spans="2:30" outlineLevel="1" x14ac:dyDescent="0.25">
      <c r="B43" s="180" t="s">
        <v>169</v>
      </c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2"/>
    </row>
    <row r="44" spans="2:30" outlineLevel="1" x14ac:dyDescent="0.25">
      <c r="B44" s="180" t="s">
        <v>171</v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2"/>
    </row>
    <row r="45" spans="2:30" outlineLevel="1" x14ac:dyDescent="0.25">
      <c r="B45" s="180" t="s">
        <v>181</v>
      </c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2"/>
    </row>
    <row r="46" spans="2:30" ht="15.75" outlineLevel="1" thickBot="1" x14ac:dyDescent="0.3">
      <c r="B46" s="186" t="s">
        <v>182</v>
      </c>
      <c r="C46" s="197">
        <v>0</v>
      </c>
      <c r="D46" s="197">
        <v>0</v>
      </c>
      <c r="E46" s="197">
        <v>0</v>
      </c>
      <c r="F46" s="197">
        <v>0</v>
      </c>
      <c r="G46" s="197">
        <v>0</v>
      </c>
      <c r="H46" s="197">
        <v>0</v>
      </c>
      <c r="I46" s="197">
        <v>0</v>
      </c>
      <c r="J46" s="197">
        <v>0</v>
      </c>
      <c r="K46" s="197">
        <v>0</v>
      </c>
      <c r="L46" s="197">
        <v>0</v>
      </c>
      <c r="M46" s="197">
        <v>0</v>
      </c>
      <c r="N46" s="197">
        <v>0</v>
      </c>
      <c r="O46" s="197">
        <v>0</v>
      </c>
      <c r="P46" s="197">
        <v>0</v>
      </c>
      <c r="Q46" s="197">
        <v>0</v>
      </c>
      <c r="R46" s="197">
        <v>0</v>
      </c>
      <c r="S46" s="197">
        <v>0</v>
      </c>
      <c r="T46" s="197">
        <v>0</v>
      </c>
      <c r="U46" s="197">
        <v>0</v>
      </c>
      <c r="V46" s="197">
        <v>0</v>
      </c>
      <c r="W46" s="197">
        <v>0</v>
      </c>
      <c r="X46" s="197">
        <v>0</v>
      </c>
      <c r="Y46" s="197">
        <v>0</v>
      </c>
      <c r="Z46" s="197">
        <v>0</v>
      </c>
      <c r="AA46" s="197">
        <v>0</v>
      </c>
      <c r="AB46" s="197">
        <v>0</v>
      </c>
      <c r="AC46" s="197">
        <v>0</v>
      </c>
      <c r="AD46" s="198">
        <v>0</v>
      </c>
    </row>
  </sheetData>
  <mergeCells count="4">
    <mergeCell ref="B4:AD4"/>
    <mergeCell ref="B7:AD7"/>
    <mergeCell ref="B18:AD18"/>
    <mergeCell ref="B42:AD42"/>
  </mergeCells>
  <pageMargins left="0.7" right="0.7" top="0.75" bottom="0.75" header="0.3" footer="0.3"/>
  <pageSetup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927E-1355-4CC7-B61E-1575E00FC041}">
  <sheetPr>
    <outlinePr summaryBelow="0" summaryRight="0"/>
  </sheetPr>
  <dimension ref="B1:AD46"/>
  <sheetViews>
    <sheetView showGridLines="0" workbookViewId="0">
      <selection activeCell="L27" sqref="L27"/>
    </sheetView>
  </sheetViews>
  <sheetFormatPr defaultRowHeight="15" outlineLevelRow="1" x14ac:dyDescent="0.25"/>
  <cols>
    <col min="1" max="1" width="0.28515625" customWidth="1"/>
    <col min="2" max="30" width="14.28515625" customWidth="1"/>
  </cols>
  <sheetData>
    <row r="1" spans="2:30" s="199" customFormat="1" ht="65.650000000000006" customHeight="1" x14ac:dyDescent="0.25"/>
    <row r="2" spans="2:30" ht="15.75" thickBot="1" x14ac:dyDescent="0.3"/>
    <row r="3" spans="2:30" ht="84.75" x14ac:dyDescent="0.25">
      <c r="B3" s="182" t="s">
        <v>135</v>
      </c>
      <c r="C3" s="183" t="s">
        <v>136</v>
      </c>
      <c r="D3" s="184" t="s">
        <v>137</v>
      </c>
      <c r="E3" s="184" t="s">
        <v>138</v>
      </c>
      <c r="F3" s="184" t="s">
        <v>139</v>
      </c>
      <c r="G3" s="184" t="s">
        <v>140</v>
      </c>
      <c r="H3" s="184" t="s">
        <v>141</v>
      </c>
      <c r="I3" s="184" t="s">
        <v>142</v>
      </c>
      <c r="J3" s="184" t="s">
        <v>143</v>
      </c>
      <c r="K3" s="184" t="s">
        <v>144</v>
      </c>
      <c r="L3" s="184" t="s">
        <v>145</v>
      </c>
      <c r="M3" s="184" t="s">
        <v>146</v>
      </c>
      <c r="N3" s="184" t="s">
        <v>147</v>
      </c>
      <c r="O3" s="184" t="s">
        <v>148</v>
      </c>
      <c r="P3" s="184" t="s">
        <v>149</v>
      </c>
      <c r="Q3" s="184" t="s">
        <v>150</v>
      </c>
      <c r="R3" s="184" t="s">
        <v>151</v>
      </c>
      <c r="S3" s="184" t="s">
        <v>152</v>
      </c>
      <c r="T3" s="184" t="s">
        <v>153</v>
      </c>
      <c r="U3" s="184" t="s">
        <v>154</v>
      </c>
      <c r="V3" s="184" t="s">
        <v>155</v>
      </c>
      <c r="W3" s="184" t="s">
        <v>156</v>
      </c>
      <c r="X3" s="184" t="s">
        <v>157</v>
      </c>
      <c r="Y3" s="184" t="s">
        <v>158</v>
      </c>
      <c r="Z3" s="184" t="s">
        <v>159</v>
      </c>
      <c r="AA3" s="184" t="s">
        <v>160</v>
      </c>
      <c r="AB3" s="184" t="s">
        <v>161</v>
      </c>
      <c r="AC3" s="184" t="s">
        <v>162</v>
      </c>
      <c r="AD3" s="185" t="s">
        <v>163</v>
      </c>
    </row>
    <row r="4" spans="2:30" x14ac:dyDescent="0.25">
      <c r="B4" s="179" t="s">
        <v>164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8"/>
    </row>
    <row r="5" spans="2:30" ht="37.5" customHeight="1" outlineLevel="1" x14ac:dyDescent="0.25">
      <c r="B5" s="180" t="s">
        <v>165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90"/>
    </row>
    <row r="6" spans="2:30" outlineLevel="1" x14ac:dyDescent="0.25">
      <c r="B6" s="180" t="s">
        <v>166</v>
      </c>
      <c r="C6" s="191" t="s">
        <v>167</v>
      </c>
      <c r="D6" s="191" t="s">
        <v>167</v>
      </c>
      <c r="E6" s="191" t="s">
        <v>167</v>
      </c>
      <c r="F6" s="191" t="s">
        <v>167</v>
      </c>
      <c r="G6" s="191" t="s">
        <v>167</v>
      </c>
      <c r="H6" s="191" t="s">
        <v>167</v>
      </c>
      <c r="I6" s="191" t="s">
        <v>167</v>
      </c>
      <c r="J6" s="191" t="s">
        <v>167</v>
      </c>
      <c r="K6" s="191" t="s">
        <v>167</v>
      </c>
      <c r="L6" s="191" t="s">
        <v>167</v>
      </c>
      <c r="M6" s="191" t="s">
        <v>167</v>
      </c>
      <c r="N6" s="191" t="s">
        <v>167</v>
      </c>
      <c r="O6" s="191" t="s">
        <v>167</v>
      </c>
      <c r="P6" s="191" t="s">
        <v>167</v>
      </c>
      <c r="Q6" s="191" t="s">
        <v>167</v>
      </c>
      <c r="R6" s="191" t="s">
        <v>167</v>
      </c>
      <c r="S6" s="191" t="s">
        <v>167</v>
      </c>
      <c r="T6" s="191" t="s">
        <v>167</v>
      </c>
      <c r="U6" s="191" t="s">
        <v>167</v>
      </c>
      <c r="V6" s="191" t="s">
        <v>167</v>
      </c>
      <c r="W6" s="191" t="s">
        <v>167</v>
      </c>
      <c r="X6" s="191" t="s">
        <v>167</v>
      </c>
      <c r="Y6" s="191" t="s">
        <v>167</v>
      </c>
      <c r="Z6" s="191" t="s">
        <v>167</v>
      </c>
      <c r="AA6" s="191" t="s">
        <v>167</v>
      </c>
      <c r="AB6" s="191" t="s">
        <v>167</v>
      </c>
      <c r="AC6" s="191" t="s">
        <v>167</v>
      </c>
      <c r="AD6" s="192" t="s">
        <v>167</v>
      </c>
    </row>
    <row r="7" spans="2:30" x14ac:dyDescent="0.25">
      <c r="B7" s="179" t="s">
        <v>168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8"/>
    </row>
    <row r="8" spans="2:30" outlineLevel="1" x14ac:dyDescent="0.25">
      <c r="B8" s="180" t="s">
        <v>169</v>
      </c>
      <c r="C8" s="193">
        <v>0</v>
      </c>
      <c r="D8" s="193">
        <v>0</v>
      </c>
      <c r="E8" s="193">
        <v>0</v>
      </c>
      <c r="F8" s="193">
        <v>0</v>
      </c>
      <c r="G8" s="193">
        <v>0</v>
      </c>
      <c r="H8" s="193">
        <v>0</v>
      </c>
      <c r="I8" s="193">
        <v>0</v>
      </c>
      <c r="J8" s="193">
        <v>0</v>
      </c>
      <c r="K8" s="193">
        <v>0</v>
      </c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  <c r="U8" s="193">
        <v>0</v>
      </c>
      <c r="V8" s="193">
        <v>0</v>
      </c>
      <c r="W8" s="193">
        <v>0</v>
      </c>
      <c r="X8" s="193">
        <v>0</v>
      </c>
      <c r="Y8" s="193">
        <v>0</v>
      </c>
      <c r="Z8" s="193">
        <v>0</v>
      </c>
      <c r="AA8" s="193">
        <v>0</v>
      </c>
      <c r="AB8" s="193">
        <v>0</v>
      </c>
      <c r="AC8" s="191" t="s">
        <v>170</v>
      </c>
      <c r="AD8" s="192" t="s">
        <v>170</v>
      </c>
    </row>
    <row r="9" spans="2:30" outlineLevel="1" x14ac:dyDescent="0.25">
      <c r="B9" s="180" t="s">
        <v>171</v>
      </c>
      <c r="C9" s="193">
        <v>2</v>
      </c>
      <c r="D9" s="193">
        <v>1</v>
      </c>
      <c r="E9" s="193">
        <v>3</v>
      </c>
      <c r="F9" s="193">
        <v>2</v>
      </c>
      <c r="G9" s="193">
        <v>1</v>
      </c>
      <c r="H9" s="193">
        <v>0</v>
      </c>
      <c r="I9" s="193">
        <v>0</v>
      </c>
      <c r="J9" s="193">
        <v>0</v>
      </c>
      <c r="K9" s="193">
        <v>1</v>
      </c>
      <c r="L9" s="193">
        <v>1</v>
      </c>
      <c r="M9" s="193">
        <v>1</v>
      </c>
      <c r="N9" s="193">
        <v>1</v>
      </c>
      <c r="O9" s="193">
        <v>1</v>
      </c>
      <c r="P9" s="193">
        <v>1</v>
      </c>
      <c r="Q9" s="193">
        <v>1</v>
      </c>
      <c r="R9" s="193">
        <v>1</v>
      </c>
      <c r="S9" s="193">
        <v>1</v>
      </c>
      <c r="T9" s="193">
        <v>1</v>
      </c>
      <c r="U9" s="193">
        <v>1</v>
      </c>
      <c r="V9" s="193">
        <v>1</v>
      </c>
      <c r="W9" s="193">
        <v>1</v>
      </c>
      <c r="X9" s="193">
        <v>1</v>
      </c>
      <c r="Y9" s="193">
        <v>0</v>
      </c>
      <c r="Z9" s="193">
        <v>0</v>
      </c>
      <c r="AA9" s="193">
        <v>2</v>
      </c>
      <c r="AB9" s="193">
        <v>1</v>
      </c>
      <c r="AC9" s="191" t="s">
        <v>170</v>
      </c>
      <c r="AD9" s="192" t="s">
        <v>170</v>
      </c>
    </row>
    <row r="10" spans="2:30" outlineLevel="1" x14ac:dyDescent="0.25">
      <c r="B10" s="180" t="s">
        <v>172</v>
      </c>
      <c r="C10" s="194">
        <v>1.1000000000000001E-3</v>
      </c>
      <c r="D10" s="200">
        <v>2.9999999999999997E-4</v>
      </c>
      <c r="E10" s="194">
        <v>1.1000000000000001E-3</v>
      </c>
      <c r="F10" s="200">
        <v>5.0000000000000001E-4</v>
      </c>
      <c r="G10" s="200">
        <v>4.0000000000000002E-4</v>
      </c>
      <c r="H10" s="193">
        <v>0</v>
      </c>
      <c r="I10" s="193">
        <v>0</v>
      </c>
      <c r="J10" s="193">
        <v>0</v>
      </c>
      <c r="K10" s="200">
        <v>1E-4</v>
      </c>
      <c r="L10" s="200">
        <v>1E-4</v>
      </c>
      <c r="M10" s="200">
        <v>5.0000000000000001E-4</v>
      </c>
      <c r="N10" s="200">
        <v>2.0000000000000001E-4</v>
      </c>
      <c r="O10" s="200">
        <v>5.9999999999999995E-4</v>
      </c>
      <c r="P10" s="200">
        <v>4.0000000000000002E-4</v>
      </c>
      <c r="Q10" s="200">
        <v>2.0000000000000001E-4</v>
      </c>
      <c r="R10" s="200">
        <v>1E-4</v>
      </c>
      <c r="S10" s="200">
        <v>4.0000000000000002E-4</v>
      </c>
      <c r="T10" s="200">
        <v>1E-4</v>
      </c>
      <c r="U10" s="200">
        <v>6.9999999999999999E-4</v>
      </c>
      <c r="V10" s="200">
        <v>2.0000000000000001E-4</v>
      </c>
      <c r="W10" s="200">
        <v>1E-4</v>
      </c>
      <c r="X10" s="200">
        <v>1E-4</v>
      </c>
      <c r="Y10" s="193">
        <v>0</v>
      </c>
      <c r="Z10" s="193">
        <v>0</v>
      </c>
      <c r="AA10" s="200">
        <v>2.0000000000000001E-4</v>
      </c>
      <c r="AB10" s="200">
        <v>1E-4</v>
      </c>
      <c r="AC10" s="191" t="s">
        <v>170</v>
      </c>
      <c r="AD10" s="192" t="s">
        <v>170</v>
      </c>
    </row>
    <row r="11" spans="2:30" outlineLevel="1" x14ac:dyDescent="0.25">
      <c r="B11" s="180" t="s">
        <v>173</v>
      </c>
      <c r="C11" s="193">
        <v>0</v>
      </c>
      <c r="D11" s="193">
        <v>0</v>
      </c>
      <c r="E11" s="193">
        <v>0</v>
      </c>
      <c r="F11" s="193">
        <v>0</v>
      </c>
      <c r="G11" s="193">
        <v>0</v>
      </c>
      <c r="H11" s="193">
        <v>0</v>
      </c>
      <c r="I11" s="193">
        <v>0</v>
      </c>
      <c r="J11" s="193">
        <v>0</v>
      </c>
      <c r="K11" s="193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  <c r="U11" s="193">
        <v>0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0</v>
      </c>
      <c r="AB11" s="193">
        <v>0</v>
      </c>
      <c r="AC11" s="191" t="s">
        <v>170</v>
      </c>
      <c r="AD11" s="192" t="s">
        <v>170</v>
      </c>
    </row>
    <row r="12" spans="2:30" outlineLevel="1" x14ac:dyDescent="0.25">
      <c r="B12" s="180" t="s">
        <v>8</v>
      </c>
      <c r="C12" s="193">
        <v>0</v>
      </c>
      <c r="D12" s="193">
        <v>0</v>
      </c>
      <c r="E12" s="193">
        <v>0</v>
      </c>
      <c r="F12" s="193">
        <v>0</v>
      </c>
      <c r="G12" s="193">
        <v>0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1" t="s">
        <v>170</v>
      </c>
      <c r="AD12" s="192" t="s">
        <v>170</v>
      </c>
    </row>
    <row r="13" spans="2:30" outlineLevel="1" x14ac:dyDescent="0.25">
      <c r="B13" s="180" t="s">
        <v>174</v>
      </c>
      <c r="C13" s="193">
        <v>3.6040531238999168E-2</v>
      </c>
      <c r="D13" s="193">
        <v>1.7318775765028098E-2</v>
      </c>
      <c r="E13" s="193">
        <v>4.7948095916214184E-2</v>
      </c>
      <c r="F13" s="193">
        <v>2.6454110871435382E-2</v>
      </c>
      <c r="G13" s="193">
        <v>1.999699947488931E-2</v>
      </c>
      <c r="H13" s="193">
        <v>0</v>
      </c>
      <c r="I13" s="193">
        <v>0</v>
      </c>
      <c r="J13" s="193">
        <v>0</v>
      </c>
      <c r="K13" s="193">
        <v>1.0000000000001346E-2</v>
      </c>
      <c r="L13" s="193">
        <v>1.0000000000001346E-2</v>
      </c>
      <c r="M13" s="193">
        <v>2.2356206744393481E-2</v>
      </c>
      <c r="N13" s="193">
        <v>1.4141428428549527E-2</v>
      </c>
      <c r="O13" s="193">
        <v>2.4488772325226182E-2</v>
      </c>
      <c r="P13" s="193">
        <v>1.9996999474889917E-2</v>
      </c>
      <c r="Q13" s="193">
        <v>1.4141428428549624E-2</v>
      </c>
      <c r="R13" s="193">
        <v>1.0000000000000437E-2</v>
      </c>
      <c r="S13" s="193">
        <v>1.9996999474889303E-2</v>
      </c>
      <c r="T13" s="193">
        <v>1.0000000000002335E-2</v>
      </c>
      <c r="U13" s="193">
        <v>2.644957387172267E-2</v>
      </c>
      <c r="V13" s="193">
        <v>1.4141428428549272E-2</v>
      </c>
      <c r="W13" s="193">
        <v>1.0000000000000505E-2</v>
      </c>
      <c r="X13" s="193">
        <v>1.0000000000000505E-2</v>
      </c>
      <c r="Y13" s="193">
        <v>0</v>
      </c>
      <c r="Z13" s="193">
        <v>0</v>
      </c>
      <c r="AA13" s="193">
        <v>2.0000000000004924E-2</v>
      </c>
      <c r="AB13" s="193">
        <v>1.0000000000002462E-2</v>
      </c>
      <c r="AC13" s="191" t="s">
        <v>170</v>
      </c>
      <c r="AD13" s="192" t="s">
        <v>170</v>
      </c>
    </row>
    <row r="14" spans="2:30" outlineLevel="1" x14ac:dyDescent="0.25">
      <c r="B14" s="180" t="s">
        <v>175</v>
      </c>
      <c r="C14" s="193">
        <v>1.2989198919892749E-3</v>
      </c>
      <c r="D14" s="193">
        <v>2.9993999399932457E-4</v>
      </c>
      <c r="E14" s="193">
        <v>2.2990199019904756E-3</v>
      </c>
      <c r="F14" s="193">
        <v>6.9981998199819572E-4</v>
      </c>
      <c r="G14" s="193">
        <v>3.9987998799872326E-4</v>
      </c>
      <c r="H14" s="193">
        <v>0</v>
      </c>
      <c r="I14" s="193">
        <v>0</v>
      </c>
      <c r="J14" s="193">
        <v>0</v>
      </c>
      <c r="K14" s="193">
        <v>1.0000000000002693E-4</v>
      </c>
      <c r="L14" s="193">
        <v>1.0000000000002693E-4</v>
      </c>
      <c r="M14" s="193">
        <v>4.9979997999806457E-4</v>
      </c>
      <c r="N14" s="193">
        <v>1.9997999799978872E-4</v>
      </c>
      <c r="O14" s="193">
        <v>5.9969996999676377E-4</v>
      </c>
      <c r="P14" s="193">
        <v>3.998799879987476E-4</v>
      </c>
      <c r="Q14" s="193">
        <v>1.9997999799979151E-4</v>
      </c>
      <c r="R14" s="193">
        <v>1.0000000000000875E-4</v>
      </c>
      <c r="S14" s="193">
        <v>3.9987998799872299E-4</v>
      </c>
      <c r="T14" s="193">
        <v>1.0000000000004669E-4</v>
      </c>
      <c r="U14" s="193">
        <v>6.9957995799571464E-4</v>
      </c>
      <c r="V14" s="193">
        <v>1.9997999799978151E-4</v>
      </c>
      <c r="W14" s="193">
        <v>1.0000000000001011E-4</v>
      </c>
      <c r="X14" s="193">
        <v>1.0000000000001011E-4</v>
      </c>
      <c r="Y14" s="193">
        <v>0</v>
      </c>
      <c r="Z14" s="193">
        <v>0</v>
      </c>
      <c r="AA14" s="193">
        <v>4.0000000000019691E-4</v>
      </c>
      <c r="AB14" s="193">
        <v>1.0000000000004923E-4</v>
      </c>
      <c r="AC14" s="191" t="s">
        <v>170</v>
      </c>
      <c r="AD14" s="192" t="s">
        <v>170</v>
      </c>
    </row>
    <row r="15" spans="2:30" outlineLevel="1" x14ac:dyDescent="0.25">
      <c r="B15" s="180" t="s">
        <v>176</v>
      </c>
      <c r="C15" s="193">
        <v>36.233393511774018</v>
      </c>
      <c r="D15" s="193">
        <v>57.717700924488923</v>
      </c>
      <c r="E15" s="193">
        <v>48.025279683516636</v>
      </c>
      <c r="F15" s="193">
        <v>59.378445422787365</v>
      </c>
      <c r="G15" s="193">
        <v>49.977491934794827</v>
      </c>
      <c r="H15" s="191" t="s">
        <v>170</v>
      </c>
      <c r="I15" s="191" t="s">
        <v>170</v>
      </c>
      <c r="J15" s="191" t="s">
        <v>170</v>
      </c>
      <c r="K15" s="193">
        <v>99.99999999997145</v>
      </c>
      <c r="L15" s="193">
        <v>99.99999999997145</v>
      </c>
      <c r="M15" s="193">
        <v>44.694515996935301</v>
      </c>
      <c r="N15" s="193">
        <v>70.700068599398406</v>
      </c>
      <c r="O15" s="193">
        <v>40.794196895349302</v>
      </c>
      <c r="P15" s="193">
        <v>49.977491934787231</v>
      </c>
      <c r="Q15" s="193">
        <v>70.700068599399017</v>
      </c>
      <c r="R15" s="193">
        <v>99.999999999990735</v>
      </c>
      <c r="S15" s="193">
        <v>49.977491934794898</v>
      </c>
      <c r="T15" s="193">
        <v>99.999999999950518</v>
      </c>
      <c r="U15" s="193">
        <v>37.762414048561929</v>
      </c>
      <c r="V15" s="193">
        <v>70.700068599396744</v>
      </c>
      <c r="W15" s="193">
        <v>99.999999999989299</v>
      </c>
      <c r="X15" s="193">
        <v>99.999999999989299</v>
      </c>
      <c r="Y15" s="191" t="s">
        <v>170</v>
      </c>
      <c r="Z15" s="191" t="s">
        <v>170</v>
      </c>
      <c r="AA15" s="193">
        <v>99.999999999947846</v>
      </c>
      <c r="AB15" s="193">
        <v>99.999999999947846</v>
      </c>
      <c r="AC15" s="191" t="s">
        <v>170</v>
      </c>
      <c r="AD15" s="192" t="s">
        <v>170</v>
      </c>
    </row>
    <row r="16" spans="2:30" outlineLevel="1" x14ac:dyDescent="0.25">
      <c r="B16" s="180" t="s">
        <v>177</v>
      </c>
      <c r="C16" s="193">
        <v>1478.3570267433781</v>
      </c>
      <c r="D16" s="193">
        <v>3332.9989997807747</v>
      </c>
      <c r="E16" s="193">
        <v>2475.8051693220882</v>
      </c>
      <c r="F16" s="193">
        <v>3877.7690367882415</v>
      </c>
      <c r="G16" s="193">
        <v>2499.2489498515661</v>
      </c>
      <c r="H16" s="191" t="s">
        <v>170</v>
      </c>
      <c r="I16" s="191" t="s">
        <v>170</v>
      </c>
      <c r="J16" s="191" t="s">
        <v>170</v>
      </c>
      <c r="K16" s="193">
        <v>10002.999999995202</v>
      </c>
      <c r="L16" s="193">
        <v>10002.999999995202</v>
      </c>
      <c r="M16" s="193">
        <v>1998.9989599593073</v>
      </c>
      <c r="N16" s="193">
        <v>5000.499199779897</v>
      </c>
      <c r="O16" s="193">
        <v>1665.4990001018316</v>
      </c>
      <c r="P16" s="193">
        <v>2499.2489498513096</v>
      </c>
      <c r="Q16" s="193">
        <v>5000.4991997799061</v>
      </c>
      <c r="R16" s="193">
        <v>10002.999999998443</v>
      </c>
      <c r="S16" s="193">
        <v>2499.2489498515338</v>
      </c>
      <c r="T16" s="193">
        <v>10002.999999991684</v>
      </c>
      <c r="U16" s="193">
        <v>1427.2847716950284</v>
      </c>
      <c r="V16" s="193">
        <v>5000.4991997798643</v>
      </c>
      <c r="W16" s="193">
        <v>10002.999999998199</v>
      </c>
      <c r="X16" s="193">
        <v>10002.999999998199</v>
      </c>
      <c r="Y16" s="191" t="s">
        <v>170</v>
      </c>
      <c r="Z16" s="191" t="s">
        <v>170</v>
      </c>
      <c r="AA16" s="193">
        <v>10002.999999991234</v>
      </c>
      <c r="AB16" s="193">
        <v>10002.999999991234</v>
      </c>
      <c r="AC16" s="191" t="s">
        <v>170</v>
      </c>
      <c r="AD16" s="192" t="s">
        <v>170</v>
      </c>
    </row>
    <row r="17" spans="2:30" outlineLevel="1" x14ac:dyDescent="0.25">
      <c r="B17" s="180" t="s">
        <v>178</v>
      </c>
      <c r="C17" s="195">
        <v>0</v>
      </c>
      <c r="D17" s="195">
        <v>0</v>
      </c>
      <c r="E17" s="195">
        <v>0</v>
      </c>
      <c r="F17" s="195">
        <v>0</v>
      </c>
      <c r="G17" s="195">
        <v>0</v>
      </c>
      <c r="H17" s="195">
        <v>0</v>
      </c>
      <c r="I17" s="195">
        <v>0</v>
      </c>
      <c r="J17" s="195">
        <v>0</v>
      </c>
      <c r="K17" s="195">
        <v>0</v>
      </c>
      <c r="L17" s="195">
        <v>0</v>
      </c>
      <c r="M17" s="195">
        <v>0</v>
      </c>
      <c r="N17" s="195">
        <v>0</v>
      </c>
      <c r="O17" s="195">
        <v>0</v>
      </c>
      <c r="P17" s="195">
        <v>0</v>
      </c>
      <c r="Q17" s="195">
        <v>0</v>
      </c>
      <c r="R17" s="195">
        <v>0</v>
      </c>
      <c r="S17" s="195">
        <v>0</v>
      </c>
      <c r="T17" s="195">
        <v>0</v>
      </c>
      <c r="U17" s="195">
        <v>0</v>
      </c>
      <c r="V17" s="195">
        <v>0</v>
      </c>
      <c r="W17" s="195">
        <v>0</v>
      </c>
      <c r="X17" s="195">
        <v>0</v>
      </c>
      <c r="Y17" s="195">
        <v>0</v>
      </c>
      <c r="Z17" s="195">
        <v>0</v>
      </c>
      <c r="AA17" s="195">
        <v>0</v>
      </c>
      <c r="AB17" s="195">
        <v>0</v>
      </c>
      <c r="AC17" s="195">
        <v>10000</v>
      </c>
      <c r="AD17" s="196">
        <v>10000</v>
      </c>
    </row>
    <row r="18" spans="2:30" x14ac:dyDescent="0.25">
      <c r="B18" s="179" t="s">
        <v>179</v>
      </c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8"/>
    </row>
    <row r="19" spans="2:30" outlineLevel="1" x14ac:dyDescent="0.25">
      <c r="B19" s="181">
        <v>0.01</v>
      </c>
      <c r="C19" s="193">
        <v>0</v>
      </c>
      <c r="D19" s="193">
        <v>0</v>
      </c>
      <c r="E19" s="193">
        <v>0</v>
      </c>
      <c r="F19" s="193">
        <v>0</v>
      </c>
      <c r="G19" s="193">
        <v>0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93">
        <v>0</v>
      </c>
      <c r="AB19" s="193">
        <v>0</v>
      </c>
      <c r="AC19" s="191" t="s">
        <v>170</v>
      </c>
      <c r="AD19" s="192" t="s">
        <v>170</v>
      </c>
    </row>
    <row r="20" spans="2:30" outlineLevel="1" x14ac:dyDescent="0.25">
      <c r="B20" s="181">
        <v>2.5000000000000001E-2</v>
      </c>
      <c r="C20" s="193">
        <v>0</v>
      </c>
      <c r="D20" s="193">
        <v>0</v>
      </c>
      <c r="E20" s="193">
        <v>0</v>
      </c>
      <c r="F20" s="193">
        <v>0</v>
      </c>
      <c r="G20" s="193">
        <v>0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93">
        <v>0</v>
      </c>
      <c r="AB20" s="193">
        <v>0</v>
      </c>
      <c r="AC20" s="191" t="s">
        <v>170</v>
      </c>
      <c r="AD20" s="192" t="s">
        <v>170</v>
      </c>
    </row>
    <row r="21" spans="2:30" outlineLevel="1" x14ac:dyDescent="0.25">
      <c r="B21" s="181">
        <v>0.05</v>
      </c>
      <c r="C21" s="193">
        <v>0</v>
      </c>
      <c r="D21" s="193">
        <v>0</v>
      </c>
      <c r="E21" s="193">
        <v>0</v>
      </c>
      <c r="F21" s="193">
        <v>0</v>
      </c>
      <c r="G21" s="193">
        <v>0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0</v>
      </c>
      <c r="X21" s="193">
        <v>0</v>
      </c>
      <c r="Y21" s="193">
        <v>0</v>
      </c>
      <c r="Z21" s="193">
        <v>0</v>
      </c>
      <c r="AA21" s="193">
        <v>0</v>
      </c>
      <c r="AB21" s="193">
        <v>0</v>
      </c>
      <c r="AC21" s="191" t="s">
        <v>170</v>
      </c>
      <c r="AD21" s="192" t="s">
        <v>170</v>
      </c>
    </row>
    <row r="22" spans="2:30" outlineLevel="1" x14ac:dyDescent="0.25">
      <c r="B22" s="181">
        <v>0.1</v>
      </c>
      <c r="C22" s="193">
        <v>0</v>
      </c>
      <c r="D22" s="193">
        <v>0</v>
      </c>
      <c r="E22" s="193">
        <v>0</v>
      </c>
      <c r="F22" s="193">
        <v>0</v>
      </c>
      <c r="G22" s="193">
        <v>0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0</v>
      </c>
      <c r="AB22" s="193">
        <v>0</v>
      </c>
      <c r="AC22" s="191" t="s">
        <v>170</v>
      </c>
      <c r="AD22" s="192" t="s">
        <v>170</v>
      </c>
    </row>
    <row r="23" spans="2:30" outlineLevel="1" x14ac:dyDescent="0.25">
      <c r="B23" s="181">
        <v>0.2</v>
      </c>
      <c r="C23" s="193">
        <v>0</v>
      </c>
      <c r="D23" s="193">
        <v>0</v>
      </c>
      <c r="E23" s="193">
        <v>0</v>
      </c>
      <c r="F23" s="193">
        <v>0</v>
      </c>
      <c r="G23" s="193">
        <v>0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0</v>
      </c>
      <c r="X23" s="193">
        <v>0</v>
      </c>
      <c r="Y23" s="193">
        <v>0</v>
      </c>
      <c r="Z23" s="193">
        <v>0</v>
      </c>
      <c r="AA23" s="193">
        <v>0</v>
      </c>
      <c r="AB23" s="193">
        <v>0</v>
      </c>
      <c r="AC23" s="191" t="s">
        <v>170</v>
      </c>
      <c r="AD23" s="192" t="s">
        <v>170</v>
      </c>
    </row>
    <row r="24" spans="2:30" outlineLevel="1" x14ac:dyDescent="0.25">
      <c r="B24" s="181">
        <v>0.25</v>
      </c>
      <c r="C24" s="193">
        <v>0</v>
      </c>
      <c r="D24" s="193">
        <v>0</v>
      </c>
      <c r="E24" s="193">
        <v>0</v>
      </c>
      <c r="F24" s="193">
        <v>0</v>
      </c>
      <c r="G24" s="193">
        <v>0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0</v>
      </c>
      <c r="X24" s="193">
        <v>0</v>
      </c>
      <c r="Y24" s="193">
        <v>0</v>
      </c>
      <c r="Z24" s="193">
        <v>0</v>
      </c>
      <c r="AA24" s="193">
        <v>0</v>
      </c>
      <c r="AB24" s="193">
        <v>0</v>
      </c>
      <c r="AC24" s="191" t="s">
        <v>170</v>
      </c>
      <c r="AD24" s="192" t="s">
        <v>170</v>
      </c>
    </row>
    <row r="25" spans="2:30" outlineLevel="1" x14ac:dyDescent="0.25">
      <c r="B25" s="181">
        <v>0.3</v>
      </c>
      <c r="C25" s="193">
        <v>0</v>
      </c>
      <c r="D25" s="193">
        <v>0</v>
      </c>
      <c r="E25" s="193">
        <v>0</v>
      </c>
      <c r="F25" s="193">
        <v>0</v>
      </c>
      <c r="G25" s="193">
        <v>0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0</v>
      </c>
      <c r="AB25" s="193">
        <v>0</v>
      </c>
      <c r="AC25" s="191" t="s">
        <v>170</v>
      </c>
      <c r="AD25" s="192" t="s">
        <v>170</v>
      </c>
    </row>
    <row r="26" spans="2:30" outlineLevel="1" x14ac:dyDescent="0.25">
      <c r="B26" s="181">
        <v>0.35</v>
      </c>
      <c r="C26" s="193">
        <v>0</v>
      </c>
      <c r="D26" s="193">
        <v>0</v>
      </c>
      <c r="E26" s="193">
        <v>0</v>
      </c>
      <c r="F26" s="193">
        <v>0</v>
      </c>
      <c r="G26" s="193">
        <v>0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0</v>
      </c>
      <c r="AB26" s="193">
        <v>0</v>
      </c>
      <c r="AC26" s="191" t="s">
        <v>170</v>
      </c>
      <c r="AD26" s="192" t="s">
        <v>170</v>
      </c>
    </row>
    <row r="27" spans="2:30" outlineLevel="1" x14ac:dyDescent="0.25">
      <c r="B27" s="181">
        <v>0.4</v>
      </c>
      <c r="C27" s="193">
        <v>0</v>
      </c>
      <c r="D27" s="193">
        <v>0</v>
      </c>
      <c r="E27" s="193">
        <v>0</v>
      </c>
      <c r="F27" s="193">
        <v>0</v>
      </c>
      <c r="G27" s="193">
        <v>0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1" t="s">
        <v>170</v>
      </c>
      <c r="AD27" s="192" t="s">
        <v>170</v>
      </c>
    </row>
    <row r="28" spans="2:30" outlineLevel="1" x14ac:dyDescent="0.25">
      <c r="B28" s="181">
        <v>0.45</v>
      </c>
      <c r="C28" s="193">
        <v>0</v>
      </c>
      <c r="D28" s="193">
        <v>0</v>
      </c>
      <c r="E28" s="193">
        <v>0</v>
      </c>
      <c r="F28" s="193">
        <v>0</v>
      </c>
      <c r="G28" s="193">
        <v>0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1" t="s">
        <v>170</v>
      </c>
      <c r="AD28" s="192" t="s">
        <v>170</v>
      </c>
    </row>
    <row r="29" spans="2:30" outlineLevel="1" x14ac:dyDescent="0.25">
      <c r="B29" s="181">
        <v>0.5</v>
      </c>
      <c r="C29" s="193">
        <v>0</v>
      </c>
      <c r="D29" s="193">
        <v>0</v>
      </c>
      <c r="E29" s="193">
        <v>0</v>
      </c>
      <c r="F29" s="193">
        <v>0</v>
      </c>
      <c r="G29" s="193">
        <v>0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1" t="s">
        <v>170</v>
      </c>
      <c r="AD29" s="192" t="s">
        <v>170</v>
      </c>
    </row>
    <row r="30" spans="2:30" outlineLevel="1" x14ac:dyDescent="0.25">
      <c r="B30" s="181">
        <v>0.55000000000000004</v>
      </c>
      <c r="C30" s="193">
        <v>0</v>
      </c>
      <c r="D30" s="193">
        <v>0</v>
      </c>
      <c r="E30" s="193">
        <v>0</v>
      </c>
      <c r="F30" s="193">
        <v>0</v>
      </c>
      <c r="G30" s="193">
        <v>0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1" t="s">
        <v>170</v>
      </c>
      <c r="AD30" s="192" t="s">
        <v>170</v>
      </c>
    </row>
    <row r="31" spans="2:30" outlineLevel="1" x14ac:dyDescent="0.25">
      <c r="B31" s="181">
        <v>0.6</v>
      </c>
      <c r="C31" s="193">
        <v>0</v>
      </c>
      <c r="D31" s="193">
        <v>0</v>
      </c>
      <c r="E31" s="193">
        <v>0</v>
      </c>
      <c r="F31" s="193">
        <v>0</v>
      </c>
      <c r="G31" s="193">
        <v>0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1" t="s">
        <v>170</v>
      </c>
      <c r="AD31" s="192" t="s">
        <v>170</v>
      </c>
    </row>
    <row r="32" spans="2:30" outlineLevel="1" x14ac:dyDescent="0.25">
      <c r="B32" s="181">
        <v>0.65</v>
      </c>
      <c r="C32" s="193">
        <v>0</v>
      </c>
      <c r="D32" s="193">
        <v>0</v>
      </c>
      <c r="E32" s="193">
        <v>0</v>
      </c>
      <c r="F32" s="193">
        <v>0</v>
      </c>
      <c r="G32" s="193">
        <v>0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1" t="s">
        <v>170</v>
      </c>
      <c r="AD32" s="192" t="s">
        <v>170</v>
      </c>
    </row>
    <row r="33" spans="2:30" outlineLevel="1" x14ac:dyDescent="0.25">
      <c r="B33" s="181">
        <v>0.7</v>
      </c>
      <c r="C33" s="193">
        <v>0</v>
      </c>
      <c r="D33" s="193">
        <v>0</v>
      </c>
      <c r="E33" s="193">
        <v>0</v>
      </c>
      <c r="F33" s="193">
        <v>0</v>
      </c>
      <c r="G33" s="193">
        <v>0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1" t="s">
        <v>170</v>
      </c>
      <c r="AD33" s="192" t="s">
        <v>170</v>
      </c>
    </row>
    <row r="34" spans="2:30" outlineLevel="1" x14ac:dyDescent="0.25">
      <c r="B34" s="181">
        <v>0.75</v>
      </c>
      <c r="C34" s="193">
        <v>0</v>
      </c>
      <c r="D34" s="193">
        <v>0</v>
      </c>
      <c r="E34" s="193">
        <v>0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1" t="s">
        <v>170</v>
      </c>
      <c r="AD34" s="192" t="s">
        <v>170</v>
      </c>
    </row>
    <row r="35" spans="2:30" outlineLevel="1" x14ac:dyDescent="0.25">
      <c r="B35" s="181">
        <v>0.8</v>
      </c>
      <c r="C35" s="193">
        <v>0</v>
      </c>
      <c r="D35" s="193">
        <v>0</v>
      </c>
      <c r="E35" s="193">
        <v>0</v>
      </c>
      <c r="F35" s="193">
        <v>0</v>
      </c>
      <c r="G35" s="193">
        <v>0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0</v>
      </c>
      <c r="Y35" s="193">
        <v>0</v>
      </c>
      <c r="Z35" s="193">
        <v>0</v>
      </c>
      <c r="AA35" s="193">
        <v>0</v>
      </c>
      <c r="AB35" s="193">
        <v>0</v>
      </c>
      <c r="AC35" s="191" t="s">
        <v>170</v>
      </c>
      <c r="AD35" s="192" t="s">
        <v>170</v>
      </c>
    </row>
    <row r="36" spans="2:30" outlineLevel="1" x14ac:dyDescent="0.25">
      <c r="B36" s="181">
        <v>0.9</v>
      </c>
      <c r="C36" s="193">
        <v>0</v>
      </c>
      <c r="D36" s="193">
        <v>0</v>
      </c>
      <c r="E36" s="193">
        <v>0</v>
      </c>
      <c r="F36" s="193">
        <v>0</v>
      </c>
      <c r="G36" s="193">
        <v>0</v>
      </c>
      <c r="H36" s="193">
        <v>0</v>
      </c>
      <c r="I36" s="193">
        <v>0</v>
      </c>
      <c r="J36" s="193">
        <v>0</v>
      </c>
      <c r="K36" s="193">
        <v>0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0</v>
      </c>
      <c r="X36" s="193">
        <v>0</v>
      </c>
      <c r="Y36" s="193">
        <v>0</v>
      </c>
      <c r="Z36" s="193">
        <v>0</v>
      </c>
      <c r="AA36" s="193">
        <v>0</v>
      </c>
      <c r="AB36" s="193">
        <v>0</v>
      </c>
      <c r="AC36" s="191" t="s">
        <v>170</v>
      </c>
      <c r="AD36" s="192" t="s">
        <v>170</v>
      </c>
    </row>
    <row r="37" spans="2:30" outlineLevel="1" x14ac:dyDescent="0.25">
      <c r="B37" s="181">
        <v>0.95</v>
      </c>
      <c r="C37" s="193">
        <v>0</v>
      </c>
      <c r="D37" s="193">
        <v>0</v>
      </c>
      <c r="E37" s="193">
        <v>0</v>
      </c>
      <c r="F37" s="193">
        <v>0</v>
      </c>
      <c r="G37" s="193">
        <v>0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0</v>
      </c>
      <c r="X37" s="193">
        <v>0</v>
      </c>
      <c r="Y37" s="193">
        <v>0</v>
      </c>
      <c r="Z37" s="193">
        <v>0</v>
      </c>
      <c r="AA37" s="193">
        <v>0</v>
      </c>
      <c r="AB37" s="193">
        <v>0</v>
      </c>
      <c r="AC37" s="191" t="s">
        <v>170</v>
      </c>
      <c r="AD37" s="192" t="s">
        <v>170</v>
      </c>
    </row>
    <row r="38" spans="2:30" outlineLevel="1" x14ac:dyDescent="0.25">
      <c r="B38" s="181">
        <v>0.97499999999999998</v>
      </c>
      <c r="C38" s="193">
        <v>0</v>
      </c>
      <c r="D38" s="193">
        <v>0</v>
      </c>
      <c r="E38" s="193">
        <v>0</v>
      </c>
      <c r="F38" s="193">
        <v>0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0</v>
      </c>
      <c r="AA38" s="193">
        <v>0</v>
      </c>
      <c r="AB38" s="193">
        <v>0</v>
      </c>
      <c r="AC38" s="191" t="s">
        <v>170</v>
      </c>
      <c r="AD38" s="192" t="s">
        <v>170</v>
      </c>
    </row>
    <row r="39" spans="2:30" outlineLevel="1" x14ac:dyDescent="0.25">
      <c r="B39" s="181">
        <v>0.99</v>
      </c>
      <c r="C39" s="193">
        <v>0</v>
      </c>
      <c r="D39" s="193">
        <v>0</v>
      </c>
      <c r="E39" s="193">
        <v>0</v>
      </c>
      <c r="F39" s="193">
        <v>0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1" t="s">
        <v>170</v>
      </c>
      <c r="AD39" s="192" t="s">
        <v>170</v>
      </c>
    </row>
    <row r="40" spans="2:30" outlineLevel="1" x14ac:dyDescent="0.25">
      <c r="B40" s="181">
        <v>0.995</v>
      </c>
      <c r="C40" s="193">
        <v>0</v>
      </c>
      <c r="D40" s="193">
        <v>0</v>
      </c>
      <c r="E40" s="193">
        <v>0</v>
      </c>
      <c r="F40" s="193">
        <v>0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1" t="s">
        <v>170</v>
      </c>
      <c r="AD40" s="192" t="s">
        <v>170</v>
      </c>
    </row>
    <row r="41" spans="2:30" outlineLevel="1" x14ac:dyDescent="0.25">
      <c r="B41" s="181">
        <v>0.999</v>
      </c>
      <c r="C41" s="193">
        <v>0</v>
      </c>
      <c r="D41" s="193">
        <v>0</v>
      </c>
      <c r="E41" s="193">
        <v>0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1" t="s">
        <v>170</v>
      </c>
      <c r="AD41" s="192" t="s">
        <v>170</v>
      </c>
    </row>
    <row r="42" spans="2:30" x14ac:dyDescent="0.25">
      <c r="B42" s="179" t="s">
        <v>180</v>
      </c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8"/>
    </row>
    <row r="43" spans="2:30" outlineLevel="1" x14ac:dyDescent="0.25">
      <c r="B43" s="180" t="s">
        <v>169</v>
      </c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2"/>
    </row>
    <row r="44" spans="2:30" outlineLevel="1" x14ac:dyDescent="0.25">
      <c r="B44" s="180" t="s">
        <v>171</v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2"/>
    </row>
    <row r="45" spans="2:30" outlineLevel="1" x14ac:dyDescent="0.25">
      <c r="B45" s="180" t="s">
        <v>181</v>
      </c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2"/>
    </row>
    <row r="46" spans="2:30" ht="15.75" outlineLevel="1" thickBot="1" x14ac:dyDescent="0.3">
      <c r="B46" s="186" t="s">
        <v>182</v>
      </c>
      <c r="C46" s="197">
        <v>0</v>
      </c>
      <c r="D46" s="197">
        <v>0</v>
      </c>
      <c r="E46" s="197">
        <v>0</v>
      </c>
      <c r="F46" s="197">
        <v>0</v>
      </c>
      <c r="G46" s="197">
        <v>0</v>
      </c>
      <c r="H46" s="197">
        <v>0</v>
      </c>
      <c r="I46" s="197">
        <v>0</v>
      </c>
      <c r="J46" s="197">
        <v>0</v>
      </c>
      <c r="K46" s="197">
        <v>0</v>
      </c>
      <c r="L46" s="197">
        <v>0</v>
      </c>
      <c r="M46" s="197">
        <v>0</v>
      </c>
      <c r="N46" s="197">
        <v>0</v>
      </c>
      <c r="O46" s="197">
        <v>0</v>
      </c>
      <c r="P46" s="197">
        <v>0</v>
      </c>
      <c r="Q46" s="197">
        <v>0</v>
      </c>
      <c r="R46" s="197">
        <v>0</v>
      </c>
      <c r="S46" s="197">
        <v>0</v>
      </c>
      <c r="T46" s="197">
        <v>0</v>
      </c>
      <c r="U46" s="197">
        <v>0</v>
      </c>
      <c r="V46" s="197">
        <v>0</v>
      </c>
      <c r="W46" s="197">
        <v>0</v>
      </c>
      <c r="X46" s="197">
        <v>0</v>
      </c>
      <c r="Y46" s="197">
        <v>0</v>
      </c>
      <c r="Z46" s="197">
        <v>0</v>
      </c>
      <c r="AA46" s="197">
        <v>0</v>
      </c>
      <c r="AB46" s="197">
        <v>0</v>
      </c>
      <c r="AC46" s="197">
        <v>0</v>
      </c>
      <c r="AD46" s="198">
        <v>0</v>
      </c>
    </row>
  </sheetData>
  <mergeCells count="4">
    <mergeCell ref="B4:AD4"/>
    <mergeCell ref="B7:AD7"/>
    <mergeCell ref="B18:AD18"/>
    <mergeCell ref="B42:AD42"/>
  </mergeCells>
  <pageMargins left="0.7" right="0.7" top="0.75" bottom="0.75" header="0.3" footer="0.3"/>
  <pageSetup fitToWidth="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6D42-5993-4287-8DF1-4F10105B059E}">
  <sheetPr>
    <outlinePr summaryBelow="0" summaryRight="0"/>
  </sheetPr>
  <dimension ref="B1:AD46"/>
  <sheetViews>
    <sheetView showGridLines="0" workbookViewId="0">
      <selection activeCell="L26" sqref="L26"/>
    </sheetView>
  </sheetViews>
  <sheetFormatPr defaultRowHeight="15" outlineLevelRow="1" x14ac:dyDescent="0.25"/>
  <cols>
    <col min="1" max="1" width="0.28515625" customWidth="1"/>
    <col min="2" max="30" width="14.28515625" customWidth="1"/>
  </cols>
  <sheetData>
    <row r="1" spans="2:30" s="199" customFormat="1" ht="65.650000000000006" customHeight="1" x14ac:dyDescent="0.25"/>
    <row r="2" spans="2:30" ht="15.75" thickBot="1" x14ac:dyDescent="0.3"/>
    <row r="3" spans="2:30" ht="84.75" x14ac:dyDescent="0.25">
      <c r="B3" s="182" t="s">
        <v>135</v>
      </c>
      <c r="C3" s="183" t="s">
        <v>136</v>
      </c>
      <c r="D3" s="184" t="s">
        <v>137</v>
      </c>
      <c r="E3" s="184" t="s">
        <v>138</v>
      </c>
      <c r="F3" s="184" t="s">
        <v>139</v>
      </c>
      <c r="G3" s="184" t="s">
        <v>140</v>
      </c>
      <c r="H3" s="184" t="s">
        <v>141</v>
      </c>
      <c r="I3" s="184" t="s">
        <v>142</v>
      </c>
      <c r="J3" s="184" t="s">
        <v>143</v>
      </c>
      <c r="K3" s="184" t="s">
        <v>144</v>
      </c>
      <c r="L3" s="184" t="s">
        <v>145</v>
      </c>
      <c r="M3" s="184" t="s">
        <v>146</v>
      </c>
      <c r="N3" s="184" t="s">
        <v>147</v>
      </c>
      <c r="O3" s="184" t="s">
        <v>148</v>
      </c>
      <c r="P3" s="184" t="s">
        <v>149</v>
      </c>
      <c r="Q3" s="184" t="s">
        <v>150</v>
      </c>
      <c r="R3" s="184" t="s">
        <v>151</v>
      </c>
      <c r="S3" s="184" t="s">
        <v>152</v>
      </c>
      <c r="T3" s="184" t="s">
        <v>153</v>
      </c>
      <c r="U3" s="184" t="s">
        <v>154</v>
      </c>
      <c r="V3" s="184" t="s">
        <v>155</v>
      </c>
      <c r="W3" s="184" t="s">
        <v>156</v>
      </c>
      <c r="X3" s="184" t="s">
        <v>157</v>
      </c>
      <c r="Y3" s="184" t="s">
        <v>158</v>
      </c>
      <c r="Z3" s="184" t="s">
        <v>159</v>
      </c>
      <c r="AA3" s="184" t="s">
        <v>160</v>
      </c>
      <c r="AB3" s="184" t="s">
        <v>161</v>
      </c>
      <c r="AC3" s="184" t="s">
        <v>162</v>
      </c>
      <c r="AD3" s="185" t="s">
        <v>163</v>
      </c>
    </row>
    <row r="4" spans="2:30" x14ac:dyDescent="0.25">
      <c r="B4" s="179" t="s">
        <v>164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8"/>
    </row>
    <row r="5" spans="2:30" ht="37.5" customHeight="1" outlineLevel="1" x14ac:dyDescent="0.25">
      <c r="B5" s="180" t="s">
        <v>165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90"/>
    </row>
    <row r="6" spans="2:30" outlineLevel="1" x14ac:dyDescent="0.25">
      <c r="B6" s="180" t="s">
        <v>166</v>
      </c>
      <c r="C6" s="191" t="s">
        <v>167</v>
      </c>
      <c r="D6" s="191" t="s">
        <v>167</v>
      </c>
      <c r="E6" s="191" t="s">
        <v>167</v>
      </c>
      <c r="F6" s="191" t="s">
        <v>167</v>
      </c>
      <c r="G6" s="191" t="s">
        <v>167</v>
      </c>
      <c r="H6" s="191" t="s">
        <v>167</v>
      </c>
      <c r="I6" s="191" t="s">
        <v>167</v>
      </c>
      <c r="J6" s="191" t="s">
        <v>167</v>
      </c>
      <c r="K6" s="191" t="s">
        <v>167</v>
      </c>
      <c r="L6" s="191" t="s">
        <v>167</v>
      </c>
      <c r="M6" s="191" t="s">
        <v>167</v>
      </c>
      <c r="N6" s="191" t="s">
        <v>167</v>
      </c>
      <c r="O6" s="191" t="s">
        <v>167</v>
      </c>
      <c r="P6" s="191" t="s">
        <v>167</v>
      </c>
      <c r="Q6" s="191" t="s">
        <v>167</v>
      </c>
      <c r="R6" s="191" t="s">
        <v>167</v>
      </c>
      <c r="S6" s="191" t="s">
        <v>167</v>
      </c>
      <c r="T6" s="191" t="s">
        <v>167</v>
      </c>
      <c r="U6" s="191" t="s">
        <v>167</v>
      </c>
      <c r="V6" s="191" t="s">
        <v>167</v>
      </c>
      <c r="W6" s="191" t="s">
        <v>167</v>
      </c>
      <c r="X6" s="191" t="s">
        <v>167</v>
      </c>
      <c r="Y6" s="191" t="s">
        <v>167</v>
      </c>
      <c r="Z6" s="191" t="s">
        <v>167</v>
      </c>
      <c r="AA6" s="191" t="s">
        <v>167</v>
      </c>
      <c r="AB6" s="191" t="s">
        <v>167</v>
      </c>
      <c r="AC6" s="191" t="s">
        <v>167</v>
      </c>
      <c r="AD6" s="192" t="s">
        <v>167</v>
      </c>
    </row>
    <row r="7" spans="2:30" x14ac:dyDescent="0.25">
      <c r="B7" s="179" t="s">
        <v>168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8"/>
    </row>
    <row r="8" spans="2:30" outlineLevel="1" x14ac:dyDescent="0.25">
      <c r="B8" s="180" t="s">
        <v>169</v>
      </c>
      <c r="C8" s="193">
        <v>0</v>
      </c>
      <c r="D8" s="193">
        <v>0</v>
      </c>
      <c r="E8" s="193">
        <v>0</v>
      </c>
      <c r="F8" s="193">
        <v>0</v>
      </c>
      <c r="G8" s="193">
        <v>0</v>
      </c>
      <c r="H8" s="193">
        <v>0</v>
      </c>
      <c r="I8" s="193">
        <v>0</v>
      </c>
      <c r="J8" s="193">
        <v>0</v>
      </c>
      <c r="K8" s="193">
        <v>0</v>
      </c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  <c r="U8" s="193">
        <v>0</v>
      </c>
      <c r="V8" s="193">
        <v>0</v>
      </c>
      <c r="W8" s="193">
        <v>0</v>
      </c>
      <c r="X8" s="193">
        <v>0</v>
      </c>
      <c r="Y8" s="193">
        <v>0</v>
      </c>
      <c r="Z8" s="193">
        <v>0</v>
      </c>
      <c r="AA8" s="193">
        <v>0</v>
      </c>
      <c r="AB8" s="193">
        <v>0</v>
      </c>
      <c r="AC8" s="191" t="s">
        <v>170</v>
      </c>
      <c r="AD8" s="192" t="s">
        <v>170</v>
      </c>
    </row>
    <row r="9" spans="2:30" outlineLevel="1" x14ac:dyDescent="0.25">
      <c r="B9" s="180" t="s">
        <v>171</v>
      </c>
      <c r="C9" s="193">
        <v>1</v>
      </c>
      <c r="D9" s="193">
        <v>1</v>
      </c>
      <c r="E9" s="193">
        <v>1</v>
      </c>
      <c r="F9" s="193">
        <v>1</v>
      </c>
      <c r="G9" s="193">
        <v>0</v>
      </c>
      <c r="H9" s="193">
        <v>0</v>
      </c>
      <c r="I9" s="193">
        <v>0</v>
      </c>
      <c r="J9" s="193">
        <v>0</v>
      </c>
      <c r="K9" s="193">
        <v>0</v>
      </c>
      <c r="L9" s="193">
        <v>0</v>
      </c>
      <c r="M9" s="193">
        <v>0</v>
      </c>
      <c r="N9" s="193">
        <v>0</v>
      </c>
      <c r="O9" s="193">
        <v>1</v>
      </c>
      <c r="P9" s="193">
        <v>1</v>
      </c>
      <c r="Q9" s="193">
        <v>0</v>
      </c>
      <c r="R9" s="193">
        <v>0</v>
      </c>
      <c r="S9" s="193">
        <v>1</v>
      </c>
      <c r="T9" s="193">
        <v>0</v>
      </c>
      <c r="U9" s="193">
        <v>1</v>
      </c>
      <c r="V9" s="193">
        <v>1</v>
      </c>
      <c r="W9" s="193">
        <v>0</v>
      </c>
      <c r="X9" s="193">
        <v>0</v>
      </c>
      <c r="Y9" s="193">
        <v>0</v>
      </c>
      <c r="Z9" s="193">
        <v>0</v>
      </c>
      <c r="AA9" s="193">
        <v>0</v>
      </c>
      <c r="AB9" s="193">
        <v>0</v>
      </c>
      <c r="AC9" s="191" t="s">
        <v>170</v>
      </c>
      <c r="AD9" s="192" t="s">
        <v>170</v>
      </c>
    </row>
    <row r="10" spans="2:30" outlineLevel="1" x14ac:dyDescent="0.25">
      <c r="B10" s="180" t="s">
        <v>172</v>
      </c>
      <c r="C10" s="200">
        <v>2.9999999999999997E-4</v>
      </c>
      <c r="D10" s="200">
        <v>1E-4</v>
      </c>
      <c r="E10" s="200">
        <v>2.9999999999999997E-4</v>
      </c>
      <c r="F10" s="200">
        <v>2.0000000000000001E-4</v>
      </c>
      <c r="G10" s="193">
        <v>0</v>
      </c>
      <c r="H10" s="193">
        <v>0</v>
      </c>
      <c r="I10" s="193">
        <v>0</v>
      </c>
      <c r="J10" s="193">
        <v>0</v>
      </c>
      <c r="K10" s="193">
        <v>0</v>
      </c>
      <c r="L10" s="193">
        <v>0</v>
      </c>
      <c r="M10" s="193">
        <v>0</v>
      </c>
      <c r="N10" s="193">
        <v>0</v>
      </c>
      <c r="O10" s="200">
        <v>2.0000000000000001E-4</v>
      </c>
      <c r="P10" s="200">
        <v>1E-4</v>
      </c>
      <c r="Q10" s="193">
        <v>0</v>
      </c>
      <c r="R10" s="193">
        <v>0</v>
      </c>
      <c r="S10" s="200">
        <v>1E-4</v>
      </c>
      <c r="T10" s="193">
        <v>0</v>
      </c>
      <c r="U10" s="200">
        <v>1E-4</v>
      </c>
      <c r="V10" s="200">
        <v>1E-4</v>
      </c>
      <c r="W10" s="193">
        <v>0</v>
      </c>
      <c r="X10" s="193">
        <v>0</v>
      </c>
      <c r="Y10" s="193">
        <v>0</v>
      </c>
      <c r="Z10" s="193">
        <v>0</v>
      </c>
      <c r="AA10" s="193">
        <v>0</v>
      </c>
      <c r="AB10" s="193">
        <v>0</v>
      </c>
      <c r="AC10" s="191" t="s">
        <v>170</v>
      </c>
      <c r="AD10" s="192" t="s">
        <v>170</v>
      </c>
    </row>
    <row r="11" spans="2:30" outlineLevel="1" x14ac:dyDescent="0.25">
      <c r="B11" s="180" t="s">
        <v>173</v>
      </c>
      <c r="C11" s="193">
        <v>0</v>
      </c>
      <c r="D11" s="193">
        <v>0</v>
      </c>
      <c r="E11" s="193">
        <v>0</v>
      </c>
      <c r="F11" s="193">
        <v>0</v>
      </c>
      <c r="G11" s="193">
        <v>0</v>
      </c>
      <c r="H11" s="193">
        <v>0</v>
      </c>
      <c r="I11" s="193">
        <v>0</v>
      </c>
      <c r="J11" s="193">
        <v>0</v>
      </c>
      <c r="K11" s="193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  <c r="U11" s="193">
        <v>0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0</v>
      </c>
      <c r="AB11" s="193">
        <v>0</v>
      </c>
      <c r="AC11" s="191" t="s">
        <v>170</v>
      </c>
      <c r="AD11" s="192" t="s">
        <v>170</v>
      </c>
    </row>
    <row r="12" spans="2:30" outlineLevel="1" x14ac:dyDescent="0.25">
      <c r="B12" s="180" t="s">
        <v>8</v>
      </c>
      <c r="C12" s="193">
        <v>0</v>
      </c>
      <c r="D12" s="193">
        <v>0</v>
      </c>
      <c r="E12" s="193">
        <v>0</v>
      </c>
      <c r="F12" s="193">
        <v>0</v>
      </c>
      <c r="G12" s="193">
        <v>0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1" t="s">
        <v>170</v>
      </c>
      <c r="AD12" s="192" t="s">
        <v>170</v>
      </c>
    </row>
    <row r="13" spans="2:30" outlineLevel="1" x14ac:dyDescent="0.25">
      <c r="B13" s="180" t="s">
        <v>174</v>
      </c>
      <c r="C13" s="193">
        <v>1.7318775765027789E-2</v>
      </c>
      <c r="D13" s="193">
        <v>1.0000000000001874E-2</v>
      </c>
      <c r="E13" s="193">
        <v>1.7318775765029441E-2</v>
      </c>
      <c r="F13" s="193">
        <v>1.4141428428549182E-2</v>
      </c>
      <c r="G13" s="193">
        <v>0</v>
      </c>
      <c r="H13" s="193">
        <v>0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1.4141428428549182E-2</v>
      </c>
      <c r="P13" s="193">
        <v>1.0000000000001974E-2</v>
      </c>
      <c r="Q13" s="193">
        <v>0</v>
      </c>
      <c r="R13" s="193">
        <v>0</v>
      </c>
      <c r="S13" s="193">
        <v>1.0000000000001261E-2</v>
      </c>
      <c r="T13" s="193">
        <v>0</v>
      </c>
      <c r="U13" s="193">
        <v>1.000000000000102E-2</v>
      </c>
      <c r="V13" s="193">
        <v>1.000000000000102E-2</v>
      </c>
      <c r="W13" s="193">
        <v>0</v>
      </c>
      <c r="X13" s="193">
        <v>0</v>
      </c>
      <c r="Y13" s="193">
        <v>0</v>
      </c>
      <c r="Z13" s="193">
        <v>0</v>
      </c>
      <c r="AA13" s="193">
        <v>0</v>
      </c>
      <c r="AB13" s="193">
        <v>0</v>
      </c>
      <c r="AC13" s="191" t="s">
        <v>170</v>
      </c>
      <c r="AD13" s="192" t="s">
        <v>170</v>
      </c>
    </row>
    <row r="14" spans="2:30" outlineLevel="1" x14ac:dyDescent="0.25">
      <c r="B14" s="180" t="s">
        <v>175</v>
      </c>
      <c r="C14" s="193">
        <v>2.9993999399931389E-4</v>
      </c>
      <c r="D14" s="193">
        <v>1.0000000000003749E-4</v>
      </c>
      <c r="E14" s="193">
        <v>2.9993999399937108E-4</v>
      </c>
      <c r="F14" s="193">
        <v>1.9997999799977899E-4</v>
      </c>
      <c r="G14" s="193">
        <v>0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1.9997999799977899E-4</v>
      </c>
      <c r="P14" s="193">
        <v>1.000000000000395E-4</v>
      </c>
      <c r="Q14" s="193">
        <v>0</v>
      </c>
      <c r="R14" s="193">
        <v>0</v>
      </c>
      <c r="S14" s="193">
        <v>1.0000000000002524E-4</v>
      </c>
      <c r="T14" s="193">
        <v>0</v>
      </c>
      <c r="U14" s="193">
        <v>1.0000000000002041E-4</v>
      </c>
      <c r="V14" s="193">
        <v>1.0000000000002041E-4</v>
      </c>
      <c r="W14" s="193">
        <v>0</v>
      </c>
      <c r="X14" s="193">
        <v>0</v>
      </c>
      <c r="Y14" s="193">
        <v>0</v>
      </c>
      <c r="Z14" s="193">
        <v>0</v>
      </c>
      <c r="AA14" s="193">
        <v>0</v>
      </c>
      <c r="AB14" s="193">
        <v>0</v>
      </c>
      <c r="AC14" s="191" t="s">
        <v>170</v>
      </c>
      <c r="AD14" s="192" t="s">
        <v>170</v>
      </c>
    </row>
    <row r="15" spans="2:30" outlineLevel="1" x14ac:dyDescent="0.25">
      <c r="B15" s="180" t="s">
        <v>176</v>
      </c>
      <c r="C15" s="193">
        <v>57.717700924471679</v>
      </c>
      <c r="D15" s="193">
        <v>99.999999999960295</v>
      </c>
      <c r="E15" s="193">
        <v>57.717700924482017</v>
      </c>
      <c r="F15" s="193">
        <v>70.700068599396218</v>
      </c>
      <c r="G15" s="191" t="s">
        <v>170</v>
      </c>
      <c r="H15" s="191" t="s">
        <v>170</v>
      </c>
      <c r="I15" s="191" t="s">
        <v>170</v>
      </c>
      <c r="J15" s="191" t="s">
        <v>170</v>
      </c>
      <c r="K15" s="191" t="s">
        <v>170</v>
      </c>
      <c r="L15" s="191" t="s">
        <v>170</v>
      </c>
      <c r="M15" s="191" t="s">
        <v>170</v>
      </c>
      <c r="N15" s="191" t="s">
        <v>170</v>
      </c>
      <c r="O15" s="193">
        <v>70.700068599396218</v>
      </c>
      <c r="P15" s="193">
        <v>99.999999999958149</v>
      </c>
      <c r="Q15" s="191" t="s">
        <v>170</v>
      </c>
      <c r="R15" s="191" t="s">
        <v>170</v>
      </c>
      <c r="S15" s="193">
        <v>99.999999999973255</v>
      </c>
      <c r="T15" s="191" t="s">
        <v>170</v>
      </c>
      <c r="U15" s="193">
        <v>99.999999999978385</v>
      </c>
      <c r="V15" s="193">
        <v>99.999999999978385</v>
      </c>
      <c r="W15" s="191" t="s">
        <v>170</v>
      </c>
      <c r="X15" s="191" t="s">
        <v>170</v>
      </c>
      <c r="Y15" s="191" t="s">
        <v>170</v>
      </c>
      <c r="Z15" s="191" t="s">
        <v>170</v>
      </c>
      <c r="AA15" s="191" t="s">
        <v>170</v>
      </c>
      <c r="AB15" s="191" t="s">
        <v>170</v>
      </c>
      <c r="AC15" s="191" t="s">
        <v>170</v>
      </c>
      <c r="AD15" s="192" t="s">
        <v>170</v>
      </c>
    </row>
    <row r="16" spans="2:30" outlineLevel="1" x14ac:dyDescent="0.25">
      <c r="B16" s="180" t="s">
        <v>177</v>
      </c>
      <c r="C16" s="193">
        <v>3332.998999780893</v>
      </c>
      <c r="D16" s="193">
        <v>10002.999999993322</v>
      </c>
      <c r="E16" s="193">
        <v>3332.998999780295</v>
      </c>
      <c r="F16" s="193">
        <v>5000.4991997798561</v>
      </c>
      <c r="G16" s="191" t="s">
        <v>170</v>
      </c>
      <c r="H16" s="191" t="s">
        <v>170</v>
      </c>
      <c r="I16" s="191" t="s">
        <v>170</v>
      </c>
      <c r="J16" s="191" t="s">
        <v>170</v>
      </c>
      <c r="K16" s="191" t="s">
        <v>170</v>
      </c>
      <c r="L16" s="191" t="s">
        <v>170</v>
      </c>
      <c r="M16" s="191" t="s">
        <v>170</v>
      </c>
      <c r="N16" s="191" t="s">
        <v>170</v>
      </c>
      <c r="O16" s="193">
        <v>5000.4991997798561</v>
      </c>
      <c r="P16" s="193">
        <v>10002.999999992966</v>
      </c>
      <c r="Q16" s="191" t="s">
        <v>170</v>
      </c>
      <c r="R16" s="191" t="s">
        <v>170</v>
      </c>
      <c r="S16" s="193">
        <v>10002.999999995503</v>
      </c>
      <c r="T16" s="191" t="s">
        <v>170</v>
      </c>
      <c r="U16" s="193">
        <v>10002.999999996367</v>
      </c>
      <c r="V16" s="193">
        <v>10002.999999996367</v>
      </c>
      <c r="W16" s="191" t="s">
        <v>170</v>
      </c>
      <c r="X16" s="191" t="s">
        <v>170</v>
      </c>
      <c r="Y16" s="191" t="s">
        <v>170</v>
      </c>
      <c r="Z16" s="191" t="s">
        <v>170</v>
      </c>
      <c r="AA16" s="191" t="s">
        <v>170</v>
      </c>
      <c r="AB16" s="191" t="s">
        <v>170</v>
      </c>
      <c r="AC16" s="191" t="s">
        <v>170</v>
      </c>
      <c r="AD16" s="192" t="s">
        <v>170</v>
      </c>
    </row>
    <row r="17" spans="2:30" outlineLevel="1" x14ac:dyDescent="0.25">
      <c r="B17" s="180" t="s">
        <v>178</v>
      </c>
      <c r="C17" s="195">
        <v>0</v>
      </c>
      <c r="D17" s="195">
        <v>0</v>
      </c>
      <c r="E17" s="195">
        <v>0</v>
      </c>
      <c r="F17" s="195">
        <v>0</v>
      </c>
      <c r="G17" s="195">
        <v>0</v>
      </c>
      <c r="H17" s="195">
        <v>0</v>
      </c>
      <c r="I17" s="195">
        <v>0</v>
      </c>
      <c r="J17" s="195">
        <v>0</v>
      </c>
      <c r="K17" s="195">
        <v>0</v>
      </c>
      <c r="L17" s="195">
        <v>0</v>
      </c>
      <c r="M17" s="195">
        <v>0</v>
      </c>
      <c r="N17" s="195">
        <v>0</v>
      </c>
      <c r="O17" s="195">
        <v>0</v>
      </c>
      <c r="P17" s="195">
        <v>0</v>
      </c>
      <c r="Q17" s="195">
        <v>0</v>
      </c>
      <c r="R17" s="195">
        <v>0</v>
      </c>
      <c r="S17" s="195">
        <v>0</v>
      </c>
      <c r="T17" s="195">
        <v>0</v>
      </c>
      <c r="U17" s="195">
        <v>0</v>
      </c>
      <c r="V17" s="195">
        <v>0</v>
      </c>
      <c r="W17" s="195">
        <v>0</v>
      </c>
      <c r="X17" s="195">
        <v>0</v>
      </c>
      <c r="Y17" s="195">
        <v>0</v>
      </c>
      <c r="Z17" s="195">
        <v>0</v>
      </c>
      <c r="AA17" s="195">
        <v>0</v>
      </c>
      <c r="AB17" s="195">
        <v>0</v>
      </c>
      <c r="AC17" s="195">
        <v>10000</v>
      </c>
      <c r="AD17" s="196">
        <v>10000</v>
      </c>
    </row>
    <row r="18" spans="2:30" x14ac:dyDescent="0.25">
      <c r="B18" s="179" t="s">
        <v>179</v>
      </c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8"/>
    </row>
    <row r="19" spans="2:30" outlineLevel="1" x14ac:dyDescent="0.25">
      <c r="B19" s="181">
        <v>0.01</v>
      </c>
      <c r="C19" s="193">
        <v>0</v>
      </c>
      <c r="D19" s="193">
        <v>0</v>
      </c>
      <c r="E19" s="193">
        <v>0</v>
      </c>
      <c r="F19" s="193">
        <v>0</v>
      </c>
      <c r="G19" s="193">
        <v>0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93">
        <v>0</v>
      </c>
      <c r="AB19" s="193">
        <v>0</v>
      </c>
      <c r="AC19" s="191" t="s">
        <v>170</v>
      </c>
      <c r="AD19" s="192" t="s">
        <v>170</v>
      </c>
    </row>
    <row r="20" spans="2:30" outlineLevel="1" x14ac:dyDescent="0.25">
      <c r="B20" s="181">
        <v>2.5000000000000001E-2</v>
      </c>
      <c r="C20" s="193">
        <v>0</v>
      </c>
      <c r="D20" s="193">
        <v>0</v>
      </c>
      <c r="E20" s="193">
        <v>0</v>
      </c>
      <c r="F20" s="193">
        <v>0</v>
      </c>
      <c r="G20" s="193">
        <v>0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93">
        <v>0</v>
      </c>
      <c r="AB20" s="193">
        <v>0</v>
      </c>
      <c r="AC20" s="191" t="s">
        <v>170</v>
      </c>
      <c r="AD20" s="192" t="s">
        <v>170</v>
      </c>
    </row>
    <row r="21" spans="2:30" outlineLevel="1" x14ac:dyDescent="0.25">
      <c r="B21" s="181">
        <v>0.05</v>
      </c>
      <c r="C21" s="193">
        <v>0</v>
      </c>
      <c r="D21" s="193">
        <v>0</v>
      </c>
      <c r="E21" s="193">
        <v>0</v>
      </c>
      <c r="F21" s="193">
        <v>0</v>
      </c>
      <c r="G21" s="193">
        <v>0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0</v>
      </c>
      <c r="X21" s="193">
        <v>0</v>
      </c>
      <c r="Y21" s="193">
        <v>0</v>
      </c>
      <c r="Z21" s="193">
        <v>0</v>
      </c>
      <c r="AA21" s="193">
        <v>0</v>
      </c>
      <c r="AB21" s="193">
        <v>0</v>
      </c>
      <c r="AC21" s="191" t="s">
        <v>170</v>
      </c>
      <c r="AD21" s="192" t="s">
        <v>170</v>
      </c>
    </row>
    <row r="22" spans="2:30" outlineLevel="1" x14ac:dyDescent="0.25">
      <c r="B22" s="181">
        <v>0.1</v>
      </c>
      <c r="C22" s="193">
        <v>0</v>
      </c>
      <c r="D22" s="193">
        <v>0</v>
      </c>
      <c r="E22" s="193">
        <v>0</v>
      </c>
      <c r="F22" s="193">
        <v>0</v>
      </c>
      <c r="G22" s="193">
        <v>0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0</v>
      </c>
      <c r="AB22" s="193">
        <v>0</v>
      </c>
      <c r="AC22" s="191" t="s">
        <v>170</v>
      </c>
      <c r="AD22" s="192" t="s">
        <v>170</v>
      </c>
    </row>
    <row r="23" spans="2:30" outlineLevel="1" x14ac:dyDescent="0.25">
      <c r="B23" s="181">
        <v>0.2</v>
      </c>
      <c r="C23" s="193">
        <v>0</v>
      </c>
      <c r="D23" s="193">
        <v>0</v>
      </c>
      <c r="E23" s="193">
        <v>0</v>
      </c>
      <c r="F23" s="193">
        <v>0</v>
      </c>
      <c r="G23" s="193">
        <v>0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0</v>
      </c>
      <c r="X23" s="193">
        <v>0</v>
      </c>
      <c r="Y23" s="193">
        <v>0</v>
      </c>
      <c r="Z23" s="193">
        <v>0</v>
      </c>
      <c r="AA23" s="193">
        <v>0</v>
      </c>
      <c r="AB23" s="193">
        <v>0</v>
      </c>
      <c r="AC23" s="191" t="s">
        <v>170</v>
      </c>
      <c r="AD23" s="192" t="s">
        <v>170</v>
      </c>
    </row>
    <row r="24" spans="2:30" outlineLevel="1" x14ac:dyDescent="0.25">
      <c r="B24" s="181">
        <v>0.25</v>
      </c>
      <c r="C24" s="193">
        <v>0</v>
      </c>
      <c r="D24" s="193">
        <v>0</v>
      </c>
      <c r="E24" s="193">
        <v>0</v>
      </c>
      <c r="F24" s="193">
        <v>0</v>
      </c>
      <c r="G24" s="193">
        <v>0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0</v>
      </c>
      <c r="X24" s="193">
        <v>0</v>
      </c>
      <c r="Y24" s="193">
        <v>0</v>
      </c>
      <c r="Z24" s="193">
        <v>0</v>
      </c>
      <c r="AA24" s="193">
        <v>0</v>
      </c>
      <c r="AB24" s="193">
        <v>0</v>
      </c>
      <c r="AC24" s="191" t="s">
        <v>170</v>
      </c>
      <c r="AD24" s="192" t="s">
        <v>170</v>
      </c>
    </row>
    <row r="25" spans="2:30" outlineLevel="1" x14ac:dyDescent="0.25">
      <c r="B25" s="181">
        <v>0.3</v>
      </c>
      <c r="C25" s="193">
        <v>0</v>
      </c>
      <c r="D25" s="193">
        <v>0</v>
      </c>
      <c r="E25" s="193">
        <v>0</v>
      </c>
      <c r="F25" s="193">
        <v>0</v>
      </c>
      <c r="G25" s="193">
        <v>0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0</v>
      </c>
      <c r="AB25" s="193">
        <v>0</v>
      </c>
      <c r="AC25" s="191" t="s">
        <v>170</v>
      </c>
      <c r="AD25" s="192" t="s">
        <v>170</v>
      </c>
    </row>
    <row r="26" spans="2:30" outlineLevel="1" x14ac:dyDescent="0.25">
      <c r="B26" s="181">
        <v>0.35</v>
      </c>
      <c r="C26" s="193">
        <v>0</v>
      </c>
      <c r="D26" s="193">
        <v>0</v>
      </c>
      <c r="E26" s="193">
        <v>0</v>
      </c>
      <c r="F26" s="193">
        <v>0</v>
      </c>
      <c r="G26" s="193">
        <v>0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0</v>
      </c>
      <c r="AB26" s="193">
        <v>0</v>
      </c>
      <c r="AC26" s="191" t="s">
        <v>170</v>
      </c>
      <c r="AD26" s="192" t="s">
        <v>170</v>
      </c>
    </row>
    <row r="27" spans="2:30" outlineLevel="1" x14ac:dyDescent="0.25">
      <c r="B27" s="181">
        <v>0.4</v>
      </c>
      <c r="C27" s="193">
        <v>0</v>
      </c>
      <c r="D27" s="193">
        <v>0</v>
      </c>
      <c r="E27" s="193">
        <v>0</v>
      </c>
      <c r="F27" s="193">
        <v>0</v>
      </c>
      <c r="G27" s="193">
        <v>0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1" t="s">
        <v>170</v>
      </c>
      <c r="AD27" s="192" t="s">
        <v>170</v>
      </c>
    </row>
    <row r="28" spans="2:30" outlineLevel="1" x14ac:dyDescent="0.25">
      <c r="B28" s="181">
        <v>0.45</v>
      </c>
      <c r="C28" s="193">
        <v>0</v>
      </c>
      <c r="D28" s="193">
        <v>0</v>
      </c>
      <c r="E28" s="193">
        <v>0</v>
      </c>
      <c r="F28" s="193">
        <v>0</v>
      </c>
      <c r="G28" s="193">
        <v>0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1" t="s">
        <v>170</v>
      </c>
      <c r="AD28" s="192" t="s">
        <v>170</v>
      </c>
    </row>
    <row r="29" spans="2:30" outlineLevel="1" x14ac:dyDescent="0.25">
      <c r="B29" s="181">
        <v>0.5</v>
      </c>
      <c r="C29" s="193">
        <v>0</v>
      </c>
      <c r="D29" s="193">
        <v>0</v>
      </c>
      <c r="E29" s="193">
        <v>0</v>
      </c>
      <c r="F29" s="193">
        <v>0</v>
      </c>
      <c r="G29" s="193">
        <v>0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1" t="s">
        <v>170</v>
      </c>
      <c r="AD29" s="192" t="s">
        <v>170</v>
      </c>
    </row>
    <row r="30" spans="2:30" outlineLevel="1" x14ac:dyDescent="0.25">
      <c r="B30" s="181">
        <v>0.55000000000000004</v>
      </c>
      <c r="C30" s="193">
        <v>0</v>
      </c>
      <c r="D30" s="193">
        <v>0</v>
      </c>
      <c r="E30" s="193">
        <v>0</v>
      </c>
      <c r="F30" s="193">
        <v>0</v>
      </c>
      <c r="G30" s="193">
        <v>0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1" t="s">
        <v>170</v>
      </c>
      <c r="AD30" s="192" t="s">
        <v>170</v>
      </c>
    </row>
    <row r="31" spans="2:30" outlineLevel="1" x14ac:dyDescent="0.25">
      <c r="B31" s="181">
        <v>0.6</v>
      </c>
      <c r="C31" s="193">
        <v>0</v>
      </c>
      <c r="D31" s="193">
        <v>0</v>
      </c>
      <c r="E31" s="193">
        <v>0</v>
      </c>
      <c r="F31" s="193">
        <v>0</v>
      </c>
      <c r="G31" s="193">
        <v>0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1" t="s">
        <v>170</v>
      </c>
      <c r="AD31" s="192" t="s">
        <v>170</v>
      </c>
    </row>
    <row r="32" spans="2:30" outlineLevel="1" x14ac:dyDescent="0.25">
      <c r="B32" s="181">
        <v>0.65</v>
      </c>
      <c r="C32" s="193">
        <v>0</v>
      </c>
      <c r="D32" s="193">
        <v>0</v>
      </c>
      <c r="E32" s="193">
        <v>0</v>
      </c>
      <c r="F32" s="193">
        <v>0</v>
      </c>
      <c r="G32" s="193">
        <v>0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1" t="s">
        <v>170</v>
      </c>
      <c r="AD32" s="192" t="s">
        <v>170</v>
      </c>
    </row>
    <row r="33" spans="2:30" outlineLevel="1" x14ac:dyDescent="0.25">
      <c r="B33" s="181">
        <v>0.7</v>
      </c>
      <c r="C33" s="193">
        <v>0</v>
      </c>
      <c r="D33" s="193">
        <v>0</v>
      </c>
      <c r="E33" s="193">
        <v>0</v>
      </c>
      <c r="F33" s="193">
        <v>0</v>
      </c>
      <c r="G33" s="193">
        <v>0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1" t="s">
        <v>170</v>
      </c>
      <c r="AD33" s="192" t="s">
        <v>170</v>
      </c>
    </row>
    <row r="34" spans="2:30" outlineLevel="1" x14ac:dyDescent="0.25">
      <c r="B34" s="181">
        <v>0.75</v>
      </c>
      <c r="C34" s="193">
        <v>0</v>
      </c>
      <c r="D34" s="193">
        <v>0</v>
      </c>
      <c r="E34" s="193">
        <v>0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1" t="s">
        <v>170</v>
      </c>
      <c r="AD34" s="192" t="s">
        <v>170</v>
      </c>
    </row>
    <row r="35" spans="2:30" outlineLevel="1" x14ac:dyDescent="0.25">
      <c r="B35" s="181">
        <v>0.8</v>
      </c>
      <c r="C35" s="193">
        <v>0</v>
      </c>
      <c r="D35" s="193">
        <v>0</v>
      </c>
      <c r="E35" s="193">
        <v>0</v>
      </c>
      <c r="F35" s="193">
        <v>0</v>
      </c>
      <c r="G35" s="193">
        <v>0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0</v>
      </c>
      <c r="Y35" s="193">
        <v>0</v>
      </c>
      <c r="Z35" s="193">
        <v>0</v>
      </c>
      <c r="AA35" s="193">
        <v>0</v>
      </c>
      <c r="AB35" s="193">
        <v>0</v>
      </c>
      <c r="AC35" s="191" t="s">
        <v>170</v>
      </c>
      <c r="AD35" s="192" t="s">
        <v>170</v>
      </c>
    </row>
    <row r="36" spans="2:30" outlineLevel="1" x14ac:dyDescent="0.25">
      <c r="B36" s="181">
        <v>0.9</v>
      </c>
      <c r="C36" s="193">
        <v>0</v>
      </c>
      <c r="D36" s="193">
        <v>0</v>
      </c>
      <c r="E36" s="193">
        <v>0</v>
      </c>
      <c r="F36" s="193">
        <v>0</v>
      </c>
      <c r="G36" s="193">
        <v>0</v>
      </c>
      <c r="H36" s="193">
        <v>0</v>
      </c>
      <c r="I36" s="193">
        <v>0</v>
      </c>
      <c r="J36" s="193">
        <v>0</v>
      </c>
      <c r="K36" s="193">
        <v>0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0</v>
      </c>
      <c r="X36" s="193">
        <v>0</v>
      </c>
      <c r="Y36" s="193">
        <v>0</v>
      </c>
      <c r="Z36" s="193">
        <v>0</v>
      </c>
      <c r="AA36" s="193">
        <v>0</v>
      </c>
      <c r="AB36" s="193">
        <v>0</v>
      </c>
      <c r="AC36" s="191" t="s">
        <v>170</v>
      </c>
      <c r="AD36" s="192" t="s">
        <v>170</v>
      </c>
    </row>
    <row r="37" spans="2:30" outlineLevel="1" x14ac:dyDescent="0.25">
      <c r="B37" s="181">
        <v>0.95</v>
      </c>
      <c r="C37" s="193">
        <v>0</v>
      </c>
      <c r="D37" s="193">
        <v>0</v>
      </c>
      <c r="E37" s="193">
        <v>0</v>
      </c>
      <c r="F37" s="193">
        <v>0</v>
      </c>
      <c r="G37" s="193">
        <v>0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0</v>
      </c>
      <c r="X37" s="193">
        <v>0</v>
      </c>
      <c r="Y37" s="193">
        <v>0</v>
      </c>
      <c r="Z37" s="193">
        <v>0</v>
      </c>
      <c r="AA37" s="193">
        <v>0</v>
      </c>
      <c r="AB37" s="193">
        <v>0</v>
      </c>
      <c r="AC37" s="191" t="s">
        <v>170</v>
      </c>
      <c r="AD37" s="192" t="s">
        <v>170</v>
      </c>
    </row>
    <row r="38" spans="2:30" outlineLevel="1" x14ac:dyDescent="0.25">
      <c r="B38" s="181">
        <v>0.97499999999999998</v>
      </c>
      <c r="C38" s="193">
        <v>0</v>
      </c>
      <c r="D38" s="193">
        <v>0</v>
      </c>
      <c r="E38" s="193">
        <v>0</v>
      </c>
      <c r="F38" s="193">
        <v>0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0</v>
      </c>
      <c r="AA38" s="193">
        <v>0</v>
      </c>
      <c r="AB38" s="193">
        <v>0</v>
      </c>
      <c r="AC38" s="191" t="s">
        <v>170</v>
      </c>
      <c r="AD38" s="192" t="s">
        <v>170</v>
      </c>
    </row>
    <row r="39" spans="2:30" outlineLevel="1" x14ac:dyDescent="0.25">
      <c r="B39" s="181">
        <v>0.99</v>
      </c>
      <c r="C39" s="193">
        <v>0</v>
      </c>
      <c r="D39" s="193">
        <v>0</v>
      </c>
      <c r="E39" s="193">
        <v>0</v>
      </c>
      <c r="F39" s="193">
        <v>0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1" t="s">
        <v>170</v>
      </c>
      <c r="AD39" s="192" t="s">
        <v>170</v>
      </c>
    </row>
    <row r="40" spans="2:30" outlineLevel="1" x14ac:dyDescent="0.25">
      <c r="B40" s="181">
        <v>0.995</v>
      </c>
      <c r="C40" s="193">
        <v>0</v>
      </c>
      <c r="D40" s="193">
        <v>0</v>
      </c>
      <c r="E40" s="193">
        <v>0</v>
      </c>
      <c r="F40" s="193">
        <v>0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1" t="s">
        <v>170</v>
      </c>
      <c r="AD40" s="192" t="s">
        <v>170</v>
      </c>
    </row>
    <row r="41" spans="2:30" outlineLevel="1" x14ac:dyDescent="0.25">
      <c r="B41" s="181">
        <v>0.999</v>
      </c>
      <c r="C41" s="193">
        <v>0</v>
      </c>
      <c r="D41" s="193">
        <v>0</v>
      </c>
      <c r="E41" s="193">
        <v>0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1" t="s">
        <v>170</v>
      </c>
      <c r="AD41" s="192" t="s">
        <v>170</v>
      </c>
    </row>
    <row r="42" spans="2:30" x14ac:dyDescent="0.25">
      <c r="B42" s="179" t="s">
        <v>180</v>
      </c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8"/>
    </row>
    <row r="43" spans="2:30" outlineLevel="1" x14ac:dyDescent="0.25">
      <c r="B43" s="180" t="s">
        <v>169</v>
      </c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2"/>
    </row>
    <row r="44" spans="2:30" outlineLevel="1" x14ac:dyDescent="0.25">
      <c r="B44" s="180" t="s">
        <v>171</v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2"/>
    </row>
    <row r="45" spans="2:30" outlineLevel="1" x14ac:dyDescent="0.25">
      <c r="B45" s="180" t="s">
        <v>181</v>
      </c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2"/>
    </row>
    <row r="46" spans="2:30" ht="15.75" outlineLevel="1" thickBot="1" x14ac:dyDescent="0.3">
      <c r="B46" s="186" t="s">
        <v>182</v>
      </c>
      <c r="C46" s="197">
        <v>0</v>
      </c>
      <c r="D46" s="197">
        <v>0</v>
      </c>
      <c r="E46" s="197">
        <v>0</v>
      </c>
      <c r="F46" s="197">
        <v>0</v>
      </c>
      <c r="G46" s="197">
        <v>0</v>
      </c>
      <c r="H46" s="197">
        <v>0</v>
      </c>
      <c r="I46" s="197">
        <v>0</v>
      </c>
      <c r="J46" s="197">
        <v>0</v>
      </c>
      <c r="K46" s="197">
        <v>0</v>
      </c>
      <c r="L46" s="197">
        <v>0</v>
      </c>
      <c r="M46" s="197">
        <v>0</v>
      </c>
      <c r="N46" s="197">
        <v>0</v>
      </c>
      <c r="O46" s="197">
        <v>0</v>
      </c>
      <c r="P46" s="197">
        <v>0</v>
      </c>
      <c r="Q46" s="197">
        <v>0</v>
      </c>
      <c r="R46" s="197">
        <v>0</v>
      </c>
      <c r="S46" s="197">
        <v>0</v>
      </c>
      <c r="T46" s="197">
        <v>0</v>
      </c>
      <c r="U46" s="197">
        <v>0</v>
      </c>
      <c r="V46" s="197">
        <v>0</v>
      </c>
      <c r="W46" s="197">
        <v>0</v>
      </c>
      <c r="X46" s="197">
        <v>0</v>
      </c>
      <c r="Y46" s="197">
        <v>0</v>
      </c>
      <c r="Z46" s="197">
        <v>0</v>
      </c>
      <c r="AA46" s="197">
        <v>0</v>
      </c>
      <c r="AB46" s="197">
        <v>0</v>
      </c>
      <c r="AC46" s="197">
        <v>0</v>
      </c>
      <c r="AD46" s="198">
        <v>0</v>
      </c>
    </row>
  </sheetData>
  <mergeCells count="4">
    <mergeCell ref="B4:AD4"/>
    <mergeCell ref="B7:AD7"/>
    <mergeCell ref="B18:AD18"/>
    <mergeCell ref="B42:AD42"/>
  </mergeCells>
  <pageMargins left="0.7" right="0.7" top="0.75" bottom="0.75" header="0.3" footer="0.3"/>
  <pageSetup fitToWidth="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414C-F18E-46DA-B8CD-E6A9A5F61380}">
  <sheetPr>
    <outlinePr summaryBelow="0" summaryRight="0"/>
  </sheetPr>
  <dimension ref="B1:AD46"/>
  <sheetViews>
    <sheetView showGridLines="0" workbookViewId="0">
      <selection activeCell="L28" sqref="L28"/>
    </sheetView>
  </sheetViews>
  <sheetFormatPr defaultRowHeight="15" outlineLevelRow="1" x14ac:dyDescent="0.25"/>
  <cols>
    <col min="1" max="1" width="0.28515625" customWidth="1"/>
    <col min="2" max="30" width="14.28515625" customWidth="1"/>
  </cols>
  <sheetData>
    <row r="1" spans="2:30" s="199" customFormat="1" ht="65.650000000000006" customHeight="1" x14ac:dyDescent="0.25"/>
    <row r="2" spans="2:30" ht="15.75" thickBot="1" x14ac:dyDescent="0.3"/>
    <row r="3" spans="2:30" ht="84.75" x14ac:dyDescent="0.25">
      <c r="B3" s="182" t="s">
        <v>135</v>
      </c>
      <c r="C3" s="183" t="s">
        <v>136</v>
      </c>
      <c r="D3" s="184" t="s">
        <v>137</v>
      </c>
      <c r="E3" s="184" t="s">
        <v>138</v>
      </c>
      <c r="F3" s="184" t="s">
        <v>139</v>
      </c>
      <c r="G3" s="184" t="s">
        <v>140</v>
      </c>
      <c r="H3" s="184" t="s">
        <v>141</v>
      </c>
      <c r="I3" s="184" t="s">
        <v>142</v>
      </c>
      <c r="J3" s="184" t="s">
        <v>143</v>
      </c>
      <c r="K3" s="184" t="s">
        <v>144</v>
      </c>
      <c r="L3" s="184" t="s">
        <v>145</v>
      </c>
      <c r="M3" s="184" t="s">
        <v>146</v>
      </c>
      <c r="N3" s="184" t="s">
        <v>147</v>
      </c>
      <c r="O3" s="184" t="s">
        <v>148</v>
      </c>
      <c r="P3" s="184" t="s">
        <v>149</v>
      </c>
      <c r="Q3" s="184" t="s">
        <v>150</v>
      </c>
      <c r="R3" s="184" t="s">
        <v>151</v>
      </c>
      <c r="S3" s="184" t="s">
        <v>152</v>
      </c>
      <c r="T3" s="184" t="s">
        <v>153</v>
      </c>
      <c r="U3" s="184" t="s">
        <v>154</v>
      </c>
      <c r="V3" s="184" t="s">
        <v>155</v>
      </c>
      <c r="W3" s="184" t="s">
        <v>156</v>
      </c>
      <c r="X3" s="184" t="s">
        <v>157</v>
      </c>
      <c r="Y3" s="184" t="s">
        <v>158</v>
      </c>
      <c r="Z3" s="184" t="s">
        <v>159</v>
      </c>
      <c r="AA3" s="184" t="s">
        <v>160</v>
      </c>
      <c r="AB3" s="184" t="s">
        <v>161</v>
      </c>
      <c r="AC3" s="184" t="s">
        <v>162</v>
      </c>
      <c r="AD3" s="185" t="s">
        <v>163</v>
      </c>
    </row>
    <row r="4" spans="2:30" x14ac:dyDescent="0.25">
      <c r="B4" s="179" t="s">
        <v>164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8"/>
    </row>
    <row r="5" spans="2:30" ht="37.5" customHeight="1" outlineLevel="1" x14ac:dyDescent="0.25">
      <c r="B5" s="180" t="s">
        <v>165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90"/>
    </row>
    <row r="6" spans="2:30" outlineLevel="1" x14ac:dyDescent="0.25">
      <c r="B6" s="180" t="s">
        <v>166</v>
      </c>
      <c r="C6" s="191" t="s">
        <v>167</v>
      </c>
      <c r="D6" s="191" t="s">
        <v>167</v>
      </c>
      <c r="E6" s="191" t="s">
        <v>167</v>
      </c>
      <c r="F6" s="191" t="s">
        <v>167</v>
      </c>
      <c r="G6" s="191" t="s">
        <v>167</v>
      </c>
      <c r="H6" s="191" t="s">
        <v>167</v>
      </c>
      <c r="I6" s="191" t="s">
        <v>167</v>
      </c>
      <c r="J6" s="191" t="s">
        <v>167</v>
      </c>
      <c r="K6" s="191" t="s">
        <v>167</v>
      </c>
      <c r="L6" s="191" t="s">
        <v>167</v>
      </c>
      <c r="M6" s="191" t="s">
        <v>167</v>
      </c>
      <c r="N6" s="191" t="s">
        <v>167</v>
      </c>
      <c r="O6" s="191" t="s">
        <v>167</v>
      </c>
      <c r="P6" s="191" t="s">
        <v>167</v>
      </c>
      <c r="Q6" s="191" t="s">
        <v>167</v>
      </c>
      <c r="R6" s="191" t="s">
        <v>167</v>
      </c>
      <c r="S6" s="191" t="s">
        <v>167</v>
      </c>
      <c r="T6" s="191" t="s">
        <v>167</v>
      </c>
      <c r="U6" s="191" t="s">
        <v>167</v>
      </c>
      <c r="V6" s="191" t="s">
        <v>167</v>
      </c>
      <c r="W6" s="191" t="s">
        <v>167</v>
      </c>
      <c r="X6" s="191" t="s">
        <v>167</v>
      </c>
      <c r="Y6" s="191" t="s">
        <v>167</v>
      </c>
      <c r="Z6" s="191" t="s">
        <v>167</v>
      </c>
      <c r="AA6" s="191" t="s">
        <v>167</v>
      </c>
      <c r="AB6" s="191" t="s">
        <v>167</v>
      </c>
      <c r="AC6" s="191" t="s">
        <v>167</v>
      </c>
      <c r="AD6" s="192" t="s">
        <v>167</v>
      </c>
    </row>
    <row r="7" spans="2:30" x14ac:dyDescent="0.25">
      <c r="B7" s="179" t="s">
        <v>168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8"/>
    </row>
    <row r="8" spans="2:30" outlineLevel="1" x14ac:dyDescent="0.25">
      <c r="B8" s="180" t="s">
        <v>169</v>
      </c>
      <c r="C8" s="193">
        <v>0</v>
      </c>
      <c r="D8" s="193">
        <v>0</v>
      </c>
      <c r="E8" s="193">
        <v>0</v>
      </c>
      <c r="F8" s="193">
        <v>0</v>
      </c>
      <c r="G8" s="193">
        <v>0</v>
      </c>
      <c r="H8" s="193">
        <v>0</v>
      </c>
      <c r="I8" s="193">
        <v>0</v>
      </c>
      <c r="J8" s="193">
        <v>0</v>
      </c>
      <c r="K8" s="193">
        <v>0</v>
      </c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  <c r="U8" s="193">
        <v>0</v>
      </c>
      <c r="V8" s="193">
        <v>0</v>
      </c>
      <c r="W8" s="193">
        <v>0</v>
      </c>
      <c r="X8" s="193">
        <v>0</v>
      </c>
      <c r="Y8" s="193">
        <v>0</v>
      </c>
      <c r="Z8" s="193">
        <v>0</v>
      </c>
      <c r="AA8" s="193">
        <v>0</v>
      </c>
      <c r="AB8" s="193">
        <v>0</v>
      </c>
      <c r="AC8" s="191" t="s">
        <v>170</v>
      </c>
      <c r="AD8" s="192" t="s">
        <v>170</v>
      </c>
    </row>
    <row r="9" spans="2:30" outlineLevel="1" x14ac:dyDescent="0.25">
      <c r="B9" s="180" t="s">
        <v>171</v>
      </c>
      <c r="C9" s="193">
        <v>1</v>
      </c>
      <c r="D9" s="193">
        <v>0</v>
      </c>
      <c r="E9" s="193">
        <v>0</v>
      </c>
      <c r="F9" s="193">
        <v>0</v>
      </c>
      <c r="G9" s="193">
        <v>0</v>
      </c>
      <c r="H9" s="193">
        <v>0</v>
      </c>
      <c r="I9" s="193">
        <v>0</v>
      </c>
      <c r="J9" s="193">
        <v>0</v>
      </c>
      <c r="K9" s="193">
        <v>0</v>
      </c>
      <c r="L9" s="193">
        <v>0</v>
      </c>
      <c r="M9" s="193">
        <v>0</v>
      </c>
      <c r="N9" s="193">
        <v>0</v>
      </c>
      <c r="O9" s="193">
        <v>0</v>
      </c>
      <c r="P9" s="193">
        <v>0</v>
      </c>
      <c r="Q9" s="193">
        <v>0</v>
      </c>
      <c r="R9" s="193">
        <v>0</v>
      </c>
      <c r="S9" s="193">
        <v>0</v>
      </c>
      <c r="T9" s="193">
        <v>0</v>
      </c>
      <c r="U9" s="193">
        <v>1</v>
      </c>
      <c r="V9" s="193">
        <v>1</v>
      </c>
      <c r="W9" s="193">
        <v>0</v>
      </c>
      <c r="X9" s="193">
        <v>0</v>
      </c>
      <c r="Y9" s="193">
        <v>0</v>
      </c>
      <c r="Z9" s="193">
        <v>0</v>
      </c>
      <c r="AA9" s="193">
        <v>0</v>
      </c>
      <c r="AB9" s="193">
        <v>0</v>
      </c>
      <c r="AC9" s="191" t="s">
        <v>170</v>
      </c>
      <c r="AD9" s="192" t="s">
        <v>170</v>
      </c>
    </row>
    <row r="10" spans="2:30" outlineLevel="1" x14ac:dyDescent="0.25">
      <c r="B10" s="180" t="s">
        <v>172</v>
      </c>
      <c r="C10" s="200">
        <v>1E-4</v>
      </c>
      <c r="D10" s="193">
        <v>0</v>
      </c>
      <c r="E10" s="193">
        <v>0</v>
      </c>
      <c r="F10" s="193">
        <v>0</v>
      </c>
      <c r="G10" s="193">
        <v>0</v>
      </c>
      <c r="H10" s="193">
        <v>0</v>
      </c>
      <c r="I10" s="193">
        <v>0</v>
      </c>
      <c r="J10" s="193">
        <v>0</v>
      </c>
      <c r="K10" s="193">
        <v>0</v>
      </c>
      <c r="L10" s="193">
        <v>0</v>
      </c>
      <c r="M10" s="193">
        <v>0</v>
      </c>
      <c r="N10" s="193">
        <v>0</v>
      </c>
      <c r="O10" s="193">
        <v>0</v>
      </c>
      <c r="P10" s="193">
        <v>0</v>
      </c>
      <c r="Q10" s="193">
        <v>0</v>
      </c>
      <c r="R10" s="193">
        <v>0</v>
      </c>
      <c r="S10" s="193">
        <v>0</v>
      </c>
      <c r="T10" s="193">
        <v>0</v>
      </c>
      <c r="U10" s="200">
        <v>1E-4</v>
      </c>
      <c r="V10" s="200">
        <v>1E-4</v>
      </c>
      <c r="W10" s="193">
        <v>0</v>
      </c>
      <c r="X10" s="193">
        <v>0</v>
      </c>
      <c r="Y10" s="193">
        <v>0</v>
      </c>
      <c r="Z10" s="193">
        <v>0</v>
      </c>
      <c r="AA10" s="193">
        <v>0</v>
      </c>
      <c r="AB10" s="193">
        <v>0</v>
      </c>
      <c r="AC10" s="191" t="s">
        <v>170</v>
      </c>
      <c r="AD10" s="192" t="s">
        <v>170</v>
      </c>
    </row>
    <row r="11" spans="2:30" outlineLevel="1" x14ac:dyDescent="0.25">
      <c r="B11" s="180" t="s">
        <v>173</v>
      </c>
      <c r="C11" s="193">
        <v>0</v>
      </c>
      <c r="D11" s="193">
        <v>0</v>
      </c>
      <c r="E11" s="193">
        <v>0</v>
      </c>
      <c r="F11" s="193">
        <v>0</v>
      </c>
      <c r="G11" s="193">
        <v>0</v>
      </c>
      <c r="H11" s="193">
        <v>0</v>
      </c>
      <c r="I11" s="193">
        <v>0</v>
      </c>
      <c r="J11" s="193">
        <v>0</v>
      </c>
      <c r="K11" s="193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  <c r="U11" s="193">
        <v>0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0</v>
      </c>
      <c r="AB11" s="193">
        <v>0</v>
      </c>
      <c r="AC11" s="191" t="s">
        <v>170</v>
      </c>
      <c r="AD11" s="192" t="s">
        <v>170</v>
      </c>
    </row>
    <row r="12" spans="2:30" outlineLevel="1" x14ac:dyDescent="0.25">
      <c r="B12" s="180" t="s">
        <v>8</v>
      </c>
      <c r="C12" s="193">
        <v>0</v>
      </c>
      <c r="D12" s="193">
        <v>0</v>
      </c>
      <c r="E12" s="193">
        <v>0</v>
      </c>
      <c r="F12" s="193">
        <v>0</v>
      </c>
      <c r="G12" s="193">
        <v>0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1" t="s">
        <v>170</v>
      </c>
      <c r="AD12" s="192" t="s">
        <v>170</v>
      </c>
    </row>
    <row r="13" spans="2:30" outlineLevel="1" x14ac:dyDescent="0.25">
      <c r="B13" s="180" t="s">
        <v>174</v>
      </c>
      <c r="C13" s="193">
        <v>1.0000000000002339E-2</v>
      </c>
      <c r="D13" s="193">
        <v>0</v>
      </c>
      <c r="E13" s="193">
        <v>0</v>
      </c>
      <c r="F13" s="193">
        <v>0</v>
      </c>
      <c r="G13" s="193">
        <v>0</v>
      </c>
      <c r="H13" s="193">
        <v>0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1.000000000000102E-2</v>
      </c>
      <c r="V13" s="193">
        <v>1.000000000000102E-2</v>
      </c>
      <c r="W13" s="193">
        <v>0</v>
      </c>
      <c r="X13" s="193">
        <v>0</v>
      </c>
      <c r="Y13" s="193">
        <v>0</v>
      </c>
      <c r="Z13" s="193">
        <v>0</v>
      </c>
      <c r="AA13" s="193">
        <v>0</v>
      </c>
      <c r="AB13" s="193">
        <v>0</v>
      </c>
      <c r="AC13" s="191" t="s">
        <v>170</v>
      </c>
      <c r="AD13" s="192" t="s">
        <v>170</v>
      </c>
    </row>
    <row r="14" spans="2:30" outlineLevel="1" x14ac:dyDescent="0.25">
      <c r="B14" s="180" t="s">
        <v>175</v>
      </c>
      <c r="C14" s="193">
        <v>1.0000000000004677E-4</v>
      </c>
      <c r="D14" s="193">
        <v>0</v>
      </c>
      <c r="E14" s="193">
        <v>0</v>
      </c>
      <c r="F14" s="193">
        <v>0</v>
      </c>
      <c r="G14" s="193">
        <v>0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  <c r="U14" s="193">
        <v>1.0000000000002041E-4</v>
      </c>
      <c r="V14" s="193">
        <v>1.0000000000002041E-4</v>
      </c>
      <c r="W14" s="193">
        <v>0</v>
      </c>
      <c r="X14" s="193">
        <v>0</v>
      </c>
      <c r="Y14" s="193">
        <v>0</v>
      </c>
      <c r="Z14" s="193">
        <v>0</v>
      </c>
      <c r="AA14" s="193">
        <v>0</v>
      </c>
      <c r="AB14" s="193">
        <v>0</v>
      </c>
      <c r="AC14" s="191" t="s">
        <v>170</v>
      </c>
      <c r="AD14" s="192" t="s">
        <v>170</v>
      </c>
    </row>
    <row r="15" spans="2:30" outlineLevel="1" x14ac:dyDescent="0.25">
      <c r="B15" s="180" t="s">
        <v>176</v>
      </c>
      <c r="C15" s="193">
        <v>99.999999999950447</v>
      </c>
      <c r="D15" s="191" t="s">
        <v>170</v>
      </c>
      <c r="E15" s="191" t="s">
        <v>170</v>
      </c>
      <c r="F15" s="191" t="s">
        <v>170</v>
      </c>
      <c r="G15" s="191" t="s">
        <v>170</v>
      </c>
      <c r="H15" s="191" t="s">
        <v>170</v>
      </c>
      <c r="I15" s="191" t="s">
        <v>170</v>
      </c>
      <c r="J15" s="191" t="s">
        <v>170</v>
      </c>
      <c r="K15" s="191" t="s">
        <v>170</v>
      </c>
      <c r="L15" s="191" t="s">
        <v>170</v>
      </c>
      <c r="M15" s="191" t="s">
        <v>170</v>
      </c>
      <c r="N15" s="191" t="s">
        <v>170</v>
      </c>
      <c r="O15" s="191" t="s">
        <v>170</v>
      </c>
      <c r="P15" s="191" t="s">
        <v>170</v>
      </c>
      <c r="Q15" s="191" t="s">
        <v>170</v>
      </c>
      <c r="R15" s="191" t="s">
        <v>170</v>
      </c>
      <c r="S15" s="191" t="s">
        <v>170</v>
      </c>
      <c r="T15" s="191" t="s">
        <v>170</v>
      </c>
      <c r="U15" s="193">
        <v>99.999999999978385</v>
      </c>
      <c r="V15" s="193">
        <v>99.999999999978385</v>
      </c>
      <c r="W15" s="191" t="s">
        <v>170</v>
      </c>
      <c r="X15" s="191" t="s">
        <v>170</v>
      </c>
      <c r="Y15" s="191" t="s">
        <v>170</v>
      </c>
      <c r="Z15" s="191" t="s">
        <v>170</v>
      </c>
      <c r="AA15" s="191" t="s">
        <v>170</v>
      </c>
      <c r="AB15" s="191" t="s">
        <v>170</v>
      </c>
      <c r="AC15" s="191" t="s">
        <v>170</v>
      </c>
      <c r="AD15" s="192" t="s">
        <v>170</v>
      </c>
    </row>
    <row r="16" spans="2:30" outlineLevel="1" x14ac:dyDescent="0.25">
      <c r="B16" s="180" t="s">
        <v>177</v>
      </c>
      <c r="C16" s="193">
        <v>10002.999999991671</v>
      </c>
      <c r="D16" s="191" t="s">
        <v>170</v>
      </c>
      <c r="E16" s="191" t="s">
        <v>170</v>
      </c>
      <c r="F16" s="191" t="s">
        <v>170</v>
      </c>
      <c r="G16" s="191" t="s">
        <v>170</v>
      </c>
      <c r="H16" s="191" t="s">
        <v>170</v>
      </c>
      <c r="I16" s="191" t="s">
        <v>170</v>
      </c>
      <c r="J16" s="191" t="s">
        <v>170</v>
      </c>
      <c r="K16" s="191" t="s">
        <v>170</v>
      </c>
      <c r="L16" s="191" t="s">
        <v>170</v>
      </c>
      <c r="M16" s="191" t="s">
        <v>170</v>
      </c>
      <c r="N16" s="191" t="s">
        <v>170</v>
      </c>
      <c r="O16" s="191" t="s">
        <v>170</v>
      </c>
      <c r="P16" s="191" t="s">
        <v>170</v>
      </c>
      <c r="Q16" s="191" t="s">
        <v>170</v>
      </c>
      <c r="R16" s="191" t="s">
        <v>170</v>
      </c>
      <c r="S16" s="191" t="s">
        <v>170</v>
      </c>
      <c r="T16" s="191" t="s">
        <v>170</v>
      </c>
      <c r="U16" s="193">
        <v>10002.999999996367</v>
      </c>
      <c r="V16" s="193">
        <v>10002.999999996367</v>
      </c>
      <c r="W16" s="191" t="s">
        <v>170</v>
      </c>
      <c r="X16" s="191" t="s">
        <v>170</v>
      </c>
      <c r="Y16" s="191" t="s">
        <v>170</v>
      </c>
      <c r="Z16" s="191" t="s">
        <v>170</v>
      </c>
      <c r="AA16" s="191" t="s">
        <v>170</v>
      </c>
      <c r="AB16" s="191" t="s">
        <v>170</v>
      </c>
      <c r="AC16" s="191" t="s">
        <v>170</v>
      </c>
      <c r="AD16" s="192" t="s">
        <v>170</v>
      </c>
    </row>
    <row r="17" spans="2:30" outlineLevel="1" x14ac:dyDescent="0.25">
      <c r="B17" s="180" t="s">
        <v>178</v>
      </c>
      <c r="C17" s="195">
        <v>0</v>
      </c>
      <c r="D17" s="195">
        <v>0</v>
      </c>
      <c r="E17" s="195">
        <v>0</v>
      </c>
      <c r="F17" s="195">
        <v>0</v>
      </c>
      <c r="G17" s="195">
        <v>0</v>
      </c>
      <c r="H17" s="195">
        <v>0</v>
      </c>
      <c r="I17" s="195">
        <v>0</v>
      </c>
      <c r="J17" s="195">
        <v>0</v>
      </c>
      <c r="K17" s="195">
        <v>0</v>
      </c>
      <c r="L17" s="195">
        <v>0</v>
      </c>
      <c r="M17" s="195">
        <v>0</v>
      </c>
      <c r="N17" s="195">
        <v>0</v>
      </c>
      <c r="O17" s="195">
        <v>0</v>
      </c>
      <c r="P17" s="195">
        <v>0</v>
      </c>
      <c r="Q17" s="195">
        <v>0</v>
      </c>
      <c r="R17" s="195">
        <v>0</v>
      </c>
      <c r="S17" s="195">
        <v>0</v>
      </c>
      <c r="T17" s="195">
        <v>0</v>
      </c>
      <c r="U17" s="195">
        <v>0</v>
      </c>
      <c r="V17" s="195">
        <v>0</v>
      </c>
      <c r="W17" s="195">
        <v>0</v>
      </c>
      <c r="X17" s="195">
        <v>0</v>
      </c>
      <c r="Y17" s="195">
        <v>0</v>
      </c>
      <c r="Z17" s="195">
        <v>0</v>
      </c>
      <c r="AA17" s="195">
        <v>0</v>
      </c>
      <c r="AB17" s="195">
        <v>0</v>
      </c>
      <c r="AC17" s="195">
        <v>10000</v>
      </c>
      <c r="AD17" s="196">
        <v>10000</v>
      </c>
    </row>
    <row r="18" spans="2:30" x14ac:dyDescent="0.25">
      <c r="B18" s="179" t="s">
        <v>179</v>
      </c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8"/>
    </row>
    <row r="19" spans="2:30" outlineLevel="1" x14ac:dyDescent="0.25">
      <c r="B19" s="181">
        <v>0.01</v>
      </c>
      <c r="C19" s="193">
        <v>0</v>
      </c>
      <c r="D19" s="193">
        <v>0</v>
      </c>
      <c r="E19" s="193">
        <v>0</v>
      </c>
      <c r="F19" s="193">
        <v>0</v>
      </c>
      <c r="G19" s="193">
        <v>0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93">
        <v>0</v>
      </c>
      <c r="AB19" s="193">
        <v>0</v>
      </c>
      <c r="AC19" s="191" t="s">
        <v>170</v>
      </c>
      <c r="AD19" s="192" t="s">
        <v>170</v>
      </c>
    </row>
    <row r="20" spans="2:30" outlineLevel="1" x14ac:dyDescent="0.25">
      <c r="B20" s="181">
        <v>2.5000000000000001E-2</v>
      </c>
      <c r="C20" s="193">
        <v>0</v>
      </c>
      <c r="D20" s="193">
        <v>0</v>
      </c>
      <c r="E20" s="193">
        <v>0</v>
      </c>
      <c r="F20" s="193">
        <v>0</v>
      </c>
      <c r="G20" s="193">
        <v>0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93">
        <v>0</v>
      </c>
      <c r="AB20" s="193">
        <v>0</v>
      </c>
      <c r="AC20" s="191" t="s">
        <v>170</v>
      </c>
      <c r="AD20" s="192" t="s">
        <v>170</v>
      </c>
    </row>
    <row r="21" spans="2:30" outlineLevel="1" x14ac:dyDescent="0.25">
      <c r="B21" s="181">
        <v>0.05</v>
      </c>
      <c r="C21" s="193">
        <v>0</v>
      </c>
      <c r="D21" s="193">
        <v>0</v>
      </c>
      <c r="E21" s="193">
        <v>0</v>
      </c>
      <c r="F21" s="193">
        <v>0</v>
      </c>
      <c r="G21" s="193">
        <v>0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0</v>
      </c>
      <c r="X21" s="193">
        <v>0</v>
      </c>
      <c r="Y21" s="193">
        <v>0</v>
      </c>
      <c r="Z21" s="193">
        <v>0</v>
      </c>
      <c r="AA21" s="193">
        <v>0</v>
      </c>
      <c r="AB21" s="193">
        <v>0</v>
      </c>
      <c r="AC21" s="191" t="s">
        <v>170</v>
      </c>
      <c r="AD21" s="192" t="s">
        <v>170</v>
      </c>
    </row>
    <row r="22" spans="2:30" outlineLevel="1" x14ac:dyDescent="0.25">
      <c r="B22" s="181">
        <v>0.1</v>
      </c>
      <c r="C22" s="193">
        <v>0</v>
      </c>
      <c r="D22" s="193">
        <v>0</v>
      </c>
      <c r="E22" s="193">
        <v>0</v>
      </c>
      <c r="F22" s="193">
        <v>0</v>
      </c>
      <c r="G22" s="193">
        <v>0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0</v>
      </c>
      <c r="AB22" s="193">
        <v>0</v>
      </c>
      <c r="AC22" s="191" t="s">
        <v>170</v>
      </c>
      <c r="AD22" s="192" t="s">
        <v>170</v>
      </c>
    </row>
    <row r="23" spans="2:30" outlineLevel="1" x14ac:dyDescent="0.25">
      <c r="B23" s="181">
        <v>0.2</v>
      </c>
      <c r="C23" s="193">
        <v>0</v>
      </c>
      <c r="D23" s="193">
        <v>0</v>
      </c>
      <c r="E23" s="193">
        <v>0</v>
      </c>
      <c r="F23" s="193">
        <v>0</v>
      </c>
      <c r="G23" s="193">
        <v>0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0</v>
      </c>
      <c r="X23" s="193">
        <v>0</v>
      </c>
      <c r="Y23" s="193">
        <v>0</v>
      </c>
      <c r="Z23" s="193">
        <v>0</v>
      </c>
      <c r="AA23" s="193">
        <v>0</v>
      </c>
      <c r="AB23" s="193">
        <v>0</v>
      </c>
      <c r="AC23" s="191" t="s">
        <v>170</v>
      </c>
      <c r="AD23" s="192" t="s">
        <v>170</v>
      </c>
    </row>
    <row r="24" spans="2:30" outlineLevel="1" x14ac:dyDescent="0.25">
      <c r="B24" s="181">
        <v>0.25</v>
      </c>
      <c r="C24" s="193">
        <v>0</v>
      </c>
      <c r="D24" s="193">
        <v>0</v>
      </c>
      <c r="E24" s="193">
        <v>0</v>
      </c>
      <c r="F24" s="193">
        <v>0</v>
      </c>
      <c r="G24" s="193">
        <v>0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0</v>
      </c>
      <c r="X24" s="193">
        <v>0</v>
      </c>
      <c r="Y24" s="193">
        <v>0</v>
      </c>
      <c r="Z24" s="193">
        <v>0</v>
      </c>
      <c r="AA24" s="193">
        <v>0</v>
      </c>
      <c r="AB24" s="193">
        <v>0</v>
      </c>
      <c r="AC24" s="191" t="s">
        <v>170</v>
      </c>
      <c r="AD24" s="192" t="s">
        <v>170</v>
      </c>
    </row>
    <row r="25" spans="2:30" outlineLevel="1" x14ac:dyDescent="0.25">
      <c r="B25" s="181">
        <v>0.3</v>
      </c>
      <c r="C25" s="193">
        <v>0</v>
      </c>
      <c r="D25" s="193">
        <v>0</v>
      </c>
      <c r="E25" s="193">
        <v>0</v>
      </c>
      <c r="F25" s="193">
        <v>0</v>
      </c>
      <c r="G25" s="193">
        <v>0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0</v>
      </c>
      <c r="AB25" s="193">
        <v>0</v>
      </c>
      <c r="AC25" s="191" t="s">
        <v>170</v>
      </c>
      <c r="AD25" s="192" t="s">
        <v>170</v>
      </c>
    </row>
    <row r="26" spans="2:30" outlineLevel="1" x14ac:dyDescent="0.25">
      <c r="B26" s="181">
        <v>0.35</v>
      </c>
      <c r="C26" s="193">
        <v>0</v>
      </c>
      <c r="D26" s="193">
        <v>0</v>
      </c>
      <c r="E26" s="193">
        <v>0</v>
      </c>
      <c r="F26" s="193">
        <v>0</v>
      </c>
      <c r="G26" s="193">
        <v>0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0</v>
      </c>
      <c r="AB26" s="193">
        <v>0</v>
      </c>
      <c r="AC26" s="191" t="s">
        <v>170</v>
      </c>
      <c r="AD26" s="192" t="s">
        <v>170</v>
      </c>
    </row>
    <row r="27" spans="2:30" outlineLevel="1" x14ac:dyDescent="0.25">
      <c r="B27" s="181">
        <v>0.4</v>
      </c>
      <c r="C27" s="193">
        <v>0</v>
      </c>
      <c r="D27" s="193">
        <v>0</v>
      </c>
      <c r="E27" s="193">
        <v>0</v>
      </c>
      <c r="F27" s="193">
        <v>0</v>
      </c>
      <c r="G27" s="193">
        <v>0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1" t="s">
        <v>170</v>
      </c>
      <c r="AD27" s="192" t="s">
        <v>170</v>
      </c>
    </row>
    <row r="28" spans="2:30" outlineLevel="1" x14ac:dyDescent="0.25">
      <c r="B28" s="181">
        <v>0.45</v>
      </c>
      <c r="C28" s="193">
        <v>0</v>
      </c>
      <c r="D28" s="193">
        <v>0</v>
      </c>
      <c r="E28" s="193">
        <v>0</v>
      </c>
      <c r="F28" s="193">
        <v>0</v>
      </c>
      <c r="G28" s="193">
        <v>0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1" t="s">
        <v>170</v>
      </c>
      <c r="AD28" s="192" t="s">
        <v>170</v>
      </c>
    </row>
    <row r="29" spans="2:30" outlineLevel="1" x14ac:dyDescent="0.25">
      <c r="B29" s="181">
        <v>0.5</v>
      </c>
      <c r="C29" s="193">
        <v>0</v>
      </c>
      <c r="D29" s="193">
        <v>0</v>
      </c>
      <c r="E29" s="193">
        <v>0</v>
      </c>
      <c r="F29" s="193">
        <v>0</v>
      </c>
      <c r="G29" s="193">
        <v>0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1" t="s">
        <v>170</v>
      </c>
      <c r="AD29" s="192" t="s">
        <v>170</v>
      </c>
    </row>
    <row r="30" spans="2:30" outlineLevel="1" x14ac:dyDescent="0.25">
      <c r="B30" s="181">
        <v>0.55000000000000004</v>
      </c>
      <c r="C30" s="193">
        <v>0</v>
      </c>
      <c r="D30" s="193">
        <v>0</v>
      </c>
      <c r="E30" s="193">
        <v>0</v>
      </c>
      <c r="F30" s="193">
        <v>0</v>
      </c>
      <c r="G30" s="193">
        <v>0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1" t="s">
        <v>170</v>
      </c>
      <c r="AD30" s="192" t="s">
        <v>170</v>
      </c>
    </row>
    <row r="31" spans="2:30" outlineLevel="1" x14ac:dyDescent="0.25">
      <c r="B31" s="181">
        <v>0.6</v>
      </c>
      <c r="C31" s="193">
        <v>0</v>
      </c>
      <c r="D31" s="193">
        <v>0</v>
      </c>
      <c r="E31" s="193">
        <v>0</v>
      </c>
      <c r="F31" s="193">
        <v>0</v>
      </c>
      <c r="G31" s="193">
        <v>0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1" t="s">
        <v>170</v>
      </c>
      <c r="AD31" s="192" t="s">
        <v>170</v>
      </c>
    </row>
    <row r="32" spans="2:30" outlineLevel="1" x14ac:dyDescent="0.25">
      <c r="B32" s="181">
        <v>0.65</v>
      </c>
      <c r="C32" s="193">
        <v>0</v>
      </c>
      <c r="D32" s="193">
        <v>0</v>
      </c>
      <c r="E32" s="193">
        <v>0</v>
      </c>
      <c r="F32" s="193">
        <v>0</v>
      </c>
      <c r="G32" s="193">
        <v>0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1" t="s">
        <v>170</v>
      </c>
      <c r="AD32" s="192" t="s">
        <v>170</v>
      </c>
    </row>
    <row r="33" spans="2:30" outlineLevel="1" x14ac:dyDescent="0.25">
      <c r="B33" s="181">
        <v>0.7</v>
      </c>
      <c r="C33" s="193">
        <v>0</v>
      </c>
      <c r="D33" s="193">
        <v>0</v>
      </c>
      <c r="E33" s="193">
        <v>0</v>
      </c>
      <c r="F33" s="193">
        <v>0</v>
      </c>
      <c r="G33" s="193">
        <v>0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1" t="s">
        <v>170</v>
      </c>
      <c r="AD33" s="192" t="s">
        <v>170</v>
      </c>
    </row>
    <row r="34" spans="2:30" outlineLevel="1" x14ac:dyDescent="0.25">
      <c r="B34" s="181">
        <v>0.75</v>
      </c>
      <c r="C34" s="193">
        <v>0</v>
      </c>
      <c r="D34" s="193">
        <v>0</v>
      </c>
      <c r="E34" s="193">
        <v>0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1" t="s">
        <v>170</v>
      </c>
      <c r="AD34" s="192" t="s">
        <v>170</v>
      </c>
    </row>
    <row r="35" spans="2:30" outlineLevel="1" x14ac:dyDescent="0.25">
      <c r="B35" s="181">
        <v>0.8</v>
      </c>
      <c r="C35" s="193">
        <v>0</v>
      </c>
      <c r="D35" s="193">
        <v>0</v>
      </c>
      <c r="E35" s="193">
        <v>0</v>
      </c>
      <c r="F35" s="193">
        <v>0</v>
      </c>
      <c r="G35" s="193">
        <v>0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0</v>
      </c>
      <c r="Y35" s="193">
        <v>0</v>
      </c>
      <c r="Z35" s="193">
        <v>0</v>
      </c>
      <c r="AA35" s="193">
        <v>0</v>
      </c>
      <c r="AB35" s="193">
        <v>0</v>
      </c>
      <c r="AC35" s="191" t="s">
        <v>170</v>
      </c>
      <c r="AD35" s="192" t="s">
        <v>170</v>
      </c>
    </row>
    <row r="36" spans="2:30" outlineLevel="1" x14ac:dyDescent="0.25">
      <c r="B36" s="181">
        <v>0.9</v>
      </c>
      <c r="C36" s="193">
        <v>0</v>
      </c>
      <c r="D36" s="193">
        <v>0</v>
      </c>
      <c r="E36" s="193">
        <v>0</v>
      </c>
      <c r="F36" s="193">
        <v>0</v>
      </c>
      <c r="G36" s="193">
        <v>0</v>
      </c>
      <c r="H36" s="193">
        <v>0</v>
      </c>
      <c r="I36" s="193">
        <v>0</v>
      </c>
      <c r="J36" s="193">
        <v>0</v>
      </c>
      <c r="K36" s="193">
        <v>0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0</v>
      </c>
      <c r="X36" s="193">
        <v>0</v>
      </c>
      <c r="Y36" s="193">
        <v>0</v>
      </c>
      <c r="Z36" s="193">
        <v>0</v>
      </c>
      <c r="AA36" s="193">
        <v>0</v>
      </c>
      <c r="AB36" s="193">
        <v>0</v>
      </c>
      <c r="AC36" s="191" t="s">
        <v>170</v>
      </c>
      <c r="AD36" s="192" t="s">
        <v>170</v>
      </c>
    </row>
    <row r="37" spans="2:30" outlineLevel="1" x14ac:dyDescent="0.25">
      <c r="B37" s="181">
        <v>0.95</v>
      </c>
      <c r="C37" s="193">
        <v>0</v>
      </c>
      <c r="D37" s="193">
        <v>0</v>
      </c>
      <c r="E37" s="193">
        <v>0</v>
      </c>
      <c r="F37" s="193">
        <v>0</v>
      </c>
      <c r="G37" s="193">
        <v>0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0</v>
      </c>
      <c r="X37" s="193">
        <v>0</v>
      </c>
      <c r="Y37" s="193">
        <v>0</v>
      </c>
      <c r="Z37" s="193">
        <v>0</v>
      </c>
      <c r="AA37" s="193">
        <v>0</v>
      </c>
      <c r="AB37" s="193">
        <v>0</v>
      </c>
      <c r="AC37" s="191" t="s">
        <v>170</v>
      </c>
      <c r="AD37" s="192" t="s">
        <v>170</v>
      </c>
    </row>
    <row r="38" spans="2:30" outlineLevel="1" x14ac:dyDescent="0.25">
      <c r="B38" s="181">
        <v>0.97499999999999998</v>
      </c>
      <c r="C38" s="193">
        <v>0</v>
      </c>
      <c r="D38" s="193">
        <v>0</v>
      </c>
      <c r="E38" s="193">
        <v>0</v>
      </c>
      <c r="F38" s="193">
        <v>0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0</v>
      </c>
      <c r="AA38" s="193">
        <v>0</v>
      </c>
      <c r="AB38" s="193">
        <v>0</v>
      </c>
      <c r="AC38" s="191" t="s">
        <v>170</v>
      </c>
      <c r="AD38" s="192" t="s">
        <v>170</v>
      </c>
    </row>
    <row r="39" spans="2:30" outlineLevel="1" x14ac:dyDescent="0.25">
      <c r="B39" s="181">
        <v>0.99</v>
      </c>
      <c r="C39" s="193">
        <v>0</v>
      </c>
      <c r="D39" s="193">
        <v>0</v>
      </c>
      <c r="E39" s="193">
        <v>0</v>
      </c>
      <c r="F39" s="193">
        <v>0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1" t="s">
        <v>170</v>
      </c>
      <c r="AD39" s="192" t="s">
        <v>170</v>
      </c>
    </row>
    <row r="40" spans="2:30" outlineLevel="1" x14ac:dyDescent="0.25">
      <c r="B40" s="181">
        <v>0.995</v>
      </c>
      <c r="C40" s="193">
        <v>0</v>
      </c>
      <c r="D40" s="193">
        <v>0</v>
      </c>
      <c r="E40" s="193">
        <v>0</v>
      </c>
      <c r="F40" s="193">
        <v>0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1" t="s">
        <v>170</v>
      </c>
      <c r="AD40" s="192" t="s">
        <v>170</v>
      </c>
    </row>
    <row r="41" spans="2:30" outlineLevel="1" x14ac:dyDescent="0.25">
      <c r="B41" s="181">
        <v>0.999</v>
      </c>
      <c r="C41" s="193">
        <v>0</v>
      </c>
      <c r="D41" s="193">
        <v>0</v>
      </c>
      <c r="E41" s="193">
        <v>0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1" t="s">
        <v>170</v>
      </c>
      <c r="AD41" s="192" t="s">
        <v>170</v>
      </c>
    </row>
    <row r="42" spans="2:30" x14ac:dyDescent="0.25">
      <c r="B42" s="179" t="s">
        <v>180</v>
      </c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8"/>
    </row>
    <row r="43" spans="2:30" outlineLevel="1" x14ac:dyDescent="0.25">
      <c r="B43" s="180" t="s">
        <v>169</v>
      </c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2"/>
    </row>
    <row r="44" spans="2:30" outlineLevel="1" x14ac:dyDescent="0.25">
      <c r="B44" s="180" t="s">
        <v>171</v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2"/>
    </row>
    <row r="45" spans="2:30" outlineLevel="1" x14ac:dyDescent="0.25">
      <c r="B45" s="180" t="s">
        <v>181</v>
      </c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2"/>
    </row>
    <row r="46" spans="2:30" ht="15.75" outlineLevel="1" thickBot="1" x14ac:dyDescent="0.3">
      <c r="B46" s="186" t="s">
        <v>182</v>
      </c>
      <c r="C46" s="197">
        <v>0</v>
      </c>
      <c r="D46" s="197">
        <v>0</v>
      </c>
      <c r="E46" s="197">
        <v>0</v>
      </c>
      <c r="F46" s="197">
        <v>0</v>
      </c>
      <c r="G46" s="197">
        <v>0</v>
      </c>
      <c r="H46" s="197">
        <v>0</v>
      </c>
      <c r="I46" s="197">
        <v>0</v>
      </c>
      <c r="J46" s="197">
        <v>0</v>
      </c>
      <c r="K46" s="197">
        <v>0</v>
      </c>
      <c r="L46" s="197">
        <v>0</v>
      </c>
      <c r="M46" s="197">
        <v>0</v>
      </c>
      <c r="N46" s="197">
        <v>0</v>
      </c>
      <c r="O46" s="197">
        <v>0</v>
      </c>
      <c r="P46" s="197">
        <v>0</v>
      </c>
      <c r="Q46" s="197">
        <v>0</v>
      </c>
      <c r="R46" s="197">
        <v>0</v>
      </c>
      <c r="S46" s="197">
        <v>0</v>
      </c>
      <c r="T46" s="197">
        <v>0</v>
      </c>
      <c r="U46" s="197">
        <v>0</v>
      </c>
      <c r="V46" s="197">
        <v>0</v>
      </c>
      <c r="W46" s="197">
        <v>0</v>
      </c>
      <c r="X46" s="197">
        <v>0</v>
      </c>
      <c r="Y46" s="197">
        <v>0</v>
      </c>
      <c r="Z46" s="197">
        <v>0</v>
      </c>
      <c r="AA46" s="197">
        <v>0</v>
      </c>
      <c r="AB46" s="197">
        <v>0</v>
      </c>
      <c r="AC46" s="197">
        <v>0</v>
      </c>
      <c r="AD46" s="198">
        <v>0</v>
      </c>
    </row>
  </sheetData>
  <mergeCells count="4">
    <mergeCell ref="B4:AD4"/>
    <mergeCell ref="B7:AD7"/>
    <mergeCell ref="B18:AD18"/>
    <mergeCell ref="B42:AD42"/>
  </mergeCells>
  <pageMargins left="0.7" right="0.7" top="0.75" bottom="0.75" header="0.3" footer="0.3"/>
  <pageSetup fitToWidth="0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07B0-051B-43BC-8C6E-F2195B73F7D7}">
  <sheetPr>
    <outlinePr summaryBelow="0" summaryRight="0"/>
  </sheetPr>
  <dimension ref="B1:AD46"/>
  <sheetViews>
    <sheetView showGridLines="0" workbookViewId="0">
      <selection activeCell="L29" sqref="L29"/>
    </sheetView>
  </sheetViews>
  <sheetFormatPr defaultRowHeight="15" outlineLevelRow="1" x14ac:dyDescent="0.25"/>
  <cols>
    <col min="1" max="1" width="0.28515625" customWidth="1"/>
    <col min="2" max="30" width="14.28515625" customWidth="1"/>
  </cols>
  <sheetData>
    <row r="1" spans="2:30" s="199" customFormat="1" ht="65.650000000000006" customHeight="1" x14ac:dyDescent="0.25"/>
    <row r="2" spans="2:30" ht="15.75" thickBot="1" x14ac:dyDescent="0.3"/>
    <row r="3" spans="2:30" ht="84.75" x14ac:dyDescent="0.25">
      <c r="B3" s="182" t="s">
        <v>135</v>
      </c>
      <c r="C3" s="183" t="s">
        <v>136</v>
      </c>
      <c r="D3" s="184" t="s">
        <v>137</v>
      </c>
      <c r="E3" s="184" t="s">
        <v>138</v>
      </c>
      <c r="F3" s="184" t="s">
        <v>139</v>
      </c>
      <c r="G3" s="184" t="s">
        <v>140</v>
      </c>
      <c r="H3" s="184" t="s">
        <v>141</v>
      </c>
      <c r="I3" s="184" t="s">
        <v>142</v>
      </c>
      <c r="J3" s="184" t="s">
        <v>143</v>
      </c>
      <c r="K3" s="184" t="s">
        <v>144</v>
      </c>
      <c r="L3" s="184" t="s">
        <v>145</v>
      </c>
      <c r="M3" s="184" t="s">
        <v>146</v>
      </c>
      <c r="N3" s="184" t="s">
        <v>147</v>
      </c>
      <c r="O3" s="184" t="s">
        <v>148</v>
      </c>
      <c r="P3" s="184" t="s">
        <v>149</v>
      </c>
      <c r="Q3" s="184" t="s">
        <v>150</v>
      </c>
      <c r="R3" s="184" t="s">
        <v>151</v>
      </c>
      <c r="S3" s="184" t="s">
        <v>152</v>
      </c>
      <c r="T3" s="184" t="s">
        <v>153</v>
      </c>
      <c r="U3" s="184" t="s">
        <v>154</v>
      </c>
      <c r="V3" s="184" t="s">
        <v>155</v>
      </c>
      <c r="W3" s="184" t="s">
        <v>156</v>
      </c>
      <c r="X3" s="184" t="s">
        <v>157</v>
      </c>
      <c r="Y3" s="184" t="s">
        <v>158</v>
      </c>
      <c r="Z3" s="184" t="s">
        <v>159</v>
      </c>
      <c r="AA3" s="184" t="s">
        <v>160</v>
      </c>
      <c r="AB3" s="184" t="s">
        <v>161</v>
      </c>
      <c r="AC3" s="184" t="s">
        <v>162</v>
      </c>
      <c r="AD3" s="185" t="s">
        <v>163</v>
      </c>
    </row>
    <row r="4" spans="2:30" x14ac:dyDescent="0.25">
      <c r="B4" s="179" t="s">
        <v>164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8"/>
    </row>
    <row r="5" spans="2:30" ht="37.5" customHeight="1" outlineLevel="1" x14ac:dyDescent="0.25">
      <c r="B5" s="180" t="s">
        <v>165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90"/>
    </row>
    <row r="6" spans="2:30" outlineLevel="1" x14ac:dyDescent="0.25">
      <c r="B6" s="180" t="s">
        <v>166</v>
      </c>
      <c r="C6" s="191" t="s">
        <v>167</v>
      </c>
      <c r="D6" s="191" t="s">
        <v>167</v>
      </c>
      <c r="E6" s="191" t="s">
        <v>167</v>
      </c>
      <c r="F6" s="191" t="s">
        <v>167</v>
      </c>
      <c r="G6" s="191" t="s">
        <v>167</v>
      </c>
      <c r="H6" s="191" t="s">
        <v>167</v>
      </c>
      <c r="I6" s="191" t="s">
        <v>167</v>
      </c>
      <c r="J6" s="191" t="s">
        <v>167</v>
      </c>
      <c r="K6" s="191" t="s">
        <v>167</v>
      </c>
      <c r="L6" s="191" t="s">
        <v>167</v>
      </c>
      <c r="M6" s="191" t="s">
        <v>167</v>
      </c>
      <c r="N6" s="191" t="s">
        <v>167</v>
      </c>
      <c r="O6" s="191" t="s">
        <v>167</v>
      </c>
      <c r="P6" s="191" t="s">
        <v>167</v>
      </c>
      <c r="Q6" s="191" t="s">
        <v>167</v>
      </c>
      <c r="R6" s="191" t="s">
        <v>167</v>
      </c>
      <c r="S6" s="191" t="s">
        <v>167</v>
      </c>
      <c r="T6" s="191" t="s">
        <v>167</v>
      </c>
      <c r="U6" s="191" t="s">
        <v>167</v>
      </c>
      <c r="V6" s="191" t="s">
        <v>167</v>
      </c>
      <c r="W6" s="191" t="s">
        <v>167</v>
      </c>
      <c r="X6" s="191" t="s">
        <v>167</v>
      </c>
      <c r="Y6" s="191" t="s">
        <v>167</v>
      </c>
      <c r="Z6" s="191" t="s">
        <v>167</v>
      </c>
      <c r="AA6" s="191" t="s">
        <v>167</v>
      </c>
      <c r="AB6" s="191" t="s">
        <v>167</v>
      </c>
      <c r="AC6" s="191" t="s">
        <v>167</v>
      </c>
      <c r="AD6" s="192" t="s">
        <v>167</v>
      </c>
    </row>
    <row r="7" spans="2:30" x14ac:dyDescent="0.25">
      <c r="B7" s="179" t="s">
        <v>168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8"/>
    </row>
    <row r="8" spans="2:30" outlineLevel="1" x14ac:dyDescent="0.25">
      <c r="B8" s="180" t="s">
        <v>169</v>
      </c>
      <c r="C8" s="193">
        <v>0</v>
      </c>
      <c r="D8" s="193">
        <v>0</v>
      </c>
      <c r="E8" s="193">
        <v>0</v>
      </c>
      <c r="F8" s="193">
        <v>0</v>
      </c>
      <c r="G8" s="193">
        <v>0</v>
      </c>
      <c r="H8" s="193">
        <v>0</v>
      </c>
      <c r="I8" s="193">
        <v>0</v>
      </c>
      <c r="J8" s="193">
        <v>0</v>
      </c>
      <c r="K8" s="193">
        <v>0</v>
      </c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  <c r="U8" s="193">
        <v>0</v>
      </c>
      <c r="V8" s="193">
        <v>0</v>
      </c>
      <c r="W8" s="193">
        <v>0</v>
      </c>
      <c r="X8" s="193">
        <v>0</v>
      </c>
      <c r="Y8" s="193">
        <v>0</v>
      </c>
      <c r="Z8" s="193">
        <v>0</v>
      </c>
      <c r="AA8" s="193">
        <v>0</v>
      </c>
      <c r="AB8" s="193">
        <v>0</v>
      </c>
      <c r="AC8" s="191" t="s">
        <v>170</v>
      </c>
      <c r="AD8" s="192" t="s">
        <v>170</v>
      </c>
    </row>
    <row r="9" spans="2:30" outlineLevel="1" x14ac:dyDescent="0.25">
      <c r="B9" s="180" t="s">
        <v>171</v>
      </c>
      <c r="C9" s="193">
        <v>0</v>
      </c>
      <c r="D9" s="193">
        <v>0</v>
      </c>
      <c r="E9" s="193">
        <v>0</v>
      </c>
      <c r="F9" s="193">
        <v>0</v>
      </c>
      <c r="G9" s="193">
        <v>0</v>
      </c>
      <c r="H9" s="193">
        <v>0</v>
      </c>
      <c r="I9" s="193">
        <v>0</v>
      </c>
      <c r="J9" s="193">
        <v>0</v>
      </c>
      <c r="K9" s="193">
        <v>0</v>
      </c>
      <c r="L9" s="193">
        <v>0</v>
      </c>
      <c r="M9" s="193">
        <v>0</v>
      </c>
      <c r="N9" s="193">
        <v>0</v>
      </c>
      <c r="O9" s="193">
        <v>0</v>
      </c>
      <c r="P9" s="193">
        <v>0</v>
      </c>
      <c r="Q9" s="193">
        <v>0</v>
      </c>
      <c r="R9" s="193">
        <v>0</v>
      </c>
      <c r="S9" s="193">
        <v>0</v>
      </c>
      <c r="T9" s="193">
        <v>0</v>
      </c>
      <c r="U9" s="193">
        <v>0</v>
      </c>
      <c r="V9" s="193">
        <v>0</v>
      </c>
      <c r="W9" s="193">
        <v>0</v>
      </c>
      <c r="X9" s="193">
        <v>0</v>
      </c>
      <c r="Y9" s="193">
        <v>0</v>
      </c>
      <c r="Z9" s="193">
        <v>0</v>
      </c>
      <c r="AA9" s="193">
        <v>0</v>
      </c>
      <c r="AB9" s="193">
        <v>0</v>
      </c>
      <c r="AC9" s="191" t="s">
        <v>170</v>
      </c>
      <c r="AD9" s="192" t="s">
        <v>170</v>
      </c>
    </row>
    <row r="10" spans="2:30" outlineLevel="1" x14ac:dyDescent="0.25">
      <c r="B10" s="180" t="s">
        <v>172</v>
      </c>
      <c r="C10" s="193">
        <v>0</v>
      </c>
      <c r="D10" s="193">
        <v>0</v>
      </c>
      <c r="E10" s="193">
        <v>0</v>
      </c>
      <c r="F10" s="193">
        <v>0</v>
      </c>
      <c r="G10" s="193">
        <v>0</v>
      </c>
      <c r="H10" s="193">
        <v>0</v>
      </c>
      <c r="I10" s="193">
        <v>0</v>
      </c>
      <c r="J10" s="193">
        <v>0</v>
      </c>
      <c r="K10" s="193">
        <v>0</v>
      </c>
      <c r="L10" s="193">
        <v>0</v>
      </c>
      <c r="M10" s="193">
        <v>0</v>
      </c>
      <c r="N10" s="193">
        <v>0</v>
      </c>
      <c r="O10" s="193">
        <v>0</v>
      </c>
      <c r="P10" s="193">
        <v>0</v>
      </c>
      <c r="Q10" s="193">
        <v>0</v>
      </c>
      <c r="R10" s="193">
        <v>0</v>
      </c>
      <c r="S10" s="193">
        <v>0</v>
      </c>
      <c r="T10" s="193">
        <v>0</v>
      </c>
      <c r="U10" s="193">
        <v>0</v>
      </c>
      <c r="V10" s="193">
        <v>0</v>
      </c>
      <c r="W10" s="193">
        <v>0</v>
      </c>
      <c r="X10" s="193">
        <v>0</v>
      </c>
      <c r="Y10" s="193">
        <v>0</v>
      </c>
      <c r="Z10" s="193">
        <v>0</v>
      </c>
      <c r="AA10" s="193">
        <v>0</v>
      </c>
      <c r="AB10" s="193">
        <v>0</v>
      </c>
      <c r="AC10" s="191" t="s">
        <v>170</v>
      </c>
      <c r="AD10" s="192" t="s">
        <v>170</v>
      </c>
    </row>
    <row r="11" spans="2:30" outlineLevel="1" x14ac:dyDescent="0.25">
      <c r="B11" s="180" t="s">
        <v>173</v>
      </c>
      <c r="C11" s="193">
        <v>0</v>
      </c>
      <c r="D11" s="193">
        <v>0</v>
      </c>
      <c r="E11" s="193">
        <v>0</v>
      </c>
      <c r="F11" s="193">
        <v>0</v>
      </c>
      <c r="G11" s="193">
        <v>0</v>
      </c>
      <c r="H11" s="193">
        <v>0</v>
      </c>
      <c r="I11" s="193">
        <v>0</v>
      </c>
      <c r="J11" s="193">
        <v>0</v>
      </c>
      <c r="K11" s="193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  <c r="U11" s="193">
        <v>0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0</v>
      </c>
      <c r="AB11" s="193">
        <v>0</v>
      </c>
      <c r="AC11" s="191" t="s">
        <v>170</v>
      </c>
      <c r="AD11" s="192" t="s">
        <v>170</v>
      </c>
    </row>
    <row r="12" spans="2:30" outlineLevel="1" x14ac:dyDescent="0.25">
      <c r="B12" s="180" t="s">
        <v>8</v>
      </c>
      <c r="C12" s="193">
        <v>0</v>
      </c>
      <c r="D12" s="193">
        <v>0</v>
      </c>
      <c r="E12" s="193">
        <v>0</v>
      </c>
      <c r="F12" s="193">
        <v>0</v>
      </c>
      <c r="G12" s="193">
        <v>0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1" t="s">
        <v>170</v>
      </c>
      <c r="AD12" s="192" t="s">
        <v>170</v>
      </c>
    </row>
    <row r="13" spans="2:30" outlineLevel="1" x14ac:dyDescent="0.25">
      <c r="B13" s="180" t="s">
        <v>174</v>
      </c>
      <c r="C13" s="193">
        <v>0</v>
      </c>
      <c r="D13" s="193">
        <v>0</v>
      </c>
      <c r="E13" s="193">
        <v>0</v>
      </c>
      <c r="F13" s="193">
        <v>0</v>
      </c>
      <c r="G13" s="193">
        <v>0</v>
      </c>
      <c r="H13" s="193">
        <v>0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0</v>
      </c>
      <c r="W13" s="193">
        <v>0</v>
      </c>
      <c r="X13" s="193">
        <v>0</v>
      </c>
      <c r="Y13" s="193">
        <v>0</v>
      </c>
      <c r="Z13" s="193">
        <v>0</v>
      </c>
      <c r="AA13" s="193">
        <v>0</v>
      </c>
      <c r="AB13" s="193">
        <v>0</v>
      </c>
      <c r="AC13" s="191" t="s">
        <v>170</v>
      </c>
      <c r="AD13" s="192" t="s">
        <v>170</v>
      </c>
    </row>
    <row r="14" spans="2:30" outlineLevel="1" x14ac:dyDescent="0.25">
      <c r="B14" s="180" t="s">
        <v>175</v>
      </c>
      <c r="C14" s="193">
        <v>0</v>
      </c>
      <c r="D14" s="193">
        <v>0</v>
      </c>
      <c r="E14" s="193">
        <v>0</v>
      </c>
      <c r="F14" s="193">
        <v>0</v>
      </c>
      <c r="G14" s="193">
        <v>0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  <c r="U14" s="193">
        <v>0</v>
      </c>
      <c r="V14" s="193">
        <v>0</v>
      </c>
      <c r="W14" s="193">
        <v>0</v>
      </c>
      <c r="X14" s="193">
        <v>0</v>
      </c>
      <c r="Y14" s="193">
        <v>0</v>
      </c>
      <c r="Z14" s="193">
        <v>0</v>
      </c>
      <c r="AA14" s="193">
        <v>0</v>
      </c>
      <c r="AB14" s="193">
        <v>0</v>
      </c>
      <c r="AC14" s="191" t="s">
        <v>170</v>
      </c>
      <c r="AD14" s="192" t="s">
        <v>170</v>
      </c>
    </row>
    <row r="15" spans="2:30" outlineLevel="1" x14ac:dyDescent="0.25">
      <c r="B15" s="180" t="s">
        <v>176</v>
      </c>
      <c r="C15" s="191" t="s">
        <v>170</v>
      </c>
      <c r="D15" s="191" t="s">
        <v>170</v>
      </c>
      <c r="E15" s="191" t="s">
        <v>170</v>
      </c>
      <c r="F15" s="191" t="s">
        <v>170</v>
      </c>
      <c r="G15" s="191" t="s">
        <v>170</v>
      </c>
      <c r="H15" s="191" t="s">
        <v>170</v>
      </c>
      <c r="I15" s="191" t="s">
        <v>170</v>
      </c>
      <c r="J15" s="191" t="s">
        <v>170</v>
      </c>
      <c r="K15" s="191" t="s">
        <v>170</v>
      </c>
      <c r="L15" s="191" t="s">
        <v>170</v>
      </c>
      <c r="M15" s="191" t="s">
        <v>170</v>
      </c>
      <c r="N15" s="191" t="s">
        <v>170</v>
      </c>
      <c r="O15" s="191" t="s">
        <v>170</v>
      </c>
      <c r="P15" s="191" t="s">
        <v>170</v>
      </c>
      <c r="Q15" s="191" t="s">
        <v>170</v>
      </c>
      <c r="R15" s="191" t="s">
        <v>170</v>
      </c>
      <c r="S15" s="191" t="s">
        <v>170</v>
      </c>
      <c r="T15" s="191" t="s">
        <v>170</v>
      </c>
      <c r="U15" s="191" t="s">
        <v>170</v>
      </c>
      <c r="V15" s="191" t="s">
        <v>170</v>
      </c>
      <c r="W15" s="191" t="s">
        <v>170</v>
      </c>
      <c r="X15" s="191" t="s">
        <v>170</v>
      </c>
      <c r="Y15" s="191" t="s">
        <v>170</v>
      </c>
      <c r="Z15" s="191" t="s">
        <v>170</v>
      </c>
      <c r="AA15" s="191" t="s">
        <v>170</v>
      </c>
      <c r="AB15" s="191" t="s">
        <v>170</v>
      </c>
      <c r="AC15" s="191" t="s">
        <v>170</v>
      </c>
      <c r="AD15" s="192" t="s">
        <v>170</v>
      </c>
    </row>
    <row r="16" spans="2:30" outlineLevel="1" x14ac:dyDescent="0.25">
      <c r="B16" s="180" t="s">
        <v>177</v>
      </c>
      <c r="C16" s="191" t="s">
        <v>170</v>
      </c>
      <c r="D16" s="191" t="s">
        <v>170</v>
      </c>
      <c r="E16" s="191" t="s">
        <v>170</v>
      </c>
      <c r="F16" s="191" t="s">
        <v>170</v>
      </c>
      <c r="G16" s="191" t="s">
        <v>170</v>
      </c>
      <c r="H16" s="191" t="s">
        <v>170</v>
      </c>
      <c r="I16" s="191" t="s">
        <v>170</v>
      </c>
      <c r="J16" s="191" t="s">
        <v>170</v>
      </c>
      <c r="K16" s="191" t="s">
        <v>170</v>
      </c>
      <c r="L16" s="191" t="s">
        <v>170</v>
      </c>
      <c r="M16" s="191" t="s">
        <v>170</v>
      </c>
      <c r="N16" s="191" t="s">
        <v>170</v>
      </c>
      <c r="O16" s="191" t="s">
        <v>170</v>
      </c>
      <c r="P16" s="191" t="s">
        <v>170</v>
      </c>
      <c r="Q16" s="191" t="s">
        <v>170</v>
      </c>
      <c r="R16" s="191" t="s">
        <v>170</v>
      </c>
      <c r="S16" s="191" t="s">
        <v>170</v>
      </c>
      <c r="T16" s="191" t="s">
        <v>170</v>
      </c>
      <c r="U16" s="191" t="s">
        <v>170</v>
      </c>
      <c r="V16" s="191" t="s">
        <v>170</v>
      </c>
      <c r="W16" s="191" t="s">
        <v>170</v>
      </c>
      <c r="X16" s="191" t="s">
        <v>170</v>
      </c>
      <c r="Y16" s="191" t="s">
        <v>170</v>
      </c>
      <c r="Z16" s="191" t="s">
        <v>170</v>
      </c>
      <c r="AA16" s="191" t="s">
        <v>170</v>
      </c>
      <c r="AB16" s="191" t="s">
        <v>170</v>
      </c>
      <c r="AC16" s="191" t="s">
        <v>170</v>
      </c>
      <c r="AD16" s="192" t="s">
        <v>170</v>
      </c>
    </row>
    <row r="17" spans="2:30" outlineLevel="1" x14ac:dyDescent="0.25">
      <c r="B17" s="180" t="s">
        <v>178</v>
      </c>
      <c r="C17" s="195">
        <v>0</v>
      </c>
      <c r="D17" s="195">
        <v>0</v>
      </c>
      <c r="E17" s="195">
        <v>0</v>
      </c>
      <c r="F17" s="195">
        <v>0</v>
      </c>
      <c r="G17" s="195">
        <v>0</v>
      </c>
      <c r="H17" s="195">
        <v>0</v>
      </c>
      <c r="I17" s="195">
        <v>0</v>
      </c>
      <c r="J17" s="195">
        <v>0</v>
      </c>
      <c r="K17" s="195">
        <v>0</v>
      </c>
      <c r="L17" s="195">
        <v>0</v>
      </c>
      <c r="M17" s="195">
        <v>0</v>
      </c>
      <c r="N17" s="195">
        <v>0</v>
      </c>
      <c r="O17" s="195">
        <v>0</v>
      </c>
      <c r="P17" s="195">
        <v>0</v>
      </c>
      <c r="Q17" s="195">
        <v>0</v>
      </c>
      <c r="R17" s="195">
        <v>0</v>
      </c>
      <c r="S17" s="195">
        <v>0</v>
      </c>
      <c r="T17" s="195">
        <v>0</v>
      </c>
      <c r="U17" s="195">
        <v>0</v>
      </c>
      <c r="V17" s="195">
        <v>0</v>
      </c>
      <c r="W17" s="195">
        <v>0</v>
      </c>
      <c r="X17" s="195">
        <v>0</v>
      </c>
      <c r="Y17" s="195">
        <v>0</v>
      </c>
      <c r="Z17" s="195">
        <v>0</v>
      </c>
      <c r="AA17" s="195">
        <v>0</v>
      </c>
      <c r="AB17" s="195">
        <v>0</v>
      </c>
      <c r="AC17" s="195">
        <v>10000</v>
      </c>
      <c r="AD17" s="196">
        <v>10000</v>
      </c>
    </row>
    <row r="18" spans="2:30" x14ac:dyDescent="0.25">
      <c r="B18" s="179" t="s">
        <v>179</v>
      </c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8"/>
    </row>
    <row r="19" spans="2:30" outlineLevel="1" x14ac:dyDescent="0.25">
      <c r="B19" s="181">
        <v>0.01</v>
      </c>
      <c r="C19" s="193">
        <v>0</v>
      </c>
      <c r="D19" s="193">
        <v>0</v>
      </c>
      <c r="E19" s="193">
        <v>0</v>
      </c>
      <c r="F19" s="193">
        <v>0</v>
      </c>
      <c r="G19" s="193">
        <v>0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93">
        <v>0</v>
      </c>
      <c r="AB19" s="193">
        <v>0</v>
      </c>
      <c r="AC19" s="191" t="s">
        <v>170</v>
      </c>
      <c r="AD19" s="192" t="s">
        <v>170</v>
      </c>
    </row>
    <row r="20" spans="2:30" outlineLevel="1" x14ac:dyDescent="0.25">
      <c r="B20" s="181">
        <v>2.5000000000000001E-2</v>
      </c>
      <c r="C20" s="193">
        <v>0</v>
      </c>
      <c r="D20" s="193">
        <v>0</v>
      </c>
      <c r="E20" s="193">
        <v>0</v>
      </c>
      <c r="F20" s="193">
        <v>0</v>
      </c>
      <c r="G20" s="193">
        <v>0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93">
        <v>0</v>
      </c>
      <c r="AB20" s="193">
        <v>0</v>
      </c>
      <c r="AC20" s="191" t="s">
        <v>170</v>
      </c>
      <c r="AD20" s="192" t="s">
        <v>170</v>
      </c>
    </row>
    <row r="21" spans="2:30" outlineLevel="1" x14ac:dyDescent="0.25">
      <c r="B21" s="181">
        <v>0.05</v>
      </c>
      <c r="C21" s="193">
        <v>0</v>
      </c>
      <c r="D21" s="193">
        <v>0</v>
      </c>
      <c r="E21" s="193">
        <v>0</v>
      </c>
      <c r="F21" s="193">
        <v>0</v>
      </c>
      <c r="G21" s="193">
        <v>0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0</v>
      </c>
      <c r="X21" s="193">
        <v>0</v>
      </c>
      <c r="Y21" s="193">
        <v>0</v>
      </c>
      <c r="Z21" s="193">
        <v>0</v>
      </c>
      <c r="AA21" s="193">
        <v>0</v>
      </c>
      <c r="AB21" s="193">
        <v>0</v>
      </c>
      <c r="AC21" s="191" t="s">
        <v>170</v>
      </c>
      <c r="AD21" s="192" t="s">
        <v>170</v>
      </c>
    </row>
    <row r="22" spans="2:30" outlineLevel="1" x14ac:dyDescent="0.25">
      <c r="B22" s="181">
        <v>0.1</v>
      </c>
      <c r="C22" s="193">
        <v>0</v>
      </c>
      <c r="D22" s="193">
        <v>0</v>
      </c>
      <c r="E22" s="193">
        <v>0</v>
      </c>
      <c r="F22" s="193">
        <v>0</v>
      </c>
      <c r="G22" s="193">
        <v>0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0</v>
      </c>
      <c r="AB22" s="193">
        <v>0</v>
      </c>
      <c r="AC22" s="191" t="s">
        <v>170</v>
      </c>
      <c r="AD22" s="192" t="s">
        <v>170</v>
      </c>
    </row>
    <row r="23" spans="2:30" outlineLevel="1" x14ac:dyDescent="0.25">
      <c r="B23" s="181">
        <v>0.2</v>
      </c>
      <c r="C23" s="193">
        <v>0</v>
      </c>
      <c r="D23" s="193">
        <v>0</v>
      </c>
      <c r="E23" s="193">
        <v>0</v>
      </c>
      <c r="F23" s="193">
        <v>0</v>
      </c>
      <c r="G23" s="193">
        <v>0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0</v>
      </c>
      <c r="X23" s="193">
        <v>0</v>
      </c>
      <c r="Y23" s="193">
        <v>0</v>
      </c>
      <c r="Z23" s="193">
        <v>0</v>
      </c>
      <c r="AA23" s="193">
        <v>0</v>
      </c>
      <c r="AB23" s="193">
        <v>0</v>
      </c>
      <c r="AC23" s="191" t="s">
        <v>170</v>
      </c>
      <c r="AD23" s="192" t="s">
        <v>170</v>
      </c>
    </row>
    <row r="24" spans="2:30" outlineLevel="1" x14ac:dyDescent="0.25">
      <c r="B24" s="181">
        <v>0.25</v>
      </c>
      <c r="C24" s="193">
        <v>0</v>
      </c>
      <c r="D24" s="193">
        <v>0</v>
      </c>
      <c r="E24" s="193">
        <v>0</v>
      </c>
      <c r="F24" s="193">
        <v>0</v>
      </c>
      <c r="G24" s="193">
        <v>0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0</v>
      </c>
      <c r="X24" s="193">
        <v>0</v>
      </c>
      <c r="Y24" s="193">
        <v>0</v>
      </c>
      <c r="Z24" s="193">
        <v>0</v>
      </c>
      <c r="AA24" s="193">
        <v>0</v>
      </c>
      <c r="AB24" s="193">
        <v>0</v>
      </c>
      <c r="AC24" s="191" t="s">
        <v>170</v>
      </c>
      <c r="AD24" s="192" t="s">
        <v>170</v>
      </c>
    </row>
    <row r="25" spans="2:30" outlineLevel="1" x14ac:dyDescent="0.25">
      <c r="B25" s="181">
        <v>0.3</v>
      </c>
      <c r="C25" s="193">
        <v>0</v>
      </c>
      <c r="D25" s="193">
        <v>0</v>
      </c>
      <c r="E25" s="193">
        <v>0</v>
      </c>
      <c r="F25" s="193">
        <v>0</v>
      </c>
      <c r="G25" s="193">
        <v>0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0</v>
      </c>
      <c r="AB25" s="193">
        <v>0</v>
      </c>
      <c r="AC25" s="191" t="s">
        <v>170</v>
      </c>
      <c r="AD25" s="192" t="s">
        <v>170</v>
      </c>
    </row>
    <row r="26" spans="2:30" outlineLevel="1" x14ac:dyDescent="0.25">
      <c r="B26" s="181">
        <v>0.35</v>
      </c>
      <c r="C26" s="193">
        <v>0</v>
      </c>
      <c r="D26" s="193">
        <v>0</v>
      </c>
      <c r="E26" s="193">
        <v>0</v>
      </c>
      <c r="F26" s="193">
        <v>0</v>
      </c>
      <c r="G26" s="193">
        <v>0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0</v>
      </c>
      <c r="AB26" s="193">
        <v>0</v>
      </c>
      <c r="AC26" s="191" t="s">
        <v>170</v>
      </c>
      <c r="AD26" s="192" t="s">
        <v>170</v>
      </c>
    </row>
    <row r="27" spans="2:30" outlineLevel="1" x14ac:dyDescent="0.25">
      <c r="B27" s="181">
        <v>0.4</v>
      </c>
      <c r="C27" s="193">
        <v>0</v>
      </c>
      <c r="D27" s="193">
        <v>0</v>
      </c>
      <c r="E27" s="193">
        <v>0</v>
      </c>
      <c r="F27" s="193">
        <v>0</v>
      </c>
      <c r="G27" s="193">
        <v>0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1" t="s">
        <v>170</v>
      </c>
      <c r="AD27" s="192" t="s">
        <v>170</v>
      </c>
    </row>
    <row r="28" spans="2:30" outlineLevel="1" x14ac:dyDescent="0.25">
      <c r="B28" s="181">
        <v>0.45</v>
      </c>
      <c r="C28" s="193">
        <v>0</v>
      </c>
      <c r="D28" s="193">
        <v>0</v>
      </c>
      <c r="E28" s="193">
        <v>0</v>
      </c>
      <c r="F28" s="193">
        <v>0</v>
      </c>
      <c r="G28" s="193">
        <v>0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1" t="s">
        <v>170</v>
      </c>
      <c r="AD28" s="192" t="s">
        <v>170</v>
      </c>
    </row>
    <row r="29" spans="2:30" outlineLevel="1" x14ac:dyDescent="0.25">
      <c r="B29" s="181">
        <v>0.5</v>
      </c>
      <c r="C29" s="193">
        <v>0</v>
      </c>
      <c r="D29" s="193">
        <v>0</v>
      </c>
      <c r="E29" s="193">
        <v>0</v>
      </c>
      <c r="F29" s="193">
        <v>0</v>
      </c>
      <c r="G29" s="193">
        <v>0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1" t="s">
        <v>170</v>
      </c>
      <c r="AD29" s="192" t="s">
        <v>170</v>
      </c>
    </row>
    <row r="30" spans="2:30" outlineLevel="1" x14ac:dyDescent="0.25">
      <c r="B30" s="181">
        <v>0.55000000000000004</v>
      </c>
      <c r="C30" s="193">
        <v>0</v>
      </c>
      <c r="D30" s="193">
        <v>0</v>
      </c>
      <c r="E30" s="193">
        <v>0</v>
      </c>
      <c r="F30" s="193">
        <v>0</v>
      </c>
      <c r="G30" s="193">
        <v>0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1" t="s">
        <v>170</v>
      </c>
      <c r="AD30" s="192" t="s">
        <v>170</v>
      </c>
    </row>
    <row r="31" spans="2:30" outlineLevel="1" x14ac:dyDescent="0.25">
      <c r="B31" s="181">
        <v>0.6</v>
      </c>
      <c r="C31" s="193">
        <v>0</v>
      </c>
      <c r="D31" s="193">
        <v>0</v>
      </c>
      <c r="E31" s="193">
        <v>0</v>
      </c>
      <c r="F31" s="193">
        <v>0</v>
      </c>
      <c r="G31" s="193">
        <v>0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1" t="s">
        <v>170</v>
      </c>
      <c r="AD31" s="192" t="s">
        <v>170</v>
      </c>
    </row>
    <row r="32" spans="2:30" outlineLevel="1" x14ac:dyDescent="0.25">
      <c r="B32" s="181">
        <v>0.65</v>
      </c>
      <c r="C32" s="193">
        <v>0</v>
      </c>
      <c r="D32" s="193">
        <v>0</v>
      </c>
      <c r="E32" s="193">
        <v>0</v>
      </c>
      <c r="F32" s="193">
        <v>0</v>
      </c>
      <c r="G32" s="193">
        <v>0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1" t="s">
        <v>170</v>
      </c>
      <c r="AD32" s="192" t="s">
        <v>170</v>
      </c>
    </row>
    <row r="33" spans="2:30" outlineLevel="1" x14ac:dyDescent="0.25">
      <c r="B33" s="181">
        <v>0.7</v>
      </c>
      <c r="C33" s="193">
        <v>0</v>
      </c>
      <c r="D33" s="193">
        <v>0</v>
      </c>
      <c r="E33" s="193">
        <v>0</v>
      </c>
      <c r="F33" s="193">
        <v>0</v>
      </c>
      <c r="G33" s="193">
        <v>0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1" t="s">
        <v>170</v>
      </c>
      <c r="AD33" s="192" t="s">
        <v>170</v>
      </c>
    </row>
    <row r="34" spans="2:30" outlineLevel="1" x14ac:dyDescent="0.25">
      <c r="B34" s="181">
        <v>0.75</v>
      </c>
      <c r="C34" s="193">
        <v>0</v>
      </c>
      <c r="D34" s="193">
        <v>0</v>
      </c>
      <c r="E34" s="193">
        <v>0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1" t="s">
        <v>170</v>
      </c>
      <c r="AD34" s="192" t="s">
        <v>170</v>
      </c>
    </row>
    <row r="35" spans="2:30" outlineLevel="1" x14ac:dyDescent="0.25">
      <c r="B35" s="181">
        <v>0.8</v>
      </c>
      <c r="C35" s="193">
        <v>0</v>
      </c>
      <c r="D35" s="193">
        <v>0</v>
      </c>
      <c r="E35" s="193">
        <v>0</v>
      </c>
      <c r="F35" s="193">
        <v>0</v>
      </c>
      <c r="G35" s="193">
        <v>0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0</v>
      </c>
      <c r="Y35" s="193">
        <v>0</v>
      </c>
      <c r="Z35" s="193">
        <v>0</v>
      </c>
      <c r="AA35" s="193">
        <v>0</v>
      </c>
      <c r="AB35" s="193">
        <v>0</v>
      </c>
      <c r="AC35" s="191" t="s">
        <v>170</v>
      </c>
      <c r="AD35" s="192" t="s">
        <v>170</v>
      </c>
    </row>
    <row r="36" spans="2:30" outlineLevel="1" x14ac:dyDescent="0.25">
      <c r="B36" s="181">
        <v>0.9</v>
      </c>
      <c r="C36" s="193">
        <v>0</v>
      </c>
      <c r="D36" s="193">
        <v>0</v>
      </c>
      <c r="E36" s="193">
        <v>0</v>
      </c>
      <c r="F36" s="193">
        <v>0</v>
      </c>
      <c r="G36" s="193">
        <v>0</v>
      </c>
      <c r="H36" s="193">
        <v>0</v>
      </c>
      <c r="I36" s="193">
        <v>0</v>
      </c>
      <c r="J36" s="193">
        <v>0</v>
      </c>
      <c r="K36" s="193">
        <v>0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0</v>
      </c>
      <c r="X36" s="193">
        <v>0</v>
      </c>
      <c r="Y36" s="193">
        <v>0</v>
      </c>
      <c r="Z36" s="193">
        <v>0</v>
      </c>
      <c r="AA36" s="193">
        <v>0</v>
      </c>
      <c r="AB36" s="193">
        <v>0</v>
      </c>
      <c r="AC36" s="191" t="s">
        <v>170</v>
      </c>
      <c r="AD36" s="192" t="s">
        <v>170</v>
      </c>
    </row>
    <row r="37" spans="2:30" outlineLevel="1" x14ac:dyDescent="0.25">
      <c r="B37" s="181">
        <v>0.95</v>
      </c>
      <c r="C37" s="193">
        <v>0</v>
      </c>
      <c r="D37" s="193">
        <v>0</v>
      </c>
      <c r="E37" s="193">
        <v>0</v>
      </c>
      <c r="F37" s="193">
        <v>0</v>
      </c>
      <c r="G37" s="193">
        <v>0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0</v>
      </c>
      <c r="X37" s="193">
        <v>0</v>
      </c>
      <c r="Y37" s="193">
        <v>0</v>
      </c>
      <c r="Z37" s="193">
        <v>0</v>
      </c>
      <c r="AA37" s="193">
        <v>0</v>
      </c>
      <c r="AB37" s="193">
        <v>0</v>
      </c>
      <c r="AC37" s="191" t="s">
        <v>170</v>
      </c>
      <c r="AD37" s="192" t="s">
        <v>170</v>
      </c>
    </row>
    <row r="38" spans="2:30" outlineLevel="1" x14ac:dyDescent="0.25">
      <c r="B38" s="181">
        <v>0.97499999999999998</v>
      </c>
      <c r="C38" s="193">
        <v>0</v>
      </c>
      <c r="D38" s="193">
        <v>0</v>
      </c>
      <c r="E38" s="193">
        <v>0</v>
      </c>
      <c r="F38" s="193">
        <v>0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0</v>
      </c>
      <c r="AA38" s="193">
        <v>0</v>
      </c>
      <c r="AB38" s="193">
        <v>0</v>
      </c>
      <c r="AC38" s="191" t="s">
        <v>170</v>
      </c>
      <c r="AD38" s="192" t="s">
        <v>170</v>
      </c>
    </row>
    <row r="39" spans="2:30" outlineLevel="1" x14ac:dyDescent="0.25">
      <c r="B39" s="181">
        <v>0.99</v>
      </c>
      <c r="C39" s="193">
        <v>0</v>
      </c>
      <c r="D39" s="193">
        <v>0</v>
      </c>
      <c r="E39" s="193">
        <v>0</v>
      </c>
      <c r="F39" s="193">
        <v>0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1" t="s">
        <v>170</v>
      </c>
      <c r="AD39" s="192" t="s">
        <v>170</v>
      </c>
    </row>
    <row r="40" spans="2:30" outlineLevel="1" x14ac:dyDescent="0.25">
      <c r="B40" s="181">
        <v>0.995</v>
      </c>
      <c r="C40" s="193">
        <v>0</v>
      </c>
      <c r="D40" s="193">
        <v>0</v>
      </c>
      <c r="E40" s="193">
        <v>0</v>
      </c>
      <c r="F40" s="193">
        <v>0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1" t="s">
        <v>170</v>
      </c>
      <c r="AD40" s="192" t="s">
        <v>170</v>
      </c>
    </row>
    <row r="41" spans="2:30" outlineLevel="1" x14ac:dyDescent="0.25">
      <c r="B41" s="181">
        <v>0.999</v>
      </c>
      <c r="C41" s="193">
        <v>0</v>
      </c>
      <c r="D41" s="193">
        <v>0</v>
      </c>
      <c r="E41" s="193">
        <v>0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1" t="s">
        <v>170</v>
      </c>
      <c r="AD41" s="192" t="s">
        <v>170</v>
      </c>
    </row>
    <row r="42" spans="2:30" x14ac:dyDescent="0.25">
      <c r="B42" s="179" t="s">
        <v>180</v>
      </c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8"/>
    </row>
    <row r="43" spans="2:30" outlineLevel="1" x14ac:dyDescent="0.25">
      <c r="B43" s="180" t="s">
        <v>169</v>
      </c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2"/>
    </row>
    <row r="44" spans="2:30" outlineLevel="1" x14ac:dyDescent="0.25">
      <c r="B44" s="180" t="s">
        <v>171</v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2"/>
    </row>
    <row r="45" spans="2:30" outlineLevel="1" x14ac:dyDescent="0.25">
      <c r="B45" s="180" t="s">
        <v>181</v>
      </c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2"/>
    </row>
    <row r="46" spans="2:30" ht="15.75" outlineLevel="1" thickBot="1" x14ac:dyDescent="0.3">
      <c r="B46" s="186" t="s">
        <v>182</v>
      </c>
      <c r="C46" s="197">
        <v>0</v>
      </c>
      <c r="D46" s="197">
        <v>0</v>
      </c>
      <c r="E46" s="197">
        <v>0</v>
      </c>
      <c r="F46" s="197">
        <v>0</v>
      </c>
      <c r="G46" s="197">
        <v>0</v>
      </c>
      <c r="H46" s="197">
        <v>0</v>
      </c>
      <c r="I46" s="197">
        <v>0</v>
      </c>
      <c r="J46" s="197">
        <v>0</v>
      </c>
      <c r="K46" s="197">
        <v>0</v>
      </c>
      <c r="L46" s="197">
        <v>0</v>
      </c>
      <c r="M46" s="197">
        <v>0</v>
      </c>
      <c r="N46" s="197">
        <v>0</v>
      </c>
      <c r="O46" s="197">
        <v>0</v>
      </c>
      <c r="P46" s="197">
        <v>0</v>
      </c>
      <c r="Q46" s="197">
        <v>0</v>
      </c>
      <c r="R46" s="197">
        <v>0</v>
      </c>
      <c r="S46" s="197">
        <v>0</v>
      </c>
      <c r="T46" s="197">
        <v>0</v>
      </c>
      <c r="U46" s="197">
        <v>0</v>
      </c>
      <c r="V46" s="197">
        <v>0</v>
      </c>
      <c r="W46" s="197">
        <v>0</v>
      </c>
      <c r="X46" s="197">
        <v>0</v>
      </c>
      <c r="Y46" s="197">
        <v>0</v>
      </c>
      <c r="Z46" s="197">
        <v>0</v>
      </c>
      <c r="AA46" s="197">
        <v>0</v>
      </c>
      <c r="AB46" s="197">
        <v>0</v>
      </c>
      <c r="AC46" s="197">
        <v>0</v>
      </c>
      <c r="AD46" s="198">
        <v>0</v>
      </c>
    </row>
  </sheetData>
  <mergeCells count="4">
    <mergeCell ref="B4:AD4"/>
    <mergeCell ref="B7:AD7"/>
    <mergeCell ref="B18:AD18"/>
    <mergeCell ref="B42:AD42"/>
  </mergeCells>
  <pageMargins left="0.7" right="0.7" top="0.75" bottom="0.75" header="0.3" footer="0.3"/>
  <pageSetup fitToWidth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645E44DF4C347A076E5154A1E1A44" ma:contentTypeVersion="12" ma:contentTypeDescription="Create a new document." ma:contentTypeScope="" ma:versionID="aefa3bcdc55a7770504f101ed5ebdc0f">
  <xsd:schema xmlns:xsd="http://www.w3.org/2001/XMLSchema" xmlns:xs="http://www.w3.org/2001/XMLSchema" xmlns:p="http://schemas.microsoft.com/office/2006/metadata/properties" xmlns:ns1="http://schemas.microsoft.com/sharepoint/v3" xmlns:ns3="0e9b77c3-686e-41f8-8658-848585ae3dd1" xmlns:ns4="7cc5065d-f71a-4a84-87cf-13f6ecd6fd27" targetNamespace="http://schemas.microsoft.com/office/2006/metadata/properties" ma:root="true" ma:fieldsID="b15814657b566062dff4d29e964a81e5" ns1:_="" ns3:_="" ns4:_="">
    <xsd:import namespace="http://schemas.microsoft.com/sharepoint/v3"/>
    <xsd:import namespace="0e9b77c3-686e-41f8-8658-848585ae3dd1"/>
    <xsd:import namespace="7cc5065d-f71a-4a84-87cf-13f6ecd6fd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b77c3-686e-41f8-8658-848585ae3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5065d-f71a-4a84-87cf-13f6ecd6fd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C496298-5B09-48C2-9DB1-9D4BCF5D7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e9b77c3-686e-41f8-8658-848585ae3dd1"/>
    <ds:schemaRef ds:uri="7cc5065d-f71a-4a84-87cf-13f6ecd6f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2777E4-5474-4358-9475-59E336F440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462D7A-F795-48AC-90EF-D5022965F804}">
  <ds:schemaRefs>
    <ds:schemaRef ds:uri="http://purl.org/dc/terms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7cc5065d-f71a-4a84-87cf-13f6ecd6fd27"/>
    <ds:schemaRef ds:uri="http://purl.org/dc/elements/1.1/"/>
    <ds:schemaRef ds:uri="http://schemas.microsoft.com/office/2006/metadata/properties"/>
    <ds:schemaRef ds:uri="http://schemas.microsoft.com/office/infopath/2007/PartnerControls"/>
    <ds:schemaRef ds:uri="0e9b77c3-686e-41f8-8658-848585ae3dd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59</vt:i4>
      </vt:variant>
    </vt:vector>
  </HeadingPairs>
  <TitlesOfParts>
    <vt:vector size="72" baseType="lpstr">
      <vt:lpstr>README</vt:lpstr>
      <vt:lpstr>README_NEW</vt:lpstr>
      <vt:lpstr>Global data</vt:lpstr>
      <vt:lpstr>Dilutions</vt:lpstr>
      <vt:lpstr>Hockey-Stick for virus concs</vt:lpstr>
      <vt:lpstr>Adno Risk Model</vt:lpstr>
      <vt:lpstr>Settings</vt:lpstr>
      <vt:lpstr>Log1</vt:lpstr>
      <vt:lpstr>Log2</vt:lpstr>
      <vt:lpstr>Log3</vt:lpstr>
      <vt:lpstr>Log4</vt:lpstr>
      <vt:lpstr>Log5</vt:lpstr>
      <vt:lpstr>Log6</vt:lpstr>
      <vt:lpstr>Ade_Conc_in_Effluent_max</vt:lpstr>
      <vt:lpstr>Ade_Conc_in_Effluent_median</vt:lpstr>
      <vt:lpstr>Ade_Conc_in_Effluent_min</vt:lpstr>
      <vt:lpstr>Ade_Conc_in_Influent_max</vt:lpstr>
      <vt:lpstr>Ade_Conc_in_Influent_median</vt:lpstr>
      <vt:lpstr>Ade_Conc_in_Influent_min</vt:lpstr>
      <vt:lpstr>Ade_xp</vt:lpstr>
      <vt:lpstr>Dur_event_hours_max</vt:lpstr>
      <vt:lpstr>Dur_event_hours_min</vt:lpstr>
      <vt:lpstr>Dur_event_hours_mode</vt:lpstr>
      <vt:lpstr>Ing_Rate_per_hour_max</vt:lpstr>
      <vt:lpstr>Log10_Pathogen_Reduction</vt:lpstr>
      <vt:lpstr>Pathogen_Dilution_Site_1</vt:lpstr>
      <vt:lpstr>Pathogen_dilution_site_10</vt:lpstr>
      <vt:lpstr>Pathogen_dilution_site_11</vt:lpstr>
      <vt:lpstr>Pathogen_dilution_site_12</vt:lpstr>
      <vt:lpstr>Pathogen_dilution_site_13</vt:lpstr>
      <vt:lpstr>Pathogen_dilution_site_14</vt:lpstr>
      <vt:lpstr>Pathogen_Dilution_Site_2</vt:lpstr>
      <vt:lpstr>Pathogen_Dilution_Site_3</vt:lpstr>
      <vt:lpstr>Pathogen_Dilution_Site_4</vt:lpstr>
      <vt:lpstr>Pathogen_Dilution_Site_5</vt:lpstr>
      <vt:lpstr>Pathogen_Dilution_Site_6</vt:lpstr>
      <vt:lpstr>Pathogen_Dilution_Site_7</vt:lpstr>
      <vt:lpstr>Pathogen_Dilution_Site_8</vt:lpstr>
      <vt:lpstr>Pathogen_dilution_site_9</vt:lpstr>
      <vt:lpstr>Primary_Ing_Rate_mL_per_hour_max</vt:lpstr>
      <vt:lpstr>Primary_Ing_Rate_mL_per_hour_min</vt:lpstr>
      <vt:lpstr>Primary_Ing_Rate_mL_per_hour_mode</vt:lpstr>
      <vt:lpstr>Prob_illness_Adv_infection</vt:lpstr>
      <vt:lpstr>Proportion_Adv_respiratory</vt:lpstr>
      <vt:lpstr>Proportion_of_adenovirus_causing_respiratory_effects</vt:lpstr>
      <vt:lpstr>r_Adv</vt:lpstr>
      <vt:lpstr>Random_effluent_ade_conc</vt:lpstr>
      <vt:lpstr>Random_Infections_Effluent_Adno_conc</vt:lpstr>
      <vt:lpstr>Secondary_Primary_Exposure_Ratio</vt:lpstr>
      <vt:lpstr>Site_name_1</vt:lpstr>
      <vt:lpstr>Site_name_10</vt:lpstr>
      <vt:lpstr>Site_name_11</vt:lpstr>
      <vt:lpstr>Site_name_12</vt:lpstr>
      <vt:lpstr>Site_name_13</vt:lpstr>
      <vt:lpstr>Site_name_14</vt:lpstr>
      <vt:lpstr>Site_name_2</vt:lpstr>
      <vt:lpstr>Site_name_3</vt:lpstr>
      <vt:lpstr>Site_name_4</vt:lpstr>
      <vt:lpstr>Site_name_5</vt:lpstr>
      <vt:lpstr>Site_name_6</vt:lpstr>
      <vt:lpstr>Site_name_7</vt:lpstr>
      <vt:lpstr>Site_name_8</vt:lpstr>
      <vt:lpstr>Site_name_9</vt:lpstr>
      <vt:lpstr>Site_number_1</vt:lpstr>
      <vt:lpstr>Site_number_2</vt:lpstr>
      <vt:lpstr>Site_number_3</vt:lpstr>
      <vt:lpstr>Site_number_4</vt:lpstr>
      <vt:lpstr>Site_number_5</vt:lpstr>
      <vt:lpstr>Site_number_6</vt:lpstr>
      <vt:lpstr>Site_number_7</vt:lpstr>
      <vt:lpstr>Site_number_8</vt:lpstr>
      <vt:lpstr>V</vt:lpstr>
    </vt:vector>
  </TitlesOfParts>
  <Company>NIWA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McBride</dc:creator>
  <cp:lastModifiedBy>David Wood</cp:lastModifiedBy>
  <dcterms:created xsi:type="dcterms:W3CDTF">2012-10-05T04:05:27Z</dcterms:created>
  <dcterms:modified xsi:type="dcterms:W3CDTF">2023-03-22T03:47:13Z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0x0101005FE645E44DF4C347A076E5154A1E1A44</vt:lpwstr>
  </property>
</Properties>
</file>