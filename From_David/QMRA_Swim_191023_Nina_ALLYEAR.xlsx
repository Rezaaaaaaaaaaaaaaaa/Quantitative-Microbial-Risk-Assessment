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oddr\Documents\WorkingCode\npd22201_new_plymouth_qmra\QMRAModelling\"/>
    </mc:Choice>
  </mc:AlternateContent>
  <xr:revisionPtr revIDLastSave="0" documentId="13_ncr:1_{6CDD185F-65A0-46CD-B34A-32851A5E745C}" xr6:coauthVersionLast="47" xr6:coauthVersionMax="47" xr10:uidLastSave="{00000000-0000-0000-0000-000000000000}"/>
  <bookViews>
    <workbookView xWindow="-110" yWindow="-110" windowWidth="25820" windowHeight="13400" tabRatio="742" activeTab="4" xr2:uid="{00000000-000D-0000-FFFF-FFFF00000000}"/>
  </bookViews>
  <sheets>
    <sheet name="README" sheetId="1" r:id="rId1"/>
    <sheet name="README_NEW" sheetId="97" r:id="rId2"/>
    <sheet name="Global data" sheetId="2" r:id="rId3"/>
    <sheet name="Concentrations" sheetId="98" r:id="rId4"/>
    <sheet name="Noro Dis Risk Model Conc" sheetId="99" r:id="rId5"/>
    <sheet name="Hockey-Stick for virus concs" sheetId="3" r:id="rId6"/>
    <sheet name="Settings" sheetId="49" r:id="rId7"/>
    <sheet name="Log1" sheetId="100" r:id="rId8"/>
    <sheet name="Log2" sheetId="101" r:id="rId9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1</definedName>
    <definedName name="_AtRisk_SimSetting_MultipleCPUModeV8" hidden="1">1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lpha_nov">'Global data'!$C$19</definedName>
    <definedName name="beta_nov">'Global data'!$C$20</definedName>
    <definedName name="Dur_Swim_hours_max">'Global data'!$H$9</definedName>
    <definedName name="Dur_Swim_hours_min">'Global data'!$D$9</definedName>
    <definedName name="Dur_Swim_hours_mode">'Global data'!$F$9</definedName>
    <definedName name="Ing_Rate_per_hour_max">'Global data'!$H$11</definedName>
    <definedName name="Log10_Pathogen_Reduction">'Global data'!$C$6</definedName>
    <definedName name="mu_messner">'Global data'!#REF!</definedName>
    <definedName name="Nor_Conc_in_Effluent_max">'Global data'!$E$27</definedName>
    <definedName name="Nor_Conc_in_Effluent_median">'Global data'!$D$27</definedName>
    <definedName name="Nor_Conc_in_Effluent_min">'Global data'!$C$27</definedName>
    <definedName name="Nor_Conc_in_Influent_max">'Global data'!$E$25</definedName>
    <definedName name="Nor_Conc_in_Influent_median">'Global data'!$D$25</definedName>
    <definedName name="Nor_Conc_in_Influent_min">'Global data'!$C$25</definedName>
    <definedName name="Nor_xp">'Global data'!$F$25</definedName>
    <definedName name="Norovirus_method_harmonisation_factor">'Global data'!$C$16</definedName>
    <definedName name="P_messner">'Global data'!#REF!</definedName>
    <definedName name="Pal_Workbook_GUID" hidden="1">"P9ZR5BFKL1DE7LZ2K3FMDHFP"</definedName>
    <definedName name="PalisadeReportWorksheetCreatedBy" localSheetId="7" hidden="1">"@RISK"</definedName>
    <definedName name="PalisadeReportWorksheetCreatedBy" localSheetId="8" hidden="1">"@RISK"</definedName>
    <definedName name="Pathogen">'Global data'!$B$3</definedName>
    <definedName name="Pathogen_Conc_Site_1">Concentrations!$C$3</definedName>
    <definedName name="Pathogen_Conc_Site_10">Concentrations!$L$3</definedName>
    <definedName name="Pathogen_Conc_Site_11">Concentrations!$M$3</definedName>
    <definedName name="Pathogen_Conc_Site_12">Concentrations!$N$3</definedName>
    <definedName name="Pathogen_Conc_Site_13">Concentrations!$O$3</definedName>
    <definedName name="Pathogen_Conc_Site_14">Concentrations!$P$3</definedName>
    <definedName name="Pathogen_Conc_Site_15">Concentrations!$Q$3</definedName>
    <definedName name="Pathogen_Conc_Site_16">Concentrations!$R$3</definedName>
    <definedName name="Pathogen_Conc_Site_17">Concentrations!$S$3</definedName>
    <definedName name="Pathogen_Conc_Site_18">Concentrations!$T$3</definedName>
    <definedName name="Pathogen_Conc_Site_19">Concentrations!$U$3</definedName>
    <definedName name="Pathogen_Conc_Site_2">Concentrations!$D$3</definedName>
    <definedName name="Pathogen_Conc_Site_20">Concentrations!$V$3</definedName>
    <definedName name="Pathogen_Conc_Site_21">Concentrations!$W$3</definedName>
    <definedName name="Pathogen_Conc_Site_22">Concentrations!$X$3</definedName>
    <definedName name="Pathogen_Conc_Site_23">Concentrations!$Y$3</definedName>
    <definedName name="Pathogen_Conc_Site_24">Concentrations!$Z$3</definedName>
    <definedName name="Pathogen_Conc_Site_25">Concentrations!$AA$3</definedName>
    <definedName name="Pathogen_Conc_Site_26">Concentrations!$AB$3</definedName>
    <definedName name="Pathogen_Conc_Site_27">Concentrations!$AC$3</definedName>
    <definedName name="Pathogen_Conc_Site_28">Concentrations!$AD$3</definedName>
    <definedName name="Pathogen_Conc_Site_29">Concentrations!$AE$3</definedName>
    <definedName name="Pathogen_Conc_site_3">Concentrations!$E$3</definedName>
    <definedName name="Pathogen_Conc_Site_30">Concentrations!$AF$3</definedName>
    <definedName name="Pathogen_Conc_Site_31">Concentrations!$AG$3</definedName>
    <definedName name="Pathogen_Conc_Site_32">Concentrations!$AH$3</definedName>
    <definedName name="Pathogen_Conc_Site_4">Concentrations!$F$3</definedName>
    <definedName name="Pathogen_Conc_Site_5">Concentrations!$G$3</definedName>
    <definedName name="Pathogen_Conc_Site_6">Concentrations!$H$3</definedName>
    <definedName name="Pathogen_Conc_Site_7">Concentrations!$I$3</definedName>
    <definedName name="Pathogen_Conc_Site_8">Concentrations!$J$3</definedName>
    <definedName name="Pathogen_Conc_Site_9">Concentrations!$K$3</definedName>
    <definedName name="Pathogen_Dilution_Site_1">#REF!</definedName>
    <definedName name="Pathogen_Dilution_site_10">#REF!</definedName>
    <definedName name="Pathogen_Dilution_site_11">#REF!</definedName>
    <definedName name="Pathogen_Dilution_site_12">#REF!</definedName>
    <definedName name="Pathogen_Dilution_site_13">#REF!</definedName>
    <definedName name="Pathogen_Dilution_site_14">#REF!</definedName>
    <definedName name="Pathogen_Dilution_site_15">#REF!</definedName>
    <definedName name="Pathogen_Dilution_site_16">#REF!</definedName>
    <definedName name="Pathogen_Dilution_site_17">#REF!</definedName>
    <definedName name="Pathogen_Dilution_site_18">#REF!</definedName>
    <definedName name="Pathogen_Dilution_site_19">#REF!</definedName>
    <definedName name="Pathogen_Dilution_Site_2">#REF!</definedName>
    <definedName name="Pathogen_Dilution_site_20">#REF!</definedName>
    <definedName name="Pathogen_Dilution_site_21">#REF!</definedName>
    <definedName name="Pathogen_Dilution_site_22">#REF!</definedName>
    <definedName name="Pathogen_Dilution_site_23">#REF!</definedName>
    <definedName name="Pathogen_Dilution_site_24">#REF!</definedName>
    <definedName name="Pathogen_Dilution_site_25">#REF!</definedName>
    <definedName name="Pathogen_Dilution_site_26">#REF!</definedName>
    <definedName name="Pathogen_Dilution_site_27">#REF!</definedName>
    <definedName name="Pathogen_Dilution_site_28">#REF!</definedName>
    <definedName name="Pathogen_Dilution_site_29">#REF!</definedName>
    <definedName name="Pathogen_Dilution_Site_3">#REF!</definedName>
    <definedName name="Pathogen_Dilution_site_30">#REF!</definedName>
    <definedName name="Pathogen_Dilution_site_31">#REF!</definedName>
    <definedName name="Pathogen_Dilution_site_32">#REF!</definedName>
    <definedName name="Pathogen_Dilution_Site_4">#REF!</definedName>
    <definedName name="Pathogen_Dilution_Site_5">#REF!</definedName>
    <definedName name="Pathogen_Dilution_Site_6">#REF!</definedName>
    <definedName name="Pathogen_Dilution_Site_7">#REF!</definedName>
    <definedName name="Pathogen_Dilution_Site_8">#REF!</definedName>
    <definedName name="Pathogen_dilution_site_9">#REF!</definedName>
    <definedName name="Pathogen_Method_Harmonisation_Factor" localSheetId="4">'Global data'!#REF!</definedName>
    <definedName name="Primary_Ing_Rate_mL_per_hour_max">'Global data'!$H$10</definedName>
    <definedName name="Primary_Ing_Rate_mL_per_hour_mean">'Global data'!$F$10</definedName>
    <definedName name="Primary_Ing_Rate_mL_per_hour_min">'Global data'!$D$10</definedName>
    <definedName name="Primary_Ing_Rate_mL_per_hour_sd">'Global data'!$J$10</definedName>
    <definedName name="Prob__susceptible_to_Nov_infection">'Global data'!$C$21</definedName>
    <definedName name="Prob_Illness" localSheetId="4">'Global data'!#REF!</definedName>
    <definedName name="Prob_Illness_given_Infection_has_occurred_ent">'Global data'!#REF!</definedName>
    <definedName name="Prob_illness_Noro_infection">'Global data'!$C$17</definedName>
    <definedName name="Proportion_susceptible" localSheetId="4">'Global data'!#REF!</definedName>
    <definedName name="Random_effluent_ent_conc">'Hockey-Stick for virus concs'!#REF!</definedName>
    <definedName name="Random_effluent_nor_conc">'Hockey-Stick for virus concs'!$K$31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"2"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Secondary_Primary_Exposure_Ratio">'Global data'!$O$12</definedName>
    <definedName name="Site_name_1">'Global data'!$C$31</definedName>
    <definedName name="Site_name_10">'Global data'!$C$40</definedName>
    <definedName name="Site_name_11">'Global data'!$C$41</definedName>
    <definedName name="Site_name_12">'Global data'!$C$42</definedName>
    <definedName name="Site_name_13">'Global data'!$C$43</definedName>
    <definedName name="Site_name_14">'Global data'!$C$44</definedName>
    <definedName name="Site_name_15">'Global data'!$C$45</definedName>
    <definedName name="Site_name_16">'Global data'!$C$46</definedName>
    <definedName name="Site_name_17">'Global data'!$C$47</definedName>
    <definedName name="Site_name_18">'Global data'!$C$48</definedName>
    <definedName name="Site_name_19">'Global data'!$C$49</definedName>
    <definedName name="Site_name_2">'Global data'!$C$32</definedName>
    <definedName name="Site_name_20">'Global data'!$C$50</definedName>
    <definedName name="Site_name_21">'Global data'!$C$51</definedName>
    <definedName name="Site_name_22">'Global data'!$C$52</definedName>
    <definedName name="Site_name_23">'Global data'!$C$53</definedName>
    <definedName name="Site_name_24">'Global data'!$C$54</definedName>
    <definedName name="Site_name_25">'Global data'!$C$55</definedName>
    <definedName name="Site_name_26">'Global data'!$C$56</definedName>
    <definedName name="Site_name_27">'Global data'!$C$57</definedName>
    <definedName name="Site_name_28">'Global data'!$C$58</definedName>
    <definedName name="Site_name_29">'Global data'!$C$59</definedName>
    <definedName name="Site_name_3">'Global data'!$C$33</definedName>
    <definedName name="Site_name_30">'Global data'!$C$60</definedName>
    <definedName name="Site_name_31">'Global data'!$C$61</definedName>
    <definedName name="Site_name_32">'Global data'!$C$62</definedName>
    <definedName name="Site_name_4">'Global data'!$C$34</definedName>
    <definedName name="Site_name_5">'Global data'!$C$35</definedName>
    <definedName name="Site_name_6">'Global data'!$C$36</definedName>
    <definedName name="Site_name_7">'Global data'!$C$37</definedName>
    <definedName name="Site_name_8">'Global data'!$C$38</definedName>
    <definedName name="Site_name_9">'Global data'!$C$39</definedName>
    <definedName name="Site_number_1">'Global data'!$B$31</definedName>
    <definedName name="Site_number_2">'Global data'!$B$32</definedName>
    <definedName name="Site_number_3">'Global data'!$B$33</definedName>
    <definedName name="Site_number_4">'Global data'!$B$34</definedName>
    <definedName name="Site_number_5">'Global data'!$B$35</definedName>
    <definedName name="Site_number_6">'Global data'!$B$36</definedName>
    <definedName name="Site_number_7">'Global data'!$B$37</definedName>
    <definedName name="Site_number_8">'Global data'!$B$38</definedName>
    <definedName name="V">'Global data'!$C$66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8" i="99" l="1"/>
  <c r="D108" i="99"/>
  <c r="C107" i="99"/>
  <c r="D107" i="99"/>
  <c r="C106" i="99"/>
  <c r="D106" i="99"/>
  <c r="C105" i="99"/>
  <c r="D105" i="99"/>
  <c r="C104" i="99"/>
  <c r="D104" i="99"/>
  <c r="C103" i="99"/>
  <c r="D103" i="99"/>
  <c r="C102" i="99"/>
  <c r="D102" i="99"/>
  <c r="C101" i="99"/>
  <c r="D101" i="99"/>
  <c r="C100" i="99"/>
  <c r="D100" i="99"/>
  <c r="C99" i="99"/>
  <c r="D99" i="99"/>
  <c r="C98" i="99"/>
  <c r="D98" i="99"/>
  <c r="C97" i="99"/>
  <c r="D97" i="99"/>
  <c r="C96" i="99"/>
  <c r="D96" i="99"/>
  <c r="C95" i="99"/>
  <c r="D95" i="99"/>
  <c r="C94" i="99"/>
  <c r="E94" i="99" s="1"/>
  <c r="D94" i="99"/>
  <c r="C93" i="99"/>
  <c r="D93" i="99"/>
  <c r="C92" i="99"/>
  <c r="D92" i="99"/>
  <c r="C91" i="99"/>
  <c r="D91" i="99"/>
  <c r="C90" i="99"/>
  <c r="E90" i="99" s="1"/>
  <c r="D90" i="99"/>
  <c r="C89" i="99"/>
  <c r="D89" i="99"/>
  <c r="C88" i="99"/>
  <c r="D88" i="99"/>
  <c r="C87" i="99"/>
  <c r="D87" i="99"/>
  <c r="C86" i="99"/>
  <c r="D86" i="99"/>
  <c r="C85" i="99"/>
  <c r="D85" i="99"/>
  <c r="C84" i="99"/>
  <c r="D84" i="99"/>
  <c r="C83" i="99"/>
  <c r="D83" i="99"/>
  <c r="C82" i="99"/>
  <c r="D82" i="99"/>
  <c r="C81" i="99"/>
  <c r="D81" i="99"/>
  <c r="C80" i="99"/>
  <c r="D80" i="99"/>
  <c r="C79" i="99"/>
  <c r="D79" i="99"/>
  <c r="E79" i="99" s="1"/>
  <c r="C78" i="99"/>
  <c r="D78" i="99"/>
  <c r="C77" i="99"/>
  <c r="D77" i="99"/>
  <c r="C76" i="99"/>
  <c r="D76" i="99"/>
  <c r="C75" i="99"/>
  <c r="D75" i="99"/>
  <c r="E75" i="99" s="1"/>
  <c r="C74" i="99"/>
  <c r="D74" i="99"/>
  <c r="C73" i="99"/>
  <c r="D73" i="99"/>
  <c r="C72" i="99"/>
  <c r="D72" i="99"/>
  <c r="C71" i="99"/>
  <c r="D71" i="99"/>
  <c r="E71" i="99" s="1"/>
  <c r="C70" i="99"/>
  <c r="D70" i="99"/>
  <c r="C69" i="99"/>
  <c r="D69" i="99"/>
  <c r="C68" i="99"/>
  <c r="D68" i="99"/>
  <c r="C67" i="99"/>
  <c r="D67" i="99"/>
  <c r="E67" i="99" s="1"/>
  <c r="C66" i="99"/>
  <c r="D66" i="99"/>
  <c r="C65" i="99"/>
  <c r="D65" i="99"/>
  <c r="C64" i="99"/>
  <c r="D64" i="99"/>
  <c r="C63" i="99"/>
  <c r="D63" i="99"/>
  <c r="C62" i="99"/>
  <c r="E62" i="99" s="1"/>
  <c r="D62" i="99"/>
  <c r="C61" i="99"/>
  <c r="D61" i="99"/>
  <c r="C60" i="99"/>
  <c r="D60" i="99"/>
  <c r="C59" i="99"/>
  <c r="D59" i="99"/>
  <c r="C58" i="99"/>
  <c r="D58" i="99"/>
  <c r="C57" i="99"/>
  <c r="D57" i="99"/>
  <c r="C56" i="99"/>
  <c r="D56" i="99"/>
  <c r="C55" i="99"/>
  <c r="D55" i="99"/>
  <c r="E55" i="99" s="1"/>
  <c r="C54" i="99"/>
  <c r="D54" i="99"/>
  <c r="C53" i="99"/>
  <c r="D53" i="99"/>
  <c r="C52" i="99"/>
  <c r="D52" i="99"/>
  <c r="C51" i="99"/>
  <c r="D51" i="99"/>
  <c r="E51" i="99" s="1"/>
  <c r="C50" i="99"/>
  <c r="D50" i="99"/>
  <c r="C49" i="99"/>
  <c r="D49" i="99"/>
  <c r="C48" i="99"/>
  <c r="D48" i="99"/>
  <c r="C47" i="99"/>
  <c r="D47" i="99"/>
  <c r="E47" i="99" s="1"/>
  <c r="C46" i="99"/>
  <c r="E46" i="99" s="1"/>
  <c r="D46" i="99"/>
  <c r="C45" i="99"/>
  <c r="E45" i="99" s="1"/>
  <c r="D45" i="99"/>
  <c r="C44" i="99"/>
  <c r="D44" i="99"/>
  <c r="C43" i="99"/>
  <c r="D43" i="99"/>
  <c r="E43" i="99" s="1"/>
  <c r="C42" i="99"/>
  <c r="D42" i="99"/>
  <c r="C41" i="99"/>
  <c r="D41" i="99"/>
  <c r="C40" i="99"/>
  <c r="D40" i="99"/>
  <c r="C39" i="99"/>
  <c r="D39" i="99"/>
  <c r="E39" i="99" s="1"/>
  <c r="C38" i="99"/>
  <c r="D38" i="99"/>
  <c r="C37" i="99"/>
  <c r="D37" i="99"/>
  <c r="C36" i="99"/>
  <c r="D36" i="99"/>
  <c r="E36" i="99" s="1"/>
  <c r="C35" i="99"/>
  <c r="D35" i="99"/>
  <c r="E35" i="99" s="1"/>
  <c r="C34" i="99"/>
  <c r="D34" i="99"/>
  <c r="C33" i="99"/>
  <c r="D33" i="99"/>
  <c r="C32" i="99"/>
  <c r="D32" i="99"/>
  <c r="E32" i="99" s="1"/>
  <c r="C31" i="99"/>
  <c r="D31" i="99"/>
  <c r="E31" i="99" s="1"/>
  <c r="C30" i="99"/>
  <c r="D30" i="99"/>
  <c r="C29" i="99"/>
  <c r="D29" i="99"/>
  <c r="C28" i="99"/>
  <c r="D28" i="99"/>
  <c r="E28" i="99" s="1"/>
  <c r="C27" i="99"/>
  <c r="D27" i="99"/>
  <c r="E27" i="99" s="1"/>
  <c r="C26" i="99"/>
  <c r="D26" i="99"/>
  <c r="C25" i="99"/>
  <c r="D25" i="99"/>
  <c r="C24" i="99"/>
  <c r="D24" i="99"/>
  <c r="C23" i="99"/>
  <c r="D23" i="99"/>
  <c r="E23" i="99" s="1"/>
  <c r="C22" i="99"/>
  <c r="D22" i="99"/>
  <c r="C21" i="99"/>
  <c r="D21" i="99"/>
  <c r="E21" i="99" s="1"/>
  <c r="C20" i="99"/>
  <c r="D20" i="99"/>
  <c r="E20" i="99" s="1"/>
  <c r="C19" i="99"/>
  <c r="D19" i="99"/>
  <c r="C18" i="99"/>
  <c r="D18" i="99"/>
  <c r="C17" i="99"/>
  <c r="D17" i="99"/>
  <c r="C16" i="99"/>
  <c r="D16" i="99"/>
  <c r="E16" i="99" s="1"/>
  <c r="C15" i="99"/>
  <c r="D15" i="99"/>
  <c r="C14" i="99"/>
  <c r="D14" i="99"/>
  <c r="C13" i="99"/>
  <c r="D13" i="99"/>
  <c r="E13" i="99" s="1"/>
  <c r="C12" i="99"/>
  <c r="D12" i="99"/>
  <c r="E12" i="99" s="1"/>
  <c r="C11" i="99"/>
  <c r="D11" i="99"/>
  <c r="C10" i="99"/>
  <c r="D10" i="99"/>
  <c r="E10" i="99" s="1"/>
  <c r="C9" i="99"/>
  <c r="D9" i="99"/>
  <c r="E9" i="99" s="1"/>
  <c r="C3" i="98"/>
  <c r="D3" i="98"/>
  <c r="E3" i="98"/>
  <c r="F3" i="98"/>
  <c r="G3" i="98"/>
  <c r="H3" i="98"/>
  <c r="I3" i="98"/>
  <c r="J3" i="98"/>
  <c r="K3" i="98"/>
  <c r="L3" i="98"/>
  <c r="M3" i="98"/>
  <c r="N3" i="98"/>
  <c r="O3" i="98"/>
  <c r="P3" i="98"/>
  <c r="Q3" i="98"/>
  <c r="R3" i="98"/>
  <c r="S3" i="98"/>
  <c r="T3" i="98"/>
  <c r="U3" i="98"/>
  <c r="V3" i="98"/>
  <c r="W3" i="98"/>
  <c r="X3" i="98"/>
  <c r="Y3" i="98"/>
  <c r="Z3" i="98"/>
  <c r="AA3" i="98"/>
  <c r="AB3" i="98"/>
  <c r="AC3" i="98"/>
  <c r="AD3" i="98"/>
  <c r="AE3" i="98"/>
  <c r="AF3" i="98"/>
  <c r="AG3" i="98"/>
  <c r="AH3" i="98"/>
  <c r="E108" i="99"/>
  <c r="E107" i="99"/>
  <c r="E104" i="99"/>
  <c r="E103" i="99"/>
  <c r="E102" i="99"/>
  <c r="E100" i="99"/>
  <c r="E98" i="99"/>
  <c r="E96" i="99"/>
  <c r="E95" i="99"/>
  <c r="E92" i="99"/>
  <c r="E91" i="99"/>
  <c r="E88" i="99"/>
  <c r="E86" i="99"/>
  <c r="E84" i="99"/>
  <c r="E80" i="99"/>
  <c r="E76" i="99"/>
  <c r="E72" i="99"/>
  <c r="E68" i="99"/>
  <c r="E64" i="99"/>
  <c r="E63" i="99"/>
  <c r="E60" i="99"/>
  <c r="E59" i="99"/>
  <c r="E56" i="99"/>
  <c r="E52" i="99"/>
  <c r="E48" i="99"/>
  <c r="E44" i="99"/>
  <c r="E40" i="99"/>
  <c r="E24" i="99"/>
  <c r="D5" i="99"/>
  <c r="GO2" i="99"/>
  <c r="GM2" i="99"/>
  <c r="GM3" i="99" s="1"/>
  <c r="GK2" i="99"/>
  <c r="GI2" i="99"/>
  <c r="GG2" i="99"/>
  <c r="GG3" i="99" s="1"/>
  <c r="GE2" i="99"/>
  <c r="GC2" i="99"/>
  <c r="GA2" i="99"/>
  <c r="GA3" i="99" s="1"/>
  <c r="FY2" i="99"/>
  <c r="FW2" i="99"/>
  <c r="FU2" i="99"/>
  <c r="FU3" i="99" s="1"/>
  <c r="FS2" i="99"/>
  <c r="FQ2" i="99" a="1"/>
  <c r="FQ2" i="99"/>
  <c r="FO2" i="99" a="1"/>
  <c r="FO2" i="99" s="1"/>
  <c r="FO3" i="99" s="1"/>
  <c r="FM2" i="99" a="1"/>
  <c r="FM2" i="99" s="1"/>
  <c r="FK2" i="99"/>
  <c r="FI2" i="99"/>
  <c r="FI3" i="99"/>
  <c r="FG2" i="99"/>
  <c r="FE2" i="99"/>
  <c r="FC2" i="99"/>
  <c r="FC3" i="99"/>
  <c r="FA2" i="99"/>
  <c r="EY2" i="99"/>
  <c r="EW2" i="99"/>
  <c r="EW3" i="99"/>
  <c r="EU2" i="99"/>
  <c r="ES2" i="99"/>
  <c r="EQ2" i="99"/>
  <c r="EQ3" i="99"/>
  <c r="EO2" i="99"/>
  <c r="EM2" i="99" a="1"/>
  <c r="EM2" i="99"/>
  <c r="EK2" i="99" a="1"/>
  <c r="EK2" i="99" s="1"/>
  <c r="EK3" i="99" s="1"/>
  <c r="EI2" i="99" a="1"/>
  <c r="EI2" i="99"/>
  <c r="EG2" i="99"/>
  <c r="EE2" i="99"/>
  <c r="EE3" i="99" s="1"/>
  <c r="EC2" i="99"/>
  <c r="EA2" i="99" a="1"/>
  <c r="EA2" i="99" s="1"/>
  <c r="DY2" i="99" a="1"/>
  <c r="DY2" i="99"/>
  <c r="DY3" i="99" s="1"/>
  <c r="DW2" i="99" a="1"/>
  <c r="DW2" i="99" s="1"/>
  <c r="DU2" i="99"/>
  <c r="DS2" i="99"/>
  <c r="DS3" i="99" s="1"/>
  <c r="DQ2" i="99"/>
  <c r="DO2" i="99"/>
  <c r="DM2" i="99"/>
  <c r="DM3" i="99"/>
  <c r="DK2" i="99"/>
  <c r="DI2" i="99"/>
  <c r="DG2" i="99"/>
  <c r="DG3" i="99" s="1"/>
  <c r="DE2" i="99"/>
  <c r="DC2" i="99"/>
  <c r="DA2" i="99"/>
  <c r="DA3" i="99"/>
  <c r="CY2" i="99"/>
  <c r="CW2" i="99"/>
  <c r="CU2" i="99"/>
  <c r="CU3" i="99" s="1"/>
  <c r="CS2" i="99"/>
  <c r="CQ2" i="99"/>
  <c r="CO2" i="99"/>
  <c r="CO3" i="99"/>
  <c r="CM2" i="99"/>
  <c r="CK2" i="99"/>
  <c r="CI2" i="99"/>
  <c r="CI3" i="99" s="1"/>
  <c r="CG2" i="99"/>
  <c r="CE2" i="99"/>
  <c r="CC2" i="99"/>
  <c r="CC3" i="99"/>
  <c r="CA2" i="99"/>
  <c r="BY2" i="99"/>
  <c r="BW2" i="99"/>
  <c r="BW3" i="99" s="1"/>
  <c r="BU2" i="99"/>
  <c r="BS2" i="99"/>
  <c r="BQ2" i="99"/>
  <c r="BQ3" i="99"/>
  <c r="BO2" i="99"/>
  <c r="BM2" i="99"/>
  <c r="BK2" i="99"/>
  <c r="BK3" i="99" s="1"/>
  <c r="BI2" i="99"/>
  <c r="BG2" i="99"/>
  <c r="BE2" i="99"/>
  <c r="BE3" i="99"/>
  <c r="BC2" i="99"/>
  <c r="BA2" i="99"/>
  <c r="AY2" i="99"/>
  <c r="AY3" i="99" s="1"/>
  <c r="AW2" i="99"/>
  <c r="AU2" i="99"/>
  <c r="AS2" i="99"/>
  <c r="AS3" i="99"/>
  <c r="AQ2" i="99"/>
  <c r="AO2" i="99"/>
  <c r="AM2" i="99"/>
  <c r="AM3" i="99" s="1"/>
  <c r="AK2" i="99"/>
  <c r="AI2" i="99"/>
  <c r="AG2" i="99"/>
  <c r="AG3" i="99"/>
  <c r="AE2" i="99"/>
  <c r="AC2" i="99"/>
  <c r="AA2" i="99"/>
  <c r="AA3" i="99" s="1"/>
  <c r="Y2" i="99"/>
  <c r="W2" i="99"/>
  <c r="U2" i="99"/>
  <c r="U3" i="99"/>
  <c r="S2" i="99"/>
  <c r="Q2" i="99"/>
  <c r="O2" i="99"/>
  <c r="O3" i="99" s="1"/>
  <c r="M2" i="99"/>
  <c r="K2" i="99"/>
  <c r="I2" i="99"/>
  <c r="I3" i="99"/>
  <c r="G2" i="99"/>
  <c r="C2" i="99"/>
  <c r="J1" i="99"/>
  <c r="H1" i="99"/>
  <c r="AH2" i="98"/>
  <c r="AG2" i="98" a="1"/>
  <c r="AG2" i="98" s="1"/>
  <c r="AF2" i="98" a="1"/>
  <c r="AF2" i="98" s="1"/>
  <c r="AE2" i="98"/>
  <c r="AD2" i="98" a="1"/>
  <c r="AD2" i="98" s="1"/>
  <c r="AC2" i="98"/>
  <c r="AB2" i="98"/>
  <c r="AA2" i="98"/>
  <c r="Z2" i="98"/>
  <c r="Y2" i="98" a="1"/>
  <c r="Y2" i="98"/>
  <c r="X2" i="98"/>
  <c r="W2" i="98" a="1"/>
  <c r="W2" i="98"/>
  <c r="V2" i="98"/>
  <c r="U2" i="98"/>
  <c r="T2" i="98"/>
  <c r="S2" i="98"/>
  <c r="R2" i="98"/>
  <c r="Q2" i="98" a="1"/>
  <c r="Q2" i="98" s="1"/>
  <c r="P2" i="98"/>
  <c r="O2" i="98"/>
  <c r="N2" i="98"/>
  <c r="M2" i="98"/>
  <c r="L2" i="98"/>
  <c r="K2" i="98"/>
  <c r="J2" i="98"/>
  <c r="I2" i="98"/>
  <c r="H2" i="98"/>
  <c r="G2" i="98"/>
  <c r="F2" i="98"/>
  <c r="E2" i="98"/>
  <c r="D2" i="98"/>
  <c r="C2" i="98"/>
  <c r="M31" i="3"/>
  <c r="E27" i="2"/>
  <c r="G31" i="3" s="1"/>
  <c r="D27" i="2"/>
  <c r="E31" i="3" s="1"/>
  <c r="H31" i="3" s="1"/>
  <c r="C27" i="2"/>
  <c r="D31" i="3" s="1"/>
  <c r="L24" i="2"/>
  <c r="L23" i="2"/>
  <c r="B6" i="2"/>
  <c r="E34" i="99" l="1"/>
  <c r="E38" i="99"/>
  <c r="E42" i="99"/>
  <c r="E74" i="99"/>
  <c r="E106" i="99"/>
  <c r="E30" i="99"/>
  <c r="E87" i="99"/>
  <c r="E14" i="99"/>
  <c r="E22" i="99"/>
  <c r="E50" i="99"/>
  <c r="E54" i="99"/>
  <c r="E58" i="99"/>
  <c r="E66" i="99"/>
  <c r="E70" i="99"/>
  <c r="E78" i="99"/>
  <c r="E82" i="99"/>
  <c r="E99" i="99"/>
  <c r="E77" i="99"/>
  <c r="E29" i="99"/>
  <c r="E37" i="99"/>
  <c r="E53" i="99"/>
  <c r="E61" i="99"/>
  <c r="E69" i="99"/>
  <c r="E85" i="99"/>
  <c r="E93" i="99"/>
  <c r="E101" i="99"/>
  <c r="E11" i="99"/>
  <c r="E15" i="99"/>
  <c r="E19" i="99"/>
  <c r="E83" i="99"/>
  <c r="E17" i="99"/>
  <c r="E25" i="99"/>
  <c r="E33" i="99"/>
  <c r="E41" i="99"/>
  <c r="E49" i="99"/>
  <c r="E57" i="99"/>
  <c r="E65" i="99"/>
  <c r="E73" i="99"/>
  <c r="E81" i="99"/>
  <c r="E89" i="99"/>
  <c r="E97" i="99"/>
  <c r="E105" i="99"/>
  <c r="E18" i="99"/>
  <c r="E26" i="99"/>
  <c r="N31" i="3"/>
  <c r="O31" i="3"/>
  <c r="F31" i="3"/>
  <c r="K31" i="3" l="1"/>
  <c r="I31" i="3"/>
  <c r="J31" i="3" s="1"/>
  <c r="FD3" i="99" l="1" a="1"/>
  <c r="FD3" i="99" s="1"/>
  <c r="CJ3" i="99" a="1"/>
  <c r="CJ3" i="99" s="1"/>
  <c r="J3" i="99" a="1"/>
  <c r="J3" i="99" s="1"/>
  <c r="DH3" i="99" a="1"/>
  <c r="DH3" i="99" s="1"/>
  <c r="BF3" i="99" a="1"/>
  <c r="BF3" i="99" s="1"/>
  <c r="FJ3" i="99" a="1"/>
  <c r="FJ3" i="99" s="1"/>
  <c r="BX3" i="99" a="1"/>
  <c r="BX3" i="99" s="1"/>
  <c r="AT3" i="99" a="1"/>
  <c r="AT3" i="99" s="1"/>
  <c r="EX3" i="99" a="1"/>
  <c r="EX3" i="99" s="1"/>
  <c r="DB3" i="99" a="1"/>
  <c r="DB3" i="99" s="1"/>
  <c r="V3" i="99"/>
  <c r="DZ3" i="99" a="1"/>
  <c r="DZ3" i="99" s="1"/>
  <c r="AN3" i="99"/>
  <c r="FV3" i="99" a="1"/>
  <c r="FV3" i="99" s="1"/>
  <c r="DT3" i="99" a="1"/>
  <c r="DT3" i="99" s="1"/>
  <c r="BR3" i="99" a="1"/>
  <c r="BR3" i="99" s="1"/>
  <c r="DN3" i="99" a="1"/>
  <c r="DN3" i="99" s="1"/>
  <c r="AH3" i="99"/>
  <c r="AZ3" i="99"/>
  <c r="EL3" i="99" a="1"/>
  <c r="EL3" i="99" s="1"/>
  <c r="P3" i="99" a="1"/>
  <c r="P3" i="99" s="1"/>
  <c r="FP3" i="99" a="1"/>
  <c r="FP3" i="99" s="1"/>
  <c r="CP3" i="99" a="1"/>
  <c r="CP3" i="99" s="1"/>
  <c r="CD3" i="99" a="1"/>
  <c r="CD3" i="99" s="1"/>
  <c r="E5" i="99"/>
  <c r="AB3" i="99"/>
  <c r="BL3" i="99" a="1"/>
  <c r="BL3" i="99" s="1"/>
  <c r="GN3" i="99" a="1"/>
  <c r="GN3" i="99" s="1"/>
  <c r="ER3" i="99" a="1"/>
  <c r="ER3" i="99" s="1"/>
  <c r="CV3" i="99" a="1"/>
  <c r="CV3" i="99" s="1"/>
  <c r="EF3" i="99" a="1"/>
  <c r="EF3" i="99" s="1"/>
  <c r="GB3" i="99" a="1"/>
  <c r="GB3" i="99" s="1"/>
  <c r="GH3" i="99" a="1"/>
  <c r="GH3" i="99" s="1"/>
  <c r="M100" i="99" l="1"/>
  <c r="N100" i="99" s="1"/>
  <c r="O100" i="99" s="1"/>
  <c r="P100" i="99" s="1"/>
  <c r="Q100" i="99" s="1"/>
  <c r="M104" i="99"/>
  <c r="N104" i="99" s="1"/>
  <c r="O104" i="99" s="1"/>
  <c r="P104" i="99" s="1"/>
  <c r="Q104" i="99" s="1"/>
  <c r="M88" i="99"/>
  <c r="N88" i="99" s="1"/>
  <c r="O88" i="99" s="1"/>
  <c r="P88" i="99" s="1"/>
  <c r="Q88" i="99" s="1"/>
  <c r="M93" i="99"/>
  <c r="N93" i="99" s="1"/>
  <c r="O93" i="99" s="1"/>
  <c r="P93" i="99" s="1"/>
  <c r="Q93" i="99" s="1"/>
  <c r="M71" i="99"/>
  <c r="N71" i="99" s="1"/>
  <c r="O71" i="99" s="1"/>
  <c r="P71" i="99" s="1"/>
  <c r="Q71" i="99" s="1"/>
  <c r="M67" i="99"/>
  <c r="N67" i="99" s="1"/>
  <c r="O67" i="99" s="1"/>
  <c r="P67" i="99" s="1"/>
  <c r="Q67" i="99" s="1"/>
  <c r="M48" i="99"/>
  <c r="N48" i="99" s="1"/>
  <c r="O48" i="99" s="1"/>
  <c r="P48" i="99" s="1"/>
  <c r="Q48" i="99" s="1"/>
  <c r="M61" i="99"/>
  <c r="N61" i="99" s="1"/>
  <c r="O61" i="99" s="1"/>
  <c r="P61" i="99" s="1"/>
  <c r="Q61" i="99" s="1"/>
  <c r="M53" i="99"/>
  <c r="N53" i="99" s="1"/>
  <c r="O53" i="99" s="1"/>
  <c r="P53" i="99" s="1"/>
  <c r="Q53" i="99" s="1"/>
  <c r="M94" i="99"/>
  <c r="N94" i="99" s="1"/>
  <c r="O94" i="99" s="1"/>
  <c r="P94" i="99" s="1"/>
  <c r="Q94" i="99" s="1"/>
  <c r="M65" i="99"/>
  <c r="N65" i="99" s="1"/>
  <c r="O65" i="99" s="1"/>
  <c r="P65" i="99" s="1"/>
  <c r="Q65" i="99" s="1"/>
  <c r="M56" i="99"/>
  <c r="N56" i="99" s="1"/>
  <c r="O56" i="99" s="1"/>
  <c r="P56" i="99" s="1"/>
  <c r="Q56" i="99" s="1"/>
  <c r="M42" i="99"/>
  <c r="N42" i="99" s="1"/>
  <c r="O42" i="99" s="1"/>
  <c r="P42" i="99" s="1"/>
  <c r="Q42" i="99" s="1"/>
  <c r="M40" i="99"/>
  <c r="N40" i="99" s="1"/>
  <c r="O40" i="99" s="1"/>
  <c r="P40" i="99" s="1"/>
  <c r="Q40" i="99" s="1"/>
  <c r="M25" i="99"/>
  <c r="N25" i="99" s="1"/>
  <c r="O25" i="99" s="1"/>
  <c r="P25" i="99" s="1"/>
  <c r="Q25" i="99" s="1"/>
  <c r="M59" i="99"/>
  <c r="N59" i="99" s="1"/>
  <c r="O59" i="99" s="1"/>
  <c r="P59" i="99" s="1"/>
  <c r="Q59" i="99" s="1"/>
  <c r="M49" i="99"/>
  <c r="N49" i="99" s="1"/>
  <c r="O49" i="99" s="1"/>
  <c r="P49" i="99" s="1"/>
  <c r="Q49" i="99" s="1"/>
  <c r="M44" i="99"/>
  <c r="N44" i="99" s="1"/>
  <c r="O44" i="99" s="1"/>
  <c r="P44" i="99" s="1"/>
  <c r="Q44" i="99" s="1"/>
  <c r="M108" i="99"/>
  <c r="N108" i="99" s="1"/>
  <c r="O108" i="99" s="1"/>
  <c r="P108" i="99" s="1"/>
  <c r="Q108" i="99" s="1"/>
  <c r="M43" i="99"/>
  <c r="N43" i="99" s="1"/>
  <c r="O43" i="99" s="1"/>
  <c r="P43" i="99" s="1"/>
  <c r="Q43" i="99" s="1"/>
  <c r="M30" i="99"/>
  <c r="N30" i="99" s="1"/>
  <c r="O30" i="99" s="1"/>
  <c r="P30" i="99" s="1"/>
  <c r="Q30" i="99" s="1"/>
  <c r="M27" i="99"/>
  <c r="N27" i="99" s="1"/>
  <c r="O27" i="99" s="1"/>
  <c r="P27" i="99" s="1"/>
  <c r="Q27" i="99" s="1"/>
  <c r="M26" i="99"/>
  <c r="N26" i="99" s="1"/>
  <c r="O26" i="99" s="1"/>
  <c r="P26" i="99" s="1"/>
  <c r="Q26" i="99" s="1"/>
  <c r="M34" i="99"/>
  <c r="N34" i="99" s="1"/>
  <c r="O34" i="99" s="1"/>
  <c r="P34" i="99" s="1"/>
  <c r="Q34" i="99" s="1"/>
  <c r="M33" i="99"/>
  <c r="N33" i="99" s="1"/>
  <c r="O33" i="99" s="1"/>
  <c r="P33" i="99" s="1"/>
  <c r="Q33" i="99" s="1"/>
  <c r="M62" i="99"/>
  <c r="N62" i="99" s="1"/>
  <c r="O62" i="99" s="1"/>
  <c r="P62" i="99" s="1"/>
  <c r="Q62" i="99" s="1"/>
  <c r="M36" i="99"/>
  <c r="N36" i="99" s="1"/>
  <c r="O36" i="99" s="1"/>
  <c r="P36" i="99" s="1"/>
  <c r="Q36" i="99" s="1"/>
  <c r="M54" i="99"/>
  <c r="N54" i="99" s="1"/>
  <c r="O54" i="99" s="1"/>
  <c r="P54" i="99" s="1"/>
  <c r="Q54" i="99" s="1"/>
  <c r="M35" i="99"/>
  <c r="N35" i="99" s="1"/>
  <c r="O35" i="99" s="1"/>
  <c r="P35" i="99" s="1"/>
  <c r="Q35" i="99" s="1"/>
  <c r="M22" i="99"/>
  <c r="N22" i="99" s="1"/>
  <c r="O22" i="99" s="1"/>
  <c r="P22" i="99" s="1"/>
  <c r="Q22" i="99" s="1"/>
  <c r="M77" i="99"/>
  <c r="N77" i="99" s="1"/>
  <c r="O77" i="99" s="1"/>
  <c r="P77" i="99" s="1"/>
  <c r="Q77" i="99" s="1"/>
  <c r="M9" i="99"/>
  <c r="N9" i="99" s="1"/>
  <c r="O9" i="99" s="1"/>
  <c r="P9" i="99" s="1"/>
  <c r="M18" i="99"/>
  <c r="N18" i="99" s="1"/>
  <c r="O18" i="99" s="1"/>
  <c r="P18" i="99" s="1"/>
  <c r="Q18" i="99" s="1"/>
  <c r="M92" i="99"/>
  <c r="N92" i="99" s="1"/>
  <c r="O92" i="99" s="1"/>
  <c r="P92" i="99" s="1"/>
  <c r="Q92" i="99" s="1"/>
  <c r="M70" i="99"/>
  <c r="N70" i="99" s="1"/>
  <c r="O70" i="99" s="1"/>
  <c r="P70" i="99" s="1"/>
  <c r="Q70" i="99" s="1"/>
  <c r="M73" i="99"/>
  <c r="N73" i="99" s="1"/>
  <c r="O73" i="99" s="1"/>
  <c r="P73" i="99" s="1"/>
  <c r="Q73" i="99" s="1"/>
  <c r="M32" i="99"/>
  <c r="N32" i="99" s="1"/>
  <c r="O32" i="99" s="1"/>
  <c r="P32" i="99" s="1"/>
  <c r="Q32" i="99" s="1"/>
  <c r="M15" i="99"/>
  <c r="N15" i="99" s="1"/>
  <c r="O15" i="99" s="1"/>
  <c r="P15" i="99" s="1"/>
  <c r="Q15" i="99" s="1"/>
  <c r="M72" i="99"/>
  <c r="N72" i="99" s="1"/>
  <c r="O72" i="99" s="1"/>
  <c r="P72" i="99" s="1"/>
  <c r="Q72" i="99" s="1"/>
  <c r="M84" i="99"/>
  <c r="N84" i="99" s="1"/>
  <c r="O84" i="99" s="1"/>
  <c r="P84" i="99" s="1"/>
  <c r="Q84" i="99" s="1"/>
  <c r="M106" i="99"/>
  <c r="N106" i="99" s="1"/>
  <c r="O106" i="99" s="1"/>
  <c r="P106" i="99" s="1"/>
  <c r="Q106" i="99" s="1"/>
  <c r="M13" i="99"/>
  <c r="N13" i="99" s="1"/>
  <c r="O13" i="99" s="1"/>
  <c r="P13" i="99" s="1"/>
  <c r="Q13" i="99" s="1"/>
  <c r="M11" i="99"/>
  <c r="N11" i="99" s="1"/>
  <c r="O11" i="99" s="1"/>
  <c r="P11" i="99" s="1"/>
  <c r="Q11" i="99" s="1"/>
  <c r="M12" i="99"/>
  <c r="N12" i="99" s="1"/>
  <c r="O12" i="99" s="1"/>
  <c r="P12" i="99" s="1"/>
  <c r="Q12" i="99" s="1"/>
  <c r="M87" i="99"/>
  <c r="N87" i="99" s="1"/>
  <c r="O87" i="99" s="1"/>
  <c r="P87" i="99" s="1"/>
  <c r="Q87" i="99" s="1"/>
  <c r="M24" i="99"/>
  <c r="N24" i="99" s="1"/>
  <c r="O24" i="99" s="1"/>
  <c r="P24" i="99" s="1"/>
  <c r="Q24" i="99" s="1"/>
  <c r="M10" i="99"/>
  <c r="N10" i="99" s="1"/>
  <c r="O10" i="99" s="1"/>
  <c r="P10" i="99" s="1"/>
  <c r="Q10" i="99" s="1"/>
  <c r="M17" i="99"/>
  <c r="N17" i="99" s="1"/>
  <c r="O17" i="99" s="1"/>
  <c r="P17" i="99" s="1"/>
  <c r="Q17" i="99" s="1"/>
  <c r="M69" i="99"/>
  <c r="N69" i="99" s="1"/>
  <c r="O69" i="99" s="1"/>
  <c r="P69" i="99" s="1"/>
  <c r="Q69" i="99" s="1"/>
  <c r="M55" i="99"/>
  <c r="N55" i="99" s="1"/>
  <c r="O55" i="99" s="1"/>
  <c r="P55" i="99" s="1"/>
  <c r="Q55" i="99" s="1"/>
  <c r="M85" i="99"/>
  <c r="N85" i="99" s="1"/>
  <c r="O85" i="99" s="1"/>
  <c r="P85" i="99" s="1"/>
  <c r="Q85" i="99" s="1"/>
  <c r="M80" i="99"/>
  <c r="N80" i="99" s="1"/>
  <c r="O80" i="99" s="1"/>
  <c r="P80" i="99" s="1"/>
  <c r="Q80" i="99" s="1"/>
  <c r="M90" i="99"/>
  <c r="N90" i="99" s="1"/>
  <c r="O90" i="99" s="1"/>
  <c r="P90" i="99" s="1"/>
  <c r="Q90" i="99" s="1"/>
  <c r="M28" i="99"/>
  <c r="N28" i="99" s="1"/>
  <c r="O28" i="99" s="1"/>
  <c r="P28" i="99" s="1"/>
  <c r="Q28" i="99" s="1"/>
  <c r="M98" i="99"/>
  <c r="N98" i="99" s="1"/>
  <c r="O98" i="99" s="1"/>
  <c r="P98" i="99" s="1"/>
  <c r="Q98" i="99" s="1"/>
  <c r="M103" i="99"/>
  <c r="N103" i="99" s="1"/>
  <c r="O103" i="99" s="1"/>
  <c r="P103" i="99" s="1"/>
  <c r="Q103" i="99" s="1"/>
  <c r="M23" i="99"/>
  <c r="N23" i="99" s="1"/>
  <c r="O23" i="99" s="1"/>
  <c r="P23" i="99" s="1"/>
  <c r="Q23" i="99" s="1"/>
  <c r="M31" i="99"/>
  <c r="N31" i="99" s="1"/>
  <c r="O31" i="99" s="1"/>
  <c r="P31" i="99" s="1"/>
  <c r="Q31" i="99" s="1"/>
  <c r="M29" i="99"/>
  <c r="N29" i="99" s="1"/>
  <c r="O29" i="99" s="1"/>
  <c r="P29" i="99" s="1"/>
  <c r="Q29" i="99" s="1"/>
  <c r="M75" i="99"/>
  <c r="N75" i="99" s="1"/>
  <c r="O75" i="99" s="1"/>
  <c r="P75" i="99" s="1"/>
  <c r="Q75" i="99" s="1"/>
  <c r="M74" i="99"/>
  <c r="N74" i="99" s="1"/>
  <c r="O74" i="99" s="1"/>
  <c r="P74" i="99" s="1"/>
  <c r="Q74" i="99" s="1"/>
  <c r="M79" i="99"/>
  <c r="N79" i="99" s="1"/>
  <c r="O79" i="99" s="1"/>
  <c r="P79" i="99" s="1"/>
  <c r="Q79" i="99" s="1"/>
  <c r="M91" i="99"/>
  <c r="N91" i="99" s="1"/>
  <c r="O91" i="99" s="1"/>
  <c r="P91" i="99" s="1"/>
  <c r="Q91" i="99" s="1"/>
  <c r="M101" i="99"/>
  <c r="N101" i="99" s="1"/>
  <c r="O101" i="99" s="1"/>
  <c r="P101" i="99" s="1"/>
  <c r="Q101" i="99" s="1"/>
  <c r="M41" i="99"/>
  <c r="N41" i="99" s="1"/>
  <c r="O41" i="99" s="1"/>
  <c r="P41" i="99" s="1"/>
  <c r="Q41" i="99" s="1"/>
  <c r="M68" i="99"/>
  <c r="N68" i="99" s="1"/>
  <c r="O68" i="99" s="1"/>
  <c r="P68" i="99" s="1"/>
  <c r="Q68" i="99" s="1"/>
  <c r="M76" i="99"/>
  <c r="N76" i="99" s="1"/>
  <c r="O76" i="99" s="1"/>
  <c r="P76" i="99" s="1"/>
  <c r="Q76" i="99" s="1"/>
  <c r="M83" i="99"/>
  <c r="N83" i="99" s="1"/>
  <c r="O83" i="99" s="1"/>
  <c r="P83" i="99" s="1"/>
  <c r="Q83" i="99" s="1"/>
  <c r="M16" i="99"/>
  <c r="N16" i="99" s="1"/>
  <c r="O16" i="99" s="1"/>
  <c r="P16" i="99" s="1"/>
  <c r="Q16" i="99" s="1"/>
  <c r="M38" i="99"/>
  <c r="N38" i="99" s="1"/>
  <c r="O38" i="99" s="1"/>
  <c r="P38" i="99" s="1"/>
  <c r="Q38" i="99" s="1"/>
  <c r="M50" i="99"/>
  <c r="N50" i="99" s="1"/>
  <c r="O50" i="99" s="1"/>
  <c r="P50" i="99" s="1"/>
  <c r="Q50" i="99" s="1"/>
  <c r="M47" i="99"/>
  <c r="N47" i="99" s="1"/>
  <c r="O47" i="99" s="1"/>
  <c r="P47" i="99" s="1"/>
  <c r="Q47" i="99" s="1"/>
  <c r="M89" i="99"/>
  <c r="N89" i="99" s="1"/>
  <c r="O89" i="99" s="1"/>
  <c r="P89" i="99" s="1"/>
  <c r="Q89" i="99" s="1"/>
  <c r="M78" i="99"/>
  <c r="N78" i="99" s="1"/>
  <c r="O78" i="99" s="1"/>
  <c r="P78" i="99" s="1"/>
  <c r="Q78" i="99" s="1"/>
  <c r="M96" i="99"/>
  <c r="N96" i="99" s="1"/>
  <c r="O96" i="99" s="1"/>
  <c r="P96" i="99" s="1"/>
  <c r="Q96" i="99" s="1"/>
  <c r="M102" i="99"/>
  <c r="N102" i="99" s="1"/>
  <c r="O102" i="99" s="1"/>
  <c r="P102" i="99" s="1"/>
  <c r="Q102" i="99" s="1"/>
  <c r="M46" i="99"/>
  <c r="N46" i="99" s="1"/>
  <c r="O46" i="99" s="1"/>
  <c r="P46" i="99" s="1"/>
  <c r="Q46" i="99" s="1"/>
  <c r="M37" i="99"/>
  <c r="N37" i="99" s="1"/>
  <c r="O37" i="99" s="1"/>
  <c r="P37" i="99" s="1"/>
  <c r="Q37" i="99" s="1"/>
  <c r="M19" i="99"/>
  <c r="N19" i="99" s="1"/>
  <c r="O19" i="99" s="1"/>
  <c r="P19" i="99" s="1"/>
  <c r="Q19" i="99" s="1"/>
  <c r="M64" i="99"/>
  <c r="N64" i="99" s="1"/>
  <c r="O64" i="99" s="1"/>
  <c r="P64" i="99" s="1"/>
  <c r="Q64" i="99" s="1"/>
  <c r="M60" i="99"/>
  <c r="N60" i="99" s="1"/>
  <c r="O60" i="99" s="1"/>
  <c r="P60" i="99" s="1"/>
  <c r="Q60" i="99" s="1"/>
  <c r="M51" i="99"/>
  <c r="N51" i="99" s="1"/>
  <c r="O51" i="99" s="1"/>
  <c r="P51" i="99" s="1"/>
  <c r="Q51" i="99" s="1"/>
  <c r="M81" i="99"/>
  <c r="N81" i="99" s="1"/>
  <c r="O81" i="99" s="1"/>
  <c r="P81" i="99" s="1"/>
  <c r="Q81" i="99" s="1"/>
  <c r="M20" i="99"/>
  <c r="N20" i="99" s="1"/>
  <c r="O20" i="99" s="1"/>
  <c r="P20" i="99" s="1"/>
  <c r="Q20" i="99" s="1"/>
  <c r="M45" i="99"/>
  <c r="N45" i="99" s="1"/>
  <c r="O45" i="99" s="1"/>
  <c r="P45" i="99" s="1"/>
  <c r="Q45" i="99" s="1"/>
  <c r="M63" i="99"/>
  <c r="N63" i="99" s="1"/>
  <c r="O63" i="99" s="1"/>
  <c r="P63" i="99" s="1"/>
  <c r="Q63" i="99" s="1"/>
  <c r="M39" i="99"/>
  <c r="N39" i="99" s="1"/>
  <c r="O39" i="99" s="1"/>
  <c r="P39" i="99" s="1"/>
  <c r="Q39" i="99" s="1"/>
  <c r="M21" i="99"/>
  <c r="N21" i="99" s="1"/>
  <c r="O21" i="99" s="1"/>
  <c r="P21" i="99" s="1"/>
  <c r="Q21" i="99" s="1"/>
  <c r="M57" i="99"/>
  <c r="N57" i="99" s="1"/>
  <c r="O57" i="99" s="1"/>
  <c r="P57" i="99" s="1"/>
  <c r="Q57" i="99" s="1"/>
  <c r="M14" i="99"/>
  <c r="N14" i="99" s="1"/>
  <c r="O14" i="99" s="1"/>
  <c r="P14" i="99" s="1"/>
  <c r="Q14" i="99" s="1"/>
  <c r="M58" i="99"/>
  <c r="N58" i="99" s="1"/>
  <c r="O58" i="99" s="1"/>
  <c r="P58" i="99" s="1"/>
  <c r="Q58" i="99" s="1"/>
  <c r="M66" i="99"/>
  <c r="N66" i="99" s="1"/>
  <c r="O66" i="99" s="1"/>
  <c r="P66" i="99" s="1"/>
  <c r="Q66" i="99" s="1"/>
  <c r="M52" i="99"/>
  <c r="N52" i="99" s="1"/>
  <c r="O52" i="99" s="1"/>
  <c r="P52" i="99" s="1"/>
  <c r="Q52" i="99" s="1"/>
  <c r="M82" i="99"/>
  <c r="N82" i="99" s="1"/>
  <c r="O82" i="99" s="1"/>
  <c r="P82" i="99" s="1"/>
  <c r="Q82" i="99" s="1"/>
  <c r="M86" i="99"/>
  <c r="N86" i="99" s="1"/>
  <c r="O86" i="99" s="1"/>
  <c r="P86" i="99" s="1"/>
  <c r="Q86" i="99" s="1"/>
  <c r="M97" i="99"/>
  <c r="N97" i="99" s="1"/>
  <c r="O97" i="99" s="1"/>
  <c r="P97" i="99" s="1"/>
  <c r="Q97" i="99" s="1"/>
  <c r="M105" i="99"/>
  <c r="N105" i="99" s="1"/>
  <c r="O105" i="99" s="1"/>
  <c r="P105" i="99" s="1"/>
  <c r="Q105" i="99" s="1"/>
  <c r="M95" i="99"/>
  <c r="N95" i="99" s="1"/>
  <c r="O95" i="99" s="1"/>
  <c r="P95" i="99" s="1"/>
  <c r="Q95" i="99" s="1"/>
  <c r="M99" i="99"/>
  <c r="N99" i="99" s="1"/>
  <c r="O99" i="99" s="1"/>
  <c r="P99" i="99" s="1"/>
  <c r="Q99" i="99" s="1"/>
  <c r="M107" i="99"/>
  <c r="N107" i="99" s="1"/>
  <c r="O107" i="99" s="1"/>
  <c r="P107" i="99" s="1"/>
  <c r="Q107" i="99" s="1"/>
  <c r="BC77" i="99"/>
  <c r="BD77" i="99" s="1"/>
  <c r="BE77" i="99" s="1"/>
  <c r="BF77" i="99" s="1"/>
  <c r="BG77" i="99" s="1"/>
  <c r="BC104" i="99"/>
  <c r="BD104" i="99" s="1"/>
  <c r="BE104" i="99" s="1"/>
  <c r="BF104" i="99" s="1"/>
  <c r="BG104" i="99" s="1"/>
  <c r="BC93" i="99"/>
  <c r="BD93" i="99" s="1"/>
  <c r="BE93" i="99" s="1"/>
  <c r="BF93" i="99" s="1"/>
  <c r="BG93" i="99" s="1"/>
  <c r="BC75" i="99"/>
  <c r="BD75" i="99" s="1"/>
  <c r="BE75" i="99" s="1"/>
  <c r="BF75" i="99" s="1"/>
  <c r="BG75" i="99" s="1"/>
  <c r="BC95" i="99"/>
  <c r="BD95" i="99" s="1"/>
  <c r="BE95" i="99" s="1"/>
  <c r="BF95" i="99" s="1"/>
  <c r="BG95" i="99" s="1"/>
  <c r="BC87" i="99"/>
  <c r="BD87" i="99" s="1"/>
  <c r="BE87" i="99" s="1"/>
  <c r="BF87" i="99" s="1"/>
  <c r="BG87" i="99" s="1"/>
  <c r="BC62" i="99"/>
  <c r="BD62" i="99" s="1"/>
  <c r="BE62" i="99" s="1"/>
  <c r="BF62" i="99" s="1"/>
  <c r="BG62" i="99" s="1"/>
  <c r="BC48" i="99"/>
  <c r="BD48" i="99" s="1"/>
  <c r="BE48" i="99" s="1"/>
  <c r="BF48" i="99" s="1"/>
  <c r="BG48" i="99" s="1"/>
  <c r="BC65" i="99"/>
  <c r="BD65" i="99" s="1"/>
  <c r="BE65" i="99" s="1"/>
  <c r="BF65" i="99" s="1"/>
  <c r="BG65" i="99" s="1"/>
  <c r="BC54" i="99"/>
  <c r="BD54" i="99" s="1"/>
  <c r="BE54" i="99" s="1"/>
  <c r="BF54" i="99" s="1"/>
  <c r="BG54" i="99" s="1"/>
  <c r="BC96" i="99"/>
  <c r="BD96" i="99" s="1"/>
  <c r="BE96" i="99" s="1"/>
  <c r="BF96" i="99" s="1"/>
  <c r="BG96" i="99" s="1"/>
  <c r="BC61" i="99"/>
  <c r="BD61" i="99" s="1"/>
  <c r="BE61" i="99" s="1"/>
  <c r="BF61" i="99" s="1"/>
  <c r="BG61" i="99" s="1"/>
  <c r="BC41" i="99"/>
  <c r="BD41" i="99" s="1"/>
  <c r="BE41" i="99" s="1"/>
  <c r="BF41" i="99" s="1"/>
  <c r="BG41" i="99" s="1"/>
  <c r="BC40" i="99"/>
  <c r="BD40" i="99" s="1"/>
  <c r="BE40" i="99" s="1"/>
  <c r="BF40" i="99" s="1"/>
  <c r="BG40" i="99" s="1"/>
  <c r="BC36" i="99"/>
  <c r="BD36" i="99" s="1"/>
  <c r="BE36" i="99" s="1"/>
  <c r="BF36" i="99" s="1"/>
  <c r="BG36" i="99" s="1"/>
  <c r="BC25" i="99"/>
  <c r="BD25" i="99" s="1"/>
  <c r="BE25" i="99" s="1"/>
  <c r="BF25" i="99" s="1"/>
  <c r="BG25" i="99" s="1"/>
  <c r="BC21" i="99"/>
  <c r="BD21" i="99" s="1"/>
  <c r="BE21" i="99" s="1"/>
  <c r="BF21" i="99" s="1"/>
  <c r="BG21" i="99" s="1"/>
  <c r="BC22" i="99"/>
  <c r="BD22" i="99" s="1"/>
  <c r="BE22" i="99" s="1"/>
  <c r="BF22" i="99" s="1"/>
  <c r="BG22" i="99" s="1"/>
  <c r="BC53" i="99"/>
  <c r="BD53" i="99" s="1"/>
  <c r="BE53" i="99" s="1"/>
  <c r="BF53" i="99" s="1"/>
  <c r="BG53" i="99" s="1"/>
  <c r="BC44" i="99"/>
  <c r="BD44" i="99" s="1"/>
  <c r="BE44" i="99" s="1"/>
  <c r="BF44" i="99" s="1"/>
  <c r="BG44" i="99" s="1"/>
  <c r="BC26" i="99"/>
  <c r="BD26" i="99" s="1"/>
  <c r="BE26" i="99" s="1"/>
  <c r="BF26" i="99" s="1"/>
  <c r="BG26" i="99" s="1"/>
  <c r="BC42" i="99"/>
  <c r="BD42" i="99" s="1"/>
  <c r="BE42" i="99" s="1"/>
  <c r="BF42" i="99" s="1"/>
  <c r="BG42" i="99" s="1"/>
  <c r="BC34" i="99"/>
  <c r="BD34" i="99" s="1"/>
  <c r="BE34" i="99" s="1"/>
  <c r="BF34" i="99" s="1"/>
  <c r="BG34" i="99" s="1"/>
  <c r="BC15" i="99"/>
  <c r="BD15" i="99" s="1"/>
  <c r="BE15" i="99" s="1"/>
  <c r="BF15" i="99" s="1"/>
  <c r="BG15" i="99" s="1"/>
  <c r="BC33" i="99"/>
  <c r="BD33" i="99" s="1"/>
  <c r="BE33" i="99" s="1"/>
  <c r="BF33" i="99" s="1"/>
  <c r="BG33" i="99" s="1"/>
  <c r="BC81" i="99"/>
  <c r="BD81" i="99" s="1"/>
  <c r="BE81" i="99" s="1"/>
  <c r="BF81" i="99" s="1"/>
  <c r="BG81" i="99" s="1"/>
  <c r="BC98" i="99"/>
  <c r="BD98" i="99" s="1"/>
  <c r="BE98" i="99" s="1"/>
  <c r="BF98" i="99" s="1"/>
  <c r="BG98" i="99" s="1"/>
  <c r="BC10" i="99"/>
  <c r="BD10" i="99" s="1"/>
  <c r="BE10" i="99" s="1"/>
  <c r="BF10" i="99" s="1"/>
  <c r="BG10" i="99" s="1"/>
  <c r="BC18" i="99"/>
  <c r="BD18" i="99" s="1"/>
  <c r="BE18" i="99" s="1"/>
  <c r="BF18" i="99" s="1"/>
  <c r="BG18" i="99" s="1"/>
  <c r="BC17" i="99"/>
  <c r="BD17" i="99" s="1"/>
  <c r="BE17" i="99" s="1"/>
  <c r="BF17" i="99" s="1"/>
  <c r="BG17" i="99" s="1"/>
  <c r="BC59" i="99"/>
  <c r="BD59" i="99" s="1"/>
  <c r="BE59" i="99" s="1"/>
  <c r="BF59" i="99" s="1"/>
  <c r="BG59" i="99" s="1"/>
  <c r="BC80" i="99"/>
  <c r="BD80" i="99" s="1"/>
  <c r="BE80" i="99" s="1"/>
  <c r="BF80" i="99" s="1"/>
  <c r="BG80" i="99" s="1"/>
  <c r="BC90" i="99"/>
  <c r="BD90" i="99" s="1"/>
  <c r="BE90" i="99" s="1"/>
  <c r="BF90" i="99" s="1"/>
  <c r="BG90" i="99" s="1"/>
  <c r="BC28" i="99"/>
  <c r="BD28" i="99" s="1"/>
  <c r="BE28" i="99" s="1"/>
  <c r="BF28" i="99" s="1"/>
  <c r="BG28" i="99" s="1"/>
  <c r="BC78" i="99"/>
  <c r="BD78" i="99" s="1"/>
  <c r="BE78" i="99" s="1"/>
  <c r="BF78" i="99" s="1"/>
  <c r="BG78" i="99" s="1"/>
  <c r="BC70" i="99"/>
  <c r="BD70" i="99" s="1"/>
  <c r="BE70" i="99" s="1"/>
  <c r="BF70" i="99" s="1"/>
  <c r="BG70" i="99" s="1"/>
  <c r="BC82" i="99"/>
  <c r="BD82" i="99" s="1"/>
  <c r="BE82" i="99" s="1"/>
  <c r="BF82" i="99" s="1"/>
  <c r="BG82" i="99" s="1"/>
  <c r="BC85" i="99"/>
  <c r="BD85" i="99" s="1"/>
  <c r="BE85" i="99" s="1"/>
  <c r="BF85" i="99" s="1"/>
  <c r="BG85" i="99" s="1"/>
  <c r="BC32" i="99"/>
  <c r="BD32" i="99" s="1"/>
  <c r="BE32" i="99" s="1"/>
  <c r="BF32" i="99" s="1"/>
  <c r="BG32" i="99" s="1"/>
  <c r="BC69" i="99"/>
  <c r="BD69" i="99" s="1"/>
  <c r="BE69" i="99" s="1"/>
  <c r="BF69" i="99" s="1"/>
  <c r="BG69" i="99" s="1"/>
  <c r="BC9" i="99"/>
  <c r="BD9" i="99" s="1"/>
  <c r="BE9" i="99" s="1"/>
  <c r="BF9" i="99" s="1"/>
  <c r="BC73" i="99"/>
  <c r="BD73" i="99" s="1"/>
  <c r="BE73" i="99" s="1"/>
  <c r="BF73" i="99" s="1"/>
  <c r="BG73" i="99" s="1"/>
  <c r="BC24" i="99"/>
  <c r="BD24" i="99" s="1"/>
  <c r="BE24" i="99" s="1"/>
  <c r="BF24" i="99" s="1"/>
  <c r="BG24" i="99" s="1"/>
  <c r="BC12" i="99"/>
  <c r="BD12" i="99" s="1"/>
  <c r="BE12" i="99" s="1"/>
  <c r="BF12" i="99" s="1"/>
  <c r="BG12" i="99" s="1"/>
  <c r="BC49" i="99"/>
  <c r="BD49" i="99" s="1"/>
  <c r="BE49" i="99" s="1"/>
  <c r="BF49" i="99" s="1"/>
  <c r="BG49" i="99" s="1"/>
  <c r="BC67" i="99"/>
  <c r="BD67" i="99" s="1"/>
  <c r="BE67" i="99" s="1"/>
  <c r="BF67" i="99" s="1"/>
  <c r="BG67" i="99" s="1"/>
  <c r="BC88" i="99"/>
  <c r="BD88" i="99" s="1"/>
  <c r="BE88" i="99" s="1"/>
  <c r="BF88" i="99" s="1"/>
  <c r="BG88" i="99" s="1"/>
  <c r="BC19" i="99"/>
  <c r="BD19" i="99" s="1"/>
  <c r="BE19" i="99" s="1"/>
  <c r="BF19" i="99" s="1"/>
  <c r="BG19" i="99" s="1"/>
  <c r="BC27" i="99"/>
  <c r="BD27" i="99" s="1"/>
  <c r="BE27" i="99" s="1"/>
  <c r="BF27" i="99" s="1"/>
  <c r="BG27" i="99" s="1"/>
  <c r="BC46" i="99"/>
  <c r="BD46" i="99" s="1"/>
  <c r="BE46" i="99" s="1"/>
  <c r="BF46" i="99" s="1"/>
  <c r="BG46" i="99" s="1"/>
  <c r="BC30" i="99"/>
  <c r="BD30" i="99" s="1"/>
  <c r="BE30" i="99" s="1"/>
  <c r="BF30" i="99" s="1"/>
  <c r="BG30" i="99" s="1"/>
  <c r="BC23" i="99"/>
  <c r="BD23" i="99" s="1"/>
  <c r="BE23" i="99" s="1"/>
  <c r="BF23" i="99" s="1"/>
  <c r="BG23" i="99" s="1"/>
  <c r="BC31" i="99"/>
  <c r="BD31" i="99" s="1"/>
  <c r="BE31" i="99" s="1"/>
  <c r="BF31" i="99" s="1"/>
  <c r="BG31" i="99" s="1"/>
  <c r="BC63" i="99"/>
  <c r="BD63" i="99" s="1"/>
  <c r="BE63" i="99" s="1"/>
  <c r="BF63" i="99" s="1"/>
  <c r="BG63" i="99" s="1"/>
  <c r="BC50" i="99"/>
  <c r="BD50" i="99" s="1"/>
  <c r="BE50" i="99" s="1"/>
  <c r="BF50" i="99" s="1"/>
  <c r="BG50" i="99" s="1"/>
  <c r="BC11" i="99"/>
  <c r="BD11" i="99" s="1"/>
  <c r="BE11" i="99" s="1"/>
  <c r="BF11" i="99" s="1"/>
  <c r="BG11" i="99" s="1"/>
  <c r="BC58" i="99"/>
  <c r="BD58" i="99" s="1"/>
  <c r="BE58" i="99" s="1"/>
  <c r="BF58" i="99" s="1"/>
  <c r="BG58" i="99" s="1"/>
  <c r="BC43" i="99"/>
  <c r="BD43" i="99" s="1"/>
  <c r="BE43" i="99" s="1"/>
  <c r="BF43" i="99" s="1"/>
  <c r="BG43" i="99" s="1"/>
  <c r="BC68" i="99"/>
  <c r="BD68" i="99" s="1"/>
  <c r="BE68" i="99" s="1"/>
  <c r="BF68" i="99" s="1"/>
  <c r="BG68" i="99" s="1"/>
  <c r="BC86" i="99"/>
  <c r="BD86" i="99" s="1"/>
  <c r="BE86" i="99" s="1"/>
  <c r="BF86" i="99" s="1"/>
  <c r="BG86" i="99" s="1"/>
  <c r="BC103" i="99"/>
  <c r="BD103" i="99" s="1"/>
  <c r="BE103" i="99" s="1"/>
  <c r="BF103" i="99" s="1"/>
  <c r="BG103" i="99" s="1"/>
  <c r="BC45" i="99"/>
  <c r="BD45" i="99" s="1"/>
  <c r="BE45" i="99" s="1"/>
  <c r="BF45" i="99" s="1"/>
  <c r="BG45" i="99" s="1"/>
  <c r="BC51" i="99"/>
  <c r="BD51" i="99" s="1"/>
  <c r="BE51" i="99" s="1"/>
  <c r="BF51" i="99" s="1"/>
  <c r="BG51" i="99" s="1"/>
  <c r="BC57" i="99"/>
  <c r="BD57" i="99" s="1"/>
  <c r="BE57" i="99" s="1"/>
  <c r="BF57" i="99" s="1"/>
  <c r="BG57" i="99" s="1"/>
  <c r="BC47" i="99"/>
  <c r="BD47" i="99" s="1"/>
  <c r="BE47" i="99" s="1"/>
  <c r="BF47" i="99" s="1"/>
  <c r="BG47" i="99" s="1"/>
  <c r="BC66" i="99"/>
  <c r="BD66" i="99" s="1"/>
  <c r="BE66" i="99" s="1"/>
  <c r="BF66" i="99" s="1"/>
  <c r="BG66" i="99" s="1"/>
  <c r="BC52" i="99"/>
  <c r="BD52" i="99" s="1"/>
  <c r="BE52" i="99" s="1"/>
  <c r="BF52" i="99" s="1"/>
  <c r="BG52" i="99" s="1"/>
  <c r="BC100" i="99"/>
  <c r="BD100" i="99" s="1"/>
  <c r="BE100" i="99" s="1"/>
  <c r="BF100" i="99" s="1"/>
  <c r="BG100" i="99" s="1"/>
  <c r="BC84" i="99"/>
  <c r="BD84" i="99" s="1"/>
  <c r="BE84" i="99" s="1"/>
  <c r="BF84" i="99" s="1"/>
  <c r="BG84" i="99" s="1"/>
  <c r="BC29" i="99"/>
  <c r="BD29" i="99" s="1"/>
  <c r="BE29" i="99" s="1"/>
  <c r="BF29" i="99" s="1"/>
  <c r="BG29" i="99" s="1"/>
  <c r="BC38" i="99"/>
  <c r="BD38" i="99" s="1"/>
  <c r="BE38" i="99" s="1"/>
  <c r="BF38" i="99" s="1"/>
  <c r="BG38" i="99" s="1"/>
  <c r="BC74" i="99"/>
  <c r="BD74" i="99" s="1"/>
  <c r="BE74" i="99" s="1"/>
  <c r="BF74" i="99" s="1"/>
  <c r="BG74" i="99" s="1"/>
  <c r="BC79" i="99"/>
  <c r="BD79" i="99" s="1"/>
  <c r="BE79" i="99" s="1"/>
  <c r="BF79" i="99" s="1"/>
  <c r="BG79" i="99" s="1"/>
  <c r="BC91" i="99"/>
  <c r="BD91" i="99" s="1"/>
  <c r="BE91" i="99" s="1"/>
  <c r="BF91" i="99" s="1"/>
  <c r="BG91" i="99" s="1"/>
  <c r="BC106" i="99"/>
  <c r="BD106" i="99" s="1"/>
  <c r="BE106" i="99" s="1"/>
  <c r="BF106" i="99" s="1"/>
  <c r="BG106" i="99" s="1"/>
  <c r="BC89" i="99"/>
  <c r="BD89" i="99" s="1"/>
  <c r="BE89" i="99" s="1"/>
  <c r="BF89" i="99" s="1"/>
  <c r="BG89" i="99" s="1"/>
  <c r="BC37" i="99"/>
  <c r="BD37" i="99" s="1"/>
  <c r="BE37" i="99" s="1"/>
  <c r="BF37" i="99" s="1"/>
  <c r="BG37" i="99" s="1"/>
  <c r="BC71" i="99"/>
  <c r="BD71" i="99" s="1"/>
  <c r="BE71" i="99" s="1"/>
  <c r="BF71" i="99" s="1"/>
  <c r="BG71" i="99" s="1"/>
  <c r="BC83" i="99"/>
  <c r="BD83" i="99" s="1"/>
  <c r="BE83" i="99" s="1"/>
  <c r="BF83" i="99" s="1"/>
  <c r="BG83" i="99" s="1"/>
  <c r="BC92" i="99"/>
  <c r="BD92" i="99" s="1"/>
  <c r="BE92" i="99" s="1"/>
  <c r="BF92" i="99" s="1"/>
  <c r="BG92" i="99" s="1"/>
  <c r="BC16" i="99"/>
  <c r="BD16" i="99" s="1"/>
  <c r="BE16" i="99" s="1"/>
  <c r="BF16" i="99" s="1"/>
  <c r="BG16" i="99" s="1"/>
  <c r="BC56" i="99"/>
  <c r="BD56" i="99" s="1"/>
  <c r="BE56" i="99" s="1"/>
  <c r="BF56" i="99" s="1"/>
  <c r="BG56" i="99" s="1"/>
  <c r="BC94" i="99"/>
  <c r="BD94" i="99" s="1"/>
  <c r="BE94" i="99" s="1"/>
  <c r="BF94" i="99" s="1"/>
  <c r="BG94" i="99" s="1"/>
  <c r="BC108" i="99"/>
  <c r="BD108" i="99" s="1"/>
  <c r="BE108" i="99" s="1"/>
  <c r="BF108" i="99" s="1"/>
  <c r="BG108" i="99" s="1"/>
  <c r="BC20" i="99"/>
  <c r="BD20" i="99" s="1"/>
  <c r="BE20" i="99" s="1"/>
  <c r="BF20" i="99" s="1"/>
  <c r="BG20" i="99" s="1"/>
  <c r="BC13" i="99"/>
  <c r="BD13" i="99" s="1"/>
  <c r="BE13" i="99" s="1"/>
  <c r="BF13" i="99" s="1"/>
  <c r="BG13" i="99" s="1"/>
  <c r="BC14" i="99"/>
  <c r="BD14" i="99" s="1"/>
  <c r="BE14" i="99" s="1"/>
  <c r="BF14" i="99" s="1"/>
  <c r="BG14" i="99" s="1"/>
  <c r="BC39" i="99"/>
  <c r="BD39" i="99" s="1"/>
  <c r="BE39" i="99" s="1"/>
  <c r="BF39" i="99" s="1"/>
  <c r="BG39" i="99" s="1"/>
  <c r="BC35" i="99"/>
  <c r="BD35" i="99" s="1"/>
  <c r="BE35" i="99" s="1"/>
  <c r="BF35" i="99" s="1"/>
  <c r="BG35" i="99" s="1"/>
  <c r="BC76" i="99"/>
  <c r="BD76" i="99" s="1"/>
  <c r="BE76" i="99" s="1"/>
  <c r="BF76" i="99" s="1"/>
  <c r="BG76" i="99" s="1"/>
  <c r="BC101" i="99"/>
  <c r="BD101" i="99" s="1"/>
  <c r="BE101" i="99" s="1"/>
  <c r="BF101" i="99" s="1"/>
  <c r="BG101" i="99" s="1"/>
  <c r="BC64" i="99"/>
  <c r="BD64" i="99" s="1"/>
  <c r="BE64" i="99" s="1"/>
  <c r="BF64" i="99" s="1"/>
  <c r="BG64" i="99" s="1"/>
  <c r="BC60" i="99"/>
  <c r="BD60" i="99" s="1"/>
  <c r="BE60" i="99" s="1"/>
  <c r="BF60" i="99" s="1"/>
  <c r="BG60" i="99" s="1"/>
  <c r="BC72" i="99"/>
  <c r="BD72" i="99" s="1"/>
  <c r="BE72" i="99" s="1"/>
  <c r="BF72" i="99" s="1"/>
  <c r="BG72" i="99" s="1"/>
  <c r="BC55" i="99"/>
  <c r="BD55" i="99" s="1"/>
  <c r="BE55" i="99" s="1"/>
  <c r="BF55" i="99" s="1"/>
  <c r="BG55" i="99" s="1"/>
  <c r="BC99" i="99"/>
  <c r="BD99" i="99" s="1"/>
  <c r="BE99" i="99" s="1"/>
  <c r="BF99" i="99" s="1"/>
  <c r="BG99" i="99" s="1"/>
  <c r="BC107" i="99"/>
  <c r="BD107" i="99" s="1"/>
  <c r="BE107" i="99" s="1"/>
  <c r="BF107" i="99" s="1"/>
  <c r="BG107" i="99" s="1"/>
  <c r="BC105" i="99"/>
  <c r="BD105" i="99" s="1"/>
  <c r="BE105" i="99" s="1"/>
  <c r="BF105" i="99" s="1"/>
  <c r="BG105" i="99" s="1"/>
  <c r="BC97" i="99"/>
  <c r="BD97" i="99" s="1"/>
  <c r="BE97" i="99" s="1"/>
  <c r="BF97" i="99" s="1"/>
  <c r="BG97" i="99" s="1"/>
  <c r="BC102" i="99"/>
  <c r="BD102" i="99" s="1"/>
  <c r="BE102" i="99" s="1"/>
  <c r="BF102" i="99" s="1"/>
  <c r="BG102" i="99" s="1"/>
  <c r="EI71" i="99"/>
  <c r="EJ71" i="99" s="1"/>
  <c r="EK71" i="99" s="1"/>
  <c r="EL71" i="99" s="1"/>
  <c r="EM71" i="99" s="1"/>
  <c r="EI77" i="99"/>
  <c r="EJ77" i="99" s="1"/>
  <c r="EK77" i="99" s="1"/>
  <c r="EL77" i="99" s="1"/>
  <c r="EM77" i="99" s="1"/>
  <c r="EI75" i="99"/>
  <c r="EJ75" i="99" s="1"/>
  <c r="EK75" i="99" s="1"/>
  <c r="EL75" i="99" s="1"/>
  <c r="EM75" i="99" s="1"/>
  <c r="EI68" i="99"/>
  <c r="EJ68" i="99" s="1"/>
  <c r="EK68" i="99" s="1"/>
  <c r="EL68" i="99" s="1"/>
  <c r="EM68" i="99" s="1"/>
  <c r="EI96" i="99"/>
  <c r="EJ96" i="99" s="1"/>
  <c r="EK96" i="99" s="1"/>
  <c r="EL96" i="99" s="1"/>
  <c r="EM96" i="99" s="1"/>
  <c r="EI90" i="99"/>
  <c r="EJ90" i="99" s="1"/>
  <c r="EK90" i="99" s="1"/>
  <c r="EL90" i="99" s="1"/>
  <c r="EM90" i="99" s="1"/>
  <c r="EI54" i="99"/>
  <c r="EJ54" i="99" s="1"/>
  <c r="EK54" i="99" s="1"/>
  <c r="EL54" i="99" s="1"/>
  <c r="EM54" i="99" s="1"/>
  <c r="EI44" i="99"/>
  <c r="EJ44" i="99" s="1"/>
  <c r="EK44" i="99" s="1"/>
  <c r="EL44" i="99" s="1"/>
  <c r="EM44" i="99" s="1"/>
  <c r="EI65" i="99"/>
  <c r="EJ65" i="99" s="1"/>
  <c r="EK65" i="99" s="1"/>
  <c r="EL65" i="99" s="1"/>
  <c r="EM65" i="99" s="1"/>
  <c r="EI36" i="99"/>
  <c r="EJ36" i="99" s="1"/>
  <c r="EK36" i="99" s="1"/>
  <c r="EL36" i="99" s="1"/>
  <c r="EM36" i="99" s="1"/>
  <c r="EI21" i="99"/>
  <c r="EJ21" i="99" s="1"/>
  <c r="EK21" i="99" s="1"/>
  <c r="EL21" i="99" s="1"/>
  <c r="EM21" i="99" s="1"/>
  <c r="EI55" i="99"/>
  <c r="EJ55" i="99" s="1"/>
  <c r="EK55" i="99" s="1"/>
  <c r="EL55" i="99" s="1"/>
  <c r="EM55" i="99" s="1"/>
  <c r="EI33" i="99"/>
  <c r="EJ33" i="99" s="1"/>
  <c r="EK33" i="99" s="1"/>
  <c r="EL33" i="99" s="1"/>
  <c r="EM33" i="99" s="1"/>
  <c r="EI29" i="99"/>
  <c r="EJ29" i="99" s="1"/>
  <c r="EK29" i="99" s="1"/>
  <c r="EL29" i="99" s="1"/>
  <c r="EM29" i="99" s="1"/>
  <c r="EI25" i="99"/>
  <c r="EJ25" i="99" s="1"/>
  <c r="EK25" i="99" s="1"/>
  <c r="EL25" i="99" s="1"/>
  <c r="EM25" i="99" s="1"/>
  <c r="EI62" i="99"/>
  <c r="EJ62" i="99" s="1"/>
  <c r="EK62" i="99" s="1"/>
  <c r="EL62" i="99" s="1"/>
  <c r="EM62" i="99" s="1"/>
  <c r="EI42" i="99"/>
  <c r="EJ42" i="99" s="1"/>
  <c r="EK42" i="99" s="1"/>
  <c r="EL42" i="99" s="1"/>
  <c r="EM42" i="99" s="1"/>
  <c r="EI41" i="99"/>
  <c r="EJ41" i="99" s="1"/>
  <c r="EK41" i="99" s="1"/>
  <c r="EL41" i="99" s="1"/>
  <c r="EM41" i="99" s="1"/>
  <c r="EI50" i="99"/>
  <c r="EJ50" i="99" s="1"/>
  <c r="EK50" i="99" s="1"/>
  <c r="EL50" i="99" s="1"/>
  <c r="EM50" i="99" s="1"/>
  <c r="EI92" i="99"/>
  <c r="EJ92" i="99" s="1"/>
  <c r="EK92" i="99" s="1"/>
  <c r="EL92" i="99" s="1"/>
  <c r="EM92" i="99" s="1"/>
  <c r="EI53" i="99"/>
  <c r="EJ53" i="99" s="1"/>
  <c r="EK53" i="99" s="1"/>
  <c r="EL53" i="99" s="1"/>
  <c r="EM53" i="99" s="1"/>
  <c r="EI40" i="99"/>
  <c r="EJ40" i="99" s="1"/>
  <c r="EK40" i="99" s="1"/>
  <c r="EL40" i="99" s="1"/>
  <c r="EM40" i="99" s="1"/>
  <c r="EI26" i="99"/>
  <c r="EJ26" i="99" s="1"/>
  <c r="EK26" i="99" s="1"/>
  <c r="EL26" i="99" s="1"/>
  <c r="EM26" i="99" s="1"/>
  <c r="EI99" i="99"/>
  <c r="EJ99" i="99" s="1"/>
  <c r="EK99" i="99" s="1"/>
  <c r="EL99" i="99" s="1"/>
  <c r="EM99" i="99" s="1"/>
  <c r="EI34" i="99"/>
  <c r="EJ34" i="99" s="1"/>
  <c r="EK34" i="99" s="1"/>
  <c r="EL34" i="99" s="1"/>
  <c r="EM34" i="99" s="1"/>
  <c r="EI9" i="99"/>
  <c r="EJ9" i="99" s="1"/>
  <c r="EK9" i="99" s="1"/>
  <c r="EL9" i="99" s="1"/>
  <c r="EI32" i="99"/>
  <c r="EJ32" i="99" s="1"/>
  <c r="EK32" i="99" s="1"/>
  <c r="EL32" i="99" s="1"/>
  <c r="EM32" i="99" s="1"/>
  <c r="EI28" i="99"/>
  <c r="EJ28" i="99" s="1"/>
  <c r="EK28" i="99" s="1"/>
  <c r="EL28" i="99" s="1"/>
  <c r="EM28" i="99" s="1"/>
  <c r="EI10" i="99"/>
  <c r="EJ10" i="99" s="1"/>
  <c r="EK10" i="99" s="1"/>
  <c r="EL10" i="99" s="1"/>
  <c r="EM10" i="99" s="1"/>
  <c r="EI49" i="99"/>
  <c r="EJ49" i="99" s="1"/>
  <c r="EK49" i="99" s="1"/>
  <c r="EL49" i="99" s="1"/>
  <c r="EM49" i="99" s="1"/>
  <c r="EI24" i="99"/>
  <c r="EJ24" i="99" s="1"/>
  <c r="EK24" i="99" s="1"/>
  <c r="EL24" i="99" s="1"/>
  <c r="EM24" i="99" s="1"/>
  <c r="EI98" i="99"/>
  <c r="EJ98" i="99" s="1"/>
  <c r="EK98" i="99" s="1"/>
  <c r="EL98" i="99" s="1"/>
  <c r="EM98" i="99" s="1"/>
  <c r="EI94" i="99"/>
  <c r="EJ94" i="99" s="1"/>
  <c r="EK94" i="99" s="1"/>
  <c r="EL94" i="99" s="1"/>
  <c r="EM94" i="99" s="1"/>
  <c r="EI73" i="99"/>
  <c r="EJ73" i="99" s="1"/>
  <c r="EK73" i="99" s="1"/>
  <c r="EL73" i="99" s="1"/>
  <c r="EM73" i="99" s="1"/>
  <c r="EI11" i="99"/>
  <c r="EJ11" i="99" s="1"/>
  <c r="EK11" i="99" s="1"/>
  <c r="EL11" i="99" s="1"/>
  <c r="EM11" i="99" s="1"/>
  <c r="EI81" i="99"/>
  <c r="EJ81" i="99" s="1"/>
  <c r="EK81" i="99" s="1"/>
  <c r="EL81" i="99" s="1"/>
  <c r="EM81" i="99" s="1"/>
  <c r="EI97" i="99"/>
  <c r="EJ97" i="99" s="1"/>
  <c r="EK97" i="99" s="1"/>
  <c r="EL97" i="99" s="1"/>
  <c r="EM97" i="99" s="1"/>
  <c r="EI23" i="99"/>
  <c r="EJ23" i="99" s="1"/>
  <c r="EK23" i="99" s="1"/>
  <c r="EL23" i="99" s="1"/>
  <c r="EM23" i="99" s="1"/>
  <c r="EI15" i="99"/>
  <c r="EJ15" i="99" s="1"/>
  <c r="EK15" i="99" s="1"/>
  <c r="EL15" i="99" s="1"/>
  <c r="EM15" i="99" s="1"/>
  <c r="EI69" i="99"/>
  <c r="EJ69" i="99" s="1"/>
  <c r="EK69" i="99" s="1"/>
  <c r="EL69" i="99" s="1"/>
  <c r="EM69" i="99" s="1"/>
  <c r="EI52" i="99"/>
  <c r="EJ52" i="99" s="1"/>
  <c r="EK52" i="99" s="1"/>
  <c r="EL52" i="99" s="1"/>
  <c r="EM52" i="99" s="1"/>
  <c r="EI18" i="99"/>
  <c r="EJ18" i="99" s="1"/>
  <c r="EK18" i="99" s="1"/>
  <c r="EL18" i="99" s="1"/>
  <c r="EM18" i="99" s="1"/>
  <c r="EI58" i="99"/>
  <c r="EJ58" i="99" s="1"/>
  <c r="EK58" i="99" s="1"/>
  <c r="EL58" i="99" s="1"/>
  <c r="EM58" i="99" s="1"/>
  <c r="EI17" i="99"/>
  <c r="EJ17" i="99" s="1"/>
  <c r="EK17" i="99" s="1"/>
  <c r="EL17" i="99" s="1"/>
  <c r="EM17" i="99" s="1"/>
  <c r="EI70" i="99"/>
  <c r="EJ70" i="99" s="1"/>
  <c r="EK70" i="99" s="1"/>
  <c r="EL70" i="99" s="1"/>
  <c r="EM70" i="99" s="1"/>
  <c r="EI59" i="99"/>
  <c r="EJ59" i="99" s="1"/>
  <c r="EK59" i="99" s="1"/>
  <c r="EL59" i="99" s="1"/>
  <c r="EM59" i="99" s="1"/>
  <c r="EI78" i="99"/>
  <c r="EJ78" i="99" s="1"/>
  <c r="EK78" i="99" s="1"/>
  <c r="EL78" i="99" s="1"/>
  <c r="EM78" i="99" s="1"/>
  <c r="EI61" i="99"/>
  <c r="EJ61" i="99" s="1"/>
  <c r="EK61" i="99" s="1"/>
  <c r="EL61" i="99" s="1"/>
  <c r="EM61" i="99" s="1"/>
  <c r="EI84" i="99"/>
  <c r="EJ84" i="99" s="1"/>
  <c r="EK84" i="99" s="1"/>
  <c r="EL84" i="99" s="1"/>
  <c r="EM84" i="99" s="1"/>
  <c r="EI19" i="99"/>
  <c r="EJ19" i="99" s="1"/>
  <c r="EK19" i="99" s="1"/>
  <c r="EL19" i="99" s="1"/>
  <c r="EM19" i="99" s="1"/>
  <c r="EI16" i="99"/>
  <c r="EJ16" i="99" s="1"/>
  <c r="EK16" i="99" s="1"/>
  <c r="EL16" i="99" s="1"/>
  <c r="EM16" i="99" s="1"/>
  <c r="EI27" i="99"/>
  <c r="EJ27" i="99" s="1"/>
  <c r="EK27" i="99" s="1"/>
  <c r="EL27" i="99" s="1"/>
  <c r="EM27" i="99" s="1"/>
  <c r="EI12" i="99"/>
  <c r="EJ12" i="99" s="1"/>
  <c r="EK12" i="99" s="1"/>
  <c r="EL12" i="99" s="1"/>
  <c r="EM12" i="99" s="1"/>
  <c r="EI13" i="99"/>
  <c r="EJ13" i="99" s="1"/>
  <c r="EK13" i="99" s="1"/>
  <c r="EL13" i="99" s="1"/>
  <c r="EM13" i="99" s="1"/>
  <c r="EI35" i="99"/>
  <c r="EJ35" i="99" s="1"/>
  <c r="EK35" i="99" s="1"/>
  <c r="EL35" i="99" s="1"/>
  <c r="EM35" i="99" s="1"/>
  <c r="EI93" i="99"/>
  <c r="EJ93" i="99" s="1"/>
  <c r="EK93" i="99" s="1"/>
  <c r="EL93" i="99" s="1"/>
  <c r="EM93" i="99" s="1"/>
  <c r="EI46" i="99"/>
  <c r="EJ46" i="99" s="1"/>
  <c r="EK46" i="99" s="1"/>
  <c r="EL46" i="99" s="1"/>
  <c r="EM46" i="99" s="1"/>
  <c r="EI30" i="99"/>
  <c r="EJ30" i="99" s="1"/>
  <c r="EK30" i="99" s="1"/>
  <c r="EL30" i="99" s="1"/>
  <c r="EM30" i="99" s="1"/>
  <c r="EI64" i="99"/>
  <c r="EJ64" i="99" s="1"/>
  <c r="EK64" i="99" s="1"/>
  <c r="EL64" i="99" s="1"/>
  <c r="EM64" i="99" s="1"/>
  <c r="EI43" i="99"/>
  <c r="EJ43" i="99" s="1"/>
  <c r="EK43" i="99" s="1"/>
  <c r="EL43" i="99" s="1"/>
  <c r="EM43" i="99" s="1"/>
  <c r="EI66" i="99"/>
  <c r="EJ66" i="99" s="1"/>
  <c r="EK66" i="99" s="1"/>
  <c r="EL66" i="99" s="1"/>
  <c r="EM66" i="99" s="1"/>
  <c r="EI85" i="99"/>
  <c r="EJ85" i="99" s="1"/>
  <c r="EK85" i="99" s="1"/>
  <c r="EL85" i="99" s="1"/>
  <c r="EM85" i="99" s="1"/>
  <c r="EI22" i="99"/>
  <c r="EJ22" i="99" s="1"/>
  <c r="EK22" i="99" s="1"/>
  <c r="EL22" i="99" s="1"/>
  <c r="EM22" i="99" s="1"/>
  <c r="EI72" i="99"/>
  <c r="EJ72" i="99" s="1"/>
  <c r="EK72" i="99" s="1"/>
  <c r="EL72" i="99" s="1"/>
  <c r="EM72" i="99" s="1"/>
  <c r="EI74" i="99"/>
  <c r="EJ74" i="99" s="1"/>
  <c r="EK74" i="99" s="1"/>
  <c r="EL74" i="99" s="1"/>
  <c r="EM74" i="99" s="1"/>
  <c r="EI79" i="99"/>
  <c r="EJ79" i="99" s="1"/>
  <c r="EK79" i="99" s="1"/>
  <c r="EL79" i="99" s="1"/>
  <c r="EM79" i="99" s="1"/>
  <c r="EI82" i="99"/>
  <c r="EJ82" i="99" s="1"/>
  <c r="EK82" i="99" s="1"/>
  <c r="EL82" i="99" s="1"/>
  <c r="EM82" i="99" s="1"/>
  <c r="EI87" i="99"/>
  <c r="EJ87" i="99" s="1"/>
  <c r="EK87" i="99" s="1"/>
  <c r="EL87" i="99" s="1"/>
  <c r="EM87" i="99" s="1"/>
  <c r="EI91" i="99"/>
  <c r="EJ91" i="99" s="1"/>
  <c r="EK91" i="99" s="1"/>
  <c r="EL91" i="99" s="1"/>
  <c r="EM91" i="99" s="1"/>
  <c r="EI60" i="99"/>
  <c r="EJ60" i="99" s="1"/>
  <c r="EK60" i="99" s="1"/>
  <c r="EL60" i="99" s="1"/>
  <c r="EM60" i="99" s="1"/>
  <c r="EI67" i="99"/>
  <c r="EJ67" i="99" s="1"/>
  <c r="EK67" i="99" s="1"/>
  <c r="EL67" i="99" s="1"/>
  <c r="EM67" i="99" s="1"/>
  <c r="EI83" i="99"/>
  <c r="EJ83" i="99" s="1"/>
  <c r="EK83" i="99" s="1"/>
  <c r="EL83" i="99" s="1"/>
  <c r="EM83" i="99" s="1"/>
  <c r="EI45" i="99"/>
  <c r="EJ45" i="99" s="1"/>
  <c r="EK45" i="99" s="1"/>
  <c r="EL45" i="99" s="1"/>
  <c r="EM45" i="99" s="1"/>
  <c r="EI37" i="99"/>
  <c r="EJ37" i="99" s="1"/>
  <c r="EK37" i="99" s="1"/>
  <c r="EL37" i="99" s="1"/>
  <c r="EM37" i="99" s="1"/>
  <c r="EI38" i="99"/>
  <c r="EJ38" i="99" s="1"/>
  <c r="EK38" i="99" s="1"/>
  <c r="EL38" i="99" s="1"/>
  <c r="EM38" i="99" s="1"/>
  <c r="EI57" i="99"/>
  <c r="EJ57" i="99" s="1"/>
  <c r="EK57" i="99" s="1"/>
  <c r="EL57" i="99" s="1"/>
  <c r="EM57" i="99" s="1"/>
  <c r="EI47" i="99"/>
  <c r="EJ47" i="99" s="1"/>
  <c r="EK47" i="99" s="1"/>
  <c r="EL47" i="99" s="1"/>
  <c r="EM47" i="99" s="1"/>
  <c r="EI89" i="99"/>
  <c r="EJ89" i="99" s="1"/>
  <c r="EK89" i="99" s="1"/>
  <c r="EL89" i="99" s="1"/>
  <c r="EM89" i="99" s="1"/>
  <c r="EI101" i="99"/>
  <c r="EJ101" i="99" s="1"/>
  <c r="EK101" i="99" s="1"/>
  <c r="EL101" i="99" s="1"/>
  <c r="EM101" i="99" s="1"/>
  <c r="EI20" i="99"/>
  <c r="EJ20" i="99" s="1"/>
  <c r="EK20" i="99" s="1"/>
  <c r="EL20" i="99" s="1"/>
  <c r="EM20" i="99" s="1"/>
  <c r="EI63" i="99"/>
  <c r="EJ63" i="99" s="1"/>
  <c r="EK63" i="99" s="1"/>
  <c r="EL63" i="99" s="1"/>
  <c r="EM63" i="99" s="1"/>
  <c r="EI56" i="99"/>
  <c r="EJ56" i="99" s="1"/>
  <c r="EK56" i="99" s="1"/>
  <c r="EL56" i="99" s="1"/>
  <c r="EM56" i="99" s="1"/>
  <c r="EI51" i="99"/>
  <c r="EJ51" i="99" s="1"/>
  <c r="EK51" i="99" s="1"/>
  <c r="EL51" i="99" s="1"/>
  <c r="EM51" i="99" s="1"/>
  <c r="EI48" i="99"/>
  <c r="EJ48" i="99" s="1"/>
  <c r="EK48" i="99" s="1"/>
  <c r="EL48" i="99" s="1"/>
  <c r="EM48" i="99" s="1"/>
  <c r="EI80" i="99"/>
  <c r="EJ80" i="99" s="1"/>
  <c r="EK80" i="99" s="1"/>
  <c r="EL80" i="99" s="1"/>
  <c r="EM80" i="99" s="1"/>
  <c r="EI31" i="99"/>
  <c r="EJ31" i="99" s="1"/>
  <c r="EK31" i="99" s="1"/>
  <c r="EL31" i="99" s="1"/>
  <c r="EM31" i="99" s="1"/>
  <c r="EI14" i="99"/>
  <c r="EJ14" i="99" s="1"/>
  <c r="EK14" i="99" s="1"/>
  <c r="EL14" i="99" s="1"/>
  <c r="EM14" i="99" s="1"/>
  <c r="EI39" i="99"/>
  <c r="EJ39" i="99" s="1"/>
  <c r="EK39" i="99" s="1"/>
  <c r="EL39" i="99" s="1"/>
  <c r="EM39" i="99" s="1"/>
  <c r="EI76" i="99"/>
  <c r="EJ76" i="99" s="1"/>
  <c r="EK76" i="99" s="1"/>
  <c r="EL76" i="99" s="1"/>
  <c r="EM76" i="99" s="1"/>
  <c r="EI86" i="99"/>
  <c r="EJ86" i="99" s="1"/>
  <c r="EK86" i="99" s="1"/>
  <c r="EL86" i="99" s="1"/>
  <c r="EM86" i="99" s="1"/>
  <c r="EI95" i="99"/>
  <c r="EJ95" i="99" s="1"/>
  <c r="EK95" i="99" s="1"/>
  <c r="EL95" i="99" s="1"/>
  <c r="EM95" i="99" s="1"/>
  <c r="EI106" i="99"/>
  <c r="EJ106" i="99" s="1"/>
  <c r="EK106" i="99" s="1"/>
  <c r="EL106" i="99" s="1"/>
  <c r="EM106" i="99" s="1"/>
  <c r="EI104" i="99"/>
  <c r="EJ104" i="99" s="1"/>
  <c r="EK104" i="99" s="1"/>
  <c r="EL104" i="99" s="1"/>
  <c r="EM104" i="99" s="1"/>
  <c r="EI102" i="99"/>
  <c r="EJ102" i="99" s="1"/>
  <c r="EK102" i="99" s="1"/>
  <c r="EL102" i="99" s="1"/>
  <c r="EM102" i="99" s="1"/>
  <c r="EI108" i="99"/>
  <c r="EJ108" i="99" s="1"/>
  <c r="EK108" i="99" s="1"/>
  <c r="EL108" i="99" s="1"/>
  <c r="EM108" i="99" s="1"/>
  <c r="EI88" i="99"/>
  <c r="EJ88" i="99" s="1"/>
  <c r="EK88" i="99" s="1"/>
  <c r="EL88" i="99" s="1"/>
  <c r="EM88" i="99" s="1"/>
  <c r="EI105" i="99"/>
  <c r="EJ105" i="99" s="1"/>
  <c r="EK105" i="99" s="1"/>
  <c r="EL105" i="99" s="1"/>
  <c r="EM105" i="99" s="1"/>
  <c r="EI107" i="99"/>
  <c r="EJ107" i="99" s="1"/>
  <c r="EK107" i="99" s="1"/>
  <c r="EL107" i="99" s="1"/>
  <c r="EM107" i="99" s="1"/>
  <c r="EI103" i="99"/>
  <c r="EJ103" i="99" s="1"/>
  <c r="EK103" i="99" s="1"/>
  <c r="EL103" i="99" s="1"/>
  <c r="EM103" i="99" s="1"/>
  <c r="EI100" i="99"/>
  <c r="EJ100" i="99" s="1"/>
  <c r="EK100" i="99" s="1"/>
  <c r="EL100" i="99" s="1"/>
  <c r="EM100" i="99" s="1"/>
  <c r="DE100" i="99"/>
  <c r="DF100" i="99" s="1"/>
  <c r="DG100" i="99" s="1"/>
  <c r="DH100" i="99" s="1"/>
  <c r="DI100" i="99" s="1"/>
  <c r="DE93" i="99"/>
  <c r="DF93" i="99" s="1"/>
  <c r="DG93" i="99" s="1"/>
  <c r="DH93" i="99" s="1"/>
  <c r="DI93" i="99" s="1"/>
  <c r="DE106" i="99"/>
  <c r="DF106" i="99" s="1"/>
  <c r="DG106" i="99" s="1"/>
  <c r="DH106" i="99" s="1"/>
  <c r="DI106" i="99" s="1"/>
  <c r="DE88" i="99"/>
  <c r="DF88" i="99" s="1"/>
  <c r="DG88" i="99" s="1"/>
  <c r="DH88" i="99" s="1"/>
  <c r="DI88" i="99" s="1"/>
  <c r="DE62" i="99"/>
  <c r="DF62" i="99" s="1"/>
  <c r="DG62" i="99" s="1"/>
  <c r="DH62" i="99" s="1"/>
  <c r="DI62" i="99" s="1"/>
  <c r="DE99" i="99"/>
  <c r="DF99" i="99" s="1"/>
  <c r="DG99" i="99" s="1"/>
  <c r="DH99" i="99" s="1"/>
  <c r="DI99" i="99" s="1"/>
  <c r="DE102" i="99"/>
  <c r="DF102" i="99" s="1"/>
  <c r="DG102" i="99" s="1"/>
  <c r="DH102" i="99" s="1"/>
  <c r="DI102" i="99" s="1"/>
  <c r="DE72" i="99"/>
  <c r="DF72" i="99" s="1"/>
  <c r="DG72" i="99" s="1"/>
  <c r="DH72" i="99" s="1"/>
  <c r="DI72" i="99" s="1"/>
  <c r="DE54" i="99"/>
  <c r="DF54" i="99" s="1"/>
  <c r="DG54" i="99" s="1"/>
  <c r="DH54" i="99" s="1"/>
  <c r="DI54" i="99" s="1"/>
  <c r="DE53" i="99"/>
  <c r="DF53" i="99" s="1"/>
  <c r="DG53" i="99" s="1"/>
  <c r="DH53" i="99" s="1"/>
  <c r="DI53" i="99" s="1"/>
  <c r="DE44" i="99"/>
  <c r="DF44" i="99" s="1"/>
  <c r="DG44" i="99" s="1"/>
  <c r="DH44" i="99" s="1"/>
  <c r="DI44" i="99" s="1"/>
  <c r="DE84" i="99"/>
  <c r="DF84" i="99" s="1"/>
  <c r="DG84" i="99" s="1"/>
  <c r="DH84" i="99" s="1"/>
  <c r="DI84" i="99" s="1"/>
  <c r="DE51" i="99"/>
  <c r="DF51" i="99" s="1"/>
  <c r="DG51" i="99" s="1"/>
  <c r="DH51" i="99" s="1"/>
  <c r="DI51" i="99" s="1"/>
  <c r="DE96" i="99"/>
  <c r="DF96" i="99" s="1"/>
  <c r="DG96" i="99" s="1"/>
  <c r="DH96" i="99" s="1"/>
  <c r="DI96" i="99" s="1"/>
  <c r="DE77" i="99"/>
  <c r="DF77" i="99" s="1"/>
  <c r="DG77" i="99" s="1"/>
  <c r="DH77" i="99" s="1"/>
  <c r="DI77" i="99" s="1"/>
  <c r="DE87" i="99"/>
  <c r="DF87" i="99" s="1"/>
  <c r="DG87" i="99" s="1"/>
  <c r="DH87" i="99" s="1"/>
  <c r="DI87" i="99" s="1"/>
  <c r="DE85" i="99"/>
  <c r="DF85" i="99" s="1"/>
  <c r="DG85" i="99" s="1"/>
  <c r="DH85" i="99" s="1"/>
  <c r="DI85" i="99" s="1"/>
  <c r="DE61" i="99"/>
  <c r="DF61" i="99" s="1"/>
  <c r="DG61" i="99" s="1"/>
  <c r="DH61" i="99" s="1"/>
  <c r="DI61" i="99" s="1"/>
  <c r="DE78" i="99"/>
  <c r="DF78" i="99" s="1"/>
  <c r="DG78" i="99" s="1"/>
  <c r="DH78" i="99" s="1"/>
  <c r="DI78" i="99" s="1"/>
  <c r="DE41" i="99"/>
  <c r="DF41" i="99" s="1"/>
  <c r="DG41" i="99" s="1"/>
  <c r="DH41" i="99" s="1"/>
  <c r="DI41" i="99" s="1"/>
  <c r="DE42" i="99"/>
  <c r="DF42" i="99" s="1"/>
  <c r="DG42" i="99" s="1"/>
  <c r="DH42" i="99" s="1"/>
  <c r="DI42" i="99" s="1"/>
  <c r="DE36" i="99"/>
  <c r="DF36" i="99" s="1"/>
  <c r="DG36" i="99" s="1"/>
  <c r="DH36" i="99" s="1"/>
  <c r="DI36" i="99" s="1"/>
  <c r="DE52" i="99"/>
  <c r="DF52" i="99" s="1"/>
  <c r="DG52" i="99" s="1"/>
  <c r="DH52" i="99" s="1"/>
  <c r="DI52" i="99" s="1"/>
  <c r="DE49" i="99"/>
  <c r="DF49" i="99" s="1"/>
  <c r="DG49" i="99" s="1"/>
  <c r="DH49" i="99" s="1"/>
  <c r="DI49" i="99" s="1"/>
  <c r="DE34" i="99"/>
  <c r="DF34" i="99" s="1"/>
  <c r="DG34" i="99" s="1"/>
  <c r="DH34" i="99" s="1"/>
  <c r="DI34" i="99" s="1"/>
  <c r="DE26" i="99"/>
  <c r="DF26" i="99" s="1"/>
  <c r="DG26" i="99" s="1"/>
  <c r="DH26" i="99" s="1"/>
  <c r="DI26" i="99" s="1"/>
  <c r="DE20" i="99"/>
  <c r="DF20" i="99" s="1"/>
  <c r="DG20" i="99" s="1"/>
  <c r="DH20" i="99" s="1"/>
  <c r="DI20" i="99" s="1"/>
  <c r="DE15" i="99"/>
  <c r="DF15" i="99" s="1"/>
  <c r="DG15" i="99" s="1"/>
  <c r="DH15" i="99" s="1"/>
  <c r="DI15" i="99" s="1"/>
  <c r="DE17" i="99"/>
  <c r="DF17" i="99" s="1"/>
  <c r="DG17" i="99" s="1"/>
  <c r="DH17" i="99" s="1"/>
  <c r="DI17" i="99" s="1"/>
  <c r="DE40" i="99"/>
  <c r="DF40" i="99" s="1"/>
  <c r="DG40" i="99" s="1"/>
  <c r="DH40" i="99" s="1"/>
  <c r="DI40" i="99" s="1"/>
  <c r="DE33" i="99"/>
  <c r="DF33" i="99" s="1"/>
  <c r="DG33" i="99" s="1"/>
  <c r="DH33" i="99" s="1"/>
  <c r="DI33" i="99" s="1"/>
  <c r="DE25" i="99"/>
  <c r="DF25" i="99" s="1"/>
  <c r="DG25" i="99" s="1"/>
  <c r="DH25" i="99" s="1"/>
  <c r="DI25" i="99" s="1"/>
  <c r="DE48" i="99"/>
  <c r="DF48" i="99" s="1"/>
  <c r="DG48" i="99" s="1"/>
  <c r="DH48" i="99" s="1"/>
  <c r="DI48" i="99" s="1"/>
  <c r="DE9" i="99"/>
  <c r="DF9" i="99" s="1"/>
  <c r="DG9" i="99" s="1"/>
  <c r="DH9" i="99" s="1"/>
  <c r="DE22" i="99"/>
  <c r="DF22" i="99" s="1"/>
  <c r="DG22" i="99" s="1"/>
  <c r="DH22" i="99" s="1"/>
  <c r="DI22" i="99" s="1"/>
  <c r="DE80" i="99"/>
  <c r="DF80" i="99" s="1"/>
  <c r="DG80" i="99" s="1"/>
  <c r="DH80" i="99" s="1"/>
  <c r="DI80" i="99" s="1"/>
  <c r="DE103" i="99"/>
  <c r="DF103" i="99" s="1"/>
  <c r="DG103" i="99" s="1"/>
  <c r="DH103" i="99" s="1"/>
  <c r="DI103" i="99" s="1"/>
  <c r="DE32" i="99"/>
  <c r="DF32" i="99" s="1"/>
  <c r="DG32" i="99" s="1"/>
  <c r="DH32" i="99" s="1"/>
  <c r="DI32" i="99" s="1"/>
  <c r="DE70" i="99"/>
  <c r="DF70" i="99" s="1"/>
  <c r="DG70" i="99" s="1"/>
  <c r="DH70" i="99" s="1"/>
  <c r="DI70" i="99" s="1"/>
  <c r="DE59" i="99"/>
  <c r="DF59" i="99" s="1"/>
  <c r="DG59" i="99" s="1"/>
  <c r="DH59" i="99" s="1"/>
  <c r="DI59" i="99" s="1"/>
  <c r="DE69" i="99"/>
  <c r="DF69" i="99" s="1"/>
  <c r="DG69" i="99" s="1"/>
  <c r="DH69" i="99" s="1"/>
  <c r="DI69" i="99" s="1"/>
  <c r="DE28" i="99"/>
  <c r="DF28" i="99" s="1"/>
  <c r="DG28" i="99" s="1"/>
  <c r="DH28" i="99" s="1"/>
  <c r="DI28" i="99" s="1"/>
  <c r="DE90" i="99"/>
  <c r="DF90" i="99" s="1"/>
  <c r="DG90" i="99" s="1"/>
  <c r="DH90" i="99" s="1"/>
  <c r="DI90" i="99" s="1"/>
  <c r="DE92" i="99"/>
  <c r="DF92" i="99" s="1"/>
  <c r="DG92" i="99" s="1"/>
  <c r="DH92" i="99" s="1"/>
  <c r="DI92" i="99" s="1"/>
  <c r="DE23" i="99"/>
  <c r="DF23" i="99" s="1"/>
  <c r="DG23" i="99" s="1"/>
  <c r="DH23" i="99" s="1"/>
  <c r="DI23" i="99" s="1"/>
  <c r="DE10" i="99"/>
  <c r="DF10" i="99" s="1"/>
  <c r="DG10" i="99" s="1"/>
  <c r="DH10" i="99" s="1"/>
  <c r="DI10" i="99" s="1"/>
  <c r="DE18" i="99"/>
  <c r="DF18" i="99" s="1"/>
  <c r="DG18" i="99" s="1"/>
  <c r="DH18" i="99" s="1"/>
  <c r="DI18" i="99" s="1"/>
  <c r="DE12" i="99"/>
  <c r="DF12" i="99" s="1"/>
  <c r="DG12" i="99" s="1"/>
  <c r="DH12" i="99" s="1"/>
  <c r="DI12" i="99" s="1"/>
  <c r="DE98" i="99"/>
  <c r="DF98" i="99" s="1"/>
  <c r="DG98" i="99" s="1"/>
  <c r="DH98" i="99" s="1"/>
  <c r="DI98" i="99" s="1"/>
  <c r="DE24" i="99"/>
  <c r="DF24" i="99" s="1"/>
  <c r="DG24" i="99" s="1"/>
  <c r="DH24" i="99" s="1"/>
  <c r="DI24" i="99" s="1"/>
  <c r="DE73" i="99"/>
  <c r="DF73" i="99" s="1"/>
  <c r="DG73" i="99" s="1"/>
  <c r="DH73" i="99" s="1"/>
  <c r="DI73" i="99" s="1"/>
  <c r="DE79" i="99"/>
  <c r="DF79" i="99" s="1"/>
  <c r="DG79" i="99" s="1"/>
  <c r="DH79" i="99" s="1"/>
  <c r="DI79" i="99" s="1"/>
  <c r="DE65" i="99"/>
  <c r="DF65" i="99" s="1"/>
  <c r="DG65" i="99" s="1"/>
  <c r="DH65" i="99" s="1"/>
  <c r="DI65" i="99" s="1"/>
  <c r="DE37" i="99"/>
  <c r="DF37" i="99" s="1"/>
  <c r="DG37" i="99" s="1"/>
  <c r="DH37" i="99" s="1"/>
  <c r="DI37" i="99" s="1"/>
  <c r="DE43" i="99"/>
  <c r="DF43" i="99" s="1"/>
  <c r="DG43" i="99" s="1"/>
  <c r="DH43" i="99" s="1"/>
  <c r="DI43" i="99" s="1"/>
  <c r="DE57" i="99"/>
  <c r="DF57" i="99" s="1"/>
  <c r="DG57" i="99" s="1"/>
  <c r="DH57" i="99" s="1"/>
  <c r="DI57" i="99" s="1"/>
  <c r="DE81" i="99"/>
  <c r="DF81" i="99" s="1"/>
  <c r="DG81" i="99" s="1"/>
  <c r="DH81" i="99" s="1"/>
  <c r="DI81" i="99" s="1"/>
  <c r="DE86" i="99"/>
  <c r="DF86" i="99" s="1"/>
  <c r="DG86" i="99" s="1"/>
  <c r="DH86" i="99" s="1"/>
  <c r="DI86" i="99" s="1"/>
  <c r="DE16" i="99"/>
  <c r="DF16" i="99" s="1"/>
  <c r="DG16" i="99" s="1"/>
  <c r="DH16" i="99" s="1"/>
  <c r="DI16" i="99" s="1"/>
  <c r="DE45" i="99"/>
  <c r="DF45" i="99" s="1"/>
  <c r="DG45" i="99" s="1"/>
  <c r="DH45" i="99" s="1"/>
  <c r="DI45" i="99" s="1"/>
  <c r="DE46" i="99"/>
  <c r="DF46" i="99" s="1"/>
  <c r="DG46" i="99" s="1"/>
  <c r="DH46" i="99" s="1"/>
  <c r="DI46" i="99" s="1"/>
  <c r="DE11" i="99"/>
  <c r="DF11" i="99" s="1"/>
  <c r="DG11" i="99" s="1"/>
  <c r="DH11" i="99" s="1"/>
  <c r="DI11" i="99" s="1"/>
  <c r="DE21" i="99"/>
  <c r="DF21" i="99" s="1"/>
  <c r="DG21" i="99" s="1"/>
  <c r="DH21" i="99" s="1"/>
  <c r="DI21" i="99" s="1"/>
  <c r="DE75" i="99"/>
  <c r="DF75" i="99" s="1"/>
  <c r="DG75" i="99" s="1"/>
  <c r="DH75" i="99" s="1"/>
  <c r="DI75" i="99" s="1"/>
  <c r="DE14" i="99"/>
  <c r="DF14" i="99" s="1"/>
  <c r="DG14" i="99" s="1"/>
  <c r="DH14" i="99" s="1"/>
  <c r="DI14" i="99" s="1"/>
  <c r="DE31" i="99"/>
  <c r="DF31" i="99" s="1"/>
  <c r="DG31" i="99" s="1"/>
  <c r="DH31" i="99" s="1"/>
  <c r="DI31" i="99" s="1"/>
  <c r="DE58" i="99"/>
  <c r="DF58" i="99" s="1"/>
  <c r="DG58" i="99" s="1"/>
  <c r="DH58" i="99" s="1"/>
  <c r="DI58" i="99" s="1"/>
  <c r="DE64" i="99"/>
  <c r="DF64" i="99" s="1"/>
  <c r="DG64" i="99" s="1"/>
  <c r="DH64" i="99" s="1"/>
  <c r="DI64" i="99" s="1"/>
  <c r="DE66" i="99"/>
  <c r="DF66" i="99" s="1"/>
  <c r="DG66" i="99" s="1"/>
  <c r="DH66" i="99" s="1"/>
  <c r="DI66" i="99" s="1"/>
  <c r="DE71" i="99"/>
  <c r="DF71" i="99" s="1"/>
  <c r="DG71" i="99" s="1"/>
  <c r="DH71" i="99" s="1"/>
  <c r="DI71" i="99" s="1"/>
  <c r="DE95" i="99"/>
  <c r="DF95" i="99" s="1"/>
  <c r="DG95" i="99" s="1"/>
  <c r="DH95" i="99" s="1"/>
  <c r="DI95" i="99" s="1"/>
  <c r="DE29" i="99"/>
  <c r="DF29" i="99" s="1"/>
  <c r="DG29" i="99" s="1"/>
  <c r="DH29" i="99" s="1"/>
  <c r="DI29" i="99" s="1"/>
  <c r="DE60" i="99"/>
  <c r="DF60" i="99" s="1"/>
  <c r="DG60" i="99" s="1"/>
  <c r="DH60" i="99" s="1"/>
  <c r="DI60" i="99" s="1"/>
  <c r="DE47" i="99"/>
  <c r="DF47" i="99" s="1"/>
  <c r="DG47" i="99" s="1"/>
  <c r="DH47" i="99" s="1"/>
  <c r="DI47" i="99" s="1"/>
  <c r="DE56" i="99"/>
  <c r="DF56" i="99" s="1"/>
  <c r="DG56" i="99" s="1"/>
  <c r="DH56" i="99" s="1"/>
  <c r="DI56" i="99" s="1"/>
  <c r="DE76" i="99"/>
  <c r="DF76" i="99" s="1"/>
  <c r="DG76" i="99" s="1"/>
  <c r="DH76" i="99" s="1"/>
  <c r="DI76" i="99" s="1"/>
  <c r="DE74" i="99"/>
  <c r="DF74" i="99" s="1"/>
  <c r="DG74" i="99" s="1"/>
  <c r="DH74" i="99" s="1"/>
  <c r="DI74" i="99" s="1"/>
  <c r="DE83" i="99"/>
  <c r="DF83" i="99" s="1"/>
  <c r="DG83" i="99" s="1"/>
  <c r="DH83" i="99" s="1"/>
  <c r="DI83" i="99" s="1"/>
  <c r="DE94" i="99"/>
  <c r="DF94" i="99" s="1"/>
  <c r="DG94" i="99" s="1"/>
  <c r="DH94" i="99" s="1"/>
  <c r="DI94" i="99" s="1"/>
  <c r="DE38" i="99"/>
  <c r="DF38" i="99" s="1"/>
  <c r="DG38" i="99" s="1"/>
  <c r="DH38" i="99" s="1"/>
  <c r="DI38" i="99" s="1"/>
  <c r="DE39" i="99"/>
  <c r="DF39" i="99" s="1"/>
  <c r="DG39" i="99" s="1"/>
  <c r="DH39" i="99" s="1"/>
  <c r="DI39" i="99" s="1"/>
  <c r="DE55" i="99"/>
  <c r="DF55" i="99" s="1"/>
  <c r="DG55" i="99" s="1"/>
  <c r="DH55" i="99" s="1"/>
  <c r="DI55" i="99" s="1"/>
  <c r="DE82" i="99"/>
  <c r="DF82" i="99" s="1"/>
  <c r="DG82" i="99" s="1"/>
  <c r="DH82" i="99" s="1"/>
  <c r="DI82" i="99" s="1"/>
  <c r="DE101" i="99"/>
  <c r="DF101" i="99" s="1"/>
  <c r="DG101" i="99" s="1"/>
  <c r="DH101" i="99" s="1"/>
  <c r="DI101" i="99" s="1"/>
  <c r="DE19" i="99"/>
  <c r="DF19" i="99" s="1"/>
  <c r="DG19" i="99" s="1"/>
  <c r="DH19" i="99" s="1"/>
  <c r="DI19" i="99" s="1"/>
  <c r="DE27" i="99"/>
  <c r="DF27" i="99" s="1"/>
  <c r="DG27" i="99" s="1"/>
  <c r="DH27" i="99" s="1"/>
  <c r="DI27" i="99" s="1"/>
  <c r="DE13" i="99"/>
  <c r="DF13" i="99" s="1"/>
  <c r="DG13" i="99" s="1"/>
  <c r="DH13" i="99" s="1"/>
  <c r="DI13" i="99" s="1"/>
  <c r="DE30" i="99"/>
  <c r="DF30" i="99" s="1"/>
  <c r="DG30" i="99" s="1"/>
  <c r="DH30" i="99" s="1"/>
  <c r="DI30" i="99" s="1"/>
  <c r="DE63" i="99"/>
  <c r="DF63" i="99" s="1"/>
  <c r="DG63" i="99" s="1"/>
  <c r="DH63" i="99" s="1"/>
  <c r="DI63" i="99" s="1"/>
  <c r="DE50" i="99"/>
  <c r="DF50" i="99" s="1"/>
  <c r="DG50" i="99" s="1"/>
  <c r="DH50" i="99" s="1"/>
  <c r="DI50" i="99" s="1"/>
  <c r="DE35" i="99"/>
  <c r="DF35" i="99" s="1"/>
  <c r="DG35" i="99" s="1"/>
  <c r="DH35" i="99" s="1"/>
  <c r="DI35" i="99" s="1"/>
  <c r="DE68" i="99"/>
  <c r="DF68" i="99" s="1"/>
  <c r="DG68" i="99" s="1"/>
  <c r="DH68" i="99" s="1"/>
  <c r="DI68" i="99" s="1"/>
  <c r="DE67" i="99"/>
  <c r="DF67" i="99" s="1"/>
  <c r="DG67" i="99" s="1"/>
  <c r="DH67" i="99" s="1"/>
  <c r="DI67" i="99" s="1"/>
  <c r="DE89" i="99"/>
  <c r="DF89" i="99" s="1"/>
  <c r="DG89" i="99" s="1"/>
  <c r="DH89" i="99" s="1"/>
  <c r="DI89" i="99" s="1"/>
  <c r="DE91" i="99"/>
  <c r="DF91" i="99" s="1"/>
  <c r="DG91" i="99" s="1"/>
  <c r="DH91" i="99" s="1"/>
  <c r="DI91" i="99" s="1"/>
  <c r="DE107" i="99"/>
  <c r="DF107" i="99" s="1"/>
  <c r="DG107" i="99" s="1"/>
  <c r="DH107" i="99" s="1"/>
  <c r="DI107" i="99" s="1"/>
  <c r="DE108" i="99"/>
  <c r="DF108" i="99" s="1"/>
  <c r="DG108" i="99" s="1"/>
  <c r="DH108" i="99" s="1"/>
  <c r="DI108" i="99" s="1"/>
  <c r="DE104" i="99"/>
  <c r="DF104" i="99" s="1"/>
  <c r="DG104" i="99" s="1"/>
  <c r="DH104" i="99" s="1"/>
  <c r="DI104" i="99" s="1"/>
  <c r="DE105" i="99"/>
  <c r="DF105" i="99" s="1"/>
  <c r="DG105" i="99" s="1"/>
  <c r="DH105" i="99" s="1"/>
  <c r="DI105" i="99" s="1"/>
  <c r="DE97" i="99"/>
  <c r="DF97" i="99" s="1"/>
  <c r="DG97" i="99" s="1"/>
  <c r="DH97" i="99" s="1"/>
  <c r="DI97" i="99" s="1"/>
  <c r="AW91" i="99"/>
  <c r="AX91" i="99" s="1"/>
  <c r="AY91" i="99" s="1"/>
  <c r="AZ91" i="99" s="1"/>
  <c r="BA91" i="99" s="1"/>
  <c r="AW77" i="99"/>
  <c r="AX77" i="99" s="1"/>
  <c r="AY77" i="99" s="1"/>
  <c r="AZ77" i="99" s="1"/>
  <c r="BA77" i="99" s="1"/>
  <c r="AW71" i="99"/>
  <c r="AX71" i="99" s="1"/>
  <c r="AY71" i="99" s="1"/>
  <c r="AZ71" i="99" s="1"/>
  <c r="BA71" i="99" s="1"/>
  <c r="AW89" i="99"/>
  <c r="AX89" i="99" s="1"/>
  <c r="AY89" i="99" s="1"/>
  <c r="AZ89" i="99" s="1"/>
  <c r="BA89" i="99" s="1"/>
  <c r="AW108" i="99"/>
  <c r="AX108" i="99" s="1"/>
  <c r="AY108" i="99" s="1"/>
  <c r="AZ108" i="99" s="1"/>
  <c r="BA108" i="99" s="1"/>
  <c r="AW47" i="99"/>
  <c r="AX47" i="99" s="1"/>
  <c r="AY47" i="99" s="1"/>
  <c r="AZ47" i="99" s="1"/>
  <c r="BA47" i="99" s="1"/>
  <c r="AW106" i="99"/>
  <c r="AX106" i="99" s="1"/>
  <c r="AY106" i="99" s="1"/>
  <c r="AZ106" i="99" s="1"/>
  <c r="BA106" i="99" s="1"/>
  <c r="AW99" i="99"/>
  <c r="AX99" i="99" s="1"/>
  <c r="AY99" i="99" s="1"/>
  <c r="AZ99" i="99" s="1"/>
  <c r="BA99" i="99" s="1"/>
  <c r="AW48" i="99"/>
  <c r="AX48" i="99" s="1"/>
  <c r="AY48" i="99" s="1"/>
  <c r="AZ48" i="99" s="1"/>
  <c r="BA48" i="99" s="1"/>
  <c r="AW103" i="99"/>
  <c r="AX103" i="99" s="1"/>
  <c r="AY103" i="99" s="1"/>
  <c r="AZ103" i="99" s="1"/>
  <c r="BA103" i="99" s="1"/>
  <c r="AW90" i="99"/>
  <c r="AX90" i="99" s="1"/>
  <c r="AY90" i="99" s="1"/>
  <c r="AZ90" i="99" s="1"/>
  <c r="BA90" i="99" s="1"/>
  <c r="AW53" i="99"/>
  <c r="AX53" i="99" s="1"/>
  <c r="AY53" i="99" s="1"/>
  <c r="AZ53" i="99" s="1"/>
  <c r="BA53" i="99" s="1"/>
  <c r="AW105" i="99"/>
  <c r="AX105" i="99" s="1"/>
  <c r="AY105" i="99" s="1"/>
  <c r="AZ105" i="99" s="1"/>
  <c r="BA105" i="99" s="1"/>
  <c r="AW67" i="99"/>
  <c r="AX67" i="99" s="1"/>
  <c r="AY67" i="99" s="1"/>
  <c r="AZ67" i="99" s="1"/>
  <c r="BA67" i="99" s="1"/>
  <c r="AW66" i="99"/>
  <c r="AX66" i="99" s="1"/>
  <c r="AY66" i="99" s="1"/>
  <c r="AZ66" i="99" s="1"/>
  <c r="BA66" i="99" s="1"/>
  <c r="AW63" i="99"/>
  <c r="AX63" i="99" s="1"/>
  <c r="AY63" i="99" s="1"/>
  <c r="AZ63" i="99" s="1"/>
  <c r="BA63" i="99" s="1"/>
  <c r="AW44" i="99"/>
  <c r="AX44" i="99" s="1"/>
  <c r="AY44" i="99" s="1"/>
  <c r="AZ44" i="99" s="1"/>
  <c r="BA44" i="99" s="1"/>
  <c r="AW42" i="99"/>
  <c r="AX42" i="99" s="1"/>
  <c r="AY42" i="99" s="1"/>
  <c r="AZ42" i="99" s="1"/>
  <c r="BA42" i="99" s="1"/>
  <c r="AW35" i="99"/>
  <c r="AX35" i="99" s="1"/>
  <c r="AY35" i="99" s="1"/>
  <c r="AZ35" i="99" s="1"/>
  <c r="BA35" i="99" s="1"/>
  <c r="AW61" i="99"/>
  <c r="AX61" i="99" s="1"/>
  <c r="AY61" i="99" s="1"/>
  <c r="AZ61" i="99" s="1"/>
  <c r="BA61" i="99" s="1"/>
  <c r="AW40" i="99"/>
  <c r="AX40" i="99" s="1"/>
  <c r="AY40" i="99" s="1"/>
  <c r="AZ40" i="99" s="1"/>
  <c r="BA40" i="99" s="1"/>
  <c r="AW36" i="99"/>
  <c r="AX36" i="99" s="1"/>
  <c r="AY36" i="99" s="1"/>
  <c r="AZ36" i="99" s="1"/>
  <c r="BA36" i="99" s="1"/>
  <c r="AW27" i="99"/>
  <c r="AX27" i="99" s="1"/>
  <c r="AY27" i="99" s="1"/>
  <c r="AZ27" i="99" s="1"/>
  <c r="BA27" i="99" s="1"/>
  <c r="AW34" i="99"/>
  <c r="AX34" i="99" s="1"/>
  <c r="AY34" i="99" s="1"/>
  <c r="AZ34" i="99" s="1"/>
  <c r="BA34" i="99" s="1"/>
  <c r="AW26" i="99"/>
  <c r="AX26" i="99" s="1"/>
  <c r="AY26" i="99" s="1"/>
  <c r="AZ26" i="99" s="1"/>
  <c r="BA26" i="99" s="1"/>
  <c r="AW22" i="99"/>
  <c r="AX22" i="99" s="1"/>
  <c r="AY22" i="99" s="1"/>
  <c r="AZ22" i="99" s="1"/>
  <c r="BA22" i="99" s="1"/>
  <c r="AW69" i="99"/>
  <c r="AX69" i="99" s="1"/>
  <c r="AY69" i="99" s="1"/>
  <c r="AZ69" i="99" s="1"/>
  <c r="BA69" i="99" s="1"/>
  <c r="AW24" i="99"/>
  <c r="AX24" i="99" s="1"/>
  <c r="AY24" i="99" s="1"/>
  <c r="AZ24" i="99" s="1"/>
  <c r="BA24" i="99" s="1"/>
  <c r="AW19" i="99"/>
  <c r="AX19" i="99" s="1"/>
  <c r="AY19" i="99" s="1"/>
  <c r="AZ19" i="99" s="1"/>
  <c r="BA19" i="99" s="1"/>
  <c r="AW43" i="99"/>
  <c r="AX43" i="99" s="1"/>
  <c r="AY43" i="99" s="1"/>
  <c r="AZ43" i="99" s="1"/>
  <c r="BA43" i="99" s="1"/>
  <c r="AW50" i="99"/>
  <c r="AX50" i="99" s="1"/>
  <c r="AY50" i="99" s="1"/>
  <c r="AZ50" i="99" s="1"/>
  <c r="BA50" i="99" s="1"/>
  <c r="AW11" i="99"/>
  <c r="AX11" i="99" s="1"/>
  <c r="AY11" i="99" s="1"/>
  <c r="AZ11" i="99" s="1"/>
  <c r="BA11" i="99" s="1"/>
  <c r="AW81" i="99"/>
  <c r="AX81" i="99" s="1"/>
  <c r="AY81" i="99" s="1"/>
  <c r="AZ81" i="99" s="1"/>
  <c r="BA81" i="99" s="1"/>
  <c r="AW59" i="99"/>
  <c r="AX59" i="99" s="1"/>
  <c r="AY59" i="99" s="1"/>
  <c r="AZ59" i="99" s="1"/>
  <c r="BA59" i="99" s="1"/>
  <c r="AW32" i="99"/>
  <c r="AX32" i="99" s="1"/>
  <c r="AY32" i="99" s="1"/>
  <c r="AZ32" i="99" s="1"/>
  <c r="BA32" i="99" s="1"/>
  <c r="AW23" i="99"/>
  <c r="AX23" i="99" s="1"/>
  <c r="AY23" i="99" s="1"/>
  <c r="AZ23" i="99" s="1"/>
  <c r="BA23" i="99" s="1"/>
  <c r="AW12" i="99"/>
  <c r="AX12" i="99" s="1"/>
  <c r="AY12" i="99" s="1"/>
  <c r="AZ12" i="99" s="1"/>
  <c r="BA12" i="99" s="1"/>
  <c r="AW92" i="99"/>
  <c r="AX92" i="99" s="1"/>
  <c r="AY92" i="99" s="1"/>
  <c r="AZ92" i="99" s="1"/>
  <c r="BA92" i="99" s="1"/>
  <c r="AW9" i="99"/>
  <c r="AX9" i="99" s="1"/>
  <c r="AY9" i="99" s="1"/>
  <c r="AZ9" i="99" s="1"/>
  <c r="AW18" i="99"/>
  <c r="AX18" i="99" s="1"/>
  <c r="AY18" i="99" s="1"/>
  <c r="AZ18" i="99" s="1"/>
  <c r="BA18" i="99" s="1"/>
  <c r="AW60" i="99"/>
  <c r="AX60" i="99" s="1"/>
  <c r="AY60" i="99" s="1"/>
  <c r="AZ60" i="99" s="1"/>
  <c r="BA60" i="99" s="1"/>
  <c r="AW52" i="99"/>
  <c r="AX52" i="99" s="1"/>
  <c r="AY52" i="99" s="1"/>
  <c r="AZ52" i="99" s="1"/>
  <c r="BA52" i="99" s="1"/>
  <c r="AW98" i="99"/>
  <c r="AX98" i="99" s="1"/>
  <c r="AY98" i="99" s="1"/>
  <c r="AZ98" i="99" s="1"/>
  <c r="BA98" i="99" s="1"/>
  <c r="AW94" i="99"/>
  <c r="AX94" i="99" s="1"/>
  <c r="AY94" i="99" s="1"/>
  <c r="AZ94" i="99" s="1"/>
  <c r="BA94" i="99" s="1"/>
  <c r="AW95" i="99"/>
  <c r="AX95" i="99" s="1"/>
  <c r="AY95" i="99" s="1"/>
  <c r="AZ95" i="99" s="1"/>
  <c r="BA95" i="99" s="1"/>
  <c r="AW78" i="99"/>
  <c r="AX78" i="99" s="1"/>
  <c r="AY78" i="99" s="1"/>
  <c r="AZ78" i="99" s="1"/>
  <c r="BA78" i="99" s="1"/>
  <c r="AW39" i="99"/>
  <c r="AX39" i="99" s="1"/>
  <c r="AY39" i="99" s="1"/>
  <c r="AZ39" i="99" s="1"/>
  <c r="BA39" i="99" s="1"/>
  <c r="AW83" i="99"/>
  <c r="AX83" i="99" s="1"/>
  <c r="AY83" i="99" s="1"/>
  <c r="AZ83" i="99" s="1"/>
  <c r="BA83" i="99" s="1"/>
  <c r="AW17" i="99"/>
  <c r="AX17" i="99" s="1"/>
  <c r="AY17" i="99" s="1"/>
  <c r="AZ17" i="99" s="1"/>
  <c r="BA17" i="99" s="1"/>
  <c r="AW45" i="99"/>
  <c r="AX45" i="99" s="1"/>
  <c r="AY45" i="99" s="1"/>
  <c r="AZ45" i="99" s="1"/>
  <c r="BA45" i="99" s="1"/>
  <c r="AW14" i="99"/>
  <c r="AX14" i="99" s="1"/>
  <c r="AY14" i="99" s="1"/>
  <c r="AZ14" i="99" s="1"/>
  <c r="BA14" i="99" s="1"/>
  <c r="AW57" i="99"/>
  <c r="AX57" i="99" s="1"/>
  <c r="AY57" i="99" s="1"/>
  <c r="AZ57" i="99" s="1"/>
  <c r="BA57" i="99" s="1"/>
  <c r="AW55" i="99"/>
  <c r="AX55" i="99" s="1"/>
  <c r="AY55" i="99" s="1"/>
  <c r="AZ55" i="99" s="1"/>
  <c r="BA55" i="99" s="1"/>
  <c r="AW75" i="99"/>
  <c r="AX75" i="99" s="1"/>
  <c r="AY75" i="99" s="1"/>
  <c r="AZ75" i="99" s="1"/>
  <c r="BA75" i="99" s="1"/>
  <c r="AW72" i="99"/>
  <c r="AX72" i="99" s="1"/>
  <c r="AY72" i="99" s="1"/>
  <c r="AZ72" i="99" s="1"/>
  <c r="BA72" i="99" s="1"/>
  <c r="AW82" i="99"/>
  <c r="AX82" i="99" s="1"/>
  <c r="AY82" i="99" s="1"/>
  <c r="AZ82" i="99" s="1"/>
  <c r="BA82" i="99" s="1"/>
  <c r="AW21" i="99"/>
  <c r="AX21" i="99" s="1"/>
  <c r="AY21" i="99" s="1"/>
  <c r="AZ21" i="99" s="1"/>
  <c r="BA21" i="99" s="1"/>
  <c r="AW16" i="99"/>
  <c r="AX16" i="99" s="1"/>
  <c r="AY16" i="99" s="1"/>
  <c r="AZ16" i="99" s="1"/>
  <c r="BA16" i="99" s="1"/>
  <c r="AW49" i="99"/>
  <c r="AX49" i="99" s="1"/>
  <c r="AY49" i="99" s="1"/>
  <c r="AZ49" i="99" s="1"/>
  <c r="BA49" i="99" s="1"/>
  <c r="AW54" i="99"/>
  <c r="AX54" i="99" s="1"/>
  <c r="AY54" i="99" s="1"/>
  <c r="AZ54" i="99" s="1"/>
  <c r="BA54" i="99" s="1"/>
  <c r="AW62" i="99"/>
  <c r="AX62" i="99" s="1"/>
  <c r="AY62" i="99" s="1"/>
  <c r="AZ62" i="99" s="1"/>
  <c r="BA62" i="99" s="1"/>
  <c r="AW86" i="99"/>
  <c r="AX86" i="99" s="1"/>
  <c r="AY86" i="99" s="1"/>
  <c r="AZ86" i="99" s="1"/>
  <c r="BA86" i="99" s="1"/>
  <c r="AW80" i="99"/>
  <c r="AX80" i="99" s="1"/>
  <c r="AY80" i="99" s="1"/>
  <c r="AZ80" i="99" s="1"/>
  <c r="BA80" i="99" s="1"/>
  <c r="AW38" i="99"/>
  <c r="AX38" i="99" s="1"/>
  <c r="AY38" i="99" s="1"/>
  <c r="AZ38" i="99" s="1"/>
  <c r="BA38" i="99" s="1"/>
  <c r="AW64" i="99"/>
  <c r="AX64" i="99" s="1"/>
  <c r="AY64" i="99" s="1"/>
  <c r="AZ64" i="99" s="1"/>
  <c r="BA64" i="99" s="1"/>
  <c r="AW41" i="99"/>
  <c r="AX41" i="99" s="1"/>
  <c r="AY41" i="99" s="1"/>
  <c r="AZ41" i="99" s="1"/>
  <c r="BA41" i="99" s="1"/>
  <c r="AW29" i="99"/>
  <c r="AX29" i="99" s="1"/>
  <c r="AY29" i="99" s="1"/>
  <c r="AZ29" i="99" s="1"/>
  <c r="BA29" i="99" s="1"/>
  <c r="AW56" i="99"/>
  <c r="AX56" i="99" s="1"/>
  <c r="AY56" i="99" s="1"/>
  <c r="AZ56" i="99" s="1"/>
  <c r="BA56" i="99" s="1"/>
  <c r="AW33" i="99"/>
  <c r="AX33" i="99" s="1"/>
  <c r="AY33" i="99" s="1"/>
  <c r="AZ33" i="99" s="1"/>
  <c r="BA33" i="99" s="1"/>
  <c r="AW79" i="99"/>
  <c r="AX79" i="99" s="1"/>
  <c r="AY79" i="99" s="1"/>
  <c r="AZ79" i="99" s="1"/>
  <c r="BA79" i="99" s="1"/>
  <c r="AW76" i="99"/>
  <c r="AX76" i="99" s="1"/>
  <c r="AY76" i="99" s="1"/>
  <c r="AZ76" i="99" s="1"/>
  <c r="BA76" i="99" s="1"/>
  <c r="AW65" i="99"/>
  <c r="AX65" i="99" s="1"/>
  <c r="AY65" i="99" s="1"/>
  <c r="AZ65" i="99" s="1"/>
  <c r="BA65" i="99" s="1"/>
  <c r="AW101" i="99"/>
  <c r="AX101" i="99" s="1"/>
  <c r="AY101" i="99" s="1"/>
  <c r="AZ101" i="99" s="1"/>
  <c r="BA101" i="99" s="1"/>
  <c r="AW100" i="99"/>
  <c r="AX100" i="99" s="1"/>
  <c r="AY100" i="99" s="1"/>
  <c r="AZ100" i="99" s="1"/>
  <c r="BA100" i="99" s="1"/>
  <c r="AW15" i="99"/>
  <c r="AX15" i="99" s="1"/>
  <c r="AY15" i="99" s="1"/>
  <c r="AZ15" i="99" s="1"/>
  <c r="BA15" i="99" s="1"/>
  <c r="AW58" i="99"/>
  <c r="AX58" i="99" s="1"/>
  <c r="AY58" i="99" s="1"/>
  <c r="AZ58" i="99" s="1"/>
  <c r="BA58" i="99" s="1"/>
  <c r="AW74" i="99"/>
  <c r="AX74" i="99" s="1"/>
  <c r="AY74" i="99" s="1"/>
  <c r="AZ74" i="99" s="1"/>
  <c r="BA74" i="99" s="1"/>
  <c r="AW70" i="99"/>
  <c r="AX70" i="99" s="1"/>
  <c r="AY70" i="99" s="1"/>
  <c r="AZ70" i="99" s="1"/>
  <c r="BA70" i="99" s="1"/>
  <c r="AW51" i="99"/>
  <c r="AX51" i="99" s="1"/>
  <c r="AY51" i="99" s="1"/>
  <c r="AZ51" i="99" s="1"/>
  <c r="BA51" i="99" s="1"/>
  <c r="AW87" i="99"/>
  <c r="AX87" i="99" s="1"/>
  <c r="AY87" i="99" s="1"/>
  <c r="AZ87" i="99" s="1"/>
  <c r="BA87" i="99" s="1"/>
  <c r="AW25" i="99"/>
  <c r="AX25" i="99" s="1"/>
  <c r="AY25" i="99" s="1"/>
  <c r="AZ25" i="99" s="1"/>
  <c r="BA25" i="99" s="1"/>
  <c r="AW68" i="99"/>
  <c r="AX68" i="99" s="1"/>
  <c r="AY68" i="99" s="1"/>
  <c r="AZ68" i="99" s="1"/>
  <c r="BA68" i="99" s="1"/>
  <c r="AW73" i="99"/>
  <c r="AX73" i="99" s="1"/>
  <c r="AY73" i="99" s="1"/>
  <c r="AZ73" i="99" s="1"/>
  <c r="BA73" i="99" s="1"/>
  <c r="AW96" i="99"/>
  <c r="AX96" i="99" s="1"/>
  <c r="AY96" i="99" s="1"/>
  <c r="AZ96" i="99" s="1"/>
  <c r="BA96" i="99" s="1"/>
  <c r="AW97" i="99"/>
  <c r="AX97" i="99" s="1"/>
  <c r="AY97" i="99" s="1"/>
  <c r="AZ97" i="99" s="1"/>
  <c r="BA97" i="99" s="1"/>
  <c r="AW84" i="99"/>
  <c r="AX84" i="99" s="1"/>
  <c r="AY84" i="99" s="1"/>
  <c r="AZ84" i="99" s="1"/>
  <c r="BA84" i="99" s="1"/>
  <c r="AW30" i="99"/>
  <c r="AX30" i="99" s="1"/>
  <c r="AY30" i="99" s="1"/>
  <c r="AZ30" i="99" s="1"/>
  <c r="BA30" i="99" s="1"/>
  <c r="AW46" i="99"/>
  <c r="AX46" i="99" s="1"/>
  <c r="AY46" i="99" s="1"/>
  <c r="AZ46" i="99" s="1"/>
  <c r="BA46" i="99" s="1"/>
  <c r="AW37" i="99"/>
  <c r="AX37" i="99" s="1"/>
  <c r="AY37" i="99" s="1"/>
  <c r="AZ37" i="99" s="1"/>
  <c r="BA37" i="99" s="1"/>
  <c r="AW20" i="99"/>
  <c r="AX20" i="99" s="1"/>
  <c r="AY20" i="99" s="1"/>
  <c r="AZ20" i="99" s="1"/>
  <c r="BA20" i="99" s="1"/>
  <c r="AW10" i="99"/>
  <c r="AX10" i="99" s="1"/>
  <c r="AY10" i="99" s="1"/>
  <c r="AZ10" i="99" s="1"/>
  <c r="BA10" i="99" s="1"/>
  <c r="AW13" i="99"/>
  <c r="AX13" i="99" s="1"/>
  <c r="AY13" i="99" s="1"/>
  <c r="AZ13" i="99" s="1"/>
  <c r="BA13" i="99" s="1"/>
  <c r="AW28" i="99"/>
  <c r="AX28" i="99" s="1"/>
  <c r="AY28" i="99" s="1"/>
  <c r="AZ28" i="99" s="1"/>
  <c r="BA28" i="99" s="1"/>
  <c r="AW31" i="99"/>
  <c r="AX31" i="99" s="1"/>
  <c r="AY31" i="99" s="1"/>
  <c r="AZ31" i="99" s="1"/>
  <c r="BA31" i="99" s="1"/>
  <c r="AW88" i="99"/>
  <c r="AX88" i="99" s="1"/>
  <c r="AY88" i="99" s="1"/>
  <c r="AZ88" i="99" s="1"/>
  <c r="BA88" i="99" s="1"/>
  <c r="AW102" i="99"/>
  <c r="AX102" i="99" s="1"/>
  <c r="AY102" i="99" s="1"/>
  <c r="AZ102" i="99" s="1"/>
  <c r="BA102" i="99" s="1"/>
  <c r="AW104" i="99"/>
  <c r="AX104" i="99" s="1"/>
  <c r="AY104" i="99" s="1"/>
  <c r="AZ104" i="99" s="1"/>
  <c r="BA104" i="99" s="1"/>
  <c r="AW85" i="99"/>
  <c r="AX85" i="99" s="1"/>
  <c r="AY85" i="99" s="1"/>
  <c r="AZ85" i="99" s="1"/>
  <c r="BA85" i="99" s="1"/>
  <c r="AW107" i="99"/>
  <c r="AX107" i="99" s="1"/>
  <c r="AY107" i="99" s="1"/>
  <c r="AZ107" i="99" s="1"/>
  <c r="BA107" i="99" s="1"/>
  <c r="AW93" i="99"/>
  <c r="AX93" i="99" s="1"/>
  <c r="AY93" i="99" s="1"/>
  <c r="AZ93" i="99" s="1"/>
  <c r="BA93" i="99" s="1"/>
  <c r="G93" i="99"/>
  <c r="H93" i="99" s="1"/>
  <c r="I93" i="99" s="1"/>
  <c r="J93" i="99" s="1"/>
  <c r="K93" i="99" s="1"/>
  <c r="G106" i="99"/>
  <c r="H106" i="99" s="1"/>
  <c r="I106" i="99" s="1"/>
  <c r="J106" i="99" s="1"/>
  <c r="K106" i="99" s="1"/>
  <c r="G89" i="99"/>
  <c r="H89" i="99" s="1"/>
  <c r="I89" i="99" s="1"/>
  <c r="J89" i="99" s="1"/>
  <c r="K89" i="99" s="1"/>
  <c r="G75" i="99"/>
  <c r="H75" i="99" s="1"/>
  <c r="I75" i="99" s="1"/>
  <c r="J75" i="99" s="1"/>
  <c r="K75" i="99" s="1"/>
  <c r="G108" i="99"/>
  <c r="H108" i="99" s="1"/>
  <c r="I108" i="99" s="1"/>
  <c r="J108" i="99" s="1"/>
  <c r="K108" i="99" s="1"/>
  <c r="G88" i="99"/>
  <c r="H88" i="99" s="1"/>
  <c r="I88" i="99" s="1"/>
  <c r="J88" i="99" s="1"/>
  <c r="K88" i="99" s="1"/>
  <c r="G105" i="99"/>
  <c r="H105" i="99" s="1"/>
  <c r="I105" i="99" s="1"/>
  <c r="J105" i="99" s="1"/>
  <c r="K105" i="99" s="1"/>
  <c r="G94" i="99"/>
  <c r="H94" i="99" s="1"/>
  <c r="I94" i="99" s="1"/>
  <c r="J94" i="99" s="1"/>
  <c r="K94" i="99" s="1"/>
  <c r="G77" i="99"/>
  <c r="H77" i="99" s="1"/>
  <c r="I77" i="99" s="1"/>
  <c r="J77" i="99" s="1"/>
  <c r="K77" i="99" s="1"/>
  <c r="G100" i="99"/>
  <c r="H100" i="99" s="1"/>
  <c r="I100" i="99" s="1"/>
  <c r="J100" i="99" s="1"/>
  <c r="K100" i="99" s="1"/>
  <c r="G71" i="99"/>
  <c r="H71" i="99" s="1"/>
  <c r="I71" i="99" s="1"/>
  <c r="J71" i="99" s="1"/>
  <c r="K71" i="99" s="1"/>
  <c r="G65" i="99"/>
  <c r="H65" i="99" s="1"/>
  <c r="I65" i="99" s="1"/>
  <c r="J65" i="99" s="1"/>
  <c r="K65" i="99" s="1"/>
  <c r="G63" i="99"/>
  <c r="H63" i="99" s="1"/>
  <c r="I63" i="99" s="1"/>
  <c r="J63" i="99" s="1"/>
  <c r="K63" i="99" s="1"/>
  <c r="G104" i="99"/>
  <c r="H104" i="99" s="1"/>
  <c r="I104" i="99" s="1"/>
  <c r="J104" i="99" s="1"/>
  <c r="K104" i="99" s="1"/>
  <c r="G62" i="99"/>
  <c r="H62" i="99" s="1"/>
  <c r="I62" i="99" s="1"/>
  <c r="J62" i="99" s="1"/>
  <c r="K62" i="99" s="1"/>
  <c r="G96" i="99"/>
  <c r="H96" i="99" s="1"/>
  <c r="I96" i="99" s="1"/>
  <c r="J96" i="99" s="1"/>
  <c r="K96" i="99" s="1"/>
  <c r="G61" i="99"/>
  <c r="H61" i="99" s="1"/>
  <c r="I61" i="99" s="1"/>
  <c r="J61" i="99" s="1"/>
  <c r="K61" i="99" s="1"/>
  <c r="G53" i="99"/>
  <c r="H53" i="99" s="1"/>
  <c r="I53" i="99" s="1"/>
  <c r="J53" i="99" s="1"/>
  <c r="K53" i="99" s="1"/>
  <c r="G50" i="99"/>
  <c r="H50" i="99" s="1"/>
  <c r="I50" i="99" s="1"/>
  <c r="J50" i="99" s="1"/>
  <c r="K50" i="99" s="1"/>
  <c r="G54" i="99"/>
  <c r="H54" i="99" s="1"/>
  <c r="I54" i="99" s="1"/>
  <c r="J54" i="99" s="1"/>
  <c r="K54" i="99" s="1"/>
  <c r="G34" i="99"/>
  <c r="H34" i="99" s="1"/>
  <c r="I34" i="99" s="1"/>
  <c r="J34" i="99" s="1"/>
  <c r="K34" i="99" s="1"/>
  <c r="G22" i="99"/>
  <c r="H22" i="99" s="1"/>
  <c r="I22" i="99" s="1"/>
  <c r="J22" i="99" s="1"/>
  <c r="K22" i="99" s="1"/>
  <c r="G85" i="99"/>
  <c r="H85" i="99" s="1"/>
  <c r="I85" i="99" s="1"/>
  <c r="J85" i="99" s="1"/>
  <c r="K85" i="99" s="1"/>
  <c r="G55" i="99"/>
  <c r="H55" i="99" s="1"/>
  <c r="I55" i="99" s="1"/>
  <c r="J55" i="99" s="1"/>
  <c r="K55" i="99" s="1"/>
  <c r="G42" i="99"/>
  <c r="H42" i="99" s="1"/>
  <c r="I42" i="99" s="1"/>
  <c r="J42" i="99" s="1"/>
  <c r="K42" i="99" s="1"/>
  <c r="G36" i="99"/>
  <c r="H36" i="99" s="1"/>
  <c r="I36" i="99" s="1"/>
  <c r="J36" i="99" s="1"/>
  <c r="K36" i="99" s="1"/>
  <c r="G35" i="99"/>
  <c r="H35" i="99" s="1"/>
  <c r="I35" i="99" s="1"/>
  <c r="J35" i="99" s="1"/>
  <c r="K35" i="99" s="1"/>
  <c r="G44" i="99"/>
  <c r="H44" i="99" s="1"/>
  <c r="I44" i="99" s="1"/>
  <c r="J44" i="99" s="1"/>
  <c r="K44" i="99" s="1"/>
  <c r="G21" i="99"/>
  <c r="H21" i="99" s="1"/>
  <c r="I21" i="99" s="1"/>
  <c r="J21" i="99" s="1"/>
  <c r="K21" i="99" s="1"/>
  <c r="G43" i="99"/>
  <c r="H43" i="99" s="1"/>
  <c r="I43" i="99" s="1"/>
  <c r="J43" i="99" s="1"/>
  <c r="K43" i="99" s="1"/>
  <c r="G27" i="99"/>
  <c r="H27" i="99" s="1"/>
  <c r="I27" i="99" s="1"/>
  <c r="J27" i="99" s="1"/>
  <c r="K27" i="99" s="1"/>
  <c r="G17" i="99"/>
  <c r="H17" i="99" s="1"/>
  <c r="I17" i="99" s="1"/>
  <c r="J17" i="99" s="1"/>
  <c r="K17" i="99" s="1"/>
  <c r="G40" i="99"/>
  <c r="H40" i="99" s="1"/>
  <c r="I40" i="99" s="1"/>
  <c r="J40" i="99" s="1"/>
  <c r="K40" i="99" s="1"/>
  <c r="G20" i="99"/>
  <c r="H20" i="99" s="1"/>
  <c r="I20" i="99" s="1"/>
  <c r="J20" i="99" s="1"/>
  <c r="K20" i="99" s="1"/>
  <c r="G28" i="99"/>
  <c r="H28" i="99" s="1"/>
  <c r="I28" i="99" s="1"/>
  <c r="J28" i="99" s="1"/>
  <c r="K28" i="99" s="1"/>
  <c r="G48" i="99"/>
  <c r="H48" i="99" s="1"/>
  <c r="I48" i="99" s="1"/>
  <c r="J48" i="99" s="1"/>
  <c r="K48" i="99" s="1"/>
  <c r="G26" i="99"/>
  <c r="H26" i="99" s="1"/>
  <c r="I26" i="99" s="1"/>
  <c r="J26" i="99" s="1"/>
  <c r="K26" i="99" s="1"/>
  <c r="G24" i="99"/>
  <c r="H24" i="99" s="1"/>
  <c r="I24" i="99" s="1"/>
  <c r="J24" i="99" s="1"/>
  <c r="K24" i="99" s="1"/>
  <c r="G9" i="99"/>
  <c r="H9" i="99" s="1"/>
  <c r="I9" i="99" s="1"/>
  <c r="J9" i="99" s="1"/>
  <c r="G10" i="99"/>
  <c r="H10" i="99" s="1"/>
  <c r="I10" i="99" s="1"/>
  <c r="J10" i="99" s="1"/>
  <c r="K10" i="99" s="1"/>
  <c r="G12" i="99"/>
  <c r="H12" i="99" s="1"/>
  <c r="I12" i="99" s="1"/>
  <c r="J12" i="99" s="1"/>
  <c r="K12" i="99" s="1"/>
  <c r="G59" i="99"/>
  <c r="H59" i="99" s="1"/>
  <c r="I59" i="99" s="1"/>
  <c r="J59" i="99" s="1"/>
  <c r="K59" i="99" s="1"/>
  <c r="G74" i="99"/>
  <c r="H74" i="99" s="1"/>
  <c r="I74" i="99" s="1"/>
  <c r="J74" i="99" s="1"/>
  <c r="K74" i="99" s="1"/>
  <c r="G18" i="99"/>
  <c r="H18" i="99" s="1"/>
  <c r="I18" i="99" s="1"/>
  <c r="J18" i="99" s="1"/>
  <c r="K18" i="99" s="1"/>
  <c r="G49" i="99"/>
  <c r="H49" i="99" s="1"/>
  <c r="I49" i="99" s="1"/>
  <c r="J49" i="99" s="1"/>
  <c r="K49" i="99" s="1"/>
  <c r="G103" i="99"/>
  <c r="H103" i="99" s="1"/>
  <c r="I103" i="99" s="1"/>
  <c r="J103" i="99" s="1"/>
  <c r="K103" i="99" s="1"/>
  <c r="G13" i="99"/>
  <c r="H13" i="99" s="1"/>
  <c r="I13" i="99" s="1"/>
  <c r="J13" i="99" s="1"/>
  <c r="K13" i="99" s="1"/>
  <c r="G15" i="99"/>
  <c r="H15" i="99" s="1"/>
  <c r="I15" i="99" s="1"/>
  <c r="J15" i="99" s="1"/>
  <c r="K15" i="99" s="1"/>
  <c r="G70" i="99"/>
  <c r="H70" i="99" s="1"/>
  <c r="I70" i="99" s="1"/>
  <c r="J70" i="99" s="1"/>
  <c r="K70" i="99" s="1"/>
  <c r="G79" i="99"/>
  <c r="H79" i="99" s="1"/>
  <c r="I79" i="99" s="1"/>
  <c r="J79" i="99" s="1"/>
  <c r="K79" i="99" s="1"/>
  <c r="G87" i="99"/>
  <c r="H87" i="99" s="1"/>
  <c r="I87" i="99" s="1"/>
  <c r="J87" i="99" s="1"/>
  <c r="K87" i="99" s="1"/>
  <c r="G73" i="99"/>
  <c r="H73" i="99" s="1"/>
  <c r="I73" i="99" s="1"/>
  <c r="J73" i="99" s="1"/>
  <c r="K73" i="99" s="1"/>
  <c r="G32" i="99"/>
  <c r="H32" i="99" s="1"/>
  <c r="I32" i="99" s="1"/>
  <c r="J32" i="99" s="1"/>
  <c r="K32" i="99" s="1"/>
  <c r="G19" i="99"/>
  <c r="H19" i="99" s="1"/>
  <c r="I19" i="99" s="1"/>
  <c r="J19" i="99" s="1"/>
  <c r="K19" i="99" s="1"/>
  <c r="G98" i="99"/>
  <c r="H98" i="99" s="1"/>
  <c r="I98" i="99" s="1"/>
  <c r="J98" i="99" s="1"/>
  <c r="K98" i="99" s="1"/>
  <c r="G92" i="99"/>
  <c r="H92" i="99" s="1"/>
  <c r="I92" i="99" s="1"/>
  <c r="J92" i="99" s="1"/>
  <c r="K92" i="99" s="1"/>
  <c r="G90" i="99"/>
  <c r="H90" i="99" s="1"/>
  <c r="I90" i="99" s="1"/>
  <c r="J90" i="99" s="1"/>
  <c r="K90" i="99" s="1"/>
  <c r="G69" i="99"/>
  <c r="H69" i="99" s="1"/>
  <c r="I69" i="99" s="1"/>
  <c r="J69" i="99" s="1"/>
  <c r="K69" i="99" s="1"/>
  <c r="G81" i="99"/>
  <c r="H81" i="99" s="1"/>
  <c r="I81" i="99" s="1"/>
  <c r="J81" i="99" s="1"/>
  <c r="K81" i="99" s="1"/>
  <c r="G78" i="99"/>
  <c r="H78" i="99" s="1"/>
  <c r="I78" i="99" s="1"/>
  <c r="J78" i="99" s="1"/>
  <c r="K78" i="99" s="1"/>
  <c r="G58" i="99"/>
  <c r="H58" i="99" s="1"/>
  <c r="I58" i="99" s="1"/>
  <c r="J58" i="99" s="1"/>
  <c r="K58" i="99" s="1"/>
  <c r="G39" i="99"/>
  <c r="H39" i="99" s="1"/>
  <c r="I39" i="99" s="1"/>
  <c r="J39" i="99" s="1"/>
  <c r="K39" i="99" s="1"/>
  <c r="G25" i="99"/>
  <c r="H25" i="99" s="1"/>
  <c r="I25" i="99" s="1"/>
  <c r="J25" i="99" s="1"/>
  <c r="K25" i="99" s="1"/>
  <c r="G76" i="99"/>
  <c r="H76" i="99" s="1"/>
  <c r="I76" i="99" s="1"/>
  <c r="J76" i="99" s="1"/>
  <c r="K76" i="99" s="1"/>
  <c r="G60" i="99"/>
  <c r="H60" i="99" s="1"/>
  <c r="I60" i="99" s="1"/>
  <c r="J60" i="99" s="1"/>
  <c r="K60" i="99" s="1"/>
  <c r="G51" i="99"/>
  <c r="H51" i="99" s="1"/>
  <c r="I51" i="99" s="1"/>
  <c r="J51" i="99" s="1"/>
  <c r="K51" i="99" s="1"/>
  <c r="G23" i="99"/>
  <c r="H23" i="99" s="1"/>
  <c r="I23" i="99" s="1"/>
  <c r="J23" i="99" s="1"/>
  <c r="K23" i="99" s="1"/>
  <c r="G37" i="99"/>
  <c r="H37" i="99" s="1"/>
  <c r="I37" i="99" s="1"/>
  <c r="J37" i="99" s="1"/>
  <c r="K37" i="99" s="1"/>
  <c r="G31" i="99"/>
  <c r="H31" i="99" s="1"/>
  <c r="I31" i="99" s="1"/>
  <c r="J31" i="99" s="1"/>
  <c r="K31" i="99" s="1"/>
  <c r="G11" i="99"/>
  <c r="H11" i="99" s="1"/>
  <c r="I11" i="99" s="1"/>
  <c r="J11" i="99" s="1"/>
  <c r="K11" i="99" s="1"/>
  <c r="G29" i="99"/>
  <c r="H29" i="99" s="1"/>
  <c r="I29" i="99" s="1"/>
  <c r="J29" i="99" s="1"/>
  <c r="K29" i="99" s="1"/>
  <c r="G72" i="99"/>
  <c r="H72" i="99" s="1"/>
  <c r="I72" i="99" s="1"/>
  <c r="J72" i="99" s="1"/>
  <c r="K72" i="99" s="1"/>
  <c r="G80" i="99"/>
  <c r="H80" i="99" s="1"/>
  <c r="I80" i="99" s="1"/>
  <c r="J80" i="99" s="1"/>
  <c r="K80" i="99" s="1"/>
  <c r="G86" i="99"/>
  <c r="H86" i="99" s="1"/>
  <c r="I86" i="99" s="1"/>
  <c r="J86" i="99" s="1"/>
  <c r="K86" i="99" s="1"/>
  <c r="G101" i="99"/>
  <c r="H101" i="99" s="1"/>
  <c r="I101" i="99" s="1"/>
  <c r="J101" i="99" s="1"/>
  <c r="K101" i="99" s="1"/>
  <c r="G33" i="99"/>
  <c r="H33" i="99" s="1"/>
  <c r="I33" i="99" s="1"/>
  <c r="J33" i="99" s="1"/>
  <c r="K33" i="99" s="1"/>
  <c r="G56" i="99"/>
  <c r="H56" i="99" s="1"/>
  <c r="I56" i="99" s="1"/>
  <c r="J56" i="99" s="1"/>
  <c r="K56" i="99" s="1"/>
  <c r="G68" i="99"/>
  <c r="H68" i="99" s="1"/>
  <c r="I68" i="99" s="1"/>
  <c r="J68" i="99" s="1"/>
  <c r="K68" i="99" s="1"/>
  <c r="G14" i="99"/>
  <c r="H14" i="99" s="1"/>
  <c r="I14" i="99" s="1"/>
  <c r="J14" i="99" s="1"/>
  <c r="K14" i="99" s="1"/>
  <c r="G38" i="99"/>
  <c r="H38" i="99" s="1"/>
  <c r="I38" i="99" s="1"/>
  <c r="J38" i="99" s="1"/>
  <c r="K38" i="99" s="1"/>
  <c r="G46" i="99"/>
  <c r="H46" i="99" s="1"/>
  <c r="I46" i="99" s="1"/>
  <c r="J46" i="99" s="1"/>
  <c r="K46" i="99" s="1"/>
  <c r="G47" i="99"/>
  <c r="H47" i="99" s="1"/>
  <c r="I47" i="99" s="1"/>
  <c r="J47" i="99" s="1"/>
  <c r="K47" i="99" s="1"/>
  <c r="G66" i="99"/>
  <c r="H66" i="99" s="1"/>
  <c r="I66" i="99" s="1"/>
  <c r="J66" i="99" s="1"/>
  <c r="K66" i="99" s="1"/>
  <c r="G52" i="99"/>
  <c r="H52" i="99" s="1"/>
  <c r="I52" i="99" s="1"/>
  <c r="J52" i="99" s="1"/>
  <c r="K52" i="99" s="1"/>
  <c r="G67" i="99"/>
  <c r="H67" i="99" s="1"/>
  <c r="I67" i="99" s="1"/>
  <c r="J67" i="99" s="1"/>
  <c r="K67" i="99" s="1"/>
  <c r="G91" i="99"/>
  <c r="H91" i="99" s="1"/>
  <c r="I91" i="99" s="1"/>
  <c r="J91" i="99" s="1"/>
  <c r="K91" i="99" s="1"/>
  <c r="G30" i="99"/>
  <c r="H30" i="99" s="1"/>
  <c r="I30" i="99" s="1"/>
  <c r="J30" i="99" s="1"/>
  <c r="K30" i="99" s="1"/>
  <c r="G41" i="99"/>
  <c r="H41" i="99" s="1"/>
  <c r="I41" i="99" s="1"/>
  <c r="J41" i="99" s="1"/>
  <c r="K41" i="99" s="1"/>
  <c r="G83" i="99"/>
  <c r="H83" i="99" s="1"/>
  <c r="I83" i="99" s="1"/>
  <c r="J83" i="99" s="1"/>
  <c r="K83" i="99" s="1"/>
  <c r="G84" i="99"/>
  <c r="H84" i="99" s="1"/>
  <c r="I84" i="99" s="1"/>
  <c r="J84" i="99" s="1"/>
  <c r="K84" i="99" s="1"/>
  <c r="G45" i="99"/>
  <c r="H45" i="99" s="1"/>
  <c r="I45" i="99" s="1"/>
  <c r="J45" i="99" s="1"/>
  <c r="K45" i="99" s="1"/>
  <c r="G16" i="99"/>
  <c r="H16" i="99" s="1"/>
  <c r="I16" i="99" s="1"/>
  <c r="J16" i="99" s="1"/>
  <c r="K16" i="99" s="1"/>
  <c r="G64" i="99"/>
  <c r="H64" i="99" s="1"/>
  <c r="I64" i="99" s="1"/>
  <c r="J64" i="99" s="1"/>
  <c r="K64" i="99" s="1"/>
  <c r="G57" i="99"/>
  <c r="H57" i="99" s="1"/>
  <c r="I57" i="99" s="1"/>
  <c r="J57" i="99" s="1"/>
  <c r="K57" i="99" s="1"/>
  <c r="G82" i="99"/>
  <c r="H82" i="99" s="1"/>
  <c r="I82" i="99" s="1"/>
  <c r="J82" i="99" s="1"/>
  <c r="K82" i="99" s="1"/>
  <c r="G97" i="99"/>
  <c r="H97" i="99" s="1"/>
  <c r="I97" i="99" s="1"/>
  <c r="J97" i="99" s="1"/>
  <c r="K97" i="99" s="1"/>
  <c r="G102" i="99"/>
  <c r="H102" i="99" s="1"/>
  <c r="I102" i="99" s="1"/>
  <c r="J102" i="99" s="1"/>
  <c r="K102" i="99" s="1"/>
  <c r="G99" i="99"/>
  <c r="H99" i="99" s="1"/>
  <c r="I99" i="99" s="1"/>
  <c r="J99" i="99" s="1"/>
  <c r="K99" i="99" s="1"/>
  <c r="G95" i="99"/>
  <c r="H95" i="99" s="1"/>
  <c r="I95" i="99" s="1"/>
  <c r="J95" i="99" s="1"/>
  <c r="K95" i="99" s="1"/>
  <c r="G107" i="99"/>
  <c r="H107" i="99" s="1"/>
  <c r="I107" i="99" s="1"/>
  <c r="J107" i="99" s="1"/>
  <c r="K107" i="99" s="1"/>
  <c r="AE93" i="99"/>
  <c r="AF93" i="99" s="1"/>
  <c r="AG93" i="99" s="1"/>
  <c r="AH93" i="99" s="1"/>
  <c r="AI93" i="99" s="1"/>
  <c r="AE75" i="99"/>
  <c r="AF75" i="99" s="1"/>
  <c r="AG75" i="99" s="1"/>
  <c r="AH75" i="99" s="1"/>
  <c r="AI75" i="99" s="1"/>
  <c r="AE71" i="99"/>
  <c r="AF71" i="99" s="1"/>
  <c r="AG71" i="99" s="1"/>
  <c r="AH71" i="99" s="1"/>
  <c r="AI71" i="99" s="1"/>
  <c r="AE87" i="99"/>
  <c r="AF87" i="99" s="1"/>
  <c r="AG87" i="99" s="1"/>
  <c r="AH87" i="99" s="1"/>
  <c r="AI87" i="99" s="1"/>
  <c r="AE72" i="99"/>
  <c r="AF72" i="99" s="1"/>
  <c r="AG72" i="99" s="1"/>
  <c r="AH72" i="99" s="1"/>
  <c r="AI72" i="99" s="1"/>
  <c r="AE65" i="99"/>
  <c r="AF65" i="99" s="1"/>
  <c r="AG65" i="99" s="1"/>
  <c r="AH65" i="99" s="1"/>
  <c r="AI65" i="99" s="1"/>
  <c r="AE106" i="99"/>
  <c r="AF106" i="99" s="1"/>
  <c r="AG106" i="99" s="1"/>
  <c r="AH106" i="99" s="1"/>
  <c r="AI106" i="99" s="1"/>
  <c r="AE97" i="99"/>
  <c r="AF97" i="99" s="1"/>
  <c r="AG97" i="99" s="1"/>
  <c r="AH97" i="99" s="1"/>
  <c r="AI97" i="99" s="1"/>
  <c r="AE96" i="99"/>
  <c r="AF96" i="99" s="1"/>
  <c r="AG96" i="99" s="1"/>
  <c r="AH96" i="99" s="1"/>
  <c r="AI96" i="99" s="1"/>
  <c r="AE95" i="99"/>
  <c r="AF95" i="99" s="1"/>
  <c r="AG95" i="99" s="1"/>
  <c r="AH95" i="99" s="1"/>
  <c r="AI95" i="99" s="1"/>
  <c r="AE88" i="99"/>
  <c r="AF88" i="99" s="1"/>
  <c r="AG88" i="99" s="1"/>
  <c r="AH88" i="99" s="1"/>
  <c r="AI88" i="99" s="1"/>
  <c r="AE54" i="99"/>
  <c r="AF54" i="99" s="1"/>
  <c r="AG54" i="99" s="1"/>
  <c r="AH54" i="99" s="1"/>
  <c r="AI54" i="99" s="1"/>
  <c r="AE85" i="99"/>
  <c r="AF85" i="99" s="1"/>
  <c r="AG85" i="99" s="1"/>
  <c r="AH85" i="99" s="1"/>
  <c r="AI85" i="99" s="1"/>
  <c r="AE61" i="99"/>
  <c r="AF61" i="99" s="1"/>
  <c r="AG61" i="99" s="1"/>
  <c r="AH61" i="99" s="1"/>
  <c r="AI61" i="99" s="1"/>
  <c r="AE53" i="99"/>
  <c r="AF53" i="99" s="1"/>
  <c r="AG53" i="99" s="1"/>
  <c r="AH53" i="99" s="1"/>
  <c r="AI53" i="99" s="1"/>
  <c r="AE108" i="99"/>
  <c r="AF108" i="99" s="1"/>
  <c r="AG108" i="99" s="1"/>
  <c r="AH108" i="99" s="1"/>
  <c r="AI108" i="99" s="1"/>
  <c r="AE84" i="99"/>
  <c r="AF84" i="99" s="1"/>
  <c r="AG84" i="99" s="1"/>
  <c r="AH84" i="99" s="1"/>
  <c r="AI84" i="99" s="1"/>
  <c r="AE48" i="99"/>
  <c r="AF48" i="99" s="1"/>
  <c r="AG48" i="99" s="1"/>
  <c r="AH48" i="99" s="1"/>
  <c r="AI48" i="99" s="1"/>
  <c r="AE51" i="99"/>
  <c r="AF51" i="99" s="1"/>
  <c r="AG51" i="99" s="1"/>
  <c r="AH51" i="99" s="1"/>
  <c r="AI51" i="99" s="1"/>
  <c r="AE34" i="99"/>
  <c r="AF34" i="99" s="1"/>
  <c r="AG34" i="99" s="1"/>
  <c r="AH34" i="99" s="1"/>
  <c r="AI34" i="99" s="1"/>
  <c r="AE29" i="99"/>
  <c r="AF29" i="99" s="1"/>
  <c r="AG29" i="99" s="1"/>
  <c r="AH29" i="99" s="1"/>
  <c r="AI29" i="99" s="1"/>
  <c r="AE26" i="99"/>
  <c r="AF26" i="99" s="1"/>
  <c r="AG26" i="99" s="1"/>
  <c r="AH26" i="99" s="1"/>
  <c r="AI26" i="99" s="1"/>
  <c r="AE62" i="99"/>
  <c r="AF62" i="99" s="1"/>
  <c r="AG62" i="99" s="1"/>
  <c r="AH62" i="99" s="1"/>
  <c r="AI62" i="99" s="1"/>
  <c r="AE66" i="99"/>
  <c r="AF66" i="99" s="1"/>
  <c r="AG66" i="99" s="1"/>
  <c r="AH66" i="99" s="1"/>
  <c r="AI66" i="99" s="1"/>
  <c r="AE42" i="99"/>
  <c r="AF42" i="99" s="1"/>
  <c r="AG42" i="99" s="1"/>
  <c r="AH42" i="99" s="1"/>
  <c r="AI42" i="99" s="1"/>
  <c r="AE35" i="99"/>
  <c r="AF35" i="99" s="1"/>
  <c r="AG35" i="99" s="1"/>
  <c r="AH35" i="99" s="1"/>
  <c r="AI35" i="99" s="1"/>
  <c r="AE40" i="99"/>
  <c r="AF40" i="99" s="1"/>
  <c r="AG40" i="99" s="1"/>
  <c r="AH40" i="99" s="1"/>
  <c r="AI40" i="99" s="1"/>
  <c r="AE25" i="99"/>
  <c r="AF25" i="99" s="1"/>
  <c r="AG25" i="99" s="1"/>
  <c r="AH25" i="99" s="1"/>
  <c r="AI25" i="99" s="1"/>
  <c r="AE27" i="99"/>
  <c r="AF27" i="99" s="1"/>
  <c r="AG27" i="99" s="1"/>
  <c r="AH27" i="99" s="1"/>
  <c r="AI27" i="99" s="1"/>
  <c r="AE22" i="99"/>
  <c r="AF22" i="99" s="1"/>
  <c r="AG22" i="99" s="1"/>
  <c r="AH22" i="99" s="1"/>
  <c r="AI22" i="99" s="1"/>
  <c r="AE28" i="99"/>
  <c r="AF28" i="99" s="1"/>
  <c r="AG28" i="99" s="1"/>
  <c r="AH28" i="99" s="1"/>
  <c r="AI28" i="99" s="1"/>
  <c r="AE21" i="99"/>
  <c r="AF21" i="99" s="1"/>
  <c r="AG21" i="99" s="1"/>
  <c r="AH21" i="99" s="1"/>
  <c r="AI21" i="99" s="1"/>
  <c r="AE24" i="99"/>
  <c r="AF24" i="99" s="1"/>
  <c r="AG24" i="99" s="1"/>
  <c r="AH24" i="99" s="1"/>
  <c r="AI24" i="99" s="1"/>
  <c r="AE55" i="99"/>
  <c r="AF55" i="99" s="1"/>
  <c r="AG55" i="99" s="1"/>
  <c r="AH55" i="99" s="1"/>
  <c r="AI55" i="99" s="1"/>
  <c r="AE41" i="99"/>
  <c r="AF41" i="99" s="1"/>
  <c r="AG41" i="99" s="1"/>
  <c r="AH41" i="99" s="1"/>
  <c r="AI41" i="99" s="1"/>
  <c r="AE9" i="99"/>
  <c r="AF9" i="99" s="1"/>
  <c r="AG9" i="99" s="1"/>
  <c r="AH9" i="99" s="1"/>
  <c r="AE13" i="99"/>
  <c r="AF13" i="99" s="1"/>
  <c r="AG13" i="99" s="1"/>
  <c r="AH13" i="99" s="1"/>
  <c r="AI13" i="99" s="1"/>
  <c r="AE33" i="99"/>
  <c r="AF33" i="99" s="1"/>
  <c r="AG33" i="99" s="1"/>
  <c r="AH33" i="99" s="1"/>
  <c r="AI33" i="99" s="1"/>
  <c r="AE57" i="99"/>
  <c r="AF57" i="99" s="1"/>
  <c r="AG57" i="99" s="1"/>
  <c r="AH57" i="99" s="1"/>
  <c r="AI57" i="99" s="1"/>
  <c r="AE69" i="99"/>
  <c r="AF69" i="99" s="1"/>
  <c r="AG69" i="99" s="1"/>
  <c r="AH69" i="99" s="1"/>
  <c r="AI69" i="99" s="1"/>
  <c r="AE101" i="99"/>
  <c r="AF101" i="99" s="1"/>
  <c r="AG101" i="99" s="1"/>
  <c r="AH101" i="99" s="1"/>
  <c r="AI101" i="99" s="1"/>
  <c r="AE73" i="99"/>
  <c r="AF73" i="99" s="1"/>
  <c r="AG73" i="99" s="1"/>
  <c r="AH73" i="99" s="1"/>
  <c r="AI73" i="99" s="1"/>
  <c r="AE18" i="99"/>
  <c r="AF18" i="99" s="1"/>
  <c r="AG18" i="99" s="1"/>
  <c r="AH18" i="99" s="1"/>
  <c r="AI18" i="99" s="1"/>
  <c r="AE12" i="99"/>
  <c r="AF12" i="99" s="1"/>
  <c r="AG12" i="99" s="1"/>
  <c r="AH12" i="99" s="1"/>
  <c r="AI12" i="99" s="1"/>
  <c r="AE81" i="99"/>
  <c r="AF81" i="99" s="1"/>
  <c r="AG81" i="99" s="1"/>
  <c r="AH81" i="99" s="1"/>
  <c r="AI81" i="99" s="1"/>
  <c r="AE103" i="99"/>
  <c r="AF103" i="99" s="1"/>
  <c r="AG103" i="99" s="1"/>
  <c r="AH103" i="99" s="1"/>
  <c r="AI103" i="99" s="1"/>
  <c r="AE98" i="99"/>
  <c r="AF98" i="99" s="1"/>
  <c r="AG98" i="99" s="1"/>
  <c r="AH98" i="99" s="1"/>
  <c r="AI98" i="99" s="1"/>
  <c r="AE77" i="99"/>
  <c r="AF77" i="99" s="1"/>
  <c r="AG77" i="99" s="1"/>
  <c r="AH77" i="99" s="1"/>
  <c r="AI77" i="99" s="1"/>
  <c r="AE43" i="99"/>
  <c r="AF43" i="99" s="1"/>
  <c r="AG43" i="99" s="1"/>
  <c r="AH43" i="99" s="1"/>
  <c r="AI43" i="99" s="1"/>
  <c r="AE90" i="99"/>
  <c r="AF90" i="99" s="1"/>
  <c r="AG90" i="99" s="1"/>
  <c r="AH90" i="99" s="1"/>
  <c r="AI90" i="99" s="1"/>
  <c r="AE74" i="99"/>
  <c r="AF74" i="99" s="1"/>
  <c r="AG74" i="99" s="1"/>
  <c r="AH74" i="99" s="1"/>
  <c r="AI74" i="99" s="1"/>
  <c r="AE17" i="99"/>
  <c r="AF17" i="99" s="1"/>
  <c r="AG17" i="99" s="1"/>
  <c r="AH17" i="99" s="1"/>
  <c r="AI17" i="99" s="1"/>
  <c r="AE59" i="99"/>
  <c r="AF59" i="99" s="1"/>
  <c r="AG59" i="99" s="1"/>
  <c r="AH59" i="99" s="1"/>
  <c r="AI59" i="99" s="1"/>
  <c r="AE94" i="99"/>
  <c r="AF94" i="99" s="1"/>
  <c r="AG94" i="99" s="1"/>
  <c r="AH94" i="99" s="1"/>
  <c r="AI94" i="99" s="1"/>
  <c r="AE32" i="99"/>
  <c r="AF32" i="99" s="1"/>
  <c r="AG32" i="99" s="1"/>
  <c r="AH32" i="99" s="1"/>
  <c r="AI32" i="99" s="1"/>
  <c r="AE15" i="99"/>
  <c r="AF15" i="99" s="1"/>
  <c r="AG15" i="99" s="1"/>
  <c r="AH15" i="99" s="1"/>
  <c r="AI15" i="99" s="1"/>
  <c r="AE58" i="99"/>
  <c r="AF58" i="99" s="1"/>
  <c r="AG58" i="99" s="1"/>
  <c r="AH58" i="99" s="1"/>
  <c r="AI58" i="99" s="1"/>
  <c r="AE10" i="99"/>
  <c r="AF10" i="99" s="1"/>
  <c r="AG10" i="99" s="1"/>
  <c r="AH10" i="99" s="1"/>
  <c r="AI10" i="99" s="1"/>
  <c r="AE92" i="99"/>
  <c r="AF92" i="99" s="1"/>
  <c r="AG92" i="99" s="1"/>
  <c r="AH92" i="99" s="1"/>
  <c r="AI92" i="99" s="1"/>
  <c r="AE14" i="99"/>
  <c r="AF14" i="99" s="1"/>
  <c r="AG14" i="99" s="1"/>
  <c r="AH14" i="99" s="1"/>
  <c r="AI14" i="99" s="1"/>
  <c r="AE11" i="99"/>
  <c r="AF11" i="99" s="1"/>
  <c r="AG11" i="99" s="1"/>
  <c r="AH11" i="99" s="1"/>
  <c r="AI11" i="99" s="1"/>
  <c r="AE70" i="99"/>
  <c r="AF70" i="99" s="1"/>
  <c r="AG70" i="99" s="1"/>
  <c r="AH70" i="99" s="1"/>
  <c r="AI70" i="99" s="1"/>
  <c r="AE37" i="99"/>
  <c r="AF37" i="99" s="1"/>
  <c r="AG37" i="99" s="1"/>
  <c r="AH37" i="99" s="1"/>
  <c r="AI37" i="99" s="1"/>
  <c r="AE38" i="99"/>
  <c r="AF38" i="99" s="1"/>
  <c r="AG38" i="99" s="1"/>
  <c r="AH38" i="99" s="1"/>
  <c r="AI38" i="99" s="1"/>
  <c r="AE56" i="99"/>
  <c r="AF56" i="99" s="1"/>
  <c r="AG56" i="99" s="1"/>
  <c r="AH56" i="99" s="1"/>
  <c r="AI56" i="99" s="1"/>
  <c r="AE60" i="99"/>
  <c r="AF60" i="99" s="1"/>
  <c r="AG60" i="99" s="1"/>
  <c r="AH60" i="99" s="1"/>
  <c r="AI60" i="99" s="1"/>
  <c r="AE86" i="99"/>
  <c r="AF86" i="99" s="1"/>
  <c r="AG86" i="99" s="1"/>
  <c r="AH86" i="99" s="1"/>
  <c r="AI86" i="99" s="1"/>
  <c r="AE100" i="99"/>
  <c r="AF100" i="99" s="1"/>
  <c r="AG100" i="99" s="1"/>
  <c r="AH100" i="99" s="1"/>
  <c r="AI100" i="99" s="1"/>
  <c r="AE23" i="99"/>
  <c r="AF23" i="99" s="1"/>
  <c r="AG23" i="99" s="1"/>
  <c r="AH23" i="99" s="1"/>
  <c r="AI23" i="99" s="1"/>
  <c r="AE31" i="99"/>
  <c r="AF31" i="99" s="1"/>
  <c r="AG31" i="99" s="1"/>
  <c r="AH31" i="99" s="1"/>
  <c r="AI31" i="99" s="1"/>
  <c r="AE67" i="99"/>
  <c r="AF67" i="99" s="1"/>
  <c r="AG67" i="99" s="1"/>
  <c r="AH67" i="99" s="1"/>
  <c r="AI67" i="99" s="1"/>
  <c r="AE78" i="99"/>
  <c r="AF78" i="99" s="1"/>
  <c r="AG78" i="99" s="1"/>
  <c r="AH78" i="99" s="1"/>
  <c r="AI78" i="99" s="1"/>
  <c r="AE44" i="99"/>
  <c r="AF44" i="99" s="1"/>
  <c r="AG44" i="99" s="1"/>
  <c r="AH44" i="99" s="1"/>
  <c r="AI44" i="99" s="1"/>
  <c r="AE68" i="99"/>
  <c r="AF68" i="99" s="1"/>
  <c r="AG68" i="99" s="1"/>
  <c r="AH68" i="99" s="1"/>
  <c r="AI68" i="99" s="1"/>
  <c r="AE47" i="99"/>
  <c r="AF47" i="99" s="1"/>
  <c r="AG47" i="99" s="1"/>
  <c r="AH47" i="99" s="1"/>
  <c r="AI47" i="99" s="1"/>
  <c r="AE64" i="99"/>
  <c r="AF64" i="99" s="1"/>
  <c r="AG64" i="99" s="1"/>
  <c r="AH64" i="99" s="1"/>
  <c r="AI64" i="99" s="1"/>
  <c r="AE52" i="99"/>
  <c r="AF52" i="99" s="1"/>
  <c r="AG52" i="99" s="1"/>
  <c r="AH52" i="99" s="1"/>
  <c r="AI52" i="99" s="1"/>
  <c r="AE89" i="99"/>
  <c r="AF89" i="99" s="1"/>
  <c r="AG89" i="99" s="1"/>
  <c r="AH89" i="99" s="1"/>
  <c r="AI89" i="99" s="1"/>
  <c r="AE80" i="99"/>
  <c r="AF80" i="99" s="1"/>
  <c r="AG80" i="99" s="1"/>
  <c r="AH80" i="99" s="1"/>
  <c r="AI80" i="99" s="1"/>
  <c r="AE49" i="99"/>
  <c r="AF49" i="99" s="1"/>
  <c r="AG49" i="99" s="1"/>
  <c r="AH49" i="99" s="1"/>
  <c r="AI49" i="99" s="1"/>
  <c r="AE91" i="99"/>
  <c r="AF91" i="99" s="1"/>
  <c r="AG91" i="99" s="1"/>
  <c r="AH91" i="99" s="1"/>
  <c r="AI91" i="99" s="1"/>
  <c r="AE46" i="99"/>
  <c r="AF46" i="99" s="1"/>
  <c r="AG46" i="99" s="1"/>
  <c r="AH46" i="99" s="1"/>
  <c r="AI46" i="99" s="1"/>
  <c r="AE19" i="99"/>
  <c r="AF19" i="99" s="1"/>
  <c r="AG19" i="99" s="1"/>
  <c r="AH19" i="99" s="1"/>
  <c r="AI19" i="99" s="1"/>
  <c r="AE30" i="99"/>
  <c r="AF30" i="99" s="1"/>
  <c r="AG30" i="99" s="1"/>
  <c r="AH30" i="99" s="1"/>
  <c r="AI30" i="99" s="1"/>
  <c r="AE83" i="99"/>
  <c r="AF83" i="99" s="1"/>
  <c r="AG83" i="99" s="1"/>
  <c r="AH83" i="99" s="1"/>
  <c r="AI83" i="99" s="1"/>
  <c r="AE16" i="99"/>
  <c r="AF16" i="99" s="1"/>
  <c r="AG16" i="99" s="1"/>
  <c r="AH16" i="99" s="1"/>
  <c r="AI16" i="99" s="1"/>
  <c r="AE45" i="99"/>
  <c r="AF45" i="99" s="1"/>
  <c r="AG45" i="99" s="1"/>
  <c r="AH45" i="99" s="1"/>
  <c r="AI45" i="99" s="1"/>
  <c r="AE20" i="99"/>
  <c r="AF20" i="99" s="1"/>
  <c r="AG20" i="99" s="1"/>
  <c r="AH20" i="99" s="1"/>
  <c r="AI20" i="99" s="1"/>
  <c r="AE36" i="99"/>
  <c r="AF36" i="99" s="1"/>
  <c r="AG36" i="99" s="1"/>
  <c r="AH36" i="99" s="1"/>
  <c r="AI36" i="99" s="1"/>
  <c r="AE63" i="99"/>
  <c r="AF63" i="99" s="1"/>
  <c r="AG63" i="99" s="1"/>
  <c r="AH63" i="99" s="1"/>
  <c r="AI63" i="99" s="1"/>
  <c r="AE50" i="99"/>
  <c r="AF50" i="99" s="1"/>
  <c r="AG50" i="99" s="1"/>
  <c r="AH50" i="99" s="1"/>
  <c r="AI50" i="99" s="1"/>
  <c r="AE39" i="99"/>
  <c r="AF39" i="99" s="1"/>
  <c r="AG39" i="99" s="1"/>
  <c r="AH39" i="99" s="1"/>
  <c r="AI39" i="99" s="1"/>
  <c r="AE79" i="99"/>
  <c r="AF79" i="99" s="1"/>
  <c r="AG79" i="99" s="1"/>
  <c r="AH79" i="99" s="1"/>
  <c r="AI79" i="99" s="1"/>
  <c r="AE76" i="99"/>
  <c r="AF76" i="99" s="1"/>
  <c r="AG76" i="99" s="1"/>
  <c r="AH76" i="99" s="1"/>
  <c r="AI76" i="99" s="1"/>
  <c r="AE82" i="99"/>
  <c r="AF82" i="99" s="1"/>
  <c r="AG82" i="99" s="1"/>
  <c r="AH82" i="99" s="1"/>
  <c r="AI82" i="99" s="1"/>
  <c r="AE99" i="99"/>
  <c r="AF99" i="99" s="1"/>
  <c r="AG99" i="99" s="1"/>
  <c r="AH99" i="99" s="1"/>
  <c r="AI99" i="99" s="1"/>
  <c r="AE104" i="99"/>
  <c r="AF104" i="99" s="1"/>
  <c r="AG104" i="99" s="1"/>
  <c r="AH104" i="99" s="1"/>
  <c r="AI104" i="99" s="1"/>
  <c r="AE102" i="99"/>
  <c r="AF102" i="99" s="1"/>
  <c r="AG102" i="99" s="1"/>
  <c r="AH102" i="99" s="1"/>
  <c r="AI102" i="99" s="1"/>
  <c r="AE105" i="99"/>
  <c r="AF105" i="99" s="1"/>
  <c r="AG105" i="99" s="1"/>
  <c r="AH105" i="99" s="1"/>
  <c r="AI105" i="99" s="1"/>
  <c r="AE107" i="99"/>
  <c r="AF107" i="99" s="1"/>
  <c r="AG107" i="99" s="1"/>
  <c r="AH107" i="99" s="1"/>
  <c r="AI107" i="99" s="1"/>
  <c r="CG100" i="99"/>
  <c r="CH100" i="99" s="1"/>
  <c r="CI100" i="99" s="1"/>
  <c r="CJ100" i="99" s="1"/>
  <c r="CK100" i="99" s="1"/>
  <c r="CG75" i="99"/>
  <c r="CH75" i="99" s="1"/>
  <c r="CI75" i="99" s="1"/>
  <c r="CJ75" i="99" s="1"/>
  <c r="CK75" i="99" s="1"/>
  <c r="CG71" i="99"/>
  <c r="CH71" i="99" s="1"/>
  <c r="CI71" i="99" s="1"/>
  <c r="CJ71" i="99" s="1"/>
  <c r="CK71" i="99" s="1"/>
  <c r="CG106" i="99"/>
  <c r="CH106" i="99" s="1"/>
  <c r="CI106" i="99" s="1"/>
  <c r="CJ106" i="99" s="1"/>
  <c r="CK106" i="99" s="1"/>
  <c r="CG104" i="99"/>
  <c r="CH104" i="99" s="1"/>
  <c r="CI104" i="99" s="1"/>
  <c r="CJ104" i="99" s="1"/>
  <c r="CK104" i="99" s="1"/>
  <c r="CG77" i="99"/>
  <c r="CH77" i="99" s="1"/>
  <c r="CI77" i="99" s="1"/>
  <c r="CJ77" i="99" s="1"/>
  <c r="CK77" i="99" s="1"/>
  <c r="CG102" i="99"/>
  <c r="CH102" i="99" s="1"/>
  <c r="CI102" i="99" s="1"/>
  <c r="CJ102" i="99" s="1"/>
  <c r="CK102" i="99" s="1"/>
  <c r="CG96" i="99"/>
  <c r="CH96" i="99" s="1"/>
  <c r="CI96" i="99" s="1"/>
  <c r="CJ96" i="99" s="1"/>
  <c r="CK96" i="99" s="1"/>
  <c r="CG93" i="99"/>
  <c r="CH93" i="99" s="1"/>
  <c r="CI93" i="99" s="1"/>
  <c r="CJ93" i="99" s="1"/>
  <c r="CK93" i="99" s="1"/>
  <c r="CG94" i="99"/>
  <c r="CH94" i="99" s="1"/>
  <c r="CI94" i="99" s="1"/>
  <c r="CJ94" i="99" s="1"/>
  <c r="CK94" i="99" s="1"/>
  <c r="CG85" i="99"/>
  <c r="CH85" i="99" s="1"/>
  <c r="CI85" i="99" s="1"/>
  <c r="CJ85" i="99" s="1"/>
  <c r="CK85" i="99" s="1"/>
  <c r="CG73" i="99"/>
  <c r="CH73" i="99" s="1"/>
  <c r="CI73" i="99" s="1"/>
  <c r="CJ73" i="99" s="1"/>
  <c r="CK73" i="99" s="1"/>
  <c r="CG84" i="99"/>
  <c r="CH84" i="99" s="1"/>
  <c r="CI84" i="99" s="1"/>
  <c r="CJ84" i="99" s="1"/>
  <c r="CK84" i="99" s="1"/>
  <c r="CG88" i="99"/>
  <c r="CH88" i="99" s="1"/>
  <c r="CI88" i="99" s="1"/>
  <c r="CJ88" i="99" s="1"/>
  <c r="CK88" i="99" s="1"/>
  <c r="CG44" i="99"/>
  <c r="CH44" i="99" s="1"/>
  <c r="CI44" i="99" s="1"/>
  <c r="CJ44" i="99" s="1"/>
  <c r="CK44" i="99" s="1"/>
  <c r="CG92" i="99"/>
  <c r="CH92" i="99" s="1"/>
  <c r="CI92" i="99" s="1"/>
  <c r="CJ92" i="99" s="1"/>
  <c r="CK92" i="99" s="1"/>
  <c r="CG65" i="99"/>
  <c r="CH65" i="99" s="1"/>
  <c r="CI65" i="99" s="1"/>
  <c r="CJ65" i="99" s="1"/>
  <c r="CK65" i="99" s="1"/>
  <c r="CG53" i="99"/>
  <c r="CH53" i="99" s="1"/>
  <c r="CI53" i="99" s="1"/>
  <c r="CJ53" i="99" s="1"/>
  <c r="CK53" i="99" s="1"/>
  <c r="CG42" i="99"/>
  <c r="CH42" i="99" s="1"/>
  <c r="CI42" i="99" s="1"/>
  <c r="CJ42" i="99" s="1"/>
  <c r="CK42" i="99" s="1"/>
  <c r="CG40" i="99"/>
  <c r="CH40" i="99" s="1"/>
  <c r="CI40" i="99" s="1"/>
  <c r="CJ40" i="99" s="1"/>
  <c r="CK40" i="99" s="1"/>
  <c r="CG27" i="99"/>
  <c r="CH27" i="99" s="1"/>
  <c r="CI27" i="99" s="1"/>
  <c r="CJ27" i="99" s="1"/>
  <c r="CK27" i="99" s="1"/>
  <c r="CG47" i="99"/>
  <c r="CH47" i="99" s="1"/>
  <c r="CI47" i="99" s="1"/>
  <c r="CJ47" i="99" s="1"/>
  <c r="CK47" i="99" s="1"/>
  <c r="CG54" i="99"/>
  <c r="CH54" i="99" s="1"/>
  <c r="CI54" i="99" s="1"/>
  <c r="CJ54" i="99" s="1"/>
  <c r="CK54" i="99" s="1"/>
  <c r="CG87" i="99"/>
  <c r="CH87" i="99" s="1"/>
  <c r="CI87" i="99" s="1"/>
  <c r="CJ87" i="99" s="1"/>
  <c r="CK87" i="99" s="1"/>
  <c r="CG55" i="99"/>
  <c r="CH55" i="99" s="1"/>
  <c r="CI55" i="99" s="1"/>
  <c r="CJ55" i="99" s="1"/>
  <c r="CK55" i="99" s="1"/>
  <c r="CG48" i="99"/>
  <c r="CH48" i="99" s="1"/>
  <c r="CI48" i="99" s="1"/>
  <c r="CJ48" i="99" s="1"/>
  <c r="CK48" i="99" s="1"/>
  <c r="CG43" i="99"/>
  <c r="CH43" i="99" s="1"/>
  <c r="CI43" i="99" s="1"/>
  <c r="CJ43" i="99" s="1"/>
  <c r="CK43" i="99" s="1"/>
  <c r="CG41" i="99"/>
  <c r="CH41" i="99" s="1"/>
  <c r="CI41" i="99" s="1"/>
  <c r="CJ41" i="99" s="1"/>
  <c r="CK41" i="99" s="1"/>
  <c r="CG26" i="99"/>
  <c r="CH26" i="99" s="1"/>
  <c r="CI26" i="99" s="1"/>
  <c r="CJ26" i="99" s="1"/>
  <c r="CK26" i="99" s="1"/>
  <c r="CG62" i="99"/>
  <c r="CH62" i="99" s="1"/>
  <c r="CI62" i="99" s="1"/>
  <c r="CJ62" i="99" s="1"/>
  <c r="CK62" i="99" s="1"/>
  <c r="CG61" i="99"/>
  <c r="CH61" i="99" s="1"/>
  <c r="CI61" i="99" s="1"/>
  <c r="CJ61" i="99" s="1"/>
  <c r="CK61" i="99" s="1"/>
  <c r="CG22" i="99"/>
  <c r="CH22" i="99" s="1"/>
  <c r="CI22" i="99" s="1"/>
  <c r="CJ22" i="99" s="1"/>
  <c r="CK22" i="99" s="1"/>
  <c r="CG20" i="99"/>
  <c r="CH20" i="99" s="1"/>
  <c r="CI20" i="99" s="1"/>
  <c r="CJ20" i="99" s="1"/>
  <c r="CK20" i="99" s="1"/>
  <c r="CG9" i="99"/>
  <c r="CH9" i="99" s="1"/>
  <c r="CI9" i="99" s="1"/>
  <c r="CJ9" i="99" s="1"/>
  <c r="CG56" i="99"/>
  <c r="CH56" i="99" s="1"/>
  <c r="CI56" i="99" s="1"/>
  <c r="CJ56" i="99" s="1"/>
  <c r="CK56" i="99" s="1"/>
  <c r="CG49" i="99"/>
  <c r="CH49" i="99" s="1"/>
  <c r="CI49" i="99" s="1"/>
  <c r="CJ49" i="99" s="1"/>
  <c r="CK49" i="99" s="1"/>
  <c r="CG34" i="99"/>
  <c r="CH34" i="99" s="1"/>
  <c r="CI34" i="99" s="1"/>
  <c r="CJ34" i="99" s="1"/>
  <c r="CK34" i="99" s="1"/>
  <c r="CG33" i="99"/>
  <c r="CH33" i="99" s="1"/>
  <c r="CI33" i="99" s="1"/>
  <c r="CJ33" i="99" s="1"/>
  <c r="CK33" i="99" s="1"/>
  <c r="CG13" i="99"/>
  <c r="CH13" i="99" s="1"/>
  <c r="CI13" i="99" s="1"/>
  <c r="CJ13" i="99" s="1"/>
  <c r="CK13" i="99" s="1"/>
  <c r="CG25" i="99"/>
  <c r="CH25" i="99" s="1"/>
  <c r="CI25" i="99" s="1"/>
  <c r="CJ25" i="99" s="1"/>
  <c r="CK25" i="99" s="1"/>
  <c r="CG36" i="99"/>
  <c r="CH36" i="99" s="1"/>
  <c r="CI36" i="99" s="1"/>
  <c r="CJ36" i="99" s="1"/>
  <c r="CK36" i="99" s="1"/>
  <c r="CG35" i="99"/>
  <c r="CH35" i="99" s="1"/>
  <c r="CI35" i="99" s="1"/>
  <c r="CJ35" i="99" s="1"/>
  <c r="CK35" i="99" s="1"/>
  <c r="CG32" i="99"/>
  <c r="CH32" i="99" s="1"/>
  <c r="CI32" i="99" s="1"/>
  <c r="CJ32" i="99" s="1"/>
  <c r="CK32" i="99" s="1"/>
  <c r="CG10" i="99"/>
  <c r="CH10" i="99" s="1"/>
  <c r="CI10" i="99" s="1"/>
  <c r="CJ10" i="99" s="1"/>
  <c r="CK10" i="99" s="1"/>
  <c r="CG78" i="99"/>
  <c r="CH78" i="99" s="1"/>
  <c r="CI78" i="99" s="1"/>
  <c r="CJ78" i="99" s="1"/>
  <c r="CK78" i="99" s="1"/>
  <c r="CG12" i="99"/>
  <c r="CH12" i="99" s="1"/>
  <c r="CI12" i="99" s="1"/>
  <c r="CJ12" i="99" s="1"/>
  <c r="CK12" i="99" s="1"/>
  <c r="CG39" i="99"/>
  <c r="CH39" i="99" s="1"/>
  <c r="CI39" i="99" s="1"/>
  <c r="CJ39" i="99" s="1"/>
  <c r="CK39" i="99" s="1"/>
  <c r="CG80" i="99"/>
  <c r="CH80" i="99" s="1"/>
  <c r="CI80" i="99" s="1"/>
  <c r="CJ80" i="99" s="1"/>
  <c r="CK80" i="99" s="1"/>
  <c r="CG19" i="99"/>
  <c r="CH19" i="99" s="1"/>
  <c r="CI19" i="99" s="1"/>
  <c r="CJ19" i="99" s="1"/>
  <c r="CK19" i="99" s="1"/>
  <c r="CG17" i="99"/>
  <c r="CH17" i="99" s="1"/>
  <c r="CI17" i="99" s="1"/>
  <c r="CJ17" i="99" s="1"/>
  <c r="CK17" i="99" s="1"/>
  <c r="CG28" i="99"/>
  <c r="CH28" i="99" s="1"/>
  <c r="CI28" i="99" s="1"/>
  <c r="CJ28" i="99" s="1"/>
  <c r="CK28" i="99" s="1"/>
  <c r="CG70" i="99"/>
  <c r="CH70" i="99" s="1"/>
  <c r="CI70" i="99" s="1"/>
  <c r="CJ70" i="99" s="1"/>
  <c r="CK70" i="99" s="1"/>
  <c r="CG103" i="99"/>
  <c r="CH103" i="99" s="1"/>
  <c r="CI103" i="99" s="1"/>
  <c r="CJ103" i="99" s="1"/>
  <c r="CK103" i="99" s="1"/>
  <c r="CG23" i="99"/>
  <c r="CH23" i="99" s="1"/>
  <c r="CI23" i="99" s="1"/>
  <c r="CJ23" i="99" s="1"/>
  <c r="CK23" i="99" s="1"/>
  <c r="CG11" i="99"/>
  <c r="CH11" i="99" s="1"/>
  <c r="CI11" i="99" s="1"/>
  <c r="CJ11" i="99" s="1"/>
  <c r="CK11" i="99" s="1"/>
  <c r="CG15" i="99"/>
  <c r="CH15" i="99" s="1"/>
  <c r="CI15" i="99" s="1"/>
  <c r="CJ15" i="99" s="1"/>
  <c r="CK15" i="99" s="1"/>
  <c r="CG98" i="99"/>
  <c r="CH98" i="99" s="1"/>
  <c r="CI98" i="99" s="1"/>
  <c r="CJ98" i="99" s="1"/>
  <c r="CK98" i="99" s="1"/>
  <c r="CG18" i="99"/>
  <c r="CH18" i="99" s="1"/>
  <c r="CI18" i="99" s="1"/>
  <c r="CJ18" i="99" s="1"/>
  <c r="CK18" i="99" s="1"/>
  <c r="CG83" i="99"/>
  <c r="CH83" i="99" s="1"/>
  <c r="CI83" i="99" s="1"/>
  <c r="CJ83" i="99" s="1"/>
  <c r="CK83" i="99" s="1"/>
  <c r="CG24" i="99"/>
  <c r="CH24" i="99" s="1"/>
  <c r="CI24" i="99" s="1"/>
  <c r="CJ24" i="99" s="1"/>
  <c r="CK24" i="99" s="1"/>
  <c r="CG69" i="99"/>
  <c r="CH69" i="99" s="1"/>
  <c r="CI69" i="99" s="1"/>
  <c r="CJ69" i="99" s="1"/>
  <c r="CK69" i="99" s="1"/>
  <c r="CG52" i="99"/>
  <c r="CH52" i="99" s="1"/>
  <c r="CI52" i="99" s="1"/>
  <c r="CJ52" i="99" s="1"/>
  <c r="CK52" i="99" s="1"/>
  <c r="CG90" i="99"/>
  <c r="CH90" i="99" s="1"/>
  <c r="CI90" i="99" s="1"/>
  <c r="CJ90" i="99" s="1"/>
  <c r="CK90" i="99" s="1"/>
  <c r="CG95" i="99"/>
  <c r="CH95" i="99" s="1"/>
  <c r="CI95" i="99" s="1"/>
  <c r="CJ95" i="99" s="1"/>
  <c r="CK95" i="99" s="1"/>
  <c r="CG30" i="99"/>
  <c r="CH30" i="99" s="1"/>
  <c r="CI30" i="99" s="1"/>
  <c r="CJ30" i="99" s="1"/>
  <c r="CK30" i="99" s="1"/>
  <c r="CG38" i="99"/>
  <c r="CH38" i="99" s="1"/>
  <c r="CI38" i="99" s="1"/>
  <c r="CJ38" i="99" s="1"/>
  <c r="CK38" i="99" s="1"/>
  <c r="CG31" i="99"/>
  <c r="CH31" i="99" s="1"/>
  <c r="CI31" i="99" s="1"/>
  <c r="CJ31" i="99" s="1"/>
  <c r="CK31" i="99" s="1"/>
  <c r="CG50" i="99"/>
  <c r="CH50" i="99" s="1"/>
  <c r="CI50" i="99" s="1"/>
  <c r="CJ50" i="99" s="1"/>
  <c r="CK50" i="99" s="1"/>
  <c r="CG89" i="99"/>
  <c r="CH89" i="99" s="1"/>
  <c r="CI89" i="99" s="1"/>
  <c r="CJ89" i="99" s="1"/>
  <c r="CK89" i="99" s="1"/>
  <c r="CG37" i="99"/>
  <c r="CH37" i="99" s="1"/>
  <c r="CI37" i="99" s="1"/>
  <c r="CJ37" i="99" s="1"/>
  <c r="CK37" i="99" s="1"/>
  <c r="CG57" i="99"/>
  <c r="CH57" i="99" s="1"/>
  <c r="CI57" i="99" s="1"/>
  <c r="CJ57" i="99" s="1"/>
  <c r="CK57" i="99" s="1"/>
  <c r="CG60" i="99"/>
  <c r="CH60" i="99" s="1"/>
  <c r="CI60" i="99" s="1"/>
  <c r="CJ60" i="99" s="1"/>
  <c r="CK60" i="99" s="1"/>
  <c r="CG72" i="99"/>
  <c r="CH72" i="99" s="1"/>
  <c r="CI72" i="99" s="1"/>
  <c r="CJ72" i="99" s="1"/>
  <c r="CK72" i="99" s="1"/>
  <c r="CG81" i="99"/>
  <c r="CH81" i="99" s="1"/>
  <c r="CI81" i="99" s="1"/>
  <c r="CJ81" i="99" s="1"/>
  <c r="CK81" i="99" s="1"/>
  <c r="CG101" i="99"/>
  <c r="CH101" i="99" s="1"/>
  <c r="CI101" i="99" s="1"/>
  <c r="CJ101" i="99" s="1"/>
  <c r="CK101" i="99" s="1"/>
  <c r="CG45" i="99"/>
  <c r="CH45" i="99" s="1"/>
  <c r="CI45" i="99" s="1"/>
  <c r="CJ45" i="99" s="1"/>
  <c r="CK45" i="99" s="1"/>
  <c r="CG51" i="99"/>
  <c r="CH51" i="99" s="1"/>
  <c r="CI51" i="99" s="1"/>
  <c r="CJ51" i="99" s="1"/>
  <c r="CK51" i="99" s="1"/>
  <c r="CG79" i="99"/>
  <c r="CH79" i="99" s="1"/>
  <c r="CI79" i="99" s="1"/>
  <c r="CJ79" i="99" s="1"/>
  <c r="CK79" i="99" s="1"/>
  <c r="CG21" i="99"/>
  <c r="CH21" i="99" s="1"/>
  <c r="CI21" i="99" s="1"/>
  <c r="CJ21" i="99" s="1"/>
  <c r="CK21" i="99" s="1"/>
  <c r="CG68" i="99"/>
  <c r="CH68" i="99" s="1"/>
  <c r="CI68" i="99" s="1"/>
  <c r="CJ68" i="99" s="1"/>
  <c r="CK68" i="99" s="1"/>
  <c r="CG86" i="99"/>
  <c r="CH86" i="99" s="1"/>
  <c r="CI86" i="99" s="1"/>
  <c r="CJ86" i="99" s="1"/>
  <c r="CK86" i="99" s="1"/>
  <c r="CG91" i="99"/>
  <c r="CH91" i="99" s="1"/>
  <c r="CI91" i="99" s="1"/>
  <c r="CJ91" i="99" s="1"/>
  <c r="CK91" i="99" s="1"/>
  <c r="CG14" i="99"/>
  <c r="CH14" i="99" s="1"/>
  <c r="CI14" i="99" s="1"/>
  <c r="CJ14" i="99" s="1"/>
  <c r="CK14" i="99" s="1"/>
  <c r="CG58" i="99"/>
  <c r="CH58" i="99" s="1"/>
  <c r="CI58" i="99" s="1"/>
  <c r="CJ58" i="99" s="1"/>
  <c r="CK58" i="99" s="1"/>
  <c r="CG66" i="99"/>
  <c r="CH66" i="99" s="1"/>
  <c r="CI66" i="99" s="1"/>
  <c r="CJ66" i="99" s="1"/>
  <c r="CK66" i="99" s="1"/>
  <c r="CG59" i="99"/>
  <c r="CH59" i="99" s="1"/>
  <c r="CI59" i="99" s="1"/>
  <c r="CJ59" i="99" s="1"/>
  <c r="CK59" i="99" s="1"/>
  <c r="CG46" i="99"/>
  <c r="CH46" i="99" s="1"/>
  <c r="CI46" i="99" s="1"/>
  <c r="CJ46" i="99" s="1"/>
  <c r="CK46" i="99" s="1"/>
  <c r="CG29" i="99"/>
  <c r="CH29" i="99" s="1"/>
  <c r="CI29" i="99" s="1"/>
  <c r="CJ29" i="99" s="1"/>
  <c r="CK29" i="99" s="1"/>
  <c r="CG63" i="99"/>
  <c r="CH63" i="99" s="1"/>
  <c r="CI63" i="99" s="1"/>
  <c r="CJ63" i="99" s="1"/>
  <c r="CK63" i="99" s="1"/>
  <c r="CG67" i="99"/>
  <c r="CH67" i="99" s="1"/>
  <c r="CI67" i="99" s="1"/>
  <c r="CJ67" i="99" s="1"/>
  <c r="CK67" i="99" s="1"/>
  <c r="CG74" i="99"/>
  <c r="CH74" i="99" s="1"/>
  <c r="CI74" i="99" s="1"/>
  <c r="CJ74" i="99" s="1"/>
  <c r="CK74" i="99" s="1"/>
  <c r="CG64" i="99"/>
  <c r="CH64" i="99" s="1"/>
  <c r="CI64" i="99" s="1"/>
  <c r="CJ64" i="99" s="1"/>
  <c r="CK64" i="99" s="1"/>
  <c r="CG76" i="99"/>
  <c r="CH76" i="99" s="1"/>
  <c r="CI76" i="99" s="1"/>
  <c r="CJ76" i="99" s="1"/>
  <c r="CK76" i="99" s="1"/>
  <c r="CG82" i="99"/>
  <c r="CH82" i="99" s="1"/>
  <c r="CI82" i="99" s="1"/>
  <c r="CJ82" i="99" s="1"/>
  <c r="CK82" i="99" s="1"/>
  <c r="CG16" i="99"/>
  <c r="CH16" i="99" s="1"/>
  <c r="CI16" i="99" s="1"/>
  <c r="CJ16" i="99" s="1"/>
  <c r="CK16" i="99" s="1"/>
  <c r="CG105" i="99"/>
  <c r="CH105" i="99" s="1"/>
  <c r="CI105" i="99" s="1"/>
  <c r="CJ105" i="99" s="1"/>
  <c r="CK105" i="99" s="1"/>
  <c r="CG108" i="99"/>
  <c r="CH108" i="99" s="1"/>
  <c r="CI108" i="99" s="1"/>
  <c r="CJ108" i="99" s="1"/>
  <c r="CK108" i="99" s="1"/>
  <c r="CG107" i="99"/>
  <c r="CH107" i="99" s="1"/>
  <c r="CI107" i="99" s="1"/>
  <c r="CJ107" i="99" s="1"/>
  <c r="CK107" i="99" s="1"/>
  <c r="CG97" i="99"/>
  <c r="CH97" i="99" s="1"/>
  <c r="CI97" i="99" s="1"/>
  <c r="CJ97" i="99" s="1"/>
  <c r="CK97" i="99" s="1"/>
  <c r="CG99" i="99"/>
  <c r="CH99" i="99" s="1"/>
  <c r="CI99" i="99" s="1"/>
  <c r="CJ99" i="99" s="1"/>
  <c r="CK99" i="99" s="1"/>
  <c r="GE93" i="99"/>
  <c r="GF93" i="99" s="1"/>
  <c r="GG93" i="99" s="1"/>
  <c r="GH93" i="99" s="1"/>
  <c r="GI93" i="99" s="1"/>
  <c r="GE91" i="99"/>
  <c r="GF91" i="99" s="1"/>
  <c r="GG91" i="99" s="1"/>
  <c r="GH91" i="99" s="1"/>
  <c r="GI91" i="99" s="1"/>
  <c r="GE84" i="99"/>
  <c r="GF84" i="99" s="1"/>
  <c r="GG84" i="99" s="1"/>
  <c r="GH84" i="99" s="1"/>
  <c r="GI84" i="99" s="1"/>
  <c r="GE83" i="99"/>
  <c r="GF83" i="99" s="1"/>
  <c r="GG83" i="99" s="1"/>
  <c r="GH83" i="99" s="1"/>
  <c r="GI83" i="99" s="1"/>
  <c r="GE47" i="99"/>
  <c r="GF47" i="99" s="1"/>
  <c r="GG47" i="99" s="1"/>
  <c r="GH47" i="99" s="1"/>
  <c r="GI47" i="99" s="1"/>
  <c r="GE94" i="99"/>
  <c r="GF94" i="99" s="1"/>
  <c r="GG94" i="99" s="1"/>
  <c r="GH94" i="99" s="1"/>
  <c r="GI94" i="99" s="1"/>
  <c r="GE63" i="99"/>
  <c r="GF63" i="99" s="1"/>
  <c r="GG63" i="99" s="1"/>
  <c r="GH63" i="99" s="1"/>
  <c r="GI63" i="99" s="1"/>
  <c r="GE54" i="99"/>
  <c r="GF54" i="99" s="1"/>
  <c r="GG54" i="99" s="1"/>
  <c r="GH54" i="99" s="1"/>
  <c r="GI54" i="99" s="1"/>
  <c r="GE50" i="99"/>
  <c r="GF50" i="99" s="1"/>
  <c r="GG50" i="99" s="1"/>
  <c r="GH50" i="99" s="1"/>
  <c r="GI50" i="99" s="1"/>
  <c r="GE62" i="99"/>
  <c r="GF62" i="99" s="1"/>
  <c r="GG62" i="99" s="1"/>
  <c r="GH62" i="99" s="1"/>
  <c r="GI62" i="99" s="1"/>
  <c r="GE40" i="99"/>
  <c r="GF40" i="99" s="1"/>
  <c r="GG40" i="99" s="1"/>
  <c r="GH40" i="99" s="1"/>
  <c r="GI40" i="99" s="1"/>
  <c r="GE25" i="99"/>
  <c r="GF25" i="99" s="1"/>
  <c r="GG25" i="99" s="1"/>
  <c r="GH25" i="99" s="1"/>
  <c r="GI25" i="99" s="1"/>
  <c r="GE42" i="99"/>
  <c r="GF42" i="99" s="1"/>
  <c r="GG42" i="99" s="1"/>
  <c r="GH42" i="99" s="1"/>
  <c r="GI42" i="99" s="1"/>
  <c r="GE34" i="99"/>
  <c r="GF34" i="99" s="1"/>
  <c r="GG34" i="99" s="1"/>
  <c r="GH34" i="99" s="1"/>
  <c r="GI34" i="99" s="1"/>
  <c r="GE61" i="99"/>
  <c r="GF61" i="99" s="1"/>
  <c r="GG61" i="99" s="1"/>
  <c r="GH61" i="99" s="1"/>
  <c r="GI61" i="99" s="1"/>
  <c r="GE39" i="99"/>
  <c r="GF39" i="99" s="1"/>
  <c r="GG39" i="99" s="1"/>
  <c r="GH39" i="99" s="1"/>
  <c r="GI39" i="99" s="1"/>
  <c r="GE41" i="99"/>
  <c r="GF41" i="99" s="1"/>
  <c r="GG41" i="99" s="1"/>
  <c r="GH41" i="99" s="1"/>
  <c r="GI41" i="99" s="1"/>
  <c r="GE23" i="99"/>
  <c r="GF23" i="99" s="1"/>
  <c r="GG23" i="99" s="1"/>
  <c r="GH23" i="99" s="1"/>
  <c r="GI23" i="99" s="1"/>
  <c r="GE60" i="99"/>
  <c r="GF60" i="99" s="1"/>
  <c r="GG60" i="99" s="1"/>
  <c r="GH60" i="99" s="1"/>
  <c r="GI60" i="99" s="1"/>
  <c r="GE90" i="99"/>
  <c r="GF90" i="99" s="1"/>
  <c r="GG90" i="99" s="1"/>
  <c r="GH90" i="99" s="1"/>
  <c r="GI90" i="99" s="1"/>
  <c r="GE74" i="99"/>
  <c r="GF74" i="99" s="1"/>
  <c r="GG74" i="99" s="1"/>
  <c r="GH74" i="99" s="1"/>
  <c r="GI74" i="99" s="1"/>
  <c r="GE32" i="99"/>
  <c r="GF32" i="99" s="1"/>
  <c r="GG32" i="99" s="1"/>
  <c r="GH32" i="99" s="1"/>
  <c r="GI32" i="99" s="1"/>
  <c r="GE18" i="99"/>
  <c r="GF18" i="99" s="1"/>
  <c r="GG18" i="99" s="1"/>
  <c r="GH18" i="99" s="1"/>
  <c r="GI18" i="99" s="1"/>
  <c r="GE24" i="99"/>
  <c r="GF24" i="99" s="1"/>
  <c r="GG24" i="99" s="1"/>
  <c r="GH24" i="99" s="1"/>
  <c r="GI24" i="99" s="1"/>
  <c r="GE31" i="99"/>
  <c r="GF31" i="99" s="1"/>
  <c r="GG31" i="99" s="1"/>
  <c r="GH31" i="99" s="1"/>
  <c r="GI31" i="99" s="1"/>
  <c r="GE17" i="99"/>
  <c r="GF17" i="99" s="1"/>
  <c r="GG17" i="99" s="1"/>
  <c r="GH17" i="99" s="1"/>
  <c r="GI17" i="99" s="1"/>
  <c r="GE55" i="99"/>
  <c r="GF55" i="99" s="1"/>
  <c r="GG55" i="99" s="1"/>
  <c r="GH55" i="99" s="1"/>
  <c r="GI55" i="99" s="1"/>
  <c r="GE73" i="99"/>
  <c r="GF73" i="99" s="1"/>
  <c r="GG73" i="99" s="1"/>
  <c r="GH73" i="99" s="1"/>
  <c r="GI73" i="99" s="1"/>
  <c r="GE10" i="99"/>
  <c r="GF10" i="99" s="1"/>
  <c r="GG10" i="99" s="1"/>
  <c r="GH10" i="99" s="1"/>
  <c r="GI10" i="99" s="1"/>
  <c r="GE98" i="99"/>
  <c r="GF98" i="99" s="1"/>
  <c r="GG98" i="99" s="1"/>
  <c r="GH98" i="99" s="1"/>
  <c r="GI98" i="99" s="1"/>
  <c r="GE65" i="99"/>
  <c r="GF65" i="99" s="1"/>
  <c r="GG65" i="99" s="1"/>
  <c r="GH65" i="99" s="1"/>
  <c r="GI65" i="99" s="1"/>
  <c r="GE70" i="99"/>
  <c r="GF70" i="99" s="1"/>
  <c r="GG70" i="99" s="1"/>
  <c r="GH70" i="99" s="1"/>
  <c r="GI70" i="99" s="1"/>
  <c r="GE26" i="99"/>
  <c r="GF26" i="99" s="1"/>
  <c r="GG26" i="99" s="1"/>
  <c r="GH26" i="99" s="1"/>
  <c r="GI26" i="99" s="1"/>
  <c r="GE52" i="99"/>
  <c r="GF52" i="99" s="1"/>
  <c r="GG52" i="99" s="1"/>
  <c r="GH52" i="99" s="1"/>
  <c r="GI52" i="99" s="1"/>
  <c r="GE92" i="99"/>
  <c r="GF92" i="99" s="1"/>
  <c r="GG92" i="99" s="1"/>
  <c r="GH92" i="99" s="1"/>
  <c r="GI92" i="99" s="1"/>
  <c r="GE33" i="99"/>
  <c r="GF33" i="99" s="1"/>
  <c r="GG33" i="99" s="1"/>
  <c r="GH33" i="99" s="1"/>
  <c r="GI33" i="99" s="1"/>
  <c r="GE15" i="99"/>
  <c r="GF15" i="99" s="1"/>
  <c r="GG15" i="99" s="1"/>
  <c r="GH15" i="99" s="1"/>
  <c r="GI15" i="99" s="1"/>
  <c r="GE85" i="99"/>
  <c r="GF85" i="99" s="1"/>
  <c r="GG85" i="99" s="1"/>
  <c r="GH85" i="99" s="1"/>
  <c r="GI85" i="99" s="1"/>
  <c r="GE9" i="99"/>
  <c r="GF9" i="99" s="1"/>
  <c r="GG9" i="99" s="1"/>
  <c r="GH9" i="99" s="1"/>
  <c r="GE59" i="99"/>
  <c r="GF59" i="99" s="1"/>
  <c r="GG59" i="99" s="1"/>
  <c r="GH59" i="99" s="1"/>
  <c r="GI59" i="99" s="1"/>
  <c r="GE69" i="99"/>
  <c r="GF69" i="99" s="1"/>
  <c r="GG69" i="99" s="1"/>
  <c r="GH69" i="99" s="1"/>
  <c r="GI69" i="99" s="1"/>
  <c r="GE53" i="99"/>
  <c r="GF53" i="99" s="1"/>
  <c r="GG53" i="99" s="1"/>
  <c r="GH53" i="99" s="1"/>
  <c r="GI53" i="99" s="1"/>
  <c r="GE82" i="99"/>
  <c r="GF82" i="99" s="1"/>
  <c r="GG82" i="99" s="1"/>
  <c r="GH82" i="99" s="1"/>
  <c r="GI82" i="99" s="1"/>
  <c r="GE86" i="99"/>
  <c r="GF86" i="99" s="1"/>
  <c r="GG86" i="99" s="1"/>
  <c r="GH86" i="99" s="1"/>
  <c r="GI86" i="99" s="1"/>
  <c r="GE28" i="99"/>
  <c r="GF28" i="99" s="1"/>
  <c r="GG28" i="99" s="1"/>
  <c r="GH28" i="99" s="1"/>
  <c r="GI28" i="99" s="1"/>
  <c r="GE36" i="99"/>
  <c r="GF36" i="99" s="1"/>
  <c r="GG36" i="99" s="1"/>
  <c r="GH36" i="99" s="1"/>
  <c r="GI36" i="99" s="1"/>
  <c r="GE72" i="99"/>
  <c r="GF72" i="99" s="1"/>
  <c r="GG72" i="99" s="1"/>
  <c r="GH72" i="99" s="1"/>
  <c r="GI72" i="99" s="1"/>
  <c r="GE79" i="99"/>
  <c r="GF79" i="99" s="1"/>
  <c r="GG79" i="99" s="1"/>
  <c r="GH79" i="99" s="1"/>
  <c r="GI79" i="99" s="1"/>
  <c r="GE81" i="99"/>
  <c r="GF81" i="99" s="1"/>
  <c r="GG81" i="99" s="1"/>
  <c r="GH81" i="99" s="1"/>
  <c r="GI81" i="99" s="1"/>
  <c r="GE87" i="99"/>
  <c r="GF87" i="99" s="1"/>
  <c r="GG87" i="99" s="1"/>
  <c r="GH87" i="99" s="1"/>
  <c r="GI87" i="99" s="1"/>
  <c r="GE29" i="99"/>
  <c r="GF29" i="99" s="1"/>
  <c r="GG29" i="99" s="1"/>
  <c r="GH29" i="99" s="1"/>
  <c r="GI29" i="99" s="1"/>
  <c r="GE30" i="99"/>
  <c r="GF30" i="99" s="1"/>
  <c r="GG30" i="99" s="1"/>
  <c r="GH30" i="99" s="1"/>
  <c r="GI30" i="99" s="1"/>
  <c r="GE58" i="99"/>
  <c r="GF58" i="99" s="1"/>
  <c r="GG58" i="99" s="1"/>
  <c r="GH58" i="99" s="1"/>
  <c r="GI58" i="99" s="1"/>
  <c r="GE76" i="99"/>
  <c r="GF76" i="99" s="1"/>
  <c r="GG76" i="99" s="1"/>
  <c r="GH76" i="99" s="1"/>
  <c r="GI76" i="99" s="1"/>
  <c r="GE46" i="99"/>
  <c r="GF46" i="99" s="1"/>
  <c r="GG46" i="99" s="1"/>
  <c r="GH46" i="99" s="1"/>
  <c r="GI46" i="99" s="1"/>
  <c r="GE13" i="99"/>
  <c r="GF13" i="99" s="1"/>
  <c r="GG13" i="99" s="1"/>
  <c r="GH13" i="99" s="1"/>
  <c r="GI13" i="99" s="1"/>
  <c r="GE14" i="99"/>
  <c r="GF14" i="99" s="1"/>
  <c r="GG14" i="99" s="1"/>
  <c r="GH14" i="99" s="1"/>
  <c r="GI14" i="99" s="1"/>
  <c r="GE38" i="99"/>
  <c r="GF38" i="99" s="1"/>
  <c r="GG38" i="99" s="1"/>
  <c r="GH38" i="99" s="1"/>
  <c r="GI38" i="99" s="1"/>
  <c r="GE16" i="99"/>
  <c r="GF16" i="99" s="1"/>
  <c r="GG16" i="99" s="1"/>
  <c r="GH16" i="99" s="1"/>
  <c r="GI16" i="99" s="1"/>
  <c r="GE102" i="99"/>
  <c r="GF102" i="99" s="1"/>
  <c r="GG102" i="99" s="1"/>
  <c r="GH102" i="99" s="1"/>
  <c r="GI102" i="99" s="1"/>
  <c r="GE96" i="99"/>
  <c r="GF96" i="99" s="1"/>
  <c r="GG96" i="99" s="1"/>
  <c r="GH96" i="99" s="1"/>
  <c r="GI96" i="99" s="1"/>
  <c r="GE97" i="99"/>
  <c r="GF97" i="99" s="1"/>
  <c r="GG97" i="99" s="1"/>
  <c r="GH97" i="99" s="1"/>
  <c r="GI97" i="99" s="1"/>
  <c r="GE99" i="99"/>
  <c r="GF99" i="99" s="1"/>
  <c r="GG99" i="99" s="1"/>
  <c r="GH99" i="99" s="1"/>
  <c r="GI99" i="99" s="1"/>
  <c r="GE11" i="99"/>
  <c r="GF11" i="99" s="1"/>
  <c r="GG11" i="99" s="1"/>
  <c r="GH11" i="99" s="1"/>
  <c r="GI11" i="99" s="1"/>
  <c r="GE20" i="99"/>
  <c r="GF20" i="99" s="1"/>
  <c r="GG20" i="99" s="1"/>
  <c r="GH20" i="99" s="1"/>
  <c r="GI20" i="99" s="1"/>
  <c r="GE56" i="99"/>
  <c r="GF56" i="99" s="1"/>
  <c r="GG56" i="99" s="1"/>
  <c r="GH56" i="99" s="1"/>
  <c r="GI56" i="99" s="1"/>
  <c r="GE44" i="99"/>
  <c r="GF44" i="99" s="1"/>
  <c r="GG44" i="99" s="1"/>
  <c r="GH44" i="99" s="1"/>
  <c r="GI44" i="99" s="1"/>
  <c r="GE48" i="99"/>
  <c r="GF48" i="99" s="1"/>
  <c r="GG48" i="99" s="1"/>
  <c r="GH48" i="99" s="1"/>
  <c r="GI48" i="99" s="1"/>
  <c r="GE68" i="99"/>
  <c r="GF68" i="99" s="1"/>
  <c r="GG68" i="99" s="1"/>
  <c r="GH68" i="99" s="1"/>
  <c r="GI68" i="99" s="1"/>
  <c r="GE89" i="99"/>
  <c r="GF89" i="99" s="1"/>
  <c r="GG89" i="99" s="1"/>
  <c r="GH89" i="99" s="1"/>
  <c r="GI89" i="99" s="1"/>
  <c r="GE100" i="99"/>
  <c r="GF100" i="99" s="1"/>
  <c r="GG100" i="99" s="1"/>
  <c r="GH100" i="99" s="1"/>
  <c r="GI100" i="99" s="1"/>
  <c r="GE104" i="99"/>
  <c r="GF104" i="99" s="1"/>
  <c r="GG104" i="99" s="1"/>
  <c r="GH104" i="99" s="1"/>
  <c r="GI104" i="99" s="1"/>
  <c r="GE37" i="99"/>
  <c r="GF37" i="99" s="1"/>
  <c r="GG37" i="99" s="1"/>
  <c r="GH37" i="99" s="1"/>
  <c r="GI37" i="99" s="1"/>
  <c r="GE57" i="99"/>
  <c r="GF57" i="99" s="1"/>
  <c r="GG57" i="99" s="1"/>
  <c r="GH57" i="99" s="1"/>
  <c r="GI57" i="99" s="1"/>
  <c r="GE35" i="99"/>
  <c r="GF35" i="99" s="1"/>
  <c r="GG35" i="99" s="1"/>
  <c r="GH35" i="99" s="1"/>
  <c r="GI35" i="99" s="1"/>
  <c r="GE66" i="99"/>
  <c r="GF66" i="99" s="1"/>
  <c r="GG66" i="99" s="1"/>
  <c r="GH66" i="99" s="1"/>
  <c r="GI66" i="99" s="1"/>
  <c r="GE71" i="99"/>
  <c r="GF71" i="99" s="1"/>
  <c r="GG71" i="99" s="1"/>
  <c r="GH71" i="99" s="1"/>
  <c r="GI71" i="99" s="1"/>
  <c r="GE75" i="99"/>
  <c r="GF75" i="99" s="1"/>
  <c r="GG75" i="99" s="1"/>
  <c r="GH75" i="99" s="1"/>
  <c r="GI75" i="99" s="1"/>
  <c r="GE108" i="99"/>
  <c r="GF108" i="99" s="1"/>
  <c r="GG108" i="99" s="1"/>
  <c r="GH108" i="99" s="1"/>
  <c r="GI108" i="99" s="1"/>
  <c r="GE19" i="99"/>
  <c r="GF19" i="99" s="1"/>
  <c r="GG19" i="99" s="1"/>
  <c r="GH19" i="99" s="1"/>
  <c r="GI19" i="99" s="1"/>
  <c r="GE27" i="99"/>
  <c r="GF27" i="99" s="1"/>
  <c r="GG27" i="99" s="1"/>
  <c r="GH27" i="99" s="1"/>
  <c r="GI27" i="99" s="1"/>
  <c r="GE45" i="99"/>
  <c r="GF45" i="99" s="1"/>
  <c r="GG45" i="99" s="1"/>
  <c r="GH45" i="99" s="1"/>
  <c r="GI45" i="99" s="1"/>
  <c r="GE12" i="99"/>
  <c r="GF12" i="99" s="1"/>
  <c r="GG12" i="99" s="1"/>
  <c r="GH12" i="99" s="1"/>
  <c r="GI12" i="99" s="1"/>
  <c r="GE49" i="99"/>
  <c r="GF49" i="99" s="1"/>
  <c r="GG49" i="99" s="1"/>
  <c r="GH49" i="99" s="1"/>
  <c r="GI49" i="99" s="1"/>
  <c r="GE78" i="99"/>
  <c r="GF78" i="99" s="1"/>
  <c r="GG78" i="99" s="1"/>
  <c r="GH78" i="99" s="1"/>
  <c r="GI78" i="99" s="1"/>
  <c r="GE80" i="99"/>
  <c r="GF80" i="99" s="1"/>
  <c r="GG80" i="99" s="1"/>
  <c r="GH80" i="99" s="1"/>
  <c r="GI80" i="99" s="1"/>
  <c r="GE77" i="99"/>
  <c r="GF77" i="99" s="1"/>
  <c r="GG77" i="99" s="1"/>
  <c r="GH77" i="99" s="1"/>
  <c r="GI77" i="99" s="1"/>
  <c r="GE21" i="99"/>
  <c r="GF21" i="99" s="1"/>
  <c r="GG21" i="99" s="1"/>
  <c r="GH21" i="99" s="1"/>
  <c r="GI21" i="99" s="1"/>
  <c r="GE22" i="99"/>
  <c r="GF22" i="99" s="1"/>
  <c r="GG22" i="99" s="1"/>
  <c r="GH22" i="99" s="1"/>
  <c r="GI22" i="99" s="1"/>
  <c r="GE64" i="99"/>
  <c r="GF64" i="99" s="1"/>
  <c r="GG64" i="99" s="1"/>
  <c r="GH64" i="99" s="1"/>
  <c r="GI64" i="99" s="1"/>
  <c r="GE43" i="99"/>
  <c r="GF43" i="99" s="1"/>
  <c r="GG43" i="99" s="1"/>
  <c r="GH43" i="99" s="1"/>
  <c r="GI43" i="99" s="1"/>
  <c r="GE51" i="99"/>
  <c r="GF51" i="99" s="1"/>
  <c r="GG51" i="99" s="1"/>
  <c r="GH51" i="99" s="1"/>
  <c r="GI51" i="99" s="1"/>
  <c r="GE67" i="99"/>
  <c r="GF67" i="99" s="1"/>
  <c r="GG67" i="99" s="1"/>
  <c r="GH67" i="99" s="1"/>
  <c r="GI67" i="99" s="1"/>
  <c r="GE106" i="99"/>
  <c r="GF106" i="99" s="1"/>
  <c r="GG106" i="99" s="1"/>
  <c r="GH106" i="99" s="1"/>
  <c r="GI106" i="99" s="1"/>
  <c r="GE105" i="99"/>
  <c r="GF105" i="99" s="1"/>
  <c r="GG105" i="99" s="1"/>
  <c r="GH105" i="99" s="1"/>
  <c r="GI105" i="99" s="1"/>
  <c r="GE103" i="99"/>
  <c r="GF103" i="99" s="1"/>
  <c r="GG103" i="99" s="1"/>
  <c r="GH103" i="99" s="1"/>
  <c r="GI103" i="99" s="1"/>
  <c r="GE107" i="99"/>
  <c r="GF107" i="99" s="1"/>
  <c r="GG107" i="99" s="1"/>
  <c r="GH107" i="99" s="1"/>
  <c r="GI107" i="99" s="1"/>
  <c r="GE88" i="99"/>
  <c r="GF88" i="99" s="1"/>
  <c r="GG88" i="99" s="1"/>
  <c r="GH88" i="99" s="1"/>
  <c r="GI88" i="99" s="1"/>
  <c r="GE101" i="99"/>
  <c r="GF101" i="99" s="1"/>
  <c r="GG101" i="99" s="1"/>
  <c r="GH101" i="99" s="1"/>
  <c r="GI101" i="99" s="1"/>
  <c r="GE95" i="99"/>
  <c r="GF95" i="99" s="1"/>
  <c r="GG95" i="99" s="1"/>
  <c r="GH95" i="99" s="1"/>
  <c r="GI95" i="99" s="1"/>
  <c r="DK88" i="99"/>
  <c r="DL88" i="99" s="1"/>
  <c r="DM88" i="99" s="1"/>
  <c r="DN88" i="99" s="1"/>
  <c r="DO88" i="99" s="1"/>
  <c r="DK65" i="99"/>
  <c r="DL65" i="99" s="1"/>
  <c r="DM65" i="99" s="1"/>
  <c r="DN65" i="99" s="1"/>
  <c r="DO65" i="99" s="1"/>
  <c r="DK77" i="99"/>
  <c r="DL77" i="99" s="1"/>
  <c r="DM77" i="99" s="1"/>
  <c r="DN77" i="99" s="1"/>
  <c r="DO77" i="99" s="1"/>
  <c r="DK71" i="99"/>
  <c r="DL71" i="99" s="1"/>
  <c r="DM71" i="99" s="1"/>
  <c r="DN71" i="99" s="1"/>
  <c r="DO71" i="99" s="1"/>
  <c r="DK96" i="99"/>
  <c r="DL96" i="99" s="1"/>
  <c r="DM96" i="99" s="1"/>
  <c r="DN96" i="99" s="1"/>
  <c r="DO96" i="99" s="1"/>
  <c r="DK84" i="99"/>
  <c r="DL84" i="99" s="1"/>
  <c r="DM84" i="99" s="1"/>
  <c r="DN84" i="99" s="1"/>
  <c r="DO84" i="99" s="1"/>
  <c r="DK62" i="99"/>
  <c r="DL62" i="99" s="1"/>
  <c r="DM62" i="99" s="1"/>
  <c r="DN62" i="99" s="1"/>
  <c r="DO62" i="99" s="1"/>
  <c r="DK51" i="99"/>
  <c r="DL51" i="99" s="1"/>
  <c r="DM51" i="99" s="1"/>
  <c r="DN51" i="99" s="1"/>
  <c r="DO51" i="99" s="1"/>
  <c r="DK47" i="99"/>
  <c r="DL47" i="99" s="1"/>
  <c r="DM47" i="99" s="1"/>
  <c r="DN47" i="99" s="1"/>
  <c r="DO47" i="99" s="1"/>
  <c r="DK91" i="99"/>
  <c r="DL91" i="99" s="1"/>
  <c r="DM91" i="99" s="1"/>
  <c r="DN91" i="99" s="1"/>
  <c r="DO91" i="99" s="1"/>
  <c r="DK68" i="99"/>
  <c r="DL68" i="99" s="1"/>
  <c r="DM68" i="99" s="1"/>
  <c r="DN68" i="99" s="1"/>
  <c r="DO68" i="99" s="1"/>
  <c r="DK61" i="99"/>
  <c r="DL61" i="99" s="1"/>
  <c r="DM61" i="99" s="1"/>
  <c r="DN61" i="99" s="1"/>
  <c r="DO61" i="99" s="1"/>
  <c r="DK75" i="99"/>
  <c r="DL75" i="99" s="1"/>
  <c r="DM75" i="99" s="1"/>
  <c r="DN75" i="99" s="1"/>
  <c r="DO75" i="99" s="1"/>
  <c r="DK54" i="99"/>
  <c r="DL54" i="99" s="1"/>
  <c r="DM54" i="99" s="1"/>
  <c r="DN54" i="99" s="1"/>
  <c r="DO54" i="99" s="1"/>
  <c r="DK53" i="99"/>
  <c r="DL53" i="99" s="1"/>
  <c r="DM53" i="99" s="1"/>
  <c r="DN53" i="99" s="1"/>
  <c r="DO53" i="99" s="1"/>
  <c r="DK42" i="99"/>
  <c r="DL42" i="99" s="1"/>
  <c r="DM42" i="99" s="1"/>
  <c r="DN42" i="99" s="1"/>
  <c r="DO42" i="99" s="1"/>
  <c r="DK40" i="99"/>
  <c r="DL40" i="99" s="1"/>
  <c r="DM40" i="99" s="1"/>
  <c r="DN40" i="99" s="1"/>
  <c r="DO40" i="99" s="1"/>
  <c r="DK93" i="99"/>
  <c r="DL93" i="99" s="1"/>
  <c r="DM93" i="99" s="1"/>
  <c r="DN93" i="99" s="1"/>
  <c r="DO93" i="99" s="1"/>
  <c r="DK44" i="99"/>
  <c r="DL44" i="99" s="1"/>
  <c r="DM44" i="99" s="1"/>
  <c r="DN44" i="99" s="1"/>
  <c r="DO44" i="99" s="1"/>
  <c r="DK29" i="99"/>
  <c r="DL29" i="99" s="1"/>
  <c r="DM29" i="99" s="1"/>
  <c r="DN29" i="99" s="1"/>
  <c r="DO29" i="99" s="1"/>
  <c r="DK94" i="99"/>
  <c r="DL94" i="99" s="1"/>
  <c r="DM94" i="99" s="1"/>
  <c r="DN94" i="99" s="1"/>
  <c r="DO94" i="99" s="1"/>
  <c r="DK34" i="99"/>
  <c r="DL34" i="99" s="1"/>
  <c r="DM34" i="99" s="1"/>
  <c r="DN34" i="99" s="1"/>
  <c r="DO34" i="99" s="1"/>
  <c r="DK26" i="99"/>
  <c r="DL26" i="99" s="1"/>
  <c r="DM26" i="99" s="1"/>
  <c r="DN26" i="99" s="1"/>
  <c r="DO26" i="99" s="1"/>
  <c r="DK97" i="99"/>
  <c r="DL97" i="99" s="1"/>
  <c r="DM97" i="99" s="1"/>
  <c r="DN97" i="99" s="1"/>
  <c r="DO97" i="99" s="1"/>
  <c r="DK14" i="99"/>
  <c r="DL14" i="99" s="1"/>
  <c r="DM14" i="99" s="1"/>
  <c r="DN14" i="99" s="1"/>
  <c r="DO14" i="99" s="1"/>
  <c r="DK28" i="99"/>
  <c r="DL28" i="99" s="1"/>
  <c r="DM28" i="99" s="1"/>
  <c r="DN28" i="99" s="1"/>
  <c r="DO28" i="99" s="1"/>
  <c r="DK55" i="99"/>
  <c r="DL55" i="99" s="1"/>
  <c r="DM55" i="99" s="1"/>
  <c r="DN55" i="99" s="1"/>
  <c r="DO55" i="99" s="1"/>
  <c r="DK13" i="99"/>
  <c r="DL13" i="99" s="1"/>
  <c r="DM13" i="99" s="1"/>
  <c r="DN13" i="99" s="1"/>
  <c r="DO13" i="99" s="1"/>
  <c r="DK39" i="99"/>
  <c r="DL39" i="99" s="1"/>
  <c r="DM39" i="99" s="1"/>
  <c r="DN39" i="99" s="1"/>
  <c r="DO39" i="99" s="1"/>
  <c r="DK36" i="99"/>
  <c r="DL36" i="99" s="1"/>
  <c r="DM36" i="99" s="1"/>
  <c r="DN36" i="99" s="1"/>
  <c r="DO36" i="99" s="1"/>
  <c r="DK22" i="99"/>
  <c r="DL22" i="99" s="1"/>
  <c r="DM22" i="99" s="1"/>
  <c r="DN22" i="99" s="1"/>
  <c r="DO22" i="99" s="1"/>
  <c r="DK18" i="99"/>
  <c r="DL18" i="99" s="1"/>
  <c r="DM18" i="99" s="1"/>
  <c r="DN18" i="99" s="1"/>
  <c r="DO18" i="99" s="1"/>
  <c r="DK23" i="99"/>
  <c r="DL23" i="99" s="1"/>
  <c r="DM23" i="99" s="1"/>
  <c r="DN23" i="99" s="1"/>
  <c r="DO23" i="99" s="1"/>
  <c r="DK70" i="99"/>
  <c r="DL70" i="99" s="1"/>
  <c r="DM70" i="99" s="1"/>
  <c r="DN70" i="99" s="1"/>
  <c r="DO70" i="99" s="1"/>
  <c r="DK49" i="99"/>
  <c r="DL49" i="99" s="1"/>
  <c r="DM49" i="99" s="1"/>
  <c r="DN49" i="99" s="1"/>
  <c r="DO49" i="99" s="1"/>
  <c r="DK73" i="99"/>
  <c r="DL73" i="99" s="1"/>
  <c r="DM73" i="99" s="1"/>
  <c r="DN73" i="99" s="1"/>
  <c r="DO73" i="99" s="1"/>
  <c r="DK9" i="99"/>
  <c r="DL9" i="99" s="1"/>
  <c r="DM9" i="99" s="1"/>
  <c r="DN9" i="99" s="1"/>
  <c r="DK15" i="99"/>
  <c r="DL15" i="99" s="1"/>
  <c r="DM15" i="99" s="1"/>
  <c r="DN15" i="99" s="1"/>
  <c r="DO15" i="99" s="1"/>
  <c r="DK52" i="99"/>
  <c r="DL52" i="99" s="1"/>
  <c r="DM52" i="99" s="1"/>
  <c r="DN52" i="99" s="1"/>
  <c r="DO52" i="99" s="1"/>
  <c r="DK10" i="99"/>
  <c r="DL10" i="99" s="1"/>
  <c r="DM10" i="99" s="1"/>
  <c r="DN10" i="99" s="1"/>
  <c r="DO10" i="99" s="1"/>
  <c r="DK69" i="99"/>
  <c r="DL69" i="99" s="1"/>
  <c r="DM69" i="99" s="1"/>
  <c r="DN69" i="99" s="1"/>
  <c r="DO69" i="99" s="1"/>
  <c r="DK78" i="99"/>
  <c r="DL78" i="99" s="1"/>
  <c r="DM78" i="99" s="1"/>
  <c r="DN78" i="99" s="1"/>
  <c r="DO78" i="99" s="1"/>
  <c r="DK83" i="99"/>
  <c r="DL83" i="99" s="1"/>
  <c r="DM83" i="99" s="1"/>
  <c r="DN83" i="99" s="1"/>
  <c r="DO83" i="99" s="1"/>
  <c r="DK24" i="99"/>
  <c r="DL24" i="99" s="1"/>
  <c r="DM24" i="99" s="1"/>
  <c r="DN24" i="99" s="1"/>
  <c r="DO24" i="99" s="1"/>
  <c r="DK17" i="99"/>
  <c r="DL17" i="99" s="1"/>
  <c r="DM17" i="99" s="1"/>
  <c r="DN17" i="99" s="1"/>
  <c r="DO17" i="99" s="1"/>
  <c r="DK16" i="99"/>
  <c r="DL16" i="99" s="1"/>
  <c r="DM16" i="99" s="1"/>
  <c r="DN16" i="99" s="1"/>
  <c r="DO16" i="99" s="1"/>
  <c r="DK81" i="99"/>
  <c r="DL81" i="99" s="1"/>
  <c r="DM81" i="99" s="1"/>
  <c r="DN81" i="99" s="1"/>
  <c r="DO81" i="99" s="1"/>
  <c r="DK21" i="99"/>
  <c r="DL21" i="99" s="1"/>
  <c r="DM21" i="99" s="1"/>
  <c r="DN21" i="99" s="1"/>
  <c r="DO21" i="99" s="1"/>
  <c r="DK92" i="99"/>
  <c r="DL92" i="99" s="1"/>
  <c r="DM92" i="99" s="1"/>
  <c r="DN92" i="99" s="1"/>
  <c r="DO92" i="99" s="1"/>
  <c r="DK32" i="99"/>
  <c r="DL32" i="99" s="1"/>
  <c r="DM32" i="99" s="1"/>
  <c r="DN32" i="99" s="1"/>
  <c r="DO32" i="99" s="1"/>
  <c r="DK85" i="99"/>
  <c r="DL85" i="99" s="1"/>
  <c r="DM85" i="99" s="1"/>
  <c r="DN85" i="99" s="1"/>
  <c r="DO85" i="99" s="1"/>
  <c r="DK50" i="99"/>
  <c r="DL50" i="99" s="1"/>
  <c r="DM50" i="99" s="1"/>
  <c r="DN50" i="99" s="1"/>
  <c r="DO50" i="99" s="1"/>
  <c r="DK60" i="99"/>
  <c r="DL60" i="99" s="1"/>
  <c r="DM60" i="99" s="1"/>
  <c r="DN60" i="99" s="1"/>
  <c r="DO60" i="99" s="1"/>
  <c r="DK57" i="99"/>
  <c r="DL57" i="99" s="1"/>
  <c r="DM57" i="99" s="1"/>
  <c r="DN57" i="99" s="1"/>
  <c r="DO57" i="99" s="1"/>
  <c r="DK86" i="99"/>
  <c r="DL86" i="99" s="1"/>
  <c r="DM86" i="99" s="1"/>
  <c r="DN86" i="99" s="1"/>
  <c r="DO86" i="99" s="1"/>
  <c r="DK101" i="99"/>
  <c r="DL101" i="99" s="1"/>
  <c r="DM101" i="99" s="1"/>
  <c r="DN101" i="99" s="1"/>
  <c r="DO101" i="99" s="1"/>
  <c r="DK19" i="99"/>
  <c r="DL19" i="99" s="1"/>
  <c r="DM19" i="99" s="1"/>
  <c r="DN19" i="99" s="1"/>
  <c r="DO19" i="99" s="1"/>
  <c r="DK27" i="99"/>
  <c r="DL27" i="99" s="1"/>
  <c r="DM27" i="99" s="1"/>
  <c r="DN27" i="99" s="1"/>
  <c r="DO27" i="99" s="1"/>
  <c r="DK12" i="99"/>
  <c r="DL12" i="99" s="1"/>
  <c r="DM12" i="99" s="1"/>
  <c r="DN12" i="99" s="1"/>
  <c r="DO12" i="99" s="1"/>
  <c r="DK35" i="99"/>
  <c r="DL35" i="99" s="1"/>
  <c r="DM35" i="99" s="1"/>
  <c r="DN35" i="99" s="1"/>
  <c r="DO35" i="99" s="1"/>
  <c r="DK58" i="99"/>
  <c r="DL58" i="99" s="1"/>
  <c r="DM58" i="99" s="1"/>
  <c r="DN58" i="99" s="1"/>
  <c r="DO58" i="99" s="1"/>
  <c r="DK31" i="99"/>
  <c r="DL31" i="99" s="1"/>
  <c r="DM31" i="99" s="1"/>
  <c r="DN31" i="99" s="1"/>
  <c r="DO31" i="99" s="1"/>
  <c r="DK64" i="99"/>
  <c r="DL64" i="99" s="1"/>
  <c r="DM64" i="99" s="1"/>
  <c r="DN64" i="99" s="1"/>
  <c r="DO64" i="99" s="1"/>
  <c r="DK43" i="99"/>
  <c r="DL43" i="99" s="1"/>
  <c r="DM43" i="99" s="1"/>
  <c r="DN43" i="99" s="1"/>
  <c r="DO43" i="99" s="1"/>
  <c r="DK25" i="99"/>
  <c r="DL25" i="99" s="1"/>
  <c r="DM25" i="99" s="1"/>
  <c r="DN25" i="99" s="1"/>
  <c r="DO25" i="99" s="1"/>
  <c r="DK74" i="99"/>
  <c r="DL74" i="99" s="1"/>
  <c r="DM74" i="99" s="1"/>
  <c r="DN74" i="99" s="1"/>
  <c r="DO74" i="99" s="1"/>
  <c r="DK89" i="99"/>
  <c r="DL89" i="99" s="1"/>
  <c r="DM89" i="99" s="1"/>
  <c r="DN89" i="99" s="1"/>
  <c r="DO89" i="99" s="1"/>
  <c r="DK37" i="99"/>
  <c r="DL37" i="99" s="1"/>
  <c r="DM37" i="99" s="1"/>
  <c r="DN37" i="99" s="1"/>
  <c r="DO37" i="99" s="1"/>
  <c r="DK76" i="99"/>
  <c r="DL76" i="99" s="1"/>
  <c r="DM76" i="99" s="1"/>
  <c r="DN76" i="99" s="1"/>
  <c r="DO76" i="99" s="1"/>
  <c r="DK72" i="99"/>
  <c r="DL72" i="99" s="1"/>
  <c r="DM72" i="99" s="1"/>
  <c r="DN72" i="99" s="1"/>
  <c r="DO72" i="99" s="1"/>
  <c r="DK79" i="99"/>
  <c r="DL79" i="99" s="1"/>
  <c r="DM79" i="99" s="1"/>
  <c r="DN79" i="99" s="1"/>
  <c r="DO79" i="99" s="1"/>
  <c r="DK87" i="99"/>
  <c r="DL87" i="99" s="1"/>
  <c r="DM87" i="99" s="1"/>
  <c r="DN87" i="99" s="1"/>
  <c r="DO87" i="99" s="1"/>
  <c r="DK46" i="99"/>
  <c r="DL46" i="99" s="1"/>
  <c r="DM46" i="99" s="1"/>
  <c r="DN46" i="99" s="1"/>
  <c r="DO46" i="99" s="1"/>
  <c r="DK11" i="99"/>
  <c r="DL11" i="99" s="1"/>
  <c r="DM11" i="99" s="1"/>
  <c r="DN11" i="99" s="1"/>
  <c r="DO11" i="99" s="1"/>
  <c r="DK63" i="99"/>
  <c r="DL63" i="99" s="1"/>
  <c r="DM63" i="99" s="1"/>
  <c r="DN63" i="99" s="1"/>
  <c r="DO63" i="99" s="1"/>
  <c r="DK41" i="99"/>
  <c r="DL41" i="99" s="1"/>
  <c r="DM41" i="99" s="1"/>
  <c r="DN41" i="99" s="1"/>
  <c r="DO41" i="99" s="1"/>
  <c r="DK99" i="99"/>
  <c r="DL99" i="99" s="1"/>
  <c r="DM99" i="99" s="1"/>
  <c r="DN99" i="99" s="1"/>
  <c r="DO99" i="99" s="1"/>
  <c r="DK20" i="99"/>
  <c r="DL20" i="99" s="1"/>
  <c r="DM20" i="99" s="1"/>
  <c r="DN20" i="99" s="1"/>
  <c r="DO20" i="99" s="1"/>
  <c r="DK33" i="99"/>
  <c r="DL33" i="99" s="1"/>
  <c r="DM33" i="99" s="1"/>
  <c r="DN33" i="99" s="1"/>
  <c r="DO33" i="99" s="1"/>
  <c r="DK59" i="99"/>
  <c r="DL59" i="99" s="1"/>
  <c r="DM59" i="99" s="1"/>
  <c r="DN59" i="99" s="1"/>
  <c r="DO59" i="99" s="1"/>
  <c r="DK80" i="99"/>
  <c r="DL80" i="99" s="1"/>
  <c r="DM80" i="99" s="1"/>
  <c r="DN80" i="99" s="1"/>
  <c r="DO80" i="99" s="1"/>
  <c r="DK82" i="99"/>
  <c r="DL82" i="99" s="1"/>
  <c r="DM82" i="99" s="1"/>
  <c r="DN82" i="99" s="1"/>
  <c r="DO82" i="99" s="1"/>
  <c r="DK30" i="99"/>
  <c r="DL30" i="99" s="1"/>
  <c r="DM30" i="99" s="1"/>
  <c r="DN30" i="99" s="1"/>
  <c r="DO30" i="99" s="1"/>
  <c r="DK45" i="99"/>
  <c r="DL45" i="99" s="1"/>
  <c r="DM45" i="99" s="1"/>
  <c r="DN45" i="99" s="1"/>
  <c r="DO45" i="99" s="1"/>
  <c r="DK66" i="99"/>
  <c r="DL66" i="99" s="1"/>
  <c r="DM66" i="99" s="1"/>
  <c r="DN66" i="99" s="1"/>
  <c r="DO66" i="99" s="1"/>
  <c r="DK67" i="99"/>
  <c r="DL67" i="99" s="1"/>
  <c r="DM67" i="99" s="1"/>
  <c r="DN67" i="99" s="1"/>
  <c r="DO67" i="99" s="1"/>
  <c r="DK38" i="99"/>
  <c r="DL38" i="99" s="1"/>
  <c r="DM38" i="99" s="1"/>
  <c r="DN38" i="99" s="1"/>
  <c r="DO38" i="99" s="1"/>
  <c r="DK56" i="99"/>
  <c r="DL56" i="99" s="1"/>
  <c r="DM56" i="99" s="1"/>
  <c r="DN56" i="99" s="1"/>
  <c r="DO56" i="99" s="1"/>
  <c r="DK48" i="99"/>
  <c r="DL48" i="99" s="1"/>
  <c r="DM48" i="99" s="1"/>
  <c r="DN48" i="99" s="1"/>
  <c r="DO48" i="99" s="1"/>
  <c r="DK100" i="99"/>
  <c r="DL100" i="99" s="1"/>
  <c r="DM100" i="99" s="1"/>
  <c r="DN100" i="99" s="1"/>
  <c r="DO100" i="99" s="1"/>
  <c r="DK107" i="99"/>
  <c r="DL107" i="99" s="1"/>
  <c r="DM107" i="99" s="1"/>
  <c r="DN107" i="99" s="1"/>
  <c r="DO107" i="99" s="1"/>
  <c r="DK98" i="99"/>
  <c r="DL98" i="99" s="1"/>
  <c r="DM98" i="99" s="1"/>
  <c r="DN98" i="99" s="1"/>
  <c r="DO98" i="99" s="1"/>
  <c r="DK95" i="99"/>
  <c r="DL95" i="99" s="1"/>
  <c r="DM95" i="99" s="1"/>
  <c r="DN95" i="99" s="1"/>
  <c r="DO95" i="99" s="1"/>
  <c r="DK90" i="99"/>
  <c r="DL90" i="99" s="1"/>
  <c r="DM90" i="99" s="1"/>
  <c r="DN90" i="99" s="1"/>
  <c r="DO90" i="99" s="1"/>
  <c r="DK106" i="99"/>
  <c r="DL106" i="99" s="1"/>
  <c r="DM106" i="99" s="1"/>
  <c r="DN106" i="99" s="1"/>
  <c r="DO106" i="99" s="1"/>
  <c r="DK103" i="99"/>
  <c r="DL103" i="99" s="1"/>
  <c r="DM103" i="99" s="1"/>
  <c r="DN103" i="99" s="1"/>
  <c r="DO103" i="99" s="1"/>
  <c r="DK108" i="99"/>
  <c r="DL108" i="99" s="1"/>
  <c r="DM108" i="99" s="1"/>
  <c r="DN108" i="99" s="1"/>
  <c r="DO108" i="99" s="1"/>
  <c r="DK105" i="99"/>
  <c r="DL105" i="99" s="1"/>
  <c r="DM105" i="99" s="1"/>
  <c r="DN105" i="99" s="1"/>
  <c r="DO105" i="99" s="1"/>
  <c r="DK104" i="99"/>
  <c r="DL104" i="99" s="1"/>
  <c r="DM104" i="99" s="1"/>
  <c r="DN104" i="99" s="1"/>
  <c r="DO104" i="99" s="1"/>
  <c r="DK102" i="99"/>
  <c r="DL102" i="99" s="1"/>
  <c r="DM102" i="99" s="1"/>
  <c r="DN102" i="99" s="1"/>
  <c r="DO102" i="99" s="1"/>
  <c r="EU65" i="99"/>
  <c r="EV65" i="99" s="1"/>
  <c r="EW65" i="99" s="1"/>
  <c r="EX65" i="99" s="1"/>
  <c r="EY65" i="99" s="1"/>
  <c r="EU77" i="99"/>
  <c r="EV77" i="99" s="1"/>
  <c r="EW77" i="99" s="1"/>
  <c r="EX77" i="99" s="1"/>
  <c r="EY77" i="99" s="1"/>
  <c r="EU96" i="99"/>
  <c r="EV96" i="99" s="1"/>
  <c r="EW96" i="99" s="1"/>
  <c r="EX96" i="99" s="1"/>
  <c r="EY96" i="99" s="1"/>
  <c r="EU54" i="99"/>
  <c r="EV54" i="99" s="1"/>
  <c r="EW54" i="99" s="1"/>
  <c r="EX54" i="99" s="1"/>
  <c r="EY54" i="99" s="1"/>
  <c r="EU53" i="99"/>
  <c r="EV53" i="99" s="1"/>
  <c r="EW53" i="99" s="1"/>
  <c r="EX53" i="99" s="1"/>
  <c r="EY53" i="99" s="1"/>
  <c r="EU48" i="99"/>
  <c r="EV48" i="99" s="1"/>
  <c r="EW48" i="99" s="1"/>
  <c r="EX48" i="99" s="1"/>
  <c r="EY48" i="99" s="1"/>
  <c r="EU61" i="99"/>
  <c r="EV61" i="99" s="1"/>
  <c r="EW61" i="99" s="1"/>
  <c r="EX61" i="99" s="1"/>
  <c r="EY61" i="99" s="1"/>
  <c r="EU50" i="99"/>
  <c r="EV50" i="99" s="1"/>
  <c r="EW50" i="99" s="1"/>
  <c r="EX50" i="99" s="1"/>
  <c r="EY50" i="99" s="1"/>
  <c r="EU71" i="99"/>
  <c r="EV71" i="99" s="1"/>
  <c r="EW71" i="99" s="1"/>
  <c r="EX71" i="99" s="1"/>
  <c r="EY71" i="99" s="1"/>
  <c r="EU40" i="99"/>
  <c r="EV40" i="99" s="1"/>
  <c r="EW40" i="99" s="1"/>
  <c r="EX40" i="99" s="1"/>
  <c r="EY40" i="99" s="1"/>
  <c r="EU35" i="99"/>
  <c r="EV35" i="99" s="1"/>
  <c r="EW35" i="99" s="1"/>
  <c r="EX35" i="99" s="1"/>
  <c r="EY35" i="99" s="1"/>
  <c r="EU33" i="99"/>
  <c r="EV33" i="99" s="1"/>
  <c r="EW33" i="99" s="1"/>
  <c r="EX33" i="99" s="1"/>
  <c r="EY33" i="99" s="1"/>
  <c r="EU42" i="99"/>
  <c r="EV42" i="99" s="1"/>
  <c r="EW42" i="99" s="1"/>
  <c r="EX42" i="99" s="1"/>
  <c r="EY42" i="99" s="1"/>
  <c r="EU25" i="99"/>
  <c r="EV25" i="99" s="1"/>
  <c r="EW25" i="99" s="1"/>
  <c r="EX25" i="99" s="1"/>
  <c r="EY25" i="99" s="1"/>
  <c r="EU41" i="99"/>
  <c r="EV41" i="99" s="1"/>
  <c r="EW41" i="99" s="1"/>
  <c r="EX41" i="99" s="1"/>
  <c r="EY41" i="99" s="1"/>
  <c r="EU27" i="99"/>
  <c r="EV27" i="99" s="1"/>
  <c r="EW27" i="99" s="1"/>
  <c r="EX27" i="99" s="1"/>
  <c r="EY27" i="99" s="1"/>
  <c r="EU43" i="99"/>
  <c r="EV43" i="99" s="1"/>
  <c r="EW43" i="99" s="1"/>
  <c r="EX43" i="99" s="1"/>
  <c r="EY43" i="99" s="1"/>
  <c r="EU34" i="99"/>
  <c r="EV34" i="99" s="1"/>
  <c r="EW34" i="99" s="1"/>
  <c r="EX34" i="99" s="1"/>
  <c r="EY34" i="99" s="1"/>
  <c r="EU36" i="99"/>
  <c r="EV36" i="99" s="1"/>
  <c r="EW36" i="99" s="1"/>
  <c r="EX36" i="99" s="1"/>
  <c r="EY36" i="99" s="1"/>
  <c r="EU21" i="99"/>
  <c r="EV21" i="99" s="1"/>
  <c r="EW21" i="99" s="1"/>
  <c r="EX21" i="99" s="1"/>
  <c r="EY21" i="99" s="1"/>
  <c r="EU49" i="99"/>
  <c r="EV49" i="99" s="1"/>
  <c r="EW49" i="99" s="1"/>
  <c r="EX49" i="99" s="1"/>
  <c r="EY49" i="99" s="1"/>
  <c r="EU26" i="99"/>
  <c r="EV26" i="99" s="1"/>
  <c r="EW26" i="99" s="1"/>
  <c r="EX26" i="99" s="1"/>
  <c r="EY26" i="99" s="1"/>
  <c r="EU9" i="99"/>
  <c r="EV9" i="99" s="1"/>
  <c r="EW9" i="99" s="1"/>
  <c r="EX9" i="99" s="1"/>
  <c r="EU62" i="99"/>
  <c r="EV62" i="99" s="1"/>
  <c r="EW62" i="99" s="1"/>
  <c r="EX62" i="99" s="1"/>
  <c r="EY62" i="99" s="1"/>
  <c r="EU11" i="99"/>
  <c r="EV11" i="99" s="1"/>
  <c r="EW11" i="99" s="1"/>
  <c r="EX11" i="99" s="1"/>
  <c r="EY11" i="99" s="1"/>
  <c r="EU69" i="99"/>
  <c r="EV69" i="99" s="1"/>
  <c r="EW69" i="99" s="1"/>
  <c r="EX69" i="99" s="1"/>
  <c r="EY69" i="99" s="1"/>
  <c r="EU10" i="99"/>
  <c r="EV10" i="99" s="1"/>
  <c r="EW10" i="99" s="1"/>
  <c r="EX10" i="99" s="1"/>
  <c r="EY10" i="99" s="1"/>
  <c r="EU18" i="99"/>
  <c r="EV18" i="99" s="1"/>
  <c r="EW18" i="99" s="1"/>
  <c r="EX18" i="99" s="1"/>
  <c r="EY18" i="99" s="1"/>
  <c r="EU17" i="99"/>
  <c r="EV17" i="99" s="1"/>
  <c r="EW17" i="99" s="1"/>
  <c r="EX17" i="99" s="1"/>
  <c r="EY17" i="99" s="1"/>
  <c r="EU87" i="99"/>
  <c r="EV87" i="99" s="1"/>
  <c r="EW87" i="99" s="1"/>
  <c r="EX87" i="99" s="1"/>
  <c r="EY87" i="99" s="1"/>
  <c r="EU12" i="99"/>
  <c r="EV12" i="99" s="1"/>
  <c r="EW12" i="99" s="1"/>
  <c r="EX12" i="99" s="1"/>
  <c r="EY12" i="99" s="1"/>
  <c r="EU72" i="99"/>
  <c r="EV72" i="99" s="1"/>
  <c r="EW72" i="99" s="1"/>
  <c r="EX72" i="99" s="1"/>
  <c r="EY72" i="99" s="1"/>
  <c r="EU24" i="99"/>
  <c r="EV24" i="99" s="1"/>
  <c r="EW24" i="99" s="1"/>
  <c r="EX24" i="99" s="1"/>
  <c r="EY24" i="99" s="1"/>
  <c r="EU28" i="99"/>
  <c r="EV28" i="99" s="1"/>
  <c r="EW28" i="99" s="1"/>
  <c r="EX28" i="99" s="1"/>
  <c r="EY28" i="99" s="1"/>
  <c r="EU70" i="99"/>
  <c r="EV70" i="99" s="1"/>
  <c r="EW70" i="99" s="1"/>
  <c r="EX70" i="99" s="1"/>
  <c r="EY70" i="99" s="1"/>
  <c r="EU20" i="99"/>
  <c r="EV20" i="99" s="1"/>
  <c r="EW20" i="99" s="1"/>
  <c r="EX20" i="99" s="1"/>
  <c r="EY20" i="99" s="1"/>
  <c r="EU73" i="99"/>
  <c r="EV73" i="99" s="1"/>
  <c r="EW73" i="99" s="1"/>
  <c r="EX73" i="99" s="1"/>
  <c r="EY73" i="99" s="1"/>
  <c r="EU94" i="99"/>
  <c r="EV94" i="99" s="1"/>
  <c r="EW94" i="99" s="1"/>
  <c r="EX94" i="99" s="1"/>
  <c r="EY94" i="99" s="1"/>
  <c r="EU13" i="99"/>
  <c r="EV13" i="99" s="1"/>
  <c r="EW13" i="99" s="1"/>
  <c r="EX13" i="99" s="1"/>
  <c r="EY13" i="99" s="1"/>
  <c r="EU38" i="99"/>
  <c r="EV38" i="99" s="1"/>
  <c r="EW38" i="99" s="1"/>
  <c r="EX38" i="99" s="1"/>
  <c r="EY38" i="99" s="1"/>
  <c r="EU80" i="99"/>
  <c r="EV80" i="99" s="1"/>
  <c r="EW80" i="99" s="1"/>
  <c r="EX80" i="99" s="1"/>
  <c r="EY80" i="99" s="1"/>
  <c r="EU32" i="99"/>
  <c r="EV32" i="99" s="1"/>
  <c r="EW32" i="99" s="1"/>
  <c r="EX32" i="99" s="1"/>
  <c r="EY32" i="99" s="1"/>
  <c r="EU92" i="99"/>
  <c r="EV92" i="99" s="1"/>
  <c r="EW92" i="99" s="1"/>
  <c r="EX92" i="99" s="1"/>
  <c r="EY92" i="99" s="1"/>
  <c r="EU93" i="99"/>
  <c r="EV93" i="99" s="1"/>
  <c r="EW93" i="99" s="1"/>
  <c r="EX93" i="99" s="1"/>
  <c r="EY93" i="99" s="1"/>
  <c r="EU15" i="99"/>
  <c r="EV15" i="99" s="1"/>
  <c r="EW15" i="99" s="1"/>
  <c r="EX15" i="99" s="1"/>
  <c r="EY15" i="99" s="1"/>
  <c r="EU83" i="99"/>
  <c r="EV83" i="99" s="1"/>
  <c r="EW83" i="99" s="1"/>
  <c r="EX83" i="99" s="1"/>
  <c r="EY83" i="99" s="1"/>
  <c r="EU82" i="99"/>
  <c r="EV82" i="99" s="1"/>
  <c r="EW82" i="99" s="1"/>
  <c r="EX82" i="99" s="1"/>
  <c r="EY82" i="99" s="1"/>
  <c r="EU84" i="99"/>
  <c r="EV84" i="99" s="1"/>
  <c r="EW84" i="99" s="1"/>
  <c r="EX84" i="99" s="1"/>
  <c r="EY84" i="99" s="1"/>
  <c r="EU85" i="99"/>
  <c r="EV85" i="99" s="1"/>
  <c r="EW85" i="99" s="1"/>
  <c r="EX85" i="99" s="1"/>
  <c r="EY85" i="99" s="1"/>
  <c r="EU37" i="99"/>
  <c r="EV37" i="99" s="1"/>
  <c r="EW37" i="99" s="1"/>
  <c r="EX37" i="99" s="1"/>
  <c r="EY37" i="99" s="1"/>
  <c r="EU16" i="99"/>
  <c r="EV16" i="99" s="1"/>
  <c r="EW16" i="99" s="1"/>
  <c r="EX16" i="99" s="1"/>
  <c r="EY16" i="99" s="1"/>
  <c r="EU63" i="99"/>
  <c r="EV63" i="99" s="1"/>
  <c r="EW63" i="99" s="1"/>
  <c r="EX63" i="99" s="1"/>
  <c r="EY63" i="99" s="1"/>
  <c r="EU66" i="99"/>
  <c r="EV66" i="99" s="1"/>
  <c r="EW66" i="99" s="1"/>
  <c r="EX66" i="99" s="1"/>
  <c r="EY66" i="99" s="1"/>
  <c r="EU59" i="99"/>
  <c r="EV59" i="99" s="1"/>
  <c r="EW59" i="99" s="1"/>
  <c r="EX59" i="99" s="1"/>
  <c r="EY59" i="99" s="1"/>
  <c r="EU81" i="99"/>
  <c r="EV81" i="99" s="1"/>
  <c r="EW81" i="99" s="1"/>
  <c r="EX81" i="99" s="1"/>
  <c r="EY81" i="99" s="1"/>
  <c r="EU58" i="99"/>
  <c r="EV58" i="99" s="1"/>
  <c r="EW58" i="99" s="1"/>
  <c r="EX58" i="99" s="1"/>
  <c r="EY58" i="99" s="1"/>
  <c r="EU44" i="99"/>
  <c r="EV44" i="99" s="1"/>
  <c r="EW44" i="99" s="1"/>
  <c r="EX44" i="99" s="1"/>
  <c r="EY44" i="99" s="1"/>
  <c r="EU39" i="99"/>
  <c r="EV39" i="99" s="1"/>
  <c r="EW39" i="99" s="1"/>
  <c r="EX39" i="99" s="1"/>
  <c r="EY39" i="99" s="1"/>
  <c r="EU75" i="99"/>
  <c r="EV75" i="99" s="1"/>
  <c r="EW75" i="99" s="1"/>
  <c r="EX75" i="99" s="1"/>
  <c r="EY75" i="99" s="1"/>
  <c r="EU74" i="99"/>
  <c r="EV74" i="99" s="1"/>
  <c r="EW74" i="99" s="1"/>
  <c r="EX74" i="99" s="1"/>
  <c r="EY74" i="99" s="1"/>
  <c r="EU76" i="99"/>
  <c r="EV76" i="99" s="1"/>
  <c r="EW76" i="99" s="1"/>
  <c r="EX76" i="99" s="1"/>
  <c r="EY76" i="99" s="1"/>
  <c r="EU22" i="99"/>
  <c r="EV22" i="99" s="1"/>
  <c r="EW22" i="99" s="1"/>
  <c r="EX22" i="99" s="1"/>
  <c r="EY22" i="99" s="1"/>
  <c r="EU46" i="99"/>
  <c r="EV46" i="99" s="1"/>
  <c r="EW46" i="99" s="1"/>
  <c r="EX46" i="99" s="1"/>
  <c r="EY46" i="99" s="1"/>
  <c r="EU60" i="99"/>
  <c r="EV60" i="99" s="1"/>
  <c r="EW60" i="99" s="1"/>
  <c r="EX60" i="99" s="1"/>
  <c r="EY60" i="99" s="1"/>
  <c r="EU67" i="99"/>
  <c r="EV67" i="99" s="1"/>
  <c r="EW67" i="99" s="1"/>
  <c r="EX67" i="99" s="1"/>
  <c r="EY67" i="99" s="1"/>
  <c r="EU78" i="99"/>
  <c r="EV78" i="99" s="1"/>
  <c r="EW78" i="99" s="1"/>
  <c r="EX78" i="99" s="1"/>
  <c r="EY78" i="99" s="1"/>
  <c r="EU86" i="99"/>
  <c r="EV86" i="99" s="1"/>
  <c r="EW86" i="99" s="1"/>
  <c r="EX86" i="99" s="1"/>
  <c r="EY86" i="99" s="1"/>
  <c r="EU14" i="99"/>
  <c r="EV14" i="99" s="1"/>
  <c r="EW14" i="99" s="1"/>
  <c r="EX14" i="99" s="1"/>
  <c r="EY14" i="99" s="1"/>
  <c r="EU23" i="99"/>
  <c r="EV23" i="99" s="1"/>
  <c r="EW23" i="99" s="1"/>
  <c r="EX23" i="99" s="1"/>
  <c r="EY23" i="99" s="1"/>
  <c r="EU31" i="99"/>
  <c r="EV31" i="99" s="1"/>
  <c r="EW31" i="99" s="1"/>
  <c r="EX31" i="99" s="1"/>
  <c r="EY31" i="99" s="1"/>
  <c r="EU29" i="99"/>
  <c r="EV29" i="99" s="1"/>
  <c r="EW29" i="99" s="1"/>
  <c r="EX29" i="99" s="1"/>
  <c r="EY29" i="99" s="1"/>
  <c r="EU55" i="99"/>
  <c r="EV55" i="99" s="1"/>
  <c r="EW55" i="99" s="1"/>
  <c r="EX55" i="99" s="1"/>
  <c r="EY55" i="99" s="1"/>
  <c r="EU97" i="99"/>
  <c r="EV97" i="99" s="1"/>
  <c r="EW97" i="99" s="1"/>
  <c r="EX97" i="99" s="1"/>
  <c r="EY97" i="99" s="1"/>
  <c r="EU19" i="99"/>
  <c r="EV19" i="99" s="1"/>
  <c r="EW19" i="99" s="1"/>
  <c r="EX19" i="99" s="1"/>
  <c r="EY19" i="99" s="1"/>
  <c r="EU68" i="99"/>
  <c r="EV68" i="99" s="1"/>
  <c r="EW68" i="99" s="1"/>
  <c r="EX68" i="99" s="1"/>
  <c r="EY68" i="99" s="1"/>
  <c r="EU79" i="99"/>
  <c r="EV79" i="99" s="1"/>
  <c r="EW79" i="99" s="1"/>
  <c r="EX79" i="99" s="1"/>
  <c r="EY79" i="99" s="1"/>
  <c r="EU89" i="99"/>
  <c r="EV89" i="99" s="1"/>
  <c r="EW89" i="99" s="1"/>
  <c r="EX89" i="99" s="1"/>
  <c r="EY89" i="99" s="1"/>
  <c r="EU101" i="99"/>
  <c r="EV101" i="99" s="1"/>
  <c r="EW101" i="99" s="1"/>
  <c r="EX101" i="99" s="1"/>
  <c r="EY101" i="99" s="1"/>
  <c r="EU88" i="99"/>
  <c r="EV88" i="99" s="1"/>
  <c r="EW88" i="99" s="1"/>
  <c r="EX88" i="99" s="1"/>
  <c r="EY88" i="99" s="1"/>
  <c r="EU30" i="99"/>
  <c r="EV30" i="99" s="1"/>
  <c r="EW30" i="99" s="1"/>
  <c r="EX30" i="99" s="1"/>
  <c r="EY30" i="99" s="1"/>
  <c r="EU47" i="99"/>
  <c r="EV47" i="99" s="1"/>
  <c r="EW47" i="99" s="1"/>
  <c r="EX47" i="99" s="1"/>
  <c r="EY47" i="99" s="1"/>
  <c r="EU56" i="99"/>
  <c r="EV56" i="99" s="1"/>
  <c r="EW56" i="99" s="1"/>
  <c r="EX56" i="99" s="1"/>
  <c r="EY56" i="99" s="1"/>
  <c r="EU52" i="99"/>
  <c r="EV52" i="99" s="1"/>
  <c r="EW52" i="99" s="1"/>
  <c r="EX52" i="99" s="1"/>
  <c r="EY52" i="99" s="1"/>
  <c r="EU45" i="99"/>
  <c r="EV45" i="99" s="1"/>
  <c r="EW45" i="99" s="1"/>
  <c r="EX45" i="99" s="1"/>
  <c r="EY45" i="99" s="1"/>
  <c r="EU51" i="99"/>
  <c r="EV51" i="99" s="1"/>
  <c r="EW51" i="99" s="1"/>
  <c r="EX51" i="99" s="1"/>
  <c r="EY51" i="99" s="1"/>
  <c r="EU57" i="99"/>
  <c r="EV57" i="99" s="1"/>
  <c r="EW57" i="99" s="1"/>
  <c r="EX57" i="99" s="1"/>
  <c r="EY57" i="99" s="1"/>
  <c r="EU64" i="99"/>
  <c r="EV64" i="99" s="1"/>
  <c r="EW64" i="99" s="1"/>
  <c r="EX64" i="99" s="1"/>
  <c r="EY64" i="99" s="1"/>
  <c r="EU91" i="99"/>
  <c r="EV91" i="99" s="1"/>
  <c r="EW91" i="99" s="1"/>
  <c r="EX91" i="99" s="1"/>
  <c r="EY91" i="99" s="1"/>
  <c r="EU107" i="99"/>
  <c r="EV107" i="99" s="1"/>
  <c r="EW107" i="99" s="1"/>
  <c r="EX107" i="99" s="1"/>
  <c r="EY107" i="99" s="1"/>
  <c r="EU90" i="99"/>
  <c r="EV90" i="99" s="1"/>
  <c r="EW90" i="99" s="1"/>
  <c r="EX90" i="99" s="1"/>
  <c r="EY90" i="99" s="1"/>
  <c r="EU106" i="99"/>
  <c r="EV106" i="99" s="1"/>
  <c r="EW106" i="99" s="1"/>
  <c r="EX106" i="99" s="1"/>
  <c r="EY106" i="99" s="1"/>
  <c r="EU95" i="99"/>
  <c r="EV95" i="99" s="1"/>
  <c r="EW95" i="99" s="1"/>
  <c r="EX95" i="99" s="1"/>
  <c r="EY95" i="99" s="1"/>
  <c r="EU102" i="99"/>
  <c r="EV102" i="99" s="1"/>
  <c r="EW102" i="99" s="1"/>
  <c r="EX102" i="99" s="1"/>
  <c r="EY102" i="99" s="1"/>
  <c r="EU108" i="99"/>
  <c r="EV108" i="99" s="1"/>
  <c r="EW108" i="99" s="1"/>
  <c r="EX108" i="99" s="1"/>
  <c r="EY108" i="99" s="1"/>
  <c r="EU98" i="99"/>
  <c r="EV98" i="99" s="1"/>
  <c r="EW98" i="99" s="1"/>
  <c r="EX98" i="99" s="1"/>
  <c r="EY98" i="99" s="1"/>
  <c r="EU99" i="99"/>
  <c r="EV99" i="99" s="1"/>
  <c r="EW99" i="99" s="1"/>
  <c r="EX99" i="99" s="1"/>
  <c r="EY99" i="99" s="1"/>
  <c r="EU105" i="99"/>
  <c r="EV105" i="99" s="1"/>
  <c r="EW105" i="99" s="1"/>
  <c r="EX105" i="99" s="1"/>
  <c r="EY105" i="99" s="1"/>
  <c r="EU104" i="99"/>
  <c r="EV104" i="99" s="1"/>
  <c r="EW104" i="99" s="1"/>
  <c r="EX104" i="99" s="1"/>
  <c r="EY104" i="99" s="1"/>
  <c r="EU100" i="99"/>
  <c r="EV100" i="99" s="1"/>
  <c r="EW100" i="99" s="1"/>
  <c r="EX100" i="99" s="1"/>
  <c r="EY100" i="99" s="1"/>
  <c r="EU103" i="99"/>
  <c r="EV103" i="99" s="1"/>
  <c r="EW103" i="99" s="1"/>
  <c r="EX103" i="99" s="1"/>
  <c r="EY103" i="99" s="1"/>
  <c r="FA100" i="99"/>
  <c r="FB100" i="99" s="1"/>
  <c r="FC100" i="99" s="1"/>
  <c r="FD100" i="99" s="1"/>
  <c r="FE100" i="99" s="1"/>
  <c r="FA104" i="99"/>
  <c r="FB104" i="99" s="1"/>
  <c r="FC104" i="99" s="1"/>
  <c r="FD104" i="99" s="1"/>
  <c r="FE104" i="99" s="1"/>
  <c r="FA75" i="99"/>
  <c r="FB75" i="99" s="1"/>
  <c r="FC75" i="99" s="1"/>
  <c r="FD75" i="99" s="1"/>
  <c r="FE75" i="99" s="1"/>
  <c r="FA99" i="99"/>
  <c r="FB99" i="99" s="1"/>
  <c r="FC99" i="99" s="1"/>
  <c r="FD99" i="99" s="1"/>
  <c r="FE99" i="99" s="1"/>
  <c r="FA91" i="99"/>
  <c r="FB91" i="99" s="1"/>
  <c r="FC91" i="99" s="1"/>
  <c r="FD91" i="99" s="1"/>
  <c r="FE91" i="99" s="1"/>
  <c r="FA95" i="99"/>
  <c r="FB95" i="99" s="1"/>
  <c r="FC95" i="99" s="1"/>
  <c r="FD95" i="99" s="1"/>
  <c r="FE95" i="99" s="1"/>
  <c r="FA62" i="99"/>
  <c r="FB62" i="99" s="1"/>
  <c r="FC62" i="99" s="1"/>
  <c r="FD62" i="99" s="1"/>
  <c r="FE62" i="99" s="1"/>
  <c r="FA71" i="99"/>
  <c r="FB71" i="99" s="1"/>
  <c r="FC71" i="99" s="1"/>
  <c r="FD71" i="99" s="1"/>
  <c r="FE71" i="99" s="1"/>
  <c r="FA106" i="99"/>
  <c r="FB106" i="99" s="1"/>
  <c r="FC106" i="99" s="1"/>
  <c r="FD106" i="99" s="1"/>
  <c r="FE106" i="99" s="1"/>
  <c r="FA84" i="99"/>
  <c r="FB84" i="99" s="1"/>
  <c r="FC84" i="99" s="1"/>
  <c r="FD84" i="99" s="1"/>
  <c r="FE84" i="99" s="1"/>
  <c r="FA48" i="99"/>
  <c r="FB48" i="99" s="1"/>
  <c r="FC48" i="99" s="1"/>
  <c r="FD48" i="99" s="1"/>
  <c r="FE48" i="99" s="1"/>
  <c r="FA102" i="99"/>
  <c r="FB102" i="99" s="1"/>
  <c r="FC102" i="99" s="1"/>
  <c r="FD102" i="99" s="1"/>
  <c r="FE102" i="99" s="1"/>
  <c r="FA90" i="99"/>
  <c r="FB90" i="99" s="1"/>
  <c r="FC90" i="99" s="1"/>
  <c r="FD90" i="99" s="1"/>
  <c r="FE90" i="99" s="1"/>
  <c r="FA53" i="99"/>
  <c r="FB53" i="99" s="1"/>
  <c r="FC53" i="99" s="1"/>
  <c r="FD53" i="99" s="1"/>
  <c r="FE53" i="99" s="1"/>
  <c r="FA42" i="99"/>
  <c r="FB42" i="99" s="1"/>
  <c r="FC42" i="99" s="1"/>
  <c r="FD42" i="99" s="1"/>
  <c r="FE42" i="99" s="1"/>
  <c r="FA25" i="99"/>
  <c r="FB25" i="99" s="1"/>
  <c r="FC25" i="99" s="1"/>
  <c r="FD25" i="99" s="1"/>
  <c r="FE25" i="99" s="1"/>
  <c r="FA93" i="99"/>
  <c r="FB93" i="99" s="1"/>
  <c r="FC93" i="99" s="1"/>
  <c r="FD93" i="99" s="1"/>
  <c r="FE93" i="99" s="1"/>
  <c r="FA61" i="99"/>
  <c r="FB61" i="99" s="1"/>
  <c r="FC61" i="99" s="1"/>
  <c r="FD61" i="99" s="1"/>
  <c r="FE61" i="99" s="1"/>
  <c r="FA55" i="99"/>
  <c r="FB55" i="99" s="1"/>
  <c r="FC55" i="99" s="1"/>
  <c r="FD55" i="99" s="1"/>
  <c r="FE55" i="99" s="1"/>
  <c r="FA41" i="99"/>
  <c r="FB41" i="99" s="1"/>
  <c r="FC41" i="99" s="1"/>
  <c r="FD41" i="99" s="1"/>
  <c r="FE41" i="99" s="1"/>
  <c r="FA27" i="99"/>
  <c r="FB27" i="99" s="1"/>
  <c r="FC27" i="99" s="1"/>
  <c r="FD27" i="99" s="1"/>
  <c r="FE27" i="99" s="1"/>
  <c r="FA26" i="99"/>
  <c r="FB26" i="99" s="1"/>
  <c r="FC26" i="99" s="1"/>
  <c r="FD26" i="99" s="1"/>
  <c r="FE26" i="99" s="1"/>
  <c r="FA54" i="99"/>
  <c r="FB54" i="99" s="1"/>
  <c r="FC54" i="99" s="1"/>
  <c r="FD54" i="99" s="1"/>
  <c r="FE54" i="99" s="1"/>
  <c r="FA35" i="99"/>
  <c r="FB35" i="99" s="1"/>
  <c r="FC35" i="99" s="1"/>
  <c r="FD35" i="99" s="1"/>
  <c r="FE35" i="99" s="1"/>
  <c r="FA33" i="99"/>
  <c r="FB33" i="99" s="1"/>
  <c r="FC33" i="99" s="1"/>
  <c r="FD33" i="99" s="1"/>
  <c r="FE33" i="99" s="1"/>
  <c r="FA40" i="99"/>
  <c r="FB40" i="99" s="1"/>
  <c r="FC40" i="99" s="1"/>
  <c r="FD40" i="99" s="1"/>
  <c r="FE40" i="99" s="1"/>
  <c r="FA47" i="99"/>
  <c r="FB47" i="99" s="1"/>
  <c r="FC47" i="99" s="1"/>
  <c r="FD47" i="99" s="1"/>
  <c r="FE47" i="99" s="1"/>
  <c r="FA34" i="99"/>
  <c r="FB34" i="99" s="1"/>
  <c r="FC34" i="99" s="1"/>
  <c r="FD34" i="99" s="1"/>
  <c r="FE34" i="99" s="1"/>
  <c r="FA15" i="99"/>
  <c r="FB15" i="99" s="1"/>
  <c r="FC15" i="99" s="1"/>
  <c r="FD15" i="99" s="1"/>
  <c r="FE15" i="99" s="1"/>
  <c r="FA9" i="99"/>
  <c r="FB9" i="99" s="1"/>
  <c r="FC9" i="99" s="1"/>
  <c r="FD9" i="99" s="1"/>
  <c r="FA69" i="99"/>
  <c r="FB69" i="99" s="1"/>
  <c r="FC69" i="99" s="1"/>
  <c r="FD69" i="99" s="1"/>
  <c r="FE69" i="99" s="1"/>
  <c r="FA60" i="99"/>
  <c r="FB60" i="99" s="1"/>
  <c r="FC60" i="99" s="1"/>
  <c r="FD60" i="99" s="1"/>
  <c r="FE60" i="99" s="1"/>
  <c r="FA78" i="99"/>
  <c r="FB78" i="99" s="1"/>
  <c r="FC78" i="99" s="1"/>
  <c r="FD78" i="99" s="1"/>
  <c r="FE78" i="99" s="1"/>
  <c r="FA24" i="99"/>
  <c r="FB24" i="99" s="1"/>
  <c r="FC24" i="99" s="1"/>
  <c r="FD24" i="99" s="1"/>
  <c r="FE24" i="99" s="1"/>
  <c r="FA39" i="99"/>
  <c r="FB39" i="99" s="1"/>
  <c r="FC39" i="99" s="1"/>
  <c r="FD39" i="99" s="1"/>
  <c r="FE39" i="99" s="1"/>
  <c r="FA85" i="99"/>
  <c r="FB85" i="99" s="1"/>
  <c r="FC85" i="99" s="1"/>
  <c r="FD85" i="99" s="1"/>
  <c r="FE85" i="99" s="1"/>
  <c r="FA23" i="99"/>
  <c r="FB23" i="99" s="1"/>
  <c r="FC23" i="99" s="1"/>
  <c r="FD23" i="99" s="1"/>
  <c r="FE23" i="99" s="1"/>
  <c r="FA10" i="99"/>
  <c r="FB10" i="99" s="1"/>
  <c r="FC10" i="99" s="1"/>
  <c r="FD10" i="99" s="1"/>
  <c r="FE10" i="99" s="1"/>
  <c r="FA51" i="99"/>
  <c r="FB51" i="99" s="1"/>
  <c r="FC51" i="99" s="1"/>
  <c r="FD51" i="99" s="1"/>
  <c r="FE51" i="99" s="1"/>
  <c r="FA18" i="99"/>
  <c r="FB18" i="99" s="1"/>
  <c r="FC18" i="99" s="1"/>
  <c r="FD18" i="99" s="1"/>
  <c r="FE18" i="99" s="1"/>
  <c r="FA17" i="99"/>
  <c r="FB17" i="99" s="1"/>
  <c r="FC17" i="99" s="1"/>
  <c r="FD17" i="99" s="1"/>
  <c r="FE17" i="99" s="1"/>
  <c r="FA70" i="99"/>
  <c r="FB70" i="99" s="1"/>
  <c r="FC70" i="99" s="1"/>
  <c r="FD70" i="99" s="1"/>
  <c r="FE70" i="99" s="1"/>
  <c r="FA94" i="99"/>
  <c r="FB94" i="99" s="1"/>
  <c r="FC94" i="99" s="1"/>
  <c r="FD94" i="99" s="1"/>
  <c r="FE94" i="99" s="1"/>
  <c r="FA83" i="99"/>
  <c r="FB83" i="99" s="1"/>
  <c r="FC83" i="99" s="1"/>
  <c r="FD83" i="99" s="1"/>
  <c r="FE83" i="99" s="1"/>
  <c r="FA12" i="99"/>
  <c r="FB12" i="99" s="1"/>
  <c r="FC12" i="99" s="1"/>
  <c r="FD12" i="99" s="1"/>
  <c r="FE12" i="99" s="1"/>
  <c r="FA43" i="99"/>
  <c r="FB43" i="99" s="1"/>
  <c r="FC43" i="99" s="1"/>
  <c r="FD43" i="99" s="1"/>
  <c r="FE43" i="99" s="1"/>
  <c r="FA52" i="99"/>
  <c r="FB52" i="99" s="1"/>
  <c r="FC52" i="99" s="1"/>
  <c r="FD52" i="99" s="1"/>
  <c r="FE52" i="99" s="1"/>
  <c r="FA103" i="99"/>
  <c r="FB103" i="99" s="1"/>
  <c r="FC103" i="99" s="1"/>
  <c r="FD103" i="99" s="1"/>
  <c r="FE103" i="99" s="1"/>
  <c r="FA11" i="99"/>
  <c r="FB11" i="99" s="1"/>
  <c r="FC11" i="99" s="1"/>
  <c r="FD11" i="99" s="1"/>
  <c r="FE11" i="99" s="1"/>
  <c r="FA32" i="99"/>
  <c r="FB32" i="99" s="1"/>
  <c r="FC32" i="99" s="1"/>
  <c r="FD32" i="99" s="1"/>
  <c r="FE32" i="99" s="1"/>
  <c r="FA98" i="99"/>
  <c r="FB98" i="99" s="1"/>
  <c r="FC98" i="99" s="1"/>
  <c r="FD98" i="99" s="1"/>
  <c r="FE98" i="99" s="1"/>
  <c r="FA92" i="99"/>
  <c r="FB92" i="99" s="1"/>
  <c r="FC92" i="99" s="1"/>
  <c r="FD92" i="99" s="1"/>
  <c r="FE92" i="99" s="1"/>
  <c r="FA77" i="99"/>
  <c r="FB77" i="99" s="1"/>
  <c r="FC77" i="99" s="1"/>
  <c r="FD77" i="99" s="1"/>
  <c r="FE77" i="99" s="1"/>
  <c r="FA21" i="99"/>
  <c r="FB21" i="99" s="1"/>
  <c r="FC21" i="99" s="1"/>
  <c r="FD21" i="99" s="1"/>
  <c r="FE21" i="99" s="1"/>
  <c r="FA59" i="99"/>
  <c r="FB59" i="99" s="1"/>
  <c r="FC59" i="99" s="1"/>
  <c r="FD59" i="99" s="1"/>
  <c r="FE59" i="99" s="1"/>
  <c r="FA73" i="99"/>
  <c r="FB73" i="99" s="1"/>
  <c r="FC73" i="99" s="1"/>
  <c r="FD73" i="99" s="1"/>
  <c r="FE73" i="99" s="1"/>
  <c r="FA101" i="99"/>
  <c r="FB101" i="99" s="1"/>
  <c r="FC101" i="99" s="1"/>
  <c r="FD101" i="99" s="1"/>
  <c r="FE101" i="99" s="1"/>
  <c r="FA14" i="99"/>
  <c r="FB14" i="99" s="1"/>
  <c r="FC14" i="99" s="1"/>
  <c r="FD14" i="99" s="1"/>
  <c r="FE14" i="99" s="1"/>
  <c r="FA30" i="99"/>
  <c r="FB30" i="99" s="1"/>
  <c r="FC30" i="99" s="1"/>
  <c r="FD30" i="99" s="1"/>
  <c r="FE30" i="99" s="1"/>
  <c r="FA13" i="99"/>
  <c r="FB13" i="99" s="1"/>
  <c r="FC13" i="99" s="1"/>
  <c r="FD13" i="99" s="1"/>
  <c r="FE13" i="99" s="1"/>
  <c r="FA28" i="99"/>
  <c r="FB28" i="99" s="1"/>
  <c r="FC28" i="99" s="1"/>
  <c r="FD28" i="99" s="1"/>
  <c r="FE28" i="99" s="1"/>
  <c r="FA16" i="99"/>
  <c r="FB16" i="99" s="1"/>
  <c r="FC16" i="99" s="1"/>
  <c r="FD16" i="99" s="1"/>
  <c r="FE16" i="99" s="1"/>
  <c r="FA58" i="99"/>
  <c r="FB58" i="99" s="1"/>
  <c r="FC58" i="99" s="1"/>
  <c r="FD58" i="99" s="1"/>
  <c r="FE58" i="99" s="1"/>
  <c r="FA66" i="99"/>
  <c r="FB66" i="99" s="1"/>
  <c r="FC66" i="99" s="1"/>
  <c r="FD66" i="99" s="1"/>
  <c r="FE66" i="99" s="1"/>
  <c r="FA82" i="99"/>
  <c r="FB82" i="99" s="1"/>
  <c r="FC82" i="99" s="1"/>
  <c r="FD82" i="99" s="1"/>
  <c r="FE82" i="99" s="1"/>
  <c r="FA19" i="99"/>
  <c r="FB19" i="99" s="1"/>
  <c r="FC19" i="99" s="1"/>
  <c r="FD19" i="99" s="1"/>
  <c r="FE19" i="99" s="1"/>
  <c r="FA29" i="99"/>
  <c r="FB29" i="99" s="1"/>
  <c r="FC29" i="99" s="1"/>
  <c r="FD29" i="99" s="1"/>
  <c r="FE29" i="99" s="1"/>
  <c r="FA44" i="99"/>
  <c r="FB44" i="99" s="1"/>
  <c r="FC44" i="99" s="1"/>
  <c r="FD44" i="99" s="1"/>
  <c r="FE44" i="99" s="1"/>
  <c r="FA74" i="99"/>
  <c r="FB74" i="99" s="1"/>
  <c r="FC74" i="99" s="1"/>
  <c r="FD74" i="99" s="1"/>
  <c r="FE74" i="99" s="1"/>
  <c r="FA87" i="99"/>
  <c r="FB87" i="99" s="1"/>
  <c r="FC87" i="99" s="1"/>
  <c r="FD87" i="99" s="1"/>
  <c r="FE87" i="99" s="1"/>
  <c r="FA31" i="99"/>
  <c r="FB31" i="99" s="1"/>
  <c r="FC31" i="99" s="1"/>
  <c r="FD31" i="99" s="1"/>
  <c r="FE31" i="99" s="1"/>
  <c r="FA64" i="99"/>
  <c r="FB64" i="99" s="1"/>
  <c r="FC64" i="99" s="1"/>
  <c r="FD64" i="99" s="1"/>
  <c r="FE64" i="99" s="1"/>
  <c r="FA36" i="99"/>
  <c r="FB36" i="99" s="1"/>
  <c r="FC36" i="99" s="1"/>
  <c r="FD36" i="99" s="1"/>
  <c r="FE36" i="99" s="1"/>
  <c r="FA68" i="99"/>
  <c r="FB68" i="99" s="1"/>
  <c r="FC68" i="99" s="1"/>
  <c r="FD68" i="99" s="1"/>
  <c r="FE68" i="99" s="1"/>
  <c r="FA76" i="99"/>
  <c r="FB76" i="99" s="1"/>
  <c r="FC76" i="99" s="1"/>
  <c r="FD76" i="99" s="1"/>
  <c r="FE76" i="99" s="1"/>
  <c r="FA86" i="99"/>
  <c r="FB86" i="99" s="1"/>
  <c r="FC86" i="99" s="1"/>
  <c r="FD86" i="99" s="1"/>
  <c r="FE86" i="99" s="1"/>
  <c r="FA96" i="99"/>
  <c r="FB96" i="99" s="1"/>
  <c r="FC96" i="99" s="1"/>
  <c r="FD96" i="99" s="1"/>
  <c r="FE96" i="99" s="1"/>
  <c r="FA20" i="99"/>
  <c r="FB20" i="99" s="1"/>
  <c r="FC20" i="99" s="1"/>
  <c r="FD20" i="99" s="1"/>
  <c r="FE20" i="99" s="1"/>
  <c r="FA50" i="99"/>
  <c r="FB50" i="99" s="1"/>
  <c r="FC50" i="99" s="1"/>
  <c r="FD50" i="99" s="1"/>
  <c r="FE50" i="99" s="1"/>
  <c r="FA56" i="99"/>
  <c r="FB56" i="99" s="1"/>
  <c r="FC56" i="99" s="1"/>
  <c r="FD56" i="99" s="1"/>
  <c r="FE56" i="99" s="1"/>
  <c r="FA79" i="99"/>
  <c r="FB79" i="99" s="1"/>
  <c r="FC79" i="99" s="1"/>
  <c r="FD79" i="99" s="1"/>
  <c r="FE79" i="99" s="1"/>
  <c r="FA89" i="99"/>
  <c r="FB89" i="99" s="1"/>
  <c r="FC89" i="99" s="1"/>
  <c r="FD89" i="99" s="1"/>
  <c r="FE89" i="99" s="1"/>
  <c r="FA65" i="99"/>
  <c r="FB65" i="99" s="1"/>
  <c r="FC65" i="99" s="1"/>
  <c r="FD65" i="99" s="1"/>
  <c r="FE65" i="99" s="1"/>
  <c r="FA22" i="99"/>
  <c r="FB22" i="99" s="1"/>
  <c r="FC22" i="99" s="1"/>
  <c r="FD22" i="99" s="1"/>
  <c r="FE22" i="99" s="1"/>
  <c r="FA46" i="99"/>
  <c r="FB46" i="99" s="1"/>
  <c r="FC46" i="99" s="1"/>
  <c r="FD46" i="99" s="1"/>
  <c r="FE46" i="99" s="1"/>
  <c r="FA37" i="99"/>
  <c r="FB37" i="99" s="1"/>
  <c r="FC37" i="99" s="1"/>
  <c r="FD37" i="99" s="1"/>
  <c r="FE37" i="99" s="1"/>
  <c r="FA38" i="99"/>
  <c r="FB38" i="99" s="1"/>
  <c r="FC38" i="99" s="1"/>
  <c r="FD38" i="99" s="1"/>
  <c r="FE38" i="99" s="1"/>
  <c r="FA57" i="99"/>
  <c r="FB57" i="99" s="1"/>
  <c r="FC57" i="99" s="1"/>
  <c r="FD57" i="99" s="1"/>
  <c r="FE57" i="99" s="1"/>
  <c r="FA63" i="99"/>
  <c r="FB63" i="99" s="1"/>
  <c r="FC63" i="99" s="1"/>
  <c r="FD63" i="99" s="1"/>
  <c r="FE63" i="99" s="1"/>
  <c r="FA72" i="99"/>
  <c r="FB72" i="99" s="1"/>
  <c r="FC72" i="99" s="1"/>
  <c r="FD72" i="99" s="1"/>
  <c r="FE72" i="99" s="1"/>
  <c r="FA67" i="99"/>
  <c r="FB67" i="99" s="1"/>
  <c r="FC67" i="99" s="1"/>
  <c r="FD67" i="99" s="1"/>
  <c r="FE67" i="99" s="1"/>
  <c r="FA81" i="99"/>
  <c r="FB81" i="99" s="1"/>
  <c r="FC81" i="99" s="1"/>
  <c r="FD81" i="99" s="1"/>
  <c r="FE81" i="99" s="1"/>
  <c r="FA45" i="99"/>
  <c r="FB45" i="99" s="1"/>
  <c r="FC45" i="99" s="1"/>
  <c r="FD45" i="99" s="1"/>
  <c r="FE45" i="99" s="1"/>
  <c r="FA49" i="99"/>
  <c r="FB49" i="99" s="1"/>
  <c r="FC49" i="99" s="1"/>
  <c r="FD49" i="99" s="1"/>
  <c r="FE49" i="99" s="1"/>
  <c r="FA80" i="99"/>
  <c r="FB80" i="99" s="1"/>
  <c r="FC80" i="99" s="1"/>
  <c r="FD80" i="99" s="1"/>
  <c r="FE80" i="99" s="1"/>
  <c r="FA107" i="99"/>
  <c r="FB107" i="99" s="1"/>
  <c r="FC107" i="99" s="1"/>
  <c r="FD107" i="99" s="1"/>
  <c r="FE107" i="99" s="1"/>
  <c r="FA108" i="99"/>
  <c r="FB108" i="99" s="1"/>
  <c r="FC108" i="99" s="1"/>
  <c r="FD108" i="99" s="1"/>
  <c r="FE108" i="99" s="1"/>
  <c r="FA97" i="99"/>
  <c r="FB97" i="99" s="1"/>
  <c r="FC97" i="99" s="1"/>
  <c r="FD97" i="99" s="1"/>
  <c r="FE97" i="99" s="1"/>
  <c r="FA105" i="99"/>
  <c r="FB105" i="99" s="1"/>
  <c r="FC105" i="99" s="1"/>
  <c r="FD105" i="99" s="1"/>
  <c r="FE105" i="99" s="1"/>
  <c r="FA88" i="99"/>
  <c r="FB88" i="99" s="1"/>
  <c r="FC88" i="99" s="1"/>
  <c r="FD88" i="99" s="1"/>
  <c r="FE88" i="99" s="1"/>
  <c r="FY77" i="99"/>
  <c r="FZ77" i="99" s="1"/>
  <c r="GA77" i="99" s="1"/>
  <c r="GB77" i="99" s="1"/>
  <c r="GC77" i="99" s="1"/>
  <c r="FY65" i="99"/>
  <c r="FZ65" i="99" s="1"/>
  <c r="GA65" i="99" s="1"/>
  <c r="GB65" i="99" s="1"/>
  <c r="GC65" i="99" s="1"/>
  <c r="FY62" i="99"/>
  <c r="FZ62" i="99" s="1"/>
  <c r="GA62" i="99" s="1"/>
  <c r="GB62" i="99" s="1"/>
  <c r="GC62" i="99" s="1"/>
  <c r="FY61" i="99"/>
  <c r="FZ61" i="99" s="1"/>
  <c r="GA61" i="99" s="1"/>
  <c r="GB61" i="99" s="1"/>
  <c r="GC61" i="99" s="1"/>
  <c r="FY64" i="99"/>
  <c r="FZ64" i="99" s="1"/>
  <c r="GA64" i="99" s="1"/>
  <c r="GB64" i="99" s="1"/>
  <c r="GC64" i="99" s="1"/>
  <c r="FY40" i="99"/>
  <c r="FZ40" i="99" s="1"/>
  <c r="GA40" i="99" s="1"/>
  <c r="GB40" i="99" s="1"/>
  <c r="GC40" i="99" s="1"/>
  <c r="FY56" i="99"/>
  <c r="FZ56" i="99" s="1"/>
  <c r="GA56" i="99" s="1"/>
  <c r="GB56" i="99" s="1"/>
  <c r="GC56" i="99" s="1"/>
  <c r="FY41" i="99"/>
  <c r="FZ41" i="99" s="1"/>
  <c r="GA41" i="99" s="1"/>
  <c r="GB41" i="99" s="1"/>
  <c r="GC41" i="99" s="1"/>
  <c r="FY33" i="99"/>
  <c r="FZ33" i="99" s="1"/>
  <c r="GA33" i="99" s="1"/>
  <c r="GB33" i="99" s="1"/>
  <c r="GC33" i="99" s="1"/>
  <c r="FY35" i="99"/>
  <c r="FZ35" i="99" s="1"/>
  <c r="GA35" i="99" s="1"/>
  <c r="GB35" i="99" s="1"/>
  <c r="GC35" i="99" s="1"/>
  <c r="FY25" i="99"/>
  <c r="FZ25" i="99" s="1"/>
  <c r="GA25" i="99" s="1"/>
  <c r="GB25" i="99" s="1"/>
  <c r="GC25" i="99" s="1"/>
  <c r="FY18" i="99"/>
  <c r="FZ18" i="99" s="1"/>
  <c r="GA18" i="99" s="1"/>
  <c r="GB18" i="99" s="1"/>
  <c r="GC18" i="99" s="1"/>
  <c r="FY43" i="99"/>
  <c r="FZ43" i="99" s="1"/>
  <c r="GA43" i="99" s="1"/>
  <c r="GB43" i="99" s="1"/>
  <c r="GC43" i="99" s="1"/>
  <c r="FY42" i="99"/>
  <c r="FZ42" i="99" s="1"/>
  <c r="GA42" i="99" s="1"/>
  <c r="GB42" i="99" s="1"/>
  <c r="GC42" i="99" s="1"/>
  <c r="FY36" i="99"/>
  <c r="FZ36" i="99" s="1"/>
  <c r="GA36" i="99" s="1"/>
  <c r="GB36" i="99" s="1"/>
  <c r="GC36" i="99" s="1"/>
  <c r="FY71" i="99"/>
  <c r="FZ71" i="99" s="1"/>
  <c r="GA71" i="99" s="1"/>
  <c r="GB71" i="99" s="1"/>
  <c r="GC71" i="99" s="1"/>
  <c r="FY48" i="99"/>
  <c r="FZ48" i="99" s="1"/>
  <c r="GA48" i="99" s="1"/>
  <c r="GB48" i="99" s="1"/>
  <c r="GC48" i="99" s="1"/>
  <c r="FY26" i="99"/>
  <c r="FZ26" i="99" s="1"/>
  <c r="GA26" i="99" s="1"/>
  <c r="GB26" i="99" s="1"/>
  <c r="GC26" i="99" s="1"/>
  <c r="FY24" i="99"/>
  <c r="FZ24" i="99" s="1"/>
  <c r="GA24" i="99" s="1"/>
  <c r="GB24" i="99" s="1"/>
  <c r="GC24" i="99" s="1"/>
  <c r="FY54" i="99"/>
  <c r="FZ54" i="99" s="1"/>
  <c r="GA54" i="99" s="1"/>
  <c r="GB54" i="99" s="1"/>
  <c r="GC54" i="99" s="1"/>
  <c r="FY9" i="99"/>
  <c r="FZ9" i="99" s="1"/>
  <c r="GA9" i="99" s="1"/>
  <c r="GB9" i="99" s="1"/>
  <c r="FY34" i="99"/>
  <c r="FZ34" i="99" s="1"/>
  <c r="GA34" i="99" s="1"/>
  <c r="GB34" i="99" s="1"/>
  <c r="GC34" i="99" s="1"/>
  <c r="FY17" i="99"/>
  <c r="FZ17" i="99" s="1"/>
  <c r="GA17" i="99" s="1"/>
  <c r="GB17" i="99" s="1"/>
  <c r="GC17" i="99" s="1"/>
  <c r="FY70" i="99"/>
  <c r="FZ70" i="99" s="1"/>
  <c r="GA70" i="99" s="1"/>
  <c r="GB70" i="99" s="1"/>
  <c r="GC70" i="99" s="1"/>
  <c r="FY52" i="99"/>
  <c r="FZ52" i="99" s="1"/>
  <c r="GA52" i="99" s="1"/>
  <c r="GB52" i="99" s="1"/>
  <c r="GC52" i="99" s="1"/>
  <c r="FY57" i="99"/>
  <c r="FZ57" i="99" s="1"/>
  <c r="GA57" i="99" s="1"/>
  <c r="GB57" i="99" s="1"/>
  <c r="GC57" i="99" s="1"/>
  <c r="FY72" i="99"/>
  <c r="FZ72" i="99" s="1"/>
  <c r="GA72" i="99" s="1"/>
  <c r="GB72" i="99" s="1"/>
  <c r="GC72" i="99" s="1"/>
  <c r="FY85" i="99"/>
  <c r="FZ85" i="99" s="1"/>
  <c r="GA85" i="99" s="1"/>
  <c r="GB85" i="99" s="1"/>
  <c r="GC85" i="99" s="1"/>
  <c r="FY98" i="99"/>
  <c r="FZ98" i="99" s="1"/>
  <c r="GA98" i="99" s="1"/>
  <c r="GB98" i="99" s="1"/>
  <c r="GC98" i="99" s="1"/>
  <c r="FY20" i="99"/>
  <c r="FZ20" i="99" s="1"/>
  <c r="GA20" i="99" s="1"/>
  <c r="GB20" i="99" s="1"/>
  <c r="GC20" i="99" s="1"/>
  <c r="FY55" i="99"/>
  <c r="FZ55" i="99" s="1"/>
  <c r="GA55" i="99" s="1"/>
  <c r="GB55" i="99" s="1"/>
  <c r="GC55" i="99" s="1"/>
  <c r="FY92" i="99"/>
  <c r="FZ92" i="99" s="1"/>
  <c r="GA92" i="99" s="1"/>
  <c r="GB92" i="99" s="1"/>
  <c r="GC92" i="99" s="1"/>
  <c r="FY87" i="99"/>
  <c r="FZ87" i="99" s="1"/>
  <c r="GA87" i="99" s="1"/>
  <c r="GB87" i="99" s="1"/>
  <c r="GC87" i="99" s="1"/>
  <c r="FY93" i="99"/>
  <c r="FZ93" i="99" s="1"/>
  <c r="GA93" i="99" s="1"/>
  <c r="GB93" i="99" s="1"/>
  <c r="GC93" i="99" s="1"/>
  <c r="FY69" i="99"/>
  <c r="FZ69" i="99" s="1"/>
  <c r="GA69" i="99" s="1"/>
  <c r="GB69" i="99" s="1"/>
  <c r="GC69" i="99" s="1"/>
  <c r="FY53" i="99"/>
  <c r="FZ53" i="99" s="1"/>
  <c r="GA53" i="99" s="1"/>
  <c r="GB53" i="99" s="1"/>
  <c r="GC53" i="99" s="1"/>
  <c r="FY28" i="99"/>
  <c r="FZ28" i="99" s="1"/>
  <c r="GA28" i="99" s="1"/>
  <c r="GB28" i="99" s="1"/>
  <c r="GC28" i="99" s="1"/>
  <c r="FY32" i="99"/>
  <c r="FZ32" i="99" s="1"/>
  <c r="GA32" i="99" s="1"/>
  <c r="GB32" i="99" s="1"/>
  <c r="GC32" i="99" s="1"/>
  <c r="FY49" i="99"/>
  <c r="FZ49" i="99" s="1"/>
  <c r="GA49" i="99" s="1"/>
  <c r="GB49" i="99" s="1"/>
  <c r="GC49" i="99" s="1"/>
  <c r="FY84" i="99"/>
  <c r="FZ84" i="99" s="1"/>
  <c r="GA84" i="99" s="1"/>
  <c r="GB84" i="99" s="1"/>
  <c r="GC84" i="99" s="1"/>
  <c r="FY27" i="99"/>
  <c r="FZ27" i="99" s="1"/>
  <c r="GA27" i="99" s="1"/>
  <c r="GB27" i="99" s="1"/>
  <c r="GC27" i="99" s="1"/>
  <c r="FY10" i="99"/>
  <c r="FZ10" i="99" s="1"/>
  <c r="GA10" i="99" s="1"/>
  <c r="GB10" i="99" s="1"/>
  <c r="GC10" i="99" s="1"/>
  <c r="FY12" i="99"/>
  <c r="FZ12" i="99" s="1"/>
  <c r="GA12" i="99" s="1"/>
  <c r="GB12" i="99" s="1"/>
  <c r="GC12" i="99" s="1"/>
  <c r="FY90" i="99"/>
  <c r="FZ90" i="99" s="1"/>
  <c r="GA90" i="99" s="1"/>
  <c r="GB90" i="99" s="1"/>
  <c r="GC90" i="99" s="1"/>
  <c r="FY83" i="99"/>
  <c r="FZ83" i="99" s="1"/>
  <c r="GA83" i="99" s="1"/>
  <c r="GB83" i="99" s="1"/>
  <c r="GC83" i="99" s="1"/>
  <c r="FY14" i="99"/>
  <c r="FZ14" i="99" s="1"/>
  <c r="GA14" i="99" s="1"/>
  <c r="GB14" i="99" s="1"/>
  <c r="GC14" i="99" s="1"/>
  <c r="FY58" i="99"/>
  <c r="FZ58" i="99" s="1"/>
  <c r="GA58" i="99" s="1"/>
  <c r="GB58" i="99" s="1"/>
  <c r="GC58" i="99" s="1"/>
  <c r="FY63" i="99"/>
  <c r="FZ63" i="99" s="1"/>
  <c r="GA63" i="99" s="1"/>
  <c r="GB63" i="99" s="1"/>
  <c r="GC63" i="99" s="1"/>
  <c r="FY66" i="99"/>
  <c r="FZ66" i="99" s="1"/>
  <c r="GA66" i="99" s="1"/>
  <c r="GB66" i="99" s="1"/>
  <c r="GC66" i="99" s="1"/>
  <c r="FY59" i="99"/>
  <c r="FZ59" i="99" s="1"/>
  <c r="GA59" i="99" s="1"/>
  <c r="GB59" i="99" s="1"/>
  <c r="GC59" i="99" s="1"/>
  <c r="FY68" i="99"/>
  <c r="FZ68" i="99" s="1"/>
  <c r="GA68" i="99" s="1"/>
  <c r="GB68" i="99" s="1"/>
  <c r="GC68" i="99" s="1"/>
  <c r="FY100" i="99"/>
  <c r="FZ100" i="99" s="1"/>
  <c r="GA100" i="99" s="1"/>
  <c r="GB100" i="99" s="1"/>
  <c r="GC100" i="99" s="1"/>
  <c r="FY96" i="99"/>
  <c r="FZ96" i="99" s="1"/>
  <c r="GA96" i="99" s="1"/>
  <c r="GB96" i="99" s="1"/>
  <c r="GC96" i="99" s="1"/>
  <c r="FY13" i="99"/>
  <c r="FZ13" i="99" s="1"/>
  <c r="GA13" i="99" s="1"/>
  <c r="GB13" i="99" s="1"/>
  <c r="GC13" i="99" s="1"/>
  <c r="FY15" i="99"/>
  <c r="FZ15" i="99" s="1"/>
  <c r="GA15" i="99" s="1"/>
  <c r="GB15" i="99" s="1"/>
  <c r="GC15" i="99" s="1"/>
  <c r="FY16" i="99"/>
  <c r="FZ16" i="99" s="1"/>
  <c r="GA16" i="99" s="1"/>
  <c r="GB16" i="99" s="1"/>
  <c r="GC16" i="99" s="1"/>
  <c r="FY29" i="99"/>
  <c r="FZ29" i="99" s="1"/>
  <c r="GA29" i="99" s="1"/>
  <c r="GB29" i="99" s="1"/>
  <c r="GC29" i="99" s="1"/>
  <c r="FY39" i="99"/>
  <c r="FZ39" i="99" s="1"/>
  <c r="GA39" i="99" s="1"/>
  <c r="GB39" i="99" s="1"/>
  <c r="GC39" i="99" s="1"/>
  <c r="FY75" i="99"/>
  <c r="FZ75" i="99" s="1"/>
  <c r="GA75" i="99" s="1"/>
  <c r="GB75" i="99" s="1"/>
  <c r="GC75" i="99" s="1"/>
  <c r="FY76" i="99"/>
  <c r="FZ76" i="99" s="1"/>
  <c r="GA76" i="99" s="1"/>
  <c r="GB76" i="99" s="1"/>
  <c r="GC76" i="99" s="1"/>
  <c r="FY74" i="99"/>
  <c r="FZ74" i="99" s="1"/>
  <c r="GA74" i="99" s="1"/>
  <c r="GB74" i="99" s="1"/>
  <c r="GC74" i="99" s="1"/>
  <c r="FY102" i="99"/>
  <c r="FZ102" i="99" s="1"/>
  <c r="GA102" i="99" s="1"/>
  <c r="GB102" i="99" s="1"/>
  <c r="GC102" i="99" s="1"/>
  <c r="FY22" i="99"/>
  <c r="FZ22" i="99" s="1"/>
  <c r="GA22" i="99" s="1"/>
  <c r="GB22" i="99" s="1"/>
  <c r="GC22" i="99" s="1"/>
  <c r="FY38" i="99"/>
  <c r="FZ38" i="99" s="1"/>
  <c r="GA38" i="99" s="1"/>
  <c r="GB38" i="99" s="1"/>
  <c r="GC38" i="99" s="1"/>
  <c r="FY67" i="99"/>
  <c r="FZ67" i="99" s="1"/>
  <c r="GA67" i="99" s="1"/>
  <c r="GB67" i="99" s="1"/>
  <c r="GC67" i="99" s="1"/>
  <c r="FY86" i="99"/>
  <c r="FZ86" i="99" s="1"/>
  <c r="GA86" i="99" s="1"/>
  <c r="GB86" i="99" s="1"/>
  <c r="GC86" i="99" s="1"/>
  <c r="FY103" i="99"/>
  <c r="FZ103" i="99" s="1"/>
  <c r="GA103" i="99" s="1"/>
  <c r="GB103" i="99" s="1"/>
  <c r="GC103" i="99" s="1"/>
  <c r="FY23" i="99"/>
  <c r="FZ23" i="99" s="1"/>
  <c r="GA23" i="99" s="1"/>
  <c r="GB23" i="99" s="1"/>
  <c r="GC23" i="99" s="1"/>
  <c r="FY31" i="99"/>
  <c r="FZ31" i="99" s="1"/>
  <c r="GA31" i="99" s="1"/>
  <c r="GB31" i="99" s="1"/>
  <c r="GC31" i="99" s="1"/>
  <c r="FY19" i="99"/>
  <c r="FZ19" i="99" s="1"/>
  <c r="GA19" i="99" s="1"/>
  <c r="GB19" i="99" s="1"/>
  <c r="GC19" i="99" s="1"/>
  <c r="FY44" i="99"/>
  <c r="FZ44" i="99" s="1"/>
  <c r="GA44" i="99" s="1"/>
  <c r="GB44" i="99" s="1"/>
  <c r="GC44" i="99" s="1"/>
  <c r="FY50" i="99"/>
  <c r="FZ50" i="99" s="1"/>
  <c r="GA50" i="99" s="1"/>
  <c r="GB50" i="99" s="1"/>
  <c r="GC50" i="99" s="1"/>
  <c r="FY78" i="99"/>
  <c r="FZ78" i="99" s="1"/>
  <c r="GA78" i="99" s="1"/>
  <c r="GB78" i="99" s="1"/>
  <c r="GC78" i="99" s="1"/>
  <c r="FY89" i="99"/>
  <c r="FZ89" i="99" s="1"/>
  <c r="GA89" i="99" s="1"/>
  <c r="GB89" i="99" s="1"/>
  <c r="GC89" i="99" s="1"/>
  <c r="FY37" i="99"/>
  <c r="FZ37" i="99" s="1"/>
  <c r="GA37" i="99" s="1"/>
  <c r="GB37" i="99" s="1"/>
  <c r="GC37" i="99" s="1"/>
  <c r="FY30" i="99"/>
  <c r="FZ30" i="99" s="1"/>
  <c r="GA30" i="99" s="1"/>
  <c r="GB30" i="99" s="1"/>
  <c r="GC30" i="99" s="1"/>
  <c r="FY47" i="99"/>
  <c r="FZ47" i="99" s="1"/>
  <c r="GA47" i="99" s="1"/>
  <c r="GB47" i="99" s="1"/>
  <c r="GC47" i="99" s="1"/>
  <c r="FY81" i="99"/>
  <c r="FZ81" i="99" s="1"/>
  <c r="GA81" i="99" s="1"/>
  <c r="GB81" i="99" s="1"/>
  <c r="GC81" i="99" s="1"/>
  <c r="FY95" i="99"/>
  <c r="FZ95" i="99" s="1"/>
  <c r="GA95" i="99" s="1"/>
  <c r="GB95" i="99" s="1"/>
  <c r="GC95" i="99" s="1"/>
  <c r="FY73" i="99"/>
  <c r="FZ73" i="99" s="1"/>
  <c r="GA73" i="99" s="1"/>
  <c r="GB73" i="99" s="1"/>
  <c r="GC73" i="99" s="1"/>
  <c r="FY45" i="99"/>
  <c r="FZ45" i="99" s="1"/>
  <c r="GA45" i="99" s="1"/>
  <c r="GB45" i="99" s="1"/>
  <c r="GC45" i="99" s="1"/>
  <c r="FY51" i="99"/>
  <c r="FZ51" i="99" s="1"/>
  <c r="GA51" i="99" s="1"/>
  <c r="GB51" i="99" s="1"/>
  <c r="GC51" i="99" s="1"/>
  <c r="FY60" i="99"/>
  <c r="FZ60" i="99" s="1"/>
  <c r="GA60" i="99" s="1"/>
  <c r="GB60" i="99" s="1"/>
  <c r="GC60" i="99" s="1"/>
  <c r="FY79" i="99"/>
  <c r="FZ79" i="99" s="1"/>
  <c r="GA79" i="99" s="1"/>
  <c r="GB79" i="99" s="1"/>
  <c r="GC79" i="99" s="1"/>
  <c r="FY80" i="99"/>
  <c r="FZ80" i="99" s="1"/>
  <c r="GA80" i="99" s="1"/>
  <c r="GB80" i="99" s="1"/>
  <c r="GC80" i="99" s="1"/>
  <c r="FY88" i="99"/>
  <c r="FZ88" i="99" s="1"/>
  <c r="GA88" i="99" s="1"/>
  <c r="GB88" i="99" s="1"/>
  <c r="GC88" i="99" s="1"/>
  <c r="FY94" i="99"/>
  <c r="FZ94" i="99" s="1"/>
  <c r="GA94" i="99" s="1"/>
  <c r="GB94" i="99" s="1"/>
  <c r="GC94" i="99" s="1"/>
  <c r="FY106" i="99"/>
  <c r="FZ106" i="99" s="1"/>
  <c r="GA106" i="99" s="1"/>
  <c r="GB106" i="99" s="1"/>
  <c r="GC106" i="99" s="1"/>
  <c r="FY11" i="99"/>
  <c r="FZ11" i="99" s="1"/>
  <c r="GA11" i="99" s="1"/>
  <c r="GB11" i="99" s="1"/>
  <c r="GC11" i="99" s="1"/>
  <c r="FY46" i="99"/>
  <c r="FZ46" i="99" s="1"/>
  <c r="GA46" i="99" s="1"/>
  <c r="GB46" i="99" s="1"/>
  <c r="GC46" i="99" s="1"/>
  <c r="FY21" i="99"/>
  <c r="FZ21" i="99" s="1"/>
  <c r="GA21" i="99" s="1"/>
  <c r="GB21" i="99" s="1"/>
  <c r="GC21" i="99" s="1"/>
  <c r="FY82" i="99"/>
  <c r="FZ82" i="99" s="1"/>
  <c r="GA82" i="99" s="1"/>
  <c r="GB82" i="99" s="1"/>
  <c r="GC82" i="99" s="1"/>
  <c r="FY101" i="99"/>
  <c r="FZ101" i="99" s="1"/>
  <c r="GA101" i="99" s="1"/>
  <c r="GB101" i="99" s="1"/>
  <c r="GC101" i="99" s="1"/>
  <c r="FY99" i="99"/>
  <c r="FZ99" i="99" s="1"/>
  <c r="GA99" i="99" s="1"/>
  <c r="GB99" i="99" s="1"/>
  <c r="GC99" i="99" s="1"/>
  <c r="FY91" i="99"/>
  <c r="FZ91" i="99" s="1"/>
  <c r="GA91" i="99" s="1"/>
  <c r="GB91" i="99" s="1"/>
  <c r="GC91" i="99" s="1"/>
  <c r="FY104" i="99"/>
  <c r="FZ104" i="99" s="1"/>
  <c r="GA104" i="99" s="1"/>
  <c r="GB104" i="99" s="1"/>
  <c r="GC104" i="99" s="1"/>
  <c r="FY108" i="99"/>
  <c r="FZ108" i="99" s="1"/>
  <c r="GA108" i="99" s="1"/>
  <c r="GB108" i="99" s="1"/>
  <c r="GC108" i="99" s="1"/>
  <c r="FY105" i="99"/>
  <c r="FZ105" i="99" s="1"/>
  <c r="GA105" i="99" s="1"/>
  <c r="GB105" i="99" s="1"/>
  <c r="GC105" i="99" s="1"/>
  <c r="FY97" i="99"/>
  <c r="FZ97" i="99" s="1"/>
  <c r="GA97" i="99" s="1"/>
  <c r="GB97" i="99" s="1"/>
  <c r="GC97" i="99" s="1"/>
  <c r="FY107" i="99"/>
  <c r="FZ107" i="99" s="1"/>
  <c r="GA107" i="99" s="1"/>
  <c r="GB107" i="99" s="1"/>
  <c r="GC107" i="99" s="1"/>
  <c r="CA88" i="99"/>
  <c r="CB88" i="99" s="1"/>
  <c r="CC88" i="99" s="1"/>
  <c r="CD88" i="99" s="1"/>
  <c r="CE88" i="99" s="1"/>
  <c r="CA93" i="99"/>
  <c r="CB93" i="99" s="1"/>
  <c r="CC93" i="99" s="1"/>
  <c r="CD93" i="99" s="1"/>
  <c r="CE93" i="99" s="1"/>
  <c r="CA108" i="99"/>
  <c r="CB108" i="99" s="1"/>
  <c r="CC108" i="99" s="1"/>
  <c r="CD108" i="99" s="1"/>
  <c r="CE108" i="99" s="1"/>
  <c r="CA77" i="99"/>
  <c r="CB77" i="99" s="1"/>
  <c r="CC77" i="99" s="1"/>
  <c r="CD77" i="99" s="1"/>
  <c r="CE77" i="99" s="1"/>
  <c r="CA96" i="99"/>
  <c r="CB96" i="99" s="1"/>
  <c r="CC96" i="99" s="1"/>
  <c r="CD96" i="99" s="1"/>
  <c r="CE96" i="99" s="1"/>
  <c r="CA100" i="99"/>
  <c r="CB100" i="99" s="1"/>
  <c r="CC100" i="99" s="1"/>
  <c r="CD100" i="99" s="1"/>
  <c r="CE100" i="99" s="1"/>
  <c r="CA94" i="99"/>
  <c r="CB94" i="99" s="1"/>
  <c r="CC94" i="99" s="1"/>
  <c r="CD94" i="99" s="1"/>
  <c r="CE94" i="99" s="1"/>
  <c r="CA104" i="99"/>
  <c r="CB104" i="99" s="1"/>
  <c r="CC104" i="99" s="1"/>
  <c r="CD104" i="99" s="1"/>
  <c r="CE104" i="99" s="1"/>
  <c r="CA85" i="99"/>
  <c r="CB85" i="99" s="1"/>
  <c r="CC85" i="99" s="1"/>
  <c r="CD85" i="99" s="1"/>
  <c r="CE85" i="99" s="1"/>
  <c r="CA84" i="99"/>
  <c r="CB84" i="99" s="1"/>
  <c r="CC84" i="99" s="1"/>
  <c r="CD84" i="99" s="1"/>
  <c r="CE84" i="99" s="1"/>
  <c r="CA105" i="99"/>
  <c r="CB105" i="99" s="1"/>
  <c r="CC105" i="99" s="1"/>
  <c r="CD105" i="99" s="1"/>
  <c r="CE105" i="99" s="1"/>
  <c r="CA62" i="99"/>
  <c r="CB62" i="99" s="1"/>
  <c r="CC62" i="99" s="1"/>
  <c r="CD62" i="99" s="1"/>
  <c r="CE62" i="99" s="1"/>
  <c r="CA61" i="99"/>
  <c r="CB61" i="99" s="1"/>
  <c r="CC61" i="99" s="1"/>
  <c r="CD61" i="99" s="1"/>
  <c r="CE61" i="99" s="1"/>
  <c r="CA54" i="99"/>
  <c r="CB54" i="99" s="1"/>
  <c r="CC54" i="99" s="1"/>
  <c r="CD54" i="99" s="1"/>
  <c r="CE54" i="99" s="1"/>
  <c r="CA49" i="99"/>
  <c r="CB49" i="99" s="1"/>
  <c r="CC49" i="99" s="1"/>
  <c r="CD49" i="99" s="1"/>
  <c r="CE49" i="99" s="1"/>
  <c r="CA42" i="99"/>
  <c r="CB42" i="99" s="1"/>
  <c r="CC42" i="99" s="1"/>
  <c r="CD42" i="99" s="1"/>
  <c r="CE42" i="99" s="1"/>
  <c r="CA40" i="99"/>
  <c r="CB40" i="99" s="1"/>
  <c r="CC40" i="99" s="1"/>
  <c r="CD40" i="99" s="1"/>
  <c r="CE40" i="99" s="1"/>
  <c r="CA90" i="99"/>
  <c r="CB90" i="99" s="1"/>
  <c r="CC90" i="99" s="1"/>
  <c r="CD90" i="99" s="1"/>
  <c r="CE90" i="99" s="1"/>
  <c r="CA35" i="99"/>
  <c r="CB35" i="99" s="1"/>
  <c r="CC35" i="99" s="1"/>
  <c r="CD35" i="99" s="1"/>
  <c r="CE35" i="99" s="1"/>
  <c r="CA43" i="99"/>
  <c r="CB43" i="99" s="1"/>
  <c r="CC43" i="99" s="1"/>
  <c r="CD43" i="99" s="1"/>
  <c r="CE43" i="99" s="1"/>
  <c r="CA34" i="99"/>
  <c r="CB34" i="99" s="1"/>
  <c r="CC34" i="99" s="1"/>
  <c r="CD34" i="99" s="1"/>
  <c r="CE34" i="99" s="1"/>
  <c r="CA33" i="99"/>
  <c r="CB33" i="99" s="1"/>
  <c r="CC33" i="99" s="1"/>
  <c r="CD33" i="99" s="1"/>
  <c r="CE33" i="99" s="1"/>
  <c r="CA25" i="99"/>
  <c r="CB25" i="99" s="1"/>
  <c r="CC25" i="99" s="1"/>
  <c r="CD25" i="99" s="1"/>
  <c r="CE25" i="99" s="1"/>
  <c r="CA41" i="99"/>
  <c r="CB41" i="99" s="1"/>
  <c r="CC41" i="99" s="1"/>
  <c r="CD41" i="99" s="1"/>
  <c r="CE41" i="99" s="1"/>
  <c r="CA29" i="99"/>
  <c r="CB29" i="99" s="1"/>
  <c r="CC29" i="99" s="1"/>
  <c r="CD29" i="99" s="1"/>
  <c r="CE29" i="99" s="1"/>
  <c r="CA9" i="99"/>
  <c r="CB9" i="99" s="1"/>
  <c r="CC9" i="99" s="1"/>
  <c r="CD9" i="99" s="1"/>
  <c r="CA73" i="99"/>
  <c r="CB73" i="99" s="1"/>
  <c r="CC73" i="99" s="1"/>
  <c r="CD73" i="99" s="1"/>
  <c r="CE73" i="99" s="1"/>
  <c r="CA17" i="99"/>
  <c r="CB17" i="99" s="1"/>
  <c r="CC17" i="99" s="1"/>
  <c r="CD17" i="99" s="1"/>
  <c r="CE17" i="99" s="1"/>
  <c r="CA89" i="99"/>
  <c r="CB89" i="99" s="1"/>
  <c r="CC89" i="99" s="1"/>
  <c r="CD89" i="99" s="1"/>
  <c r="CE89" i="99" s="1"/>
  <c r="CA22" i="99"/>
  <c r="CB22" i="99" s="1"/>
  <c r="CC22" i="99" s="1"/>
  <c r="CD22" i="99" s="1"/>
  <c r="CE22" i="99" s="1"/>
  <c r="CA53" i="99"/>
  <c r="CB53" i="99" s="1"/>
  <c r="CC53" i="99" s="1"/>
  <c r="CD53" i="99" s="1"/>
  <c r="CE53" i="99" s="1"/>
  <c r="CA26" i="99"/>
  <c r="CB26" i="99" s="1"/>
  <c r="CC26" i="99" s="1"/>
  <c r="CD26" i="99" s="1"/>
  <c r="CE26" i="99" s="1"/>
  <c r="CA15" i="99"/>
  <c r="CB15" i="99" s="1"/>
  <c r="CC15" i="99" s="1"/>
  <c r="CD15" i="99" s="1"/>
  <c r="CE15" i="99" s="1"/>
  <c r="CA97" i="99"/>
  <c r="CB97" i="99" s="1"/>
  <c r="CC97" i="99" s="1"/>
  <c r="CD97" i="99" s="1"/>
  <c r="CE97" i="99" s="1"/>
  <c r="CA70" i="99"/>
  <c r="CB70" i="99" s="1"/>
  <c r="CC70" i="99" s="1"/>
  <c r="CD70" i="99" s="1"/>
  <c r="CE70" i="99" s="1"/>
  <c r="CA69" i="99"/>
  <c r="CB69" i="99" s="1"/>
  <c r="CC69" i="99" s="1"/>
  <c r="CD69" i="99" s="1"/>
  <c r="CE69" i="99" s="1"/>
  <c r="CA81" i="99"/>
  <c r="CB81" i="99" s="1"/>
  <c r="CC81" i="99" s="1"/>
  <c r="CD81" i="99" s="1"/>
  <c r="CE81" i="99" s="1"/>
  <c r="CA32" i="99"/>
  <c r="CB32" i="99" s="1"/>
  <c r="CC32" i="99" s="1"/>
  <c r="CD32" i="99" s="1"/>
  <c r="CE32" i="99" s="1"/>
  <c r="CA92" i="99"/>
  <c r="CB92" i="99" s="1"/>
  <c r="CC92" i="99" s="1"/>
  <c r="CD92" i="99" s="1"/>
  <c r="CE92" i="99" s="1"/>
  <c r="CA13" i="99"/>
  <c r="CB13" i="99" s="1"/>
  <c r="CC13" i="99" s="1"/>
  <c r="CD13" i="99" s="1"/>
  <c r="CE13" i="99" s="1"/>
  <c r="CA10" i="99"/>
  <c r="CB10" i="99" s="1"/>
  <c r="CC10" i="99" s="1"/>
  <c r="CD10" i="99" s="1"/>
  <c r="CE10" i="99" s="1"/>
  <c r="CA98" i="99"/>
  <c r="CB98" i="99" s="1"/>
  <c r="CC98" i="99" s="1"/>
  <c r="CD98" i="99" s="1"/>
  <c r="CE98" i="99" s="1"/>
  <c r="CA103" i="99"/>
  <c r="CB103" i="99" s="1"/>
  <c r="CC103" i="99" s="1"/>
  <c r="CD103" i="99" s="1"/>
  <c r="CE103" i="99" s="1"/>
  <c r="CA24" i="99"/>
  <c r="CB24" i="99" s="1"/>
  <c r="CC24" i="99" s="1"/>
  <c r="CD24" i="99" s="1"/>
  <c r="CE24" i="99" s="1"/>
  <c r="CA18" i="99"/>
  <c r="CB18" i="99" s="1"/>
  <c r="CC18" i="99" s="1"/>
  <c r="CD18" i="99" s="1"/>
  <c r="CE18" i="99" s="1"/>
  <c r="CA59" i="99"/>
  <c r="CB59" i="99" s="1"/>
  <c r="CC59" i="99" s="1"/>
  <c r="CD59" i="99" s="1"/>
  <c r="CE59" i="99" s="1"/>
  <c r="CA65" i="99"/>
  <c r="CB65" i="99" s="1"/>
  <c r="CC65" i="99" s="1"/>
  <c r="CD65" i="99" s="1"/>
  <c r="CE65" i="99" s="1"/>
  <c r="CA37" i="99"/>
  <c r="CB37" i="99" s="1"/>
  <c r="CC37" i="99" s="1"/>
  <c r="CD37" i="99" s="1"/>
  <c r="CE37" i="99" s="1"/>
  <c r="CA45" i="99"/>
  <c r="CB45" i="99" s="1"/>
  <c r="CC45" i="99" s="1"/>
  <c r="CD45" i="99" s="1"/>
  <c r="CE45" i="99" s="1"/>
  <c r="CA21" i="99"/>
  <c r="CB21" i="99" s="1"/>
  <c r="CC21" i="99" s="1"/>
  <c r="CD21" i="99" s="1"/>
  <c r="CE21" i="99" s="1"/>
  <c r="CA64" i="99"/>
  <c r="CB64" i="99" s="1"/>
  <c r="CC64" i="99" s="1"/>
  <c r="CD64" i="99" s="1"/>
  <c r="CE64" i="99" s="1"/>
  <c r="CA68" i="99"/>
  <c r="CB68" i="99" s="1"/>
  <c r="CC68" i="99" s="1"/>
  <c r="CD68" i="99" s="1"/>
  <c r="CE68" i="99" s="1"/>
  <c r="CA67" i="99"/>
  <c r="CB67" i="99" s="1"/>
  <c r="CC67" i="99" s="1"/>
  <c r="CD67" i="99" s="1"/>
  <c r="CE67" i="99" s="1"/>
  <c r="CA86" i="99"/>
  <c r="CB86" i="99" s="1"/>
  <c r="CC86" i="99" s="1"/>
  <c r="CD86" i="99" s="1"/>
  <c r="CE86" i="99" s="1"/>
  <c r="CA78" i="99"/>
  <c r="CB78" i="99" s="1"/>
  <c r="CC78" i="99" s="1"/>
  <c r="CD78" i="99" s="1"/>
  <c r="CE78" i="99" s="1"/>
  <c r="CA82" i="99"/>
  <c r="CB82" i="99" s="1"/>
  <c r="CC82" i="99" s="1"/>
  <c r="CD82" i="99" s="1"/>
  <c r="CE82" i="99" s="1"/>
  <c r="CA106" i="99"/>
  <c r="CB106" i="99" s="1"/>
  <c r="CC106" i="99" s="1"/>
  <c r="CD106" i="99" s="1"/>
  <c r="CE106" i="99" s="1"/>
  <c r="CA27" i="99"/>
  <c r="CB27" i="99" s="1"/>
  <c r="CC27" i="99" s="1"/>
  <c r="CD27" i="99" s="1"/>
  <c r="CE27" i="99" s="1"/>
  <c r="CA38" i="99"/>
  <c r="CB38" i="99" s="1"/>
  <c r="CC38" i="99" s="1"/>
  <c r="CD38" i="99" s="1"/>
  <c r="CE38" i="99" s="1"/>
  <c r="CA47" i="99"/>
  <c r="CB47" i="99" s="1"/>
  <c r="CC47" i="99" s="1"/>
  <c r="CD47" i="99" s="1"/>
  <c r="CE47" i="99" s="1"/>
  <c r="CA52" i="99"/>
  <c r="CB52" i="99" s="1"/>
  <c r="CC52" i="99" s="1"/>
  <c r="CD52" i="99" s="1"/>
  <c r="CE52" i="99" s="1"/>
  <c r="CA55" i="99"/>
  <c r="CB55" i="99" s="1"/>
  <c r="CC55" i="99" s="1"/>
  <c r="CD55" i="99" s="1"/>
  <c r="CE55" i="99" s="1"/>
  <c r="CA87" i="99"/>
  <c r="CB87" i="99" s="1"/>
  <c r="CC87" i="99" s="1"/>
  <c r="CD87" i="99" s="1"/>
  <c r="CE87" i="99" s="1"/>
  <c r="CA19" i="99"/>
  <c r="CB19" i="99" s="1"/>
  <c r="CC19" i="99" s="1"/>
  <c r="CD19" i="99" s="1"/>
  <c r="CE19" i="99" s="1"/>
  <c r="CA11" i="99"/>
  <c r="CB11" i="99" s="1"/>
  <c r="CC11" i="99" s="1"/>
  <c r="CD11" i="99" s="1"/>
  <c r="CE11" i="99" s="1"/>
  <c r="CA20" i="99"/>
  <c r="CB20" i="99" s="1"/>
  <c r="CC20" i="99" s="1"/>
  <c r="CD20" i="99" s="1"/>
  <c r="CE20" i="99" s="1"/>
  <c r="CA14" i="99"/>
  <c r="CB14" i="99" s="1"/>
  <c r="CC14" i="99" s="1"/>
  <c r="CD14" i="99" s="1"/>
  <c r="CE14" i="99" s="1"/>
  <c r="CA63" i="99"/>
  <c r="CB63" i="99" s="1"/>
  <c r="CC63" i="99" s="1"/>
  <c r="CD63" i="99" s="1"/>
  <c r="CE63" i="99" s="1"/>
  <c r="CA66" i="99"/>
  <c r="CB66" i="99" s="1"/>
  <c r="CC66" i="99" s="1"/>
  <c r="CD66" i="99" s="1"/>
  <c r="CE66" i="99" s="1"/>
  <c r="CA44" i="99"/>
  <c r="CB44" i="99" s="1"/>
  <c r="CC44" i="99" s="1"/>
  <c r="CD44" i="99" s="1"/>
  <c r="CE44" i="99" s="1"/>
  <c r="CA57" i="99"/>
  <c r="CB57" i="99" s="1"/>
  <c r="CC57" i="99" s="1"/>
  <c r="CD57" i="99" s="1"/>
  <c r="CE57" i="99" s="1"/>
  <c r="CA91" i="99"/>
  <c r="CB91" i="99" s="1"/>
  <c r="CC91" i="99" s="1"/>
  <c r="CD91" i="99" s="1"/>
  <c r="CE91" i="99" s="1"/>
  <c r="CA58" i="99"/>
  <c r="CB58" i="99" s="1"/>
  <c r="CC58" i="99" s="1"/>
  <c r="CD58" i="99" s="1"/>
  <c r="CE58" i="99" s="1"/>
  <c r="CA48" i="99"/>
  <c r="CB48" i="99" s="1"/>
  <c r="CC48" i="99" s="1"/>
  <c r="CD48" i="99" s="1"/>
  <c r="CE48" i="99" s="1"/>
  <c r="CA75" i="99"/>
  <c r="CB75" i="99" s="1"/>
  <c r="CC75" i="99" s="1"/>
  <c r="CD75" i="99" s="1"/>
  <c r="CE75" i="99" s="1"/>
  <c r="CA83" i="99"/>
  <c r="CB83" i="99" s="1"/>
  <c r="CC83" i="99" s="1"/>
  <c r="CD83" i="99" s="1"/>
  <c r="CE83" i="99" s="1"/>
  <c r="CA16" i="99"/>
  <c r="CB16" i="99" s="1"/>
  <c r="CC16" i="99" s="1"/>
  <c r="CD16" i="99" s="1"/>
  <c r="CE16" i="99" s="1"/>
  <c r="CA51" i="99"/>
  <c r="CB51" i="99" s="1"/>
  <c r="CC51" i="99" s="1"/>
  <c r="CD51" i="99" s="1"/>
  <c r="CE51" i="99" s="1"/>
  <c r="CA72" i="99"/>
  <c r="CB72" i="99" s="1"/>
  <c r="CC72" i="99" s="1"/>
  <c r="CD72" i="99" s="1"/>
  <c r="CE72" i="99" s="1"/>
  <c r="CA80" i="99"/>
  <c r="CB80" i="99" s="1"/>
  <c r="CC80" i="99" s="1"/>
  <c r="CD80" i="99" s="1"/>
  <c r="CE80" i="99" s="1"/>
  <c r="CA101" i="99"/>
  <c r="CB101" i="99" s="1"/>
  <c r="CC101" i="99" s="1"/>
  <c r="CD101" i="99" s="1"/>
  <c r="CE101" i="99" s="1"/>
  <c r="CA30" i="99"/>
  <c r="CB30" i="99" s="1"/>
  <c r="CC30" i="99" s="1"/>
  <c r="CD30" i="99" s="1"/>
  <c r="CE30" i="99" s="1"/>
  <c r="CA28" i="99"/>
  <c r="CB28" i="99" s="1"/>
  <c r="CC28" i="99" s="1"/>
  <c r="CD28" i="99" s="1"/>
  <c r="CE28" i="99" s="1"/>
  <c r="CA56" i="99"/>
  <c r="CB56" i="99" s="1"/>
  <c r="CC56" i="99" s="1"/>
  <c r="CD56" i="99" s="1"/>
  <c r="CE56" i="99" s="1"/>
  <c r="CA39" i="99"/>
  <c r="CB39" i="99" s="1"/>
  <c r="CC39" i="99" s="1"/>
  <c r="CD39" i="99" s="1"/>
  <c r="CE39" i="99" s="1"/>
  <c r="CA74" i="99"/>
  <c r="CB74" i="99" s="1"/>
  <c r="CC74" i="99" s="1"/>
  <c r="CD74" i="99" s="1"/>
  <c r="CE74" i="99" s="1"/>
  <c r="CA76" i="99"/>
  <c r="CB76" i="99" s="1"/>
  <c r="CC76" i="99" s="1"/>
  <c r="CD76" i="99" s="1"/>
  <c r="CE76" i="99" s="1"/>
  <c r="CA46" i="99"/>
  <c r="CB46" i="99" s="1"/>
  <c r="CC46" i="99" s="1"/>
  <c r="CD46" i="99" s="1"/>
  <c r="CE46" i="99" s="1"/>
  <c r="CA12" i="99"/>
  <c r="CB12" i="99" s="1"/>
  <c r="CC12" i="99" s="1"/>
  <c r="CD12" i="99" s="1"/>
  <c r="CE12" i="99" s="1"/>
  <c r="CA60" i="99"/>
  <c r="CB60" i="99" s="1"/>
  <c r="CC60" i="99" s="1"/>
  <c r="CD60" i="99" s="1"/>
  <c r="CE60" i="99" s="1"/>
  <c r="CA36" i="99"/>
  <c r="CB36" i="99" s="1"/>
  <c r="CC36" i="99" s="1"/>
  <c r="CD36" i="99" s="1"/>
  <c r="CE36" i="99" s="1"/>
  <c r="CA23" i="99"/>
  <c r="CB23" i="99" s="1"/>
  <c r="CC23" i="99" s="1"/>
  <c r="CD23" i="99" s="1"/>
  <c r="CE23" i="99" s="1"/>
  <c r="CA31" i="99"/>
  <c r="CB31" i="99" s="1"/>
  <c r="CC31" i="99" s="1"/>
  <c r="CD31" i="99" s="1"/>
  <c r="CE31" i="99" s="1"/>
  <c r="CA50" i="99"/>
  <c r="CB50" i="99" s="1"/>
  <c r="CC50" i="99" s="1"/>
  <c r="CD50" i="99" s="1"/>
  <c r="CE50" i="99" s="1"/>
  <c r="CA71" i="99"/>
  <c r="CB71" i="99" s="1"/>
  <c r="CC71" i="99" s="1"/>
  <c r="CD71" i="99" s="1"/>
  <c r="CE71" i="99" s="1"/>
  <c r="CA79" i="99"/>
  <c r="CB79" i="99" s="1"/>
  <c r="CC79" i="99" s="1"/>
  <c r="CD79" i="99" s="1"/>
  <c r="CE79" i="99" s="1"/>
  <c r="CA95" i="99"/>
  <c r="CB95" i="99" s="1"/>
  <c r="CC95" i="99" s="1"/>
  <c r="CD95" i="99" s="1"/>
  <c r="CE95" i="99" s="1"/>
  <c r="CA99" i="99"/>
  <c r="CB99" i="99" s="1"/>
  <c r="CC99" i="99" s="1"/>
  <c r="CD99" i="99" s="1"/>
  <c r="CE99" i="99" s="1"/>
  <c r="CA107" i="99"/>
  <c r="CB107" i="99" s="1"/>
  <c r="CC107" i="99" s="1"/>
  <c r="CD107" i="99" s="1"/>
  <c r="CE107" i="99" s="1"/>
  <c r="CA102" i="99"/>
  <c r="CB102" i="99" s="1"/>
  <c r="CC102" i="99" s="1"/>
  <c r="CD102" i="99" s="1"/>
  <c r="CE102" i="99" s="1"/>
  <c r="BO84" i="99"/>
  <c r="BP84" i="99" s="1"/>
  <c r="BQ84" i="99" s="1"/>
  <c r="BR84" i="99" s="1"/>
  <c r="BS84" i="99" s="1"/>
  <c r="BO108" i="99"/>
  <c r="BP108" i="99" s="1"/>
  <c r="BQ108" i="99" s="1"/>
  <c r="BR108" i="99" s="1"/>
  <c r="BS108" i="99" s="1"/>
  <c r="BO77" i="99"/>
  <c r="BP77" i="99" s="1"/>
  <c r="BQ77" i="99" s="1"/>
  <c r="BR77" i="99" s="1"/>
  <c r="BS77" i="99" s="1"/>
  <c r="BO71" i="99"/>
  <c r="BP71" i="99" s="1"/>
  <c r="BQ71" i="99" s="1"/>
  <c r="BR71" i="99" s="1"/>
  <c r="BS71" i="99" s="1"/>
  <c r="BO53" i="99"/>
  <c r="BP53" i="99" s="1"/>
  <c r="BQ53" i="99" s="1"/>
  <c r="BR53" i="99" s="1"/>
  <c r="BS53" i="99" s="1"/>
  <c r="BO86" i="99"/>
  <c r="BP86" i="99" s="1"/>
  <c r="BQ86" i="99" s="1"/>
  <c r="BR86" i="99" s="1"/>
  <c r="BS86" i="99" s="1"/>
  <c r="BO94" i="99"/>
  <c r="BP94" i="99" s="1"/>
  <c r="BQ94" i="99" s="1"/>
  <c r="BR94" i="99" s="1"/>
  <c r="BS94" i="99" s="1"/>
  <c r="BO93" i="99"/>
  <c r="BP93" i="99" s="1"/>
  <c r="BQ93" i="99" s="1"/>
  <c r="BR93" i="99" s="1"/>
  <c r="BS93" i="99" s="1"/>
  <c r="BO47" i="99"/>
  <c r="BP47" i="99" s="1"/>
  <c r="BQ47" i="99" s="1"/>
  <c r="BR47" i="99" s="1"/>
  <c r="BS47" i="99" s="1"/>
  <c r="BO62" i="99"/>
  <c r="BP62" i="99" s="1"/>
  <c r="BQ62" i="99" s="1"/>
  <c r="BR62" i="99" s="1"/>
  <c r="BS62" i="99" s="1"/>
  <c r="BO51" i="99"/>
  <c r="BP51" i="99" s="1"/>
  <c r="BQ51" i="99" s="1"/>
  <c r="BR51" i="99" s="1"/>
  <c r="BS51" i="99" s="1"/>
  <c r="BO34" i="99"/>
  <c r="BP34" i="99" s="1"/>
  <c r="BQ34" i="99" s="1"/>
  <c r="BR34" i="99" s="1"/>
  <c r="BS34" i="99" s="1"/>
  <c r="BO22" i="99"/>
  <c r="BP22" i="99" s="1"/>
  <c r="BQ22" i="99" s="1"/>
  <c r="BR22" i="99" s="1"/>
  <c r="BS22" i="99" s="1"/>
  <c r="BO21" i="99"/>
  <c r="BP21" i="99" s="1"/>
  <c r="BQ21" i="99" s="1"/>
  <c r="BR21" i="99" s="1"/>
  <c r="BS21" i="99" s="1"/>
  <c r="BO49" i="99"/>
  <c r="BP49" i="99" s="1"/>
  <c r="BQ49" i="99" s="1"/>
  <c r="BR49" i="99" s="1"/>
  <c r="BS49" i="99" s="1"/>
  <c r="BO26" i="99"/>
  <c r="BP26" i="99" s="1"/>
  <c r="BQ26" i="99" s="1"/>
  <c r="BR26" i="99" s="1"/>
  <c r="BS26" i="99" s="1"/>
  <c r="BO100" i="99"/>
  <c r="BP100" i="99" s="1"/>
  <c r="BQ100" i="99" s="1"/>
  <c r="BR100" i="99" s="1"/>
  <c r="BS100" i="99" s="1"/>
  <c r="BO39" i="99"/>
  <c r="BP39" i="99" s="1"/>
  <c r="BQ39" i="99" s="1"/>
  <c r="BR39" i="99" s="1"/>
  <c r="BS39" i="99" s="1"/>
  <c r="BO63" i="99"/>
  <c r="BP63" i="99" s="1"/>
  <c r="BQ63" i="99" s="1"/>
  <c r="BR63" i="99" s="1"/>
  <c r="BS63" i="99" s="1"/>
  <c r="BO42" i="99"/>
  <c r="BP42" i="99" s="1"/>
  <c r="BQ42" i="99" s="1"/>
  <c r="BR42" i="99" s="1"/>
  <c r="BS42" i="99" s="1"/>
  <c r="BO40" i="99"/>
  <c r="BP40" i="99" s="1"/>
  <c r="BQ40" i="99" s="1"/>
  <c r="BR40" i="99" s="1"/>
  <c r="BS40" i="99" s="1"/>
  <c r="BO69" i="99"/>
  <c r="BP69" i="99" s="1"/>
  <c r="BQ69" i="99" s="1"/>
  <c r="BR69" i="99" s="1"/>
  <c r="BS69" i="99" s="1"/>
  <c r="BO50" i="99"/>
  <c r="BP50" i="99" s="1"/>
  <c r="BQ50" i="99" s="1"/>
  <c r="BR50" i="99" s="1"/>
  <c r="BS50" i="99" s="1"/>
  <c r="BO33" i="99"/>
  <c r="BP33" i="99" s="1"/>
  <c r="BQ33" i="99" s="1"/>
  <c r="BR33" i="99" s="1"/>
  <c r="BS33" i="99" s="1"/>
  <c r="BO54" i="99"/>
  <c r="BP54" i="99" s="1"/>
  <c r="BQ54" i="99" s="1"/>
  <c r="BR54" i="99" s="1"/>
  <c r="BS54" i="99" s="1"/>
  <c r="BO29" i="99"/>
  <c r="BP29" i="99" s="1"/>
  <c r="BQ29" i="99" s="1"/>
  <c r="BR29" i="99" s="1"/>
  <c r="BS29" i="99" s="1"/>
  <c r="BO15" i="99"/>
  <c r="BP15" i="99" s="1"/>
  <c r="BQ15" i="99" s="1"/>
  <c r="BR15" i="99" s="1"/>
  <c r="BS15" i="99" s="1"/>
  <c r="BO41" i="99"/>
  <c r="BP41" i="99" s="1"/>
  <c r="BQ41" i="99" s="1"/>
  <c r="BR41" i="99" s="1"/>
  <c r="BS41" i="99" s="1"/>
  <c r="BO25" i="99"/>
  <c r="BP25" i="99" s="1"/>
  <c r="BQ25" i="99" s="1"/>
  <c r="BR25" i="99" s="1"/>
  <c r="BS25" i="99" s="1"/>
  <c r="BO66" i="99"/>
  <c r="BP66" i="99" s="1"/>
  <c r="BQ66" i="99" s="1"/>
  <c r="BR66" i="99" s="1"/>
  <c r="BS66" i="99" s="1"/>
  <c r="BO17" i="99"/>
  <c r="BP17" i="99" s="1"/>
  <c r="BQ17" i="99" s="1"/>
  <c r="BR17" i="99" s="1"/>
  <c r="BS17" i="99" s="1"/>
  <c r="BO78" i="99"/>
  <c r="BP78" i="99" s="1"/>
  <c r="BQ78" i="99" s="1"/>
  <c r="BR78" i="99" s="1"/>
  <c r="BS78" i="99" s="1"/>
  <c r="BO9" i="99"/>
  <c r="BP9" i="99" s="1"/>
  <c r="BQ9" i="99" s="1"/>
  <c r="BR9" i="99" s="1"/>
  <c r="BO70" i="99"/>
  <c r="BP70" i="99" s="1"/>
  <c r="BQ70" i="99" s="1"/>
  <c r="BR70" i="99" s="1"/>
  <c r="BS70" i="99" s="1"/>
  <c r="BO98" i="99"/>
  <c r="BP98" i="99" s="1"/>
  <c r="BQ98" i="99" s="1"/>
  <c r="BR98" i="99" s="1"/>
  <c r="BS98" i="99" s="1"/>
  <c r="BO74" i="99"/>
  <c r="BP74" i="99" s="1"/>
  <c r="BQ74" i="99" s="1"/>
  <c r="BR74" i="99" s="1"/>
  <c r="BS74" i="99" s="1"/>
  <c r="BO10" i="99"/>
  <c r="BP10" i="99" s="1"/>
  <c r="BQ10" i="99" s="1"/>
  <c r="BR10" i="99" s="1"/>
  <c r="BS10" i="99" s="1"/>
  <c r="BO55" i="99"/>
  <c r="BP55" i="99" s="1"/>
  <c r="BQ55" i="99" s="1"/>
  <c r="BR55" i="99" s="1"/>
  <c r="BS55" i="99" s="1"/>
  <c r="BO73" i="99"/>
  <c r="BP73" i="99" s="1"/>
  <c r="BQ73" i="99" s="1"/>
  <c r="BR73" i="99" s="1"/>
  <c r="BS73" i="99" s="1"/>
  <c r="BO32" i="99"/>
  <c r="BP32" i="99" s="1"/>
  <c r="BQ32" i="99" s="1"/>
  <c r="BR32" i="99" s="1"/>
  <c r="BS32" i="99" s="1"/>
  <c r="BO92" i="99"/>
  <c r="BP92" i="99" s="1"/>
  <c r="BQ92" i="99" s="1"/>
  <c r="BR92" i="99" s="1"/>
  <c r="BS92" i="99" s="1"/>
  <c r="BO61" i="99"/>
  <c r="BP61" i="99" s="1"/>
  <c r="BQ61" i="99" s="1"/>
  <c r="BR61" i="99" s="1"/>
  <c r="BS61" i="99" s="1"/>
  <c r="BO11" i="99"/>
  <c r="BP11" i="99" s="1"/>
  <c r="BQ11" i="99" s="1"/>
  <c r="BR11" i="99" s="1"/>
  <c r="BS11" i="99" s="1"/>
  <c r="BO90" i="99"/>
  <c r="BP90" i="99" s="1"/>
  <c r="BQ90" i="99" s="1"/>
  <c r="BR90" i="99" s="1"/>
  <c r="BS90" i="99" s="1"/>
  <c r="BO97" i="99"/>
  <c r="BP97" i="99" s="1"/>
  <c r="BQ97" i="99" s="1"/>
  <c r="BR97" i="99" s="1"/>
  <c r="BS97" i="99" s="1"/>
  <c r="BO28" i="99"/>
  <c r="BP28" i="99" s="1"/>
  <c r="BQ28" i="99" s="1"/>
  <c r="BR28" i="99" s="1"/>
  <c r="BS28" i="99" s="1"/>
  <c r="BO18" i="99"/>
  <c r="BP18" i="99" s="1"/>
  <c r="BQ18" i="99" s="1"/>
  <c r="BR18" i="99" s="1"/>
  <c r="BS18" i="99" s="1"/>
  <c r="BO14" i="99"/>
  <c r="BP14" i="99" s="1"/>
  <c r="BQ14" i="99" s="1"/>
  <c r="BR14" i="99" s="1"/>
  <c r="BS14" i="99" s="1"/>
  <c r="BO65" i="99"/>
  <c r="BP65" i="99" s="1"/>
  <c r="BQ65" i="99" s="1"/>
  <c r="BR65" i="99" s="1"/>
  <c r="BS65" i="99" s="1"/>
  <c r="BO24" i="99"/>
  <c r="BP24" i="99" s="1"/>
  <c r="BQ24" i="99" s="1"/>
  <c r="BR24" i="99" s="1"/>
  <c r="BS24" i="99" s="1"/>
  <c r="BO59" i="99"/>
  <c r="BP59" i="99" s="1"/>
  <c r="BQ59" i="99" s="1"/>
  <c r="BR59" i="99" s="1"/>
  <c r="BS59" i="99" s="1"/>
  <c r="BO81" i="99"/>
  <c r="BP81" i="99" s="1"/>
  <c r="BQ81" i="99" s="1"/>
  <c r="BR81" i="99" s="1"/>
  <c r="BS81" i="99" s="1"/>
  <c r="BO85" i="99"/>
  <c r="BP85" i="99" s="1"/>
  <c r="BQ85" i="99" s="1"/>
  <c r="BR85" i="99" s="1"/>
  <c r="BS85" i="99" s="1"/>
  <c r="BO58" i="99"/>
  <c r="BP58" i="99" s="1"/>
  <c r="BQ58" i="99" s="1"/>
  <c r="BR58" i="99" s="1"/>
  <c r="BS58" i="99" s="1"/>
  <c r="BO68" i="99"/>
  <c r="BP68" i="99" s="1"/>
  <c r="BQ68" i="99" s="1"/>
  <c r="BR68" i="99" s="1"/>
  <c r="BS68" i="99" s="1"/>
  <c r="BO76" i="99"/>
  <c r="BP76" i="99" s="1"/>
  <c r="BQ76" i="99" s="1"/>
  <c r="BR76" i="99" s="1"/>
  <c r="BS76" i="99" s="1"/>
  <c r="BO82" i="99"/>
  <c r="BP82" i="99" s="1"/>
  <c r="BQ82" i="99" s="1"/>
  <c r="BR82" i="99" s="1"/>
  <c r="BS82" i="99" s="1"/>
  <c r="BO83" i="99"/>
  <c r="BP83" i="99" s="1"/>
  <c r="BQ83" i="99" s="1"/>
  <c r="BR83" i="99" s="1"/>
  <c r="BS83" i="99" s="1"/>
  <c r="BO13" i="99"/>
  <c r="BP13" i="99" s="1"/>
  <c r="BQ13" i="99" s="1"/>
  <c r="BR13" i="99" s="1"/>
  <c r="BS13" i="99" s="1"/>
  <c r="BO56" i="99"/>
  <c r="BP56" i="99" s="1"/>
  <c r="BQ56" i="99" s="1"/>
  <c r="BR56" i="99" s="1"/>
  <c r="BS56" i="99" s="1"/>
  <c r="BO36" i="99"/>
  <c r="BP36" i="99" s="1"/>
  <c r="BQ36" i="99" s="1"/>
  <c r="BR36" i="99" s="1"/>
  <c r="BS36" i="99" s="1"/>
  <c r="BO48" i="99"/>
  <c r="BP48" i="99" s="1"/>
  <c r="BQ48" i="99" s="1"/>
  <c r="BR48" i="99" s="1"/>
  <c r="BS48" i="99" s="1"/>
  <c r="BO96" i="99"/>
  <c r="BP96" i="99" s="1"/>
  <c r="BQ96" i="99" s="1"/>
  <c r="BR96" i="99" s="1"/>
  <c r="BS96" i="99" s="1"/>
  <c r="BO37" i="99"/>
  <c r="BP37" i="99" s="1"/>
  <c r="BQ37" i="99" s="1"/>
  <c r="BR37" i="99" s="1"/>
  <c r="BS37" i="99" s="1"/>
  <c r="BO67" i="99"/>
  <c r="BP67" i="99" s="1"/>
  <c r="BQ67" i="99" s="1"/>
  <c r="BR67" i="99" s="1"/>
  <c r="BS67" i="99" s="1"/>
  <c r="BO89" i="99"/>
  <c r="BP89" i="99" s="1"/>
  <c r="BQ89" i="99" s="1"/>
  <c r="BR89" i="99" s="1"/>
  <c r="BS89" i="99" s="1"/>
  <c r="BO19" i="99"/>
  <c r="BP19" i="99" s="1"/>
  <c r="BQ19" i="99" s="1"/>
  <c r="BR19" i="99" s="1"/>
  <c r="BS19" i="99" s="1"/>
  <c r="BO27" i="99"/>
  <c r="BP27" i="99" s="1"/>
  <c r="BQ27" i="99" s="1"/>
  <c r="BR27" i="99" s="1"/>
  <c r="BS27" i="99" s="1"/>
  <c r="BO16" i="99"/>
  <c r="BP16" i="99" s="1"/>
  <c r="BQ16" i="99" s="1"/>
  <c r="BR16" i="99" s="1"/>
  <c r="BS16" i="99" s="1"/>
  <c r="BO12" i="99"/>
  <c r="BP12" i="99" s="1"/>
  <c r="BQ12" i="99" s="1"/>
  <c r="BR12" i="99" s="1"/>
  <c r="BS12" i="99" s="1"/>
  <c r="BO35" i="99"/>
  <c r="BP35" i="99" s="1"/>
  <c r="BQ35" i="99" s="1"/>
  <c r="BR35" i="99" s="1"/>
  <c r="BS35" i="99" s="1"/>
  <c r="BO60" i="99"/>
  <c r="BP60" i="99" s="1"/>
  <c r="BQ60" i="99" s="1"/>
  <c r="BR60" i="99" s="1"/>
  <c r="BS60" i="99" s="1"/>
  <c r="BO38" i="99"/>
  <c r="BP38" i="99" s="1"/>
  <c r="BQ38" i="99" s="1"/>
  <c r="BR38" i="99" s="1"/>
  <c r="BS38" i="99" s="1"/>
  <c r="BO64" i="99"/>
  <c r="BP64" i="99" s="1"/>
  <c r="BQ64" i="99" s="1"/>
  <c r="BR64" i="99" s="1"/>
  <c r="BS64" i="99" s="1"/>
  <c r="BO57" i="99"/>
  <c r="BP57" i="99" s="1"/>
  <c r="BQ57" i="99" s="1"/>
  <c r="BR57" i="99" s="1"/>
  <c r="BS57" i="99" s="1"/>
  <c r="BO43" i="99"/>
  <c r="BP43" i="99" s="1"/>
  <c r="BQ43" i="99" s="1"/>
  <c r="BR43" i="99" s="1"/>
  <c r="BS43" i="99" s="1"/>
  <c r="BO45" i="99"/>
  <c r="BP45" i="99" s="1"/>
  <c r="BQ45" i="99" s="1"/>
  <c r="BR45" i="99" s="1"/>
  <c r="BS45" i="99" s="1"/>
  <c r="BO72" i="99"/>
  <c r="BP72" i="99" s="1"/>
  <c r="BQ72" i="99" s="1"/>
  <c r="BR72" i="99" s="1"/>
  <c r="BS72" i="99" s="1"/>
  <c r="BO79" i="99"/>
  <c r="BP79" i="99" s="1"/>
  <c r="BQ79" i="99" s="1"/>
  <c r="BR79" i="99" s="1"/>
  <c r="BS79" i="99" s="1"/>
  <c r="BO87" i="99"/>
  <c r="BP87" i="99" s="1"/>
  <c r="BQ87" i="99" s="1"/>
  <c r="BR87" i="99" s="1"/>
  <c r="BS87" i="99" s="1"/>
  <c r="BO88" i="99"/>
  <c r="BP88" i="99" s="1"/>
  <c r="BQ88" i="99" s="1"/>
  <c r="BR88" i="99" s="1"/>
  <c r="BS88" i="99" s="1"/>
  <c r="BO102" i="99"/>
  <c r="BP102" i="99" s="1"/>
  <c r="BQ102" i="99" s="1"/>
  <c r="BR102" i="99" s="1"/>
  <c r="BS102" i="99" s="1"/>
  <c r="BO30" i="99"/>
  <c r="BP30" i="99" s="1"/>
  <c r="BQ30" i="99" s="1"/>
  <c r="BR30" i="99" s="1"/>
  <c r="BS30" i="99" s="1"/>
  <c r="BO52" i="99"/>
  <c r="BP52" i="99" s="1"/>
  <c r="BQ52" i="99" s="1"/>
  <c r="BR52" i="99" s="1"/>
  <c r="BS52" i="99" s="1"/>
  <c r="BO80" i="99"/>
  <c r="BP80" i="99" s="1"/>
  <c r="BQ80" i="99" s="1"/>
  <c r="BR80" i="99" s="1"/>
  <c r="BS80" i="99" s="1"/>
  <c r="BO23" i="99"/>
  <c r="BP23" i="99" s="1"/>
  <c r="BQ23" i="99" s="1"/>
  <c r="BR23" i="99" s="1"/>
  <c r="BS23" i="99" s="1"/>
  <c r="BO46" i="99"/>
  <c r="BP46" i="99" s="1"/>
  <c r="BQ46" i="99" s="1"/>
  <c r="BR46" i="99" s="1"/>
  <c r="BS46" i="99" s="1"/>
  <c r="BO31" i="99"/>
  <c r="BP31" i="99" s="1"/>
  <c r="BQ31" i="99" s="1"/>
  <c r="BR31" i="99" s="1"/>
  <c r="BS31" i="99" s="1"/>
  <c r="BO20" i="99"/>
  <c r="BP20" i="99" s="1"/>
  <c r="BQ20" i="99" s="1"/>
  <c r="BR20" i="99" s="1"/>
  <c r="BS20" i="99" s="1"/>
  <c r="BO44" i="99"/>
  <c r="BP44" i="99" s="1"/>
  <c r="BQ44" i="99" s="1"/>
  <c r="BR44" i="99" s="1"/>
  <c r="BS44" i="99" s="1"/>
  <c r="BO75" i="99"/>
  <c r="BP75" i="99" s="1"/>
  <c r="BQ75" i="99" s="1"/>
  <c r="BR75" i="99" s="1"/>
  <c r="BS75" i="99" s="1"/>
  <c r="BO91" i="99"/>
  <c r="BP91" i="99" s="1"/>
  <c r="BQ91" i="99" s="1"/>
  <c r="BR91" i="99" s="1"/>
  <c r="BS91" i="99" s="1"/>
  <c r="BO104" i="99"/>
  <c r="BP104" i="99" s="1"/>
  <c r="BQ104" i="99" s="1"/>
  <c r="BR104" i="99" s="1"/>
  <c r="BS104" i="99" s="1"/>
  <c r="BO101" i="99"/>
  <c r="BP101" i="99" s="1"/>
  <c r="BQ101" i="99" s="1"/>
  <c r="BR101" i="99" s="1"/>
  <c r="BS101" i="99" s="1"/>
  <c r="BO107" i="99"/>
  <c r="BP107" i="99" s="1"/>
  <c r="BQ107" i="99" s="1"/>
  <c r="BR107" i="99" s="1"/>
  <c r="BS107" i="99" s="1"/>
  <c r="BO105" i="99"/>
  <c r="BP105" i="99" s="1"/>
  <c r="BQ105" i="99" s="1"/>
  <c r="BR105" i="99" s="1"/>
  <c r="BS105" i="99" s="1"/>
  <c r="BO99" i="99"/>
  <c r="BP99" i="99" s="1"/>
  <c r="BQ99" i="99" s="1"/>
  <c r="BR99" i="99" s="1"/>
  <c r="BS99" i="99" s="1"/>
  <c r="BO103" i="99"/>
  <c r="BP103" i="99" s="1"/>
  <c r="BQ103" i="99" s="1"/>
  <c r="BR103" i="99" s="1"/>
  <c r="BS103" i="99" s="1"/>
  <c r="BO95" i="99"/>
  <c r="BP95" i="99" s="1"/>
  <c r="BQ95" i="99" s="1"/>
  <c r="BR95" i="99" s="1"/>
  <c r="BS95" i="99" s="1"/>
  <c r="BO106" i="99"/>
  <c r="BP106" i="99" s="1"/>
  <c r="BQ106" i="99" s="1"/>
  <c r="BR106" i="99" s="1"/>
  <c r="BS106" i="99" s="1"/>
  <c r="AQ100" i="99"/>
  <c r="AR100" i="99" s="1"/>
  <c r="AS100" i="99" s="1"/>
  <c r="AT100" i="99" s="1"/>
  <c r="AU100" i="99" s="1"/>
  <c r="AQ91" i="99"/>
  <c r="AR91" i="99" s="1"/>
  <c r="AS91" i="99" s="1"/>
  <c r="AT91" i="99" s="1"/>
  <c r="AU91" i="99" s="1"/>
  <c r="AQ99" i="99"/>
  <c r="AR99" i="99" s="1"/>
  <c r="AS99" i="99" s="1"/>
  <c r="AT99" i="99" s="1"/>
  <c r="AU99" i="99" s="1"/>
  <c r="AQ68" i="99"/>
  <c r="AR68" i="99" s="1"/>
  <c r="AS68" i="99" s="1"/>
  <c r="AT68" i="99" s="1"/>
  <c r="AU68" i="99" s="1"/>
  <c r="AQ104" i="99"/>
  <c r="AR104" i="99" s="1"/>
  <c r="AS104" i="99" s="1"/>
  <c r="AT104" i="99" s="1"/>
  <c r="AU104" i="99" s="1"/>
  <c r="AQ83" i="99"/>
  <c r="AR83" i="99" s="1"/>
  <c r="AS83" i="99" s="1"/>
  <c r="AT83" i="99" s="1"/>
  <c r="AU83" i="99" s="1"/>
  <c r="AQ93" i="99"/>
  <c r="AR93" i="99" s="1"/>
  <c r="AS93" i="99" s="1"/>
  <c r="AT93" i="99" s="1"/>
  <c r="AU93" i="99" s="1"/>
  <c r="AQ77" i="99"/>
  <c r="AR77" i="99" s="1"/>
  <c r="AS77" i="99" s="1"/>
  <c r="AT77" i="99" s="1"/>
  <c r="AU77" i="99" s="1"/>
  <c r="AQ71" i="99"/>
  <c r="AR71" i="99" s="1"/>
  <c r="AS71" i="99" s="1"/>
  <c r="AT71" i="99" s="1"/>
  <c r="AU71" i="99" s="1"/>
  <c r="AQ62" i="99"/>
  <c r="AR62" i="99" s="1"/>
  <c r="AS62" i="99" s="1"/>
  <c r="AT62" i="99" s="1"/>
  <c r="AU62" i="99" s="1"/>
  <c r="AQ97" i="99"/>
  <c r="AR97" i="99" s="1"/>
  <c r="AS97" i="99" s="1"/>
  <c r="AT97" i="99" s="1"/>
  <c r="AU97" i="99" s="1"/>
  <c r="AQ61" i="99"/>
  <c r="AR61" i="99" s="1"/>
  <c r="AS61" i="99" s="1"/>
  <c r="AT61" i="99" s="1"/>
  <c r="AU61" i="99" s="1"/>
  <c r="AQ50" i="99"/>
  <c r="AR50" i="99" s="1"/>
  <c r="AS50" i="99" s="1"/>
  <c r="AT50" i="99" s="1"/>
  <c r="AU50" i="99" s="1"/>
  <c r="AQ53" i="99"/>
  <c r="AR53" i="99" s="1"/>
  <c r="AS53" i="99" s="1"/>
  <c r="AT53" i="99" s="1"/>
  <c r="AU53" i="99" s="1"/>
  <c r="AQ102" i="99"/>
  <c r="AR102" i="99" s="1"/>
  <c r="AS102" i="99" s="1"/>
  <c r="AT102" i="99" s="1"/>
  <c r="AU102" i="99" s="1"/>
  <c r="AQ73" i="99"/>
  <c r="AR73" i="99" s="1"/>
  <c r="AS73" i="99" s="1"/>
  <c r="AT73" i="99" s="1"/>
  <c r="AU73" i="99" s="1"/>
  <c r="AQ96" i="99"/>
  <c r="AR96" i="99" s="1"/>
  <c r="AS96" i="99" s="1"/>
  <c r="AT96" i="99" s="1"/>
  <c r="AU96" i="99" s="1"/>
  <c r="AQ52" i="99"/>
  <c r="AR52" i="99" s="1"/>
  <c r="AS52" i="99" s="1"/>
  <c r="AT52" i="99" s="1"/>
  <c r="AU52" i="99" s="1"/>
  <c r="AQ44" i="99"/>
  <c r="AR44" i="99" s="1"/>
  <c r="AS44" i="99" s="1"/>
  <c r="AT44" i="99" s="1"/>
  <c r="AU44" i="99" s="1"/>
  <c r="AQ33" i="99"/>
  <c r="AR33" i="99" s="1"/>
  <c r="AS33" i="99" s="1"/>
  <c r="AT33" i="99" s="1"/>
  <c r="AU33" i="99" s="1"/>
  <c r="AQ20" i="99"/>
  <c r="AR20" i="99" s="1"/>
  <c r="AS20" i="99" s="1"/>
  <c r="AT20" i="99" s="1"/>
  <c r="AU20" i="99" s="1"/>
  <c r="AQ42" i="99"/>
  <c r="AR42" i="99" s="1"/>
  <c r="AS42" i="99" s="1"/>
  <c r="AT42" i="99" s="1"/>
  <c r="AU42" i="99" s="1"/>
  <c r="AQ25" i="99"/>
  <c r="AR25" i="99" s="1"/>
  <c r="AS25" i="99" s="1"/>
  <c r="AT25" i="99" s="1"/>
  <c r="AU25" i="99" s="1"/>
  <c r="AQ21" i="99"/>
  <c r="AR21" i="99" s="1"/>
  <c r="AS21" i="99" s="1"/>
  <c r="AT21" i="99" s="1"/>
  <c r="AU21" i="99" s="1"/>
  <c r="AQ81" i="99"/>
  <c r="AR81" i="99" s="1"/>
  <c r="AS81" i="99" s="1"/>
  <c r="AT81" i="99" s="1"/>
  <c r="AU81" i="99" s="1"/>
  <c r="AQ65" i="99"/>
  <c r="AR65" i="99" s="1"/>
  <c r="AS65" i="99" s="1"/>
  <c r="AT65" i="99" s="1"/>
  <c r="AU65" i="99" s="1"/>
  <c r="AQ36" i="99"/>
  <c r="AR36" i="99" s="1"/>
  <c r="AS36" i="99" s="1"/>
  <c r="AT36" i="99" s="1"/>
  <c r="AU36" i="99" s="1"/>
  <c r="AQ84" i="99"/>
  <c r="AR84" i="99" s="1"/>
  <c r="AS84" i="99" s="1"/>
  <c r="AT84" i="99" s="1"/>
  <c r="AU84" i="99" s="1"/>
  <c r="AQ54" i="99"/>
  <c r="AR54" i="99" s="1"/>
  <c r="AS54" i="99" s="1"/>
  <c r="AT54" i="99" s="1"/>
  <c r="AU54" i="99" s="1"/>
  <c r="AQ63" i="99"/>
  <c r="AR63" i="99" s="1"/>
  <c r="AS63" i="99" s="1"/>
  <c r="AT63" i="99" s="1"/>
  <c r="AU63" i="99" s="1"/>
  <c r="AQ34" i="99"/>
  <c r="AR34" i="99" s="1"/>
  <c r="AS34" i="99" s="1"/>
  <c r="AT34" i="99" s="1"/>
  <c r="AU34" i="99" s="1"/>
  <c r="AQ26" i="99"/>
  <c r="AR26" i="99" s="1"/>
  <c r="AS26" i="99" s="1"/>
  <c r="AT26" i="99" s="1"/>
  <c r="AU26" i="99" s="1"/>
  <c r="AQ9" i="99"/>
  <c r="AR9" i="99" s="1"/>
  <c r="AS9" i="99" s="1"/>
  <c r="AT9" i="99" s="1"/>
  <c r="AQ58" i="99"/>
  <c r="AR58" i="99" s="1"/>
  <c r="AS58" i="99" s="1"/>
  <c r="AT58" i="99" s="1"/>
  <c r="AU58" i="99" s="1"/>
  <c r="AQ48" i="99"/>
  <c r="AR48" i="99" s="1"/>
  <c r="AS48" i="99" s="1"/>
  <c r="AT48" i="99" s="1"/>
  <c r="AU48" i="99" s="1"/>
  <c r="AQ40" i="99"/>
  <c r="AR40" i="99" s="1"/>
  <c r="AS40" i="99" s="1"/>
  <c r="AT40" i="99" s="1"/>
  <c r="AU40" i="99" s="1"/>
  <c r="AQ38" i="99"/>
  <c r="AR38" i="99" s="1"/>
  <c r="AS38" i="99" s="1"/>
  <c r="AT38" i="99" s="1"/>
  <c r="AU38" i="99" s="1"/>
  <c r="AQ86" i="99"/>
  <c r="AR86" i="99" s="1"/>
  <c r="AS86" i="99" s="1"/>
  <c r="AT86" i="99" s="1"/>
  <c r="AU86" i="99" s="1"/>
  <c r="AQ13" i="99"/>
  <c r="AR13" i="99" s="1"/>
  <c r="AS13" i="99" s="1"/>
  <c r="AT13" i="99" s="1"/>
  <c r="AU13" i="99" s="1"/>
  <c r="AQ60" i="99"/>
  <c r="AR60" i="99" s="1"/>
  <c r="AS60" i="99" s="1"/>
  <c r="AT60" i="99" s="1"/>
  <c r="AU60" i="99" s="1"/>
  <c r="AQ49" i="99"/>
  <c r="AR49" i="99" s="1"/>
  <c r="AS49" i="99" s="1"/>
  <c r="AT49" i="99" s="1"/>
  <c r="AU49" i="99" s="1"/>
  <c r="AQ92" i="99"/>
  <c r="AR92" i="99" s="1"/>
  <c r="AS92" i="99" s="1"/>
  <c r="AT92" i="99" s="1"/>
  <c r="AU92" i="99" s="1"/>
  <c r="AQ108" i="99"/>
  <c r="AR108" i="99" s="1"/>
  <c r="AS108" i="99" s="1"/>
  <c r="AT108" i="99" s="1"/>
  <c r="AU108" i="99" s="1"/>
  <c r="AQ24" i="99"/>
  <c r="AR24" i="99" s="1"/>
  <c r="AS24" i="99" s="1"/>
  <c r="AT24" i="99" s="1"/>
  <c r="AU24" i="99" s="1"/>
  <c r="AQ17" i="99"/>
  <c r="AR17" i="99" s="1"/>
  <c r="AS17" i="99" s="1"/>
  <c r="AT17" i="99" s="1"/>
  <c r="AU17" i="99" s="1"/>
  <c r="AQ32" i="99"/>
  <c r="AR32" i="99" s="1"/>
  <c r="AS32" i="99" s="1"/>
  <c r="AT32" i="99" s="1"/>
  <c r="AU32" i="99" s="1"/>
  <c r="AQ69" i="99"/>
  <c r="AR69" i="99" s="1"/>
  <c r="AS69" i="99" s="1"/>
  <c r="AT69" i="99" s="1"/>
  <c r="AU69" i="99" s="1"/>
  <c r="AQ85" i="99"/>
  <c r="AR85" i="99" s="1"/>
  <c r="AS85" i="99" s="1"/>
  <c r="AT85" i="99" s="1"/>
  <c r="AU85" i="99" s="1"/>
  <c r="AQ10" i="99"/>
  <c r="AR10" i="99" s="1"/>
  <c r="AS10" i="99" s="1"/>
  <c r="AT10" i="99" s="1"/>
  <c r="AU10" i="99" s="1"/>
  <c r="AQ55" i="99"/>
  <c r="AR55" i="99" s="1"/>
  <c r="AS55" i="99" s="1"/>
  <c r="AT55" i="99" s="1"/>
  <c r="AU55" i="99" s="1"/>
  <c r="AQ78" i="99"/>
  <c r="AR78" i="99" s="1"/>
  <c r="AS78" i="99" s="1"/>
  <c r="AT78" i="99" s="1"/>
  <c r="AU78" i="99" s="1"/>
  <c r="AQ28" i="99"/>
  <c r="AR28" i="99" s="1"/>
  <c r="AS28" i="99" s="1"/>
  <c r="AT28" i="99" s="1"/>
  <c r="AU28" i="99" s="1"/>
  <c r="AQ18" i="99"/>
  <c r="AR18" i="99" s="1"/>
  <c r="AS18" i="99" s="1"/>
  <c r="AT18" i="99" s="1"/>
  <c r="AU18" i="99" s="1"/>
  <c r="AQ37" i="99"/>
  <c r="AR37" i="99" s="1"/>
  <c r="AS37" i="99" s="1"/>
  <c r="AT37" i="99" s="1"/>
  <c r="AU37" i="99" s="1"/>
  <c r="AQ70" i="99"/>
  <c r="AR70" i="99" s="1"/>
  <c r="AS70" i="99" s="1"/>
  <c r="AT70" i="99" s="1"/>
  <c r="AU70" i="99" s="1"/>
  <c r="AQ30" i="99"/>
  <c r="AR30" i="99" s="1"/>
  <c r="AS30" i="99" s="1"/>
  <c r="AT30" i="99" s="1"/>
  <c r="AU30" i="99" s="1"/>
  <c r="AQ76" i="99"/>
  <c r="AR76" i="99" s="1"/>
  <c r="AS76" i="99" s="1"/>
  <c r="AT76" i="99" s="1"/>
  <c r="AU76" i="99" s="1"/>
  <c r="AQ51" i="99"/>
  <c r="AR51" i="99" s="1"/>
  <c r="AS51" i="99" s="1"/>
  <c r="AT51" i="99" s="1"/>
  <c r="AU51" i="99" s="1"/>
  <c r="AQ89" i="99"/>
  <c r="AR89" i="99" s="1"/>
  <c r="AS89" i="99" s="1"/>
  <c r="AT89" i="99" s="1"/>
  <c r="AU89" i="99" s="1"/>
  <c r="AQ94" i="99"/>
  <c r="AR94" i="99" s="1"/>
  <c r="AS94" i="99" s="1"/>
  <c r="AT94" i="99" s="1"/>
  <c r="AU94" i="99" s="1"/>
  <c r="AQ14" i="99"/>
  <c r="AR14" i="99" s="1"/>
  <c r="AS14" i="99" s="1"/>
  <c r="AT14" i="99" s="1"/>
  <c r="AU14" i="99" s="1"/>
  <c r="AQ56" i="99"/>
  <c r="AR56" i="99" s="1"/>
  <c r="AS56" i="99" s="1"/>
  <c r="AT56" i="99" s="1"/>
  <c r="AU56" i="99" s="1"/>
  <c r="AQ41" i="99"/>
  <c r="AR41" i="99" s="1"/>
  <c r="AS41" i="99" s="1"/>
  <c r="AT41" i="99" s="1"/>
  <c r="AU41" i="99" s="1"/>
  <c r="AQ82" i="99"/>
  <c r="AR82" i="99" s="1"/>
  <c r="AS82" i="99" s="1"/>
  <c r="AT82" i="99" s="1"/>
  <c r="AU82" i="99" s="1"/>
  <c r="AQ46" i="99"/>
  <c r="AR46" i="99" s="1"/>
  <c r="AS46" i="99" s="1"/>
  <c r="AT46" i="99" s="1"/>
  <c r="AU46" i="99" s="1"/>
  <c r="AQ29" i="99"/>
  <c r="AR29" i="99" s="1"/>
  <c r="AS29" i="99" s="1"/>
  <c r="AT29" i="99" s="1"/>
  <c r="AU29" i="99" s="1"/>
  <c r="AQ45" i="99"/>
  <c r="AR45" i="99" s="1"/>
  <c r="AS45" i="99" s="1"/>
  <c r="AT45" i="99" s="1"/>
  <c r="AU45" i="99" s="1"/>
  <c r="AQ39" i="99"/>
  <c r="AR39" i="99" s="1"/>
  <c r="AS39" i="99" s="1"/>
  <c r="AT39" i="99" s="1"/>
  <c r="AU39" i="99" s="1"/>
  <c r="AQ66" i="99"/>
  <c r="AR66" i="99" s="1"/>
  <c r="AS66" i="99" s="1"/>
  <c r="AT66" i="99" s="1"/>
  <c r="AU66" i="99" s="1"/>
  <c r="AQ59" i="99"/>
  <c r="AR59" i="99" s="1"/>
  <c r="AS59" i="99" s="1"/>
  <c r="AT59" i="99" s="1"/>
  <c r="AU59" i="99" s="1"/>
  <c r="AQ80" i="99"/>
  <c r="AR80" i="99" s="1"/>
  <c r="AS80" i="99" s="1"/>
  <c r="AT80" i="99" s="1"/>
  <c r="AU80" i="99" s="1"/>
  <c r="AQ19" i="99"/>
  <c r="AR19" i="99" s="1"/>
  <c r="AS19" i="99" s="1"/>
  <c r="AT19" i="99" s="1"/>
  <c r="AU19" i="99" s="1"/>
  <c r="AQ11" i="99"/>
  <c r="AR11" i="99" s="1"/>
  <c r="AS11" i="99" s="1"/>
  <c r="AT11" i="99" s="1"/>
  <c r="AU11" i="99" s="1"/>
  <c r="AQ27" i="99"/>
  <c r="AR27" i="99" s="1"/>
  <c r="AS27" i="99" s="1"/>
  <c r="AT27" i="99" s="1"/>
  <c r="AU27" i="99" s="1"/>
  <c r="AQ12" i="99"/>
  <c r="AR12" i="99" s="1"/>
  <c r="AS12" i="99" s="1"/>
  <c r="AT12" i="99" s="1"/>
  <c r="AU12" i="99" s="1"/>
  <c r="AQ35" i="99"/>
  <c r="AR35" i="99" s="1"/>
  <c r="AS35" i="99" s="1"/>
  <c r="AT35" i="99" s="1"/>
  <c r="AU35" i="99" s="1"/>
  <c r="AQ75" i="99"/>
  <c r="AR75" i="99" s="1"/>
  <c r="AS75" i="99" s="1"/>
  <c r="AT75" i="99" s="1"/>
  <c r="AU75" i="99" s="1"/>
  <c r="AQ74" i="99"/>
  <c r="AR74" i="99" s="1"/>
  <c r="AS74" i="99" s="1"/>
  <c r="AT74" i="99" s="1"/>
  <c r="AU74" i="99" s="1"/>
  <c r="AQ22" i="99"/>
  <c r="AR22" i="99" s="1"/>
  <c r="AS22" i="99" s="1"/>
  <c r="AT22" i="99" s="1"/>
  <c r="AU22" i="99" s="1"/>
  <c r="AQ23" i="99"/>
  <c r="AR23" i="99" s="1"/>
  <c r="AS23" i="99" s="1"/>
  <c r="AT23" i="99" s="1"/>
  <c r="AU23" i="99" s="1"/>
  <c r="AQ31" i="99"/>
  <c r="AR31" i="99" s="1"/>
  <c r="AS31" i="99" s="1"/>
  <c r="AT31" i="99" s="1"/>
  <c r="AU31" i="99" s="1"/>
  <c r="AQ64" i="99"/>
  <c r="AR64" i="99" s="1"/>
  <c r="AS64" i="99" s="1"/>
  <c r="AT64" i="99" s="1"/>
  <c r="AU64" i="99" s="1"/>
  <c r="AQ43" i="99"/>
  <c r="AR43" i="99" s="1"/>
  <c r="AS43" i="99" s="1"/>
  <c r="AT43" i="99" s="1"/>
  <c r="AU43" i="99" s="1"/>
  <c r="AQ67" i="99"/>
  <c r="AR67" i="99" s="1"/>
  <c r="AS67" i="99" s="1"/>
  <c r="AT67" i="99" s="1"/>
  <c r="AU67" i="99" s="1"/>
  <c r="AQ15" i="99"/>
  <c r="AR15" i="99" s="1"/>
  <c r="AS15" i="99" s="1"/>
  <c r="AT15" i="99" s="1"/>
  <c r="AU15" i="99" s="1"/>
  <c r="AQ72" i="99"/>
  <c r="AR72" i="99" s="1"/>
  <c r="AS72" i="99" s="1"/>
  <c r="AT72" i="99" s="1"/>
  <c r="AU72" i="99" s="1"/>
  <c r="AQ79" i="99"/>
  <c r="AR79" i="99" s="1"/>
  <c r="AS79" i="99" s="1"/>
  <c r="AT79" i="99" s="1"/>
  <c r="AU79" i="99" s="1"/>
  <c r="AQ87" i="99"/>
  <c r="AR87" i="99" s="1"/>
  <c r="AS87" i="99" s="1"/>
  <c r="AT87" i="99" s="1"/>
  <c r="AU87" i="99" s="1"/>
  <c r="AQ16" i="99"/>
  <c r="AR16" i="99" s="1"/>
  <c r="AS16" i="99" s="1"/>
  <c r="AT16" i="99" s="1"/>
  <c r="AU16" i="99" s="1"/>
  <c r="AQ57" i="99"/>
  <c r="AR57" i="99" s="1"/>
  <c r="AS57" i="99" s="1"/>
  <c r="AT57" i="99" s="1"/>
  <c r="AU57" i="99" s="1"/>
  <c r="AQ47" i="99"/>
  <c r="AR47" i="99" s="1"/>
  <c r="AS47" i="99" s="1"/>
  <c r="AT47" i="99" s="1"/>
  <c r="AU47" i="99" s="1"/>
  <c r="AQ101" i="99"/>
  <c r="AR101" i="99" s="1"/>
  <c r="AS101" i="99" s="1"/>
  <c r="AT101" i="99" s="1"/>
  <c r="AU101" i="99" s="1"/>
  <c r="AQ98" i="99"/>
  <c r="AR98" i="99" s="1"/>
  <c r="AS98" i="99" s="1"/>
  <c r="AT98" i="99" s="1"/>
  <c r="AU98" i="99" s="1"/>
  <c r="AQ88" i="99"/>
  <c r="AR88" i="99" s="1"/>
  <c r="AS88" i="99" s="1"/>
  <c r="AT88" i="99" s="1"/>
  <c r="AU88" i="99" s="1"/>
  <c r="AQ105" i="99"/>
  <c r="AR105" i="99" s="1"/>
  <c r="AS105" i="99" s="1"/>
  <c r="AT105" i="99" s="1"/>
  <c r="AU105" i="99" s="1"/>
  <c r="AQ103" i="99"/>
  <c r="AR103" i="99" s="1"/>
  <c r="AS103" i="99" s="1"/>
  <c r="AT103" i="99" s="1"/>
  <c r="AU103" i="99" s="1"/>
  <c r="AQ106" i="99"/>
  <c r="AR106" i="99" s="1"/>
  <c r="AS106" i="99" s="1"/>
  <c r="AT106" i="99" s="1"/>
  <c r="AU106" i="99" s="1"/>
  <c r="AQ95" i="99"/>
  <c r="AR95" i="99" s="1"/>
  <c r="AS95" i="99" s="1"/>
  <c r="AT95" i="99" s="1"/>
  <c r="AU95" i="99" s="1"/>
  <c r="AQ90" i="99"/>
  <c r="AR90" i="99" s="1"/>
  <c r="AS90" i="99" s="1"/>
  <c r="AT90" i="99" s="1"/>
  <c r="AU90" i="99" s="1"/>
  <c r="AQ107" i="99"/>
  <c r="AR107" i="99" s="1"/>
  <c r="AS107" i="99" s="1"/>
  <c r="AT107" i="99" s="1"/>
  <c r="AU107" i="99" s="1"/>
  <c r="EO103" i="99"/>
  <c r="EP103" i="99" s="1"/>
  <c r="EQ103" i="99" s="1"/>
  <c r="ER103" i="99" s="1"/>
  <c r="ES103" i="99" s="1"/>
  <c r="EO75" i="99"/>
  <c r="EP75" i="99" s="1"/>
  <c r="EQ75" i="99" s="1"/>
  <c r="ER75" i="99" s="1"/>
  <c r="ES75" i="99" s="1"/>
  <c r="EO88" i="99"/>
  <c r="EP88" i="99" s="1"/>
  <c r="EQ88" i="99" s="1"/>
  <c r="ER88" i="99" s="1"/>
  <c r="ES88" i="99" s="1"/>
  <c r="EO71" i="99"/>
  <c r="EP71" i="99" s="1"/>
  <c r="EQ71" i="99" s="1"/>
  <c r="ER71" i="99" s="1"/>
  <c r="ES71" i="99" s="1"/>
  <c r="EO68" i="99"/>
  <c r="EP68" i="99" s="1"/>
  <c r="EQ68" i="99" s="1"/>
  <c r="ER68" i="99" s="1"/>
  <c r="ES68" i="99" s="1"/>
  <c r="EO99" i="99"/>
  <c r="EP99" i="99" s="1"/>
  <c r="EQ99" i="99" s="1"/>
  <c r="ER99" i="99" s="1"/>
  <c r="ES99" i="99" s="1"/>
  <c r="EO77" i="99"/>
  <c r="EP77" i="99" s="1"/>
  <c r="EQ77" i="99" s="1"/>
  <c r="ER77" i="99" s="1"/>
  <c r="ES77" i="99" s="1"/>
  <c r="EO100" i="99"/>
  <c r="EP100" i="99" s="1"/>
  <c r="EQ100" i="99" s="1"/>
  <c r="ER100" i="99" s="1"/>
  <c r="ES100" i="99" s="1"/>
  <c r="EO96" i="99"/>
  <c r="EP96" i="99" s="1"/>
  <c r="EQ96" i="99" s="1"/>
  <c r="ER96" i="99" s="1"/>
  <c r="ES96" i="99" s="1"/>
  <c r="EO53" i="99"/>
  <c r="EP53" i="99" s="1"/>
  <c r="EQ53" i="99" s="1"/>
  <c r="ER53" i="99" s="1"/>
  <c r="ES53" i="99" s="1"/>
  <c r="EO74" i="99"/>
  <c r="EP74" i="99" s="1"/>
  <c r="EQ74" i="99" s="1"/>
  <c r="ER74" i="99" s="1"/>
  <c r="ES74" i="99" s="1"/>
  <c r="EO67" i="99"/>
  <c r="EP67" i="99" s="1"/>
  <c r="EQ67" i="99" s="1"/>
  <c r="ER67" i="99" s="1"/>
  <c r="ES67" i="99" s="1"/>
  <c r="EO57" i="99"/>
  <c r="EP57" i="99" s="1"/>
  <c r="EQ57" i="99" s="1"/>
  <c r="ER57" i="99" s="1"/>
  <c r="ES57" i="99" s="1"/>
  <c r="EO48" i="99"/>
  <c r="EP48" i="99" s="1"/>
  <c r="EQ48" i="99" s="1"/>
  <c r="ER48" i="99" s="1"/>
  <c r="ES48" i="99" s="1"/>
  <c r="EO47" i="99"/>
  <c r="EP47" i="99" s="1"/>
  <c r="EQ47" i="99" s="1"/>
  <c r="ER47" i="99" s="1"/>
  <c r="ES47" i="99" s="1"/>
  <c r="EO65" i="99"/>
  <c r="EP65" i="99" s="1"/>
  <c r="EQ65" i="99" s="1"/>
  <c r="ER65" i="99" s="1"/>
  <c r="ES65" i="99" s="1"/>
  <c r="EO61" i="99"/>
  <c r="EP61" i="99" s="1"/>
  <c r="EQ61" i="99" s="1"/>
  <c r="ER61" i="99" s="1"/>
  <c r="ES61" i="99" s="1"/>
  <c r="EO51" i="99"/>
  <c r="EP51" i="99" s="1"/>
  <c r="EQ51" i="99" s="1"/>
  <c r="ER51" i="99" s="1"/>
  <c r="ES51" i="99" s="1"/>
  <c r="EO50" i="99"/>
  <c r="EP50" i="99" s="1"/>
  <c r="EQ50" i="99" s="1"/>
  <c r="ER50" i="99" s="1"/>
  <c r="ES50" i="99" s="1"/>
  <c r="EO36" i="99"/>
  <c r="EP36" i="99" s="1"/>
  <c r="EQ36" i="99" s="1"/>
  <c r="ER36" i="99" s="1"/>
  <c r="ES36" i="99" s="1"/>
  <c r="EO40" i="99"/>
  <c r="EP40" i="99" s="1"/>
  <c r="EQ40" i="99" s="1"/>
  <c r="ER40" i="99" s="1"/>
  <c r="ES40" i="99" s="1"/>
  <c r="EO35" i="99"/>
  <c r="EP35" i="99" s="1"/>
  <c r="EQ35" i="99" s="1"/>
  <c r="ER35" i="99" s="1"/>
  <c r="ES35" i="99" s="1"/>
  <c r="EO52" i="99"/>
  <c r="EP52" i="99" s="1"/>
  <c r="EQ52" i="99" s="1"/>
  <c r="ER52" i="99" s="1"/>
  <c r="ES52" i="99" s="1"/>
  <c r="EO92" i="99"/>
  <c r="EP92" i="99" s="1"/>
  <c r="EQ92" i="99" s="1"/>
  <c r="ER92" i="99" s="1"/>
  <c r="ES92" i="99" s="1"/>
  <c r="EO43" i="99"/>
  <c r="EP43" i="99" s="1"/>
  <c r="EQ43" i="99" s="1"/>
  <c r="ER43" i="99" s="1"/>
  <c r="ES43" i="99" s="1"/>
  <c r="EO73" i="99"/>
  <c r="EP73" i="99" s="1"/>
  <c r="EQ73" i="99" s="1"/>
  <c r="ER73" i="99" s="1"/>
  <c r="ES73" i="99" s="1"/>
  <c r="EO34" i="99"/>
  <c r="EP34" i="99" s="1"/>
  <c r="EQ34" i="99" s="1"/>
  <c r="ER34" i="99" s="1"/>
  <c r="ES34" i="99" s="1"/>
  <c r="EO26" i="99"/>
  <c r="EP26" i="99" s="1"/>
  <c r="EQ26" i="99" s="1"/>
  <c r="ER26" i="99" s="1"/>
  <c r="ES26" i="99" s="1"/>
  <c r="EO69" i="99"/>
  <c r="EP69" i="99" s="1"/>
  <c r="EQ69" i="99" s="1"/>
  <c r="ER69" i="99" s="1"/>
  <c r="ES69" i="99" s="1"/>
  <c r="EO44" i="99"/>
  <c r="EP44" i="99" s="1"/>
  <c r="EQ44" i="99" s="1"/>
  <c r="ER44" i="99" s="1"/>
  <c r="ES44" i="99" s="1"/>
  <c r="EO9" i="99"/>
  <c r="EP9" i="99" s="1"/>
  <c r="EQ9" i="99" s="1"/>
  <c r="ER9" i="99" s="1"/>
  <c r="EO39" i="99"/>
  <c r="EP39" i="99" s="1"/>
  <c r="EQ39" i="99" s="1"/>
  <c r="ER39" i="99" s="1"/>
  <c r="ES39" i="99" s="1"/>
  <c r="EO31" i="99"/>
  <c r="EP31" i="99" s="1"/>
  <c r="EQ31" i="99" s="1"/>
  <c r="ER31" i="99" s="1"/>
  <c r="ES31" i="99" s="1"/>
  <c r="EO17" i="99"/>
  <c r="EP17" i="99" s="1"/>
  <c r="EQ17" i="99" s="1"/>
  <c r="ER17" i="99" s="1"/>
  <c r="ES17" i="99" s="1"/>
  <c r="EO42" i="99"/>
  <c r="EP42" i="99" s="1"/>
  <c r="EQ42" i="99" s="1"/>
  <c r="ER42" i="99" s="1"/>
  <c r="ES42" i="99" s="1"/>
  <c r="EO21" i="99"/>
  <c r="EP21" i="99" s="1"/>
  <c r="EQ21" i="99" s="1"/>
  <c r="ER21" i="99" s="1"/>
  <c r="ES21" i="99" s="1"/>
  <c r="EO13" i="99"/>
  <c r="EP13" i="99" s="1"/>
  <c r="EQ13" i="99" s="1"/>
  <c r="ER13" i="99" s="1"/>
  <c r="ES13" i="99" s="1"/>
  <c r="EO12" i="99"/>
  <c r="EP12" i="99" s="1"/>
  <c r="EQ12" i="99" s="1"/>
  <c r="ER12" i="99" s="1"/>
  <c r="ES12" i="99" s="1"/>
  <c r="EO94" i="99"/>
  <c r="EP94" i="99" s="1"/>
  <c r="EQ94" i="99" s="1"/>
  <c r="ER94" i="99" s="1"/>
  <c r="ES94" i="99" s="1"/>
  <c r="EO28" i="99"/>
  <c r="EP28" i="99" s="1"/>
  <c r="EQ28" i="99" s="1"/>
  <c r="ER28" i="99" s="1"/>
  <c r="ES28" i="99" s="1"/>
  <c r="EO24" i="99"/>
  <c r="EP24" i="99" s="1"/>
  <c r="EQ24" i="99" s="1"/>
  <c r="ER24" i="99" s="1"/>
  <c r="ES24" i="99" s="1"/>
  <c r="EO81" i="99"/>
  <c r="EP81" i="99" s="1"/>
  <c r="EQ81" i="99" s="1"/>
  <c r="ER81" i="99" s="1"/>
  <c r="ES81" i="99" s="1"/>
  <c r="EO98" i="99"/>
  <c r="EP98" i="99" s="1"/>
  <c r="EQ98" i="99" s="1"/>
  <c r="ER98" i="99" s="1"/>
  <c r="ES98" i="99" s="1"/>
  <c r="EO90" i="99"/>
  <c r="EP90" i="99" s="1"/>
  <c r="EQ90" i="99" s="1"/>
  <c r="ER90" i="99" s="1"/>
  <c r="ES90" i="99" s="1"/>
  <c r="EO58" i="99"/>
  <c r="EP58" i="99" s="1"/>
  <c r="EQ58" i="99" s="1"/>
  <c r="ER58" i="99" s="1"/>
  <c r="ES58" i="99" s="1"/>
  <c r="EO49" i="99"/>
  <c r="EP49" i="99" s="1"/>
  <c r="EQ49" i="99" s="1"/>
  <c r="ER49" i="99" s="1"/>
  <c r="ES49" i="99" s="1"/>
  <c r="EO80" i="99"/>
  <c r="EP80" i="99" s="1"/>
  <c r="EQ80" i="99" s="1"/>
  <c r="ER80" i="99" s="1"/>
  <c r="ES80" i="99" s="1"/>
  <c r="EO83" i="99"/>
  <c r="EP83" i="99" s="1"/>
  <c r="EQ83" i="99" s="1"/>
  <c r="ER83" i="99" s="1"/>
  <c r="ES83" i="99" s="1"/>
  <c r="EO20" i="99"/>
  <c r="EP20" i="99" s="1"/>
  <c r="EQ20" i="99" s="1"/>
  <c r="ER20" i="99" s="1"/>
  <c r="ES20" i="99" s="1"/>
  <c r="EO78" i="99"/>
  <c r="EP78" i="99" s="1"/>
  <c r="EQ78" i="99" s="1"/>
  <c r="ER78" i="99" s="1"/>
  <c r="ES78" i="99" s="1"/>
  <c r="EO23" i="99"/>
  <c r="EP23" i="99" s="1"/>
  <c r="EQ23" i="99" s="1"/>
  <c r="ER23" i="99" s="1"/>
  <c r="ES23" i="99" s="1"/>
  <c r="EO19" i="99"/>
  <c r="EP19" i="99" s="1"/>
  <c r="EQ19" i="99" s="1"/>
  <c r="ER19" i="99" s="1"/>
  <c r="ES19" i="99" s="1"/>
  <c r="EO15" i="99"/>
  <c r="EP15" i="99" s="1"/>
  <c r="EQ15" i="99" s="1"/>
  <c r="ER15" i="99" s="1"/>
  <c r="ES15" i="99" s="1"/>
  <c r="EO18" i="99"/>
  <c r="EP18" i="99" s="1"/>
  <c r="EQ18" i="99" s="1"/>
  <c r="ER18" i="99" s="1"/>
  <c r="ES18" i="99" s="1"/>
  <c r="EO32" i="99"/>
  <c r="EP32" i="99" s="1"/>
  <c r="EQ32" i="99" s="1"/>
  <c r="ER32" i="99" s="1"/>
  <c r="ES32" i="99" s="1"/>
  <c r="EO30" i="99"/>
  <c r="EP30" i="99" s="1"/>
  <c r="EQ30" i="99" s="1"/>
  <c r="ER30" i="99" s="1"/>
  <c r="ES30" i="99" s="1"/>
  <c r="EO72" i="99"/>
  <c r="EP72" i="99" s="1"/>
  <c r="EQ72" i="99" s="1"/>
  <c r="ER72" i="99" s="1"/>
  <c r="ES72" i="99" s="1"/>
  <c r="EO70" i="99"/>
  <c r="EP70" i="99" s="1"/>
  <c r="EQ70" i="99" s="1"/>
  <c r="ER70" i="99" s="1"/>
  <c r="ES70" i="99" s="1"/>
  <c r="EO27" i="99"/>
  <c r="EP27" i="99" s="1"/>
  <c r="EQ27" i="99" s="1"/>
  <c r="ER27" i="99" s="1"/>
  <c r="ES27" i="99" s="1"/>
  <c r="EO64" i="99"/>
  <c r="EP64" i="99" s="1"/>
  <c r="EQ64" i="99" s="1"/>
  <c r="ER64" i="99" s="1"/>
  <c r="ES64" i="99" s="1"/>
  <c r="EO79" i="99"/>
  <c r="EP79" i="99" s="1"/>
  <c r="EQ79" i="99" s="1"/>
  <c r="ER79" i="99" s="1"/>
  <c r="ES79" i="99" s="1"/>
  <c r="EO89" i="99"/>
  <c r="EP89" i="99" s="1"/>
  <c r="EQ89" i="99" s="1"/>
  <c r="ER89" i="99" s="1"/>
  <c r="ES89" i="99" s="1"/>
  <c r="EO56" i="99"/>
  <c r="EP56" i="99" s="1"/>
  <c r="EQ56" i="99" s="1"/>
  <c r="ER56" i="99" s="1"/>
  <c r="ES56" i="99" s="1"/>
  <c r="EO25" i="99"/>
  <c r="EP25" i="99" s="1"/>
  <c r="EQ25" i="99" s="1"/>
  <c r="ER25" i="99" s="1"/>
  <c r="ES25" i="99" s="1"/>
  <c r="EO55" i="99"/>
  <c r="EP55" i="99" s="1"/>
  <c r="EQ55" i="99" s="1"/>
  <c r="ER55" i="99" s="1"/>
  <c r="ES55" i="99" s="1"/>
  <c r="EO76" i="99"/>
  <c r="EP76" i="99" s="1"/>
  <c r="EQ76" i="99" s="1"/>
  <c r="ER76" i="99" s="1"/>
  <c r="ES76" i="99" s="1"/>
  <c r="EO46" i="99"/>
  <c r="EP46" i="99" s="1"/>
  <c r="EQ46" i="99" s="1"/>
  <c r="ER46" i="99" s="1"/>
  <c r="ES46" i="99" s="1"/>
  <c r="EO10" i="99"/>
  <c r="EP10" i="99" s="1"/>
  <c r="EQ10" i="99" s="1"/>
  <c r="ER10" i="99" s="1"/>
  <c r="ES10" i="99" s="1"/>
  <c r="EO29" i="99"/>
  <c r="EP29" i="99" s="1"/>
  <c r="EQ29" i="99" s="1"/>
  <c r="ER29" i="99" s="1"/>
  <c r="ES29" i="99" s="1"/>
  <c r="EO63" i="99"/>
  <c r="EP63" i="99" s="1"/>
  <c r="EQ63" i="99" s="1"/>
  <c r="ER63" i="99" s="1"/>
  <c r="ES63" i="99" s="1"/>
  <c r="EO37" i="99"/>
  <c r="EP37" i="99" s="1"/>
  <c r="EQ37" i="99" s="1"/>
  <c r="ER37" i="99" s="1"/>
  <c r="ES37" i="99" s="1"/>
  <c r="EO87" i="99"/>
  <c r="EP87" i="99" s="1"/>
  <c r="EQ87" i="99" s="1"/>
  <c r="ER87" i="99" s="1"/>
  <c r="ES87" i="99" s="1"/>
  <c r="EO82" i="99"/>
  <c r="EP82" i="99" s="1"/>
  <c r="EQ82" i="99" s="1"/>
  <c r="ER82" i="99" s="1"/>
  <c r="ES82" i="99" s="1"/>
  <c r="EO95" i="99"/>
  <c r="EP95" i="99" s="1"/>
  <c r="EQ95" i="99" s="1"/>
  <c r="ER95" i="99" s="1"/>
  <c r="ES95" i="99" s="1"/>
  <c r="EO84" i="99"/>
  <c r="EP84" i="99" s="1"/>
  <c r="EQ84" i="99" s="1"/>
  <c r="ER84" i="99" s="1"/>
  <c r="ES84" i="99" s="1"/>
  <c r="EO45" i="99"/>
  <c r="EP45" i="99" s="1"/>
  <c r="EQ45" i="99" s="1"/>
  <c r="ER45" i="99" s="1"/>
  <c r="ES45" i="99" s="1"/>
  <c r="EO11" i="99"/>
  <c r="EP11" i="99" s="1"/>
  <c r="EQ11" i="99" s="1"/>
  <c r="ER11" i="99" s="1"/>
  <c r="ES11" i="99" s="1"/>
  <c r="EO54" i="99"/>
  <c r="EP54" i="99" s="1"/>
  <c r="EQ54" i="99" s="1"/>
  <c r="ER54" i="99" s="1"/>
  <c r="ES54" i="99" s="1"/>
  <c r="EO62" i="99"/>
  <c r="EP62" i="99" s="1"/>
  <c r="EQ62" i="99" s="1"/>
  <c r="ER62" i="99" s="1"/>
  <c r="ES62" i="99" s="1"/>
  <c r="EO14" i="99"/>
  <c r="EP14" i="99" s="1"/>
  <c r="EQ14" i="99" s="1"/>
  <c r="ER14" i="99" s="1"/>
  <c r="ES14" i="99" s="1"/>
  <c r="EO38" i="99"/>
  <c r="EP38" i="99" s="1"/>
  <c r="EQ38" i="99" s="1"/>
  <c r="ER38" i="99" s="1"/>
  <c r="ES38" i="99" s="1"/>
  <c r="EO22" i="99"/>
  <c r="EP22" i="99" s="1"/>
  <c r="EQ22" i="99" s="1"/>
  <c r="ER22" i="99" s="1"/>
  <c r="ES22" i="99" s="1"/>
  <c r="EO41" i="99"/>
  <c r="EP41" i="99" s="1"/>
  <c r="EQ41" i="99" s="1"/>
  <c r="ER41" i="99" s="1"/>
  <c r="ES41" i="99" s="1"/>
  <c r="EO59" i="99"/>
  <c r="EP59" i="99" s="1"/>
  <c r="EQ59" i="99" s="1"/>
  <c r="ER59" i="99" s="1"/>
  <c r="ES59" i="99" s="1"/>
  <c r="EO16" i="99"/>
  <c r="EP16" i="99" s="1"/>
  <c r="EQ16" i="99" s="1"/>
  <c r="ER16" i="99" s="1"/>
  <c r="ES16" i="99" s="1"/>
  <c r="EO33" i="99"/>
  <c r="EP33" i="99" s="1"/>
  <c r="EQ33" i="99" s="1"/>
  <c r="ER33" i="99" s="1"/>
  <c r="ES33" i="99" s="1"/>
  <c r="EO60" i="99"/>
  <c r="EP60" i="99" s="1"/>
  <c r="EQ60" i="99" s="1"/>
  <c r="ER60" i="99" s="1"/>
  <c r="ES60" i="99" s="1"/>
  <c r="EO66" i="99"/>
  <c r="EP66" i="99" s="1"/>
  <c r="EQ66" i="99" s="1"/>
  <c r="ER66" i="99" s="1"/>
  <c r="ES66" i="99" s="1"/>
  <c r="EO86" i="99"/>
  <c r="EP86" i="99" s="1"/>
  <c r="EQ86" i="99" s="1"/>
  <c r="ER86" i="99" s="1"/>
  <c r="ES86" i="99" s="1"/>
  <c r="EO101" i="99"/>
  <c r="EP101" i="99" s="1"/>
  <c r="EQ101" i="99" s="1"/>
  <c r="ER101" i="99" s="1"/>
  <c r="ES101" i="99" s="1"/>
  <c r="EO85" i="99"/>
  <c r="EP85" i="99" s="1"/>
  <c r="EQ85" i="99" s="1"/>
  <c r="ER85" i="99" s="1"/>
  <c r="ES85" i="99" s="1"/>
  <c r="EO104" i="99"/>
  <c r="EP104" i="99" s="1"/>
  <c r="EQ104" i="99" s="1"/>
  <c r="ER104" i="99" s="1"/>
  <c r="ES104" i="99" s="1"/>
  <c r="EO91" i="99"/>
  <c r="EP91" i="99" s="1"/>
  <c r="EQ91" i="99" s="1"/>
  <c r="ER91" i="99" s="1"/>
  <c r="ES91" i="99" s="1"/>
  <c r="EO102" i="99"/>
  <c r="EP102" i="99" s="1"/>
  <c r="EQ102" i="99" s="1"/>
  <c r="ER102" i="99" s="1"/>
  <c r="ES102" i="99" s="1"/>
  <c r="EO107" i="99"/>
  <c r="EP107" i="99" s="1"/>
  <c r="EQ107" i="99" s="1"/>
  <c r="ER107" i="99" s="1"/>
  <c r="ES107" i="99" s="1"/>
  <c r="EO105" i="99"/>
  <c r="EP105" i="99" s="1"/>
  <c r="EQ105" i="99" s="1"/>
  <c r="ER105" i="99" s="1"/>
  <c r="ES105" i="99" s="1"/>
  <c r="EO93" i="99"/>
  <c r="EP93" i="99" s="1"/>
  <c r="EQ93" i="99" s="1"/>
  <c r="ER93" i="99" s="1"/>
  <c r="ES93" i="99" s="1"/>
  <c r="EO97" i="99"/>
  <c r="EP97" i="99" s="1"/>
  <c r="EQ97" i="99" s="1"/>
  <c r="ER97" i="99" s="1"/>
  <c r="ES97" i="99" s="1"/>
  <c r="EO106" i="99"/>
  <c r="EP106" i="99" s="1"/>
  <c r="EQ106" i="99" s="1"/>
  <c r="ER106" i="99" s="1"/>
  <c r="ES106" i="99" s="1"/>
  <c r="EO108" i="99"/>
  <c r="EP108" i="99" s="1"/>
  <c r="EQ108" i="99" s="1"/>
  <c r="ER108" i="99" s="1"/>
  <c r="ES108" i="99" s="1"/>
  <c r="AK77" i="99"/>
  <c r="AL77" i="99" s="1"/>
  <c r="AM77" i="99" s="1"/>
  <c r="AN77" i="99" s="1"/>
  <c r="AO77" i="99" s="1"/>
  <c r="AK72" i="99"/>
  <c r="AL72" i="99" s="1"/>
  <c r="AM72" i="99" s="1"/>
  <c r="AN72" i="99" s="1"/>
  <c r="AO72" i="99" s="1"/>
  <c r="AK108" i="99"/>
  <c r="AL108" i="99" s="1"/>
  <c r="AM108" i="99" s="1"/>
  <c r="AN108" i="99" s="1"/>
  <c r="AO108" i="99" s="1"/>
  <c r="AK68" i="99"/>
  <c r="AL68" i="99" s="1"/>
  <c r="AM68" i="99" s="1"/>
  <c r="AN68" i="99" s="1"/>
  <c r="AO68" i="99" s="1"/>
  <c r="AK104" i="99"/>
  <c r="AL104" i="99" s="1"/>
  <c r="AM104" i="99" s="1"/>
  <c r="AN104" i="99" s="1"/>
  <c r="AO104" i="99" s="1"/>
  <c r="AK102" i="99"/>
  <c r="AL102" i="99" s="1"/>
  <c r="AM102" i="99" s="1"/>
  <c r="AN102" i="99" s="1"/>
  <c r="AO102" i="99" s="1"/>
  <c r="AK84" i="99"/>
  <c r="AL84" i="99" s="1"/>
  <c r="AM84" i="99" s="1"/>
  <c r="AN84" i="99" s="1"/>
  <c r="AO84" i="99" s="1"/>
  <c r="AK83" i="99"/>
  <c r="AL83" i="99" s="1"/>
  <c r="AM83" i="99" s="1"/>
  <c r="AN83" i="99" s="1"/>
  <c r="AO83" i="99" s="1"/>
  <c r="AK75" i="99"/>
  <c r="AL75" i="99" s="1"/>
  <c r="AM75" i="99" s="1"/>
  <c r="AN75" i="99" s="1"/>
  <c r="AO75" i="99" s="1"/>
  <c r="AK64" i="99"/>
  <c r="AL64" i="99" s="1"/>
  <c r="AM64" i="99" s="1"/>
  <c r="AN64" i="99" s="1"/>
  <c r="AO64" i="99" s="1"/>
  <c r="AK47" i="99"/>
  <c r="AL47" i="99" s="1"/>
  <c r="AM47" i="99" s="1"/>
  <c r="AN47" i="99" s="1"/>
  <c r="AO47" i="99" s="1"/>
  <c r="AK106" i="99"/>
  <c r="AL106" i="99" s="1"/>
  <c r="AM106" i="99" s="1"/>
  <c r="AN106" i="99" s="1"/>
  <c r="AO106" i="99" s="1"/>
  <c r="AK73" i="99"/>
  <c r="AL73" i="99" s="1"/>
  <c r="AM73" i="99" s="1"/>
  <c r="AN73" i="99" s="1"/>
  <c r="AO73" i="99" s="1"/>
  <c r="AK56" i="99"/>
  <c r="AL56" i="99" s="1"/>
  <c r="AM56" i="99" s="1"/>
  <c r="AN56" i="99" s="1"/>
  <c r="AO56" i="99" s="1"/>
  <c r="AK51" i="99"/>
  <c r="AL51" i="99" s="1"/>
  <c r="AM51" i="99" s="1"/>
  <c r="AN51" i="99" s="1"/>
  <c r="AO51" i="99" s="1"/>
  <c r="AK80" i="99"/>
  <c r="AL80" i="99" s="1"/>
  <c r="AM80" i="99" s="1"/>
  <c r="AN80" i="99" s="1"/>
  <c r="AO80" i="99" s="1"/>
  <c r="AK54" i="99"/>
  <c r="AL54" i="99" s="1"/>
  <c r="AM54" i="99" s="1"/>
  <c r="AN54" i="99" s="1"/>
  <c r="AO54" i="99" s="1"/>
  <c r="AK67" i="99"/>
  <c r="AL67" i="99" s="1"/>
  <c r="AM67" i="99" s="1"/>
  <c r="AN67" i="99" s="1"/>
  <c r="AO67" i="99" s="1"/>
  <c r="AK48" i="99"/>
  <c r="AL48" i="99" s="1"/>
  <c r="AM48" i="99" s="1"/>
  <c r="AN48" i="99" s="1"/>
  <c r="AO48" i="99" s="1"/>
  <c r="AK31" i="99"/>
  <c r="AL31" i="99" s="1"/>
  <c r="AM31" i="99" s="1"/>
  <c r="AN31" i="99" s="1"/>
  <c r="AO31" i="99" s="1"/>
  <c r="AK26" i="99"/>
  <c r="AL26" i="99" s="1"/>
  <c r="AM26" i="99" s="1"/>
  <c r="AN26" i="99" s="1"/>
  <c r="AO26" i="99" s="1"/>
  <c r="AK62" i="99"/>
  <c r="AL62" i="99" s="1"/>
  <c r="AM62" i="99" s="1"/>
  <c r="AN62" i="99" s="1"/>
  <c r="AO62" i="99" s="1"/>
  <c r="AK49" i="99"/>
  <c r="AL49" i="99" s="1"/>
  <c r="AM49" i="99" s="1"/>
  <c r="AN49" i="99" s="1"/>
  <c r="AO49" i="99" s="1"/>
  <c r="AK44" i="99"/>
  <c r="AL44" i="99" s="1"/>
  <c r="AM44" i="99" s="1"/>
  <c r="AN44" i="99" s="1"/>
  <c r="AO44" i="99" s="1"/>
  <c r="AK41" i="99"/>
  <c r="AL41" i="99" s="1"/>
  <c r="AM41" i="99" s="1"/>
  <c r="AN41" i="99" s="1"/>
  <c r="AO41" i="99" s="1"/>
  <c r="AK33" i="99"/>
  <c r="AL33" i="99" s="1"/>
  <c r="AM33" i="99" s="1"/>
  <c r="AN33" i="99" s="1"/>
  <c r="AO33" i="99" s="1"/>
  <c r="AK40" i="99"/>
  <c r="AL40" i="99" s="1"/>
  <c r="AM40" i="99" s="1"/>
  <c r="AN40" i="99" s="1"/>
  <c r="AO40" i="99" s="1"/>
  <c r="AK65" i="99"/>
  <c r="AL65" i="99" s="1"/>
  <c r="AM65" i="99" s="1"/>
  <c r="AN65" i="99" s="1"/>
  <c r="AO65" i="99" s="1"/>
  <c r="AK36" i="99"/>
  <c r="AL36" i="99" s="1"/>
  <c r="AM36" i="99" s="1"/>
  <c r="AN36" i="99" s="1"/>
  <c r="AO36" i="99" s="1"/>
  <c r="AK53" i="99"/>
  <c r="AL53" i="99" s="1"/>
  <c r="AM53" i="99" s="1"/>
  <c r="AN53" i="99" s="1"/>
  <c r="AO53" i="99" s="1"/>
  <c r="AK60" i="99"/>
  <c r="AL60" i="99" s="1"/>
  <c r="AM60" i="99" s="1"/>
  <c r="AN60" i="99" s="1"/>
  <c r="AO60" i="99" s="1"/>
  <c r="AK35" i="99"/>
  <c r="AL35" i="99" s="1"/>
  <c r="AM35" i="99" s="1"/>
  <c r="AN35" i="99" s="1"/>
  <c r="AO35" i="99" s="1"/>
  <c r="AK27" i="99"/>
  <c r="AL27" i="99" s="1"/>
  <c r="AM27" i="99" s="1"/>
  <c r="AN27" i="99" s="1"/>
  <c r="AO27" i="99" s="1"/>
  <c r="AK25" i="99"/>
  <c r="AL25" i="99" s="1"/>
  <c r="AM25" i="99" s="1"/>
  <c r="AN25" i="99" s="1"/>
  <c r="AO25" i="99" s="1"/>
  <c r="AK42" i="99"/>
  <c r="AL42" i="99" s="1"/>
  <c r="AM42" i="99" s="1"/>
  <c r="AN42" i="99" s="1"/>
  <c r="AO42" i="99" s="1"/>
  <c r="AK46" i="99"/>
  <c r="AL46" i="99" s="1"/>
  <c r="AM46" i="99" s="1"/>
  <c r="AN46" i="99" s="1"/>
  <c r="AO46" i="99" s="1"/>
  <c r="AK34" i="99"/>
  <c r="AL34" i="99" s="1"/>
  <c r="AM34" i="99" s="1"/>
  <c r="AN34" i="99" s="1"/>
  <c r="AO34" i="99" s="1"/>
  <c r="AK93" i="99"/>
  <c r="AL93" i="99" s="1"/>
  <c r="AM93" i="99" s="1"/>
  <c r="AN93" i="99" s="1"/>
  <c r="AO93" i="99" s="1"/>
  <c r="AK61" i="99"/>
  <c r="AL61" i="99" s="1"/>
  <c r="AM61" i="99" s="1"/>
  <c r="AN61" i="99" s="1"/>
  <c r="AO61" i="99" s="1"/>
  <c r="AK19" i="99"/>
  <c r="AL19" i="99" s="1"/>
  <c r="AM19" i="99" s="1"/>
  <c r="AN19" i="99" s="1"/>
  <c r="AO19" i="99" s="1"/>
  <c r="AK18" i="99"/>
  <c r="AL18" i="99" s="1"/>
  <c r="AM18" i="99" s="1"/>
  <c r="AN18" i="99" s="1"/>
  <c r="AO18" i="99" s="1"/>
  <c r="AK23" i="99"/>
  <c r="AL23" i="99" s="1"/>
  <c r="AM23" i="99" s="1"/>
  <c r="AN23" i="99" s="1"/>
  <c r="AO23" i="99" s="1"/>
  <c r="AK17" i="99"/>
  <c r="AL17" i="99" s="1"/>
  <c r="AM17" i="99" s="1"/>
  <c r="AN17" i="99" s="1"/>
  <c r="AO17" i="99" s="1"/>
  <c r="AK39" i="99"/>
  <c r="AL39" i="99" s="1"/>
  <c r="AM39" i="99" s="1"/>
  <c r="AN39" i="99" s="1"/>
  <c r="AO39" i="99" s="1"/>
  <c r="AK24" i="99"/>
  <c r="AL24" i="99" s="1"/>
  <c r="AM24" i="99" s="1"/>
  <c r="AN24" i="99" s="1"/>
  <c r="AO24" i="99" s="1"/>
  <c r="AK43" i="99"/>
  <c r="AL43" i="99" s="1"/>
  <c r="AM43" i="99" s="1"/>
  <c r="AN43" i="99" s="1"/>
  <c r="AO43" i="99" s="1"/>
  <c r="AK87" i="99"/>
  <c r="AL87" i="99" s="1"/>
  <c r="AM87" i="99" s="1"/>
  <c r="AN87" i="99" s="1"/>
  <c r="AO87" i="99" s="1"/>
  <c r="AK15" i="99"/>
  <c r="AL15" i="99" s="1"/>
  <c r="AM15" i="99" s="1"/>
  <c r="AN15" i="99" s="1"/>
  <c r="AO15" i="99" s="1"/>
  <c r="AK10" i="99"/>
  <c r="AL10" i="99" s="1"/>
  <c r="AM10" i="99" s="1"/>
  <c r="AN10" i="99" s="1"/>
  <c r="AO10" i="99" s="1"/>
  <c r="AK103" i="99"/>
  <c r="AL103" i="99" s="1"/>
  <c r="AM103" i="99" s="1"/>
  <c r="AN103" i="99" s="1"/>
  <c r="AO103" i="99" s="1"/>
  <c r="AK90" i="99"/>
  <c r="AL90" i="99" s="1"/>
  <c r="AM90" i="99" s="1"/>
  <c r="AN90" i="99" s="1"/>
  <c r="AO90" i="99" s="1"/>
  <c r="AK28" i="99"/>
  <c r="AL28" i="99" s="1"/>
  <c r="AM28" i="99" s="1"/>
  <c r="AN28" i="99" s="1"/>
  <c r="AO28" i="99" s="1"/>
  <c r="AK59" i="99"/>
  <c r="AL59" i="99" s="1"/>
  <c r="AM59" i="99" s="1"/>
  <c r="AN59" i="99" s="1"/>
  <c r="AO59" i="99" s="1"/>
  <c r="AK70" i="99"/>
  <c r="AL70" i="99" s="1"/>
  <c r="AM70" i="99" s="1"/>
  <c r="AN70" i="99" s="1"/>
  <c r="AO70" i="99" s="1"/>
  <c r="AK98" i="99"/>
  <c r="AL98" i="99" s="1"/>
  <c r="AM98" i="99" s="1"/>
  <c r="AN98" i="99" s="1"/>
  <c r="AO98" i="99" s="1"/>
  <c r="AK52" i="99"/>
  <c r="AL52" i="99" s="1"/>
  <c r="AM52" i="99" s="1"/>
  <c r="AN52" i="99" s="1"/>
  <c r="AO52" i="99" s="1"/>
  <c r="AK85" i="99"/>
  <c r="AL85" i="99" s="1"/>
  <c r="AM85" i="99" s="1"/>
  <c r="AN85" i="99" s="1"/>
  <c r="AO85" i="99" s="1"/>
  <c r="AK32" i="99"/>
  <c r="AL32" i="99" s="1"/>
  <c r="AM32" i="99" s="1"/>
  <c r="AN32" i="99" s="1"/>
  <c r="AO32" i="99" s="1"/>
  <c r="AK69" i="99"/>
  <c r="AL69" i="99" s="1"/>
  <c r="AM69" i="99" s="1"/>
  <c r="AN69" i="99" s="1"/>
  <c r="AO69" i="99" s="1"/>
  <c r="AK78" i="99"/>
  <c r="AL78" i="99" s="1"/>
  <c r="AM78" i="99" s="1"/>
  <c r="AN78" i="99" s="1"/>
  <c r="AO78" i="99" s="1"/>
  <c r="AK92" i="99"/>
  <c r="AL92" i="99" s="1"/>
  <c r="AM92" i="99" s="1"/>
  <c r="AN92" i="99" s="1"/>
  <c r="AO92" i="99" s="1"/>
  <c r="AK9" i="99"/>
  <c r="AL9" i="99" s="1"/>
  <c r="AM9" i="99" s="1"/>
  <c r="AN9" i="99" s="1"/>
  <c r="AK12" i="99"/>
  <c r="AL12" i="99" s="1"/>
  <c r="AM12" i="99" s="1"/>
  <c r="AN12" i="99" s="1"/>
  <c r="AO12" i="99" s="1"/>
  <c r="AK55" i="99"/>
  <c r="AL55" i="99" s="1"/>
  <c r="AM55" i="99" s="1"/>
  <c r="AN55" i="99" s="1"/>
  <c r="AO55" i="99" s="1"/>
  <c r="AK13" i="99"/>
  <c r="AL13" i="99" s="1"/>
  <c r="AM13" i="99" s="1"/>
  <c r="AN13" i="99" s="1"/>
  <c r="AO13" i="99" s="1"/>
  <c r="AK71" i="99"/>
  <c r="AL71" i="99" s="1"/>
  <c r="AM71" i="99" s="1"/>
  <c r="AN71" i="99" s="1"/>
  <c r="AO71" i="99" s="1"/>
  <c r="AK100" i="99"/>
  <c r="AL100" i="99" s="1"/>
  <c r="AM100" i="99" s="1"/>
  <c r="AN100" i="99" s="1"/>
  <c r="AO100" i="99" s="1"/>
  <c r="AK38" i="99"/>
  <c r="AL38" i="99" s="1"/>
  <c r="AM38" i="99" s="1"/>
  <c r="AN38" i="99" s="1"/>
  <c r="AO38" i="99" s="1"/>
  <c r="AK50" i="99"/>
  <c r="AL50" i="99" s="1"/>
  <c r="AM50" i="99" s="1"/>
  <c r="AN50" i="99" s="1"/>
  <c r="AO50" i="99" s="1"/>
  <c r="AK63" i="99"/>
  <c r="AL63" i="99" s="1"/>
  <c r="AM63" i="99" s="1"/>
  <c r="AN63" i="99" s="1"/>
  <c r="AO63" i="99" s="1"/>
  <c r="AK79" i="99"/>
  <c r="AL79" i="99" s="1"/>
  <c r="AM79" i="99" s="1"/>
  <c r="AN79" i="99" s="1"/>
  <c r="AO79" i="99" s="1"/>
  <c r="AK89" i="99"/>
  <c r="AL89" i="99" s="1"/>
  <c r="AM89" i="99" s="1"/>
  <c r="AN89" i="99" s="1"/>
  <c r="AO89" i="99" s="1"/>
  <c r="AK96" i="99"/>
  <c r="AL96" i="99" s="1"/>
  <c r="AM96" i="99" s="1"/>
  <c r="AN96" i="99" s="1"/>
  <c r="AO96" i="99" s="1"/>
  <c r="AK94" i="99"/>
  <c r="AL94" i="99" s="1"/>
  <c r="AM94" i="99" s="1"/>
  <c r="AN94" i="99" s="1"/>
  <c r="AO94" i="99" s="1"/>
  <c r="AK20" i="99"/>
  <c r="AL20" i="99" s="1"/>
  <c r="AM20" i="99" s="1"/>
  <c r="AN20" i="99" s="1"/>
  <c r="AO20" i="99" s="1"/>
  <c r="AK37" i="99"/>
  <c r="AL37" i="99" s="1"/>
  <c r="AM37" i="99" s="1"/>
  <c r="AN37" i="99" s="1"/>
  <c r="AO37" i="99" s="1"/>
  <c r="AK11" i="99"/>
  <c r="AL11" i="99" s="1"/>
  <c r="AM11" i="99" s="1"/>
  <c r="AN11" i="99" s="1"/>
  <c r="AO11" i="99" s="1"/>
  <c r="AK81" i="99"/>
  <c r="AL81" i="99" s="1"/>
  <c r="AM81" i="99" s="1"/>
  <c r="AN81" i="99" s="1"/>
  <c r="AO81" i="99" s="1"/>
  <c r="AK45" i="99"/>
  <c r="AL45" i="99" s="1"/>
  <c r="AM45" i="99" s="1"/>
  <c r="AN45" i="99" s="1"/>
  <c r="AO45" i="99" s="1"/>
  <c r="AK76" i="99"/>
  <c r="AL76" i="99" s="1"/>
  <c r="AM76" i="99" s="1"/>
  <c r="AN76" i="99" s="1"/>
  <c r="AO76" i="99" s="1"/>
  <c r="AK82" i="99"/>
  <c r="AL82" i="99" s="1"/>
  <c r="AM82" i="99" s="1"/>
  <c r="AN82" i="99" s="1"/>
  <c r="AO82" i="99" s="1"/>
  <c r="AK101" i="99"/>
  <c r="AL101" i="99" s="1"/>
  <c r="AM101" i="99" s="1"/>
  <c r="AN101" i="99" s="1"/>
  <c r="AO101" i="99" s="1"/>
  <c r="AK16" i="99"/>
  <c r="AL16" i="99" s="1"/>
  <c r="AM16" i="99" s="1"/>
  <c r="AN16" i="99" s="1"/>
  <c r="AO16" i="99" s="1"/>
  <c r="AK21" i="99"/>
  <c r="AL21" i="99" s="1"/>
  <c r="AM21" i="99" s="1"/>
  <c r="AN21" i="99" s="1"/>
  <c r="AO21" i="99" s="1"/>
  <c r="AK22" i="99"/>
  <c r="AL22" i="99" s="1"/>
  <c r="AM22" i="99" s="1"/>
  <c r="AN22" i="99" s="1"/>
  <c r="AO22" i="99" s="1"/>
  <c r="AK86" i="99"/>
  <c r="AL86" i="99" s="1"/>
  <c r="AM86" i="99" s="1"/>
  <c r="AN86" i="99" s="1"/>
  <c r="AO86" i="99" s="1"/>
  <c r="AK88" i="99"/>
  <c r="AL88" i="99" s="1"/>
  <c r="AM88" i="99" s="1"/>
  <c r="AN88" i="99" s="1"/>
  <c r="AO88" i="99" s="1"/>
  <c r="AK14" i="99"/>
  <c r="AL14" i="99" s="1"/>
  <c r="AM14" i="99" s="1"/>
  <c r="AN14" i="99" s="1"/>
  <c r="AO14" i="99" s="1"/>
  <c r="AK58" i="99"/>
  <c r="AL58" i="99" s="1"/>
  <c r="AM58" i="99" s="1"/>
  <c r="AN58" i="99" s="1"/>
  <c r="AO58" i="99" s="1"/>
  <c r="AK66" i="99"/>
  <c r="AL66" i="99" s="1"/>
  <c r="AM66" i="99" s="1"/>
  <c r="AN66" i="99" s="1"/>
  <c r="AO66" i="99" s="1"/>
  <c r="AK99" i="99"/>
  <c r="AL99" i="99" s="1"/>
  <c r="AM99" i="99" s="1"/>
  <c r="AN99" i="99" s="1"/>
  <c r="AO99" i="99" s="1"/>
  <c r="AK29" i="99"/>
  <c r="AL29" i="99" s="1"/>
  <c r="AM29" i="99" s="1"/>
  <c r="AN29" i="99" s="1"/>
  <c r="AO29" i="99" s="1"/>
  <c r="AK30" i="99"/>
  <c r="AL30" i="99" s="1"/>
  <c r="AM30" i="99" s="1"/>
  <c r="AN30" i="99" s="1"/>
  <c r="AO30" i="99" s="1"/>
  <c r="AK57" i="99"/>
  <c r="AL57" i="99" s="1"/>
  <c r="AM57" i="99" s="1"/>
  <c r="AN57" i="99" s="1"/>
  <c r="AO57" i="99" s="1"/>
  <c r="AK74" i="99"/>
  <c r="AL74" i="99" s="1"/>
  <c r="AM74" i="99" s="1"/>
  <c r="AN74" i="99" s="1"/>
  <c r="AO74" i="99" s="1"/>
  <c r="AK97" i="99"/>
  <c r="AL97" i="99" s="1"/>
  <c r="AM97" i="99" s="1"/>
  <c r="AN97" i="99" s="1"/>
  <c r="AO97" i="99" s="1"/>
  <c r="AK95" i="99"/>
  <c r="AL95" i="99" s="1"/>
  <c r="AM95" i="99" s="1"/>
  <c r="AN95" i="99" s="1"/>
  <c r="AO95" i="99" s="1"/>
  <c r="AK105" i="99"/>
  <c r="AL105" i="99" s="1"/>
  <c r="AM105" i="99" s="1"/>
  <c r="AN105" i="99" s="1"/>
  <c r="AO105" i="99" s="1"/>
  <c r="AK107" i="99"/>
  <c r="AL107" i="99" s="1"/>
  <c r="AM107" i="99" s="1"/>
  <c r="AN107" i="99" s="1"/>
  <c r="AO107" i="99" s="1"/>
  <c r="AK91" i="99"/>
  <c r="AL91" i="99" s="1"/>
  <c r="AM91" i="99" s="1"/>
  <c r="AN91" i="99" s="1"/>
  <c r="AO91" i="99" s="1"/>
  <c r="GK75" i="99"/>
  <c r="GL75" i="99" s="1"/>
  <c r="GM75" i="99" s="1"/>
  <c r="GN75" i="99" s="1"/>
  <c r="GO75" i="99" s="1"/>
  <c r="GK102" i="99"/>
  <c r="GL102" i="99" s="1"/>
  <c r="GM102" i="99" s="1"/>
  <c r="GN102" i="99" s="1"/>
  <c r="GO102" i="99" s="1"/>
  <c r="GK72" i="99"/>
  <c r="GL72" i="99" s="1"/>
  <c r="GM72" i="99" s="1"/>
  <c r="GN72" i="99" s="1"/>
  <c r="GO72" i="99" s="1"/>
  <c r="GK56" i="99"/>
  <c r="GL56" i="99" s="1"/>
  <c r="GM56" i="99" s="1"/>
  <c r="GN56" i="99" s="1"/>
  <c r="GO56" i="99" s="1"/>
  <c r="GK53" i="99"/>
  <c r="GL53" i="99" s="1"/>
  <c r="GM53" i="99" s="1"/>
  <c r="GN53" i="99" s="1"/>
  <c r="GO53" i="99" s="1"/>
  <c r="GK47" i="99"/>
  <c r="GL47" i="99" s="1"/>
  <c r="GM47" i="99" s="1"/>
  <c r="GN47" i="99" s="1"/>
  <c r="GO47" i="99" s="1"/>
  <c r="GK42" i="99"/>
  <c r="GL42" i="99" s="1"/>
  <c r="GM42" i="99" s="1"/>
  <c r="GN42" i="99" s="1"/>
  <c r="GO42" i="99" s="1"/>
  <c r="GK51" i="99"/>
  <c r="GL51" i="99" s="1"/>
  <c r="GM51" i="99" s="1"/>
  <c r="GN51" i="99" s="1"/>
  <c r="GO51" i="99" s="1"/>
  <c r="GK61" i="99"/>
  <c r="GL61" i="99" s="1"/>
  <c r="GM61" i="99" s="1"/>
  <c r="GN61" i="99" s="1"/>
  <c r="GO61" i="99" s="1"/>
  <c r="GK48" i="99"/>
  <c r="GL48" i="99" s="1"/>
  <c r="GM48" i="99" s="1"/>
  <c r="GN48" i="99" s="1"/>
  <c r="GO48" i="99" s="1"/>
  <c r="GK90" i="99"/>
  <c r="GL90" i="99" s="1"/>
  <c r="GM90" i="99" s="1"/>
  <c r="GN90" i="99" s="1"/>
  <c r="GO90" i="99" s="1"/>
  <c r="GK34" i="99"/>
  <c r="GL34" i="99" s="1"/>
  <c r="GM34" i="99" s="1"/>
  <c r="GN34" i="99" s="1"/>
  <c r="GO34" i="99" s="1"/>
  <c r="GK24" i="99"/>
  <c r="GL24" i="99" s="1"/>
  <c r="GM24" i="99" s="1"/>
  <c r="GN24" i="99" s="1"/>
  <c r="GO24" i="99" s="1"/>
  <c r="GK20" i="99"/>
  <c r="GL20" i="99" s="1"/>
  <c r="GM20" i="99" s="1"/>
  <c r="GN20" i="99" s="1"/>
  <c r="GO20" i="99" s="1"/>
  <c r="GK40" i="99"/>
  <c r="GL40" i="99" s="1"/>
  <c r="GM40" i="99" s="1"/>
  <c r="GN40" i="99" s="1"/>
  <c r="GO40" i="99" s="1"/>
  <c r="GK18" i="99"/>
  <c r="GL18" i="99" s="1"/>
  <c r="GM18" i="99" s="1"/>
  <c r="GN18" i="99" s="1"/>
  <c r="GO18" i="99" s="1"/>
  <c r="GK26" i="99"/>
  <c r="GL26" i="99" s="1"/>
  <c r="GM26" i="99" s="1"/>
  <c r="GN26" i="99" s="1"/>
  <c r="GO26" i="99" s="1"/>
  <c r="GK28" i="99"/>
  <c r="GL28" i="99" s="1"/>
  <c r="GM28" i="99" s="1"/>
  <c r="GN28" i="99" s="1"/>
  <c r="GO28" i="99" s="1"/>
  <c r="GK59" i="99"/>
  <c r="GL59" i="99" s="1"/>
  <c r="GM59" i="99" s="1"/>
  <c r="GN59" i="99" s="1"/>
  <c r="GO59" i="99" s="1"/>
  <c r="GK98" i="99"/>
  <c r="GL98" i="99" s="1"/>
  <c r="GM98" i="99" s="1"/>
  <c r="GN98" i="99" s="1"/>
  <c r="GO98" i="99" s="1"/>
  <c r="GK22" i="99"/>
  <c r="GL22" i="99" s="1"/>
  <c r="GM22" i="99" s="1"/>
  <c r="GN22" i="99" s="1"/>
  <c r="GO22" i="99" s="1"/>
  <c r="GK39" i="99"/>
  <c r="GL39" i="99" s="1"/>
  <c r="GM39" i="99" s="1"/>
  <c r="GN39" i="99" s="1"/>
  <c r="GO39" i="99" s="1"/>
  <c r="GK23" i="99"/>
  <c r="GL23" i="99" s="1"/>
  <c r="GM23" i="99" s="1"/>
  <c r="GN23" i="99" s="1"/>
  <c r="GO23" i="99" s="1"/>
  <c r="GK15" i="99"/>
  <c r="GL15" i="99" s="1"/>
  <c r="GM15" i="99" s="1"/>
  <c r="GN15" i="99" s="1"/>
  <c r="GO15" i="99" s="1"/>
  <c r="GK52" i="99"/>
  <c r="GL52" i="99" s="1"/>
  <c r="GM52" i="99" s="1"/>
  <c r="GN52" i="99" s="1"/>
  <c r="GO52" i="99" s="1"/>
  <c r="GK82" i="99"/>
  <c r="GL82" i="99" s="1"/>
  <c r="GM82" i="99" s="1"/>
  <c r="GN82" i="99" s="1"/>
  <c r="GO82" i="99" s="1"/>
  <c r="GK49" i="99"/>
  <c r="GL49" i="99" s="1"/>
  <c r="GM49" i="99" s="1"/>
  <c r="GN49" i="99" s="1"/>
  <c r="GO49" i="99" s="1"/>
  <c r="GK44" i="99"/>
  <c r="GL44" i="99" s="1"/>
  <c r="GM44" i="99" s="1"/>
  <c r="GN44" i="99" s="1"/>
  <c r="GO44" i="99" s="1"/>
  <c r="GK78" i="99"/>
  <c r="GL78" i="99" s="1"/>
  <c r="GM78" i="99" s="1"/>
  <c r="GN78" i="99" s="1"/>
  <c r="GO78" i="99" s="1"/>
  <c r="GK92" i="99"/>
  <c r="GL92" i="99" s="1"/>
  <c r="GM92" i="99" s="1"/>
  <c r="GN92" i="99" s="1"/>
  <c r="GO92" i="99" s="1"/>
  <c r="GK84" i="99"/>
  <c r="GL84" i="99" s="1"/>
  <c r="GM84" i="99" s="1"/>
  <c r="GN84" i="99" s="1"/>
  <c r="GO84" i="99" s="1"/>
  <c r="GK9" i="99"/>
  <c r="GL9" i="99" s="1"/>
  <c r="GM9" i="99" s="1"/>
  <c r="GN9" i="99" s="1"/>
  <c r="GK13" i="99"/>
  <c r="GL13" i="99" s="1"/>
  <c r="GM13" i="99" s="1"/>
  <c r="GN13" i="99" s="1"/>
  <c r="GO13" i="99" s="1"/>
  <c r="GK21" i="99"/>
  <c r="GL21" i="99" s="1"/>
  <c r="GM21" i="99" s="1"/>
  <c r="GN21" i="99" s="1"/>
  <c r="GO21" i="99" s="1"/>
  <c r="GK29" i="99"/>
  <c r="GL29" i="99" s="1"/>
  <c r="GM29" i="99" s="1"/>
  <c r="GN29" i="99" s="1"/>
  <c r="GO29" i="99" s="1"/>
  <c r="GK83" i="99"/>
  <c r="GL83" i="99" s="1"/>
  <c r="GM83" i="99" s="1"/>
  <c r="GN83" i="99" s="1"/>
  <c r="GO83" i="99" s="1"/>
  <c r="GK97" i="99"/>
  <c r="GL97" i="99" s="1"/>
  <c r="GM97" i="99" s="1"/>
  <c r="GN97" i="99" s="1"/>
  <c r="GO97" i="99" s="1"/>
  <c r="GK73" i="99"/>
  <c r="GL73" i="99" s="1"/>
  <c r="GM73" i="99" s="1"/>
  <c r="GN73" i="99" s="1"/>
  <c r="GO73" i="99" s="1"/>
  <c r="GK76" i="99"/>
  <c r="GL76" i="99" s="1"/>
  <c r="GM76" i="99" s="1"/>
  <c r="GN76" i="99" s="1"/>
  <c r="GO76" i="99" s="1"/>
  <c r="GK12" i="99"/>
  <c r="GL12" i="99" s="1"/>
  <c r="GM12" i="99" s="1"/>
  <c r="GN12" i="99" s="1"/>
  <c r="GO12" i="99" s="1"/>
  <c r="GK37" i="99"/>
  <c r="GL37" i="99" s="1"/>
  <c r="GM37" i="99" s="1"/>
  <c r="GN37" i="99" s="1"/>
  <c r="GO37" i="99" s="1"/>
  <c r="GK38" i="99"/>
  <c r="GL38" i="99" s="1"/>
  <c r="GM38" i="99" s="1"/>
  <c r="GN38" i="99" s="1"/>
  <c r="GO38" i="99" s="1"/>
  <c r="GK81" i="99"/>
  <c r="GL81" i="99" s="1"/>
  <c r="GM81" i="99" s="1"/>
  <c r="GN81" i="99" s="1"/>
  <c r="GO81" i="99" s="1"/>
  <c r="GK46" i="99"/>
  <c r="GL46" i="99" s="1"/>
  <c r="GM46" i="99" s="1"/>
  <c r="GN46" i="99" s="1"/>
  <c r="GO46" i="99" s="1"/>
  <c r="GK67" i="99"/>
  <c r="GL67" i="99" s="1"/>
  <c r="GM67" i="99" s="1"/>
  <c r="GN67" i="99" s="1"/>
  <c r="GO67" i="99" s="1"/>
  <c r="GK32" i="99"/>
  <c r="GL32" i="99" s="1"/>
  <c r="GM32" i="99" s="1"/>
  <c r="GN32" i="99" s="1"/>
  <c r="GO32" i="99" s="1"/>
  <c r="GK60" i="99"/>
  <c r="GL60" i="99" s="1"/>
  <c r="GM60" i="99" s="1"/>
  <c r="GN60" i="99" s="1"/>
  <c r="GO60" i="99" s="1"/>
  <c r="GK50" i="99"/>
  <c r="GL50" i="99" s="1"/>
  <c r="GM50" i="99" s="1"/>
  <c r="GN50" i="99" s="1"/>
  <c r="GO50" i="99" s="1"/>
  <c r="GK69" i="99"/>
  <c r="GL69" i="99" s="1"/>
  <c r="GM69" i="99" s="1"/>
  <c r="GN69" i="99" s="1"/>
  <c r="GO69" i="99" s="1"/>
  <c r="GK17" i="99"/>
  <c r="GL17" i="99" s="1"/>
  <c r="GM17" i="99" s="1"/>
  <c r="GN17" i="99" s="1"/>
  <c r="GO17" i="99" s="1"/>
  <c r="GK36" i="99"/>
  <c r="GL36" i="99" s="1"/>
  <c r="GM36" i="99" s="1"/>
  <c r="GN36" i="99" s="1"/>
  <c r="GO36" i="99" s="1"/>
  <c r="GK65" i="99"/>
  <c r="GL65" i="99" s="1"/>
  <c r="GM65" i="99" s="1"/>
  <c r="GN65" i="99" s="1"/>
  <c r="GO65" i="99" s="1"/>
  <c r="GK100" i="99"/>
  <c r="GL100" i="99" s="1"/>
  <c r="GM100" i="99" s="1"/>
  <c r="GN100" i="99" s="1"/>
  <c r="GO100" i="99" s="1"/>
  <c r="GK14" i="99"/>
  <c r="GL14" i="99" s="1"/>
  <c r="GM14" i="99" s="1"/>
  <c r="GN14" i="99" s="1"/>
  <c r="GO14" i="99" s="1"/>
  <c r="GK57" i="99"/>
  <c r="GL57" i="99" s="1"/>
  <c r="GM57" i="99" s="1"/>
  <c r="GN57" i="99" s="1"/>
  <c r="GO57" i="99" s="1"/>
  <c r="GK66" i="99"/>
  <c r="GL66" i="99" s="1"/>
  <c r="GM66" i="99" s="1"/>
  <c r="GN66" i="99" s="1"/>
  <c r="GO66" i="99" s="1"/>
  <c r="GK25" i="99"/>
  <c r="GL25" i="99" s="1"/>
  <c r="GM25" i="99" s="1"/>
  <c r="GN25" i="99" s="1"/>
  <c r="GO25" i="99" s="1"/>
  <c r="GK79" i="99"/>
  <c r="GL79" i="99" s="1"/>
  <c r="GM79" i="99" s="1"/>
  <c r="GN79" i="99" s="1"/>
  <c r="GO79" i="99" s="1"/>
  <c r="GK16" i="99"/>
  <c r="GL16" i="99" s="1"/>
  <c r="GM16" i="99" s="1"/>
  <c r="GN16" i="99" s="1"/>
  <c r="GO16" i="99" s="1"/>
  <c r="GK30" i="99"/>
  <c r="GL30" i="99" s="1"/>
  <c r="GM30" i="99" s="1"/>
  <c r="GN30" i="99" s="1"/>
  <c r="GO30" i="99" s="1"/>
  <c r="GK10" i="99"/>
  <c r="GL10" i="99" s="1"/>
  <c r="GM10" i="99" s="1"/>
  <c r="GN10" i="99" s="1"/>
  <c r="GO10" i="99" s="1"/>
  <c r="GK31" i="99"/>
  <c r="GL31" i="99" s="1"/>
  <c r="GM31" i="99" s="1"/>
  <c r="GN31" i="99" s="1"/>
  <c r="GO31" i="99" s="1"/>
  <c r="GK45" i="99"/>
  <c r="GL45" i="99" s="1"/>
  <c r="GM45" i="99" s="1"/>
  <c r="GN45" i="99" s="1"/>
  <c r="GO45" i="99" s="1"/>
  <c r="GK71" i="99"/>
  <c r="GL71" i="99" s="1"/>
  <c r="GM71" i="99" s="1"/>
  <c r="GN71" i="99" s="1"/>
  <c r="GO71" i="99" s="1"/>
  <c r="GK74" i="99"/>
  <c r="GL74" i="99" s="1"/>
  <c r="GM74" i="99" s="1"/>
  <c r="GN74" i="99" s="1"/>
  <c r="GO74" i="99" s="1"/>
  <c r="GK87" i="99"/>
  <c r="GL87" i="99" s="1"/>
  <c r="GM87" i="99" s="1"/>
  <c r="GN87" i="99" s="1"/>
  <c r="GO87" i="99" s="1"/>
  <c r="GK91" i="99"/>
  <c r="GL91" i="99" s="1"/>
  <c r="GM91" i="99" s="1"/>
  <c r="GN91" i="99" s="1"/>
  <c r="GO91" i="99" s="1"/>
  <c r="GK64" i="99"/>
  <c r="GL64" i="99" s="1"/>
  <c r="GM64" i="99" s="1"/>
  <c r="GN64" i="99" s="1"/>
  <c r="GO64" i="99" s="1"/>
  <c r="GK80" i="99"/>
  <c r="GL80" i="99" s="1"/>
  <c r="GM80" i="99" s="1"/>
  <c r="GN80" i="99" s="1"/>
  <c r="GO80" i="99" s="1"/>
  <c r="GK94" i="99"/>
  <c r="GL94" i="99" s="1"/>
  <c r="GM94" i="99" s="1"/>
  <c r="GN94" i="99" s="1"/>
  <c r="GO94" i="99" s="1"/>
  <c r="GK99" i="99"/>
  <c r="GL99" i="99" s="1"/>
  <c r="GM99" i="99" s="1"/>
  <c r="GN99" i="99" s="1"/>
  <c r="GO99" i="99" s="1"/>
  <c r="GK54" i="99"/>
  <c r="GL54" i="99" s="1"/>
  <c r="GM54" i="99" s="1"/>
  <c r="GN54" i="99" s="1"/>
  <c r="GO54" i="99" s="1"/>
  <c r="GK62" i="99"/>
  <c r="GL62" i="99" s="1"/>
  <c r="GM62" i="99" s="1"/>
  <c r="GN62" i="99" s="1"/>
  <c r="GO62" i="99" s="1"/>
  <c r="GK88" i="99"/>
  <c r="GL88" i="99" s="1"/>
  <c r="GM88" i="99" s="1"/>
  <c r="GN88" i="99" s="1"/>
  <c r="GO88" i="99" s="1"/>
  <c r="GK11" i="99"/>
  <c r="GL11" i="99" s="1"/>
  <c r="GM11" i="99" s="1"/>
  <c r="GN11" i="99" s="1"/>
  <c r="GO11" i="99" s="1"/>
  <c r="GK41" i="99"/>
  <c r="GL41" i="99" s="1"/>
  <c r="GM41" i="99" s="1"/>
  <c r="GN41" i="99" s="1"/>
  <c r="GO41" i="99" s="1"/>
  <c r="GK55" i="99"/>
  <c r="GL55" i="99" s="1"/>
  <c r="GM55" i="99" s="1"/>
  <c r="GN55" i="99" s="1"/>
  <c r="GO55" i="99" s="1"/>
  <c r="GK95" i="99"/>
  <c r="GL95" i="99" s="1"/>
  <c r="GM95" i="99" s="1"/>
  <c r="GN95" i="99" s="1"/>
  <c r="GO95" i="99" s="1"/>
  <c r="GK96" i="99"/>
  <c r="GL96" i="99" s="1"/>
  <c r="GM96" i="99" s="1"/>
  <c r="GN96" i="99" s="1"/>
  <c r="GO96" i="99" s="1"/>
  <c r="GK68" i="99"/>
  <c r="GL68" i="99" s="1"/>
  <c r="GM68" i="99" s="1"/>
  <c r="GN68" i="99" s="1"/>
  <c r="GO68" i="99" s="1"/>
  <c r="GK58" i="99"/>
  <c r="GL58" i="99" s="1"/>
  <c r="GM58" i="99" s="1"/>
  <c r="GN58" i="99" s="1"/>
  <c r="GO58" i="99" s="1"/>
  <c r="GK63" i="99"/>
  <c r="GL63" i="99" s="1"/>
  <c r="GM63" i="99" s="1"/>
  <c r="GN63" i="99" s="1"/>
  <c r="GO63" i="99" s="1"/>
  <c r="GK33" i="99"/>
  <c r="GL33" i="99" s="1"/>
  <c r="GM33" i="99" s="1"/>
  <c r="GN33" i="99" s="1"/>
  <c r="GO33" i="99" s="1"/>
  <c r="GK101" i="99"/>
  <c r="GL101" i="99" s="1"/>
  <c r="GM101" i="99" s="1"/>
  <c r="GN101" i="99" s="1"/>
  <c r="GO101" i="99" s="1"/>
  <c r="GK77" i="99"/>
  <c r="GL77" i="99" s="1"/>
  <c r="GM77" i="99" s="1"/>
  <c r="GN77" i="99" s="1"/>
  <c r="GO77" i="99" s="1"/>
  <c r="GK19" i="99"/>
  <c r="GL19" i="99" s="1"/>
  <c r="GM19" i="99" s="1"/>
  <c r="GN19" i="99" s="1"/>
  <c r="GO19" i="99" s="1"/>
  <c r="GK27" i="99"/>
  <c r="GL27" i="99" s="1"/>
  <c r="GM27" i="99" s="1"/>
  <c r="GN27" i="99" s="1"/>
  <c r="GO27" i="99" s="1"/>
  <c r="GK70" i="99"/>
  <c r="GL70" i="99" s="1"/>
  <c r="GM70" i="99" s="1"/>
  <c r="GN70" i="99" s="1"/>
  <c r="GO70" i="99" s="1"/>
  <c r="GK86" i="99"/>
  <c r="GL86" i="99" s="1"/>
  <c r="GM86" i="99" s="1"/>
  <c r="GN86" i="99" s="1"/>
  <c r="GO86" i="99" s="1"/>
  <c r="GK35" i="99"/>
  <c r="GL35" i="99" s="1"/>
  <c r="GM35" i="99" s="1"/>
  <c r="GN35" i="99" s="1"/>
  <c r="GO35" i="99" s="1"/>
  <c r="GK43" i="99"/>
  <c r="GL43" i="99" s="1"/>
  <c r="GM43" i="99" s="1"/>
  <c r="GN43" i="99" s="1"/>
  <c r="GO43" i="99" s="1"/>
  <c r="GK89" i="99"/>
  <c r="GL89" i="99" s="1"/>
  <c r="GM89" i="99" s="1"/>
  <c r="GN89" i="99" s="1"/>
  <c r="GO89" i="99" s="1"/>
  <c r="GK107" i="99"/>
  <c r="GL107" i="99" s="1"/>
  <c r="GM107" i="99" s="1"/>
  <c r="GN107" i="99" s="1"/>
  <c r="GO107" i="99" s="1"/>
  <c r="GK93" i="99"/>
  <c r="GL93" i="99" s="1"/>
  <c r="GM93" i="99" s="1"/>
  <c r="GN93" i="99" s="1"/>
  <c r="GO93" i="99" s="1"/>
  <c r="GK104" i="99"/>
  <c r="GL104" i="99" s="1"/>
  <c r="GM104" i="99" s="1"/>
  <c r="GN104" i="99" s="1"/>
  <c r="GO104" i="99" s="1"/>
  <c r="GK103" i="99"/>
  <c r="GL103" i="99" s="1"/>
  <c r="GM103" i="99" s="1"/>
  <c r="GN103" i="99" s="1"/>
  <c r="GO103" i="99" s="1"/>
  <c r="GK106" i="99"/>
  <c r="GL106" i="99" s="1"/>
  <c r="GM106" i="99" s="1"/>
  <c r="GN106" i="99" s="1"/>
  <c r="GO106" i="99" s="1"/>
  <c r="GK108" i="99"/>
  <c r="GL108" i="99" s="1"/>
  <c r="GM108" i="99" s="1"/>
  <c r="GN108" i="99" s="1"/>
  <c r="GO108" i="99" s="1"/>
  <c r="GK105" i="99"/>
  <c r="GL105" i="99" s="1"/>
  <c r="GM105" i="99" s="1"/>
  <c r="GN105" i="99" s="1"/>
  <c r="GO105" i="99" s="1"/>
  <c r="GK85" i="99"/>
  <c r="GL85" i="99" s="1"/>
  <c r="GM85" i="99" s="1"/>
  <c r="GN85" i="99" s="1"/>
  <c r="GO85" i="99" s="1"/>
  <c r="DW71" i="99"/>
  <c r="DX71" i="99" s="1"/>
  <c r="DY71" i="99" s="1"/>
  <c r="DZ71" i="99" s="1"/>
  <c r="EA71" i="99" s="1"/>
  <c r="DW84" i="99"/>
  <c r="DX84" i="99" s="1"/>
  <c r="DY84" i="99" s="1"/>
  <c r="DZ84" i="99" s="1"/>
  <c r="EA84" i="99" s="1"/>
  <c r="DW93" i="99"/>
  <c r="DX93" i="99" s="1"/>
  <c r="DY93" i="99" s="1"/>
  <c r="DZ93" i="99" s="1"/>
  <c r="EA93" i="99" s="1"/>
  <c r="DW73" i="99"/>
  <c r="DX73" i="99" s="1"/>
  <c r="DY73" i="99" s="1"/>
  <c r="DZ73" i="99" s="1"/>
  <c r="EA73" i="99" s="1"/>
  <c r="DW65" i="99"/>
  <c r="DX65" i="99" s="1"/>
  <c r="DY65" i="99" s="1"/>
  <c r="DZ65" i="99" s="1"/>
  <c r="EA65" i="99" s="1"/>
  <c r="DW90" i="99"/>
  <c r="DX90" i="99" s="1"/>
  <c r="DY90" i="99" s="1"/>
  <c r="DZ90" i="99" s="1"/>
  <c r="EA90" i="99" s="1"/>
  <c r="DW78" i="99"/>
  <c r="DX78" i="99" s="1"/>
  <c r="DY78" i="99" s="1"/>
  <c r="DZ78" i="99" s="1"/>
  <c r="EA78" i="99" s="1"/>
  <c r="DW54" i="99"/>
  <c r="DX54" i="99" s="1"/>
  <c r="DY54" i="99" s="1"/>
  <c r="DZ54" i="99" s="1"/>
  <c r="EA54" i="99" s="1"/>
  <c r="DW53" i="99"/>
  <c r="DX53" i="99" s="1"/>
  <c r="DY53" i="99" s="1"/>
  <c r="DZ53" i="99" s="1"/>
  <c r="EA53" i="99" s="1"/>
  <c r="DW48" i="99"/>
  <c r="DX48" i="99" s="1"/>
  <c r="DY48" i="99" s="1"/>
  <c r="DZ48" i="99" s="1"/>
  <c r="EA48" i="99" s="1"/>
  <c r="DW34" i="99"/>
  <c r="DX34" i="99" s="1"/>
  <c r="DY34" i="99" s="1"/>
  <c r="DZ34" i="99" s="1"/>
  <c r="EA34" i="99" s="1"/>
  <c r="DW69" i="99"/>
  <c r="DX69" i="99" s="1"/>
  <c r="DY69" i="99" s="1"/>
  <c r="DZ69" i="99" s="1"/>
  <c r="EA69" i="99" s="1"/>
  <c r="DW63" i="99"/>
  <c r="DX63" i="99" s="1"/>
  <c r="DY63" i="99" s="1"/>
  <c r="DZ63" i="99" s="1"/>
  <c r="EA63" i="99" s="1"/>
  <c r="DW35" i="99"/>
  <c r="DX35" i="99" s="1"/>
  <c r="DY35" i="99" s="1"/>
  <c r="DZ35" i="99" s="1"/>
  <c r="EA35" i="99" s="1"/>
  <c r="DW27" i="99"/>
  <c r="DX27" i="99" s="1"/>
  <c r="DY27" i="99" s="1"/>
  <c r="DZ27" i="99" s="1"/>
  <c r="EA27" i="99" s="1"/>
  <c r="DW62" i="99"/>
  <c r="DX62" i="99" s="1"/>
  <c r="DY62" i="99" s="1"/>
  <c r="DZ62" i="99" s="1"/>
  <c r="EA62" i="99" s="1"/>
  <c r="DW49" i="99"/>
  <c r="DX49" i="99" s="1"/>
  <c r="DY49" i="99" s="1"/>
  <c r="DZ49" i="99" s="1"/>
  <c r="EA49" i="99" s="1"/>
  <c r="DW33" i="99"/>
  <c r="DX33" i="99" s="1"/>
  <c r="DY33" i="99" s="1"/>
  <c r="DZ33" i="99" s="1"/>
  <c r="EA33" i="99" s="1"/>
  <c r="DW67" i="99"/>
  <c r="DX67" i="99" s="1"/>
  <c r="DY67" i="99" s="1"/>
  <c r="DZ67" i="99" s="1"/>
  <c r="EA67" i="99" s="1"/>
  <c r="DW43" i="99"/>
  <c r="DX43" i="99" s="1"/>
  <c r="DY43" i="99" s="1"/>
  <c r="DZ43" i="99" s="1"/>
  <c r="EA43" i="99" s="1"/>
  <c r="DW40" i="99"/>
  <c r="DX40" i="99" s="1"/>
  <c r="DY40" i="99" s="1"/>
  <c r="DZ40" i="99" s="1"/>
  <c r="EA40" i="99" s="1"/>
  <c r="DW25" i="99"/>
  <c r="DX25" i="99" s="1"/>
  <c r="DY25" i="99" s="1"/>
  <c r="DZ25" i="99" s="1"/>
  <c r="EA25" i="99" s="1"/>
  <c r="DW95" i="99"/>
  <c r="DX95" i="99" s="1"/>
  <c r="DY95" i="99" s="1"/>
  <c r="DZ95" i="99" s="1"/>
  <c r="EA95" i="99" s="1"/>
  <c r="DW41" i="99"/>
  <c r="DX41" i="99" s="1"/>
  <c r="DY41" i="99" s="1"/>
  <c r="DZ41" i="99" s="1"/>
  <c r="EA41" i="99" s="1"/>
  <c r="DW24" i="99"/>
  <c r="DX24" i="99" s="1"/>
  <c r="DY24" i="99" s="1"/>
  <c r="DZ24" i="99" s="1"/>
  <c r="EA24" i="99" s="1"/>
  <c r="DW59" i="99"/>
  <c r="DX59" i="99" s="1"/>
  <c r="DY59" i="99" s="1"/>
  <c r="DZ59" i="99" s="1"/>
  <c r="EA59" i="99" s="1"/>
  <c r="DW26" i="99"/>
  <c r="DX26" i="99" s="1"/>
  <c r="DY26" i="99" s="1"/>
  <c r="DZ26" i="99" s="1"/>
  <c r="EA26" i="99" s="1"/>
  <c r="DW61" i="99"/>
  <c r="DX61" i="99" s="1"/>
  <c r="DY61" i="99" s="1"/>
  <c r="DZ61" i="99" s="1"/>
  <c r="EA61" i="99" s="1"/>
  <c r="DW42" i="99"/>
  <c r="DX42" i="99" s="1"/>
  <c r="DY42" i="99" s="1"/>
  <c r="DZ42" i="99" s="1"/>
  <c r="EA42" i="99" s="1"/>
  <c r="DW28" i="99"/>
  <c r="DX28" i="99" s="1"/>
  <c r="DY28" i="99" s="1"/>
  <c r="DZ28" i="99" s="1"/>
  <c r="EA28" i="99" s="1"/>
  <c r="DW20" i="99"/>
  <c r="DX20" i="99" s="1"/>
  <c r="DY20" i="99" s="1"/>
  <c r="DZ20" i="99" s="1"/>
  <c r="EA20" i="99" s="1"/>
  <c r="DW17" i="99"/>
  <c r="DX17" i="99" s="1"/>
  <c r="DY17" i="99" s="1"/>
  <c r="DZ17" i="99" s="1"/>
  <c r="EA17" i="99" s="1"/>
  <c r="DW32" i="99"/>
  <c r="DX32" i="99" s="1"/>
  <c r="DY32" i="99" s="1"/>
  <c r="DZ32" i="99" s="1"/>
  <c r="EA32" i="99" s="1"/>
  <c r="DW9" i="99"/>
  <c r="DX9" i="99" s="1"/>
  <c r="DY9" i="99" s="1"/>
  <c r="DZ9" i="99" s="1"/>
  <c r="DW18" i="99"/>
  <c r="DX18" i="99" s="1"/>
  <c r="DY18" i="99" s="1"/>
  <c r="DZ18" i="99" s="1"/>
  <c r="EA18" i="99" s="1"/>
  <c r="DW70" i="99"/>
  <c r="DX70" i="99" s="1"/>
  <c r="DY70" i="99" s="1"/>
  <c r="DZ70" i="99" s="1"/>
  <c r="EA70" i="99" s="1"/>
  <c r="DW82" i="99"/>
  <c r="DX82" i="99" s="1"/>
  <c r="DY82" i="99" s="1"/>
  <c r="DZ82" i="99" s="1"/>
  <c r="EA82" i="99" s="1"/>
  <c r="DW92" i="99"/>
  <c r="DX92" i="99" s="1"/>
  <c r="DY92" i="99" s="1"/>
  <c r="DZ92" i="99" s="1"/>
  <c r="EA92" i="99" s="1"/>
  <c r="DW19" i="99"/>
  <c r="DX19" i="99" s="1"/>
  <c r="DY19" i="99" s="1"/>
  <c r="DZ19" i="99" s="1"/>
  <c r="EA19" i="99" s="1"/>
  <c r="DW12" i="99"/>
  <c r="DX12" i="99" s="1"/>
  <c r="DY12" i="99" s="1"/>
  <c r="DZ12" i="99" s="1"/>
  <c r="EA12" i="99" s="1"/>
  <c r="DW55" i="99"/>
  <c r="DX55" i="99" s="1"/>
  <c r="DY55" i="99" s="1"/>
  <c r="DZ55" i="99" s="1"/>
  <c r="EA55" i="99" s="1"/>
  <c r="DW56" i="99"/>
  <c r="DX56" i="99" s="1"/>
  <c r="DY56" i="99" s="1"/>
  <c r="DZ56" i="99" s="1"/>
  <c r="EA56" i="99" s="1"/>
  <c r="DW15" i="99"/>
  <c r="DX15" i="99" s="1"/>
  <c r="DY15" i="99" s="1"/>
  <c r="DZ15" i="99" s="1"/>
  <c r="EA15" i="99" s="1"/>
  <c r="DW10" i="99"/>
  <c r="DX10" i="99" s="1"/>
  <c r="DY10" i="99" s="1"/>
  <c r="DZ10" i="99" s="1"/>
  <c r="EA10" i="99" s="1"/>
  <c r="DW85" i="99"/>
  <c r="DX85" i="99" s="1"/>
  <c r="DY85" i="99" s="1"/>
  <c r="DZ85" i="99" s="1"/>
  <c r="EA85" i="99" s="1"/>
  <c r="DW13" i="99"/>
  <c r="DX13" i="99" s="1"/>
  <c r="DY13" i="99" s="1"/>
  <c r="DZ13" i="99" s="1"/>
  <c r="EA13" i="99" s="1"/>
  <c r="DW58" i="99"/>
  <c r="DX58" i="99" s="1"/>
  <c r="DY58" i="99" s="1"/>
  <c r="DZ58" i="99" s="1"/>
  <c r="EA58" i="99" s="1"/>
  <c r="DW91" i="99"/>
  <c r="DX91" i="99" s="1"/>
  <c r="DY91" i="99" s="1"/>
  <c r="DZ91" i="99" s="1"/>
  <c r="EA91" i="99" s="1"/>
  <c r="DW103" i="99"/>
  <c r="DX103" i="99" s="1"/>
  <c r="DY103" i="99" s="1"/>
  <c r="DZ103" i="99" s="1"/>
  <c r="EA103" i="99" s="1"/>
  <c r="DW77" i="99"/>
  <c r="DX77" i="99" s="1"/>
  <c r="DY77" i="99" s="1"/>
  <c r="DZ77" i="99" s="1"/>
  <c r="EA77" i="99" s="1"/>
  <c r="DW44" i="99"/>
  <c r="DX44" i="99" s="1"/>
  <c r="DY44" i="99" s="1"/>
  <c r="DZ44" i="99" s="1"/>
  <c r="EA44" i="99" s="1"/>
  <c r="DW86" i="99"/>
  <c r="DX86" i="99" s="1"/>
  <c r="DY86" i="99" s="1"/>
  <c r="DZ86" i="99" s="1"/>
  <c r="EA86" i="99" s="1"/>
  <c r="DW83" i="99"/>
  <c r="DX83" i="99" s="1"/>
  <c r="DY83" i="99" s="1"/>
  <c r="DZ83" i="99" s="1"/>
  <c r="EA83" i="99" s="1"/>
  <c r="DW100" i="99"/>
  <c r="DX100" i="99" s="1"/>
  <c r="DY100" i="99" s="1"/>
  <c r="DZ100" i="99" s="1"/>
  <c r="EA100" i="99" s="1"/>
  <c r="DW96" i="99"/>
  <c r="DX96" i="99" s="1"/>
  <c r="DY96" i="99" s="1"/>
  <c r="DZ96" i="99" s="1"/>
  <c r="EA96" i="99" s="1"/>
  <c r="DW30" i="99"/>
  <c r="DX30" i="99" s="1"/>
  <c r="DY30" i="99" s="1"/>
  <c r="DZ30" i="99" s="1"/>
  <c r="EA30" i="99" s="1"/>
  <c r="DW16" i="99"/>
  <c r="DX16" i="99" s="1"/>
  <c r="DY16" i="99" s="1"/>
  <c r="DZ16" i="99" s="1"/>
  <c r="EA16" i="99" s="1"/>
  <c r="DW21" i="99"/>
  <c r="DX21" i="99" s="1"/>
  <c r="DY21" i="99" s="1"/>
  <c r="DZ21" i="99" s="1"/>
  <c r="EA21" i="99" s="1"/>
  <c r="DW57" i="99"/>
  <c r="DX57" i="99" s="1"/>
  <c r="DY57" i="99" s="1"/>
  <c r="DZ57" i="99" s="1"/>
  <c r="EA57" i="99" s="1"/>
  <c r="DW72" i="99"/>
  <c r="DX72" i="99" s="1"/>
  <c r="DY72" i="99" s="1"/>
  <c r="DZ72" i="99" s="1"/>
  <c r="EA72" i="99" s="1"/>
  <c r="DW98" i="99"/>
  <c r="DX98" i="99" s="1"/>
  <c r="DY98" i="99" s="1"/>
  <c r="DZ98" i="99" s="1"/>
  <c r="EA98" i="99" s="1"/>
  <c r="DW45" i="99"/>
  <c r="DX45" i="99" s="1"/>
  <c r="DY45" i="99" s="1"/>
  <c r="DZ45" i="99" s="1"/>
  <c r="EA45" i="99" s="1"/>
  <c r="DW51" i="99"/>
  <c r="DX51" i="99" s="1"/>
  <c r="DY51" i="99" s="1"/>
  <c r="DZ51" i="99" s="1"/>
  <c r="EA51" i="99" s="1"/>
  <c r="DW39" i="99"/>
  <c r="DX39" i="99" s="1"/>
  <c r="DY39" i="99" s="1"/>
  <c r="DZ39" i="99" s="1"/>
  <c r="EA39" i="99" s="1"/>
  <c r="DW66" i="99"/>
  <c r="DX66" i="99" s="1"/>
  <c r="DY66" i="99" s="1"/>
  <c r="DZ66" i="99" s="1"/>
  <c r="EA66" i="99" s="1"/>
  <c r="DW36" i="99"/>
  <c r="DX36" i="99" s="1"/>
  <c r="DY36" i="99" s="1"/>
  <c r="DZ36" i="99" s="1"/>
  <c r="EA36" i="99" s="1"/>
  <c r="DW76" i="99"/>
  <c r="DX76" i="99" s="1"/>
  <c r="DY76" i="99" s="1"/>
  <c r="DZ76" i="99" s="1"/>
  <c r="EA76" i="99" s="1"/>
  <c r="DW87" i="99"/>
  <c r="DX87" i="99" s="1"/>
  <c r="DY87" i="99" s="1"/>
  <c r="DZ87" i="99" s="1"/>
  <c r="EA87" i="99" s="1"/>
  <c r="DW106" i="99"/>
  <c r="DX106" i="99" s="1"/>
  <c r="DY106" i="99" s="1"/>
  <c r="DZ106" i="99" s="1"/>
  <c r="EA106" i="99" s="1"/>
  <c r="DW29" i="99"/>
  <c r="DX29" i="99" s="1"/>
  <c r="DY29" i="99" s="1"/>
  <c r="DZ29" i="99" s="1"/>
  <c r="EA29" i="99" s="1"/>
  <c r="DW64" i="99"/>
  <c r="DX64" i="99" s="1"/>
  <c r="DY64" i="99" s="1"/>
  <c r="DZ64" i="99" s="1"/>
  <c r="EA64" i="99" s="1"/>
  <c r="DW50" i="99"/>
  <c r="DX50" i="99" s="1"/>
  <c r="DY50" i="99" s="1"/>
  <c r="DZ50" i="99" s="1"/>
  <c r="EA50" i="99" s="1"/>
  <c r="DW60" i="99"/>
  <c r="DX60" i="99" s="1"/>
  <c r="DY60" i="99" s="1"/>
  <c r="DZ60" i="99" s="1"/>
  <c r="EA60" i="99" s="1"/>
  <c r="DW89" i="99"/>
  <c r="DX89" i="99" s="1"/>
  <c r="DY89" i="99" s="1"/>
  <c r="DZ89" i="99" s="1"/>
  <c r="EA89" i="99" s="1"/>
  <c r="DW80" i="99"/>
  <c r="DX80" i="99" s="1"/>
  <c r="DY80" i="99" s="1"/>
  <c r="DZ80" i="99" s="1"/>
  <c r="EA80" i="99" s="1"/>
  <c r="DW105" i="99"/>
  <c r="DX105" i="99" s="1"/>
  <c r="DY105" i="99" s="1"/>
  <c r="DZ105" i="99" s="1"/>
  <c r="EA105" i="99" s="1"/>
  <c r="DW14" i="99"/>
  <c r="DX14" i="99" s="1"/>
  <c r="DY14" i="99" s="1"/>
  <c r="DZ14" i="99" s="1"/>
  <c r="EA14" i="99" s="1"/>
  <c r="DW23" i="99"/>
  <c r="DX23" i="99" s="1"/>
  <c r="DY23" i="99" s="1"/>
  <c r="DZ23" i="99" s="1"/>
  <c r="EA23" i="99" s="1"/>
  <c r="DW31" i="99"/>
  <c r="DX31" i="99" s="1"/>
  <c r="DY31" i="99" s="1"/>
  <c r="DZ31" i="99" s="1"/>
  <c r="EA31" i="99" s="1"/>
  <c r="DW79" i="99"/>
  <c r="DX79" i="99" s="1"/>
  <c r="DY79" i="99" s="1"/>
  <c r="DZ79" i="99" s="1"/>
  <c r="EA79" i="99" s="1"/>
  <c r="DW81" i="99"/>
  <c r="DX81" i="99" s="1"/>
  <c r="DY81" i="99" s="1"/>
  <c r="DZ81" i="99" s="1"/>
  <c r="EA81" i="99" s="1"/>
  <c r="DW101" i="99"/>
  <c r="DX101" i="99" s="1"/>
  <c r="DY101" i="99" s="1"/>
  <c r="DZ101" i="99" s="1"/>
  <c r="EA101" i="99" s="1"/>
  <c r="DW75" i="99"/>
  <c r="DX75" i="99" s="1"/>
  <c r="DY75" i="99" s="1"/>
  <c r="DZ75" i="99" s="1"/>
  <c r="EA75" i="99" s="1"/>
  <c r="DW11" i="99"/>
  <c r="DX11" i="99" s="1"/>
  <c r="DY11" i="99" s="1"/>
  <c r="DZ11" i="99" s="1"/>
  <c r="EA11" i="99" s="1"/>
  <c r="DW68" i="99"/>
  <c r="DX68" i="99" s="1"/>
  <c r="DY68" i="99" s="1"/>
  <c r="DZ68" i="99" s="1"/>
  <c r="EA68" i="99" s="1"/>
  <c r="DW104" i="99"/>
  <c r="DX104" i="99" s="1"/>
  <c r="DY104" i="99" s="1"/>
  <c r="DZ104" i="99" s="1"/>
  <c r="EA104" i="99" s="1"/>
  <c r="DW22" i="99"/>
  <c r="DX22" i="99" s="1"/>
  <c r="DY22" i="99" s="1"/>
  <c r="DZ22" i="99" s="1"/>
  <c r="EA22" i="99" s="1"/>
  <c r="DW46" i="99"/>
  <c r="DX46" i="99" s="1"/>
  <c r="DY46" i="99" s="1"/>
  <c r="DZ46" i="99" s="1"/>
  <c r="EA46" i="99" s="1"/>
  <c r="DW38" i="99"/>
  <c r="DX38" i="99" s="1"/>
  <c r="DY38" i="99" s="1"/>
  <c r="DZ38" i="99" s="1"/>
  <c r="EA38" i="99" s="1"/>
  <c r="DW37" i="99"/>
  <c r="DX37" i="99" s="1"/>
  <c r="DY37" i="99" s="1"/>
  <c r="DZ37" i="99" s="1"/>
  <c r="EA37" i="99" s="1"/>
  <c r="DW47" i="99"/>
  <c r="DX47" i="99" s="1"/>
  <c r="DY47" i="99" s="1"/>
  <c r="DZ47" i="99" s="1"/>
  <c r="EA47" i="99" s="1"/>
  <c r="DW52" i="99"/>
  <c r="DX52" i="99" s="1"/>
  <c r="DY52" i="99" s="1"/>
  <c r="DZ52" i="99" s="1"/>
  <c r="EA52" i="99" s="1"/>
  <c r="DW74" i="99"/>
  <c r="DX74" i="99" s="1"/>
  <c r="DY74" i="99" s="1"/>
  <c r="DZ74" i="99" s="1"/>
  <c r="EA74" i="99" s="1"/>
  <c r="DW108" i="99"/>
  <c r="DX108" i="99" s="1"/>
  <c r="DY108" i="99" s="1"/>
  <c r="DZ108" i="99" s="1"/>
  <c r="EA108" i="99" s="1"/>
  <c r="DW88" i="99"/>
  <c r="DX88" i="99" s="1"/>
  <c r="DY88" i="99" s="1"/>
  <c r="DZ88" i="99" s="1"/>
  <c r="EA88" i="99" s="1"/>
  <c r="DW94" i="99"/>
  <c r="DX94" i="99" s="1"/>
  <c r="DY94" i="99" s="1"/>
  <c r="DZ94" i="99" s="1"/>
  <c r="EA94" i="99" s="1"/>
  <c r="DW107" i="99"/>
  <c r="DX107" i="99" s="1"/>
  <c r="DY107" i="99" s="1"/>
  <c r="DZ107" i="99" s="1"/>
  <c r="EA107" i="99" s="1"/>
  <c r="DW97" i="99"/>
  <c r="DX97" i="99" s="1"/>
  <c r="DY97" i="99" s="1"/>
  <c r="DZ97" i="99" s="1"/>
  <c r="EA97" i="99" s="1"/>
  <c r="DW102" i="99"/>
  <c r="DX102" i="99" s="1"/>
  <c r="DY102" i="99" s="1"/>
  <c r="DZ102" i="99" s="1"/>
  <c r="EA102" i="99" s="1"/>
  <c r="DW99" i="99"/>
  <c r="DX99" i="99" s="1"/>
  <c r="DY99" i="99" s="1"/>
  <c r="DZ99" i="99" s="1"/>
  <c r="EA99" i="99" s="1"/>
  <c r="BI100" i="99"/>
  <c r="BJ100" i="99" s="1"/>
  <c r="BK100" i="99" s="1"/>
  <c r="BL100" i="99" s="1"/>
  <c r="BM100" i="99" s="1"/>
  <c r="BI88" i="99"/>
  <c r="BJ88" i="99" s="1"/>
  <c r="BK88" i="99" s="1"/>
  <c r="BL88" i="99" s="1"/>
  <c r="BM88" i="99" s="1"/>
  <c r="BI71" i="99"/>
  <c r="BJ71" i="99" s="1"/>
  <c r="BK71" i="99" s="1"/>
  <c r="BL71" i="99" s="1"/>
  <c r="BM71" i="99" s="1"/>
  <c r="BI106" i="99"/>
  <c r="BJ106" i="99" s="1"/>
  <c r="BK106" i="99" s="1"/>
  <c r="BL106" i="99" s="1"/>
  <c r="BM106" i="99" s="1"/>
  <c r="BI102" i="99"/>
  <c r="BJ102" i="99" s="1"/>
  <c r="BK102" i="99" s="1"/>
  <c r="BL102" i="99" s="1"/>
  <c r="BM102" i="99" s="1"/>
  <c r="BI62" i="99"/>
  <c r="BJ62" i="99" s="1"/>
  <c r="BK62" i="99" s="1"/>
  <c r="BL62" i="99" s="1"/>
  <c r="BM62" i="99" s="1"/>
  <c r="BI91" i="99"/>
  <c r="BJ91" i="99" s="1"/>
  <c r="BK91" i="99" s="1"/>
  <c r="BL91" i="99" s="1"/>
  <c r="BM91" i="99" s="1"/>
  <c r="BI87" i="99"/>
  <c r="BJ87" i="99" s="1"/>
  <c r="BK87" i="99" s="1"/>
  <c r="BL87" i="99" s="1"/>
  <c r="BM87" i="99" s="1"/>
  <c r="BI75" i="99"/>
  <c r="BJ75" i="99" s="1"/>
  <c r="BK75" i="99" s="1"/>
  <c r="BL75" i="99" s="1"/>
  <c r="BM75" i="99" s="1"/>
  <c r="BI99" i="99"/>
  <c r="BJ99" i="99" s="1"/>
  <c r="BK99" i="99" s="1"/>
  <c r="BL99" i="99" s="1"/>
  <c r="BM99" i="99" s="1"/>
  <c r="BI90" i="99"/>
  <c r="BJ90" i="99" s="1"/>
  <c r="BK90" i="99" s="1"/>
  <c r="BL90" i="99" s="1"/>
  <c r="BM90" i="99" s="1"/>
  <c r="BI68" i="99"/>
  <c r="BJ68" i="99" s="1"/>
  <c r="BK68" i="99" s="1"/>
  <c r="BL68" i="99" s="1"/>
  <c r="BM68" i="99" s="1"/>
  <c r="BI65" i="99"/>
  <c r="BJ65" i="99" s="1"/>
  <c r="BK65" i="99" s="1"/>
  <c r="BL65" i="99" s="1"/>
  <c r="BM65" i="99" s="1"/>
  <c r="BI61" i="99"/>
  <c r="BJ61" i="99" s="1"/>
  <c r="BK61" i="99" s="1"/>
  <c r="BL61" i="99" s="1"/>
  <c r="BM61" i="99" s="1"/>
  <c r="BI54" i="99"/>
  <c r="BJ54" i="99" s="1"/>
  <c r="BK54" i="99" s="1"/>
  <c r="BL54" i="99" s="1"/>
  <c r="BM54" i="99" s="1"/>
  <c r="BI53" i="99"/>
  <c r="BJ53" i="99" s="1"/>
  <c r="BK53" i="99" s="1"/>
  <c r="BL53" i="99" s="1"/>
  <c r="BM53" i="99" s="1"/>
  <c r="BI93" i="99"/>
  <c r="BJ93" i="99" s="1"/>
  <c r="BK93" i="99" s="1"/>
  <c r="BL93" i="99" s="1"/>
  <c r="BM93" i="99" s="1"/>
  <c r="BI64" i="99"/>
  <c r="BJ64" i="99" s="1"/>
  <c r="BK64" i="99" s="1"/>
  <c r="BL64" i="99" s="1"/>
  <c r="BM64" i="99" s="1"/>
  <c r="BI48" i="99"/>
  <c r="BJ48" i="99" s="1"/>
  <c r="BK48" i="99" s="1"/>
  <c r="BL48" i="99" s="1"/>
  <c r="BM48" i="99" s="1"/>
  <c r="BI35" i="99"/>
  <c r="BJ35" i="99" s="1"/>
  <c r="BK35" i="99" s="1"/>
  <c r="BL35" i="99" s="1"/>
  <c r="BM35" i="99" s="1"/>
  <c r="BI22" i="99"/>
  <c r="BJ22" i="99" s="1"/>
  <c r="BK22" i="99" s="1"/>
  <c r="BL22" i="99" s="1"/>
  <c r="BM22" i="99" s="1"/>
  <c r="BI34" i="99"/>
  <c r="BJ34" i="99" s="1"/>
  <c r="BK34" i="99" s="1"/>
  <c r="BL34" i="99" s="1"/>
  <c r="BM34" i="99" s="1"/>
  <c r="BI26" i="99"/>
  <c r="BJ26" i="99" s="1"/>
  <c r="BK26" i="99" s="1"/>
  <c r="BL26" i="99" s="1"/>
  <c r="BM26" i="99" s="1"/>
  <c r="BI103" i="99"/>
  <c r="BJ103" i="99" s="1"/>
  <c r="BK103" i="99" s="1"/>
  <c r="BL103" i="99" s="1"/>
  <c r="BM103" i="99" s="1"/>
  <c r="BI55" i="99"/>
  <c r="BJ55" i="99" s="1"/>
  <c r="BK55" i="99" s="1"/>
  <c r="BL55" i="99" s="1"/>
  <c r="BM55" i="99" s="1"/>
  <c r="BI43" i="99"/>
  <c r="BJ43" i="99" s="1"/>
  <c r="BK43" i="99" s="1"/>
  <c r="BL43" i="99" s="1"/>
  <c r="BM43" i="99" s="1"/>
  <c r="BI42" i="99"/>
  <c r="BJ42" i="99" s="1"/>
  <c r="BK42" i="99" s="1"/>
  <c r="BL42" i="99" s="1"/>
  <c r="BM42" i="99" s="1"/>
  <c r="BI9" i="99"/>
  <c r="BJ9" i="99" s="1"/>
  <c r="BK9" i="99" s="1"/>
  <c r="BL9" i="99" s="1"/>
  <c r="BI47" i="99"/>
  <c r="BJ47" i="99" s="1"/>
  <c r="BK47" i="99" s="1"/>
  <c r="BL47" i="99" s="1"/>
  <c r="BM47" i="99" s="1"/>
  <c r="BI16" i="99"/>
  <c r="BJ16" i="99" s="1"/>
  <c r="BK16" i="99" s="1"/>
  <c r="BL16" i="99" s="1"/>
  <c r="BM16" i="99" s="1"/>
  <c r="BI40" i="99"/>
  <c r="BJ40" i="99" s="1"/>
  <c r="BK40" i="99" s="1"/>
  <c r="BL40" i="99" s="1"/>
  <c r="BM40" i="99" s="1"/>
  <c r="BI24" i="99"/>
  <c r="BJ24" i="99" s="1"/>
  <c r="BK24" i="99" s="1"/>
  <c r="BL24" i="99" s="1"/>
  <c r="BM24" i="99" s="1"/>
  <c r="BI70" i="99"/>
  <c r="BJ70" i="99" s="1"/>
  <c r="BK70" i="99" s="1"/>
  <c r="BL70" i="99" s="1"/>
  <c r="BM70" i="99" s="1"/>
  <c r="BI101" i="99"/>
  <c r="BJ101" i="99" s="1"/>
  <c r="BK101" i="99" s="1"/>
  <c r="BL101" i="99" s="1"/>
  <c r="BM101" i="99" s="1"/>
  <c r="BI60" i="99"/>
  <c r="BJ60" i="99" s="1"/>
  <c r="BK60" i="99" s="1"/>
  <c r="BL60" i="99" s="1"/>
  <c r="BM60" i="99" s="1"/>
  <c r="BI49" i="99"/>
  <c r="BJ49" i="99" s="1"/>
  <c r="BK49" i="99" s="1"/>
  <c r="BL49" i="99" s="1"/>
  <c r="BM49" i="99" s="1"/>
  <c r="BI32" i="99"/>
  <c r="BJ32" i="99" s="1"/>
  <c r="BK32" i="99" s="1"/>
  <c r="BL32" i="99" s="1"/>
  <c r="BM32" i="99" s="1"/>
  <c r="BI10" i="99"/>
  <c r="BJ10" i="99" s="1"/>
  <c r="BK10" i="99" s="1"/>
  <c r="BL10" i="99" s="1"/>
  <c r="BM10" i="99" s="1"/>
  <c r="BI28" i="99"/>
  <c r="BJ28" i="99" s="1"/>
  <c r="BK28" i="99" s="1"/>
  <c r="BL28" i="99" s="1"/>
  <c r="BM28" i="99" s="1"/>
  <c r="BI83" i="99"/>
  <c r="BJ83" i="99" s="1"/>
  <c r="BK83" i="99" s="1"/>
  <c r="BL83" i="99" s="1"/>
  <c r="BM83" i="99" s="1"/>
  <c r="BI73" i="99"/>
  <c r="BJ73" i="99" s="1"/>
  <c r="BK73" i="99" s="1"/>
  <c r="BL73" i="99" s="1"/>
  <c r="BM73" i="99" s="1"/>
  <c r="BI17" i="99"/>
  <c r="BJ17" i="99" s="1"/>
  <c r="BK17" i="99" s="1"/>
  <c r="BL17" i="99" s="1"/>
  <c r="BM17" i="99" s="1"/>
  <c r="BI23" i="99"/>
  <c r="BJ23" i="99" s="1"/>
  <c r="BK23" i="99" s="1"/>
  <c r="BL23" i="99" s="1"/>
  <c r="BM23" i="99" s="1"/>
  <c r="BI15" i="99"/>
  <c r="BJ15" i="99" s="1"/>
  <c r="BK15" i="99" s="1"/>
  <c r="BL15" i="99" s="1"/>
  <c r="BM15" i="99" s="1"/>
  <c r="BI82" i="99"/>
  <c r="BJ82" i="99" s="1"/>
  <c r="BK82" i="99" s="1"/>
  <c r="BL82" i="99" s="1"/>
  <c r="BM82" i="99" s="1"/>
  <c r="BI85" i="99"/>
  <c r="BJ85" i="99" s="1"/>
  <c r="BK85" i="99" s="1"/>
  <c r="BL85" i="99" s="1"/>
  <c r="BM85" i="99" s="1"/>
  <c r="BI98" i="99"/>
  <c r="BJ98" i="99" s="1"/>
  <c r="BK98" i="99" s="1"/>
  <c r="BL98" i="99" s="1"/>
  <c r="BM98" i="99" s="1"/>
  <c r="BI84" i="99"/>
  <c r="BJ84" i="99" s="1"/>
  <c r="BK84" i="99" s="1"/>
  <c r="BL84" i="99" s="1"/>
  <c r="BM84" i="99" s="1"/>
  <c r="BI13" i="99"/>
  <c r="BJ13" i="99" s="1"/>
  <c r="BK13" i="99" s="1"/>
  <c r="BL13" i="99" s="1"/>
  <c r="BM13" i="99" s="1"/>
  <c r="BI18" i="99"/>
  <c r="BJ18" i="99" s="1"/>
  <c r="BK18" i="99" s="1"/>
  <c r="BL18" i="99" s="1"/>
  <c r="BM18" i="99" s="1"/>
  <c r="BI12" i="99"/>
  <c r="BJ12" i="99" s="1"/>
  <c r="BK12" i="99" s="1"/>
  <c r="BL12" i="99" s="1"/>
  <c r="BM12" i="99" s="1"/>
  <c r="BI39" i="99"/>
  <c r="BJ39" i="99" s="1"/>
  <c r="BK39" i="99" s="1"/>
  <c r="BL39" i="99" s="1"/>
  <c r="BM39" i="99" s="1"/>
  <c r="BI69" i="99"/>
  <c r="BJ69" i="99" s="1"/>
  <c r="BK69" i="99" s="1"/>
  <c r="BL69" i="99" s="1"/>
  <c r="BM69" i="99" s="1"/>
  <c r="BI52" i="99"/>
  <c r="BJ52" i="99" s="1"/>
  <c r="BK52" i="99" s="1"/>
  <c r="BL52" i="99" s="1"/>
  <c r="BM52" i="99" s="1"/>
  <c r="BI92" i="99"/>
  <c r="BJ92" i="99" s="1"/>
  <c r="BK92" i="99" s="1"/>
  <c r="BL92" i="99" s="1"/>
  <c r="BM92" i="99" s="1"/>
  <c r="BI94" i="99"/>
  <c r="BJ94" i="99" s="1"/>
  <c r="BK94" i="99" s="1"/>
  <c r="BL94" i="99" s="1"/>
  <c r="BM94" i="99" s="1"/>
  <c r="BI67" i="99"/>
  <c r="BJ67" i="99" s="1"/>
  <c r="BK67" i="99" s="1"/>
  <c r="BL67" i="99" s="1"/>
  <c r="BM67" i="99" s="1"/>
  <c r="BI27" i="99"/>
  <c r="BJ27" i="99" s="1"/>
  <c r="BK27" i="99" s="1"/>
  <c r="BL27" i="99" s="1"/>
  <c r="BM27" i="99" s="1"/>
  <c r="BI50" i="99"/>
  <c r="BJ50" i="99" s="1"/>
  <c r="BK50" i="99" s="1"/>
  <c r="BL50" i="99" s="1"/>
  <c r="BM50" i="99" s="1"/>
  <c r="BI25" i="99"/>
  <c r="BJ25" i="99" s="1"/>
  <c r="BK25" i="99" s="1"/>
  <c r="BL25" i="99" s="1"/>
  <c r="BM25" i="99" s="1"/>
  <c r="BI72" i="99"/>
  <c r="BJ72" i="99" s="1"/>
  <c r="BK72" i="99" s="1"/>
  <c r="BL72" i="99" s="1"/>
  <c r="BM72" i="99" s="1"/>
  <c r="BI89" i="99"/>
  <c r="BJ89" i="99" s="1"/>
  <c r="BK89" i="99" s="1"/>
  <c r="BL89" i="99" s="1"/>
  <c r="BM89" i="99" s="1"/>
  <c r="BI37" i="99"/>
  <c r="BJ37" i="99" s="1"/>
  <c r="BK37" i="99" s="1"/>
  <c r="BL37" i="99" s="1"/>
  <c r="BM37" i="99" s="1"/>
  <c r="BI76" i="99"/>
  <c r="BJ76" i="99" s="1"/>
  <c r="BK76" i="99" s="1"/>
  <c r="BL76" i="99" s="1"/>
  <c r="BM76" i="99" s="1"/>
  <c r="BI78" i="99"/>
  <c r="BJ78" i="99" s="1"/>
  <c r="BK78" i="99" s="1"/>
  <c r="BL78" i="99" s="1"/>
  <c r="BM78" i="99" s="1"/>
  <c r="BI81" i="99"/>
  <c r="BJ81" i="99" s="1"/>
  <c r="BK81" i="99" s="1"/>
  <c r="BL81" i="99" s="1"/>
  <c r="BM81" i="99" s="1"/>
  <c r="BI95" i="99"/>
  <c r="BJ95" i="99" s="1"/>
  <c r="BK95" i="99" s="1"/>
  <c r="BL95" i="99" s="1"/>
  <c r="BM95" i="99" s="1"/>
  <c r="BI77" i="99"/>
  <c r="BJ77" i="99" s="1"/>
  <c r="BK77" i="99" s="1"/>
  <c r="BL77" i="99" s="1"/>
  <c r="BM77" i="99" s="1"/>
  <c r="BI45" i="99"/>
  <c r="BJ45" i="99" s="1"/>
  <c r="BK45" i="99" s="1"/>
  <c r="BL45" i="99" s="1"/>
  <c r="BM45" i="99" s="1"/>
  <c r="BI11" i="99"/>
  <c r="BJ11" i="99" s="1"/>
  <c r="BK11" i="99" s="1"/>
  <c r="BL11" i="99" s="1"/>
  <c r="BM11" i="99" s="1"/>
  <c r="BI31" i="99"/>
  <c r="BJ31" i="99" s="1"/>
  <c r="BK31" i="99" s="1"/>
  <c r="BL31" i="99" s="1"/>
  <c r="BM31" i="99" s="1"/>
  <c r="BI44" i="99"/>
  <c r="BJ44" i="99" s="1"/>
  <c r="BK44" i="99" s="1"/>
  <c r="BL44" i="99" s="1"/>
  <c r="BM44" i="99" s="1"/>
  <c r="BI86" i="99"/>
  <c r="BJ86" i="99" s="1"/>
  <c r="BK86" i="99" s="1"/>
  <c r="BL86" i="99" s="1"/>
  <c r="BM86" i="99" s="1"/>
  <c r="BI20" i="99"/>
  <c r="BJ20" i="99" s="1"/>
  <c r="BK20" i="99" s="1"/>
  <c r="BL20" i="99" s="1"/>
  <c r="BM20" i="99" s="1"/>
  <c r="BI21" i="99"/>
  <c r="BJ21" i="99" s="1"/>
  <c r="BK21" i="99" s="1"/>
  <c r="BL21" i="99" s="1"/>
  <c r="BM21" i="99" s="1"/>
  <c r="BI33" i="99"/>
  <c r="BJ33" i="99" s="1"/>
  <c r="BK33" i="99" s="1"/>
  <c r="BL33" i="99" s="1"/>
  <c r="BM33" i="99" s="1"/>
  <c r="BI14" i="99"/>
  <c r="BJ14" i="99" s="1"/>
  <c r="BK14" i="99" s="1"/>
  <c r="BL14" i="99" s="1"/>
  <c r="BM14" i="99" s="1"/>
  <c r="BI38" i="99"/>
  <c r="BJ38" i="99" s="1"/>
  <c r="BK38" i="99" s="1"/>
  <c r="BL38" i="99" s="1"/>
  <c r="BM38" i="99" s="1"/>
  <c r="BI30" i="99"/>
  <c r="BJ30" i="99" s="1"/>
  <c r="BK30" i="99" s="1"/>
  <c r="BL30" i="99" s="1"/>
  <c r="BM30" i="99" s="1"/>
  <c r="BI58" i="99"/>
  <c r="BJ58" i="99" s="1"/>
  <c r="BK58" i="99" s="1"/>
  <c r="BL58" i="99" s="1"/>
  <c r="BM58" i="99" s="1"/>
  <c r="BI41" i="99"/>
  <c r="BJ41" i="99" s="1"/>
  <c r="BK41" i="99" s="1"/>
  <c r="BL41" i="99" s="1"/>
  <c r="BM41" i="99" s="1"/>
  <c r="BI66" i="99"/>
  <c r="BJ66" i="99" s="1"/>
  <c r="BK66" i="99" s="1"/>
  <c r="BL66" i="99" s="1"/>
  <c r="BM66" i="99" s="1"/>
  <c r="BI51" i="99"/>
  <c r="BJ51" i="99" s="1"/>
  <c r="BK51" i="99" s="1"/>
  <c r="BL51" i="99" s="1"/>
  <c r="BM51" i="99" s="1"/>
  <c r="BI59" i="99"/>
  <c r="BJ59" i="99" s="1"/>
  <c r="BK59" i="99" s="1"/>
  <c r="BL59" i="99" s="1"/>
  <c r="BM59" i="99" s="1"/>
  <c r="BI80" i="99"/>
  <c r="BJ80" i="99" s="1"/>
  <c r="BK80" i="99" s="1"/>
  <c r="BL80" i="99" s="1"/>
  <c r="BM80" i="99" s="1"/>
  <c r="BI96" i="99"/>
  <c r="BJ96" i="99" s="1"/>
  <c r="BK96" i="99" s="1"/>
  <c r="BL96" i="99" s="1"/>
  <c r="BM96" i="99" s="1"/>
  <c r="BI46" i="99"/>
  <c r="BJ46" i="99" s="1"/>
  <c r="BK46" i="99" s="1"/>
  <c r="BL46" i="99" s="1"/>
  <c r="BM46" i="99" s="1"/>
  <c r="BI19" i="99"/>
  <c r="BJ19" i="99" s="1"/>
  <c r="BK19" i="99" s="1"/>
  <c r="BL19" i="99" s="1"/>
  <c r="BM19" i="99" s="1"/>
  <c r="BI29" i="99"/>
  <c r="BJ29" i="99" s="1"/>
  <c r="BK29" i="99" s="1"/>
  <c r="BL29" i="99" s="1"/>
  <c r="BM29" i="99" s="1"/>
  <c r="BI63" i="99"/>
  <c r="BJ63" i="99" s="1"/>
  <c r="BK63" i="99" s="1"/>
  <c r="BL63" i="99" s="1"/>
  <c r="BM63" i="99" s="1"/>
  <c r="BI74" i="99"/>
  <c r="BJ74" i="99" s="1"/>
  <c r="BK74" i="99" s="1"/>
  <c r="BL74" i="99" s="1"/>
  <c r="BM74" i="99" s="1"/>
  <c r="BI79" i="99"/>
  <c r="BJ79" i="99" s="1"/>
  <c r="BK79" i="99" s="1"/>
  <c r="BL79" i="99" s="1"/>
  <c r="BM79" i="99" s="1"/>
  <c r="BI56" i="99"/>
  <c r="BJ56" i="99" s="1"/>
  <c r="BK56" i="99" s="1"/>
  <c r="BL56" i="99" s="1"/>
  <c r="BM56" i="99" s="1"/>
  <c r="BI36" i="99"/>
  <c r="BJ36" i="99" s="1"/>
  <c r="BK36" i="99" s="1"/>
  <c r="BL36" i="99" s="1"/>
  <c r="BM36" i="99" s="1"/>
  <c r="BI57" i="99"/>
  <c r="BJ57" i="99" s="1"/>
  <c r="BK57" i="99" s="1"/>
  <c r="BL57" i="99" s="1"/>
  <c r="BM57" i="99" s="1"/>
  <c r="BI97" i="99"/>
  <c r="BJ97" i="99" s="1"/>
  <c r="BK97" i="99" s="1"/>
  <c r="BL97" i="99" s="1"/>
  <c r="BM97" i="99" s="1"/>
  <c r="BI104" i="99"/>
  <c r="BJ104" i="99" s="1"/>
  <c r="BK104" i="99" s="1"/>
  <c r="BL104" i="99" s="1"/>
  <c r="BM104" i="99" s="1"/>
  <c r="BI108" i="99"/>
  <c r="BJ108" i="99" s="1"/>
  <c r="BK108" i="99" s="1"/>
  <c r="BL108" i="99" s="1"/>
  <c r="BM108" i="99" s="1"/>
  <c r="BI105" i="99"/>
  <c r="BJ105" i="99" s="1"/>
  <c r="BK105" i="99" s="1"/>
  <c r="BL105" i="99" s="1"/>
  <c r="BM105" i="99" s="1"/>
  <c r="BI107" i="99"/>
  <c r="BJ107" i="99" s="1"/>
  <c r="BK107" i="99" s="1"/>
  <c r="BL107" i="99" s="1"/>
  <c r="BM107" i="99" s="1"/>
  <c r="S77" i="99"/>
  <c r="T77" i="99" s="1"/>
  <c r="U77" i="99" s="1"/>
  <c r="V77" i="99" s="1"/>
  <c r="W77" i="99" s="1"/>
  <c r="S71" i="99"/>
  <c r="T71" i="99" s="1"/>
  <c r="U71" i="99" s="1"/>
  <c r="V71" i="99" s="1"/>
  <c r="W71" i="99" s="1"/>
  <c r="S93" i="99"/>
  <c r="T93" i="99" s="1"/>
  <c r="U93" i="99" s="1"/>
  <c r="V93" i="99" s="1"/>
  <c r="W93" i="99" s="1"/>
  <c r="S99" i="99"/>
  <c r="T99" i="99" s="1"/>
  <c r="U99" i="99" s="1"/>
  <c r="V99" i="99" s="1"/>
  <c r="W99" i="99" s="1"/>
  <c r="S108" i="99"/>
  <c r="T108" i="99" s="1"/>
  <c r="U108" i="99" s="1"/>
  <c r="V108" i="99" s="1"/>
  <c r="W108" i="99" s="1"/>
  <c r="S102" i="99"/>
  <c r="T102" i="99" s="1"/>
  <c r="U102" i="99" s="1"/>
  <c r="V102" i="99" s="1"/>
  <c r="W102" i="99" s="1"/>
  <c r="S96" i="99"/>
  <c r="T96" i="99" s="1"/>
  <c r="U96" i="99" s="1"/>
  <c r="V96" i="99" s="1"/>
  <c r="W96" i="99" s="1"/>
  <c r="S48" i="99"/>
  <c r="T48" i="99" s="1"/>
  <c r="U48" i="99" s="1"/>
  <c r="V48" i="99" s="1"/>
  <c r="W48" i="99" s="1"/>
  <c r="S92" i="99"/>
  <c r="T92" i="99" s="1"/>
  <c r="U92" i="99" s="1"/>
  <c r="V92" i="99" s="1"/>
  <c r="W92" i="99" s="1"/>
  <c r="S54" i="99"/>
  <c r="T54" i="99" s="1"/>
  <c r="U54" i="99" s="1"/>
  <c r="V54" i="99" s="1"/>
  <c r="W54" i="99" s="1"/>
  <c r="S100" i="99"/>
  <c r="T100" i="99" s="1"/>
  <c r="U100" i="99" s="1"/>
  <c r="V100" i="99" s="1"/>
  <c r="W100" i="99" s="1"/>
  <c r="S78" i="99"/>
  <c r="T78" i="99" s="1"/>
  <c r="U78" i="99" s="1"/>
  <c r="V78" i="99" s="1"/>
  <c r="W78" i="99" s="1"/>
  <c r="S65" i="99"/>
  <c r="T65" i="99" s="1"/>
  <c r="U65" i="99" s="1"/>
  <c r="V65" i="99" s="1"/>
  <c r="W65" i="99" s="1"/>
  <c r="S73" i="99"/>
  <c r="T73" i="99" s="1"/>
  <c r="U73" i="99" s="1"/>
  <c r="V73" i="99" s="1"/>
  <c r="W73" i="99" s="1"/>
  <c r="S62" i="99"/>
  <c r="T62" i="99" s="1"/>
  <c r="U62" i="99" s="1"/>
  <c r="V62" i="99" s="1"/>
  <c r="W62" i="99" s="1"/>
  <c r="S55" i="99"/>
  <c r="T55" i="99" s="1"/>
  <c r="U55" i="99" s="1"/>
  <c r="V55" i="99" s="1"/>
  <c r="W55" i="99" s="1"/>
  <c r="S53" i="99"/>
  <c r="T53" i="99" s="1"/>
  <c r="U53" i="99" s="1"/>
  <c r="V53" i="99" s="1"/>
  <c r="W53" i="99" s="1"/>
  <c r="S40" i="99"/>
  <c r="T40" i="99" s="1"/>
  <c r="U40" i="99" s="1"/>
  <c r="V40" i="99" s="1"/>
  <c r="W40" i="99" s="1"/>
  <c r="S31" i="99"/>
  <c r="T31" i="99" s="1"/>
  <c r="U31" i="99" s="1"/>
  <c r="V31" i="99" s="1"/>
  <c r="W31" i="99" s="1"/>
  <c r="S88" i="99"/>
  <c r="T88" i="99" s="1"/>
  <c r="U88" i="99" s="1"/>
  <c r="V88" i="99" s="1"/>
  <c r="W88" i="99" s="1"/>
  <c r="S20" i="99"/>
  <c r="T20" i="99" s="1"/>
  <c r="U20" i="99" s="1"/>
  <c r="V20" i="99" s="1"/>
  <c r="W20" i="99" s="1"/>
  <c r="S34" i="99"/>
  <c r="T34" i="99" s="1"/>
  <c r="U34" i="99" s="1"/>
  <c r="V34" i="99" s="1"/>
  <c r="W34" i="99" s="1"/>
  <c r="S61" i="99"/>
  <c r="T61" i="99" s="1"/>
  <c r="U61" i="99" s="1"/>
  <c r="V61" i="99" s="1"/>
  <c r="W61" i="99" s="1"/>
  <c r="S47" i="99"/>
  <c r="T47" i="99" s="1"/>
  <c r="U47" i="99" s="1"/>
  <c r="V47" i="99" s="1"/>
  <c r="W47" i="99" s="1"/>
  <c r="S41" i="99"/>
  <c r="T41" i="99" s="1"/>
  <c r="U41" i="99" s="1"/>
  <c r="V41" i="99" s="1"/>
  <c r="W41" i="99" s="1"/>
  <c r="S33" i="99"/>
  <c r="T33" i="99" s="1"/>
  <c r="U33" i="99" s="1"/>
  <c r="V33" i="99" s="1"/>
  <c r="W33" i="99" s="1"/>
  <c r="S86" i="99"/>
  <c r="T86" i="99" s="1"/>
  <c r="U86" i="99" s="1"/>
  <c r="V86" i="99" s="1"/>
  <c r="W86" i="99" s="1"/>
  <c r="S80" i="99"/>
  <c r="T80" i="99" s="1"/>
  <c r="U80" i="99" s="1"/>
  <c r="V80" i="99" s="1"/>
  <c r="W80" i="99" s="1"/>
  <c r="S36" i="99"/>
  <c r="T36" i="99" s="1"/>
  <c r="U36" i="99" s="1"/>
  <c r="V36" i="99" s="1"/>
  <c r="W36" i="99" s="1"/>
  <c r="S44" i="99"/>
  <c r="T44" i="99" s="1"/>
  <c r="U44" i="99" s="1"/>
  <c r="V44" i="99" s="1"/>
  <c r="W44" i="99" s="1"/>
  <c r="S25" i="99"/>
  <c r="T25" i="99" s="1"/>
  <c r="U25" i="99" s="1"/>
  <c r="V25" i="99" s="1"/>
  <c r="W25" i="99" s="1"/>
  <c r="S59" i="99"/>
  <c r="T59" i="99" s="1"/>
  <c r="U59" i="99" s="1"/>
  <c r="V59" i="99" s="1"/>
  <c r="W59" i="99" s="1"/>
  <c r="S42" i="99"/>
  <c r="T42" i="99" s="1"/>
  <c r="U42" i="99" s="1"/>
  <c r="V42" i="99" s="1"/>
  <c r="W42" i="99" s="1"/>
  <c r="S26" i="99"/>
  <c r="T26" i="99" s="1"/>
  <c r="U26" i="99" s="1"/>
  <c r="V26" i="99" s="1"/>
  <c r="W26" i="99" s="1"/>
  <c r="S24" i="99"/>
  <c r="T24" i="99" s="1"/>
  <c r="U24" i="99" s="1"/>
  <c r="V24" i="99" s="1"/>
  <c r="W24" i="99" s="1"/>
  <c r="S15" i="99"/>
  <c r="T15" i="99" s="1"/>
  <c r="U15" i="99" s="1"/>
  <c r="V15" i="99" s="1"/>
  <c r="W15" i="99" s="1"/>
  <c r="S18" i="99"/>
  <c r="T18" i="99" s="1"/>
  <c r="U18" i="99" s="1"/>
  <c r="V18" i="99" s="1"/>
  <c r="W18" i="99" s="1"/>
  <c r="S39" i="99"/>
  <c r="T39" i="99" s="1"/>
  <c r="U39" i="99" s="1"/>
  <c r="V39" i="99" s="1"/>
  <c r="W39" i="99" s="1"/>
  <c r="S67" i="99"/>
  <c r="T67" i="99" s="1"/>
  <c r="U67" i="99" s="1"/>
  <c r="V67" i="99" s="1"/>
  <c r="W67" i="99" s="1"/>
  <c r="S85" i="99"/>
  <c r="T85" i="99" s="1"/>
  <c r="U85" i="99" s="1"/>
  <c r="V85" i="99" s="1"/>
  <c r="W85" i="99" s="1"/>
  <c r="S11" i="99"/>
  <c r="T11" i="99" s="1"/>
  <c r="U11" i="99" s="1"/>
  <c r="V11" i="99" s="1"/>
  <c r="W11" i="99" s="1"/>
  <c r="S49" i="99"/>
  <c r="T49" i="99" s="1"/>
  <c r="U49" i="99" s="1"/>
  <c r="V49" i="99" s="1"/>
  <c r="W49" i="99" s="1"/>
  <c r="S90" i="99"/>
  <c r="T90" i="99" s="1"/>
  <c r="U90" i="99" s="1"/>
  <c r="V90" i="99" s="1"/>
  <c r="W90" i="99" s="1"/>
  <c r="S69" i="99"/>
  <c r="T69" i="99" s="1"/>
  <c r="U69" i="99" s="1"/>
  <c r="V69" i="99" s="1"/>
  <c r="W69" i="99" s="1"/>
  <c r="S82" i="99"/>
  <c r="T82" i="99" s="1"/>
  <c r="U82" i="99" s="1"/>
  <c r="V82" i="99" s="1"/>
  <c r="W82" i="99" s="1"/>
  <c r="S9" i="99"/>
  <c r="T9" i="99" s="1"/>
  <c r="U9" i="99" s="1"/>
  <c r="V9" i="99" s="1"/>
  <c r="S10" i="99"/>
  <c r="T10" i="99" s="1"/>
  <c r="U10" i="99" s="1"/>
  <c r="V10" i="99" s="1"/>
  <c r="W10" i="99" s="1"/>
  <c r="S98" i="99"/>
  <c r="T98" i="99" s="1"/>
  <c r="U98" i="99" s="1"/>
  <c r="V98" i="99" s="1"/>
  <c r="W98" i="99" s="1"/>
  <c r="S28" i="99"/>
  <c r="T28" i="99" s="1"/>
  <c r="U28" i="99" s="1"/>
  <c r="V28" i="99" s="1"/>
  <c r="W28" i="99" s="1"/>
  <c r="S70" i="99"/>
  <c r="T70" i="99" s="1"/>
  <c r="U70" i="99" s="1"/>
  <c r="V70" i="99" s="1"/>
  <c r="W70" i="99" s="1"/>
  <c r="S52" i="99"/>
  <c r="T52" i="99" s="1"/>
  <c r="U52" i="99" s="1"/>
  <c r="V52" i="99" s="1"/>
  <c r="W52" i="99" s="1"/>
  <c r="S23" i="99"/>
  <c r="T23" i="99" s="1"/>
  <c r="U23" i="99" s="1"/>
  <c r="V23" i="99" s="1"/>
  <c r="W23" i="99" s="1"/>
  <c r="S32" i="99"/>
  <c r="T32" i="99" s="1"/>
  <c r="U32" i="99" s="1"/>
  <c r="V32" i="99" s="1"/>
  <c r="W32" i="99" s="1"/>
  <c r="S60" i="99"/>
  <c r="T60" i="99" s="1"/>
  <c r="U60" i="99" s="1"/>
  <c r="V60" i="99" s="1"/>
  <c r="W60" i="99" s="1"/>
  <c r="S17" i="99"/>
  <c r="T17" i="99" s="1"/>
  <c r="U17" i="99" s="1"/>
  <c r="V17" i="99" s="1"/>
  <c r="W17" i="99" s="1"/>
  <c r="S57" i="99"/>
  <c r="T57" i="99" s="1"/>
  <c r="U57" i="99" s="1"/>
  <c r="V57" i="99" s="1"/>
  <c r="W57" i="99" s="1"/>
  <c r="S22" i="99"/>
  <c r="T22" i="99" s="1"/>
  <c r="U22" i="99" s="1"/>
  <c r="V22" i="99" s="1"/>
  <c r="W22" i="99" s="1"/>
  <c r="S46" i="99"/>
  <c r="T46" i="99" s="1"/>
  <c r="U46" i="99" s="1"/>
  <c r="V46" i="99" s="1"/>
  <c r="W46" i="99" s="1"/>
  <c r="S38" i="99"/>
  <c r="T38" i="99" s="1"/>
  <c r="U38" i="99" s="1"/>
  <c r="V38" i="99" s="1"/>
  <c r="W38" i="99" s="1"/>
  <c r="S74" i="99"/>
  <c r="T74" i="99" s="1"/>
  <c r="U74" i="99" s="1"/>
  <c r="V74" i="99" s="1"/>
  <c r="W74" i="99" s="1"/>
  <c r="S58" i="99"/>
  <c r="T58" i="99" s="1"/>
  <c r="U58" i="99" s="1"/>
  <c r="V58" i="99" s="1"/>
  <c r="W58" i="99" s="1"/>
  <c r="S101" i="99"/>
  <c r="T101" i="99" s="1"/>
  <c r="U101" i="99" s="1"/>
  <c r="V101" i="99" s="1"/>
  <c r="W101" i="99" s="1"/>
  <c r="S83" i="99"/>
  <c r="T83" i="99" s="1"/>
  <c r="U83" i="99" s="1"/>
  <c r="V83" i="99" s="1"/>
  <c r="W83" i="99" s="1"/>
  <c r="S14" i="99"/>
  <c r="T14" i="99" s="1"/>
  <c r="U14" i="99" s="1"/>
  <c r="V14" i="99" s="1"/>
  <c r="W14" i="99" s="1"/>
  <c r="S56" i="99"/>
  <c r="T56" i="99" s="1"/>
  <c r="U56" i="99" s="1"/>
  <c r="V56" i="99" s="1"/>
  <c r="W56" i="99" s="1"/>
  <c r="S84" i="99"/>
  <c r="T84" i="99" s="1"/>
  <c r="U84" i="99" s="1"/>
  <c r="V84" i="99" s="1"/>
  <c r="W84" i="99" s="1"/>
  <c r="S30" i="99"/>
  <c r="T30" i="99" s="1"/>
  <c r="U30" i="99" s="1"/>
  <c r="V30" i="99" s="1"/>
  <c r="W30" i="99" s="1"/>
  <c r="S21" i="99"/>
  <c r="T21" i="99" s="1"/>
  <c r="U21" i="99" s="1"/>
  <c r="V21" i="99" s="1"/>
  <c r="W21" i="99" s="1"/>
  <c r="S19" i="99"/>
  <c r="T19" i="99" s="1"/>
  <c r="U19" i="99" s="1"/>
  <c r="V19" i="99" s="1"/>
  <c r="W19" i="99" s="1"/>
  <c r="S27" i="99"/>
  <c r="T27" i="99" s="1"/>
  <c r="U27" i="99" s="1"/>
  <c r="V27" i="99" s="1"/>
  <c r="W27" i="99" s="1"/>
  <c r="S12" i="99"/>
  <c r="T12" i="99" s="1"/>
  <c r="U12" i="99" s="1"/>
  <c r="V12" i="99" s="1"/>
  <c r="W12" i="99" s="1"/>
  <c r="S37" i="99"/>
  <c r="T37" i="99" s="1"/>
  <c r="U37" i="99" s="1"/>
  <c r="V37" i="99" s="1"/>
  <c r="W37" i="99" s="1"/>
  <c r="S35" i="99"/>
  <c r="T35" i="99" s="1"/>
  <c r="U35" i="99" s="1"/>
  <c r="V35" i="99" s="1"/>
  <c r="W35" i="99" s="1"/>
  <c r="S66" i="99"/>
  <c r="T66" i="99" s="1"/>
  <c r="U66" i="99" s="1"/>
  <c r="V66" i="99" s="1"/>
  <c r="W66" i="99" s="1"/>
  <c r="S68" i="99"/>
  <c r="T68" i="99" s="1"/>
  <c r="U68" i="99" s="1"/>
  <c r="V68" i="99" s="1"/>
  <c r="W68" i="99" s="1"/>
  <c r="S13" i="99"/>
  <c r="T13" i="99" s="1"/>
  <c r="U13" i="99" s="1"/>
  <c r="V13" i="99" s="1"/>
  <c r="W13" i="99" s="1"/>
  <c r="S29" i="99"/>
  <c r="T29" i="99" s="1"/>
  <c r="U29" i="99" s="1"/>
  <c r="V29" i="99" s="1"/>
  <c r="W29" i="99" s="1"/>
  <c r="S51" i="99"/>
  <c r="T51" i="99" s="1"/>
  <c r="U51" i="99" s="1"/>
  <c r="V51" i="99" s="1"/>
  <c r="W51" i="99" s="1"/>
  <c r="S63" i="99"/>
  <c r="T63" i="99" s="1"/>
  <c r="U63" i="99" s="1"/>
  <c r="V63" i="99" s="1"/>
  <c r="W63" i="99" s="1"/>
  <c r="S64" i="99"/>
  <c r="T64" i="99" s="1"/>
  <c r="U64" i="99" s="1"/>
  <c r="V64" i="99" s="1"/>
  <c r="W64" i="99" s="1"/>
  <c r="S50" i="99"/>
  <c r="T50" i="99" s="1"/>
  <c r="U50" i="99" s="1"/>
  <c r="V50" i="99" s="1"/>
  <c r="W50" i="99" s="1"/>
  <c r="S43" i="99"/>
  <c r="T43" i="99" s="1"/>
  <c r="U43" i="99" s="1"/>
  <c r="V43" i="99" s="1"/>
  <c r="W43" i="99" s="1"/>
  <c r="S75" i="99"/>
  <c r="T75" i="99" s="1"/>
  <c r="U75" i="99" s="1"/>
  <c r="V75" i="99" s="1"/>
  <c r="W75" i="99" s="1"/>
  <c r="S76" i="99"/>
  <c r="T76" i="99" s="1"/>
  <c r="U76" i="99" s="1"/>
  <c r="V76" i="99" s="1"/>
  <c r="W76" i="99" s="1"/>
  <c r="S89" i="99"/>
  <c r="T89" i="99" s="1"/>
  <c r="U89" i="99" s="1"/>
  <c r="V89" i="99" s="1"/>
  <c r="W89" i="99" s="1"/>
  <c r="S45" i="99"/>
  <c r="T45" i="99" s="1"/>
  <c r="U45" i="99" s="1"/>
  <c r="V45" i="99" s="1"/>
  <c r="W45" i="99" s="1"/>
  <c r="S16" i="99"/>
  <c r="T16" i="99" s="1"/>
  <c r="U16" i="99" s="1"/>
  <c r="V16" i="99" s="1"/>
  <c r="W16" i="99" s="1"/>
  <c r="S72" i="99"/>
  <c r="T72" i="99" s="1"/>
  <c r="U72" i="99" s="1"/>
  <c r="V72" i="99" s="1"/>
  <c r="W72" i="99" s="1"/>
  <c r="S79" i="99"/>
  <c r="T79" i="99" s="1"/>
  <c r="U79" i="99" s="1"/>
  <c r="V79" i="99" s="1"/>
  <c r="W79" i="99" s="1"/>
  <c r="S81" i="99"/>
  <c r="T81" i="99" s="1"/>
  <c r="U81" i="99" s="1"/>
  <c r="V81" i="99" s="1"/>
  <c r="W81" i="99" s="1"/>
  <c r="S87" i="99"/>
  <c r="T87" i="99" s="1"/>
  <c r="U87" i="99" s="1"/>
  <c r="V87" i="99" s="1"/>
  <c r="W87" i="99" s="1"/>
  <c r="S91" i="99"/>
  <c r="T91" i="99" s="1"/>
  <c r="U91" i="99" s="1"/>
  <c r="V91" i="99" s="1"/>
  <c r="W91" i="99" s="1"/>
  <c r="S104" i="99"/>
  <c r="T104" i="99" s="1"/>
  <c r="U104" i="99" s="1"/>
  <c r="V104" i="99" s="1"/>
  <c r="W104" i="99" s="1"/>
  <c r="S103" i="99"/>
  <c r="T103" i="99" s="1"/>
  <c r="U103" i="99" s="1"/>
  <c r="V103" i="99" s="1"/>
  <c r="W103" i="99" s="1"/>
  <c r="S105" i="99"/>
  <c r="T105" i="99" s="1"/>
  <c r="U105" i="99" s="1"/>
  <c r="V105" i="99" s="1"/>
  <c r="W105" i="99" s="1"/>
  <c r="S94" i="99"/>
  <c r="T94" i="99" s="1"/>
  <c r="U94" i="99" s="1"/>
  <c r="V94" i="99" s="1"/>
  <c r="W94" i="99" s="1"/>
  <c r="S106" i="99"/>
  <c r="T106" i="99" s="1"/>
  <c r="U106" i="99" s="1"/>
  <c r="V106" i="99" s="1"/>
  <c r="W106" i="99" s="1"/>
  <c r="S97" i="99"/>
  <c r="T97" i="99" s="1"/>
  <c r="U97" i="99" s="1"/>
  <c r="V97" i="99" s="1"/>
  <c r="W97" i="99" s="1"/>
  <c r="S107" i="99"/>
  <c r="T107" i="99" s="1"/>
  <c r="U107" i="99" s="1"/>
  <c r="V107" i="99" s="1"/>
  <c r="W107" i="99" s="1"/>
  <c r="S95" i="99"/>
  <c r="T95" i="99" s="1"/>
  <c r="U95" i="99" s="1"/>
  <c r="V95" i="99" s="1"/>
  <c r="W95" i="99" s="1"/>
  <c r="Y102" i="99"/>
  <c r="Z102" i="99" s="1"/>
  <c r="AA102" i="99" s="1"/>
  <c r="AB102" i="99" s="1"/>
  <c r="AC102" i="99" s="1"/>
  <c r="Y99" i="99"/>
  <c r="Z99" i="99" s="1"/>
  <c r="AA99" i="99" s="1"/>
  <c r="AB99" i="99" s="1"/>
  <c r="AC99" i="99" s="1"/>
  <c r="Y100" i="99"/>
  <c r="Z100" i="99" s="1"/>
  <c r="AA100" i="99" s="1"/>
  <c r="AB100" i="99" s="1"/>
  <c r="AC100" i="99" s="1"/>
  <c r="Y77" i="99"/>
  <c r="Z77" i="99" s="1"/>
  <c r="AA77" i="99" s="1"/>
  <c r="AB77" i="99" s="1"/>
  <c r="AC77" i="99" s="1"/>
  <c r="Y68" i="99"/>
  <c r="Z68" i="99" s="1"/>
  <c r="AA68" i="99" s="1"/>
  <c r="AB68" i="99" s="1"/>
  <c r="AC68" i="99" s="1"/>
  <c r="Y106" i="99"/>
  <c r="Z106" i="99" s="1"/>
  <c r="AA106" i="99" s="1"/>
  <c r="AB106" i="99" s="1"/>
  <c r="AC106" i="99" s="1"/>
  <c r="Y88" i="99"/>
  <c r="Z88" i="99" s="1"/>
  <c r="AA88" i="99" s="1"/>
  <c r="AB88" i="99" s="1"/>
  <c r="AC88" i="99" s="1"/>
  <c r="Y73" i="99"/>
  <c r="Z73" i="99" s="1"/>
  <c r="AA73" i="99" s="1"/>
  <c r="AB73" i="99" s="1"/>
  <c r="AC73" i="99" s="1"/>
  <c r="Y61" i="99"/>
  <c r="Z61" i="99" s="1"/>
  <c r="AA61" i="99" s="1"/>
  <c r="AB61" i="99" s="1"/>
  <c r="AC61" i="99" s="1"/>
  <c r="Y53" i="99"/>
  <c r="Z53" i="99" s="1"/>
  <c r="AA53" i="99" s="1"/>
  <c r="AB53" i="99" s="1"/>
  <c r="AC53" i="99" s="1"/>
  <c r="Y103" i="99"/>
  <c r="Z103" i="99" s="1"/>
  <c r="AA103" i="99" s="1"/>
  <c r="AB103" i="99" s="1"/>
  <c r="AC103" i="99" s="1"/>
  <c r="Y97" i="99"/>
  <c r="Z97" i="99" s="1"/>
  <c r="AA97" i="99" s="1"/>
  <c r="AB97" i="99" s="1"/>
  <c r="AC97" i="99" s="1"/>
  <c r="Y48" i="99"/>
  <c r="Z48" i="99" s="1"/>
  <c r="AA48" i="99" s="1"/>
  <c r="AB48" i="99" s="1"/>
  <c r="AC48" i="99" s="1"/>
  <c r="Y47" i="99"/>
  <c r="Z47" i="99" s="1"/>
  <c r="AA47" i="99" s="1"/>
  <c r="AB47" i="99" s="1"/>
  <c r="AC47" i="99" s="1"/>
  <c r="Y35" i="99"/>
  <c r="Z35" i="99" s="1"/>
  <c r="AA35" i="99" s="1"/>
  <c r="AB35" i="99" s="1"/>
  <c r="AC35" i="99" s="1"/>
  <c r="Y22" i="99"/>
  <c r="Z22" i="99" s="1"/>
  <c r="AA22" i="99" s="1"/>
  <c r="AB22" i="99" s="1"/>
  <c r="AC22" i="99" s="1"/>
  <c r="Y42" i="99"/>
  <c r="Z42" i="99" s="1"/>
  <c r="AA42" i="99" s="1"/>
  <c r="AB42" i="99" s="1"/>
  <c r="AC42" i="99" s="1"/>
  <c r="Y40" i="99"/>
  <c r="Z40" i="99" s="1"/>
  <c r="AA40" i="99" s="1"/>
  <c r="AB40" i="99" s="1"/>
  <c r="AC40" i="99" s="1"/>
  <c r="Y43" i="99"/>
  <c r="Z43" i="99" s="1"/>
  <c r="AA43" i="99" s="1"/>
  <c r="AB43" i="99" s="1"/>
  <c r="AC43" i="99" s="1"/>
  <c r="Y26" i="99"/>
  <c r="Z26" i="99" s="1"/>
  <c r="AA26" i="99" s="1"/>
  <c r="AB26" i="99" s="1"/>
  <c r="AC26" i="99" s="1"/>
  <c r="Y21" i="99"/>
  <c r="Z21" i="99" s="1"/>
  <c r="AA21" i="99" s="1"/>
  <c r="AB21" i="99" s="1"/>
  <c r="AC21" i="99" s="1"/>
  <c r="Y15" i="99"/>
  <c r="Z15" i="99" s="1"/>
  <c r="AA15" i="99" s="1"/>
  <c r="AB15" i="99" s="1"/>
  <c r="AC15" i="99" s="1"/>
  <c r="Y34" i="99"/>
  <c r="Z34" i="99" s="1"/>
  <c r="AA34" i="99" s="1"/>
  <c r="AB34" i="99" s="1"/>
  <c r="AC34" i="99" s="1"/>
  <c r="Y13" i="99"/>
  <c r="Z13" i="99" s="1"/>
  <c r="AA13" i="99" s="1"/>
  <c r="AB13" i="99" s="1"/>
  <c r="AC13" i="99" s="1"/>
  <c r="Y17" i="99"/>
  <c r="Z17" i="99" s="1"/>
  <c r="AA17" i="99" s="1"/>
  <c r="AB17" i="99" s="1"/>
  <c r="AC17" i="99" s="1"/>
  <c r="Y18" i="99"/>
  <c r="Z18" i="99" s="1"/>
  <c r="AA18" i="99" s="1"/>
  <c r="AB18" i="99" s="1"/>
  <c r="AC18" i="99" s="1"/>
  <c r="Y69" i="99"/>
  <c r="Z69" i="99" s="1"/>
  <c r="AA69" i="99" s="1"/>
  <c r="AB69" i="99" s="1"/>
  <c r="AC69" i="99" s="1"/>
  <c r="Y94" i="99"/>
  <c r="Z94" i="99" s="1"/>
  <c r="AA94" i="99" s="1"/>
  <c r="AB94" i="99" s="1"/>
  <c r="AC94" i="99" s="1"/>
  <c r="Y82" i="99"/>
  <c r="Z82" i="99" s="1"/>
  <c r="AA82" i="99" s="1"/>
  <c r="AB82" i="99" s="1"/>
  <c r="AC82" i="99" s="1"/>
  <c r="Y92" i="99"/>
  <c r="Z92" i="99" s="1"/>
  <c r="AA92" i="99" s="1"/>
  <c r="AB92" i="99" s="1"/>
  <c r="AC92" i="99" s="1"/>
  <c r="Y98" i="99"/>
  <c r="Z98" i="99" s="1"/>
  <c r="AA98" i="99" s="1"/>
  <c r="AB98" i="99" s="1"/>
  <c r="AC98" i="99" s="1"/>
  <c r="Y83" i="99"/>
  <c r="Z83" i="99" s="1"/>
  <c r="AA83" i="99" s="1"/>
  <c r="AB83" i="99" s="1"/>
  <c r="AC83" i="99" s="1"/>
  <c r="Y9" i="99"/>
  <c r="Z9" i="99" s="1"/>
  <c r="AA9" i="99" s="1"/>
  <c r="AB9" i="99" s="1"/>
  <c r="Y24" i="99"/>
  <c r="Z24" i="99" s="1"/>
  <c r="AA24" i="99" s="1"/>
  <c r="AB24" i="99" s="1"/>
  <c r="AC24" i="99" s="1"/>
  <c r="Y32" i="99"/>
  <c r="Z32" i="99" s="1"/>
  <c r="AA32" i="99" s="1"/>
  <c r="AB32" i="99" s="1"/>
  <c r="AC32" i="99" s="1"/>
  <c r="Y19" i="99"/>
  <c r="Z19" i="99" s="1"/>
  <c r="AA19" i="99" s="1"/>
  <c r="AB19" i="99" s="1"/>
  <c r="AC19" i="99" s="1"/>
  <c r="Y60" i="99"/>
  <c r="Z60" i="99" s="1"/>
  <c r="AA60" i="99" s="1"/>
  <c r="AB60" i="99" s="1"/>
  <c r="AC60" i="99" s="1"/>
  <c r="Y81" i="99"/>
  <c r="Z81" i="99" s="1"/>
  <c r="AA81" i="99" s="1"/>
  <c r="AB81" i="99" s="1"/>
  <c r="AC81" i="99" s="1"/>
  <c r="Y59" i="99"/>
  <c r="Z59" i="99" s="1"/>
  <c r="AA59" i="99" s="1"/>
  <c r="AB59" i="99" s="1"/>
  <c r="AC59" i="99" s="1"/>
  <c r="Y65" i="99"/>
  <c r="Z65" i="99" s="1"/>
  <c r="AA65" i="99" s="1"/>
  <c r="AB65" i="99" s="1"/>
  <c r="AC65" i="99" s="1"/>
  <c r="Y23" i="99"/>
  <c r="Z23" i="99" s="1"/>
  <c r="AA23" i="99" s="1"/>
  <c r="AB23" i="99" s="1"/>
  <c r="AC23" i="99" s="1"/>
  <c r="Y39" i="99"/>
  <c r="Z39" i="99" s="1"/>
  <c r="AA39" i="99" s="1"/>
  <c r="AB39" i="99" s="1"/>
  <c r="AC39" i="99" s="1"/>
  <c r="Y49" i="99"/>
  <c r="Z49" i="99" s="1"/>
  <c r="AA49" i="99" s="1"/>
  <c r="AB49" i="99" s="1"/>
  <c r="AC49" i="99" s="1"/>
  <c r="Y58" i="99"/>
  <c r="Z58" i="99" s="1"/>
  <c r="AA58" i="99" s="1"/>
  <c r="AB58" i="99" s="1"/>
  <c r="AC58" i="99" s="1"/>
  <c r="Y66" i="99"/>
  <c r="Z66" i="99" s="1"/>
  <c r="AA66" i="99" s="1"/>
  <c r="AB66" i="99" s="1"/>
  <c r="AC66" i="99" s="1"/>
  <c r="Y52" i="99"/>
  <c r="Z52" i="99" s="1"/>
  <c r="AA52" i="99" s="1"/>
  <c r="AB52" i="99" s="1"/>
  <c r="AC52" i="99" s="1"/>
  <c r="Y84" i="99"/>
  <c r="Z84" i="99" s="1"/>
  <c r="AA84" i="99" s="1"/>
  <c r="AB84" i="99" s="1"/>
  <c r="AC84" i="99" s="1"/>
  <c r="Y16" i="99"/>
  <c r="Z16" i="99" s="1"/>
  <c r="AA16" i="99" s="1"/>
  <c r="AB16" i="99" s="1"/>
  <c r="AC16" i="99" s="1"/>
  <c r="Y10" i="99"/>
  <c r="Z10" i="99" s="1"/>
  <c r="AA10" i="99" s="1"/>
  <c r="AB10" i="99" s="1"/>
  <c r="AC10" i="99" s="1"/>
  <c r="Y71" i="99"/>
  <c r="Z71" i="99" s="1"/>
  <c r="AA71" i="99" s="1"/>
  <c r="AB71" i="99" s="1"/>
  <c r="AC71" i="99" s="1"/>
  <c r="Y46" i="99"/>
  <c r="Z46" i="99" s="1"/>
  <c r="AA46" i="99" s="1"/>
  <c r="AB46" i="99" s="1"/>
  <c r="AC46" i="99" s="1"/>
  <c r="Y11" i="99"/>
  <c r="Z11" i="99" s="1"/>
  <c r="AA11" i="99" s="1"/>
  <c r="AB11" i="99" s="1"/>
  <c r="AC11" i="99" s="1"/>
  <c r="Y14" i="99"/>
  <c r="Z14" i="99" s="1"/>
  <c r="AA14" i="99" s="1"/>
  <c r="AB14" i="99" s="1"/>
  <c r="AC14" i="99" s="1"/>
  <c r="Y64" i="99"/>
  <c r="Z64" i="99" s="1"/>
  <c r="AA64" i="99" s="1"/>
  <c r="AB64" i="99" s="1"/>
  <c r="AC64" i="99" s="1"/>
  <c r="Y50" i="99"/>
  <c r="Z50" i="99" s="1"/>
  <c r="AA50" i="99" s="1"/>
  <c r="AB50" i="99" s="1"/>
  <c r="AC50" i="99" s="1"/>
  <c r="Y67" i="99"/>
  <c r="Z67" i="99" s="1"/>
  <c r="AA67" i="99" s="1"/>
  <c r="AB67" i="99" s="1"/>
  <c r="AC67" i="99" s="1"/>
  <c r="Y78" i="99"/>
  <c r="Z78" i="99" s="1"/>
  <c r="AA78" i="99" s="1"/>
  <c r="AB78" i="99" s="1"/>
  <c r="AC78" i="99" s="1"/>
  <c r="Y91" i="99"/>
  <c r="Z91" i="99" s="1"/>
  <c r="AA91" i="99" s="1"/>
  <c r="AB91" i="99" s="1"/>
  <c r="AC91" i="99" s="1"/>
  <c r="Y90" i="99"/>
  <c r="Z90" i="99" s="1"/>
  <c r="AA90" i="99" s="1"/>
  <c r="AB90" i="99" s="1"/>
  <c r="AC90" i="99" s="1"/>
  <c r="Y96" i="99"/>
  <c r="Z96" i="99" s="1"/>
  <c r="AA96" i="99" s="1"/>
  <c r="AB96" i="99" s="1"/>
  <c r="AC96" i="99" s="1"/>
  <c r="Y31" i="99"/>
  <c r="Z31" i="99" s="1"/>
  <c r="AA31" i="99" s="1"/>
  <c r="AB31" i="99" s="1"/>
  <c r="AC31" i="99" s="1"/>
  <c r="Y55" i="99"/>
  <c r="Z55" i="99" s="1"/>
  <c r="AA55" i="99" s="1"/>
  <c r="AB55" i="99" s="1"/>
  <c r="AC55" i="99" s="1"/>
  <c r="Y54" i="99"/>
  <c r="Z54" i="99" s="1"/>
  <c r="AA54" i="99" s="1"/>
  <c r="AB54" i="99" s="1"/>
  <c r="AC54" i="99" s="1"/>
  <c r="Y62" i="99"/>
  <c r="Z62" i="99" s="1"/>
  <c r="AA62" i="99" s="1"/>
  <c r="AB62" i="99" s="1"/>
  <c r="AC62" i="99" s="1"/>
  <c r="Y87" i="99"/>
  <c r="Z87" i="99" s="1"/>
  <c r="AA87" i="99" s="1"/>
  <c r="AB87" i="99" s="1"/>
  <c r="AC87" i="99" s="1"/>
  <c r="Y89" i="99"/>
  <c r="Z89" i="99" s="1"/>
  <c r="AA89" i="99" s="1"/>
  <c r="AB89" i="99" s="1"/>
  <c r="AC89" i="99" s="1"/>
  <c r="Y27" i="99"/>
  <c r="Z27" i="99" s="1"/>
  <c r="AA27" i="99" s="1"/>
  <c r="AB27" i="99" s="1"/>
  <c r="AC27" i="99" s="1"/>
  <c r="Y20" i="99"/>
  <c r="Z20" i="99" s="1"/>
  <c r="AA20" i="99" s="1"/>
  <c r="AB20" i="99" s="1"/>
  <c r="AC20" i="99" s="1"/>
  <c r="Y45" i="99"/>
  <c r="Z45" i="99" s="1"/>
  <c r="AA45" i="99" s="1"/>
  <c r="AB45" i="99" s="1"/>
  <c r="AC45" i="99" s="1"/>
  <c r="Y51" i="99"/>
  <c r="Z51" i="99" s="1"/>
  <c r="AA51" i="99" s="1"/>
  <c r="AB51" i="99" s="1"/>
  <c r="AC51" i="99" s="1"/>
  <c r="Y63" i="99"/>
  <c r="Z63" i="99" s="1"/>
  <c r="AA63" i="99" s="1"/>
  <c r="AB63" i="99" s="1"/>
  <c r="AC63" i="99" s="1"/>
  <c r="Y57" i="99"/>
  <c r="Z57" i="99" s="1"/>
  <c r="AA57" i="99" s="1"/>
  <c r="AB57" i="99" s="1"/>
  <c r="AC57" i="99" s="1"/>
  <c r="Y41" i="99"/>
  <c r="Z41" i="99" s="1"/>
  <c r="AA41" i="99" s="1"/>
  <c r="AB41" i="99" s="1"/>
  <c r="AC41" i="99" s="1"/>
  <c r="Y44" i="99"/>
  <c r="Z44" i="99" s="1"/>
  <c r="AA44" i="99" s="1"/>
  <c r="AB44" i="99" s="1"/>
  <c r="AC44" i="99" s="1"/>
  <c r="Y108" i="99"/>
  <c r="Z108" i="99" s="1"/>
  <c r="AA108" i="99" s="1"/>
  <c r="AB108" i="99" s="1"/>
  <c r="AC108" i="99" s="1"/>
  <c r="Y29" i="99"/>
  <c r="Z29" i="99" s="1"/>
  <c r="AA29" i="99" s="1"/>
  <c r="AB29" i="99" s="1"/>
  <c r="AC29" i="99" s="1"/>
  <c r="Y38" i="99"/>
  <c r="Z38" i="99" s="1"/>
  <c r="AA38" i="99" s="1"/>
  <c r="AB38" i="99" s="1"/>
  <c r="AC38" i="99" s="1"/>
  <c r="Y30" i="99"/>
  <c r="Z30" i="99" s="1"/>
  <c r="AA30" i="99" s="1"/>
  <c r="AB30" i="99" s="1"/>
  <c r="AC30" i="99" s="1"/>
  <c r="Y33" i="99"/>
  <c r="Z33" i="99" s="1"/>
  <c r="AA33" i="99" s="1"/>
  <c r="AB33" i="99" s="1"/>
  <c r="AC33" i="99" s="1"/>
  <c r="Y75" i="99"/>
  <c r="Z75" i="99" s="1"/>
  <c r="AA75" i="99" s="1"/>
  <c r="AB75" i="99" s="1"/>
  <c r="AC75" i="99" s="1"/>
  <c r="Y79" i="99"/>
  <c r="Z79" i="99" s="1"/>
  <c r="AA79" i="99" s="1"/>
  <c r="AB79" i="99" s="1"/>
  <c r="AC79" i="99" s="1"/>
  <c r="Y101" i="99"/>
  <c r="Z101" i="99" s="1"/>
  <c r="AA101" i="99" s="1"/>
  <c r="AB101" i="99" s="1"/>
  <c r="AC101" i="99" s="1"/>
  <c r="Y37" i="99"/>
  <c r="Z37" i="99" s="1"/>
  <c r="AA37" i="99" s="1"/>
  <c r="AB37" i="99" s="1"/>
  <c r="AC37" i="99" s="1"/>
  <c r="Y12" i="99"/>
  <c r="Z12" i="99" s="1"/>
  <c r="AA12" i="99" s="1"/>
  <c r="AB12" i="99" s="1"/>
  <c r="AC12" i="99" s="1"/>
  <c r="Y72" i="99"/>
  <c r="Z72" i="99" s="1"/>
  <c r="AA72" i="99" s="1"/>
  <c r="AB72" i="99" s="1"/>
  <c r="AC72" i="99" s="1"/>
  <c r="Y76" i="99"/>
  <c r="Z76" i="99" s="1"/>
  <c r="AA76" i="99" s="1"/>
  <c r="AB76" i="99" s="1"/>
  <c r="AC76" i="99" s="1"/>
  <c r="Y80" i="99"/>
  <c r="Z80" i="99" s="1"/>
  <c r="AA80" i="99" s="1"/>
  <c r="AB80" i="99" s="1"/>
  <c r="AC80" i="99" s="1"/>
  <c r="Y70" i="99"/>
  <c r="Z70" i="99" s="1"/>
  <c r="AA70" i="99" s="1"/>
  <c r="AB70" i="99" s="1"/>
  <c r="AC70" i="99" s="1"/>
  <c r="Y86" i="99"/>
  <c r="Z86" i="99" s="1"/>
  <c r="AA86" i="99" s="1"/>
  <c r="AB86" i="99" s="1"/>
  <c r="AC86" i="99" s="1"/>
  <c r="Y28" i="99"/>
  <c r="Z28" i="99" s="1"/>
  <c r="AA28" i="99" s="1"/>
  <c r="AB28" i="99" s="1"/>
  <c r="AC28" i="99" s="1"/>
  <c r="Y56" i="99"/>
  <c r="Z56" i="99" s="1"/>
  <c r="AA56" i="99" s="1"/>
  <c r="AB56" i="99" s="1"/>
  <c r="AC56" i="99" s="1"/>
  <c r="Y74" i="99"/>
  <c r="Z74" i="99" s="1"/>
  <c r="AA74" i="99" s="1"/>
  <c r="AB74" i="99" s="1"/>
  <c r="AC74" i="99" s="1"/>
  <c r="Y25" i="99"/>
  <c r="Z25" i="99" s="1"/>
  <c r="AA25" i="99" s="1"/>
  <c r="AB25" i="99" s="1"/>
  <c r="AC25" i="99" s="1"/>
  <c r="Y36" i="99"/>
  <c r="Z36" i="99" s="1"/>
  <c r="AA36" i="99" s="1"/>
  <c r="AB36" i="99" s="1"/>
  <c r="AC36" i="99" s="1"/>
  <c r="Y93" i="99"/>
  <c r="Z93" i="99" s="1"/>
  <c r="AA93" i="99" s="1"/>
  <c r="AB93" i="99" s="1"/>
  <c r="AC93" i="99" s="1"/>
  <c r="Y107" i="99"/>
  <c r="Z107" i="99" s="1"/>
  <c r="AA107" i="99" s="1"/>
  <c r="AB107" i="99" s="1"/>
  <c r="AC107" i="99" s="1"/>
  <c r="Y95" i="99"/>
  <c r="Z95" i="99" s="1"/>
  <c r="AA95" i="99" s="1"/>
  <c r="AB95" i="99" s="1"/>
  <c r="AC95" i="99" s="1"/>
  <c r="Y104" i="99"/>
  <c r="Z104" i="99" s="1"/>
  <c r="AA104" i="99" s="1"/>
  <c r="AB104" i="99" s="1"/>
  <c r="AC104" i="99" s="1"/>
  <c r="Y105" i="99"/>
  <c r="Z105" i="99" s="1"/>
  <c r="AA105" i="99" s="1"/>
  <c r="AB105" i="99" s="1"/>
  <c r="AC105" i="99" s="1"/>
  <c r="Y85" i="99"/>
  <c r="Z85" i="99" s="1"/>
  <c r="AA85" i="99" s="1"/>
  <c r="AB85" i="99" s="1"/>
  <c r="AC85" i="99" s="1"/>
  <c r="CY100" i="99"/>
  <c r="CZ100" i="99" s="1"/>
  <c r="DA100" i="99" s="1"/>
  <c r="DB100" i="99" s="1"/>
  <c r="DC100" i="99" s="1"/>
  <c r="CY77" i="99"/>
  <c r="CZ77" i="99" s="1"/>
  <c r="DA77" i="99" s="1"/>
  <c r="DB77" i="99" s="1"/>
  <c r="DC77" i="99" s="1"/>
  <c r="CY71" i="99"/>
  <c r="CZ71" i="99" s="1"/>
  <c r="DA71" i="99" s="1"/>
  <c r="DB71" i="99" s="1"/>
  <c r="DC71" i="99" s="1"/>
  <c r="CY50" i="99"/>
  <c r="CZ50" i="99" s="1"/>
  <c r="DA50" i="99" s="1"/>
  <c r="DB50" i="99" s="1"/>
  <c r="DC50" i="99" s="1"/>
  <c r="CY48" i="99"/>
  <c r="CZ48" i="99" s="1"/>
  <c r="DA48" i="99" s="1"/>
  <c r="DB48" i="99" s="1"/>
  <c r="DC48" i="99" s="1"/>
  <c r="CY62" i="99"/>
  <c r="CZ62" i="99" s="1"/>
  <c r="DA62" i="99" s="1"/>
  <c r="DB62" i="99" s="1"/>
  <c r="DC62" i="99" s="1"/>
  <c r="CY54" i="99"/>
  <c r="CZ54" i="99" s="1"/>
  <c r="DA54" i="99" s="1"/>
  <c r="DB54" i="99" s="1"/>
  <c r="DC54" i="99" s="1"/>
  <c r="CY53" i="99"/>
  <c r="CZ53" i="99" s="1"/>
  <c r="DA53" i="99" s="1"/>
  <c r="DB53" i="99" s="1"/>
  <c r="DC53" i="99" s="1"/>
  <c r="CY51" i="99"/>
  <c r="CZ51" i="99" s="1"/>
  <c r="DA51" i="99" s="1"/>
  <c r="DB51" i="99" s="1"/>
  <c r="DC51" i="99" s="1"/>
  <c r="CY98" i="99"/>
  <c r="CZ98" i="99" s="1"/>
  <c r="DA98" i="99" s="1"/>
  <c r="DB98" i="99" s="1"/>
  <c r="DC98" i="99" s="1"/>
  <c r="CY64" i="99"/>
  <c r="CZ64" i="99" s="1"/>
  <c r="DA64" i="99" s="1"/>
  <c r="DB64" i="99" s="1"/>
  <c r="DC64" i="99" s="1"/>
  <c r="CY34" i="99"/>
  <c r="CZ34" i="99" s="1"/>
  <c r="DA34" i="99" s="1"/>
  <c r="DB34" i="99" s="1"/>
  <c r="DC34" i="99" s="1"/>
  <c r="CY33" i="99"/>
  <c r="CZ33" i="99" s="1"/>
  <c r="DA33" i="99" s="1"/>
  <c r="DB33" i="99" s="1"/>
  <c r="DC33" i="99" s="1"/>
  <c r="CY26" i="99"/>
  <c r="CZ26" i="99" s="1"/>
  <c r="DA26" i="99" s="1"/>
  <c r="DB26" i="99" s="1"/>
  <c r="DC26" i="99" s="1"/>
  <c r="CY25" i="99"/>
  <c r="CZ25" i="99" s="1"/>
  <c r="DA25" i="99" s="1"/>
  <c r="DB25" i="99" s="1"/>
  <c r="DC25" i="99" s="1"/>
  <c r="CY41" i="99"/>
  <c r="CZ41" i="99" s="1"/>
  <c r="DA41" i="99" s="1"/>
  <c r="DB41" i="99" s="1"/>
  <c r="DC41" i="99" s="1"/>
  <c r="CY42" i="99"/>
  <c r="CZ42" i="99" s="1"/>
  <c r="DA42" i="99" s="1"/>
  <c r="DB42" i="99" s="1"/>
  <c r="DC42" i="99" s="1"/>
  <c r="CY40" i="99"/>
  <c r="CZ40" i="99" s="1"/>
  <c r="DA40" i="99" s="1"/>
  <c r="DB40" i="99" s="1"/>
  <c r="DC40" i="99" s="1"/>
  <c r="CY61" i="99"/>
  <c r="CZ61" i="99" s="1"/>
  <c r="DA61" i="99" s="1"/>
  <c r="DB61" i="99" s="1"/>
  <c r="DC61" i="99" s="1"/>
  <c r="CY44" i="99"/>
  <c r="CZ44" i="99" s="1"/>
  <c r="DA44" i="99" s="1"/>
  <c r="DB44" i="99" s="1"/>
  <c r="DC44" i="99" s="1"/>
  <c r="CY36" i="99"/>
  <c r="CZ36" i="99" s="1"/>
  <c r="DA36" i="99" s="1"/>
  <c r="DB36" i="99" s="1"/>
  <c r="DC36" i="99" s="1"/>
  <c r="CY94" i="99"/>
  <c r="CZ94" i="99" s="1"/>
  <c r="DA94" i="99" s="1"/>
  <c r="DB94" i="99" s="1"/>
  <c r="DC94" i="99" s="1"/>
  <c r="CY11" i="99"/>
  <c r="CZ11" i="99" s="1"/>
  <c r="DA11" i="99" s="1"/>
  <c r="DB11" i="99" s="1"/>
  <c r="DC11" i="99" s="1"/>
  <c r="CY35" i="99"/>
  <c r="CZ35" i="99" s="1"/>
  <c r="DA35" i="99" s="1"/>
  <c r="DB35" i="99" s="1"/>
  <c r="DC35" i="99" s="1"/>
  <c r="CY58" i="99"/>
  <c r="CZ58" i="99" s="1"/>
  <c r="DA58" i="99" s="1"/>
  <c r="DB58" i="99" s="1"/>
  <c r="DC58" i="99" s="1"/>
  <c r="CY66" i="99"/>
  <c r="CZ66" i="99" s="1"/>
  <c r="DA66" i="99" s="1"/>
  <c r="DB66" i="99" s="1"/>
  <c r="DC66" i="99" s="1"/>
  <c r="CY90" i="99"/>
  <c r="CZ90" i="99" s="1"/>
  <c r="DA90" i="99" s="1"/>
  <c r="DB90" i="99" s="1"/>
  <c r="DC90" i="99" s="1"/>
  <c r="CY9" i="99"/>
  <c r="CZ9" i="99" s="1"/>
  <c r="DA9" i="99" s="1"/>
  <c r="DB9" i="99" s="1"/>
  <c r="CY18" i="99"/>
  <c r="CZ18" i="99" s="1"/>
  <c r="DA18" i="99" s="1"/>
  <c r="DB18" i="99" s="1"/>
  <c r="DC18" i="99" s="1"/>
  <c r="CY19" i="99"/>
  <c r="CZ19" i="99" s="1"/>
  <c r="DA19" i="99" s="1"/>
  <c r="DB19" i="99" s="1"/>
  <c r="DC19" i="99" s="1"/>
  <c r="CY81" i="99"/>
  <c r="CZ81" i="99" s="1"/>
  <c r="DA81" i="99" s="1"/>
  <c r="DB81" i="99" s="1"/>
  <c r="DC81" i="99" s="1"/>
  <c r="CY103" i="99"/>
  <c r="CZ103" i="99" s="1"/>
  <c r="DA103" i="99" s="1"/>
  <c r="DB103" i="99" s="1"/>
  <c r="DC103" i="99" s="1"/>
  <c r="CY10" i="99"/>
  <c r="CZ10" i="99" s="1"/>
  <c r="DA10" i="99" s="1"/>
  <c r="DB10" i="99" s="1"/>
  <c r="DC10" i="99" s="1"/>
  <c r="CY85" i="99"/>
  <c r="CZ85" i="99" s="1"/>
  <c r="DA85" i="99" s="1"/>
  <c r="DB85" i="99" s="1"/>
  <c r="DC85" i="99" s="1"/>
  <c r="CY32" i="99"/>
  <c r="CZ32" i="99" s="1"/>
  <c r="DA32" i="99" s="1"/>
  <c r="DB32" i="99" s="1"/>
  <c r="DC32" i="99" s="1"/>
  <c r="CY59" i="99"/>
  <c r="CZ59" i="99" s="1"/>
  <c r="DA59" i="99" s="1"/>
  <c r="DB59" i="99" s="1"/>
  <c r="DC59" i="99" s="1"/>
  <c r="CY69" i="99"/>
  <c r="CZ69" i="99" s="1"/>
  <c r="DA69" i="99" s="1"/>
  <c r="DB69" i="99" s="1"/>
  <c r="DC69" i="99" s="1"/>
  <c r="CY55" i="99"/>
  <c r="CZ55" i="99" s="1"/>
  <c r="DA55" i="99" s="1"/>
  <c r="DB55" i="99" s="1"/>
  <c r="DC55" i="99" s="1"/>
  <c r="CY92" i="99"/>
  <c r="CZ92" i="99" s="1"/>
  <c r="DA92" i="99" s="1"/>
  <c r="DB92" i="99" s="1"/>
  <c r="DC92" i="99" s="1"/>
  <c r="CY24" i="99"/>
  <c r="CZ24" i="99" s="1"/>
  <c r="DA24" i="99" s="1"/>
  <c r="DB24" i="99" s="1"/>
  <c r="DC24" i="99" s="1"/>
  <c r="CY12" i="99"/>
  <c r="CZ12" i="99" s="1"/>
  <c r="DA12" i="99" s="1"/>
  <c r="DB12" i="99" s="1"/>
  <c r="DC12" i="99" s="1"/>
  <c r="CY70" i="99"/>
  <c r="CZ70" i="99" s="1"/>
  <c r="DA70" i="99" s="1"/>
  <c r="DB70" i="99" s="1"/>
  <c r="DC70" i="99" s="1"/>
  <c r="CY97" i="99"/>
  <c r="CZ97" i="99" s="1"/>
  <c r="DA97" i="99" s="1"/>
  <c r="DB97" i="99" s="1"/>
  <c r="DC97" i="99" s="1"/>
  <c r="CY17" i="99"/>
  <c r="CZ17" i="99" s="1"/>
  <c r="DA17" i="99" s="1"/>
  <c r="DB17" i="99" s="1"/>
  <c r="DC17" i="99" s="1"/>
  <c r="CY13" i="99"/>
  <c r="CZ13" i="99" s="1"/>
  <c r="DA13" i="99" s="1"/>
  <c r="DB13" i="99" s="1"/>
  <c r="DC13" i="99" s="1"/>
  <c r="CY30" i="99"/>
  <c r="CZ30" i="99" s="1"/>
  <c r="DA30" i="99" s="1"/>
  <c r="DB30" i="99" s="1"/>
  <c r="DC30" i="99" s="1"/>
  <c r="CY21" i="99"/>
  <c r="CZ21" i="99" s="1"/>
  <c r="DA21" i="99" s="1"/>
  <c r="DB21" i="99" s="1"/>
  <c r="DC21" i="99" s="1"/>
  <c r="CY27" i="99"/>
  <c r="CZ27" i="99" s="1"/>
  <c r="DA27" i="99" s="1"/>
  <c r="DB27" i="99" s="1"/>
  <c r="DC27" i="99" s="1"/>
  <c r="CY47" i="99"/>
  <c r="CZ47" i="99" s="1"/>
  <c r="DA47" i="99" s="1"/>
  <c r="DB47" i="99" s="1"/>
  <c r="DC47" i="99" s="1"/>
  <c r="CY52" i="99"/>
  <c r="CZ52" i="99" s="1"/>
  <c r="DA52" i="99" s="1"/>
  <c r="DB52" i="99" s="1"/>
  <c r="DC52" i="99" s="1"/>
  <c r="CY49" i="99"/>
  <c r="CZ49" i="99" s="1"/>
  <c r="DA49" i="99" s="1"/>
  <c r="DB49" i="99" s="1"/>
  <c r="DC49" i="99" s="1"/>
  <c r="CY80" i="99"/>
  <c r="CZ80" i="99" s="1"/>
  <c r="DA80" i="99" s="1"/>
  <c r="DB80" i="99" s="1"/>
  <c r="DC80" i="99" s="1"/>
  <c r="CY22" i="99"/>
  <c r="CZ22" i="99" s="1"/>
  <c r="DA22" i="99" s="1"/>
  <c r="DB22" i="99" s="1"/>
  <c r="DC22" i="99" s="1"/>
  <c r="CY14" i="99"/>
  <c r="CZ14" i="99" s="1"/>
  <c r="DA14" i="99" s="1"/>
  <c r="DB14" i="99" s="1"/>
  <c r="DC14" i="99" s="1"/>
  <c r="CY82" i="99"/>
  <c r="CZ82" i="99" s="1"/>
  <c r="DA82" i="99" s="1"/>
  <c r="DB82" i="99" s="1"/>
  <c r="DC82" i="99" s="1"/>
  <c r="CY91" i="99"/>
  <c r="CZ91" i="99" s="1"/>
  <c r="DA91" i="99" s="1"/>
  <c r="DB91" i="99" s="1"/>
  <c r="DC91" i="99" s="1"/>
  <c r="CY101" i="99"/>
  <c r="CZ101" i="99" s="1"/>
  <c r="DA101" i="99" s="1"/>
  <c r="DB101" i="99" s="1"/>
  <c r="DC101" i="99" s="1"/>
  <c r="CY84" i="99"/>
  <c r="CZ84" i="99" s="1"/>
  <c r="DA84" i="99" s="1"/>
  <c r="DB84" i="99" s="1"/>
  <c r="DC84" i="99" s="1"/>
  <c r="CY28" i="99"/>
  <c r="CZ28" i="99" s="1"/>
  <c r="DA28" i="99" s="1"/>
  <c r="DB28" i="99" s="1"/>
  <c r="DC28" i="99" s="1"/>
  <c r="CY29" i="99"/>
  <c r="CZ29" i="99" s="1"/>
  <c r="DA29" i="99" s="1"/>
  <c r="DB29" i="99" s="1"/>
  <c r="DC29" i="99" s="1"/>
  <c r="CY79" i="99"/>
  <c r="CZ79" i="99" s="1"/>
  <c r="DA79" i="99" s="1"/>
  <c r="DB79" i="99" s="1"/>
  <c r="DC79" i="99" s="1"/>
  <c r="CY83" i="99"/>
  <c r="CZ83" i="99" s="1"/>
  <c r="DA83" i="99" s="1"/>
  <c r="DB83" i="99" s="1"/>
  <c r="DC83" i="99" s="1"/>
  <c r="CY16" i="99"/>
  <c r="CZ16" i="99" s="1"/>
  <c r="DA16" i="99" s="1"/>
  <c r="DB16" i="99" s="1"/>
  <c r="DC16" i="99" s="1"/>
  <c r="CY63" i="99"/>
  <c r="CZ63" i="99" s="1"/>
  <c r="DA63" i="99" s="1"/>
  <c r="DB63" i="99" s="1"/>
  <c r="DC63" i="99" s="1"/>
  <c r="CY67" i="99"/>
  <c r="CZ67" i="99" s="1"/>
  <c r="DA67" i="99" s="1"/>
  <c r="DB67" i="99" s="1"/>
  <c r="DC67" i="99" s="1"/>
  <c r="CY39" i="99"/>
  <c r="CZ39" i="99" s="1"/>
  <c r="DA39" i="99" s="1"/>
  <c r="DB39" i="99" s="1"/>
  <c r="DC39" i="99" s="1"/>
  <c r="CY43" i="99"/>
  <c r="CZ43" i="99" s="1"/>
  <c r="DA43" i="99" s="1"/>
  <c r="DB43" i="99" s="1"/>
  <c r="DC43" i="99" s="1"/>
  <c r="CY76" i="99"/>
  <c r="CZ76" i="99" s="1"/>
  <c r="DA76" i="99" s="1"/>
  <c r="DB76" i="99" s="1"/>
  <c r="DC76" i="99" s="1"/>
  <c r="CY65" i="99"/>
  <c r="CZ65" i="99" s="1"/>
  <c r="DA65" i="99" s="1"/>
  <c r="DB65" i="99" s="1"/>
  <c r="DC65" i="99" s="1"/>
  <c r="CY86" i="99"/>
  <c r="CZ86" i="99" s="1"/>
  <c r="DA86" i="99" s="1"/>
  <c r="DB86" i="99" s="1"/>
  <c r="DC86" i="99" s="1"/>
  <c r="CY15" i="99"/>
  <c r="CZ15" i="99" s="1"/>
  <c r="DA15" i="99" s="1"/>
  <c r="DB15" i="99" s="1"/>
  <c r="DC15" i="99" s="1"/>
  <c r="CY56" i="99"/>
  <c r="CZ56" i="99" s="1"/>
  <c r="DA56" i="99" s="1"/>
  <c r="DB56" i="99" s="1"/>
  <c r="DC56" i="99" s="1"/>
  <c r="CY60" i="99"/>
  <c r="CZ60" i="99" s="1"/>
  <c r="DA60" i="99" s="1"/>
  <c r="DB60" i="99" s="1"/>
  <c r="DC60" i="99" s="1"/>
  <c r="CY74" i="99"/>
  <c r="CZ74" i="99" s="1"/>
  <c r="DA74" i="99" s="1"/>
  <c r="DB74" i="99" s="1"/>
  <c r="DC74" i="99" s="1"/>
  <c r="CY78" i="99"/>
  <c r="CZ78" i="99" s="1"/>
  <c r="DA78" i="99" s="1"/>
  <c r="DB78" i="99" s="1"/>
  <c r="DC78" i="99" s="1"/>
  <c r="CY89" i="99"/>
  <c r="CZ89" i="99" s="1"/>
  <c r="DA89" i="99" s="1"/>
  <c r="DB89" i="99" s="1"/>
  <c r="DC89" i="99" s="1"/>
  <c r="CY96" i="99"/>
  <c r="CZ96" i="99" s="1"/>
  <c r="DA96" i="99" s="1"/>
  <c r="DB96" i="99" s="1"/>
  <c r="DC96" i="99" s="1"/>
  <c r="CY95" i="99"/>
  <c r="CZ95" i="99" s="1"/>
  <c r="DA95" i="99" s="1"/>
  <c r="DB95" i="99" s="1"/>
  <c r="DC95" i="99" s="1"/>
  <c r="CY46" i="99"/>
  <c r="CZ46" i="99" s="1"/>
  <c r="DA46" i="99" s="1"/>
  <c r="DB46" i="99" s="1"/>
  <c r="DC46" i="99" s="1"/>
  <c r="CY37" i="99"/>
  <c r="CZ37" i="99" s="1"/>
  <c r="DA37" i="99" s="1"/>
  <c r="DB37" i="99" s="1"/>
  <c r="DC37" i="99" s="1"/>
  <c r="CY38" i="99"/>
  <c r="CZ38" i="99" s="1"/>
  <c r="DA38" i="99" s="1"/>
  <c r="DB38" i="99" s="1"/>
  <c r="DC38" i="99" s="1"/>
  <c r="CY20" i="99"/>
  <c r="CZ20" i="99" s="1"/>
  <c r="DA20" i="99" s="1"/>
  <c r="DB20" i="99" s="1"/>
  <c r="DC20" i="99" s="1"/>
  <c r="CY23" i="99"/>
  <c r="CZ23" i="99" s="1"/>
  <c r="DA23" i="99" s="1"/>
  <c r="DB23" i="99" s="1"/>
  <c r="DC23" i="99" s="1"/>
  <c r="CY31" i="99"/>
  <c r="CZ31" i="99" s="1"/>
  <c r="DA31" i="99" s="1"/>
  <c r="DB31" i="99" s="1"/>
  <c r="DC31" i="99" s="1"/>
  <c r="CY108" i="99"/>
  <c r="CZ108" i="99" s="1"/>
  <c r="DA108" i="99" s="1"/>
  <c r="DB108" i="99" s="1"/>
  <c r="DC108" i="99" s="1"/>
  <c r="CY45" i="99"/>
  <c r="CZ45" i="99" s="1"/>
  <c r="DA45" i="99" s="1"/>
  <c r="DB45" i="99" s="1"/>
  <c r="DC45" i="99" s="1"/>
  <c r="CY57" i="99"/>
  <c r="CZ57" i="99" s="1"/>
  <c r="DA57" i="99" s="1"/>
  <c r="DB57" i="99" s="1"/>
  <c r="DC57" i="99" s="1"/>
  <c r="CY68" i="99"/>
  <c r="CZ68" i="99" s="1"/>
  <c r="DA68" i="99" s="1"/>
  <c r="DB68" i="99" s="1"/>
  <c r="DC68" i="99" s="1"/>
  <c r="CY75" i="99"/>
  <c r="CZ75" i="99" s="1"/>
  <c r="DA75" i="99" s="1"/>
  <c r="DB75" i="99" s="1"/>
  <c r="DC75" i="99" s="1"/>
  <c r="CY72" i="99"/>
  <c r="CZ72" i="99" s="1"/>
  <c r="DA72" i="99" s="1"/>
  <c r="DB72" i="99" s="1"/>
  <c r="DC72" i="99" s="1"/>
  <c r="CY73" i="99"/>
  <c r="CZ73" i="99" s="1"/>
  <c r="DA73" i="99" s="1"/>
  <c r="DB73" i="99" s="1"/>
  <c r="DC73" i="99" s="1"/>
  <c r="CY87" i="99"/>
  <c r="CZ87" i="99" s="1"/>
  <c r="DA87" i="99" s="1"/>
  <c r="DB87" i="99" s="1"/>
  <c r="DC87" i="99" s="1"/>
  <c r="CY93" i="99"/>
  <c r="CZ93" i="99" s="1"/>
  <c r="DA93" i="99" s="1"/>
  <c r="DB93" i="99" s="1"/>
  <c r="DC93" i="99" s="1"/>
  <c r="CY99" i="99"/>
  <c r="CZ99" i="99" s="1"/>
  <c r="DA99" i="99" s="1"/>
  <c r="DB99" i="99" s="1"/>
  <c r="DC99" i="99" s="1"/>
  <c r="CY104" i="99"/>
  <c r="CZ104" i="99" s="1"/>
  <c r="DA104" i="99" s="1"/>
  <c r="DB104" i="99" s="1"/>
  <c r="DC104" i="99" s="1"/>
  <c r="CY107" i="99"/>
  <c r="CZ107" i="99" s="1"/>
  <c r="DA107" i="99" s="1"/>
  <c r="DB107" i="99" s="1"/>
  <c r="DC107" i="99" s="1"/>
  <c r="CY105" i="99"/>
  <c r="CZ105" i="99" s="1"/>
  <c r="DA105" i="99" s="1"/>
  <c r="DB105" i="99" s="1"/>
  <c r="DC105" i="99" s="1"/>
  <c r="CY102" i="99"/>
  <c r="CZ102" i="99" s="1"/>
  <c r="DA102" i="99" s="1"/>
  <c r="DB102" i="99" s="1"/>
  <c r="DC102" i="99" s="1"/>
  <c r="CY106" i="99"/>
  <c r="CZ106" i="99" s="1"/>
  <c r="DA106" i="99" s="1"/>
  <c r="DB106" i="99" s="1"/>
  <c r="DC106" i="99" s="1"/>
  <c r="CY88" i="99"/>
  <c r="CZ88" i="99" s="1"/>
  <c r="DA88" i="99" s="1"/>
  <c r="DB88" i="99" s="1"/>
  <c r="DC88" i="99" s="1"/>
  <c r="EC100" i="99"/>
  <c r="ED100" i="99" s="1"/>
  <c r="EE100" i="99" s="1"/>
  <c r="EF100" i="99" s="1"/>
  <c r="EG100" i="99" s="1"/>
  <c r="EC77" i="99"/>
  <c r="ED77" i="99" s="1"/>
  <c r="EE77" i="99" s="1"/>
  <c r="EF77" i="99" s="1"/>
  <c r="EG77" i="99" s="1"/>
  <c r="EC93" i="99"/>
  <c r="ED93" i="99" s="1"/>
  <c r="EE93" i="99" s="1"/>
  <c r="EF93" i="99" s="1"/>
  <c r="EG93" i="99" s="1"/>
  <c r="EC84" i="99"/>
  <c r="ED84" i="99" s="1"/>
  <c r="EE84" i="99" s="1"/>
  <c r="EF84" i="99" s="1"/>
  <c r="EG84" i="99" s="1"/>
  <c r="EC90" i="99"/>
  <c r="ED90" i="99" s="1"/>
  <c r="EE90" i="99" s="1"/>
  <c r="EF90" i="99" s="1"/>
  <c r="EG90" i="99" s="1"/>
  <c r="EC73" i="99"/>
  <c r="ED73" i="99" s="1"/>
  <c r="EE73" i="99" s="1"/>
  <c r="EF73" i="99" s="1"/>
  <c r="EG73" i="99" s="1"/>
  <c r="EC106" i="99"/>
  <c r="ED106" i="99" s="1"/>
  <c r="EE106" i="99" s="1"/>
  <c r="EF106" i="99" s="1"/>
  <c r="EG106" i="99" s="1"/>
  <c r="EC65" i="99"/>
  <c r="ED65" i="99" s="1"/>
  <c r="EE65" i="99" s="1"/>
  <c r="EF65" i="99" s="1"/>
  <c r="EG65" i="99" s="1"/>
  <c r="EC83" i="99"/>
  <c r="ED83" i="99" s="1"/>
  <c r="EE83" i="99" s="1"/>
  <c r="EF83" i="99" s="1"/>
  <c r="EG83" i="99" s="1"/>
  <c r="EC61" i="99"/>
  <c r="ED61" i="99" s="1"/>
  <c r="EE61" i="99" s="1"/>
  <c r="EF61" i="99" s="1"/>
  <c r="EG61" i="99" s="1"/>
  <c r="EC62" i="99"/>
  <c r="ED62" i="99" s="1"/>
  <c r="EE62" i="99" s="1"/>
  <c r="EF62" i="99" s="1"/>
  <c r="EG62" i="99" s="1"/>
  <c r="EC47" i="99"/>
  <c r="ED47" i="99" s="1"/>
  <c r="EE47" i="99" s="1"/>
  <c r="EF47" i="99" s="1"/>
  <c r="EG47" i="99" s="1"/>
  <c r="EC22" i="99"/>
  <c r="ED22" i="99" s="1"/>
  <c r="EE22" i="99" s="1"/>
  <c r="EF22" i="99" s="1"/>
  <c r="EG22" i="99" s="1"/>
  <c r="EC91" i="99"/>
  <c r="ED91" i="99" s="1"/>
  <c r="EE91" i="99" s="1"/>
  <c r="EF91" i="99" s="1"/>
  <c r="EG91" i="99" s="1"/>
  <c r="EC34" i="99"/>
  <c r="ED34" i="99" s="1"/>
  <c r="EE34" i="99" s="1"/>
  <c r="EF34" i="99" s="1"/>
  <c r="EG34" i="99" s="1"/>
  <c r="EC26" i="99"/>
  <c r="ED26" i="99" s="1"/>
  <c r="EE26" i="99" s="1"/>
  <c r="EF26" i="99" s="1"/>
  <c r="EG26" i="99" s="1"/>
  <c r="EC57" i="99"/>
  <c r="ED57" i="99" s="1"/>
  <c r="EE57" i="99" s="1"/>
  <c r="EF57" i="99" s="1"/>
  <c r="EG57" i="99" s="1"/>
  <c r="EC35" i="99"/>
  <c r="ED35" i="99" s="1"/>
  <c r="EE35" i="99" s="1"/>
  <c r="EF35" i="99" s="1"/>
  <c r="EG35" i="99" s="1"/>
  <c r="EC49" i="99"/>
  <c r="ED49" i="99" s="1"/>
  <c r="EE49" i="99" s="1"/>
  <c r="EF49" i="99" s="1"/>
  <c r="EG49" i="99" s="1"/>
  <c r="EC40" i="99"/>
  <c r="ED40" i="99" s="1"/>
  <c r="EE40" i="99" s="1"/>
  <c r="EF40" i="99" s="1"/>
  <c r="EG40" i="99" s="1"/>
  <c r="EC39" i="99"/>
  <c r="ED39" i="99" s="1"/>
  <c r="EE39" i="99" s="1"/>
  <c r="EF39" i="99" s="1"/>
  <c r="EG39" i="99" s="1"/>
  <c r="EC33" i="99"/>
  <c r="ED33" i="99" s="1"/>
  <c r="EE33" i="99" s="1"/>
  <c r="EF33" i="99" s="1"/>
  <c r="EG33" i="99" s="1"/>
  <c r="EC41" i="99"/>
  <c r="ED41" i="99" s="1"/>
  <c r="EE41" i="99" s="1"/>
  <c r="EF41" i="99" s="1"/>
  <c r="EG41" i="99" s="1"/>
  <c r="EC54" i="99"/>
  <c r="ED54" i="99" s="1"/>
  <c r="EE54" i="99" s="1"/>
  <c r="EF54" i="99" s="1"/>
  <c r="EG54" i="99" s="1"/>
  <c r="EC42" i="99"/>
  <c r="ED42" i="99" s="1"/>
  <c r="EE42" i="99" s="1"/>
  <c r="EF42" i="99" s="1"/>
  <c r="EG42" i="99" s="1"/>
  <c r="EC13" i="99"/>
  <c r="ED13" i="99" s="1"/>
  <c r="EE13" i="99" s="1"/>
  <c r="EF13" i="99" s="1"/>
  <c r="EG13" i="99" s="1"/>
  <c r="EC25" i="99"/>
  <c r="ED25" i="99" s="1"/>
  <c r="EE25" i="99" s="1"/>
  <c r="EF25" i="99" s="1"/>
  <c r="EG25" i="99" s="1"/>
  <c r="EC9" i="99"/>
  <c r="ED9" i="99" s="1"/>
  <c r="EE9" i="99" s="1"/>
  <c r="EF9" i="99" s="1"/>
  <c r="EC53" i="99"/>
  <c r="ED53" i="99" s="1"/>
  <c r="EE53" i="99" s="1"/>
  <c r="EF53" i="99" s="1"/>
  <c r="EG53" i="99" s="1"/>
  <c r="EC18" i="99"/>
  <c r="ED18" i="99" s="1"/>
  <c r="EE18" i="99" s="1"/>
  <c r="EF18" i="99" s="1"/>
  <c r="EG18" i="99" s="1"/>
  <c r="EC17" i="99"/>
  <c r="ED17" i="99" s="1"/>
  <c r="EE17" i="99" s="1"/>
  <c r="EF17" i="99" s="1"/>
  <c r="EG17" i="99" s="1"/>
  <c r="EC59" i="99"/>
  <c r="ED59" i="99" s="1"/>
  <c r="EE59" i="99" s="1"/>
  <c r="EF59" i="99" s="1"/>
  <c r="EG59" i="99" s="1"/>
  <c r="EC92" i="99"/>
  <c r="ED92" i="99" s="1"/>
  <c r="EE92" i="99" s="1"/>
  <c r="EF92" i="99" s="1"/>
  <c r="EG92" i="99" s="1"/>
  <c r="EC55" i="99"/>
  <c r="ED55" i="99" s="1"/>
  <c r="EE55" i="99" s="1"/>
  <c r="EF55" i="99" s="1"/>
  <c r="EG55" i="99" s="1"/>
  <c r="EC96" i="99"/>
  <c r="ED96" i="99" s="1"/>
  <c r="EE96" i="99" s="1"/>
  <c r="EF96" i="99" s="1"/>
  <c r="EG96" i="99" s="1"/>
  <c r="EC60" i="99"/>
  <c r="ED60" i="99" s="1"/>
  <c r="EE60" i="99" s="1"/>
  <c r="EF60" i="99" s="1"/>
  <c r="EG60" i="99" s="1"/>
  <c r="EC70" i="99"/>
  <c r="ED70" i="99" s="1"/>
  <c r="EE70" i="99" s="1"/>
  <c r="EF70" i="99" s="1"/>
  <c r="EG70" i="99" s="1"/>
  <c r="EC69" i="99"/>
  <c r="ED69" i="99" s="1"/>
  <c r="EE69" i="99" s="1"/>
  <c r="EF69" i="99" s="1"/>
  <c r="EG69" i="99" s="1"/>
  <c r="EC10" i="99"/>
  <c r="ED10" i="99" s="1"/>
  <c r="EE10" i="99" s="1"/>
  <c r="EF10" i="99" s="1"/>
  <c r="EG10" i="99" s="1"/>
  <c r="EC32" i="99"/>
  <c r="ED32" i="99" s="1"/>
  <c r="EE32" i="99" s="1"/>
  <c r="EF32" i="99" s="1"/>
  <c r="EG32" i="99" s="1"/>
  <c r="EC12" i="99"/>
  <c r="ED12" i="99" s="1"/>
  <c r="EE12" i="99" s="1"/>
  <c r="EF12" i="99" s="1"/>
  <c r="EG12" i="99" s="1"/>
  <c r="EC24" i="99"/>
  <c r="ED24" i="99" s="1"/>
  <c r="EE24" i="99" s="1"/>
  <c r="EF24" i="99" s="1"/>
  <c r="EG24" i="99" s="1"/>
  <c r="EC98" i="99"/>
  <c r="ED98" i="99" s="1"/>
  <c r="EE98" i="99" s="1"/>
  <c r="EF98" i="99" s="1"/>
  <c r="EG98" i="99" s="1"/>
  <c r="EC30" i="99"/>
  <c r="ED30" i="99" s="1"/>
  <c r="EE30" i="99" s="1"/>
  <c r="EF30" i="99" s="1"/>
  <c r="EG30" i="99" s="1"/>
  <c r="EC52" i="99"/>
  <c r="ED52" i="99" s="1"/>
  <c r="EE52" i="99" s="1"/>
  <c r="EF52" i="99" s="1"/>
  <c r="EG52" i="99" s="1"/>
  <c r="EC82" i="99"/>
  <c r="ED82" i="99" s="1"/>
  <c r="EE82" i="99" s="1"/>
  <c r="EF82" i="99" s="1"/>
  <c r="EG82" i="99" s="1"/>
  <c r="EC94" i="99"/>
  <c r="ED94" i="99" s="1"/>
  <c r="EE94" i="99" s="1"/>
  <c r="EF94" i="99" s="1"/>
  <c r="EG94" i="99" s="1"/>
  <c r="EC23" i="99"/>
  <c r="ED23" i="99" s="1"/>
  <c r="EE23" i="99" s="1"/>
  <c r="EF23" i="99" s="1"/>
  <c r="EG23" i="99" s="1"/>
  <c r="EC101" i="99"/>
  <c r="ED101" i="99" s="1"/>
  <c r="EE101" i="99" s="1"/>
  <c r="EF101" i="99" s="1"/>
  <c r="EG101" i="99" s="1"/>
  <c r="EC103" i="99"/>
  <c r="ED103" i="99" s="1"/>
  <c r="EE103" i="99" s="1"/>
  <c r="EF103" i="99" s="1"/>
  <c r="EG103" i="99" s="1"/>
  <c r="EC45" i="99"/>
  <c r="ED45" i="99" s="1"/>
  <c r="EE45" i="99" s="1"/>
  <c r="EF45" i="99" s="1"/>
  <c r="EG45" i="99" s="1"/>
  <c r="EC79" i="99"/>
  <c r="ED79" i="99" s="1"/>
  <c r="EE79" i="99" s="1"/>
  <c r="EF79" i="99" s="1"/>
  <c r="EG79" i="99" s="1"/>
  <c r="EC87" i="99"/>
  <c r="ED87" i="99" s="1"/>
  <c r="EE87" i="99" s="1"/>
  <c r="EF87" i="99" s="1"/>
  <c r="EG87" i="99" s="1"/>
  <c r="EC19" i="99"/>
  <c r="ED19" i="99" s="1"/>
  <c r="EE19" i="99" s="1"/>
  <c r="EF19" i="99" s="1"/>
  <c r="EG19" i="99" s="1"/>
  <c r="EC20" i="99"/>
  <c r="ED20" i="99" s="1"/>
  <c r="EE20" i="99" s="1"/>
  <c r="EF20" i="99" s="1"/>
  <c r="EG20" i="99" s="1"/>
  <c r="EC21" i="99"/>
  <c r="ED21" i="99" s="1"/>
  <c r="EE21" i="99" s="1"/>
  <c r="EF21" i="99" s="1"/>
  <c r="EG21" i="99" s="1"/>
  <c r="EC38" i="99"/>
  <c r="ED38" i="99" s="1"/>
  <c r="EE38" i="99" s="1"/>
  <c r="EF38" i="99" s="1"/>
  <c r="EG38" i="99" s="1"/>
  <c r="EC44" i="99"/>
  <c r="ED44" i="99" s="1"/>
  <c r="EE44" i="99" s="1"/>
  <c r="EF44" i="99" s="1"/>
  <c r="EG44" i="99" s="1"/>
  <c r="EC67" i="99"/>
  <c r="ED67" i="99" s="1"/>
  <c r="EE67" i="99" s="1"/>
  <c r="EF67" i="99" s="1"/>
  <c r="EG67" i="99" s="1"/>
  <c r="EC14" i="99"/>
  <c r="ED14" i="99" s="1"/>
  <c r="EE14" i="99" s="1"/>
  <c r="EF14" i="99" s="1"/>
  <c r="EG14" i="99" s="1"/>
  <c r="EC27" i="99"/>
  <c r="ED27" i="99" s="1"/>
  <c r="EE27" i="99" s="1"/>
  <c r="EF27" i="99" s="1"/>
  <c r="EG27" i="99" s="1"/>
  <c r="EC31" i="99"/>
  <c r="ED31" i="99" s="1"/>
  <c r="EE31" i="99" s="1"/>
  <c r="EF31" i="99" s="1"/>
  <c r="EG31" i="99" s="1"/>
  <c r="EC16" i="99"/>
  <c r="ED16" i="99" s="1"/>
  <c r="EE16" i="99" s="1"/>
  <c r="EF16" i="99" s="1"/>
  <c r="EG16" i="99" s="1"/>
  <c r="EC58" i="99"/>
  <c r="ED58" i="99" s="1"/>
  <c r="EE58" i="99" s="1"/>
  <c r="EF58" i="99" s="1"/>
  <c r="EG58" i="99" s="1"/>
  <c r="EC63" i="99"/>
  <c r="ED63" i="99" s="1"/>
  <c r="EE63" i="99" s="1"/>
  <c r="EF63" i="99" s="1"/>
  <c r="EG63" i="99" s="1"/>
  <c r="EC66" i="99"/>
  <c r="ED66" i="99" s="1"/>
  <c r="EE66" i="99" s="1"/>
  <c r="EF66" i="99" s="1"/>
  <c r="EG66" i="99" s="1"/>
  <c r="EC48" i="99"/>
  <c r="ED48" i="99" s="1"/>
  <c r="EE48" i="99" s="1"/>
  <c r="EF48" i="99" s="1"/>
  <c r="EG48" i="99" s="1"/>
  <c r="EC76" i="99"/>
  <c r="ED76" i="99" s="1"/>
  <c r="EE76" i="99" s="1"/>
  <c r="EF76" i="99" s="1"/>
  <c r="EG76" i="99" s="1"/>
  <c r="EC11" i="99"/>
  <c r="ED11" i="99" s="1"/>
  <c r="EE11" i="99" s="1"/>
  <c r="EF11" i="99" s="1"/>
  <c r="EG11" i="99" s="1"/>
  <c r="EC29" i="99"/>
  <c r="ED29" i="99" s="1"/>
  <c r="EE29" i="99" s="1"/>
  <c r="EF29" i="99" s="1"/>
  <c r="EG29" i="99" s="1"/>
  <c r="EC51" i="99"/>
  <c r="ED51" i="99" s="1"/>
  <c r="EE51" i="99" s="1"/>
  <c r="EF51" i="99" s="1"/>
  <c r="EG51" i="99" s="1"/>
  <c r="EC72" i="99"/>
  <c r="ED72" i="99" s="1"/>
  <c r="EE72" i="99" s="1"/>
  <c r="EF72" i="99" s="1"/>
  <c r="EG72" i="99" s="1"/>
  <c r="EC74" i="99"/>
  <c r="ED74" i="99" s="1"/>
  <c r="EE74" i="99" s="1"/>
  <c r="EF74" i="99" s="1"/>
  <c r="EG74" i="99" s="1"/>
  <c r="EC86" i="99"/>
  <c r="ED86" i="99" s="1"/>
  <c r="EE86" i="99" s="1"/>
  <c r="EF86" i="99" s="1"/>
  <c r="EG86" i="99" s="1"/>
  <c r="EC85" i="99"/>
  <c r="ED85" i="99" s="1"/>
  <c r="EE85" i="99" s="1"/>
  <c r="EF85" i="99" s="1"/>
  <c r="EG85" i="99" s="1"/>
  <c r="EC46" i="99"/>
  <c r="ED46" i="99" s="1"/>
  <c r="EE46" i="99" s="1"/>
  <c r="EF46" i="99" s="1"/>
  <c r="EG46" i="99" s="1"/>
  <c r="EC28" i="99"/>
  <c r="ED28" i="99" s="1"/>
  <c r="EE28" i="99" s="1"/>
  <c r="EF28" i="99" s="1"/>
  <c r="EG28" i="99" s="1"/>
  <c r="EC56" i="99"/>
  <c r="ED56" i="99" s="1"/>
  <c r="EE56" i="99" s="1"/>
  <c r="EF56" i="99" s="1"/>
  <c r="EG56" i="99" s="1"/>
  <c r="EC88" i="99"/>
  <c r="ED88" i="99" s="1"/>
  <c r="EE88" i="99" s="1"/>
  <c r="EF88" i="99" s="1"/>
  <c r="EG88" i="99" s="1"/>
  <c r="EC102" i="99"/>
  <c r="ED102" i="99" s="1"/>
  <c r="EE102" i="99" s="1"/>
  <c r="EF102" i="99" s="1"/>
  <c r="EG102" i="99" s="1"/>
  <c r="EC43" i="99"/>
  <c r="ED43" i="99" s="1"/>
  <c r="EE43" i="99" s="1"/>
  <c r="EF43" i="99" s="1"/>
  <c r="EG43" i="99" s="1"/>
  <c r="EC36" i="99"/>
  <c r="ED36" i="99" s="1"/>
  <c r="EE36" i="99" s="1"/>
  <c r="EF36" i="99" s="1"/>
  <c r="EG36" i="99" s="1"/>
  <c r="EC68" i="99"/>
  <c r="ED68" i="99" s="1"/>
  <c r="EE68" i="99" s="1"/>
  <c r="EF68" i="99" s="1"/>
  <c r="EG68" i="99" s="1"/>
  <c r="EC99" i="99"/>
  <c r="ED99" i="99" s="1"/>
  <c r="EE99" i="99" s="1"/>
  <c r="EF99" i="99" s="1"/>
  <c r="EG99" i="99" s="1"/>
  <c r="EC15" i="99"/>
  <c r="ED15" i="99" s="1"/>
  <c r="EE15" i="99" s="1"/>
  <c r="EF15" i="99" s="1"/>
  <c r="EG15" i="99" s="1"/>
  <c r="EC50" i="99"/>
  <c r="ED50" i="99" s="1"/>
  <c r="EE50" i="99" s="1"/>
  <c r="EF50" i="99" s="1"/>
  <c r="EG50" i="99" s="1"/>
  <c r="EC71" i="99"/>
  <c r="ED71" i="99" s="1"/>
  <c r="EE71" i="99" s="1"/>
  <c r="EF71" i="99" s="1"/>
  <c r="EG71" i="99" s="1"/>
  <c r="EC75" i="99"/>
  <c r="ED75" i="99" s="1"/>
  <c r="EE75" i="99" s="1"/>
  <c r="EF75" i="99" s="1"/>
  <c r="EG75" i="99" s="1"/>
  <c r="EC80" i="99"/>
  <c r="ED80" i="99" s="1"/>
  <c r="EE80" i="99" s="1"/>
  <c r="EF80" i="99" s="1"/>
  <c r="EG80" i="99" s="1"/>
  <c r="EC89" i="99"/>
  <c r="ED89" i="99" s="1"/>
  <c r="EE89" i="99" s="1"/>
  <c r="EF89" i="99" s="1"/>
  <c r="EG89" i="99" s="1"/>
  <c r="EC37" i="99"/>
  <c r="ED37" i="99" s="1"/>
  <c r="EE37" i="99" s="1"/>
  <c r="EF37" i="99" s="1"/>
  <c r="EG37" i="99" s="1"/>
  <c r="EC64" i="99"/>
  <c r="ED64" i="99" s="1"/>
  <c r="EE64" i="99" s="1"/>
  <c r="EF64" i="99" s="1"/>
  <c r="EG64" i="99" s="1"/>
  <c r="EC81" i="99"/>
  <c r="ED81" i="99" s="1"/>
  <c r="EE81" i="99" s="1"/>
  <c r="EF81" i="99" s="1"/>
  <c r="EG81" i="99" s="1"/>
  <c r="EC78" i="99"/>
  <c r="ED78" i="99" s="1"/>
  <c r="EE78" i="99" s="1"/>
  <c r="EF78" i="99" s="1"/>
  <c r="EG78" i="99" s="1"/>
  <c r="EC107" i="99"/>
  <c r="ED107" i="99" s="1"/>
  <c r="EE107" i="99" s="1"/>
  <c r="EF107" i="99" s="1"/>
  <c r="EG107" i="99" s="1"/>
  <c r="EC104" i="99"/>
  <c r="ED104" i="99" s="1"/>
  <c r="EE104" i="99" s="1"/>
  <c r="EF104" i="99" s="1"/>
  <c r="EG104" i="99" s="1"/>
  <c r="EC105" i="99"/>
  <c r="ED105" i="99" s="1"/>
  <c r="EE105" i="99" s="1"/>
  <c r="EF105" i="99" s="1"/>
  <c r="EG105" i="99" s="1"/>
  <c r="EC108" i="99"/>
  <c r="ED108" i="99" s="1"/>
  <c r="EE108" i="99" s="1"/>
  <c r="EF108" i="99" s="1"/>
  <c r="EG108" i="99" s="1"/>
  <c r="EC97" i="99"/>
  <c r="ED97" i="99" s="1"/>
  <c r="EE97" i="99" s="1"/>
  <c r="EF97" i="99" s="1"/>
  <c r="EG97" i="99" s="1"/>
  <c r="EC95" i="99"/>
  <c r="ED95" i="99" s="1"/>
  <c r="EE95" i="99" s="1"/>
  <c r="EF95" i="99" s="1"/>
  <c r="EG95" i="99" s="1"/>
  <c r="CM108" i="99"/>
  <c r="CN108" i="99" s="1"/>
  <c r="CO108" i="99" s="1"/>
  <c r="CP108" i="99" s="1"/>
  <c r="CQ108" i="99" s="1"/>
  <c r="CM104" i="99"/>
  <c r="CN104" i="99" s="1"/>
  <c r="CO104" i="99" s="1"/>
  <c r="CP104" i="99" s="1"/>
  <c r="CQ104" i="99" s="1"/>
  <c r="CM99" i="99"/>
  <c r="CN99" i="99" s="1"/>
  <c r="CO99" i="99" s="1"/>
  <c r="CP99" i="99" s="1"/>
  <c r="CQ99" i="99" s="1"/>
  <c r="CM102" i="99"/>
  <c r="CN102" i="99" s="1"/>
  <c r="CO102" i="99" s="1"/>
  <c r="CP102" i="99" s="1"/>
  <c r="CQ102" i="99" s="1"/>
  <c r="CM74" i="99"/>
  <c r="CN74" i="99" s="1"/>
  <c r="CO74" i="99" s="1"/>
  <c r="CP74" i="99" s="1"/>
  <c r="CQ74" i="99" s="1"/>
  <c r="CM61" i="99"/>
  <c r="CN61" i="99" s="1"/>
  <c r="CO61" i="99" s="1"/>
  <c r="CP61" i="99" s="1"/>
  <c r="CQ61" i="99" s="1"/>
  <c r="CM73" i="99"/>
  <c r="CN73" i="99" s="1"/>
  <c r="CO73" i="99" s="1"/>
  <c r="CP73" i="99" s="1"/>
  <c r="CQ73" i="99" s="1"/>
  <c r="CM62" i="99"/>
  <c r="CN62" i="99" s="1"/>
  <c r="CO62" i="99" s="1"/>
  <c r="CP62" i="99" s="1"/>
  <c r="CQ62" i="99" s="1"/>
  <c r="CM50" i="99"/>
  <c r="CN50" i="99" s="1"/>
  <c r="CO50" i="99" s="1"/>
  <c r="CP50" i="99" s="1"/>
  <c r="CQ50" i="99" s="1"/>
  <c r="CM47" i="99"/>
  <c r="CN47" i="99" s="1"/>
  <c r="CO47" i="99" s="1"/>
  <c r="CP47" i="99" s="1"/>
  <c r="CQ47" i="99" s="1"/>
  <c r="CM67" i="99"/>
  <c r="CN67" i="99" s="1"/>
  <c r="CO67" i="99" s="1"/>
  <c r="CP67" i="99" s="1"/>
  <c r="CQ67" i="99" s="1"/>
  <c r="CM65" i="99"/>
  <c r="CN65" i="99" s="1"/>
  <c r="CO65" i="99" s="1"/>
  <c r="CP65" i="99" s="1"/>
  <c r="CQ65" i="99" s="1"/>
  <c r="CM98" i="99"/>
  <c r="CN98" i="99" s="1"/>
  <c r="CO98" i="99" s="1"/>
  <c r="CP98" i="99" s="1"/>
  <c r="CQ98" i="99" s="1"/>
  <c r="CM54" i="99"/>
  <c r="CN54" i="99" s="1"/>
  <c r="CO54" i="99" s="1"/>
  <c r="CP54" i="99" s="1"/>
  <c r="CQ54" i="99" s="1"/>
  <c r="CM75" i="99"/>
  <c r="CN75" i="99" s="1"/>
  <c r="CO75" i="99" s="1"/>
  <c r="CP75" i="99" s="1"/>
  <c r="CQ75" i="99" s="1"/>
  <c r="CM53" i="99"/>
  <c r="CN53" i="99" s="1"/>
  <c r="CO53" i="99" s="1"/>
  <c r="CP53" i="99" s="1"/>
  <c r="CQ53" i="99" s="1"/>
  <c r="CM34" i="99"/>
  <c r="CN34" i="99" s="1"/>
  <c r="CO34" i="99" s="1"/>
  <c r="CP34" i="99" s="1"/>
  <c r="CQ34" i="99" s="1"/>
  <c r="CM33" i="99"/>
  <c r="CN33" i="99" s="1"/>
  <c r="CO33" i="99" s="1"/>
  <c r="CP33" i="99" s="1"/>
  <c r="CQ33" i="99" s="1"/>
  <c r="CM25" i="99"/>
  <c r="CN25" i="99" s="1"/>
  <c r="CO25" i="99" s="1"/>
  <c r="CP25" i="99" s="1"/>
  <c r="CQ25" i="99" s="1"/>
  <c r="CM41" i="99"/>
  <c r="CN41" i="99" s="1"/>
  <c r="CO41" i="99" s="1"/>
  <c r="CP41" i="99" s="1"/>
  <c r="CQ41" i="99" s="1"/>
  <c r="CM22" i="99"/>
  <c r="CN22" i="99" s="1"/>
  <c r="CO22" i="99" s="1"/>
  <c r="CP22" i="99" s="1"/>
  <c r="CQ22" i="99" s="1"/>
  <c r="CM42" i="99"/>
  <c r="CN42" i="99" s="1"/>
  <c r="CO42" i="99" s="1"/>
  <c r="CP42" i="99" s="1"/>
  <c r="CQ42" i="99" s="1"/>
  <c r="CM40" i="99"/>
  <c r="CN40" i="99" s="1"/>
  <c r="CO40" i="99" s="1"/>
  <c r="CP40" i="99" s="1"/>
  <c r="CQ40" i="99" s="1"/>
  <c r="CM36" i="99"/>
  <c r="CN36" i="99" s="1"/>
  <c r="CO36" i="99" s="1"/>
  <c r="CP36" i="99" s="1"/>
  <c r="CQ36" i="99" s="1"/>
  <c r="CM21" i="99"/>
  <c r="CN21" i="99" s="1"/>
  <c r="CO21" i="99" s="1"/>
  <c r="CP21" i="99" s="1"/>
  <c r="CQ21" i="99" s="1"/>
  <c r="CM23" i="99"/>
  <c r="CN23" i="99" s="1"/>
  <c r="CO23" i="99" s="1"/>
  <c r="CP23" i="99" s="1"/>
  <c r="CQ23" i="99" s="1"/>
  <c r="CM26" i="99"/>
  <c r="CN26" i="99" s="1"/>
  <c r="CO26" i="99" s="1"/>
  <c r="CP26" i="99" s="1"/>
  <c r="CQ26" i="99" s="1"/>
  <c r="CM24" i="99"/>
  <c r="CN24" i="99" s="1"/>
  <c r="CO24" i="99" s="1"/>
  <c r="CP24" i="99" s="1"/>
  <c r="CQ24" i="99" s="1"/>
  <c r="CM15" i="99"/>
  <c r="CN15" i="99" s="1"/>
  <c r="CO15" i="99" s="1"/>
  <c r="CP15" i="99" s="1"/>
  <c r="CQ15" i="99" s="1"/>
  <c r="CM83" i="99"/>
  <c r="CN83" i="99" s="1"/>
  <c r="CO83" i="99" s="1"/>
  <c r="CP83" i="99" s="1"/>
  <c r="CQ83" i="99" s="1"/>
  <c r="CM32" i="99"/>
  <c r="CN32" i="99" s="1"/>
  <c r="CO32" i="99" s="1"/>
  <c r="CP32" i="99" s="1"/>
  <c r="CQ32" i="99" s="1"/>
  <c r="CM28" i="99"/>
  <c r="CN28" i="99" s="1"/>
  <c r="CO28" i="99" s="1"/>
  <c r="CP28" i="99" s="1"/>
  <c r="CQ28" i="99" s="1"/>
  <c r="CM17" i="99"/>
  <c r="CN17" i="99" s="1"/>
  <c r="CO17" i="99" s="1"/>
  <c r="CP17" i="99" s="1"/>
  <c r="CQ17" i="99" s="1"/>
  <c r="CM49" i="99"/>
  <c r="CN49" i="99" s="1"/>
  <c r="CO49" i="99" s="1"/>
  <c r="CP49" i="99" s="1"/>
  <c r="CQ49" i="99" s="1"/>
  <c r="CM55" i="99"/>
  <c r="CN55" i="99" s="1"/>
  <c r="CO55" i="99" s="1"/>
  <c r="CP55" i="99" s="1"/>
  <c r="CQ55" i="99" s="1"/>
  <c r="CM78" i="99"/>
  <c r="CN78" i="99" s="1"/>
  <c r="CO78" i="99" s="1"/>
  <c r="CP78" i="99" s="1"/>
  <c r="CQ78" i="99" s="1"/>
  <c r="CM90" i="99"/>
  <c r="CN90" i="99" s="1"/>
  <c r="CO90" i="99" s="1"/>
  <c r="CP90" i="99" s="1"/>
  <c r="CQ90" i="99" s="1"/>
  <c r="CM100" i="99"/>
  <c r="CN100" i="99" s="1"/>
  <c r="CO100" i="99" s="1"/>
  <c r="CP100" i="99" s="1"/>
  <c r="CQ100" i="99" s="1"/>
  <c r="CM10" i="99"/>
  <c r="CN10" i="99" s="1"/>
  <c r="CO10" i="99" s="1"/>
  <c r="CP10" i="99" s="1"/>
  <c r="CQ10" i="99" s="1"/>
  <c r="CM52" i="99"/>
  <c r="CN52" i="99" s="1"/>
  <c r="CO52" i="99" s="1"/>
  <c r="CP52" i="99" s="1"/>
  <c r="CQ52" i="99" s="1"/>
  <c r="CM82" i="99"/>
  <c r="CN82" i="99" s="1"/>
  <c r="CO82" i="99" s="1"/>
  <c r="CP82" i="99" s="1"/>
  <c r="CQ82" i="99" s="1"/>
  <c r="CM92" i="99"/>
  <c r="CN92" i="99" s="1"/>
  <c r="CO92" i="99" s="1"/>
  <c r="CP92" i="99" s="1"/>
  <c r="CQ92" i="99" s="1"/>
  <c r="CM57" i="99"/>
  <c r="CN57" i="99" s="1"/>
  <c r="CO57" i="99" s="1"/>
  <c r="CP57" i="99" s="1"/>
  <c r="CQ57" i="99" s="1"/>
  <c r="CM85" i="99"/>
  <c r="CN85" i="99" s="1"/>
  <c r="CO85" i="99" s="1"/>
  <c r="CP85" i="99" s="1"/>
  <c r="CQ85" i="99" s="1"/>
  <c r="CM13" i="99"/>
  <c r="CN13" i="99" s="1"/>
  <c r="CO13" i="99" s="1"/>
  <c r="CP13" i="99" s="1"/>
  <c r="CQ13" i="99" s="1"/>
  <c r="CM69" i="99"/>
  <c r="CN69" i="99" s="1"/>
  <c r="CO69" i="99" s="1"/>
  <c r="CP69" i="99" s="1"/>
  <c r="CQ69" i="99" s="1"/>
  <c r="CM9" i="99"/>
  <c r="CN9" i="99" s="1"/>
  <c r="CO9" i="99" s="1"/>
  <c r="CP9" i="99" s="1"/>
  <c r="CM60" i="99"/>
  <c r="CN60" i="99" s="1"/>
  <c r="CO60" i="99" s="1"/>
  <c r="CP60" i="99" s="1"/>
  <c r="CQ60" i="99" s="1"/>
  <c r="CM80" i="99"/>
  <c r="CN80" i="99" s="1"/>
  <c r="CO80" i="99" s="1"/>
  <c r="CP80" i="99" s="1"/>
  <c r="CQ80" i="99" s="1"/>
  <c r="CM18" i="99"/>
  <c r="CN18" i="99" s="1"/>
  <c r="CO18" i="99" s="1"/>
  <c r="CP18" i="99" s="1"/>
  <c r="CQ18" i="99" s="1"/>
  <c r="CM70" i="99"/>
  <c r="CN70" i="99" s="1"/>
  <c r="CO70" i="99" s="1"/>
  <c r="CP70" i="99" s="1"/>
  <c r="CQ70" i="99" s="1"/>
  <c r="CM39" i="99"/>
  <c r="CN39" i="99" s="1"/>
  <c r="CO39" i="99" s="1"/>
  <c r="CP39" i="99" s="1"/>
  <c r="CQ39" i="99" s="1"/>
  <c r="CM44" i="99"/>
  <c r="CN44" i="99" s="1"/>
  <c r="CO44" i="99" s="1"/>
  <c r="CP44" i="99" s="1"/>
  <c r="CQ44" i="99" s="1"/>
  <c r="CM56" i="99"/>
  <c r="CN56" i="99" s="1"/>
  <c r="CO56" i="99" s="1"/>
  <c r="CP56" i="99" s="1"/>
  <c r="CQ56" i="99" s="1"/>
  <c r="CM66" i="99"/>
  <c r="CN66" i="99" s="1"/>
  <c r="CO66" i="99" s="1"/>
  <c r="CP66" i="99" s="1"/>
  <c r="CQ66" i="99" s="1"/>
  <c r="CM48" i="99"/>
  <c r="CN48" i="99" s="1"/>
  <c r="CO48" i="99" s="1"/>
  <c r="CP48" i="99" s="1"/>
  <c r="CQ48" i="99" s="1"/>
  <c r="CM91" i="99"/>
  <c r="CN91" i="99" s="1"/>
  <c r="CO91" i="99" s="1"/>
  <c r="CP91" i="99" s="1"/>
  <c r="CQ91" i="99" s="1"/>
  <c r="CM96" i="99"/>
  <c r="CN96" i="99" s="1"/>
  <c r="CO96" i="99" s="1"/>
  <c r="CP96" i="99" s="1"/>
  <c r="CQ96" i="99" s="1"/>
  <c r="CM93" i="99"/>
  <c r="CN93" i="99" s="1"/>
  <c r="CO93" i="99" s="1"/>
  <c r="CP93" i="99" s="1"/>
  <c r="CQ93" i="99" s="1"/>
  <c r="CM30" i="99"/>
  <c r="CN30" i="99" s="1"/>
  <c r="CO30" i="99" s="1"/>
  <c r="CP30" i="99" s="1"/>
  <c r="CQ30" i="99" s="1"/>
  <c r="CM45" i="99"/>
  <c r="CN45" i="99" s="1"/>
  <c r="CO45" i="99" s="1"/>
  <c r="CP45" i="99" s="1"/>
  <c r="CQ45" i="99" s="1"/>
  <c r="CM31" i="99"/>
  <c r="CN31" i="99" s="1"/>
  <c r="CO31" i="99" s="1"/>
  <c r="CP31" i="99" s="1"/>
  <c r="CQ31" i="99" s="1"/>
  <c r="CM77" i="99"/>
  <c r="CN77" i="99" s="1"/>
  <c r="CO77" i="99" s="1"/>
  <c r="CP77" i="99" s="1"/>
  <c r="CQ77" i="99" s="1"/>
  <c r="CM19" i="99"/>
  <c r="CN19" i="99" s="1"/>
  <c r="CO19" i="99" s="1"/>
  <c r="CP19" i="99" s="1"/>
  <c r="CQ19" i="99" s="1"/>
  <c r="CM27" i="99"/>
  <c r="CN27" i="99" s="1"/>
  <c r="CO27" i="99" s="1"/>
  <c r="CP27" i="99" s="1"/>
  <c r="CQ27" i="99" s="1"/>
  <c r="CM12" i="99"/>
  <c r="CN12" i="99" s="1"/>
  <c r="CO12" i="99" s="1"/>
  <c r="CP12" i="99" s="1"/>
  <c r="CQ12" i="99" s="1"/>
  <c r="CM35" i="99"/>
  <c r="CN35" i="99" s="1"/>
  <c r="CO35" i="99" s="1"/>
  <c r="CP35" i="99" s="1"/>
  <c r="CQ35" i="99" s="1"/>
  <c r="CM51" i="99"/>
  <c r="CN51" i="99" s="1"/>
  <c r="CO51" i="99" s="1"/>
  <c r="CP51" i="99" s="1"/>
  <c r="CQ51" i="99" s="1"/>
  <c r="CM38" i="99"/>
  <c r="CN38" i="99" s="1"/>
  <c r="CO38" i="99" s="1"/>
  <c r="CP38" i="99" s="1"/>
  <c r="CQ38" i="99" s="1"/>
  <c r="CM37" i="99"/>
  <c r="CN37" i="99" s="1"/>
  <c r="CO37" i="99" s="1"/>
  <c r="CP37" i="99" s="1"/>
  <c r="CQ37" i="99" s="1"/>
  <c r="CM64" i="99"/>
  <c r="CN64" i="99" s="1"/>
  <c r="CO64" i="99" s="1"/>
  <c r="CP64" i="99" s="1"/>
  <c r="CQ64" i="99" s="1"/>
  <c r="CM43" i="99"/>
  <c r="CN43" i="99" s="1"/>
  <c r="CO43" i="99" s="1"/>
  <c r="CP43" i="99" s="1"/>
  <c r="CQ43" i="99" s="1"/>
  <c r="CM76" i="99"/>
  <c r="CN76" i="99" s="1"/>
  <c r="CO76" i="99" s="1"/>
  <c r="CP76" i="99" s="1"/>
  <c r="CQ76" i="99" s="1"/>
  <c r="CM81" i="99"/>
  <c r="CN81" i="99" s="1"/>
  <c r="CO81" i="99" s="1"/>
  <c r="CP81" i="99" s="1"/>
  <c r="CQ81" i="99" s="1"/>
  <c r="CM88" i="99"/>
  <c r="CN88" i="99" s="1"/>
  <c r="CO88" i="99" s="1"/>
  <c r="CP88" i="99" s="1"/>
  <c r="CQ88" i="99" s="1"/>
  <c r="CM29" i="99"/>
  <c r="CN29" i="99" s="1"/>
  <c r="CO29" i="99" s="1"/>
  <c r="CP29" i="99" s="1"/>
  <c r="CQ29" i="99" s="1"/>
  <c r="CM11" i="99"/>
  <c r="CN11" i="99" s="1"/>
  <c r="CO11" i="99" s="1"/>
  <c r="CP11" i="99" s="1"/>
  <c r="CQ11" i="99" s="1"/>
  <c r="CM58" i="99"/>
  <c r="CN58" i="99" s="1"/>
  <c r="CO58" i="99" s="1"/>
  <c r="CP58" i="99" s="1"/>
  <c r="CQ58" i="99" s="1"/>
  <c r="CM72" i="99"/>
  <c r="CN72" i="99" s="1"/>
  <c r="CO72" i="99" s="1"/>
  <c r="CP72" i="99" s="1"/>
  <c r="CQ72" i="99" s="1"/>
  <c r="CM79" i="99"/>
  <c r="CN79" i="99" s="1"/>
  <c r="CO79" i="99" s="1"/>
  <c r="CP79" i="99" s="1"/>
  <c r="CQ79" i="99" s="1"/>
  <c r="CM87" i="99"/>
  <c r="CN87" i="99" s="1"/>
  <c r="CO87" i="99" s="1"/>
  <c r="CP87" i="99" s="1"/>
  <c r="CQ87" i="99" s="1"/>
  <c r="CM14" i="99"/>
  <c r="CN14" i="99" s="1"/>
  <c r="CO14" i="99" s="1"/>
  <c r="CP14" i="99" s="1"/>
  <c r="CQ14" i="99" s="1"/>
  <c r="CM46" i="99"/>
  <c r="CN46" i="99" s="1"/>
  <c r="CO46" i="99" s="1"/>
  <c r="CP46" i="99" s="1"/>
  <c r="CQ46" i="99" s="1"/>
  <c r="CM63" i="99"/>
  <c r="CN63" i="99" s="1"/>
  <c r="CO63" i="99" s="1"/>
  <c r="CP63" i="99" s="1"/>
  <c r="CQ63" i="99" s="1"/>
  <c r="CM84" i="99"/>
  <c r="CN84" i="99" s="1"/>
  <c r="CO84" i="99" s="1"/>
  <c r="CP84" i="99" s="1"/>
  <c r="CQ84" i="99" s="1"/>
  <c r="CM16" i="99"/>
  <c r="CN16" i="99" s="1"/>
  <c r="CO16" i="99" s="1"/>
  <c r="CP16" i="99" s="1"/>
  <c r="CQ16" i="99" s="1"/>
  <c r="CM59" i="99"/>
  <c r="CN59" i="99" s="1"/>
  <c r="CO59" i="99" s="1"/>
  <c r="CP59" i="99" s="1"/>
  <c r="CQ59" i="99" s="1"/>
  <c r="CM68" i="99"/>
  <c r="CN68" i="99" s="1"/>
  <c r="CO68" i="99" s="1"/>
  <c r="CP68" i="99" s="1"/>
  <c r="CQ68" i="99" s="1"/>
  <c r="CM86" i="99"/>
  <c r="CN86" i="99" s="1"/>
  <c r="CO86" i="99" s="1"/>
  <c r="CP86" i="99" s="1"/>
  <c r="CQ86" i="99" s="1"/>
  <c r="CM20" i="99"/>
  <c r="CN20" i="99" s="1"/>
  <c r="CO20" i="99" s="1"/>
  <c r="CP20" i="99" s="1"/>
  <c r="CQ20" i="99" s="1"/>
  <c r="CM71" i="99"/>
  <c r="CN71" i="99" s="1"/>
  <c r="CO71" i="99" s="1"/>
  <c r="CP71" i="99" s="1"/>
  <c r="CQ71" i="99" s="1"/>
  <c r="CM89" i="99"/>
  <c r="CN89" i="99" s="1"/>
  <c r="CO89" i="99" s="1"/>
  <c r="CP89" i="99" s="1"/>
  <c r="CQ89" i="99" s="1"/>
  <c r="CM101" i="99"/>
  <c r="CN101" i="99" s="1"/>
  <c r="CO101" i="99" s="1"/>
  <c r="CP101" i="99" s="1"/>
  <c r="CQ101" i="99" s="1"/>
  <c r="CM105" i="99"/>
  <c r="CN105" i="99" s="1"/>
  <c r="CO105" i="99" s="1"/>
  <c r="CP105" i="99" s="1"/>
  <c r="CQ105" i="99" s="1"/>
  <c r="CM106" i="99"/>
  <c r="CN106" i="99" s="1"/>
  <c r="CO106" i="99" s="1"/>
  <c r="CP106" i="99" s="1"/>
  <c r="CQ106" i="99" s="1"/>
  <c r="CM103" i="99"/>
  <c r="CN103" i="99" s="1"/>
  <c r="CO103" i="99" s="1"/>
  <c r="CP103" i="99" s="1"/>
  <c r="CQ103" i="99" s="1"/>
  <c r="CM94" i="99"/>
  <c r="CN94" i="99" s="1"/>
  <c r="CO94" i="99" s="1"/>
  <c r="CP94" i="99" s="1"/>
  <c r="CQ94" i="99" s="1"/>
  <c r="CM95" i="99"/>
  <c r="CN95" i="99" s="1"/>
  <c r="CO95" i="99" s="1"/>
  <c r="CP95" i="99" s="1"/>
  <c r="CQ95" i="99" s="1"/>
  <c r="CM107" i="99"/>
  <c r="CN107" i="99" s="1"/>
  <c r="CO107" i="99" s="1"/>
  <c r="CP107" i="99" s="1"/>
  <c r="CQ107" i="99" s="1"/>
  <c r="CM97" i="99"/>
  <c r="CN97" i="99" s="1"/>
  <c r="CO97" i="99" s="1"/>
  <c r="CP97" i="99" s="1"/>
  <c r="CQ97" i="99" s="1"/>
  <c r="DQ103" i="99"/>
  <c r="DR103" i="99" s="1"/>
  <c r="DS103" i="99" s="1"/>
  <c r="DT103" i="99" s="1"/>
  <c r="DU103" i="99" s="1"/>
  <c r="DQ77" i="99"/>
  <c r="DR77" i="99" s="1"/>
  <c r="DS77" i="99" s="1"/>
  <c r="DT77" i="99" s="1"/>
  <c r="DU77" i="99" s="1"/>
  <c r="DQ106" i="99"/>
  <c r="DR106" i="99" s="1"/>
  <c r="DS106" i="99" s="1"/>
  <c r="DT106" i="99" s="1"/>
  <c r="DU106" i="99" s="1"/>
  <c r="DQ100" i="99"/>
  <c r="DR100" i="99" s="1"/>
  <c r="DS100" i="99" s="1"/>
  <c r="DT100" i="99" s="1"/>
  <c r="DU100" i="99" s="1"/>
  <c r="DQ105" i="99"/>
  <c r="DR105" i="99" s="1"/>
  <c r="DS105" i="99" s="1"/>
  <c r="DT105" i="99" s="1"/>
  <c r="DU105" i="99" s="1"/>
  <c r="DQ72" i="99"/>
  <c r="DR72" i="99" s="1"/>
  <c r="DS72" i="99" s="1"/>
  <c r="DT72" i="99" s="1"/>
  <c r="DU72" i="99" s="1"/>
  <c r="DQ99" i="99"/>
  <c r="DR99" i="99" s="1"/>
  <c r="DS99" i="99" s="1"/>
  <c r="DT99" i="99" s="1"/>
  <c r="DU99" i="99" s="1"/>
  <c r="DQ47" i="99"/>
  <c r="DR47" i="99" s="1"/>
  <c r="DS47" i="99" s="1"/>
  <c r="DT47" i="99" s="1"/>
  <c r="DU47" i="99" s="1"/>
  <c r="DQ65" i="99"/>
  <c r="DR65" i="99" s="1"/>
  <c r="DS65" i="99" s="1"/>
  <c r="DT65" i="99" s="1"/>
  <c r="DU65" i="99" s="1"/>
  <c r="DQ48" i="99"/>
  <c r="DR48" i="99" s="1"/>
  <c r="DS48" i="99" s="1"/>
  <c r="DT48" i="99" s="1"/>
  <c r="DU48" i="99" s="1"/>
  <c r="DQ53" i="99"/>
  <c r="DR53" i="99" s="1"/>
  <c r="DS53" i="99" s="1"/>
  <c r="DT53" i="99" s="1"/>
  <c r="DU53" i="99" s="1"/>
  <c r="DQ42" i="99"/>
  <c r="DR42" i="99" s="1"/>
  <c r="DS42" i="99" s="1"/>
  <c r="DT42" i="99" s="1"/>
  <c r="DU42" i="99" s="1"/>
  <c r="DQ64" i="99"/>
  <c r="DR64" i="99" s="1"/>
  <c r="DS64" i="99" s="1"/>
  <c r="DT64" i="99" s="1"/>
  <c r="DU64" i="99" s="1"/>
  <c r="DQ22" i="99"/>
  <c r="DR22" i="99" s="1"/>
  <c r="DS22" i="99" s="1"/>
  <c r="DT22" i="99" s="1"/>
  <c r="DU22" i="99" s="1"/>
  <c r="DQ36" i="99"/>
  <c r="DR36" i="99" s="1"/>
  <c r="DS36" i="99" s="1"/>
  <c r="DT36" i="99" s="1"/>
  <c r="DU36" i="99" s="1"/>
  <c r="DQ74" i="99"/>
  <c r="DR74" i="99" s="1"/>
  <c r="DS74" i="99" s="1"/>
  <c r="DT74" i="99" s="1"/>
  <c r="DU74" i="99" s="1"/>
  <c r="DQ61" i="99"/>
  <c r="DR61" i="99" s="1"/>
  <c r="DS61" i="99" s="1"/>
  <c r="DT61" i="99" s="1"/>
  <c r="DU61" i="99" s="1"/>
  <c r="DQ34" i="99"/>
  <c r="DR34" i="99" s="1"/>
  <c r="DS34" i="99" s="1"/>
  <c r="DT34" i="99" s="1"/>
  <c r="DU34" i="99" s="1"/>
  <c r="DQ30" i="99"/>
  <c r="DR30" i="99" s="1"/>
  <c r="DS30" i="99" s="1"/>
  <c r="DT30" i="99" s="1"/>
  <c r="DU30" i="99" s="1"/>
  <c r="DQ51" i="99"/>
  <c r="DR51" i="99" s="1"/>
  <c r="DS51" i="99" s="1"/>
  <c r="DT51" i="99" s="1"/>
  <c r="DU51" i="99" s="1"/>
  <c r="DQ35" i="99"/>
  <c r="DR35" i="99" s="1"/>
  <c r="DS35" i="99" s="1"/>
  <c r="DT35" i="99" s="1"/>
  <c r="DU35" i="99" s="1"/>
  <c r="DQ27" i="99"/>
  <c r="DR27" i="99" s="1"/>
  <c r="DS27" i="99" s="1"/>
  <c r="DT27" i="99" s="1"/>
  <c r="DU27" i="99" s="1"/>
  <c r="DQ29" i="99"/>
  <c r="DR29" i="99" s="1"/>
  <c r="DS29" i="99" s="1"/>
  <c r="DT29" i="99" s="1"/>
  <c r="DU29" i="99" s="1"/>
  <c r="DQ40" i="99"/>
  <c r="DR40" i="99" s="1"/>
  <c r="DS40" i="99" s="1"/>
  <c r="DT40" i="99" s="1"/>
  <c r="DU40" i="99" s="1"/>
  <c r="DQ24" i="99"/>
  <c r="DR24" i="99" s="1"/>
  <c r="DS24" i="99" s="1"/>
  <c r="DT24" i="99" s="1"/>
  <c r="DU24" i="99" s="1"/>
  <c r="DQ26" i="99"/>
  <c r="DR26" i="99" s="1"/>
  <c r="DS26" i="99" s="1"/>
  <c r="DT26" i="99" s="1"/>
  <c r="DU26" i="99" s="1"/>
  <c r="DQ21" i="99"/>
  <c r="DR21" i="99" s="1"/>
  <c r="DS21" i="99" s="1"/>
  <c r="DT21" i="99" s="1"/>
  <c r="DU21" i="99" s="1"/>
  <c r="DQ67" i="99"/>
  <c r="DR67" i="99" s="1"/>
  <c r="DS67" i="99" s="1"/>
  <c r="DT67" i="99" s="1"/>
  <c r="DU67" i="99" s="1"/>
  <c r="DQ15" i="99"/>
  <c r="DR15" i="99" s="1"/>
  <c r="DS15" i="99" s="1"/>
  <c r="DT15" i="99" s="1"/>
  <c r="DU15" i="99" s="1"/>
  <c r="DQ20" i="99"/>
  <c r="DR20" i="99" s="1"/>
  <c r="DS20" i="99" s="1"/>
  <c r="DT20" i="99" s="1"/>
  <c r="DU20" i="99" s="1"/>
  <c r="DQ19" i="99"/>
  <c r="DR19" i="99" s="1"/>
  <c r="DS19" i="99" s="1"/>
  <c r="DT19" i="99" s="1"/>
  <c r="DU19" i="99" s="1"/>
  <c r="DQ17" i="99"/>
  <c r="DR17" i="99" s="1"/>
  <c r="DS17" i="99" s="1"/>
  <c r="DT17" i="99" s="1"/>
  <c r="DU17" i="99" s="1"/>
  <c r="DQ39" i="99"/>
  <c r="DR39" i="99" s="1"/>
  <c r="DS39" i="99" s="1"/>
  <c r="DT39" i="99" s="1"/>
  <c r="DU39" i="99" s="1"/>
  <c r="DQ92" i="99"/>
  <c r="DR92" i="99" s="1"/>
  <c r="DS92" i="99" s="1"/>
  <c r="DT92" i="99" s="1"/>
  <c r="DU92" i="99" s="1"/>
  <c r="DQ12" i="99"/>
  <c r="DR12" i="99" s="1"/>
  <c r="DS12" i="99" s="1"/>
  <c r="DT12" i="99" s="1"/>
  <c r="DU12" i="99" s="1"/>
  <c r="DQ94" i="99"/>
  <c r="DR94" i="99" s="1"/>
  <c r="DS94" i="99" s="1"/>
  <c r="DT94" i="99" s="1"/>
  <c r="DU94" i="99" s="1"/>
  <c r="DQ28" i="99"/>
  <c r="DR28" i="99" s="1"/>
  <c r="DS28" i="99" s="1"/>
  <c r="DT28" i="99" s="1"/>
  <c r="DU28" i="99" s="1"/>
  <c r="DQ43" i="99"/>
  <c r="DR43" i="99" s="1"/>
  <c r="DS43" i="99" s="1"/>
  <c r="DT43" i="99" s="1"/>
  <c r="DU43" i="99" s="1"/>
  <c r="DQ69" i="99"/>
  <c r="DR69" i="99" s="1"/>
  <c r="DS69" i="99" s="1"/>
  <c r="DT69" i="99" s="1"/>
  <c r="DU69" i="99" s="1"/>
  <c r="DQ56" i="99"/>
  <c r="DR56" i="99" s="1"/>
  <c r="DS56" i="99" s="1"/>
  <c r="DT56" i="99" s="1"/>
  <c r="DU56" i="99" s="1"/>
  <c r="DQ98" i="99"/>
  <c r="DR98" i="99" s="1"/>
  <c r="DS98" i="99" s="1"/>
  <c r="DT98" i="99" s="1"/>
  <c r="DU98" i="99" s="1"/>
  <c r="DQ107" i="99"/>
  <c r="DR107" i="99" s="1"/>
  <c r="DS107" i="99" s="1"/>
  <c r="DT107" i="99" s="1"/>
  <c r="DU107" i="99" s="1"/>
  <c r="DQ9" i="99"/>
  <c r="DR9" i="99" s="1"/>
  <c r="DS9" i="99" s="1"/>
  <c r="DT9" i="99" s="1"/>
  <c r="DQ32" i="99"/>
  <c r="DR32" i="99" s="1"/>
  <c r="DS32" i="99" s="1"/>
  <c r="DT32" i="99" s="1"/>
  <c r="DU32" i="99" s="1"/>
  <c r="DQ16" i="99"/>
  <c r="DR16" i="99" s="1"/>
  <c r="DS16" i="99" s="1"/>
  <c r="DT16" i="99" s="1"/>
  <c r="DU16" i="99" s="1"/>
  <c r="DQ84" i="99"/>
  <c r="DR84" i="99" s="1"/>
  <c r="DS84" i="99" s="1"/>
  <c r="DT84" i="99" s="1"/>
  <c r="DU84" i="99" s="1"/>
  <c r="DQ49" i="99"/>
  <c r="DR49" i="99" s="1"/>
  <c r="DS49" i="99" s="1"/>
  <c r="DT49" i="99" s="1"/>
  <c r="DU49" i="99" s="1"/>
  <c r="DQ80" i="99"/>
  <c r="DR80" i="99" s="1"/>
  <c r="DS80" i="99" s="1"/>
  <c r="DT80" i="99" s="1"/>
  <c r="DU80" i="99" s="1"/>
  <c r="DQ90" i="99"/>
  <c r="DR90" i="99" s="1"/>
  <c r="DS90" i="99" s="1"/>
  <c r="DT90" i="99" s="1"/>
  <c r="DU90" i="99" s="1"/>
  <c r="DQ87" i="99"/>
  <c r="DR87" i="99" s="1"/>
  <c r="DS87" i="99" s="1"/>
  <c r="DT87" i="99" s="1"/>
  <c r="DU87" i="99" s="1"/>
  <c r="DQ18" i="99"/>
  <c r="DR18" i="99" s="1"/>
  <c r="DS18" i="99" s="1"/>
  <c r="DT18" i="99" s="1"/>
  <c r="DU18" i="99" s="1"/>
  <c r="DQ14" i="99"/>
  <c r="DR14" i="99" s="1"/>
  <c r="DS14" i="99" s="1"/>
  <c r="DT14" i="99" s="1"/>
  <c r="DU14" i="99" s="1"/>
  <c r="DQ66" i="99"/>
  <c r="DR66" i="99" s="1"/>
  <c r="DS66" i="99" s="1"/>
  <c r="DT66" i="99" s="1"/>
  <c r="DU66" i="99" s="1"/>
  <c r="DQ73" i="99"/>
  <c r="DR73" i="99" s="1"/>
  <c r="DS73" i="99" s="1"/>
  <c r="DT73" i="99" s="1"/>
  <c r="DU73" i="99" s="1"/>
  <c r="DQ45" i="99"/>
  <c r="DR45" i="99" s="1"/>
  <c r="DS45" i="99" s="1"/>
  <c r="DT45" i="99" s="1"/>
  <c r="DU45" i="99" s="1"/>
  <c r="DQ33" i="99"/>
  <c r="DR33" i="99" s="1"/>
  <c r="DS33" i="99" s="1"/>
  <c r="DT33" i="99" s="1"/>
  <c r="DU33" i="99" s="1"/>
  <c r="DQ50" i="99"/>
  <c r="DR50" i="99" s="1"/>
  <c r="DS50" i="99" s="1"/>
  <c r="DT50" i="99" s="1"/>
  <c r="DU50" i="99" s="1"/>
  <c r="DQ101" i="99"/>
  <c r="DR101" i="99" s="1"/>
  <c r="DS101" i="99" s="1"/>
  <c r="DT101" i="99" s="1"/>
  <c r="DU101" i="99" s="1"/>
  <c r="DQ96" i="99"/>
  <c r="DR96" i="99" s="1"/>
  <c r="DS96" i="99" s="1"/>
  <c r="DT96" i="99" s="1"/>
  <c r="DU96" i="99" s="1"/>
  <c r="DQ44" i="99"/>
  <c r="DR44" i="99" s="1"/>
  <c r="DS44" i="99" s="1"/>
  <c r="DT44" i="99" s="1"/>
  <c r="DU44" i="99" s="1"/>
  <c r="DQ57" i="99"/>
  <c r="DR57" i="99" s="1"/>
  <c r="DS57" i="99" s="1"/>
  <c r="DT57" i="99" s="1"/>
  <c r="DU57" i="99" s="1"/>
  <c r="DQ79" i="99"/>
  <c r="DR79" i="99" s="1"/>
  <c r="DS79" i="99" s="1"/>
  <c r="DT79" i="99" s="1"/>
  <c r="DU79" i="99" s="1"/>
  <c r="DQ70" i="99"/>
  <c r="DR70" i="99" s="1"/>
  <c r="DS70" i="99" s="1"/>
  <c r="DT70" i="99" s="1"/>
  <c r="DU70" i="99" s="1"/>
  <c r="DQ82" i="99"/>
  <c r="DR82" i="99" s="1"/>
  <c r="DS82" i="99" s="1"/>
  <c r="DT82" i="99" s="1"/>
  <c r="DU82" i="99" s="1"/>
  <c r="DQ13" i="99"/>
  <c r="DR13" i="99" s="1"/>
  <c r="DS13" i="99" s="1"/>
  <c r="DT13" i="99" s="1"/>
  <c r="DU13" i="99" s="1"/>
  <c r="DQ37" i="99"/>
  <c r="DR37" i="99" s="1"/>
  <c r="DS37" i="99" s="1"/>
  <c r="DT37" i="99" s="1"/>
  <c r="DU37" i="99" s="1"/>
  <c r="DQ63" i="99"/>
  <c r="DR63" i="99" s="1"/>
  <c r="DS63" i="99" s="1"/>
  <c r="DT63" i="99" s="1"/>
  <c r="DU63" i="99" s="1"/>
  <c r="DQ60" i="99"/>
  <c r="DR60" i="99" s="1"/>
  <c r="DS60" i="99" s="1"/>
  <c r="DT60" i="99" s="1"/>
  <c r="DU60" i="99" s="1"/>
  <c r="DQ78" i="99"/>
  <c r="DR78" i="99" s="1"/>
  <c r="DS78" i="99" s="1"/>
  <c r="DT78" i="99" s="1"/>
  <c r="DU78" i="99" s="1"/>
  <c r="DQ81" i="99"/>
  <c r="DR81" i="99" s="1"/>
  <c r="DS81" i="99" s="1"/>
  <c r="DT81" i="99" s="1"/>
  <c r="DU81" i="99" s="1"/>
  <c r="DQ102" i="99"/>
  <c r="DR102" i="99" s="1"/>
  <c r="DS102" i="99" s="1"/>
  <c r="DT102" i="99" s="1"/>
  <c r="DU102" i="99" s="1"/>
  <c r="DQ58" i="99"/>
  <c r="DR58" i="99" s="1"/>
  <c r="DS58" i="99" s="1"/>
  <c r="DT58" i="99" s="1"/>
  <c r="DU58" i="99" s="1"/>
  <c r="DQ25" i="99"/>
  <c r="DR25" i="99" s="1"/>
  <c r="DS25" i="99" s="1"/>
  <c r="DT25" i="99" s="1"/>
  <c r="DU25" i="99" s="1"/>
  <c r="DQ55" i="99"/>
  <c r="DR55" i="99" s="1"/>
  <c r="DS55" i="99" s="1"/>
  <c r="DT55" i="99" s="1"/>
  <c r="DU55" i="99" s="1"/>
  <c r="DQ46" i="99"/>
  <c r="DR46" i="99" s="1"/>
  <c r="DS46" i="99" s="1"/>
  <c r="DT46" i="99" s="1"/>
  <c r="DU46" i="99" s="1"/>
  <c r="DQ10" i="99"/>
  <c r="DR10" i="99" s="1"/>
  <c r="DS10" i="99" s="1"/>
  <c r="DT10" i="99" s="1"/>
  <c r="DU10" i="99" s="1"/>
  <c r="DQ86" i="99"/>
  <c r="DR86" i="99" s="1"/>
  <c r="DS86" i="99" s="1"/>
  <c r="DT86" i="99" s="1"/>
  <c r="DU86" i="99" s="1"/>
  <c r="DQ88" i="99"/>
  <c r="DR88" i="99" s="1"/>
  <c r="DS88" i="99" s="1"/>
  <c r="DT88" i="99" s="1"/>
  <c r="DU88" i="99" s="1"/>
  <c r="DQ38" i="99"/>
  <c r="DR38" i="99" s="1"/>
  <c r="DS38" i="99" s="1"/>
  <c r="DT38" i="99" s="1"/>
  <c r="DU38" i="99" s="1"/>
  <c r="DQ11" i="99"/>
  <c r="DR11" i="99" s="1"/>
  <c r="DS11" i="99" s="1"/>
  <c r="DT11" i="99" s="1"/>
  <c r="DU11" i="99" s="1"/>
  <c r="DQ52" i="99"/>
  <c r="DR52" i="99" s="1"/>
  <c r="DS52" i="99" s="1"/>
  <c r="DT52" i="99" s="1"/>
  <c r="DU52" i="99" s="1"/>
  <c r="DQ23" i="99"/>
  <c r="DR23" i="99" s="1"/>
  <c r="DS23" i="99" s="1"/>
  <c r="DT23" i="99" s="1"/>
  <c r="DU23" i="99" s="1"/>
  <c r="DQ31" i="99"/>
  <c r="DR31" i="99" s="1"/>
  <c r="DS31" i="99" s="1"/>
  <c r="DT31" i="99" s="1"/>
  <c r="DU31" i="99" s="1"/>
  <c r="DQ71" i="99"/>
  <c r="DR71" i="99" s="1"/>
  <c r="DS71" i="99" s="1"/>
  <c r="DT71" i="99" s="1"/>
  <c r="DU71" i="99" s="1"/>
  <c r="DQ75" i="99"/>
  <c r="DR75" i="99" s="1"/>
  <c r="DS75" i="99" s="1"/>
  <c r="DT75" i="99" s="1"/>
  <c r="DU75" i="99" s="1"/>
  <c r="DQ89" i="99"/>
  <c r="DR89" i="99" s="1"/>
  <c r="DS89" i="99" s="1"/>
  <c r="DT89" i="99" s="1"/>
  <c r="DU89" i="99" s="1"/>
  <c r="DQ54" i="99"/>
  <c r="DR54" i="99" s="1"/>
  <c r="DS54" i="99" s="1"/>
  <c r="DT54" i="99" s="1"/>
  <c r="DU54" i="99" s="1"/>
  <c r="DQ62" i="99"/>
  <c r="DR62" i="99" s="1"/>
  <c r="DS62" i="99" s="1"/>
  <c r="DT62" i="99" s="1"/>
  <c r="DU62" i="99" s="1"/>
  <c r="DQ91" i="99"/>
  <c r="DR91" i="99" s="1"/>
  <c r="DS91" i="99" s="1"/>
  <c r="DT91" i="99" s="1"/>
  <c r="DU91" i="99" s="1"/>
  <c r="DQ95" i="99"/>
  <c r="DR95" i="99" s="1"/>
  <c r="DS95" i="99" s="1"/>
  <c r="DT95" i="99" s="1"/>
  <c r="DU95" i="99" s="1"/>
  <c r="DQ41" i="99"/>
  <c r="DR41" i="99" s="1"/>
  <c r="DS41" i="99" s="1"/>
  <c r="DT41" i="99" s="1"/>
  <c r="DU41" i="99" s="1"/>
  <c r="DQ68" i="99"/>
  <c r="DR68" i="99" s="1"/>
  <c r="DS68" i="99" s="1"/>
  <c r="DT68" i="99" s="1"/>
  <c r="DU68" i="99" s="1"/>
  <c r="DQ59" i="99"/>
  <c r="DR59" i="99" s="1"/>
  <c r="DS59" i="99" s="1"/>
  <c r="DT59" i="99" s="1"/>
  <c r="DU59" i="99" s="1"/>
  <c r="DQ76" i="99"/>
  <c r="DR76" i="99" s="1"/>
  <c r="DS76" i="99" s="1"/>
  <c r="DT76" i="99" s="1"/>
  <c r="DU76" i="99" s="1"/>
  <c r="DQ83" i="99"/>
  <c r="DR83" i="99" s="1"/>
  <c r="DS83" i="99" s="1"/>
  <c r="DT83" i="99" s="1"/>
  <c r="DU83" i="99" s="1"/>
  <c r="DQ97" i="99"/>
  <c r="DR97" i="99" s="1"/>
  <c r="DS97" i="99" s="1"/>
  <c r="DT97" i="99" s="1"/>
  <c r="DU97" i="99" s="1"/>
  <c r="DQ85" i="99"/>
  <c r="DR85" i="99" s="1"/>
  <c r="DS85" i="99" s="1"/>
  <c r="DT85" i="99" s="1"/>
  <c r="DU85" i="99" s="1"/>
  <c r="DQ108" i="99"/>
  <c r="DR108" i="99" s="1"/>
  <c r="DS108" i="99" s="1"/>
  <c r="DT108" i="99" s="1"/>
  <c r="DU108" i="99" s="1"/>
  <c r="DQ93" i="99"/>
  <c r="DR93" i="99" s="1"/>
  <c r="DS93" i="99" s="1"/>
  <c r="DT93" i="99" s="1"/>
  <c r="DU93" i="99" s="1"/>
  <c r="DQ104" i="99"/>
  <c r="DR104" i="99" s="1"/>
  <c r="DS104" i="99" s="1"/>
  <c r="DT104" i="99" s="1"/>
  <c r="DU104" i="99" s="1"/>
  <c r="BU103" i="99"/>
  <c r="BV103" i="99" s="1"/>
  <c r="BW103" i="99" s="1"/>
  <c r="BX103" i="99" s="1"/>
  <c r="BY103" i="99" s="1"/>
  <c r="BU71" i="99"/>
  <c r="BV71" i="99" s="1"/>
  <c r="BW71" i="99" s="1"/>
  <c r="BX71" i="99" s="1"/>
  <c r="BY71" i="99" s="1"/>
  <c r="BU84" i="99"/>
  <c r="BV84" i="99" s="1"/>
  <c r="BW84" i="99" s="1"/>
  <c r="BX84" i="99" s="1"/>
  <c r="BY84" i="99" s="1"/>
  <c r="BU102" i="99"/>
  <c r="BV102" i="99" s="1"/>
  <c r="BW102" i="99" s="1"/>
  <c r="BX102" i="99" s="1"/>
  <c r="BY102" i="99" s="1"/>
  <c r="BU65" i="99"/>
  <c r="BV65" i="99" s="1"/>
  <c r="BW65" i="99" s="1"/>
  <c r="BX65" i="99" s="1"/>
  <c r="BY65" i="99" s="1"/>
  <c r="BU77" i="99"/>
  <c r="BV77" i="99" s="1"/>
  <c r="BW77" i="99" s="1"/>
  <c r="BX77" i="99" s="1"/>
  <c r="BY77" i="99" s="1"/>
  <c r="BU53" i="99"/>
  <c r="BV53" i="99" s="1"/>
  <c r="BW53" i="99" s="1"/>
  <c r="BX53" i="99" s="1"/>
  <c r="BY53" i="99" s="1"/>
  <c r="BU72" i="99"/>
  <c r="BV72" i="99" s="1"/>
  <c r="BW72" i="99" s="1"/>
  <c r="BX72" i="99" s="1"/>
  <c r="BY72" i="99" s="1"/>
  <c r="BU48" i="99"/>
  <c r="BV48" i="99" s="1"/>
  <c r="BW48" i="99" s="1"/>
  <c r="BX48" i="99" s="1"/>
  <c r="BY48" i="99" s="1"/>
  <c r="BU61" i="99"/>
  <c r="BV61" i="99" s="1"/>
  <c r="BW61" i="99" s="1"/>
  <c r="BX61" i="99" s="1"/>
  <c r="BY61" i="99" s="1"/>
  <c r="BU83" i="99"/>
  <c r="BV83" i="99" s="1"/>
  <c r="BW83" i="99" s="1"/>
  <c r="BX83" i="99" s="1"/>
  <c r="BY83" i="99" s="1"/>
  <c r="BU36" i="99"/>
  <c r="BV36" i="99" s="1"/>
  <c r="BW36" i="99" s="1"/>
  <c r="BX36" i="99" s="1"/>
  <c r="BY36" i="99" s="1"/>
  <c r="BU26" i="99"/>
  <c r="BV26" i="99" s="1"/>
  <c r="BW26" i="99" s="1"/>
  <c r="BX26" i="99" s="1"/>
  <c r="BY26" i="99" s="1"/>
  <c r="BU27" i="99"/>
  <c r="BV27" i="99" s="1"/>
  <c r="BW27" i="99" s="1"/>
  <c r="BX27" i="99" s="1"/>
  <c r="BY27" i="99" s="1"/>
  <c r="BU47" i="99"/>
  <c r="BV47" i="99" s="1"/>
  <c r="BW47" i="99" s="1"/>
  <c r="BX47" i="99" s="1"/>
  <c r="BY47" i="99" s="1"/>
  <c r="BU68" i="99"/>
  <c r="BV68" i="99" s="1"/>
  <c r="BW68" i="99" s="1"/>
  <c r="BX68" i="99" s="1"/>
  <c r="BY68" i="99" s="1"/>
  <c r="BU42" i="99"/>
  <c r="BV42" i="99" s="1"/>
  <c r="BW42" i="99" s="1"/>
  <c r="BX42" i="99" s="1"/>
  <c r="BY42" i="99" s="1"/>
  <c r="BU90" i="99"/>
  <c r="BV90" i="99" s="1"/>
  <c r="BW90" i="99" s="1"/>
  <c r="BX90" i="99" s="1"/>
  <c r="BY90" i="99" s="1"/>
  <c r="BU55" i="99"/>
  <c r="BV55" i="99" s="1"/>
  <c r="BW55" i="99" s="1"/>
  <c r="BX55" i="99" s="1"/>
  <c r="BY55" i="99" s="1"/>
  <c r="BU44" i="99"/>
  <c r="BV44" i="99" s="1"/>
  <c r="BW44" i="99" s="1"/>
  <c r="BX44" i="99" s="1"/>
  <c r="BY44" i="99" s="1"/>
  <c r="BU35" i="99"/>
  <c r="BV35" i="99" s="1"/>
  <c r="BW35" i="99" s="1"/>
  <c r="BX35" i="99" s="1"/>
  <c r="BY35" i="99" s="1"/>
  <c r="BU52" i="99"/>
  <c r="BV52" i="99" s="1"/>
  <c r="BW52" i="99" s="1"/>
  <c r="BX52" i="99" s="1"/>
  <c r="BY52" i="99" s="1"/>
  <c r="BU15" i="99"/>
  <c r="BV15" i="99" s="1"/>
  <c r="BW15" i="99" s="1"/>
  <c r="BX15" i="99" s="1"/>
  <c r="BY15" i="99" s="1"/>
  <c r="BU34" i="99"/>
  <c r="BV34" i="99" s="1"/>
  <c r="BW34" i="99" s="1"/>
  <c r="BX34" i="99" s="1"/>
  <c r="BY34" i="99" s="1"/>
  <c r="BU51" i="99"/>
  <c r="BV51" i="99" s="1"/>
  <c r="BW51" i="99" s="1"/>
  <c r="BX51" i="99" s="1"/>
  <c r="BY51" i="99" s="1"/>
  <c r="BU17" i="99"/>
  <c r="BV17" i="99" s="1"/>
  <c r="BW17" i="99" s="1"/>
  <c r="BX17" i="99" s="1"/>
  <c r="BY17" i="99" s="1"/>
  <c r="BU40" i="99"/>
  <c r="BV40" i="99" s="1"/>
  <c r="BW40" i="99" s="1"/>
  <c r="BX40" i="99" s="1"/>
  <c r="BY40" i="99" s="1"/>
  <c r="BU23" i="99"/>
  <c r="BV23" i="99" s="1"/>
  <c r="BW23" i="99" s="1"/>
  <c r="BX23" i="99" s="1"/>
  <c r="BY23" i="99" s="1"/>
  <c r="BU39" i="99"/>
  <c r="BV39" i="99" s="1"/>
  <c r="BW39" i="99" s="1"/>
  <c r="BX39" i="99" s="1"/>
  <c r="BY39" i="99" s="1"/>
  <c r="BU92" i="99"/>
  <c r="BV92" i="99" s="1"/>
  <c r="BW92" i="99" s="1"/>
  <c r="BX92" i="99" s="1"/>
  <c r="BY92" i="99" s="1"/>
  <c r="BU59" i="99"/>
  <c r="BV59" i="99" s="1"/>
  <c r="BW59" i="99" s="1"/>
  <c r="BX59" i="99" s="1"/>
  <c r="BY59" i="99" s="1"/>
  <c r="BU32" i="99"/>
  <c r="BV32" i="99" s="1"/>
  <c r="BW32" i="99" s="1"/>
  <c r="BX32" i="99" s="1"/>
  <c r="BY32" i="99" s="1"/>
  <c r="BU24" i="99"/>
  <c r="BV24" i="99" s="1"/>
  <c r="BW24" i="99" s="1"/>
  <c r="BX24" i="99" s="1"/>
  <c r="BY24" i="99" s="1"/>
  <c r="BU69" i="99"/>
  <c r="BV69" i="99" s="1"/>
  <c r="BW69" i="99" s="1"/>
  <c r="BX69" i="99" s="1"/>
  <c r="BY69" i="99" s="1"/>
  <c r="BU100" i="99"/>
  <c r="BV100" i="99" s="1"/>
  <c r="BW100" i="99" s="1"/>
  <c r="BX100" i="99" s="1"/>
  <c r="BY100" i="99" s="1"/>
  <c r="BU12" i="99"/>
  <c r="BV12" i="99" s="1"/>
  <c r="BW12" i="99" s="1"/>
  <c r="BX12" i="99" s="1"/>
  <c r="BY12" i="99" s="1"/>
  <c r="BU28" i="99"/>
  <c r="BV28" i="99" s="1"/>
  <c r="BW28" i="99" s="1"/>
  <c r="BX28" i="99" s="1"/>
  <c r="BY28" i="99" s="1"/>
  <c r="BU98" i="99"/>
  <c r="BV98" i="99" s="1"/>
  <c r="BW98" i="99" s="1"/>
  <c r="BX98" i="99" s="1"/>
  <c r="BY98" i="99" s="1"/>
  <c r="BU9" i="99"/>
  <c r="BV9" i="99" s="1"/>
  <c r="BW9" i="99" s="1"/>
  <c r="BX9" i="99" s="1"/>
  <c r="BU49" i="99"/>
  <c r="BV49" i="99" s="1"/>
  <c r="BW49" i="99" s="1"/>
  <c r="BX49" i="99" s="1"/>
  <c r="BY49" i="99" s="1"/>
  <c r="BU18" i="99"/>
  <c r="BV18" i="99" s="1"/>
  <c r="BW18" i="99" s="1"/>
  <c r="BX18" i="99" s="1"/>
  <c r="BY18" i="99" s="1"/>
  <c r="BU67" i="99"/>
  <c r="BV67" i="99" s="1"/>
  <c r="BW67" i="99" s="1"/>
  <c r="BX67" i="99" s="1"/>
  <c r="BY67" i="99" s="1"/>
  <c r="BU60" i="99"/>
  <c r="BV60" i="99" s="1"/>
  <c r="BW60" i="99" s="1"/>
  <c r="BX60" i="99" s="1"/>
  <c r="BY60" i="99" s="1"/>
  <c r="BU80" i="99"/>
  <c r="BV80" i="99" s="1"/>
  <c r="BW80" i="99" s="1"/>
  <c r="BX80" i="99" s="1"/>
  <c r="BY80" i="99" s="1"/>
  <c r="BU73" i="99"/>
  <c r="BV73" i="99" s="1"/>
  <c r="BW73" i="99" s="1"/>
  <c r="BX73" i="99" s="1"/>
  <c r="BY73" i="99" s="1"/>
  <c r="BU22" i="99"/>
  <c r="BV22" i="99" s="1"/>
  <c r="BW22" i="99" s="1"/>
  <c r="BX22" i="99" s="1"/>
  <c r="BY22" i="99" s="1"/>
  <c r="BU46" i="99"/>
  <c r="BV46" i="99" s="1"/>
  <c r="BW46" i="99" s="1"/>
  <c r="BX46" i="99" s="1"/>
  <c r="BY46" i="99" s="1"/>
  <c r="BU38" i="99"/>
  <c r="BV38" i="99" s="1"/>
  <c r="BW38" i="99" s="1"/>
  <c r="BX38" i="99" s="1"/>
  <c r="BY38" i="99" s="1"/>
  <c r="BU16" i="99"/>
  <c r="BV16" i="99" s="1"/>
  <c r="BW16" i="99" s="1"/>
  <c r="BX16" i="99" s="1"/>
  <c r="BY16" i="99" s="1"/>
  <c r="BU74" i="99"/>
  <c r="BV74" i="99" s="1"/>
  <c r="BW74" i="99" s="1"/>
  <c r="BX74" i="99" s="1"/>
  <c r="BY74" i="99" s="1"/>
  <c r="BU54" i="99"/>
  <c r="BV54" i="99" s="1"/>
  <c r="BW54" i="99" s="1"/>
  <c r="BX54" i="99" s="1"/>
  <c r="BY54" i="99" s="1"/>
  <c r="BU62" i="99"/>
  <c r="BV62" i="99" s="1"/>
  <c r="BW62" i="99" s="1"/>
  <c r="BX62" i="99" s="1"/>
  <c r="BY62" i="99" s="1"/>
  <c r="BU87" i="99"/>
  <c r="BV87" i="99" s="1"/>
  <c r="BW87" i="99" s="1"/>
  <c r="BX87" i="99" s="1"/>
  <c r="BY87" i="99" s="1"/>
  <c r="BU94" i="99"/>
  <c r="BV94" i="99" s="1"/>
  <c r="BW94" i="99" s="1"/>
  <c r="BX94" i="99" s="1"/>
  <c r="BY94" i="99" s="1"/>
  <c r="BU99" i="99"/>
  <c r="BV99" i="99" s="1"/>
  <c r="BW99" i="99" s="1"/>
  <c r="BX99" i="99" s="1"/>
  <c r="BY99" i="99" s="1"/>
  <c r="BU58" i="99"/>
  <c r="BV58" i="99" s="1"/>
  <c r="BW58" i="99" s="1"/>
  <c r="BX58" i="99" s="1"/>
  <c r="BY58" i="99" s="1"/>
  <c r="BU41" i="99"/>
  <c r="BV41" i="99" s="1"/>
  <c r="BW41" i="99" s="1"/>
  <c r="BX41" i="99" s="1"/>
  <c r="BY41" i="99" s="1"/>
  <c r="BU106" i="99"/>
  <c r="BV106" i="99" s="1"/>
  <c r="BW106" i="99" s="1"/>
  <c r="BX106" i="99" s="1"/>
  <c r="BY106" i="99" s="1"/>
  <c r="BU105" i="99"/>
  <c r="BV105" i="99" s="1"/>
  <c r="BW105" i="99" s="1"/>
  <c r="BX105" i="99" s="1"/>
  <c r="BY105" i="99" s="1"/>
  <c r="BU31" i="99"/>
  <c r="BV31" i="99" s="1"/>
  <c r="BW31" i="99" s="1"/>
  <c r="BX31" i="99" s="1"/>
  <c r="BY31" i="99" s="1"/>
  <c r="BU19" i="99"/>
  <c r="BV19" i="99" s="1"/>
  <c r="BW19" i="99" s="1"/>
  <c r="BX19" i="99" s="1"/>
  <c r="BY19" i="99" s="1"/>
  <c r="BU33" i="99"/>
  <c r="BV33" i="99" s="1"/>
  <c r="BW33" i="99" s="1"/>
  <c r="BX33" i="99" s="1"/>
  <c r="BY33" i="99" s="1"/>
  <c r="BU79" i="99"/>
  <c r="BV79" i="99" s="1"/>
  <c r="BW79" i="99" s="1"/>
  <c r="BX79" i="99" s="1"/>
  <c r="BY79" i="99" s="1"/>
  <c r="BU101" i="99"/>
  <c r="BV101" i="99" s="1"/>
  <c r="BW101" i="99" s="1"/>
  <c r="BX101" i="99" s="1"/>
  <c r="BY101" i="99" s="1"/>
  <c r="BU95" i="99"/>
  <c r="BV95" i="99" s="1"/>
  <c r="BW95" i="99" s="1"/>
  <c r="BX95" i="99" s="1"/>
  <c r="BY95" i="99" s="1"/>
  <c r="BU96" i="99"/>
  <c r="BV96" i="99" s="1"/>
  <c r="BW96" i="99" s="1"/>
  <c r="BX96" i="99" s="1"/>
  <c r="BY96" i="99" s="1"/>
  <c r="BU45" i="99"/>
  <c r="BV45" i="99" s="1"/>
  <c r="BW45" i="99" s="1"/>
  <c r="BX45" i="99" s="1"/>
  <c r="BY45" i="99" s="1"/>
  <c r="BU30" i="99"/>
  <c r="BV30" i="99" s="1"/>
  <c r="BW30" i="99" s="1"/>
  <c r="BX30" i="99" s="1"/>
  <c r="BY30" i="99" s="1"/>
  <c r="BU21" i="99"/>
  <c r="BV21" i="99" s="1"/>
  <c r="BW21" i="99" s="1"/>
  <c r="BX21" i="99" s="1"/>
  <c r="BY21" i="99" s="1"/>
  <c r="BU43" i="99"/>
  <c r="BV43" i="99" s="1"/>
  <c r="BW43" i="99" s="1"/>
  <c r="BX43" i="99" s="1"/>
  <c r="BY43" i="99" s="1"/>
  <c r="BU70" i="99"/>
  <c r="BV70" i="99" s="1"/>
  <c r="BW70" i="99" s="1"/>
  <c r="BX70" i="99" s="1"/>
  <c r="BY70" i="99" s="1"/>
  <c r="BU20" i="99"/>
  <c r="BV20" i="99" s="1"/>
  <c r="BW20" i="99" s="1"/>
  <c r="BX20" i="99" s="1"/>
  <c r="BY20" i="99" s="1"/>
  <c r="BU14" i="99"/>
  <c r="BV14" i="99" s="1"/>
  <c r="BW14" i="99" s="1"/>
  <c r="BX14" i="99" s="1"/>
  <c r="BY14" i="99" s="1"/>
  <c r="BU63" i="99"/>
  <c r="BV63" i="99" s="1"/>
  <c r="BW63" i="99" s="1"/>
  <c r="BX63" i="99" s="1"/>
  <c r="BY63" i="99" s="1"/>
  <c r="BU64" i="99"/>
  <c r="BV64" i="99" s="1"/>
  <c r="BW64" i="99" s="1"/>
  <c r="BX64" i="99" s="1"/>
  <c r="BY64" i="99" s="1"/>
  <c r="BU66" i="99"/>
  <c r="BV66" i="99" s="1"/>
  <c r="BW66" i="99" s="1"/>
  <c r="BX66" i="99" s="1"/>
  <c r="BY66" i="99" s="1"/>
  <c r="BU78" i="99"/>
  <c r="BV78" i="99" s="1"/>
  <c r="BW78" i="99" s="1"/>
  <c r="BX78" i="99" s="1"/>
  <c r="BY78" i="99" s="1"/>
  <c r="BU11" i="99"/>
  <c r="BV11" i="99" s="1"/>
  <c r="BW11" i="99" s="1"/>
  <c r="BX11" i="99" s="1"/>
  <c r="BY11" i="99" s="1"/>
  <c r="BU29" i="99"/>
  <c r="BV29" i="99" s="1"/>
  <c r="BW29" i="99" s="1"/>
  <c r="BX29" i="99" s="1"/>
  <c r="BY29" i="99" s="1"/>
  <c r="BU50" i="99"/>
  <c r="BV50" i="99" s="1"/>
  <c r="BW50" i="99" s="1"/>
  <c r="BX50" i="99" s="1"/>
  <c r="BY50" i="99" s="1"/>
  <c r="BU25" i="99"/>
  <c r="BV25" i="99" s="1"/>
  <c r="BW25" i="99" s="1"/>
  <c r="BX25" i="99" s="1"/>
  <c r="BY25" i="99" s="1"/>
  <c r="BU76" i="99"/>
  <c r="BV76" i="99" s="1"/>
  <c r="BW76" i="99" s="1"/>
  <c r="BX76" i="99" s="1"/>
  <c r="BY76" i="99" s="1"/>
  <c r="BU89" i="99"/>
  <c r="BV89" i="99" s="1"/>
  <c r="BW89" i="99" s="1"/>
  <c r="BX89" i="99" s="1"/>
  <c r="BY89" i="99" s="1"/>
  <c r="BU82" i="99"/>
  <c r="BV82" i="99" s="1"/>
  <c r="BW82" i="99" s="1"/>
  <c r="BX82" i="99" s="1"/>
  <c r="BY82" i="99" s="1"/>
  <c r="BU86" i="99"/>
  <c r="BV86" i="99" s="1"/>
  <c r="BW86" i="99" s="1"/>
  <c r="BX86" i="99" s="1"/>
  <c r="BY86" i="99" s="1"/>
  <c r="BU10" i="99"/>
  <c r="BV10" i="99" s="1"/>
  <c r="BW10" i="99" s="1"/>
  <c r="BX10" i="99" s="1"/>
  <c r="BY10" i="99" s="1"/>
  <c r="BU37" i="99"/>
  <c r="BV37" i="99" s="1"/>
  <c r="BW37" i="99" s="1"/>
  <c r="BX37" i="99" s="1"/>
  <c r="BY37" i="99" s="1"/>
  <c r="BU57" i="99"/>
  <c r="BV57" i="99" s="1"/>
  <c r="BW57" i="99" s="1"/>
  <c r="BX57" i="99" s="1"/>
  <c r="BY57" i="99" s="1"/>
  <c r="BU56" i="99"/>
  <c r="BV56" i="99" s="1"/>
  <c r="BW56" i="99" s="1"/>
  <c r="BX56" i="99" s="1"/>
  <c r="BY56" i="99" s="1"/>
  <c r="BU81" i="99"/>
  <c r="BV81" i="99" s="1"/>
  <c r="BW81" i="99" s="1"/>
  <c r="BX81" i="99" s="1"/>
  <c r="BY81" i="99" s="1"/>
  <c r="BU13" i="99"/>
  <c r="BV13" i="99" s="1"/>
  <c r="BW13" i="99" s="1"/>
  <c r="BX13" i="99" s="1"/>
  <c r="BY13" i="99" s="1"/>
  <c r="BU75" i="99"/>
  <c r="BV75" i="99" s="1"/>
  <c r="BW75" i="99" s="1"/>
  <c r="BX75" i="99" s="1"/>
  <c r="BY75" i="99" s="1"/>
  <c r="BU108" i="99"/>
  <c r="BV108" i="99" s="1"/>
  <c r="BW108" i="99" s="1"/>
  <c r="BX108" i="99" s="1"/>
  <c r="BY108" i="99" s="1"/>
  <c r="BU104" i="99"/>
  <c r="BV104" i="99" s="1"/>
  <c r="BW104" i="99" s="1"/>
  <c r="BX104" i="99" s="1"/>
  <c r="BY104" i="99" s="1"/>
  <c r="BU88" i="99"/>
  <c r="BV88" i="99" s="1"/>
  <c r="BW88" i="99" s="1"/>
  <c r="BX88" i="99" s="1"/>
  <c r="BY88" i="99" s="1"/>
  <c r="BU85" i="99"/>
  <c r="BV85" i="99" s="1"/>
  <c r="BW85" i="99" s="1"/>
  <c r="BX85" i="99" s="1"/>
  <c r="BY85" i="99" s="1"/>
  <c r="BU107" i="99"/>
  <c r="BV107" i="99" s="1"/>
  <c r="BW107" i="99" s="1"/>
  <c r="BX107" i="99" s="1"/>
  <c r="BY107" i="99" s="1"/>
  <c r="BU97" i="99"/>
  <c r="BV97" i="99" s="1"/>
  <c r="BW97" i="99" s="1"/>
  <c r="BX97" i="99" s="1"/>
  <c r="BY97" i="99" s="1"/>
  <c r="BU93" i="99"/>
  <c r="BV93" i="99" s="1"/>
  <c r="BW93" i="99" s="1"/>
  <c r="BX93" i="99" s="1"/>
  <c r="BY93" i="99" s="1"/>
  <c r="BU91" i="99"/>
  <c r="BV91" i="99" s="1"/>
  <c r="BW91" i="99" s="1"/>
  <c r="BX91" i="99" s="1"/>
  <c r="BY91" i="99" s="1"/>
  <c r="CS103" i="99"/>
  <c r="CT103" i="99" s="1"/>
  <c r="CU103" i="99" s="1"/>
  <c r="CV103" i="99" s="1"/>
  <c r="CW103" i="99" s="1"/>
  <c r="CS106" i="99"/>
  <c r="CT106" i="99" s="1"/>
  <c r="CU106" i="99" s="1"/>
  <c r="CV106" i="99" s="1"/>
  <c r="CW106" i="99" s="1"/>
  <c r="CS102" i="99"/>
  <c r="CT102" i="99" s="1"/>
  <c r="CU102" i="99" s="1"/>
  <c r="CV102" i="99" s="1"/>
  <c r="CW102" i="99" s="1"/>
  <c r="CS83" i="99"/>
  <c r="CT83" i="99" s="1"/>
  <c r="CU83" i="99" s="1"/>
  <c r="CV83" i="99" s="1"/>
  <c r="CW83" i="99" s="1"/>
  <c r="CS77" i="99"/>
  <c r="CT77" i="99" s="1"/>
  <c r="CU77" i="99" s="1"/>
  <c r="CV77" i="99" s="1"/>
  <c r="CW77" i="99" s="1"/>
  <c r="CS71" i="99"/>
  <c r="CT71" i="99" s="1"/>
  <c r="CU71" i="99" s="1"/>
  <c r="CV71" i="99" s="1"/>
  <c r="CW71" i="99" s="1"/>
  <c r="CS50" i="99"/>
  <c r="CT50" i="99" s="1"/>
  <c r="CU50" i="99" s="1"/>
  <c r="CV50" i="99" s="1"/>
  <c r="CW50" i="99" s="1"/>
  <c r="CS48" i="99"/>
  <c r="CT48" i="99" s="1"/>
  <c r="CU48" i="99" s="1"/>
  <c r="CV48" i="99" s="1"/>
  <c r="CW48" i="99" s="1"/>
  <c r="CS53" i="99"/>
  <c r="CT53" i="99" s="1"/>
  <c r="CU53" i="99" s="1"/>
  <c r="CV53" i="99" s="1"/>
  <c r="CW53" i="99" s="1"/>
  <c r="CS68" i="99"/>
  <c r="CT68" i="99" s="1"/>
  <c r="CU68" i="99" s="1"/>
  <c r="CV68" i="99" s="1"/>
  <c r="CW68" i="99" s="1"/>
  <c r="CS35" i="99"/>
  <c r="CT35" i="99" s="1"/>
  <c r="CU35" i="99" s="1"/>
  <c r="CV35" i="99" s="1"/>
  <c r="CW35" i="99" s="1"/>
  <c r="CS34" i="99"/>
  <c r="CT34" i="99" s="1"/>
  <c r="CU34" i="99" s="1"/>
  <c r="CV34" i="99" s="1"/>
  <c r="CW34" i="99" s="1"/>
  <c r="CS66" i="99"/>
  <c r="CT66" i="99" s="1"/>
  <c r="CU66" i="99" s="1"/>
  <c r="CV66" i="99" s="1"/>
  <c r="CW66" i="99" s="1"/>
  <c r="CS65" i="99"/>
  <c r="CT65" i="99" s="1"/>
  <c r="CU65" i="99" s="1"/>
  <c r="CV65" i="99" s="1"/>
  <c r="CW65" i="99" s="1"/>
  <c r="CS26" i="99"/>
  <c r="CT26" i="99" s="1"/>
  <c r="CU26" i="99" s="1"/>
  <c r="CV26" i="99" s="1"/>
  <c r="CW26" i="99" s="1"/>
  <c r="CS42" i="99"/>
  <c r="CT42" i="99" s="1"/>
  <c r="CU42" i="99" s="1"/>
  <c r="CV42" i="99" s="1"/>
  <c r="CW42" i="99" s="1"/>
  <c r="CS40" i="99"/>
  <c r="CT40" i="99" s="1"/>
  <c r="CU40" i="99" s="1"/>
  <c r="CV40" i="99" s="1"/>
  <c r="CW40" i="99" s="1"/>
  <c r="CS29" i="99"/>
  <c r="CT29" i="99" s="1"/>
  <c r="CU29" i="99" s="1"/>
  <c r="CV29" i="99" s="1"/>
  <c r="CW29" i="99" s="1"/>
  <c r="CS21" i="99"/>
  <c r="CT21" i="99" s="1"/>
  <c r="CU21" i="99" s="1"/>
  <c r="CV21" i="99" s="1"/>
  <c r="CW21" i="99" s="1"/>
  <c r="CS56" i="99"/>
  <c r="CT56" i="99" s="1"/>
  <c r="CU56" i="99" s="1"/>
  <c r="CV56" i="99" s="1"/>
  <c r="CW56" i="99" s="1"/>
  <c r="CS52" i="99"/>
  <c r="CT52" i="99" s="1"/>
  <c r="CU52" i="99" s="1"/>
  <c r="CV52" i="99" s="1"/>
  <c r="CW52" i="99" s="1"/>
  <c r="CS24" i="99"/>
  <c r="CT24" i="99" s="1"/>
  <c r="CU24" i="99" s="1"/>
  <c r="CV24" i="99" s="1"/>
  <c r="CW24" i="99" s="1"/>
  <c r="CS11" i="99"/>
  <c r="CT11" i="99" s="1"/>
  <c r="CU11" i="99" s="1"/>
  <c r="CV11" i="99" s="1"/>
  <c r="CW11" i="99" s="1"/>
  <c r="CS18" i="99"/>
  <c r="CT18" i="99" s="1"/>
  <c r="CU18" i="99" s="1"/>
  <c r="CV18" i="99" s="1"/>
  <c r="CW18" i="99" s="1"/>
  <c r="CS9" i="99"/>
  <c r="CT9" i="99" s="1"/>
  <c r="CU9" i="99" s="1"/>
  <c r="CV9" i="99" s="1"/>
  <c r="CS81" i="99"/>
  <c r="CT81" i="99" s="1"/>
  <c r="CU81" i="99" s="1"/>
  <c r="CV81" i="99" s="1"/>
  <c r="CW81" i="99" s="1"/>
  <c r="CS92" i="99"/>
  <c r="CT92" i="99" s="1"/>
  <c r="CU92" i="99" s="1"/>
  <c r="CV92" i="99" s="1"/>
  <c r="CW92" i="99" s="1"/>
  <c r="CS84" i="99"/>
  <c r="CT84" i="99" s="1"/>
  <c r="CU84" i="99" s="1"/>
  <c r="CV84" i="99" s="1"/>
  <c r="CW84" i="99" s="1"/>
  <c r="CS12" i="99"/>
  <c r="CT12" i="99" s="1"/>
  <c r="CU12" i="99" s="1"/>
  <c r="CV12" i="99" s="1"/>
  <c r="CW12" i="99" s="1"/>
  <c r="CS86" i="99"/>
  <c r="CT86" i="99" s="1"/>
  <c r="CU86" i="99" s="1"/>
  <c r="CV86" i="99" s="1"/>
  <c r="CW86" i="99" s="1"/>
  <c r="CS13" i="99"/>
  <c r="CT13" i="99" s="1"/>
  <c r="CU13" i="99" s="1"/>
  <c r="CV13" i="99" s="1"/>
  <c r="CW13" i="99" s="1"/>
  <c r="CS32" i="99"/>
  <c r="CT32" i="99" s="1"/>
  <c r="CU32" i="99" s="1"/>
  <c r="CV32" i="99" s="1"/>
  <c r="CW32" i="99" s="1"/>
  <c r="CS17" i="99"/>
  <c r="CT17" i="99" s="1"/>
  <c r="CU17" i="99" s="1"/>
  <c r="CV17" i="99" s="1"/>
  <c r="CW17" i="99" s="1"/>
  <c r="CS43" i="99"/>
  <c r="CT43" i="99" s="1"/>
  <c r="CU43" i="99" s="1"/>
  <c r="CV43" i="99" s="1"/>
  <c r="CW43" i="99" s="1"/>
  <c r="CS73" i="99"/>
  <c r="CT73" i="99" s="1"/>
  <c r="CU73" i="99" s="1"/>
  <c r="CV73" i="99" s="1"/>
  <c r="CW73" i="99" s="1"/>
  <c r="CS28" i="99"/>
  <c r="CT28" i="99" s="1"/>
  <c r="CU28" i="99" s="1"/>
  <c r="CV28" i="99" s="1"/>
  <c r="CW28" i="99" s="1"/>
  <c r="CS61" i="99"/>
  <c r="CT61" i="99" s="1"/>
  <c r="CU61" i="99" s="1"/>
  <c r="CV61" i="99" s="1"/>
  <c r="CW61" i="99" s="1"/>
  <c r="CS94" i="99"/>
  <c r="CT94" i="99" s="1"/>
  <c r="CU94" i="99" s="1"/>
  <c r="CV94" i="99" s="1"/>
  <c r="CW94" i="99" s="1"/>
  <c r="CS37" i="99"/>
  <c r="CT37" i="99" s="1"/>
  <c r="CU37" i="99" s="1"/>
  <c r="CV37" i="99" s="1"/>
  <c r="CW37" i="99" s="1"/>
  <c r="CS69" i="99"/>
  <c r="CT69" i="99" s="1"/>
  <c r="CU69" i="99" s="1"/>
  <c r="CV69" i="99" s="1"/>
  <c r="CW69" i="99" s="1"/>
  <c r="CS49" i="99"/>
  <c r="CT49" i="99" s="1"/>
  <c r="CU49" i="99" s="1"/>
  <c r="CV49" i="99" s="1"/>
  <c r="CW49" i="99" s="1"/>
  <c r="CS55" i="99"/>
  <c r="CT55" i="99" s="1"/>
  <c r="CU55" i="99" s="1"/>
  <c r="CV55" i="99" s="1"/>
  <c r="CW55" i="99" s="1"/>
  <c r="CS38" i="99"/>
  <c r="CT38" i="99" s="1"/>
  <c r="CU38" i="99" s="1"/>
  <c r="CV38" i="99" s="1"/>
  <c r="CW38" i="99" s="1"/>
  <c r="CS78" i="99"/>
  <c r="CT78" i="99" s="1"/>
  <c r="CU78" i="99" s="1"/>
  <c r="CV78" i="99" s="1"/>
  <c r="CW78" i="99" s="1"/>
  <c r="CS97" i="99"/>
  <c r="CT97" i="99" s="1"/>
  <c r="CU97" i="99" s="1"/>
  <c r="CV97" i="99" s="1"/>
  <c r="CW97" i="99" s="1"/>
  <c r="CS96" i="99"/>
  <c r="CT96" i="99" s="1"/>
  <c r="CU96" i="99" s="1"/>
  <c r="CV96" i="99" s="1"/>
  <c r="CW96" i="99" s="1"/>
  <c r="CS16" i="99"/>
  <c r="CT16" i="99" s="1"/>
  <c r="CU16" i="99" s="1"/>
  <c r="CV16" i="99" s="1"/>
  <c r="CW16" i="99" s="1"/>
  <c r="CS51" i="99"/>
  <c r="CT51" i="99" s="1"/>
  <c r="CU51" i="99" s="1"/>
  <c r="CV51" i="99" s="1"/>
  <c r="CW51" i="99" s="1"/>
  <c r="CS41" i="99"/>
  <c r="CT41" i="99" s="1"/>
  <c r="CU41" i="99" s="1"/>
  <c r="CV41" i="99" s="1"/>
  <c r="CW41" i="99" s="1"/>
  <c r="CS44" i="99"/>
  <c r="CT44" i="99" s="1"/>
  <c r="CU44" i="99" s="1"/>
  <c r="CV44" i="99" s="1"/>
  <c r="CW44" i="99" s="1"/>
  <c r="CS72" i="99"/>
  <c r="CT72" i="99" s="1"/>
  <c r="CU72" i="99" s="1"/>
  <c r="CV72" i="99" s="1"/>
  <c r="CW72" i="99" s="1"/>
  <c r="CS33" i="99"/>
  <c r="CT33" i="99" s="1"/>
  <c r="CU33" i="99" s="1"/>
  <c r="CV33" i="99" s="1"/>
  <c r="CW33" i="99" s="1"/>
  <c r="CS76" i="99"/>
  <c r="CT76" i="99" s="1"/>
  <c r="CU76" i="99" s="1"/>
  <c r="CV76" i="99" s="1"/>
  <c r="CW76" i="99" s="1"/>
  <c r="CS89" i="99"/>
  <c r="CT89" i="99" s="1"/>
  <c r="CU89" i="99" s="1"/>
  <c r="CV89" i="99" s="1"/>
  <c r="CW89" i="99" s="1"/>
  <c r="CS82" i="99"/>
  <c r="CT82" i="99" s="1"/>
  <c r="CU82" i="99" s="1"/>
  <c r="CV82" i="99" s="1"/>
  <c r="CW82" i="99" s="1"/>
  <c r="CS101" i="99"/>
  <c r="CT101" i="99" s="1"/>
  <c r="CU101" i="99" s="1"/>
  <c r="CV101" i="99" s="1"/>
  <c r="CW101" i="99" s="1"/>
  <c r="CS27" i="99"/>
  <c r="CT27" i="99" s="1"/>
  <c r="CU27" i="99" s="1"/>
  <c r="CV27" i="99" s="1"/>
  <c r="CW27" i="99" s="1"/>
  <c r="CS39" i="99"/>
  <c r="CT39" i="99" s="1"/>
  <c r="CU39" i="99" s="1"/>
  <c r="CV39" i="99" s="1"/>
  <c r="CW39" i="99" s="1"/>
  <c r="CS36" i="99"/>
  <c r="CT36" i="99" s="1"/>
  <c r="CU36" i="99" s="1"/>
  <c r="CV36" i="99" s="1"/>
  <c r="CW36" i="99" s="1"/>
  <c r="CS59" i="99"/>
  <c r="CT59" i="99" s="1"/>
  <c r="CU59" i="99" s="1"/>
  <c r="CV59" i="99" s="1"/>
  <c r="CW59" i="99" s="1"/>
  <c r="CS70" i="99"/>
  <c r="CT70" i="99" s="1"/>
  <c r="CU70" i="99" s="1"/>
  <c r="CV70" i="99" s="1"/>
  <c r="CW70" i="99" s="1"/>
  <c r="CS100" i="99"/>
  <c r="CT100" i="99" s="1"/>
  <c r="CU100" i="99" s="1"/>
  <c r="CV100" i="99" s="1"/>
  <c r="CW100" i="99" s="1"/>
  <c r="CS14" i="99"/>
  <c r="CT14" i="99" s="1"/>
  <c r="CU14" i="99" s="1"/>
  <c r="CV14" i="99" s="1"/>
  <c r="CW14" i="99" s="1"/>
  <c r="CS57" i="99"/>
  <c r="CT57" i="99" s="1"/>
  <c r="CU57" i="99" s="1"/>
  <c r="CV57" i="99" s="1"/>
  <c r="CW57" i="99" s="1"/>
  <c r="CS75" i="99"/>
  <c r="CT75" i="99" s="1"/>
  <c r="CU75" i="99" s="1"/>
  <c r="CV75" i="99" s="1"/>
  <c r="CW75" i="99" s="1"/>
  <c r="CS74" i="99"/>
  <c r="CT74" i="99" s="1"/>
  <c r="CU74" i="99" s="1"/>
  <c r="CV74" i="99" s="1"/>
  <c r="CW74" i="99" s="1"/>
  <c r="CS22" i="99"/>
  <c r="CT22" i="99" s="1"/>
  <c r="CU22" i="99" s="1"/>
  <c r="CV22" i="99" s="1"/>
  <c r="CW22" i="99" s="1"/>
  <c r="CS23" i="99"/>
  <c r="CT23" i="99" s="1"/>
  <c r="CU23" i="99" s="1"/>
  <c r="CV23" i="99" s="1"/>
  <c r="CW23" i="99" s="1"/>
  <c r="CS45" i="99"/>
  <c r="CT45" i="99" s="1"/>
  <c r="CU45" i="99" s="1"/>
  <c r="CV45" i="99" s="1"/>
  <c r="CW45" i="99" s="1"/>
  <c r="CS31" i="99"/>
  <c r="CT31" i="99" s="1"/>
  <c r="CU31" i="99" s="1"/>
  <c r="CV31" i="99" s="1"/>
  <c r="CW31" i="99" s="1"/>
  <c r="CS25" i="99"/>
  <c r="CT25" i="99" s="1"/>
  <c r="CU25" i="99" s="1"/>
  <c r="CV25" i="99" s="1"/>
  <c r="CW25" i="99" s="1"/>
  <c r="CS67" i="99"/>
  <c r="CT67" i="99" s="1"/>
  <c r="CU67" i="99" s="1"/>
  <c r="CV67" i="99" s="1"/>
  <c r="CW67" i="99" s="1"/>
  <c r="CS79" i="99"/>
  <c r="CT79" i="99" s="1"/>
  <c r="CU79" i="99" s="1"/>
  <c r="CV79" i="99" s="1"/>
  <c r="CW79" i="99" s="1"/>
  <c r="CS87" i="99"/>
  <c r="CT87" i="99" s="1"/>
  <c r="CU87" i="99" s="1"/>
  <c r="CV87" i="99" s="1"/>
  <c r="CW87" i="99" s="1"/>
  <c r="CS10" i="99"/>
  <c r="CT10" i="99" s="1"/>
  <c r="CU10" i="99" s="1"/>
  <c r="CV10" i="99" s="1"/>
  <c r="CW10" i="99" s="1"/>
  <c r="CS20" i="99"/>
  <c r="CT20" i="99" s="1"/>
  <c r="CU20" i="99" s="1"/>
  <c r="CV20" i="99" s="1"/>
  <c r="CW20" i="99" s="1"/>
  <c r="CS46" i="99"/>
  <c r="CT46" i="99" s="1"/>
  <c r="CU46" i="99" s="1"/>
  <c r="CV46" i="99" s="1"/>
  <c r="CW46" i="99" s="1"/>
  <c r="CS64" i="99"/>
  <c r="CT64" i="99" s="1"/>
  <c r="CU64" i="99" s="1"/>
  <c r="CV64" i="99" s="1"/>
  <c r="CW64" i="99" s="1"/>
  <c r="CS60" i="99"/>
  <c r="CT60" i="99" s="1"/>
  <c r="CU60" i="99" s="1"/>
  <c r="CV60" i="99" s="1"/>
  <c r="CW60" i="99" s="1"/>
  <c r="CS63" i="99"/>
  <c r="CT63" i="99" s="1"/>
  <c r="CU63" i="99" s="1"/>
  <c r="CV63" i="99" s="1"/>
  <c r="CW63" i="99" s="1"/>
  <c r="CS80" i="99"/>
  <c r="CT80" i="99" s="1"/>
  <c r="CU80" i="99" s="1"/>
  <c r="CV80" i="99" s="1"/>
  <c r="CW80" i="99" s="1"/>
  <c r="CS47" i="99"/>
  <c r="CT47" i="99" s="1"/>
  <c r="CU47" i="99" s="1"/>
  <c r="CV47" i="99" s="1"/>
  <c r="CW47" i="99" s="1"/>
  <c r="CS88" i="99"/>
  <c r="CT88" i="99" s="1"/>
  <c r="CU88" i="99" s="1"/>
  <c r="CV88" i="99" s="1"/>
  <c r="CW88" i="99" s="1"/>
  <c r="CS91" i="99"/>
  <c r="CT91" i="99" s="1"/>
  <c r="CU91" i="99" s="1"/>
  <c r="CV91" i="99" s="1"/>
  <c r="CW91" i="99" s="1"/>
  <c r="CS30" i="99"/>
  <c r="CT30" i="99" s="1"/>
  <c r="CU30" i="99" s="1"/>
  <c r="CV30" i="99" s="1"/>
  <c r="CW30" i="99" s="1"/>
  <c r="CS19" i="99"/>
  <c r="CT19" i="99" s="1"/>
  <c r="CU19" i="99" s="1"/>
  <c r="CV19" i="99" s="1"/>
  <c r="CW19" i="99" s="1"/>
  <c r="CS15" i="99"/>
  <c r="CT15" i="99" s="1"/>
  <c r="CU15" i="99" s="1"/>
  <c r="CV15" i="99" s="1"/>
  <c r="CW15" i="99" s="1"/>
  <c r="CS58" i="99"/>
  <c r="CT58" i="99" s="1"/>
  <c r="CU58" i="99" s="1"/>
  <c r="CV58" i="99" s="1"/>
  <c r="CW58" i="99" s="1"/>
  <c r="CS54" i="99"/>
  <c r="CT54" i="99" s="1"/>
  <c r="CU54" i="99" s="1"/>
  <c r="CV54" i="99" s="1"/>
  <c r="CW54" i="99" s="1"/>
  <c r="CS62" i="99"/>
  <c r="CT62" i="99" s="1"/>
  <c r="CU62" i="99" s="1"/>
  <c r="CV62" i="99" s="1"/>
  <c r="CW62" i="99" s="1"/>
  <c r="CS104" i="99"/>
  <c r="CT104" i="99" s="1"/>
  <c r="CU104" i="99" s="1"/>
  <c r="CV104" i="99" s="1"/>
  <c r="CW104" i="99" s="1"/>
  <c r="CS108" i="99"/>
  <c r="CT108" i="99" s="1"/>
  <c r="CU108" i="99" s="1"/>
  <c r="CV108" i="99" s="1"/>
  <c r="CW108" i="99" s="1"/>
  <c r="CS85" i="99"/>
  <c r="CT85" i="99" s="1"/>
  <c r="CU85" i="99" s="1"/>
  <c r="CV85" i="99" s="1"/>
  <c r="CW85" i="99" s="1"/>
  <c r="CS98" i="99"/>
  <c r="CT98" i="99" s="1"/>
  <c r="CU98" i="99" s="1"/>
  <c r="CV98" i="99" s="1"/>
  <c r="CW98" i="99" s="1"/>
  <c r="CS95" i="99"/>
  <c r="CT95" i="99" s="1"/>
  <c r="CU95" i="99" s="1"/>
  <c r="CV95" i="99" s="1"/>
  <c r="CW95" i="99" s="1"/>
  <c r="CS90" i="99"/>
  <c r="CT90" i="99" s="1"/>
  <c r="CU90" i="99" s="1"/>
  <c r="CV90" i="99" s="1"/>
  <c r="CW90" i="99" s="1"/>
  <c r="CS107" i="99"/>
  <c r="CT107" i="99" s="1"/>
  <c r="CU107" i="99" s="1"/>
  <c r="CV107" i="99" s="1"/>
  <c r="CW107" i="99" s="1"/>
  <c r="CS105" i="99"/>
  <c r="CT105" i="99" s="1"/>
  <c r="CU105" i="99" s="1"/>
  <c r="CV105" i="99" s="1"/>
  <c r="CW105" i="99" s="1"/>
  <c r="CS93" i="99"/>
  <c r="CT93" i="99" s="1"/>
  <c r="CU93" i="99" s="1"/>
  <c r="CV93" i="99" s="1"/>
  <c r="CW93" i="99" s="1"/>
  <c r="CS99" i="99"/>
  <c r="CT99" i="99" s="1"/>
  <c r="CU99" i="99" s="1"/>
  <c r="CV99" i="99" s="1"/>
  <c r="CW99" i="99" s="1"/>
  <c r="FM103" i="99"/>
  <c r="FN103" i="99" s="1"/>
  <c r="FO103" i="99" s="1"/>
  <c r="FP103" i="99" s="1"/>
  <c r="FQ103" i="99" s="1"/>
  <c r="FM91" i="99"/>
  <c r="FN91" i="99" s="1"/>
  <c r="FO91" i="99" s="1"/>
  <c r="FP91" i="99" s="1"/>
  <c r="FQ91" i="99" s="1"/>
  <c r="FM105" i="99"/>
  <c r="FN105" i="99" s="1"/>
  <c r="FO105" i="99" s="1"/>
  <c r="FP105" i="99" s="1"/>
  <c r="FQ105" i="99" s="1"/>
  <c r="FM75" i="99"/>
  <c r="FN75" i="99" s="1"/>
  <c r="FO75" i="99" s="1"/>
  <c r="FP75" i="99" s="1"/>
  <c r="FQ75" i="99" s="1"/>
  <c r="FM77" i="99"/>
  <c r="FN77" i="99" s="1"/>
  <c r="FO77" i="99" s="1"/>
  <c r="FP77" i="99" s="1"/>
  <c r="FQ77" i="99" s="1"/>
  <c r="FM102" i="99"/>
  <c r="FN102" i="99" s="1"/>
  <c r="FO102" i="99" s="1"/>
  <c r="FP102" i="99" s="1"/>
  <c r="FQ102" i="99" s="1"/>
  <c r="FM61" i="99"/>
  <c r="FN61" i="99" s="1"/>
  <c r="FO61" i="99" s="1"/>
  <c r="FP61" i="99" s="1"/>
  <c r="FQ61" i="99" s="1"/>
  <c r="FM71" i="99"/>
  <c r="FN71" i="99" s="1"/>
  <c r="FO71" i="99" s="1"/>
  <c r="FP71" i="99" s="1"/>
  <c r="FQ71" i="99" s="1"/>
  <c r="FM84" i="99"/>
  <c r="FN84" i="99" s="1"/>
  <c r="FO84" i="99" s="1"/>
  <c r="FP84" i="99" s="1"/>
  <c r="FQ84" i="99" s="1"/>
  <c r="FM73" i="99"/>
  <c r="FN73" i="99" s="1"/>
  <c r="FO73" i="99" s="1"/>
  <c r="FP73" i="99" s="1"/>
  <c r="FQ73" i="99" s="1"/>
  <c r="FM48" i="99"/>
  <c r="FN48" i="99" s="1"/>
  <c r="FO48" i="99" s="1"/>
  <c r="FP48" i="99" s="1"/>
  <c r="FQ48" i="99" s="1"/>
  <c r="FM34" i="99"/>
  <c r="FN34" i="99" s="1"/>
  <c r="FO34" i="99" s="1"/>
  <c r="FP34" i="99" s="1"/>
  <c r="FQ34" i="99" s="1"/>
  <c r="FM27" i="99"/>
  <c r="FN27" i="99" s="1"/>
  <c r="FO27" i="99" s="1"/>
  <c r="FP27" i="99" s="1"/>
  <c r="FQ27" i="99" s="1"/>
  <c r="FM68" i="99"/>
  <c r="FN68" i="99" s="1"/>
  <c r="FO68" i="99" s="1"/>
  <c r="FP68" i="99" s="1"/>
  <c r="FQ68" i="99" s="1"/>
  <c r="FM44" i="99"/>
  <c r="FN44" i="99" s="1"/>
  <c r="FO44" i="99" s="1"/>
  <c r="FP44" i="99" s="1"/>
  <c r="FQ44" i="99" s="1"/>
  <c r="FM50" i="99"/>
  <c r="FN50" i="99" s="1"/>
  <c r="FO50" i="99" s="1"/>
  <c r="FP50" i="99" s="1"/>
  <c r="FQ50" i="99" s="1"/>
  <c r="FM36" i="99"/>
  <c r="FN36" i="99" s="1"/>
  <c r="FO36" i="99" s="1"/>
  <c r="FP36" i="99" s="1"/>
  <c r="FQ36" i="99" s="1"/>
  <c r="FM42" i="99"/>
  <c r="FN42" i="99" s="1"/>
  <c r="FO42" i="99" s="1"/>
  <c r="FP42" i="99" s="1"/>
  <c r="FQ42" i="99" s="1"/>
  <c r="FM65" i="99"/>
  <c r="FN65" i="99" s="1"/>
  <c r="FO65" i="99" s="1"/>
  <c r="FP65" i="99" s="1"/>
  <c r="FQ65" i="99" s="1"/>
  <c r="FM13" i="99"/>
  <c r="FN13" i="99" s="1"/>
  <c r="FO13" i="99" s="1"/>
  <c r="FP13" i="99" s="1"/>
  <c r="FQ13" i="99" s="1"/>
  <c r="FM53" i="99"/>
  <c r="FN53" i="99" s="1"/>
  <c r="FO53" i="99" s="1"/>
  <c r="FP53" i="99" s="1"/>
  <c r="FQ53" i="99" s="1"/>
  <c r="FM22" i="99"/>
  <c r="FN22" i="99" s="1"/>
  <c r="FO22" i="99" s="1"/>
  <c r="FP22" i="99" s="1"/>
  <c r="FQ22" i="99" s="1"/>
  <c r="FM11" i="99"/>
  <c r="FN11" i="99" s="1"/>
  <c r="FO11" i="99" s="1"/>
  <c r="FP11" i="99" s="1"/>
  <c r="FQ11" i="99" s="1"/>
  <c r="FM15" i="99"/>
  <c r="FN15" i="99" s="1"/>
  <c r="FO15" i="99" s="1"/>
  <c r="FP15" i="99" s="1"/>
  <c r="FQ15" i="99" s="1"/>
  <c r="FM21" i="99"/>
  <c r="FN21" i="99" s="1"/>
  <c r="FO21" i="99" s="1"/>
  <c r="FP21" i="99" s="1"/>
  <c r="FQ21" i="99" s="1"/>
  <c r="FM26" i="99"/>
  <c r="FN26" i="99" s="1"/>
  <c r="FO26" i="99" s="1"/>
  <c r="FP26" i="99" s="1"/>
  <c r="FQ26" i="99" s="1"/>
  <c r="FM40" i="99"/>
  <c r="FN40" i="99" s="1"/>
  <c r="FO40" i="99" s="1"/>
  <c r="FP40" i="99" s="1"/>
  <c r="FQ40" i="99" s="1"/>
  <c r="FM24" i="99"/>
  <c r="FN24" i="99" s="1"/>
  <c r="FO24" i="99" s="1"/>
  <c r="FP24" i="99" s="1"/>
  <c r="FQ24" i="99" s="1"/>
  <c r="FM59" i="99"/>
  <c r="FN59" i="99" s="1"/>
  <c r="FO59" i="99" s="1"/>
  <c r="FP59" i="99" s="1"/>
  <c r="FQ59" i="99" s="1"/>
  <c r="FM82" i="99"/>
  <c r="FN82" i="99" s="1"/>
  <c r="FO82" i="99" s="1"/>
  <c r="FP82" i="99" s="1"/>
  <c r="FQ82" i="99" s="1"/>
  <c r="FM55" i="99"/>
  <c r="FN55" i="99" s="1"/>
  <c r="FO55" i="99" s="1"/>
  <c r="FP55" i="99" s="1"/>
  <c r="FQ55" i="99" s="1"/>
  <c r="FM28" i="99"/>
  <c r="FN28" i="99" s="1"/>
  <c r="FO28" i="99" s="1"/>
  <c r="FP28" i="99" s="1"/>
  <c r="FQ28" i="99" s="1"/>
  <c r="FM72" i="99"/>
  <c r="FN72" i="99" s="1"/>
  <c r="FO72" i="99" s="1"/>
  <c r="FP72" i="99" s="1"/>
  <c r="FQ72" i="99" s="1"/>
  <c r="FM69" i="99"/>
  <c r="FN69" i="99" s="1"/>
  <c r="FO69" i="99" s="1"/>
  <c r="FP69" i="99" s="1"/>
  <c r="FQ69" i="99" s="1"/>
  <c r="FM98" i="99"/>
  <c r="FN98" i="99" s="1"/>
  <c r="FO98" i="99" s="1"/>
  <c r="FP98" i="99" s="1"/>
  <c r="FQ98" i="99" s="1"/>
  <c r="FM45" i="99"/>
  <c r="FN45" i="99" s="1"/>
  <c r="FO45" i="99" s="1"/>
  <c r="FP45" i="99" s="1"/>
  <c r="FQ45" i="99" s="1"/>
  <c r="FM18" i="99"/>
  <c r="FN18" i="99" s="1"/>
  <c r="FO18" i="99" s="1"/>
  <c r="FP18" i="99" s="1"/>
  <c r="FQ18" i="99" s="1"/>
  <c r="FM19" i="99"/>
  <c r="FN19" i="99" s="1"/>
  <c r="FO19" i="99" s="1"/>
  <c r="FP19" i="99" s="1"/>
  <c r="FQ19" i="99" s="1"/>
  <c r="FM81" i="99"/>
  <c r="FN81" i="99" s="1"/>
  <c r="FO81" i="99" s="1"/>
  <c r="FP81" i="99" s="1"/>
  <c r="FQ81" i="99" s="1"/>
  <c r="FM49" i="99"/>
  <c r="FN49" i="99" s="1"/>
  <c r="FO49" i="99" s="1"/>
  <c r="FP49" i="99" s="1"/>
  <c r="FQ49" i="99" s="1"/>
  <c r="FM90" i="99"/>
  <c r="FN90" i="99" s="1"/>
  <c r="FO90" i="99" s="1"/>
  <c r="FP90" i="99" s="1"/>
  <c r="FQ90" i="99" s="1"/>
  <c r="FM99" i="99"/>
  <c r="FN99" i="99" s="1"/>
  <c r="FO99" i="99" s="1"/>
  <c r="FP99" i="99" s="1"/>
  <c r="FQ99" i="99" s="1"/>
  <c r="FM64" i="99"/>
  <c r="FN64" i="99" s="1"/>
  <c r="FO64" i="99" s="1"/>
  <c r="FP64" i="99" s="1"/>
  <c r="FQ64" i="99" s="1"/>
  <c r="FM92" i="99"/>
  <c r="FN92" i="99" s="1"/>
  <c r="FO92" i="99" s="1"/>
  <c r="FP92" i="99" s="1"/>
  <c r="FQ92" i="99" s="1"/>
  <c r="FM97" i="99"/>
  <c r="FN97" i="99" s="1"/>
  <c r="FO97" i="99" s="1"/>
  <c r="FP97" i="99" s="1"/>
  <c r="FQ97" i="99" s="1"/>
  <c r="FM14" i="99"/>
  <c r="FN14" i="99" s="1"/>
  <c r="FO14" i="99" s="1"/>
  <c r="FP14" i="99" s="1"/>
  <c r="FQ14" i="99" s="1"/>
  <c r="FM16" i="99"/>
  <c r="FN16" i="99" s="1"/>
  <c r="FO16" i="99" s="1"/>
  <c r="FP16" i="99" s="1"/>
  <c r="FQ16" i="99" s="1"/>
  <c r="FM12" i="99"/>
  <c r="FN12" i="99" s="1"/>
  <c r="FO12" i="99" s="1"/>
  <c r="FP12" i="99" s="1"/>
  <c r="FQ12" i="99" s="1"/>
  <c r="FM17" i="99"/>
  <c r="FN17" i="99" s="1"/>
  <c r="FO17" i="99" s="1"/>
  <c r="FP17" i="99" s="1"/>
  <c r="FQ17" i="99" s="1"/>
  <c r="FM20" i="99"/>
  <c r="FN20" i="99" s="1"/>
  <c r="FO20" i="99" s="1"/>
  <c r="FP20" i="99" s="1"/>
  <c r="FQ20" i="99" s="1"/>
  <c r="FM23" i="99"/>
  <c r="FN23" i="99" s="1"/>
  <c r="FO23" i="99" s="1"/>
  <c r="FP23" i="99" s="1"/>
  <c r="FQ23" i="99" s="1"/>
  <c r="FM9" i="99"/>
  <c r="FN9" i="99" s="1"/>
  <c r="FO9" i="99" s="1"/>
  <c r="FP9" i="99" s="1"/>
  <c r="FM32" i="99"/>
  <c r="FN32" i="99" s="1"/>
  <c r="FO32" i="99" s="1"/>
  <c r="FP32" i="99" s="1"/>
  <c r="FQ32" i="99" s="1"/>
  <c r="FM52" i="99"/>
  <c r="FN52" i="99" s="1"/>
  <c r="FO52" i="99" s="1"/>
  <c r="FP52" i="99" s="1"/>
  <c r="FQ52" i="99" s="1"/>
  <c r="FM106" i="99"/>
  <c r="FN106" i="99" s="1"/>
  <c r="FO106" i="99" s="1"/>
  <c r="FP106" i="99" s="1"/>
  <c r="FQ106" i="99" s="1"/>
  <c r="FM46" i="99"/>
  <c r="FN46" i="99" s="1"/>
  <c r="FO46" i="99" s="1"/>
  <c r="FP46" i="99" s="1"/>
  <c r="FQ46" i="99" s="1"/>
  <c r="FM35" i="99"/>
  <c r="FN35" i="99" s="1"/>
  <c r="FO35" i="99" s="1"/>
  <c r="FP35" i="99" s="1"/>
  <c r="FQ35" i="99" s="1"/>
  <c r="FM39" i="99"/>
  <c r="FN39" i="99" s="1"/>
  <c r="FO39" i="99" s="1"/>
  <c r="FP39" i="99" s="1"/>
  <c r="FQ39" i="99" s="1"/>
  <c r="FM63" i="99"/>
  <c r="FN63" i="99" s="1"/>
  <c r="FO63" i="99" s="1"/>
  <c r="FP63" i="99" s="1"/>
  <c r="FQ63" i="99" s="1"/>
  <c r="FM25" i="99"/>
  <c r="FN25" i="99" s="1"/>
  <c r="FO25" i="99" s="1"/>
  <c r="FP25" i="99" s="1"/>
  <c r="FQ25" i="99" s="1"/>
  <c r="FM58" i="99"/>
  <c r="FN58" i="99" s="1"/>
  <c r="FO58" i="99" s="1"/>
  <c r="FP58" i="99" s="1"/>
  <c r="FQ58" i="99" s="1"/>
  <c r="FM79" i="99"/>
  <c r="FN79" i="99" s="1"/>
  <c r="FO79" i="99" s="1"/>
  <c r="FP79" i="99" s="1"/>
  <c r="FQ79" i="99" s="1"/>
  <c r="FM100" i="99"/>
  <c r="FN100" i="99" s="1"/>
  <c r="FO100" i="99" s="1"/>
  <c r="FP100" i="99" s="1"/>
  <c r="FQ100" i="99" s="1"/>
  <c r="FM10" i="99"/>
  <c r="FN10" i="99" s="1"/>
  <c r="FO10" i="99" s="1"/>
  <c r="FP10" i="99" s="1"/>
  <c r="FQ10" i="99" s="1"/>
  <c r="FM60" i="99"/>
  <c r="FN60" i="99" s="1"/>
  <c r="FO60" i="99" s="1"/>
  <c r="FP60" i="99" s="1"/>
  <c r="FQ60" i="99" s="1"/>
  <c r="FM67" i="99"/>
  <c r="FN67" i="99" s="1"/>
  <c r="FO67" i="99" s="1"/>
  <c r="FP67" i="99" s="1"/>
  <c r="FQ67" i="99" s="1"/>
  <c r="FM83" i="99"/>
  <c r="FN83" i="99" s="1"/>
  <c r="FO83" i="99" s="1"/>
  <c r="FP83" i="99" s="1"/>
  <c r="FQ83" i="99" s="1"/>
  <c r="FM86" i="99"/>
  <c r="FN86" i="99" s="1"/>
  <c r="FO86" i="99" s="1"/>
  <c r="FP86" i="99" s="1"/>
  <c r="FQ86" i="99" s="1"/>
  <c r="FM89" i="99"/>
  <c r="FN89" i="99" s="1"/>
  <c r="FO89" i="99" s="1"/>
  <c r="FP89" i="99" s="1"/>
  <c r="FQ89" i="99" s="1"/>
  <c r="FM74" i="99"/>
  <c r="FN74" i="99" s="1"/>
  <c r="FO74" i="99" s="1"/>
  <c r="FP74" i="99" s="1"/>
  <c r="FQ74" i="99" s="1"/>
  <c r="FM37" i="99"/>
  <c r="FN37" i="99" s="1"/>
  <c r="FO37" i="99" s="1"/>
  <c r="FP37" i="99" s="1"/>
  <c r="FQ37" i="99" s="1"/>
  <c r="FM31" i="99"/>
  <c r="FN31" i="99" s="1"/>
  <c r="FO31" i="99" s="1"/>
  <c r="FP31" i="99" s="1"/>
  <c r="FQ31" i="99" s="1"/>
  <c r="FM57" i="99"/>
  <c r="FN57" i="99" s="1"/>
  <c r="FO57" i="99" s="1"/>
  <c r="FP57" i="99" s="1"/>
  <c r="FQ57" i="99" s="1"/>
  <c r="FM56" i="99"/>
  <c r="FN56" i="99" s="1"/>
  <c r="FO56" i="99" s="1"/>
  <c r="FP56" i="99" s="1"/>
  <c r="FQ56" i="99" s="1"/>
  <c r="FM51" i="99"/>
  <c r="FN51" i="99" s="1"/>
  <c r="FO51" i="99" s="1"/>
  <c r="FP51" i="99" s="1"/>
  <c r="FQ51" i="99" s="1"/>
  <c r="FM76" i="99"/>
  <c r="FN76" i="99" s="1"/>
  <c r="FO76" i="99" s="1"/>
  <c r="FP76" i="99" s="1"/>
  <c r="FQ76" i="99" s="1"/>
  <c r="FM54" i="99"/>
  <c r="FN54" i="99" s="1"/>
  <c r="FO54" i="99" s="1"/>
  <c r="FP54" i="99" s="1"/>
  <c r="FQ54" i="99" s="1"/>
  <c r="FM62" i="99"/>
  <c r="FN62" i="99" s="1"/>
  <c r="FO62" i="99" s="1"/>
  <c r="FP62" i="99" s="1"/>
  <c r="FQ62" i="99" s="1"/>
  <c r="FM95" i="99"/>
  <c r="FN95" i="99" s="1"/>
  <c r="FO95" i="99" s="1"/>
  <c r="FP95" i="99" s="1"/>
  <c r="FQ95" i="99" s="1"/>
  <c r="FM29" i="99"/>
  <c r="FN29" i="99" s="1"/>
  <c r="FO29" i="99" s="1"/>
  <c r="FP29" i="99" s="1"/>
  <c r="FQ29" i="99" s="1"/>
  <c r="FM38" i="99"/>
  <c r="FN38" i="99" s="1"/>
  <c r="FO38" i="99" s="1"/>
  <c r="FP38" i="99" s="1"/>
  <c r="FQ38" i="99" s="1"/>
  <c r="FM41" i="99"/>
  <c r="FN41" i="99" s="1"/>
  <c r="FO41" i="99" s="1"/>
  <c r="FP41" i="99" s="1"/>
  <c r="FQ41" i="99" s="1"/>
  <c r="FM30" i="99"/>
  <c r="FN30" i="99" s="1"/>
  <c r="FO30" i="99" s="1"/>
  <c r="FP30" i="99" s="1"/>
  <c r="FQ30" i="99" s="1"/>
  <c r="FM33" i="99"/>
  <c r="FN33" i="99" s="1"/>
  <c r="FO33" i="99" s="1"/>
  <c r="FP33" i="99" s="1"/>
  <c r="FQ33" i="99" s="1"/>
  <c r="FM66" i="99"/>
  <c r="FN66" i="99" s="1"/>
  <c r="FO66" i="99" s="1"/>
  <c r="FP66" i="99" s="1"/>
  <c r="FQ66" i="99" s="1"/>
  <c r="FM43" i="99"/>
  <c r="FN43" i="99" s="1"/>
  <c r="FO43" i="99" s="1"/>
  <c r="FP43" i="99" s="1"/>
  <c r="FQ43" i="99" s="1"/>
  <c r="FM47" i="99"/>
  <c r="FN47" i="99" s="1"/>
  <c r="FO47" i="99" s="1"/>
  <c r="FP47" i="99" s="1"/>
  <c r="FQ47" i="99" s="1"/>
  <c r="FM87" i="99"/>
  <c r="FN87" i="99" s="1"/>
  <c r="FO87" i="99" s="1"/>
  <c r="FP87" i="99" s="1"/>
  <c r="FQ87" i="99" s="1"/>
  <c r="FM78" i="99"/>
  <c r="FN78" i="99" s="1"/>
  <c r="FO78" i="99" s="1"/>
  <c r="FP78" i="99" s="1"/>
  <c r="FQ78" i="99" s="1"/>
  <c r="FM101" i="99"/>
  <c r="FN101" i="99" s="1"/>
  <c r="FO101" i="99" s="1"/>
  <c r="FP101" i="99" s="1"/>
  <c r="FQ101" i="99" s="1"/>
  <c r="FM96" i="99"/>
  <c r="FN96" i="99" s="1"/>
  <c r="FO96" i="99" s="1"/>
  <c r="FP96" i="99" s="1"/>
  <c r="FQ96" i="99" s="1"/>
  <c r="FM80" i="99"/>
  <c r="FN80" i="99" s="1"/>
  <c r="FO80" i="99" s="1"/>
  <c r="FP80" i="99" s="1"/>
  <c r="FQ80" i="99" s="1"/>
  <c r="FM70" i="99"/>
  <c r="FN70" i="99" s="1"/>
  <c r="FO70" i="99" s="1"/>
  <c r="FP70" i="99" s="1"/>
  <c r="FQ70" i="99" s="1"/>
  <c r="FM104" i="99"/>
  <c r="FN104" i="99" s="1"/>
  <c r="FO104" i="99" s="1"/>
  <c r="FP104" i="99" s="1"/>
  <c r="FQ104" i="99" s="1"/>
  <c r="FM108" i="99"/>
  <c r="FN108" i="99" s="1"/>
  <c r="FO108" i="99" s="1"/>
  <c r="FP108" i="99" s="1"/>
  <c r="FQ108" i="99" s="1"/>
  <c r="FM85" i="99"/>
  <c r="FN85" i="99" s="1"/>
  <c r="FO85" i="99" s="1"/>
  <c r="FP85" i="99" s="1"/>
  <c r="FQ85" i="99" s="1"/>
  <c r="FM93" i="99"/>
  <c r="FN93" i="99" s="1"/>
  <c r="FO93" i="99" s="1"/>
  <c r="FP93" i="99" s="1"/>
  <c r="FQ93" i="99" s="1"/>
  <c r="FM94" i="99"/>
  <c r="FN94" i="99" s="1"/>
  <c r="FO94" i="99" s="1"/>
  <c r="FP94" i="99" s="1"/>
  <c r="FQ94" i="99" s="1"/>
  <c r="FM88" i="99"/>
  <c r="FN88" i="99" s="1"/>
  <c r="FO88" i="99" s="1"/>
  <c r="FP88" i="99" s="1"/>
  <c r="FQ88" i="99" s="1"/>
  <c r="FM107" i="99"/>
  <c r="FN107" i="99" s="1"/>
  <c r="FO107" i="99" s="1"/>
  <c r="FP107" i="99" s="1"/>
  <c r="FQ107" i="99" s="1"/>
  <c r="FS108" i="99"/>
  <c r="FT108" i="99" s="1"/>
  <c r="FU108" i="99" s="1"/>
  <c r="FV108" i="99" s="1"/>
  <c r="FW108" i="99" s="1"/>
  <c r="FS93" i="99"/>
  <c r="FT93" i="99" s="1"/>
  <c r="FU93" i="99" s="1"/>
  <c r="FV93" i="99" s="1"/>
  <c r="FW93" i="99" s="1"/>
  <c r="FS95" i="99"/>
  <c r="FT95" i="99" s="1"/>
  <c r="FU95" i="99" s="1"/>
  <c r="FV95" i="99" s="1"/>
  <c r="FW95" i="99" s="1"/>
  <c r="FS77" i="99"/>
  <c r="FT77" i="99" s="1"/>
  <c r="FU77" i="99" s="1"/>
  <c r="FV77" i="99" s="1"/>
  <c r="FW77" i="99" s="1"/>
  <c r="FS92" i="99"/>
  <c r="FT92" i="99" s="1"/>
  <c r="FU92" i="99" s="1"/>
  <c r="FV92" i="99" s="1"/>
  <c r="FW92" i="99" s="1"/>
  <c r="FS84" i="99"/>
  <c r="FT84" i="99" s="1"/>
  <c r="FU84" i="99" s="1"/>
  <c r="FV84" i="99" s="1"/>
  <c r="FW84" i="99" s="1"/>
  <c r="FS48" i="99"/>
  <c r="FT48" i="99" s="1"/>
  <c r="FU48" i="99" s="1"/>
  <c r="FV48" i="99" s="1"/>
  <c r="FW48" i="99" s="1"/>
  <c r="FS62" i="99"/>
  <c r="FT62" i="99" s="1"/>
  <c r="FU62" i="99" s="1"/>
  <c r="FV62" i="99" s="1"/>
  <c r="FW62" i="99" s="1"/>
  <c r="FS106" i="99"/>
  <c r="FT106" i="99" s="1"/>
  <c r="FU106" i="99" s="1"/>
  <c r="FV106" i="99" s="1"/>
  <c r="FW106" i="99" s="1"/>
  <c r="FS98" i="99"/>
  <c r="FT98" i="99" s="1"/>
  <c r="FU98" i="99" s="1"/>
  <c r="FV98" i="99" s="1"/>
  <c r="FW98" i="99" s="1"/>
  <c r="FS49" i="99"/>
  <c r="FT49" i="99" s="1"/>
  <c r="FU49" i="99" s="1"/>
  <c r="FV49" i="99" s="1"/>
  <c r="FW49" i="99" s="1"/>
  <c r="FS40" i="99"/>
  <c r="FT40" i="99" s="1"/>
  <c r="FU40" i="99" s="1"/>
  <c r="FV40" i="99" s="1"/>
  <c r="FW40" i="99" s="1"/>
  <c r="FS54" i="99"/>
  <c r="FT54" i="99" s="1"/>
  <c r="FU54" i="99" s="1"/>
  <c r="FV54" i="99" s="1"/>
  <c r="FW54" i="99" s="1"/>
  <c r="FS42" i="99"/>
  <c r="FT42" i="99" s="1"/>
  <c r="FU42" i="99" s="1"/>
  <c r="FV42" i="99" s="1"/>
  <c r="FW42" i="99" s="1"/>
  <c r="FS36" i="99"/>
  <c r="FT36" i="99" s="1"/>
  <c r="FU36" i="99" s="1"/>
  <c r="FV36" i="99" s="1"/>
  <c r="FW36" i="99" s="1"/>
  <c r="FS33" i="99"/>
  <c r="FT33" i="99" s="1"/>
  <c r="FU33" i="99" s="1"/>
  <c r="FV33" i="99" s="1"/>
  <c r="FW33" i="99" s="1"/>
  <c r="FS97" i="99"/>
  <c r="FT97" i="99" s="1"/>
  <c r="FU97" i="99" s="1"/>
  <c r="FV97" i="99" s="1"/>
  <c r="FW97" i="99" s="1"/>
  <c r="FS35" i="99"/>
  <c r="FT35" i="99" s="1"/>
  <c r="FU35" i="99" s="1"/>
  <c r="FV35" i="99" s="1"/>
  <c r="FW35" i="99" s="1"/>
  <c r="FS26" i="99"/>
  <c r="FT26" i="99" s="1"/>
  <c r="FU26" i="99" s="1"/>
  <c r="FV26" i="99" s="1"/>
  <c r="FW26" i="99" s="1"/>
  <c r="FS25" i="99"/>
  <c r="FT25" i="99" s="1"/>
  <c r="FU25" i="99" s="1"/>
  <c r="FV25" i="99" s="1"/>
  <c r="FW25" i="99" s="1"/>
  <c r="FS65" i="99"/>
  <c r="FT65" i="99" s="1"/>
  <c r="FU65" i="99" s="1"/>
  <c r="FV65" i="99" s="1"/>
  <c r="FW65" i="99" s="1"/>
  <c r="FS41" i="99"/>
  <c r="FT41" i="99" s="1"/>
  <c r="FU41" i="99" s="1"/>
  <c r="FV41" i="99" s="1"/>
  <c r="FW41" i="99" s="1"/>
  <c r="FS29" i="99"/>
  <c r="FT29" i="99" s="1"/>
  <c r="FU29" i="99" s="1"/>
  <c r="FV29" i="99" s="1"/>
  <c r="FW29" i="99" s="1"/>
  <c r="FS22" i="99"/>
  <c r="FT22" i="99" s="1"/>
  <c r="FU22" i="99" s="1"/>
  <c r="FV22" i="99" s="1"/>
  <c r="FW22" i="99" s="1"/>
  <c r="FS17" i="99"/>
  <c r="FT17" i="99" s="1"/>
  <c r="FU17" i="99" s="1"/>
  <c r="FV17" i="99" s="1"/>
  <c r="FW17" i="99" s="1"/>
  <c r="FS34" i="99"/>
  <c r="FT34" i="99" s="1"/>
  <c r="FU34" i="99" s="1"/>
  <c r="FV34" i="99" s="1"/>
  <c r="FW34" i="99" s="1"/>
  <c r="FS21" i="99"/>
  <c r="FT21" i="99" s="1"/>
  <c r="FU21" i="99" s="1"/>
  <c r="FV21" i="99" s="1"/>
  <c r="FW21" i="99" s="1"/>
  <c r="FS50" i="99"/>
  <c r="FT50" i="99" s="1"/>
  <c r="FU50" i="99" s="1"/>
  <c r="FV50" i="99" s="1"/>
  <c r="FW50" i="99" s="1"/>
  <c r="FS27" i="99"/>
  <c r="FT27" i="99" s="1"/>
  <c r="FU27" i="99" s="1"/>
  <c r="FV27" i="99" s="1"/>
  <c r="FW27" i="99" s="1"/>
  <c r="FS43" i="99"/>
  <c r="FT43" i="99" s="1"/>
  <c r="FU43" i="99" s="1"/>
  <c r="FV43" i="99" s="1"/>
  <c r="FW43" i="99" s="1"/>
  <c r="FS103" i="99"/>
  <c r="FT103" i="99" s="1"/>
  <c r="FU103" i="99" s="1"/>
  <c r="FV103" i="99" s="1"/>
  <c r="FW103" i="99" s="1"/>
  <c r="FS74" i="99"/>
  <c r="FT74" i="99" s="1"/>
  <c r="FU74" i="99" s="1"/>
  <c r="FV74" i="99" s="1"/>
  <c r="FW74" i="99" s="1"/>
  <c r="FS100" i="99"/>
  <c r="FT100" i="99" s="1"/>
  <c r="FU100" i="99" s="1"/>
  <c r="FV100" i="99" s="1"/>
  <c r="FW100" i="99" s="1"/>
  <c r="FS69" i="99"/>
  <c r="FT69" i="99" s="1"/>
  <c r="FU69" i="99" s="1"/>
  <c r="FV69" i="99" s="1"/>
  <c r="FW69" i="99" s="1"/>
  <c r="FS44" i="99"/>
  <c r="FT44" i="99" s="1"/>
  <c r="FU44" i="99" s="1"/>
  <c r="FV44" i="99" s="1"/>
  <c r="FW44" i="99" s="1"/>
  <c r="FS85" i="99"/>
  <c r="FT85" i="99" s="1"/>
  <c r="FU85" i="99" s="1"/>
  <c r="FV85" i="99" s="1"/>
  <c r="FW85" i="99" s="1"/>
  <c r="FS10" i="99"/>
  <c r="FT10" i="99" s="1"/>
  <c r="FU10" i="99" s="1"/>
  <c r="FV10" i="99" s="1"/>
  <c r="FW10" i="99" s="1"/>
  <c r="FS70" i="99"/>
  <c r="FT70" i="99" s="1"/>
  <c r="FU70" i="99" s="1"/>
  <c r="FV70" i="99" s="1"/>
  <c r="FW70" i="99" s="1"/>
  <c r="FS58" i="99"/>
  <c r="FT58" i="99" s="1"/>
  <c r="FU58" i="99" s="1"/>
  <c r="FV58" i="99" s="1"/>
  <c r="FW58" i="99" s="1"/>
  <c r="FS53" i="99"/>
  <c r="FT53" i="99" s="1"/>
  <c r="FU53" i="99" s="1"/>
  <c r="FV53" i="99" s="1"/>
  <c r="FW53" i="99" s="1"/>
  <c r="FS78" i="99"/>
  <c r="FT78" i="99" s="1"/>
  <c r="FU78" i="99" s="1"/>
  <c r="FV78" i="99" s="1"/>
  <c r="FW78" i="99" s="1"/>
  <c r="FS32" i="99"/>
  <c r="FT32" i="99" s="1"/>
  <c r="FU32" i="99" s="1"/>
  <c r="FV32" i="99" s="1"/>
  <c r="FW32" i="99" s="1"/>
  <c r="FS12" i="99"/>
  <c r="FT12" i="99" s="1"/>
  <c r="FU12" i="99" s="1"/>
  <c r="FV12" i="99" s="1"/>
  <c r="FW12" i="99" s="1"/>
  <c r="FS61" i="99"/>
  <c r="FT61" i="99" s="1"/>
  <c r="FU61" i="99" s="1"/>
  <c r="FV61" i="99" s="1"/>
  <c r="FW61" i="99" s="1"/>
  <c r="FS90" i="99"/>
  <c r="FT90" i="99" s="1"/>
  <c r="FU90" i="99" s="1"/>
  <c r="FV90" i="99" s="1"/>
  <c r="FW90" i="99" s="1"/>
  <c r="FS9" i="99"/>
  <c r="FT9" i="99" s="1"/>
  <c r="FU9" i="99" s="1"/>
  <c r="FV9" i="99" s="1"/>
  <c r="FS14" i="99"/>
  <c r="FT14" i="99" s="1"/>
  <c r="FU14" i="99" s="1"/>
  <c r="FV14" i="99" s="1"/>
  <c r="FW14" i="99" s="1"/>
  <c r="FS63" i="99"/>
  <c r="FT63" i="99" s="1"/>
  <c r="FU63" i="99" s="1"/>
  <c r="FV63" i="99" s="1"/>
  <c r="FW63" i="99" s="1"/>
  <c r="FS24" i="99"/>
  <c r="FT24" i="99" s="1"/>
  <c r="FU24" i="99" s="1"/>
  <c r="FV24" i="99" s="1"/>
  <c r="FW24" i="99" s="1"/>
  <c r="FS11" i="99"/>
  <c r="FT11" i="99" s="1"/>
  <c r="FU11" i="99" s="1"/>
  <c r="FV11" i="99" s="1"/>
  <c r="FW11" i="99" s="1"/>
  <c r="FS81" i="99"/>
  <c r="FT81" i="99" s="1"/>
  <c r="FU81" i="99" s="1"/>
  <c r="FV81" i="99" s="1"/>
  <c r="FW81" i="99" s="1"/>
  <c r="FS66" i="99"/>
  <c r="FT66" i="99" s="1"/>
  <c r="FU66" i="99" s="1"/>
  <c r="FV66" i="99" s="1"/>
  <c r="FW66" i="99" s="1"/>
  <c r="FS73" i="99"/>
  <c r="FT73" i="99" s="1"/>
  <c r="FU73" i="99" s="1"/>
  <c r="FV73" i="99" s="1"/>
  <c r="FW73" i="99" s="1"/>
  <c r="FS15" i="99"/>
  <c r="FT15" i="99" s="1"/>
  <c r="FU15" i="99" s="1"/>
  <c r="FV15" i="99" s="1"/>
  <c r="FW15" i="99" s="1"/>
  <c r="FS18" i="99"/>
  <c r="FT18" i="99" s="1"/>
  <c r="FU18" i="99" s="1"/>
  <c r="FV18" i="99" s="1"/>
  <c r="FW18" i="99" s="1"/>
  <c r="FS28" i="99"/>
  <c r="FT28" i="99" s="1"/>
  <c r="FU28" i="99" s="1"/>
  <c r="FV28" i="99" s="1"/>
  <c r="FW28" i="99" s="1"/>
  <c r="FS16" i="99"/>
  <c r="FT16" i="99" s="1"/>
  <c r="FU16" i="99" s="1"/>
  <c r="FV16" i="99" s="1"/>
  <c r="FW16" i="99" s="1"/>
  <c r="FS30" i="99"/>
  <c r="FT30" i="99" s="1"/>
  <c r="FU30" i="99" s="1"/>
  <c r="FV30" i="99" s="1"/>
  <c r="FW30" i="99" s="1"/>
  <c r="FS20" i="99"/>
  <c r="FT20" i="99" s="1"/>
  <c r="FU20" i="99" s="1"/>
  <c r="FV20" i="99" s="1"/>
  <c r="FW20" i="99" s="1"/>
  <c r="FS64" i="99"/>
  <c r="FT64" i="99" s="1"/>
  <c r="FU64" i="99" s="1"/>
  <c r="FV64" i="99" s="1"/>
  <c r="FW64" i="99" s="1"/>
  <c r="FS89" i="99"/>
  <c r="FT89" i="99" s="1"/>
  <c r="FU89" i="99" s="1"/>
  <c r="FV89" i="99" s="1"/>
  <c r="FW89" i="99" s="1"/>
  <c r="FS37" i="99"/>
  <c r="FT37" i="99" s="1"/>
  <c r="FU37" i="99" s="1"/>
  <c r="FV37" i="99" s="1"/>
  <c r="FW37" i="99" s="1"/>
  <c r="FS56" i="99"/>
  <c r="FT56" i="99" s="1"/>
  <c r="FU56" i="99" s="1"/>
  <c r="FV56" i="99" s="1"/>
  <c r="FW56" i="99" s="1"/>
  <c r="FS39" i="99"/>
  <c r="FT39" i="99" s="1"/>
  <c r="FU39" i="99" s="1"/>
  <c r="FV39" i="99" s="1"/>
  <c r="FW39" i="99" s="1"/>
  <c r="FS76" i="99"/>
  <c r="FT76" i="99" s="1"/>
  <c r="FU76" i="99" s="1"/>
  <c r="FV76" i="99" s="1"/>
  <c r="FW76" i="99" s="1"/>
  <c r="FS46" i="99"/>
  <c r="FT46" i="99" s="1"/>
  <c r="FU46" i="99" s="1"/>
  <c r="FV46" i="99" s="1"/>
  <c r="FW46" i="99" s="1"/>
  <c r="FS60" i="99"/>
  <c r="FT60" i="99" s="1"/>
  <c r="FU60" i="99" s="1"/>
  <c r="FV60" i="99" s="1"/>
  <c r="FW60" i="99" s="1"/>
  <c r="FS51" i="99"/>
  <c r="FT51" i="99" s="1"/>
  <c r="FU51" i="99" s="1"/>
  <c r="FV51" i="99" s="1"/>
  <c r="FW51" i="99" s="1"/>
  <c r="FS13" i="99"/>
  <c r="FT13" i="99" s="1"/>
  <c r="FU13" i="99" s="1"/>
  <c r="FV13" i="99" s="1"/>
  <c r="FW13" i="99" s="1"/>
  <c r="FS23" i="99"/>
  <c r="FT23" i="99" s="1"/>
  <c r="FU23" i="99" s="1"/>
  <c r="FV23" i="99" s="1"/>
  <c r="FW23" i="99" s="1"/>
  <c r="FS31" i="99"/>
  <c r="FT31" i="99" s="1"/>
  <c r="FU31" i="99" s="1"/>
  <c r="FV31" i="99" s="1"/>
  <c r="FW31" i="99" s="1"/>
  <c r="FS57" i="99"/>
  <c r="FT57" i="99" s="1"/>
  <c r="FU57" i="99" s="1"/>
  <c r="FV57" i="99" s="1"/>
  <c r="FW57" i="99" s="1"/>
  <c r="FS55" i="99"/>
  <c r="FT55" i="99" s="1"/>
  <c r="FU55" i="99" s="1"/>
  <c r="FV55" i="99" s="1"/>
  <c r="FW55" i="99" s="1"/>
  <c r="FS72" i="99"/>
  <c r="FT72" i="99" s="1"/>
  <c r="FU72" i="99" s="1"/>
  <c r="FV72" i="99" s="1"/>
  <c r="FW72" i="99" s="1"/>
  <c r="FS79" i="99"/>
  <c r="FT79" i="99" s="1"/>
  <c r="FU79" i="99" s="1"/>
  <c r="FV79" i="99" s="1"/>
  <c r="FW79" i="99" s="1"/>
  <c r="FS87" i="99"/>
  <c r="FT87" i="99" s="1"/>
  <c r="FU87" i="99" s="1"/>
  <c r="FV87" i="99" s="1"/>
  <c r="FW87" i="99" s="1"/>
  <c r="FS82" i="99"/>
  <c r="FT82" i="99" s="1"/>
  <c r="FU82" i="99" s="1"/>
  <c r="FV82" i="99" s="1"/>
  <c r="FW82" i="99" s="1"/>
  <c r="FS101" i="99"/>
  <c r="FT101" i="99" s="1"/>
  <c r="FU101" i="99" s="1"/>
  <c r="FV101" i="99" s="1"/>
  <c r="FW101" i="99" s="1"/>
  <c r="FS94" i="99"/>
  <c r="FT94" i="99" s="1"/>
  <c r="FU94" i="99" s="1"/>
  <c r="FV94" i="99" s="1"/>
  <c r="FW94" i="99" s="1"/>
  <c r="FS19" i="99"/>
  <c r="FT19" i="99" s="1"/>
  <c r="FU19" i="99" s="1"/>
  <c r="FV19" i="99" s="1"/>
  <c r="FW19" i="99" s="1"/>
  <c r="FS45" i="99"/>
  <c r="FT45" i="99" s="1"/>
  <c r="FU45" i="99" s="1"/>
  <c r="FV45" i="99" s="1"/>
  <c r="FW45" i="99" s="1"/>
  <c r="FS68" i="99"/>
  <c r="FT68" i="99" s="1"/>
  <c r="FU68" i="99" s="1"/>
  <c r="FV68" i="99" s="1"/>
  <c r="FW68" i="99" s="1"/>
  <c r="FS67" i="99"/>
  <c r="FT67" i="99" s="1"/>
  <c r="FU67" i="99" s="1"/>
  <c r="FV67" i="99" s="1"/>
  <c r="FW67" i="99" s="1"/>
  <c r="FS80" i="99"/>
  <c r="FT80" i="99" s="1"/>
  <c r="FU80" i="99" s="1"/>
  <c r="FV80" i="99" s="1"/>
  <c r="FW80" i="99" s="1"/>
  <c r="FS38" i="99"/>
  <c r="FT38" i="99" s="1"/>
  <c r="FU38" i="99" s="1"/>
  <c r="FV38" i="99" s="1"/>
  <c r="FW38" i="99" s="1"/>
  <c r="FS47" i="99"/>
  <c r="FT47" i="99" s="1"/>
  <c r="FU47" i="99" s="1"/>
  <c r="FV47" i="99" s="1"/>
  <c r="FW47" i="99" s="1"/>
  <c r="FS52" i="99"/>
  <c r="FT52" i="99" s="1"/>
  <c r="FU52" i="99" s="1"/>
  <c r="FV52" i="99" s="1"/>
  <c r="FW52" i="99" s="1"/>
  <c r="FS71" i="99"/>
  <c r="FT71" i="99" s="1"/>
  <c r="FU71" i="99" s="1"/>
  <c r="FV71" i="99" s="1"/>
  <c r="FW71" i="99" s="1"/>
  <c r="FS75" i="99"/>
  <c r="FT75" i="99" s="1"/>
  <c r="FU75" i="99" s="1"/>
  <c r="FV75" i="99" s="1"/>
  <c r="FW75" i="99" s="1"/>
  <c r="FS86" i="99"/>
  <c r="FT86" i="99" s="1"/>
  <c r="FU86" i="99" s="1"/>
  <c r="FV86" i="99" s="1"/>
  <c r="FW86" i="99" s="1"/>
  <c r="FS91" i="99"/>
  <c r="FT91" i="99" s="1"/>
  <c r="FU91" i="99" s="1"/>
  <c r="FV91" i="99" s="1"/>
  <c r="FW91" i="99" s="1"/>
  <c r="FS88" i="99"/>
  <c r="FT88" i="99" s="1"/>
  <c r="FU88" i="99" s="1"/>
  <c r="FV88" i="99" s="1"/>
  <c r="FW88" i="99" s="1"/>
  <c r="FS59" i="99"/>
  <c r="FT59" i="99" s="1"/>
  <c r="FU59" i="99" s="1"/>
  <c r="FV59" i="99" s="1"/>
  <c r="FW59" i="99" s="1"/>
  <c r="FS83" i="99"/>
  <c r="FT83" i="99" s="1"/>
  <c r="FU83" i="99" s="1"/>
  <c r="FV83" i="99" s="1"/>
  <c r="FW83" i="99" s="1"/>
  <c r="FS96" i="99"/>
  <c r="FT96" i="99" s="1"/>
  <c r="FU96" i="99" s="1"/>
  <c r="FV96" i="99" s="1"/>
  <c r="FW96" i="99" s="1"/>
  <c r="FS102" i="99"/>
  <c r="FT102" i="99" s="1"/>
  <c r="FU102" i="99" s="1"/>
  <c r="FV102" i="99" s="1"/>
  <c r="FW102" i="99" s="1"/>
  <c r="FS99" i="99"/>
  <c r="FT99" i="99" s="1"/>
  <c r="FU99" i="99" s="1"/>
  <c r="FV99" i="99" s="1"/>
  <c r="FW99" i="99" s="1"/>
  <c r="FS104" i="99"/>
  <c r="FT104" i="99" s="1"/>
  <c r="FU104" i="99" s="1"/>
  <c r="FV104" i="99" s="1"/>
  <c r="FW104" i="99" s="1"/>
  <c r="FS105" i="99"/>
  <c r="FT105" i="99" s="1"/>
  <c r="FU105" i="99" s="1"/>
  <c r="FV105" i="99" s="1"/>
  <c r="FW105" i="99" s="1"/>
  <c r="FS107" i="99"/>
  <c r="FT107" i="99" s="1"/>
  <c r="FU107" i="99" s="1"/>
  <c r="FV107" i="99" s="1"/>
  <c r="FW107" i="99" s="1"/>
  <c r="FG77" i="99"/>
  <c r="FH77" i="99" s="1"/>
  <c r="FI77" i="99" s="1"/>
  <c r="FJ77" i="99" s="1"/>
  <c r="FK77" i="99" s="1"/>
  <c r="FG68" i="99"/>
  <c r="FH68" i="99" s="1"/>
  <c r="FI68" i="99" s="1"/>
  <c r="FJ68" i="99" s="1"/>
  <c r="FK68" i="99" s="1"/>
  <c r="FG96" i="99"/>
  <c r="FH96" i="99" s="1"/>
  <c r="FI96" i="99" s="1"/>
  <c r="FJ96" i="99" s="1"/>
  <c r="FK96" i="99" s="1"/>
  <c r="FG93" i="99"/>
  <c r="FH93" i="99" s="1"/>
  <c r="FI93" i="99" s="1"/>
  <c r="FJ93" i="99" s="1"/>
  <c r="FK93" i="99" s="1"/>
  <c r="FG100" i="99"/>
  <c r="FH100" i="99" s="1"/>
  <c r="FI100" i="99" s="1"/>
  <c r="FJ100" i="99" s="1"/>
  <c r="FK100" i="99" s="1"/>
  <c r="FG84" i="99"/>
  <c r="FH84" i="99" s="1"/>
  <c r="FI84" i="99" s="1"/>
  <c r="FJ84" i="99" s="1"/>
  <c r="FK84" i="99" s="1"/>
  <c r="FG83" i="99"/>
  <c r="FH83" i="99" s="1"/>
  <c r="FI83" i="99" s="1"/>
  <c r="FJ83" i="99" s="1"/>
  <c r="FK83" i="99" s="1"/>
  <c r="FG62" i="99"/>
  <c r="FH62" i="99" s="1"/>
  <c r="FI62" i="99" s="1"/>
  <c r="FJ62" i="99" s="1"/>
  <c r="FK62" i="99" s="1"/>
  <c r="FG47" i="99"/>
  <c r="FH47" i="99" s="1"/>
  <c r="FI47" i="99" s="1"/>
  <c r="FJ47" i="99" s="1"/>
  <c r="FK47" i="99" s="1"/>
  <c r="FG85" i="99"/>
  <c r="FH85" i="99" s="1"/>
  <c r="FI85" i="99" s="1"/>
  <c r="FJ85" i="99" s="1"/>
  <c r="FK85" i="99" s="1"/>
  <c r="FG54" i="99"/>
  <c r="FH54" i="99" s="1"/>
  <c r="FI54" i="99" s="1"/>
  <c r="FJ54" i="99" s="1"/>
  <c r="FK54" i="99" s="1"/>
  <c r="FG46" i="99"/>
  <c r="FH46" i="99" s="1"/>
  <c r="FI46" i="99" s="1"/>
  <c r="FJ46" i="99" s="1"/>
  <c r="FK46" i="99" s="1"/>
  <c r="FG61" i="99"/>
  <c r="FH61" i="99" s="1"/>
  <c r="FI61" i="99" s="1"/>
  <c r="FJ61" i="99" s="1"/>
  <c r="FK61" i="99" s="1"/>
  <c r="FG26" i="99"/>
  <c r="FH26" i="99" s="1"/>
  <c r="FI26" i="99" s="1"/>
  <c r="FJ26" i="99" s="1"/>
  <c r="FK26" i="99" s="1"/>
  <c r="FG34" i="99"/>
  <c r="FH34" i="99" s="1"/>
  <c r="FI34" i="99" s="1"/>
  <c r="FJ34" i="99" s="1"/>
  <c r="FK34" i="99" s="1"/>
  <c r="FG53" i="99"/>
  <c r="FH53" i="99" s="1"/>
  <c r="FI53" i="99" s="1"/>
  <c r="FJ53" i="99" s="1"/>
  <c r="FK53" i="99" s="1"/>
  <c r="FG51" i="99"/>
  <c r="FH51" i="99" s="1"/>
  <c r="FI51" i="99" s="1"/>
  <c r="FJ51" i="99" s="1"/>
  <c r="FK51" i="99" s="1"/>
  <c r="FG40" i="99"/>
  <c r="FH40" i="99" s="1"/>
  <c r="FI40" i="99" s="1"/>
  <c r="FJ40" i="99" s="1"/>
  <c r="FK40" i="99" s="1"/>
  <c r="FG33" i="99"/>
  <c r="FH33" i="99" s="1"/>
  <c r="FI33" i="99" s="1"/>
  <c r="FJ33" i="99" s="1"/>
  <c r="FK33" i="99" s="1"/>
  <c r="FG21" i="99"/>
  <c r="FH21" i="99" s="1"/>
  <c r="FI21" i="99" s="1"/>
  <c r="FJ21" i="99" s="1"/>
  <c r="FK21" i="99" s="1"/>
  <c r="FG25" i="99"/>
  <c r="FH25" i="99" s="1"/>
  <c r="FI25" i="99" s="1"/>
  <c r="FJ25" i="99" s="1"/>
  <c r="FK25" i="99" s="1"/>
  <c r="FG22" i="99"/>
  <c r="FH22" i="99" s="1"/>
  <c r="FI22" i="99" s="1"/>
  <c r="FJ22" i="99" s="1"/>
  <c r="FK22" i="99" s="1"/>
  <c r="FG52" i="99"/>
  <c r="FH52" i="99" s="1"/>
  <c r="FI52" i="99" s="1"/>
  <c r="FJ52" i="99" s="1"/>
  <c r="FK52" i="99" s="1"/>
  <c r="FG17" i="99"/>
  <c r="FH17" i="99" s="1"/>
  <c r="FI17" i="99" s="1"/>
  <c r="FJ17" i="99" s="1"/>
  <c r="FK17" i="99" s="1"/>
  <c r="FG42" i="99"/>
  <c r="FH42" i="99" s="1"/>
  <c r="FI42" i="99" s="1"/>
  <c r="FJ42" i="99" s="1"/>
  <c r="FK42" i="99" s="1"/>
  <c r="FG30" i="99"/>
  <c r="FH30" i="99" s="1"/>
  <c r="FI30" i="99" s="1"/>
  <c r="FJ30" i="99" s="1"/>
  <c r="FK30" i="99" s="1"/>
  <c r="FG24" i="99"/>
  <c r="FH24" i="99" s="1"/>
  <c r="FI24" i="99" s="1"/>
  <c r="FJ24" i="99" s="1"/>
  <c r="FK24" i="99" s="1"/>
  <c r="FG60" i="99"/>
  <c r="FH60" i="99" s="1"/>
  <c r="FI60" i="99" s="1"/>
  <c r="FJ60" i="99" s="1"/>
  <c r="FK60" i="99" s="1"/>
  <c r="FG41" i="99"/>
  <c r="FH41" i="99" s="1"/>
  <c r="FI41" i="99" s="1"/>
  <c r="FJ41" i="99" s="1"/>
  <c r="FK41" i="99" s="1"/>
  <c r="FG9" i="99"/>
  <c r="FH9" i="99" s="1"/>
  <c r="FI9" i="99" s="1"/>
  <c r="FJ9" i="99" s="1"/>
  <c r="FG18" i="99"/>
  <c r="FH18" i="99" s="1"/>
  <c r="FI18" i="99" s="1"/>
  <c r="FJ18" i="99" s="1"/>
  <c r="FK18" i="99" s="1"/>
  <c r="FG65" i="99"/>
  <c r="FH65" i="99" s="1"/>
  <c r="FI65" i="99" s="1"/>
  <c r="FJ65" i="99" s="1"/>
  <c r="FK65" i="99" s="1"/>
  <c r="FG39" i="99"/>
  <c r="FH39" i="99" s="1"/>
  <c r="FI39" i="99" s="1"/>
  <c r="FJ39" i="99" s="1"/>
  <c r="FK39" i="99" s="1"/>
  <c r="FG70" i="99"/>
  <c r="FH70" i="99" s="1"/>
  <c r="FI70" i="99" s="1"/>
  <c r="FJ70" i="99" s="1"/>
  <c r="FK70" i="99" s="1"/>
  <c r="FG73" i="99"/>
  <c r="FH73" i="99" s="1"/>
  <c r="FI73" i="99" s="1"/>
  <c r="FJ73" i="99" s="1"/>
  <c r="FK73" i="99" s="1"/>
  <c r="FG15" i="99"/>
  <c r="FH15" i="99" s="1"/>
  <c r="FI15" i="99" s="1"/>
  <c r="FJ15" i="99" s="1"/>
  <c r="FK15" i="99" s="1"/>
  <c r="FG13" i="99"/>
  <c r="FH13" i="99" s="1"/>
  <c r="FI13" i="99" s="1"/>
  <c r="FJ13" i="99" s="1"/>
  <c r="FK13" i="99" s="1"/>
  <c r="FG32" i="99"/>
  <c r="FH32" i="99" s="1"/>
  <c r="FI32" i="99" s="1"/>
  <c r="FJ32" i="99" s="1"/>
  <c r="FK32" i="99" s="1"/>
  <c r="FG59" i="99"/>
  <c r="FH59" i="99" s="1"/>
  <c r="FI59" i="99" s="1"/>
  <c r="FJ59" i="99" s="1"/>
  <c r="FK59" i="99" s="1"/>
  <c r="FG69" i="99"/>
  <c r="FH69" i="99" s="1"/>
  <c r="FI69" i="99" s="1"/>
  <c r="FJ69" i="99" s="1"/>
  <c r="FK69" i="99" s="1"/>
  <c r="FG82" i="99"/>
  <c r="FH82" i="99" s="1"/>
  <c r="FI82" i="99" s="1"/>
  <c r="FJ82" i="99" s="1"/>
  <c r="FK82" i="99" s="1"/>
  <c r="FG98" i="99"/>
  <c r="FH98" i="99" s="1"/>
  <c r="FI98" i="99" s="1"/>
  <c r="FJ98" i="99" s="1"/>
  <c r="FK98" i="99" s="1"/>
  <c r="FG10" i="99"/>
  <c r="FH10" i="99" s="1"/>
  <c r="FI10" i="99" s="1"/>
  <c r="FJ10" i="99" s="1"/>
  <c r="FK10" i="99" s="1"/>
  <c r="FG31" i="99"/>
  <c r="FH31" i="99" s="1"/>
  <c r="FI31" i="99" s="1"/>
  <c r="FJ31" i="99" s="1"/>
  <c r="FK31" i="99" s="1"/>
  <c r="FG81" i="99"/>
  <c r="FH81" i="99" s="1"/>
  <c r="FI81" i="99" s="1"/>
  <c r="FJ81" i="99" s="1"/>
  <c r="FK81" i="99" s="1"/>
  <c r="FG78" i="99"/>
  <c r="FH78" i="99" s="1"/>
  <c r="FI78" i="99" s="1"/>
  <c r="FJ78" i="99" s="1"/>
  <c r="FK78" i="99" s="1"/>
  <c r="FG23" i="99"/>
  <c r="FH23" i="99" s="1"/>
  <c r="FI23" i="99" s="1"/>
  <c r="FJ23" i="99" s="1"/>
  <c r="FK23" i="99" s="1"/>
  <c r="FG29" i="99"/>
  <c r="FH29" i="99" s="1"/>
  <c r="FI29" i="99" s="1"/>
  <c r="FJ29" i="99" s="1"/>
  <c r="FK29" i="99" s="1"/>
  <c r="FG49" i="99"/>
  <c r="FH49" i="99" s="1"/>
  <c r="FI49" i="99" s="1"/>
  <c r="FJ49" i="99" s="1"/>
  <c r="FK49" i="99" s="1"/>
  <c r="FG90" i="99"/>
  <c r="FH90" i="99" s="1"/>
  <c r="FI90" i="99" s="1"/>
  <c r="FJ90" i="99" s="1"/>
  <c r="FK90" i="99" s="1"/>
  <c r="FG20" i="99"/>
  <c r="FH20" i="99" s="1"/>
  <c r="FI20" i="99" s="1"/>
  <c r="FJ20" i="99" s="1"/>
  <c r="FK20" i="99" s="1"/>
  <c r="FG64" i="99"/>
  <c r="FH64" i="99" s="1"/>
  <c r="FI64" i="99" s="1"/>
  <c r="FJ64" i="99" s="1"/>
  <c r="FK64" i="99" s="1"/>
  <c r="FG43" i="99"/>
  <c r="FH43" i="99" s="1"/>
  <c r="FI43" i="99" s="1"/>
  <c r="FJ43" i="99" s="1"/>
  <c r="FK43" i="99" s="1"/>
  <c r="FG44" i="99"/>
  <c r="FH44" i="99" s="1"/>
  <c r="FI44" i="99" s="1"/>
  <c r="FJ44" i="99" s="1"/>
  <c r="FK44" i="99" s="1"/>
  <c r="FG89" i="99"/>
  <c r="FH89" i="99" s="1"/>
  <c r="FI89" i="99" s="1"/>
  <c r="FJ89" i="99" s="1"/>
  <c r="FK89" i="99" s="1"/>
  <c r="FG88" i="99"/>
  <c r="FH88" i="99" s="1"/>
  <c r="FI88" i="99" s="1"/>
  <c r="FJ88" i="99" s="1"/>
  <c r="FK88" i="99" s="1"/>
  <c r="FG57" i="99"/>
  <c r="FH57" i="99" s="1"/>
  <c r="FI57" i="99" s="1"/>
  <c r="FJ57" i="99" s="1"/>
  <c r="FK57" i="99" s="1"/>
  <c r="FG50" i="99"/>
  <c r="FH50" i="99" s="1"/>
  <c r="FI50" i="99" s="1"/>
  <c r="FJ50" i="99" s="1"/>
  <c r="FK50" i="99" s="1"/>
  <c r="FG75" i="99"/>
  <c r="FH75" i="99" s="1"/>
  <c r="FI75" i="99" s="1"/>
  <c r="FJ75" i="99" s="1"/>
  <c r="FK75" i="99" s="1"/>
  <c r="FG72" i="99"/>
  <c r="FH72" i="99" s="1"/>
  <c r="FI72" i="99" s="1"/>
  <c r="FJ72" i="99" s="1"/>
  <c r="FK72" i="99" s="1"/>
  <c r="FG79" i="99"/>
  <c r="FH79" i="99" s="1"/>
  <c r="FI79" i="99" s="1"/>
  <c r="FJ79" i="99" s="1"/>
  <c r="FK79" i="99" s="1"/>
  <c r="FG87" i="99"/>
  <c r="FH87" i="99" s="1"/>
  <c r="FI87" i="99" s="1"/>
  <c r="FJ87" i="99" s="1"/>
  <c r="FK87" i="99" s="1"/>
  <c r="FG91" i="99"/>
  <c r="FH91" i="99" s="1"/>
  <c r="FI91" i="99" s="1"/>
  <c r="FJ91" i="99" s="1"/>
  <c r="FK91" i="99" s="1"/>
  <c r="FG16" i="99"/>
  <c r="FH16" i="99" s="1"/>
  <c r="FI16" i="99" s="1"/>
  <c r="FJ16" i="99" s="1"/>
  <c r="FK16" i="99" s="1"/>
  <c r="FG45" i="99"/>
  <c r="FH45" i="99" s="1"/>
  <c r="FI45" i="99" s="1"/>
  <c r="FJ45" i="99" s="1"/>
  <c r="FK45" i="99" s="1"/>
  <c r="FG71" i="99"/>
  <c r="FH71" i="99" s="1"/>
  <c r="FI71" i="99" s="1"/>
  <c r="FJ71" i="99" s="1"/>
  <c r="FK71" i="99" s="1"/>
  <c r="FG97" i="99"/>
  <c r="FH97" i="99" s="1"/>
  <c r="FI97" i="99" s="1"/>
  <c r="FJ97" i="99" s="1"/>
  <c r="FK97" i="99" s="1"/>
  <c r="FG11" i="99"/>
  <c r="FH11" i="99" s="1"/>
  <c r="FI11" i="99" s="1"/>
  <c r="FJ11" i="99" s="1"/>
  <c r="FK11" i="99" s="1"/>
  <c r="FG28" i="99"/>
  <c r="FH28" i="99" s="1"/>
  <c r="FI28" i="99" s="1"/>
  <c r="FJ28" i="99" s="1"/>
  <c r="FK28" i="99" s="1"/>
  <c r="FG37" i="99"/>
  <c r="FH37" i="99" s="1"/>
  <c r="FI37" i="99" s="1"/>
  <c r="FJ37" i="99" s="1"/>
  <c r="FK37" i="99" s="1"/>
  <c r="FG14" i="99"/>
  <c r="FH14" i="99" s="1"/>
  <c r="FI14" i="99" s="1"/>
  <c r="FJ14" i="99" s="1"/>
  <c r="FK14" i="99" s="1"/>
  <c r="FG80" i="99"/>
  <c r="FH80" i="99" s="1"/>
  <c r="FI80" i="99" s="1"/>
  <c r="FJ80" i="99" s="1"/>
  <c r="FK80" i="99" s="1"/>
  <c r="FG104" i="99"/>
  <c r="FH104" i="99" s="1"/>
  <c r="FI104" i="99" s="1"/>
  <c r="FJ104" i="99" s="1"/>
  <c r="FK104" i="99" s="1"/>
  <c r="FG94" i="99"/>
  <c r="FH94" i="99" s="1"/>
  <c r="FI94" i="99" s="1"/>
  <c r="FJ94" i="99" s="1"/>
  <c r="FK94" i="99" s="1"/>
  <c r="FG36" i="99"/>
  <c r="FH36" i="99" s="1"/>
  <c r="FI36" i="99" s="1"/>
  <c r="FJ36" i="99" s="1"/>
  <c r="FK36" i="99" s="1"/>
  <c r="FG74" i="99"/>
  <c r="FH74" i="99" s="1"/>
  <c r="FI74" i="99" s="1"/>
  <c r="FJ74" i="99" s="1"/>
  <c r="FK74" i="99" s="1"/>
  <c r="FG108" i="99"/>
  <c r="FH108" i="99" s="1"/>
  <c r="FI108" i="99" s="1"/>
  <c r="FJ108" i="99" s="1"/>
  <c r="FK108" i="99" s="1"/>
  <c r="FG56" i="99"/>
  <c r="FH56" i="99" s="1"/>
  <c r="FI56" i="99" s="1"/>
  <c r="FJ56" i="99" s="1"/>
  <c r="FK56" i="99" s="1"/>
  <c r="FG48" i="99"/>
  <c r="FH48" i="99" s="1"/>
  <c r="FI48" i="99" s="1"/>
  <c r="FJ48" i="99" s="1"/>
  <c r="FK48" i="99" s="1"/>
  <c r="FG76" i="99"/>
  <c r="FH76" i="99" s="1"/>
  <c r="FI76" i="99" s="1"/>
  <c r="FJ76" i="99" s="1"/>
  <c r="FK76" i="99" s="1"/>
  <c r="FG55" i="99"/>
  <c r="FH55" i="99" s="1"/>
  <c r="FI55" i="99" s="1"/>
  <c r="FJ55" i="99" s="1"/>
  <c r="FK55" i="99" s="1"/>
  <c r="FG102" i="99"/>
  <c r="FH102" i="99" s="1"/>
  <c r="FI102" i="99" s="1"/>
  <c r="FJ102" i="99" s="1"/>
  <c r="FK102" i="99" s="1"/>
  <c r="FG38" i="99"/>
  <c r="FH38" i="99" s="1"/>
  <c r="FI38" i="99" s="1"/>
  <c r="FJ38" i="99" s="1"/>
  <c r="FK38" i="99" s="1"/>
  <c r="FG58" i="99"/>
  <c r="FH58" i="99" s="1"/>
  <c r="FI58" i="99" s="1"/>
  <c r="FJ58" i="99" s="1"/>
  <c r="FK58" i="99" s="1"/>
  <c r="FG63" i="99"/>
  <c r="FH63" i="99" s="1"/>
  <c r="FI63" i="99" s="1"/>
  <c r="FJ63" i="99" s="1"/>
  <c r="FK63" i="99" s="1"/>
  <c r="FG35" i="99"/>
  <c r="FH35" i="99" s="1"/>
  <c r="FI35" i="99" s="1"/>
  <c r="FJ35" i="99" s="1"/>
  <c r="FK35" i="99" s="1"/>
  <c r="FG67" i="99"/>
  <c r="FH67" i="99" s="1"/>
  <c r="FI67" i="99" s="1"/>
  <c r="FJ67" i="99" s="1"/>
  <c r="FK67" i="99" s="1"/>
  <c r="FG92" i="99"/>
  <c r="FH92" i="99" s="1"/>
  <c r="FI92" i="99" s="1"/>
  <c r="FJ92" i="99" s="1"/>
  <c r="FK92" i="99" s="1"/>
  <c r="FG19" i="99"/>
  <c r="FH19" i="99" s="1"/>
  <c r="FI19" i="99" s="1"/>
  <c r="FJ19" i="99" s="1"/>
  <c r="FK19" i="99" s="1"/>
  <c r="FG27" i="99"/>
  <c r="FH27" i="99" s="1"/>
  <c r="FI27" i="99" s="1"/>
  <c r="FJ27" i="99" s="1"/>
  <c r="FK27" i="99" s="1"/>
  <c r="FG12" i="99"/>
  <c r="FH12" i="99" s="1"/>
  <c r="FI12" i="99" s="1"/>
  <c r="FJ12" i="99" s="1"/>
  <c r="FK12" i="99" s="1"/>
  <c r="FG66" i="99"/>
  <c r="FH66" i="99" s="1"/>
  <c r="FI66" i="99" s="1"/>
  <c r="FJ66" i="99" s="1"/>
  <c r="FK66" i="99" s="1"/>
  <c r="FG86" i="99"/>
  <c r="FH86" i="99" s="1"/>
  <c r="FI86" i="99" s="1"/>
  <c r="FJ86" i="99" s="1"/>
  <c r="FK86" i="99" s="1"/>
  <c r="FG107" i="99"/>
  <c r="FH107" i="99" s="1"/>
  <c r="FI107" i="99" s="1"/>
  <c r="FJ107" i="99" s="1"/>
  <c r="FK107" i="99" s="1"/>
  <c r="FG95" i="99"/>
  <c r="FH95" i="99" s="1"/>
  <c r="FI95" i="99" s="1"/>
  <c r="FJ95" i="99" s="1"/>
  <c r="FK95" i="99" s="1"/>
  <c r="FG106" i="99"/>
  <c r="FH106" i="99" s="1"/>
  <c r="FI106" i="99" s="1"/>
  <c r="FJ106" i="99" s="1"/>
  <c r="FK106" i="99" s="1"/>
  <c r="FG101" i="99"/>
  <c r="FH101" i="99" s="1"/>
  <c r="FI101" i="99" s="1"/>
  <c r="FJ101" i="99" s="1"/>
  <c r="FK101" i="99" s="1"/>
  <c r="FG105" i="99"/>
  <c r="FH105" i="99" s="1"/>
  <c r="FI105" i="99" s="1"/>
  <c r="FJ105" i="99" s="1"/>
  <c r="FK105" i="99" s="1"/>
  <c r="FG103" i="99"/>
  <c r="FH103" i="99" s="1"/>
  <c r="FI103" i="99" s="1"/>
  <c r="FJ103" i="99" s="1"/>
  <c r="FK103" i="99" s="1"/>
  <c r="FG99" i="99"/>
  <c r="FH99" i="99" s="1"/>
  <c r="FI99" i="99" s="1"/>
  <c r="FJ99" i="99" s="1"/>
  <c r="FK99" i="99" s="1"/>
  <c r="CW9" i="99" l="1"/>
  <c r="CV109" i="99"/>
  <c r="AC9" i="99"/>
  <c r="AC109" i="99" s="1"/>
  <c r="AB109" i="99"/>
  <c r="FQ9" i="99"/>
  <c r="FQ109" i="99" s="1"/>
  <c r="FP109" i="99"/>
  <c r="DC9" i="99"/>
  <c r="DC109" i="99" s="1"/>
  <c r="DC6" i="99" s="1"/>
  <c r="DB109" i="99"/>
  <c r="GO9" i="99"/>
  <c r="GO109" i="99" s="1"/>
  <c r="GN109" i="99"/>
  <c r="Q9" i="99"/>
  <c r="Q109" i="99" s="1"/>
  <c r="P109" i="99"/>
  <c r="FK9" i="99"/>
  <c r="FJ109" i="99"/>
  <c r="FK109" i="99"/>
  <c r="FK6" i="99" s="1"/>
  <c r="ES9" i="99"/>
  <c r="ES109" i="99" s="1"/>
  <c r="ER109" i="99"/>
  <c r="EY9" i="99"/>
  <c r="EY109" i="99" s="1"/>
  <c r="EX109" i="99"/>
  <c r="GI9" i="99"/>
  <c r="GI109" i="99" s="1"/>
  <c r="GH109" i="99"/>
  <c r="BA9" i="99"/>
  <c r="BA109" i="99" s="1"/>
  <c r="AZ109" i="99"/>
  <c r="AW6" i="99" s="1"/>
  <c r="EA9" i="99"/>
  <c r="EA109" i="99" s="1"/>
  <c r="EA6" i="99" s="1"/>
  <c r="DZ109" i="99"/>
  <c r="CE9" i="99"/>
  <c r="CE109" i="99" s="1"/>
  <c r="CD109" i="99"/>
  <c r="CK9" i="99"/>
  <c r="CK109" i="99" s="1"/>
  <c r="CJ109" i="99"/>
  <c r="DI9" i="99"/>
  <c r="DI109" i="99" s="1"/>
  <c r="DI6" i="99" s="1"/>
  <c r="DH109" i="99"/>
  <c r="DE6" i="99" s="1"/>
  <c r="AU9" i="99"/>
  <c r="AU109" i="99" s="1"/>
  <c r="AT109" i="99"/>
  <c r="GC9" i="99"/>
  <c r="GB109" i="99"/>
  <c r="BG9" i="99"/>
  <c r="BG109" i="99" s="1"/>
  <c r="BF109" i="99"/>
  <c r="EG9" i="99"/>
  <c r="EG109" i="99" s="1"/>
  <c r="EF109" i="99"/>
  <c r="EC6" i="99" s="1"/>
  <c r="BM9" i="99"/>
  <c r="BM109" i="99" s="1"/>
  <c r="BL109" i="99"/>
  <c r="AI9" i="99"/>
  <c r="AI109" i="99" s="1"/>
  <c r="AH109" i="99"/>
  <c r="FW9" i="99"/>
  <c r="FW109" i="99" s="1"/>
  <c r="FV109" i="99"/>
  <c r="CW109" i="99"/>
  <c r="BY9" i="99"/>
  <c r="BY109" i="99" s="1"/>
  <c r="BY6" i="99" s="1"/>
  <c r="BX109" i="99"/>
  <c r="DU9" i="99"/>
  <c r="DU109" i="99" s="1"/>
  <c r="DT109" i="99"/>
  <c r="CQ9" i="99"/>
  <c r="CQ109" i="99" s="1"/>
  <c r="CP109" i="99"/>
  <c r="K9" i="99"/>
  <c r="K109" i="99" s="1"/>
  <c r="J109" i="99"/>
  <c r="W9" i="99"/>
  <c r="W109" i="99" s="1"/>
  <c r="W6" i="99" s="1"/>
  <c r="V109" i="99"/>
  <c r="AO9" i="99"/>
  <c r="AO109" i="99" s="1"/>
  <c r="AN109" i="99"/>
  <c r="FE9" i="99"/>
  <c r="FE109" i="99" s="1"/>
  <c r="FD109" i="99"/>
  <c r="EM9" i="99"/>
  <c r="EM109" i="99" s="1"/>
  <c r="EL109" i="99"/>
  <c r="EI6" i="99" s="1"/>
  <c r="BS9" i="99"/>
  <c r="BS109" i="99" s="1"/>
  <c r="BS6" i="99" s="1"/>
  <c r="BR109" i="99"/>
  <c r="GC109" i="99"/>
  <c r="DO9" i="99"/>
  <c r="DO109" i="99" s="1"/>
  <c r="DN109" i="99"/>
  <c r="AE6" i="99"/>
  <c r="DU6" i="99"/>
  <c r="GI6" i="99"/>
  <c r="BU6" i="99"/>
  <c r="AI6" i="99"/>
  <c r="AO6" i="99"/>
  <c r="FE6" i="99"/>
  <c r="AK6" i="99"/>
  <c r="DQ6" i="99"/>
  <c r="CA6" i="99"/>
  <c r="S6" i="99"/>
  <c r="BM6" i="99"/>
  <c r="Q6" i="99"/>
  <c r="BO6" i="99"/>
  <c r="CS6" i="99"/>
  <c r="GK6" i="99"/>
  <c r="ES6" i="99"/>
  <c r="AQ6" i="99"/>
  <c r="AC6" i="99"/>
  <c r="CQ6" i="99"/>
  <c r="EO6" i="99"/>
  <c r="GO6" i="99"/>
  <c r="EY6" i="99"/>
  <c r="BG6" i="99"/>
  <c r="BA6" i="99"/>
  <c r="CG6" i="99"/>
  <c r="FW6" i="99"/>
  <c r="FQ6" i="99"/>
  <c r="EU6" i="99"/>
  <c r="FM6" i="99"/>
  <c r="AU6" i="99"/>
  <c r="CY6" i="99"/>
  <c r="CE6" i="99"/>
  <c r="Y6" i="99"/>
  <c r="GE6" i="99"/>
  <c r="FG6" i="99"/>
  <c r="FS6" i="99"/>
  <c r="BC6" i="99"/>
  <c r="GC6" i="99"/>
  <c r="M6" i="99"/>
  <c r="BI6" i="99"/>
  <c r="CK6" i="99"/>
  <c r="DW6" i="99"/>
  <c r="FY6" i="99"/>
  <c r="CM6" i="99"/>
  <c r="FA6" i="99"/>
  <c r="DO6" i="99"/>
  <c r="K6" i="99"/>
  <c r="DK6" i="99"/>
  <c r="EG6" i="99"/>
  <c r="CW6" i="99"/>
  <c r="G6" i="99"/>
  <c r="EM6" i="9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<sst xmlns="http://schemas.openxmlformats.org/spreadsheetml/2006/main" count="687" uniqueCount="241">
  <si>
    <t>PRIMARY EXPOSURE DATA</t>
  </si>
  <si>
    <t>Adult</t>
  </si>
  <si>
    <t>Min =</t>
  </si>
  <si>
    <t>Mode =</t>
  </si>
  <si>
    <t>Max =</t>
  </si>
  <si>
    <t>Secondary</t>
  </si>
  <si>
    <t>OUTFALLSTATS</t>
  </si>
  <si>
    <t>Min</t>
  </si>
  <si>
    <t>Median</t>
  </si>
  <si>
    <t>Max</t>
  </si>
  <si>
    <t>SIMULATION SETTINGS</t>
  </si>
  <si>
    <t>Default or given value</t>
  </si>
  <si>
    <t>Make these selections in the Simulations Settings menu item tabs:</t>
  </si>
  <si>
    <t>Input</t>
  </si>
  <si>
    <t>General tab:</t>
  </si>
  <si>
    <t>Select 1000 iterations, #Simulations = 1, Multiple CPU Support = Enabled</t>
  </si>
  <si>
    <t>Select "Random Values (Monte Carlo)" for when a simulation is not running</t>
  </si>
  <si>
    <t>Copied value</t>
  </si>
  <si>
    <t>View tab:</t>
  </si>
  <si>
    <t xml:space="preserve">Select "None" for automatic results display, and tick box for Update Windows  </t>
  </si>
  <si>
    <t>Result</t>
  </si>
  <si>
    <t>During Simulation Every "Automatic" seconds</t>
  </si>
  <si>
    <t>Sampling tab:</t>
  </si>
  <si>
    <t>Select Latin Hypercube, Mersenne Twister, Fixed Initial Seed (value = 1)</t>
  </si>
  <si>
    <t>"All Use Same Seed" for Multiple Simulations</t>
  </si>
  <si>
    <t xml:space="preserve"> "Inputs marked with Select" in Collect Distribution Samples button</t>
  </si>
  <si>
    <t>"Disabled" in Smart Sensitivity Analysis panel</t>
  </si>
  <si>
    <t>"At End of Each Simulation" in Update Statistic Functions</t>
  </si>
  <si>
    <t>Macros tab:</t>
  </si>
  <si>
    <t xml:space="preserve"> Nothing selected</t>
  </si>
  <si>
    <t>Monitoring tab:</t>
  </si>
  <si>
    <t>Child</t>
  </si>
  <si>
    <t>Primary</t>
  </si>
  <si>
    <t>Explanation</t>
  </si>
  <si>
    <t xml:space="preserve">The data (green cells) don't easily lend themselves to fitting to a  </t>
  </si>
  <si>
    <t xml:space="preserve">particular distribution. So we use the RiskGeneral function in @RISK, for an empirical </t>
  </si>
  <si>
    <t>probability density function ("pdf"). To do so we use the constraint that the total area under the</t>
  </si>
  <si>
    <r>
      <t>pdf = 1. To satisfy this constraint we find the value of the 100</t>
    </r>
    <r>
      <rPr>
        <i/>
        <sz val="10"/>
        <rFont val="Arial"/>
        <family val="2"/>
      </rPr>
      <t>P</t>
    </r>
    <r>
      <rPr>
        <sz val="10"/>
        <rFont val="Arial"/>
        <family val="2"/>
      </rPr>
      <t>%ile (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P</t>
    </r>
    <r>
      <rPr>
        <sz val="10"/>
        <rFont val="Arial"/>
        <family val="2"/>
      </rPr>
      <t>) given a user-supplied</t>
    </r>
  </si>
  <si>
    <r>
      <t xml:space="preserve">value of </t>
    </r>
    <r>
      <rPr>
        <i/>
        <sz val="10"/>
        <rFont val="Arial"/>
        <family val="2"/>
      </rPr>
      <t xml:space="preserve">P. </t>
    </r>
    <r>
      <rPr>
        <sz val="10"/>
        <rFont val="Arial"/>
        <family val="2"/>
      </rPr>
      <t xml:space="preserve">This value is </t>
    </r>
    <r>
      <rPr>
        <i/>
        <sz val="10"/>
        <rFont val="Arial"/>
        <family val="2"/>
      </rPr>
      <t xml:space="preserve">above </t>
    </r>
    <r>
      <rPr>
        <sz val="10"/>
        <rFont val="Arial"/>
        <family val="2"/>
      </rPr>
      <t xml:space="preserve">the median. We also use linear interpolation between the pdf </t>
    </r>
  </si>
  <si>
    <t>breakpoints (note that were we to join BD by a straight line we would over-estimate the median</t>
  </si>
  <si>
    <t>and the frequency of most of the high values).</t>
  </si>
  <si>
    <t>The algebra involves solving a quadratic, and this is the calculation sequence:</t>
  </si>
  <si>
    <r>
      <t>h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= </t>
    </r>
  </si>
  <si>
    <r>
      <t>2*0.5/(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 xml:space="preserve">50 </t>
    </r>
    <r>
      <rPr>
        <sz val="9"/>
        <rFont val="Arial"/>
        <family val="2"/>
      </rPr>
      <t xml:space="preserve">- 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>0</t>
    </r>
    <r>
      <rPr>
        <sz val="9"/>
        <rFont val="Arial"/>
        <family val="2"/>
      </rPr>
      <t>)</t>
    </r>
  </si>
  <si>
    <r>
      <t>X</t>
    </r>
    <r>
      <rPr>
        <i/>
        <vertAlign val="subscript"/>
        <sz val="10"/>
        <rFont val="Arial"/>
        <family val="2"/>
      </rPr>
      <t>P</t>
    </r>
    <r>
      <rPr>
        <i/>
        <sz val="10"/>
        <rFont val="Arial"/>
        <family val="2"/>
      </rPr>
      <t xml:space="preserve"> = </t>
    </r>
  </si>
  <si>
    <r>
      <t>{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 xml:space="preserve"> + 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 xml:space="preserve"> + 1/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- SQRT[(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>)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+ 1/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)(2-8</t>
    </r>
    <r>
      <rPr>
        <i/>
        <sz val="10"/>
        <rFont val="Arial"/>
        <family val="2"/>
      </rPr>
      <t>q</t>
    </r>
    <r>
      <rPr>
        <sz val="10"/>
        <rFont val="Arial"/>
        <family val="2"/>
      </rPr>
      <t>) + 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)(2-8</t>
    </r>
    <r>
      <rPr>
        <i/>
        <sz val="10"/>
        <rFont val="Arial"/>
        <family val="2"/>
      </rPr>
      <t>s</t>
    </r>
    <r>
      <rPr>
        <sz val="10"/>
        <rFont val="Arial"/>
        <family val="2"/>
      </rPr>
      <t>)]}/2</t>
    </r>
  </si>
  <si>
    <r>
      <t>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= </t>
    </r>
  </si>
  <si>
    <r>
      <t>2*</t>
    </r>
    <r>
      <rPr>
        <i/>
        <sz val="9"/>
        <rFont val="Arial"/>
        <family val="2"/>
      </rPr>
      <t>q</t>
    </r>
    <r>
      <rPr>
        <sz val="9"/>
        <rFont val="Arial"/>
        <family val="2"/>
      </rPr>
      <t>/(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 xml:space="preserve">100 </t>
    </r>
    <r>
      <rPr>
        <sz val="9"/>
        <rFont val="Arial"/>
        <family val="2"/>
      </rPr>
      <t xml:space="preserve">- </t>
    </r>
    <r>
      <rPr>
        <i/>
        <sz val="9"/>
        <rFont val="Arial"/>
        <family val="2"/>
      </rPr>
      <t>X</t>
    </r>
    <r>
      <rPr>
        <i/>
        <vertAlign val="subscript"/>
        <sz val="9"/>
        <rFont val="Arial"/>
        <family val="2"/>
      </rPr>
      <t>P</t>
    </r>
    <r>
      <rPr>
        <sz val="9"/>
        <rFont val="Arial"/>
        <family val="2"/>
      </rPr>
      <t>)</t>
    </r>
  </si>
  <si>
    <r>
      <t xml:space="preserve">As a check we can sum all the resulting areas and we get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should=1</t>
    </r>
    <r>
      <rPr>
        <sz val="10"/>
        <rFont val="Arial"/>
        <family val="2"/>
      </rPr>
      <t xml:space="preserve"> = 1, as required. </t>
    </r>
  </si>
  <si>
    <t xml:space="preserve">Finally, we use the RiskGeneral function, with the above table layout, to generate the random draws. </t>
  </si>
  <si>
    <r>
      <t xml:space="preserve">In the box above we have chosen </t>
    </r>
    <r>
      <rPr>
        <i/>
        <sz val="10"/>
        <rFont val="Arial"/>
        <family val="2"/>
      </rPr>
      <t xml:space="preserve">P </t>
    </r>
    <r>
      <rPr>
        <sz val="10"/>
        <rFont val="Arial"/>
        <family val="2"/>
      </rPr>
      <t xml:space="preserve">= 0.95 (i.e., the breakpoint is the 95%ile). This seems appropriate given the usual (lognormal) form of </t>
    </r>
  </si>
  <si>
    <t>distributions of microrganisms. Results check (using 1000 iterations: min = 597, 50%ile = 4999, 95%ile = 8222, max = 9751). Pretty good!</t>
  </si>
  <si>
    <r>
      <t xml:space="preserve">So, </t>
    </r>
    <r>
      <rPr>
        <b/>
        <i/>
        <sz val="9"/>
        <rFont val="Arial"/>
        <family val="2"/>
      </rPr>
      <t>q</t>
    </r>
    <r>
      <rPr>
        <b/>
        <sz val="9"/>
        <rFont val="Arial"/>
        <family val="2"/>
      </rPr>
      <t xml:space="preserve"> = </t>
    </r>
  </si>
  <si>
    <r>
      <t xml:space="preserve">and </t>
    </r>
    <r>
      <rPr>
        <b/>
        <i/>
        <sz val="9"/>
        <rFont val="Arial"/>
        <family val="2"/>
      </rPr>
      <t>s</t>
    </r>
    <r>
      <rPr>
        <b/>
        <sz val="9"/>
        <rFont val="Arial"/>
        <family val="2"/>
      </rPr>
      <t xml:space="preserve"> = </t>
    </r>
  </si>
  <si>
    <r>
      <t>X</t>
    </r>
    <r>
      <rPr>
        <b/>
        <vertAlign val="subscript"/>
        <sz val="9"/>
        <rFont val="Arial"/>
        <family val="2"/>
      </rPr>
      <t>0</t>
    </r>
  </si>
  <si>
    <r>
      <t>X</t>
    </r>
    <r>
      <rPr>
        <b/>
        <vertAlign val="subscript"/>
        <sz val="9"/>
        <rFont val="Arial"/>
        <family val="2"/>
      </rPr>
      <t>50</t>
    </r>
  </si>
  <si>
    <r>
      <t>X</t>
    </r>
    <r>
      <rPr>
        <b/>
        <i/>
        <vertAlign val="subscript"/>
        <sz val="9"/>
        <rFont val="Arial"/>
        <family val="2"/>
      </rPr>
      <t>P</t>
    </r>
  </si>
  <si>
    <r>
      <t>X</t>
    </r>
    <r>
      <rPr>
        <b/>
        <vertAlign val="subscript"/>
        <sz val="9"/>
        <rFont val="Arial"/>
        <family val="2"/>
      </rPr>
      <t>100</t>
    </r>
  </si>
  <si>
    <r>
      <t>h</t>
    </r>
    <r>
      <rPr>
        <b/>
        <vertAlign val="subscript"/>
        <sz val="9"/>
        <rFont val="Arial"/>
        <family val="2"/>
      </rPr>
      <t>1</t>
    </r>
  </si>
  <si>
    <r>
      <t>h</t>
    </r>
    <r>
      <rPr>
        <b/>
        <vertAlign val="subscript"/>
        <sz val="9"/>
        <rFont val="Arial"/>
        <family val="2"/>
      </rPr>
      <t>2</t>
    </r>
  </si>
  <si>
    <r>
      <t>A</t>
    </r>
    <r>
      <rPr>
        <b/>
        <vertAlign val="subscript"/>
        <sz val="9"/>
        <rFont val="Arial"/>
        <family val="2"/>
      </rPr>
      <t>should=1</t>
    </r>
  </si>
  <si>
    <t>Random value</t>
  </si>
  <si>
    <t>TOTAL INFECTIONS</t>
  </si>
  <si>
    <t>TOTAL ILL</t>
  </si>
  <si>
    <t>Individual</t>
  </si>
  <si>
    <t>Duration (h)</t>
  </si>
  <si>
    <t>Vol. (mL/h)</t>
  </si>
  <si>
    <t>Vol. (mL)</t>
  </si>
  <si>
    <t>"Dose"</t>
  </si>
  <si>
    <t>Dose</t>
  </si>
  <si>
    <t>Prob(inf)</t>
  </si>
  <si>
    <t>Infected?</t>
  </si>
  <si>
    <t>Ill?</t>
  </si>
  <si>
    <t>Child Primary Ingestion Rate (mL/h)</t>
  </si>
  <si>
    <t>Norovirus</t>
  </si>
  <si>
    <t>To run the model</t>
  </si>
  <si>
    <t>Start @RISK</t>
  </si>
  <si>
    <t xml:space="preserve">Copy those results: Click top left corner, right click, then select 'Copy' </t>
  </si>
  <si>
    <r>
      <t xml:space="preserve">Paste into the 'Summary Stats' page in the workbook: </t>
    </r>
    <r>
      <rPr>
        <b/>
        <sz val="11"/>
        <color rgb="FFFF0000"/>
        <rFont val="Calibri"/>
        <family val="2"/>
        <scheme val="minor"/>
      </rPr>
      <t>MUST paste into cell A1</t>
    </r>
  </si>
  <si>
    <t xml:space="preserve"> -</t>
  </si>
  <si>
    <t>Run model: 'Start simulation' menu item</t>
  </si>
  <si>
    <t>Click on left-most small icon immediately under 'Define filters'; hovver over it and 'Simulation Detailed Statistics' will pop up</t>
  </si>
  <si>
    <t>Results appear immediately on 'Output' page</t>
  </si>
  <si>
    <t>Choose parameters/input in 'Global data' sheet</t>
  </si>
  <si>
    <t>Select number of iterations (suggest 1,000 for preliminary runs, 10,000 for he final run)</t>
  </si>
  <si>
    <t>MODEL PARAMETERS</t>
  </si>
  <si>
    <t>V =</t>
  </si>
  <si>
    <r>
      <t>Log</t>
    </r>
    <r>
      <rPr>
        <b/>
        <vertAlign val="subscript"/>
        <sz val="9"/>
        <color rgb="FFFF0000"/>
        <rFont val="Arial"/>
        <family val="2"/>
      </rPr>
      <t>10</t>
    </r>
    <r>
      <rPr>
        <b/>
        <sz val="9"/>
        <color rgb="FFFF0000"/>
        <rFont val="Arial"/>
        <family val="2"/>
      </rPr>
      <t xml:space="preserve"> removal =</t>
    </r>
  </si>
  <si>
    <t>Site Number</t>
  </si>
  <si>
    <t>Site name</t>
  </si>
  <si>
    <r>
      <t xml:space="preserve">Note that the </t>
    </r>
    <r>
      <rPr>
        <b/>
        <i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equation in McBride (2005) has an </t>
    </r>
    <r>
      <rPr>
        <b/>
        <i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 xml:space="preserve"> on the denominator, but that should be </t>
    </r>
    <r>
      <rPr>
        <b/>
        <i/>
        <sz val="10"/>
        <rFont val="Arial"/>
        <family val="2"/>
      </rPr>
      <t>X</t>
    </r>
    <r>
      <rPr>
        <b/>
        <i/>
        <vertAlign val="subscript"/>
        <sz val="10"/>
        <rFont val="Arial"/>
        <family val="2"/>
      </rPr>
      <t>P</t>
    </r>
    <r>
      <rPr>
        <b/>
        <sz val="10"/>
        <rFont val="Arial"/>
        <family val="2"/>
      </rPr>
      <t>.</t>
    </r>
  </si>
  <si>
    <t>Random dilutions</t>
  </si>
  <si>
    <t>DUMB STUFF</t>
  </si>
  <si>
    <t>mL/L</t>
  </si>
  <si>
    <t>SITES</t>
  </si>
  <si>
    <t xml:space="preserve">  Don't touch! This box is needed for a drop-down menu item</t>
  </si>
  <si>
    <t xml:space="preserve">  Don't touch!This box is needed for a drop-down menu item</t>
  </si>
  <si>
    <t>Copy the output page and Paste Special values into the paste special sheet</t>
  </si>
  <si>
    <t>Graham McBride 15 August 2019</t>
  </si>
  <si>
    <t>Adenovirus</t>
  </si>
  <si>
    <t>Enterovirus</t>
  </si>
  <si>
    <t>Rotavirus</t>
  </si>
  <si>
    <t>C. jejuni</t>
  </si>
  <si>
    <t>PATHOGEN LOG-REMOVAL AT WWTP</t>
  </si>
  <si>
    <t>Intermediate calculation</t>
  </si>
  <si>
    <t>Breakpoint percentile (as %, e.g., 95)</t>
  </si>
  <si>
    <t>Child Duration of Swimming Event (h)</t>
  </si>
  <si>
    <t>Mean =</t>
  </si>
  <si>
    <t>Std dev =</t>
  </si>
  <si>
    <t>Norovirus in influent</t>
  </si>
  <si>
    <t>Norovirus in effluent</t>
  </si>
  <si>
    <t>Xp</t>
  </si>
  <si>
    <t>Norovirus method harmonisation factor =</t>
  </si>
  <si>
    <t>Prob (illness | Noro infection) =</t>
  </si>
  <si>
    <t>Disaggregated (ingestion)</t>
  </si>
  <si>
    <r>
      <rPr>
        <sz val="9"/>
        <rFont val="Symbol"/>
        <family val="1"/>
        <charset val="2"/>
      </rPr>
      <t>a</t>
    </r>
    <r>
      <rPr>
        <vertAlign val="subscript"/>
        <sz val="9"/>
        <rFont val="Symbol"/>
        <family val="1"/>
        <charset val="2"/>
      </rPr>
      <t>N</t>
    </r>
    <r>
      <rPr>
        <vertAlign val="subscript"/>
        <sz val="9"/>
        <rFont val="Arial"/>
        <family val="2"/>
      </rPr>
      <t>ov</t>
    </r>
    <r>
      <rPr>
        <sz val="9"/>
        <rFont val="Arial"/>
        <family val="2"/>
      </rPr>
      <t xml:space="preserve"> =</t>
    </r>
  </si>
  <si>
    <r>
      <rPr>
        <sz val="9"/>
        <rFont val="Symbol"/>
        <family val="1"/>
        <charset val="2"/>
      </rPr>
      <t>b</t>
    </r>
    <r>
      <rPr>
        <vertAlign val="subscript"/>
        <sz val="9"/>
        <rFont val="Arial"/>
        <family val="2"/>
      </rPr>
      <t>Nov</t>
    </r>
    <r>
      <rPr>
        <sz val="9"/>
        <rFont val="Arial"/>
        <family val="2"/>
      </rPr>
      <t xml:space="preserve"> =</t>
    </r>
  </si>
  <si>
    <t>Prob (susceptible to Nov infection) =</t>
  </si>
  <si>
    <t>READ ME</t>
  </si>
  <si>
    <t>This is a combined model of Graham's generic swim model and the Paraparaumu Model</t>
  </si>
  <si>
    <t>The Paraparaumu model includes aggregated and disaggregated Noro</t>
  </si>
  <si>
    <t>Currentmeter</t>
  </si>
  <si>
    <t>E1</t>
  </si>
  <si>
    <t>E10</t>
  </si>
  <si>
    <t>E11</t>
  </si>
  <si>
    <t>E12</t>
  </si>
  <si>
    <t>E2</t>
  </si>
  <si>
    <t>E3</t>
  </si>
  <si>
    <t>E4</t>
  </si>
  <si>
    <t>E5</t>
  </si>
  <si>
    <t>E6</t>
  </si>
  <si>
    <t>E7</t>
  </si>
  <si>
    <t>E8</t>
  </si>
  <si>
    <t>E9</t>
  </si>
  <si>
    <t>Inshore</t>
  </si>
  <si>
    <t>W1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</si>
  <si>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</si>
  <si>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</si>
  <si>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</si>
  <si>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</si>
  <si>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</si>
  <si>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</si>
  <si>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</si>
  <si>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</si>
  <si>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</si>
  <si>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W2</t>
  </si>
  <si>
    <t>W3</t>
  </si>
  <si>
    <t>W4</t>
  </si>
  <si>
    <t>W5</t>
  </si>
  <si>
    <t>W6</t>
  </si>
  <si>
    <t>W7</t>
  </si>
  <si>
    <t>W8</t>
  </si>
  <si>
    <t>W9</t>
  </si>
  <si>
    <t>the old value was 1e4</t>
  </si>
  <si>
    <t>Model has been set up for 32 site and includes both Concentration and dilution figures to see if this results in a different output</t>
  </si>
  <si>
    <t>Concentraions are the inverse of the dilutions</t>
  </si>
  <si>
    <t>Nino surface whole year without replacment</t>
  </si>
  <si>
    <r>
      <t xml:space="preserve">Nino_Surface_allyear </t>
    </r>
    <r>
      <rPr>
        <u/>
        <sz val="11"/>
        <color rgb="FFFF0000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replacment of zeros</t>
    </r>
  </si>
  <si>
    <t>Name_x000D_
Description_x000D_
Cell_x000D_
Function</t>
  </si>
  <si>
    <t>Site Currentmeter_inf_x000D_
Output_x000D_
'Noro Dis Risk Model Conc'!G6_x000D_
RiskOutput(G2)</t>
  </si>
  <si>
    <t>Site Currentmeter_ill_x000D_
Output_x000D_
'Noro Dis Risk Model Conc'!K6_x000D_
RiskOutput(K2)</t>
  </si>
  <si>
    <t>Site E1_inf_x000D_
Output_x000D_
'Noro Dis Risk Model Conc'!M6_x000D_
RiskOutput(M2)</t>
  </si>
  <si>
    <t>Site E1_ill_x000D_
Output_x000D_
'Noro Dis Risk Model Conc'!Q6_x000D_
RiskOutput(Q2)</t>
  </si>
  <si>
    <t>Site E10_inf_x000D_
Output_x000D_
'Noro Dis Risk Model Conc'!S6_x000D_
RiskOutput(S2)</t>
  </si>
  <si>
    <t>Site E10_ill_x000D_
Output_x000D_
'Noro Dis Risk Model Conc'!W6_x000D_
RiskOutput(W2)</t>
  </si>
  <si>
    <t>Site E11_inf_x000D_
Output_x000D_
'Noro Dis Risk Model Conc'!Y6_x000D_
RiskOutput(Y2)</t>
  </si>
  <si>
    <t>Site E11_ill_x000D_
Output_x000D_
'Noro Dis Risk Model Conc'!AC6_x000D_
RiskOutput(AC2)</t>
  </si>
  <si>
    <t>Site E12_inf_x000D_
Output_x000D_
'Noro Dis Risk Model Conc'!AE6_x000D_
RiskOutput(AE2)</t>
  </si>
  <si>
    <t>Site E12_ill_x000D_
Output_x000D_
'Noro Dis Risk Model Conc'!AI6_x000D_
RiskOutput(AI2)</t>
  </si>
  <si>
    <t>Site E2_inf_x000D_
Output_x000D_
'Noro Dis Risk Model Conc'!AK6_x000D_
RiskOutput(AK2)</t>
  </si>
  <si>
    <t>Site E2_ill_x000D_
Output_x000D_
'Noro Dis Risk Model Conc'!AO6_x000D_
RiskOutput(AO2)</t>
  </si>
  <si>
    <t>Site E3_inf_x000D_
Output_x000D_
'Noro Dis Risk Model Conc'!AQ6_x000D_
RiskOutput(AQ2)</t>
  </si>
  <si>
    <t>Site E3_ill_x000D_
Output_x000D_
'Noro Dis Risk Model Conc'!AU6_x000D_
RiskOutput(AU2)</t>
  </si>
  <si>
    <t>Site E4_inf_x000D_
Output_x000D_
'Noro Dis Risk Model Conc'!AW6_x000D_
RiskOutput(AW2)</t>
  </si>
  <si>
    <t>Site E4_ill_x000D_
Output_x000D_
'Noro Dis Risk Model Conc'!BA6_x000D_
RiskOutput(BA2)</t>
  </si>
  <si>
    <t>Site E5_inf_x000D_
Output_x000D_
'Noro Dis Risk Model Conc'!BC6_x000D_
RiskOutput(BC2)</t>
  </si>
  <si>
    <t>Site E5_ill_x000D_
Output_x000D_
'Noro Dis Risk Model Conc'!BG6_x000D_
RiskOutput(BG2)</t>
  </si>
  <si>
    <t>Site E6_inf_x000D_
Output_x000D_
'Noro Dis Risk Model Conc'!BI6_x000D_
RiskOutput(BI2)</t>
  </si>
  <si>
    <t>Site E6_ill_x000D_
Output_x000D_
'Noro Dis Risk Model Conc'!BM6_x000D_
RiskOutput(BM2)</t>
  </si>
  <si>
    <t>Site E7_inf_x000D_
Output_x000D_
'Noro Dis Risk Model Conc'!BO6_x000D_
RiskOutput(BO2)</t>
  </si>
  <si>
    <t>Site E7_ill_x000D_
Output_x000D_
'Noro Dis Risk Model Conc'!BS6_x000D_
RiskOutput(BS2)</t>
  </si>
  <si>
    <t>Site E8_inf_x000D_
Output_x000D_
'Noro Dis Risk Model Conc'!BU6_x000D_
RiskOutput(BU2)</t>
  </si>
  <si>
    <t>Site E8_ill_x000D_
Output_x000D_
'Noro Dis Risk Model Conc'!BY6_x000D_
RiskOutput(BY2)</t>
  </si>
  <si>
    <t>Site E9_inf_x000D_
Output_x000D_
'Noro Dis Risk Model Conc'!CA6_x000D_
RiskOutput(CA2)</t>
  </si>
  <si>
    <t>Site E9_ill_x000D_
Output_x000D_
'Noro Dis Risk Model Conc'!CE6_x000D_
RiskOutput(CE2)</t>
  </si>
  <si>
    <t>Site Inshore_inf_x000D_
Output_x000D_
'Noro Dis Risk Model Conc'!CG6_x000D_
RiskOutput(CG2)</t>
  </si>
  <si>
    <t>Site Inshore_ill_x000D_
Output_x000D_
'Noro Dis Risk Model Conc'!CK6_x000D_
RiskOutput(CK2)</t>
  </si>
  <si>
    <t>Site W1_inf_x000D_
Output_x000D_
'Noro Dis Risk Model Conc'!CM6_x000D_
RiskOutput(CM2)</t>
  </si>
  <si>
    <t>Site W1_ill_x000D_
Output_x000D_
'Noro Dis Risk Model Conc'!CQ6_x000D_
RiskOutput(CQ2)</t>
  </si>
  <si>
    <t>Site W10_inf_x000D_
Output_x000D_
'Noro Dis Risk Model Conc'!CS6_x000D_
RiskOutput(CS2)</t>
  </si>
  <si>
    <t>Site W10_ill_x000D_
Output_x000D_
'Noro Dis Risk Model Conc'!CW6_x000D_
RiskOutput(CW2)</t>
  </si>
  <si>
    <t>Site W11_inf_x000D_
Output_x000D_
'Noro Dis Risk Model Conc'!CY6_x000D_
RiskOutput(CY2)</t>
  </si>
  <si>
    <t>Site W11_ill_x000D_
Output_x000D_
'Noro Dis Risk Model Conc'!DC6_x000D_
RiskOutput(DC2)</t>
  </si>
  <si>
    <t>Site W12_inf_x000D_
Output_x000D_
'Noro Dis Risk Model Conc'!DE6_x000D_
RiskOutput(DE2)</t>
  </si>
  <si>
    <t>Site W12_ill_x000D_
Output_x000D_
'Noro Dis Risk Model Conc'!DI6_x000D_
RiskOutput(DI2)</t>
  </si>
  <si>
    <t>Site W13_inf_x000D_
Output_x000D_
'Noro Dis Risk Model Conc'!DK6_x000D_
RiskOutput(DK2)</t>
  </si>
  <si>
    <t>Site W13_ill_x000D_
Output_x000D_
'Noro Dis Risk Model Conc'!DO6_x000D_
RiskOutput(DO2)</t>
  </si>
  <si>
    <t>Site W14_inf_x000D_
Output_x000D_
'Noro Dis Risk Model Conc'!DQ6_x000D_
RiskOutput(DQ2)</t>
  </si>
  <si>
    <t>Site W14_ill_x000D_
Output_x000D_
'Noro Dis Risk Model Conc'!DU6_x000D_
RiskOutput(DU2)</t>
  </si>
  <si>
    <t>Site W15_inf_x000D_
Output_x000D_
'Noro Dis Risk Model Conc'!DW6_x000D_
RiskOutput(DW2)</t>
  </si>
  <si>
    <t>Site W15_ill_x000D_
Output_x000D_
'Noro Dis Risk Model Conc'!EA6_x000D_
RiskOutput(EA2)</t>
  </si>
  <si>
    <t>Site W16_inf_x000D_
Output_x000D_
'Noro Dis Risk Model Conc'!EC6_x000D_
RiskOutput(EC2)</t>
  </si>
  <si>
    <t>Site W16_ill_x000D_
Output_x000D_
'Noro Dis Risk Model Conc'!EG6_x000D_
RiskOutput(EG2)</t>
  </si>
  <si>
    <t>Site W17_inf_x000D_
Output_x000D_
'Noro Dis Risk Model Conc'!EI6_x000D_
RiskOutput(EI2)</t>
  </si>
  <si>
    <t>Site W17_ill_x000D_
Output_x000D_
'Noro Dis Risk Model Conc'!EM6_x000D_
RiskOutput(EM2)</t>
  </si>
  <si>
    <t>Site W18_inf_x000D_
Output_x000D_
'Noro Dis Risk Model Conc'!EO6_x000D_
RiskOutput(EO2)</t>
  </si>
  <si>
    <t>Site W18_ill_x000D_
Output_x000D_
'Noro Dis Risk Model Conc'!ES6_x000D_
RiskOutput(ES2)</t>
  </si>
  <si>
    <t>Site W2_inf_x000D_
Output_x000D_
'Noro Dis Risk Model Conc'!EU6_x000D_
RiskOutput(EU2)</t>
  </si>
  <si>
    <t>Site W2_ill_x000D_
Output_x000D_
'Noro Dis Risk Model Conc'!EY6_x000D_
RiskOutput(EY2)</t>
  </si>
  <si>
    <t>Site W3_inf_x000D_
Output_x000D_
'Noro Dis Risk Model Conc'!FA6_x000D_
RiskOutput(FA2)</t>
  </si>
  <si>
    <t>Site W3_ill_x000D_
Output_x000D_
'Noro Dis Risk Model Conc'!FE6_x000D_
RiskOutput(FE2)</t>
  </si>
  <si>
    <t>Site W4_inf_x000D_
Output_x000D_
'Noro Dis Risk Model Conc'!FG6_x000D_
RiskOutput(FG2)</t>
  </si>
  <si>
    <t>Site W4_ill_x000D_
Output_x000D_
'Noro Dis Risk Model Conc'!FK6_x000D_
RiskOutput(FK2)</t>
  </si>
  <si>
    <t>Site W5_inf_x000D_
Output_x000D_
'Noro Dis Risk Model Conc'!FM6_x000D_
RiskOutput(FM2)</t>
  </si>
  <si>
    <t>Site W5_ill_x000D_
Output_x000D_
'Noro Dis Risk Model Conc'!FQ6_x000D_
RiskOutput(FQ2)</t>
  </si>
  <si>
    <t>Site W6_inf_x000D_
Output_x000D_
'Noro Dis Risk Model Conc'!FS6_x000D_
RiskOutput(FS2)</t>
  </si>
  <si>
    <t>Site W6_ill_x000D_
Output_x000D_
'Noro Dis Risk Model Conc'!FW6_x000D_
RiskOutput(FW2)</t>
  </si>
  <si>
    <t>Site W7_inf_x000D_
Output_x000D_
'Noro Dis Risk Model Conc'!FY6_x000D_
RiskOutput(FY2)</t>
  </si>
  <si>
    <t>Site W7_ill_x000D_
Output_x000D_
'Noro Dis Risk Model Conc'!GC6_x000D_
RiskOutput(GC2)</t>
  </si>
  <si>
    <t>Site W8_inf_x000D_
Output_x000D_
'Noro Dis Risk Model Conc'!GE6_x000D_
RiskOutput(GE2)</t>
  </si>
  <si>
    <t>Site W8_ill_x000D_
Output_x000D_
'Noro Dis Risk Model Conc'!GI6_x000D_
RiskOutput(GI2)</t>
  </si>
  <si>
    <t>Site W9_inf_x000D_
Output_x000D_
'Noro Dis Risk Model Conc'!GK6_x000D_
RiskOutput(GK2)</t>
  </si>
  <si>
    <t>Site W9_ill_x000D_
Output_x000D_
'Noro Dis Risk Model Conc'!GO6_x000D_
RiskOutput(GO2)</t>
  </si>
  <si>
    <t>General</t>
  </si>
  <si>
    <t>Graph</t>
  </si>
  <si>
    <t>Category/Range</t>
  </si>
  <si>
    <t/>
  </si>
  <si>
    <t>Statistics</t>
  </si>
  <si>
    <t>Minimum</t>
  </si>
  <si>
    <t>Maximum</t>
  </si>
  <si>
    <t>Mean</t>
  </si>
  <si>
    <t>Mode</t>
  </si>
  <si>
    <t>Std. Deviation</t>
  </si>
  <si>
    <t>Variance</t>
  </si>
  <si>
    <t>Skewness</t>
  </si>
  <si>
    <t>Kurtosis</t>
  </si>
  <si>
    <t>Errors</t>
  </si>
  <si>
    <t>Percentiles</t>
  </si>
  <si>
    <t>Filters</t>
  </si>
  <si>
    <t>Type</t>
  </si>
  <si>
    <t>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</si>
</sst>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0E+00"/>
    <numFmt numFmtId="167" formatCode="0.000E+00"/>
    <numFmt numFmtId="168" formatCode="0.000"/>
  </numFmts>
  <fonts count="43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name val="Times New Roman"/>
      <family val="1"/>
    </font>
    <font>
      <sz val="9"/>
      <color indexed="17"/>
      <name val="Arial"/>
      <family val="2"/>
    </font>
    <font>
      <sz val="9"/>
      <color indexed="12"/>
      <name val="Arial"/>
      <family val="2"/>
    </font>
    <font>
      <i/>
      <vertAlign val="subscript"/>
      <sz val="10"/>
      <name val="Arial"/>
      <family val="2"/>
    </font>
    <font>
      <vertAlign val="subscript"/>
      <sz val="9"/>
      <name val="Arial"/>
      <family val="2"/>
    </font>
    <font>
      <i/>
      <vertAlign val="subscript"/>
      <sz val="9"/>
      <name val="Arial"/>
      <family val="2"/>
    </font>
    <font>
      <b/>
      <i/>
      <sz val="9"/>
      <name val="Arial"/>
      <family val="2"/>
    </font>
    <font>
      <b/>
      <vertAlign val="subscript"/>
      <sz val="9"/>
      <name val="Arial"/>
      <family val="2"/>
    </font>
    <font>
      <b/>
      <i/>
      <vertAlign val="subscript"/>
      <sz val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rgb="FF00005E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vertAlign val="subscript"/>
      <sz val="9"/>
      <color rgb="FFFF0000"/>
      <name val="Arial"/>
      <family val="2"/>
    </font>
    <font>
      <b/>
      <vertAlign val="subscript"/>
      <sz val="10"/>
      <name val="Arial"/>
      <family val="2"/>
    </font>
    <font>
      <b/>
      <i/>
      <vertAlign val="subscript"/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9"/>
      <name val="Symbol"/>
      <family val="1"/>
      <charset val="2"/>
    </font>
    <font>
      <vertAlign val="subscript"/>
      <sz val="9"/>
      <name val="Symbol"/>
      <family val="1"/>
      <charset val="2"/>
    </font>
    <font>
      <sz val="8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EEE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hair">
        <color theme="0" tint="-0.249977111117893"/>
      </right>
      <top style="medium">
        <color indexed="64"/>
      </top>
      <bottom/>
      <diagonal/>
    </border>
    <border>
      <left/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hair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theme="0" tint="-0.24997711111789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35" fillId="0" borderId="0"/>
  </cellStyleXfs>
  <cellXfs count="203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1" applyAlignment="1" applyProtection="1"/>
    <xf numFmtId="0" fontId="0" fillId="0" borderId="0" xfId="0" applyAlignment="1">
      <alignment horizontal="left"/>
    </xf>
    <xf numFmtId="0" fontId="9" fillId="0" borderId="2" xfId="0" applyFont="1" applyBorder="1"/>
    <xf numFmtId="0" fontId="9" fillId="0" borderId="0" xfId="0" applyFont="1"/>
    <xf numFmtId="0" fontId="9" fillId="0" borderId="5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2" borderId="0" xfId="0" applyFont="1" applyFill="1" applyAlignment="1">
      <alignment horizontal="left"/>
    </xf>
    <xf numFmtId="0" fontId="9" fillId="2" borderId="8" xfId="0" applyFont="1" applyFill="1" applyBorder="1" applyAlignment="1">
      <alignment horizontal="left"/>
    </xf>
    <xf numFmtId="0" fontId="9" fillId="0" borderId="10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4" xfId="0" applyFont="1" applyBorder="1"/>
    <xf numFmtId="0" fontId="9" fillId="0" borderId="0" xfId="0" applyFont="1" applyAlignment="1">
      <alignment horizontal="left"/>
    </xf>
    <xf numFmtId="0" fontId="0" fillId="0" borderId="10" xfId="0" applyBorder="1"/>
    <xf numFmtId="0" fontId="9" fillId="0" borderId="12" xfId="0" applyFont="1" applyBorder="1"/>
    <xf numFmtId="0" fontId="9" fillId="0" borderId="13" xfId="0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1" fontId="9" fillId="2" borderId="0" xfId="0" applyNumberFormat="1" applyFont="1" applyFill="1" applyAlignment="1">
      <alignment horizontal="center"/>
    </xf>
    <xf numFmtId="11" fontId="9" fillId="2" borderId="8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8" fillId="0" borderId="1" xfId="0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7" borderId="4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/>
    <xf numFmtId="0" fontId="14" fillId="0" borderId="7" xfId="0" applyFont="1" applyBorder="1" applyAlignment="1">
      <alignment horizontal="left"/>
    </xf>
    <xf numFmtId="0" fontId="9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0" xfId="0" applyFont="1" applyFill="1"/>
    <xf numFmtId="0" fontId="9" fillId="2" borderId="8" xfId="0" applyFont="1" applyFill="1" applyBorder="1"/>
    <xf numFmtId="0" fontId="15" fillId="0" borderId="7" xfId="0" applyFont="1" applyBorder="1" applyAlignment="1">
      <alignment horizontal="right"/>
    </xf>
    <xf numFmtId="164" fontId="9" fillId="0" borderId="0" xfId="0" applyNumberFormat="1" applyFont="1" applyAlignment="1">
      <alignment horizontal="left"/>
    </xf>
    <xf numFmtId="0" fontId="9" fillId="6" borderId="7" xfId="0" applyFont="1" applyFill="1" applyBorder="1" applyAlignment="1">
      <alignment horizontal="left"/>
    </xf>
    <xf numFmtId="0" fontId="9" fillId="6" borderId="0" xfId="0" applyFont="1" applyFill="1"/>
    <xf numFmtId="0" fontId="9" fillId="6" borderId="8" xfId="0" applyFont="1" applyFill="1" applyBorder="1"/>
    <xf numFmtId="0" fontId="9" fillId="8" borderId="7" xfId="0" applyFont="1" applyFill="1" applyBorder="1" applyAlignment="1">
      <alignment horizontal="left"/>
    </xf>
    <xf numFmtId="0" fontId="9" fillId="9" borderId="9" xfId="0" applyFont="1" applyFill="1" applyBorder="1"/>
    <xf numFmtId="0" fontId="9" fillId="9" borderId="10" xfId="0" applyFont="1" applyFill="1" applyBorder="1"/>
    <xf numFmtId="0" fontId="9" fillId="9" borderId="11" xfId="0" applyFont="1" applyFill="1" applyBorder="1"/>
    <xf numFmtId="0" fontId="15" fillId="0" borderId="9" xfId="0" applyFont="1" applyBorder="1" applyAlignment="1">
      <alignment horizontal="right"/>
    </xf>
    <xf numFmtId="164" fontId="9" fillId="0" borderId="10" xfId="0" applyNumberFormat="1" applyFont="1" applyBorder="1" applyAlignment="1">
      <alignment horizontal="left"/>
    </xf>
    <xf numFmtId="164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/>
    <xf numFmtId="0" fontId="2" fillId="0" borderId="0" xfId="0" applyFont="1"/>
    <xf numFmtId="164" fontId="10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12" fillId="0" borderId="0" xfId="0" applyNumberFormat="1" applyFont="1" applyAlignment="1">
      <alignment horizontal="center"/>
    </xf>
    <xf numFmtId="0" fontId="12" fillId="6" borderId="17" xfId="0" applyFont="1" applyFill="1" applyBorder="1" applyAlignment="1">
      <alignment horizontal="center"/>
    </xf>
    <xf numFmtId="166" fontId="9" fillId="8" borderId="9" xfId="0" applyNumberFormat="1" applyFont="1" applyFill="1" applyBorder="1" applyAlignment="1">
      <alignment horizontal="center"/>
    </xf>
    <xf numFmtId="166" fontId="9" fillId="6" borderId="1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21" xfId="0" applyFont="1" applyBorder="1"/>
    <xf numFmtId="0" fontId="9" fillId="0" borderId="22" xfId="0" applyFont="1" applyBorder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9" borderId="2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6" fillId="0" borderId="3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right"/>
    </xf>
    <xf numFmtId="0" fontId="9" fillId="9" borderId="16" xfId="0" applyFont="1" applyFill="1" applyBorder="1" applyAlignment="1">
      <alignment horizontal="center"/>
    </xf>
    <xf numFmtId="11" fontId="0" fillId="0" borderId="0" xfId="0" applyNumberFormat="1"/>
    <xf numFmtId="0" fontId="27" fillId="0" borderId="0" xfId="0" applyFont="1" applyAlignment="1">
      <alignment vertical="center"/>
    </xf>
    <xf numFmtId="14" fontId="0" fillId="0" borderId="0" xfId="0" applyNumberFormat="1" applyAlignment="1">
      <alignment horizontal="left"/>
    </xf>
    <xf numFmtId="0" fontId="9" fillId="11" borderId="8" xfId="0" applyFont="1" applyFill="1" applyBorder="1"/>
    <xf numFmtId="0" fontId="9" fillId="11" borderId="0" xfId="0" applyFont="1" applyFill="1"/>
    <xf numFmtId="1" fontId="9" fillId="0" borderId="0" xfId="0" applyNumberFormat="1" applyFont="1" applyAlignment="1">
      <alignment horizontal="right"/>
    </xf>
    <xf numFmtId="0" fontId="9" fillId="0" borderId="5" xfId="0" applyFont="1" applyBorder="1" applyAlignment="1">
      <alignment horizontal="center"/>
    </xf>
    <xf numFmtId="0" fontId="9" fillId="0" borderId="22" xfId="0" applyFont="1" applyBorder="1" applyAlignment="1">
      <alignment horizontal="right"/>
    </xf>
    <xf numFmtId="166" fontId="9" fillId="8" borderId="10" xfId="0" applyNumberFormat="1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10" xfId="0" applyFont="1" applyBorder="1" applyAlignment="1">
      <alignment horizontal="center"/>
    </xf>
    <xf numFmtId="0" fontId="25" fillId="0" borderId="0" xfId="0" applyFont="1"/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4" fontId="9" fillId="0" borderId="20" xfId="0" applyNumberFormat="1" applyFont="1" applyBorder="1" applyAlignment="1">
      <alignment horizontal="center"/>
    </xf>
    <xf numFmtId="164" fontId="9" fillId="0" borderId="18" xfId="0" applyNumberFormat="1" applyFont="1" applyBorder="1" applyAlignment="1">
      <alignment horizontal="center"/>
    </xf>
    <xf numFmtId="0" fontId="29" fillId="0" borderId="0" xfId="0" applyFont="1"/>
    <xf numFmtId="168" fontId="2" fillId="0" borderId="7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0" fontId="28" fillId="12" borderId="0" xfId="0" applyFont="1" applyFill="1" applyAlignment="1">
      <alignment horizontal="center" vertical="center"/>
    </xf>
    <xf numFmtId="167" fontId="2" fillId="4" borderId="24" xfId="0" applyNumberFormat="1" applyFont="1" applyFill="1" applyBorder="1" applyAlignment="1">
      <alignment horizontal="center"/>
    </xf>
    <xf numFmtId="11" fontId="9" fillId="4" borderId="10" xfId="0" applyNumberFormat="1" applyFont="1" applyFill="1" applyBorder="1" applyAlignment="1">
      <alignment horizontal="center"/>
    </xf>
    <xf numFmtId="11" fontId="9" fillId="4" borderId="11" xfId="0" applyNumberFormat="1" applyFont="1" applyFill="1" applyBorder="1" applyAlignment="1">
      <alignment horizontal="center"/>
    </xf>
    <xf numFmtId="0" fontId="30" fillId="0" borderId="0" xfId="0" applyFont="1"/>
    <xf numFmtId="0" fontId="9" fillId="0" borderId="13" xfId="0" applyFont="1" applyBorder="1"/>
    <xf numFmtId="0" fontId="9" fillId="0" borderId="14" xfId="0" applyFont="1" applyBorder="1"/>
    <xf numFmtId="0" fontId="30" fillId="0" borderId="0" xfId="0" applyFont="1" applyAlignment="1">
      <alignment horizontal="center"/>
    </xf>
    <xf numFmtId="11" fontId="9" fillId="6" borderId="13" xfId="0" applyNumberFormat="1" applyFont="1" applyFill="1" applyBorder="1" applyAlignment="1">
      <alignment horizontal="left"/>
    </xf>
    <xf numFmtId="0" fontId="30" fillId="0" borderId="12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25" xfId="0" applyFont="1" applyBorder="1" applyAlignment="1">
      <alignment horizontal="center"/>
    </xf>
    <xf numFmtId="0" fontId="29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0" fontId="0" fillId="0" borderId="14" xfId="0" applyBorder="1"/>
    <xf numFmtId="11" fontId="9" fillId="3" borderId="0" xfId="0" applyNumberFormat="1" applyFont="1" applyFill="1" applyAlignment="1">
      <alignment horizontal="center"/>
    </xf>
    <xf numFmtId="0" fontId="0" fillId="0" borderId="13" xfId="0" applyBorder="1" applyAlignment="1">
      <alignment horizontal="right"/>
    </xf>
    <xf numFmtId="0" fontId="9" fillId="3" borderId="14" xfId="0" applyFont="1" applyFill="1" applyBorder="1" applyAlignment="1">
      <alignment horizontal="left"/>
    </xf>
    <xf numFmtId="0" fontId="0" fillId="11" borderId="14" xfId="0" applyFill="1" applyBorder="1" applyAlignment="1">
      <alignment horizontal="left"/>
    </xf>
    <xf numFmtId="166" fontId="9" fillId="0" borderId="0" xfId="0" applyNumberFormat="1" applyFont="1" applyAlignment="1">
      <alignment horizontal="left"/>
    </xf>
    <xf numFmtId="0" fontId="9" fillId="0" borderId="26" xfId="0" applyFont="1" applyBorder="1" applyAlignment="1">
      <alignment horizontal="center"/>
    </xf>
    <xf numFmtId="0" fontId="9" fillId="0" borderId="27" xfId="0" applyFont="1" applyBorder="1"/>
    <xf numFmtId="1" fontId="9" fillId="0" borderId="27" xfId="0" applyNumberFormat="1" applyFont="1" applyBorder="1" applyAlignment="1">
      <alignment horizontal="right"/>
    </xf>
    <xf numFmtId="0" fontId="0" fillId="7" borderId="13" xfId="0" applyFill="1" applyBorder="1" applyAlignment="1">
      <alignment horizontal="left"/>
    </xf>
    <xf numFmtId="0" fontId="0" fillId="7" borderId="15" xfId="0" applyFill="1" applyBorder="1" applyAlignment="1">
      <alignment horizontal="left"/>
    </xf>
    <xf numFmtId="0" fontId="0" fillId="7" borderId="16" xfId="0" applyFill="1" applyBorder="1" applyAlignment="1">
      <alignment horizontal="left"/>
    </xf>
    <xf numFmtId="0" fontId="0" fillId="7" borderId="28" xfId="0" applyFill="1" applyBorder="1" applyAlignment="1">
      <alignment horizontal="left"/>
    </xf>
    <xf numFmtId="0" fontId="30" fillId="0" borderId="4" xfId="0" applyFont="1" applyBorder="1"/>
    <xf numFmtId="0" fontId="9" fillId="0" borderId="6" xfId="0" applyFont="1" applyBorder="1" applyAlignment="1">
      <alignment horizontal="right"/>
    </xf>
    <xf numFmtId="0" fontId="9" fillId="3" borderId="6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left"/>
    </xf>
    <xf numFmtId="0" fontId="34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166" fontId="9" fillId="10" borderId="11" xfId="0" applyNumberFormat="1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13" borderId="6" xfId="0" applyFont="1" applyFill="1" applyBorder="1" applyAlignment="1">
      <alignment horizontal="left"/>
    </xf>
    <xf numFmtId="166" fontId="9" fillId="8" borderId="11" xfId="0" applyNumberFormat="1" applyFont="1" applyFill="1" applyBorder="1" applyAlignment="1">
      <alignment horizontal="left"/>
    </xf>
    <xf numFmtId="0" fontId="9" fillId="8" borderId="0" xfId="0" applyFont="1" applyFill="1"/>
    <xf numFmtId="0" fontId="8" fillId="0" borderId="4" xfId="0" applyFont="1" applyBorder="1"/>
    <xf numFmtId="0" fontId="9" fillId="2" borderId="10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0" fontId="8" fillId="0" borderId="12" xfId="0" applyFont="1" applyBorder="1"/>
    <xf numFmtId="0" fontId="34" fillId="0" borderId="8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0" fillId="0" borderId="1" xfId="0" applyBorder="1"/>
    <xf numFmtId="0" fontId="12" fillId="0" borderId="2" xfId="0" applyFont="1" applyBorder="1" applyAlignment="1">
      <alignment horizontal="right"/>
    </xf>
    <xf numFmtId="0" fontId="12" fillId="0" borderId="15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165" fontId="9" fillId="8" borderId="9" xfId="0" applyNumberFormat="1" applyFont="1" applyFill="1" applyBorder="1" applyAlignment="1">
      <alignment horizontal="center"/>
    </xf>
    <xf numFmtId="165" fontId="9" fillId="2" borderId="28" xfId="0" applyNumberFormat="1" applyFont="1" applyFill="1" applyBorder="1" applyAlignment="1">
      <alignment horizontal="center"/>
    </xf>
    <xf numFmtId="0" fontId="9" fillId="0" borderId="7" xfId="2" applyFont="1" applyBorder="1" applyAlignment="1">
      <alignment horizontal="right"/>
    </xf>
    <xf numFmtId="0" fontId="19" fillId="0" borderId="4" xfId="2" applyFont="1" applyBorder="1" applyAlignment="1">
      <alignment horizontal="left"/>
    </xf>
    <xf numFmtId="2" fontId="9" fillId="0" borderId="6" xfId="2" applyNumberFormat="1" applyFont="1" applyBorder="1" applyAlignment="1">
      <alignment horizontal="left"/>
    </xf>
    <xf numFmtId="0" fontId="9" fillId="0" borderId="4" xfId="2" applyFont="1" applyBorder="1" applyAlignment="1">
      <alignment horizontal="right"/>
    </xf>
    <xf numFmtId="0" fontId="10" fillId="0" borderId="29" xfId="2" applyFont="1" applyBorder="1" applyAlignment="1">
      <alignment horizontal="left"/>
    </xf>
    <xf numFmtId="2" fontId="9" fillId="0" borderId="30" xfId="2" applyNumberFormat="1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3" borderId="34" xfId="0" applyFill="1" applyBorder="1"/>
    <xf numFmtId="0" fontId="0" fillId="3" borderId="35" xfId="0" applyFill="1" applyBorder="1"/>
    <xf numFmtId="0" fontId="0" fillId="3" borderId="33" xfId="0" applyFill="1" applyBorder="1"/>
    <xf numFmtId="0" fontId="41" fillId="14" borderId="36" xfId="0" applyFont="1" applyFill="1" applyBorder="1" applyAlignment="1">
      <alignment horizontal="left"/>
    </xf>
    <xf numFmtId="9" fontId="40" fillId="14" borderId="36" xfId="0" applyNumberFormat="1" applyFont="1" applyFill="1" applyBorder="1" applyAlignment="1">
      <alignment horizontal="left"/>
    </xf>
    <xf numFmtId="0" fontId="41" fillId="14" borderId="37" xfId="0" applyFont="1" applyFill="1" applyBorder="1" applyAlignment="1">
      <alignment horizontal="left" wrapText="1"/>
    </xf>
    <xf numFmtId="0" fontId="41" fillId="14" borderId="38" xfId="0" applyFont="1" applyFill="1" applyBorder="1" applyAlignment="1">
      <alignment horizontal="left" wrapText="1"/>
    </xf>
    <xf numFmtId="0" fontId="41" fillId="14" borderId="39" xfId="0" applyFont="1" applyFill="1" applyBorder="1" applyAlignment="1">
      <alignment horizontal="left" wrapText="1"/>
    </xf>
    <xf numFmtId="0" fontId="41" fillId="14" borderId="40" xfId="0" applyFont="1" applyFill="1" applyBorder="1" applyAlignment="1">
      <alignment horizontal="left" wrapText="1"/>
    </xf>
    <xf numFmtId="0" fontId="41" fillId="14" borderId="41" xfId="0" applyFont="1" applyFill="1" applyBorder="1" applyAlignment="1">
      <alignment horizontal="left"/>
    </xf>
    <xf numFmtId="0" fontId="41" fillId="0" borderId="42" xfId="0" applyFont="1" applyBorder="1" applyAlignment="1">
      <alignment horizontal="left"/>
    </xf>
    <xf numFmtId="0" fontId="41" fillId="0" borderId="43" xfId="0" applyFont="1" applyBorder="1" applyAlignment="1">
      <alignment horizontal="left"/>
    </xf>
    <xf numFmtId="0" fontId="40" fillId="0" borderId="42" xfId="0" applyFont="1" applyBorder="1" applyAlignment="1">
      <alignment horizontal="left"/>
    </xf>
    <xf numFmtId="0" fontId="40" fillId="0" borderId="43" xfId="0" applyFont="1" applyBorder="1" applyAlignment="1">
      <alignment horizontal="left"/>
    </xf>
    <xf numFmtId="168" fontId="40" fillId="0" borderId="42" xfId="0" applyNumberFormat="1" applyFont="1" applyBorder="1" applyAlignment="1">
      <alignment horizontal="left"/>
    </xf>
    <xf numFmtId="164" fontId="40" fillId="0" borderId="42" xfId="0" applyNumberFormat="1" applyFont="1" applyBorder="1" applyAlignment="1">
      <alignment horizontal="left"/>
    </xf>
    <xf numFmtId="168" fontId="40" fillId="0" borderId="43" xfId="0" applyNumberFormat="1" applyFont="1" applyBorder="1" applyAlignment="1">
      <alignment horizontal="left"/>
    </xf>
    <xf numFmtId="164" fontId="40" fillId="0" borderId="43" xfId="0" applyNumberFormat="1" applyFont="1" applyBorder="1" applyAlignment="1">
      <alignment horizontal="left"/>
    </xf>
    <xf numFmtId="1" fontId="40" fillId="0" borderId="42" xfId="0" applyNumberFormat="1" applyFont="1" applyBorder="1" applyAlignment="1">
      <alignment horizontal="left"/>
    </xf>
    <xf numFmtId="1" fontId="40" fillId="0" borderId="43" xfId="0" applyNumberFormat="1" applyFont="1" applyBorder="1" applyAlignment="1">
      <alignment horizontal="left"/>
    </xf>
    <xf numFmtId="1" fontId="40" fillId="0" borderId="44" xfId="0" applyNumberFormat="1" applyFont="1" applyBorder="1" applyAlignment="1">
      <alignment horizontal="left"/>
    </xf>
    <xf numFmtId="1" fontId="40" fillId="0" borderId="45" xfId="0" applyNumberFormat="1" applyFont="1" applyBorder="1" applyAlignment="1">
      <alignment horizontal="left"/>
    </xf>
    <xf numFmtId="0" fontId="42" fillId="13" borderId="0" xfId="0" applyFont="1" applyFill="1"/>
    <xf numFmtId="0" fontId="41" fillId="14" borderId="36" xfId="0" applyFont="1" applyFill="1" applyBorder="1" applyAlignment="1">
      <alignment horizontal="left"/>
    </xf>
    <xf numFmtId="0" fontId="41" fillId="0" borderId="42" xfId="0" applyFont="1" applyBorder="1" applyAlignment="1">
      <alignment horizontal="left"/>
    </xf>
    <xf numFmtId="0" fontId="41" fillId="0" borderId="43" xfId="0" applyFont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00FF00"/>
      <color rgb="FFCCFFFF"/>
      <color rgb="FF3333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9" Type="http://schemas.openxmlformats.org/officeDocument/2006/relationships/image" Target="../media/image41.png"/><Relationship Id="rId21" Type="http://schemas.openxmlformats.org/officeDocument/2006/relationships/image" Target="../media/image23.png"/><Relationship Id="rId34" Type="http://schemas.openxmlformats.org/officeDocument/2006/relationships/image" Target="../media/image36.png"/><Relationship Id="rId42" Type="http://schemas.openxmlformats.org/officeDocument/2006/relationships/image" Target="../media/image44.png"/><Relationship Id="rId47" Type="http://schemas.openxmlformats.org/officeDocument/2006/relationships/image" Target="../media/image49.png"/><Relationship Id="rId50" Type="http://schemas.openxmlformats.org/officeDocument/2006/relationships/image" Target="../media/image52.png"/><Relationship Id="rId55" Type="http://schemas.openxmlformats.org/officeDocument/2006/relationships/image" Target="../media/image57.png"/><Relationship Id="rId63" Type="http://schemas.openxmlformats.org/officeDocument/2006/relationships/image" Target="../media/image6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41" Type="http://schemas.openxmlformats.org/officeDocument/2006/relationships/image" Target="../media/image43.png"/><Relationship Id="rId54" Type="http://schemas.openxmlformats.org/officeDocument/2006/relationships/image" Target="../media/image56.png"/><Relationship Id="rId62" Type="http://schemas.openxmlformats.org/officeDocument/2006/relationships/image" Target="../media/image6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37" Type="http://schemas.openxmlformats.org/officeDocument/2006/relationships/image" Target="../media/image39.png"/><Relationship Id="rId40" Type="http://schemas.openxmlformats.org/officeDocument/2006/relationships/image" Target="../media/image42.png"/><Relationship Id="rId45" Type="http://schemas.openxmlformats.org/officeDocument/2006/relationships/image" Target="../media/image47.png"/><Relationship Id="rId53" Type="http://schemas.openxmlformats.org/officeDocument/2006/relationships/image" Target="../media/image55.png"/><Relationship Id="rId58" Type="http://schemas.openxmlformats.org/officeDocument/2006/relationships/image" Target="../media/image60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36" Type="http://schemas.openxmlformats.org/officeDocument/2006/relationships/image" Target="../media/image38.png"/><Relationship Id="rId49" Type="http://schemas.openxmlformats.org/officeDocument/2006/relationships/image" Target="../media/image51.png"/><Relationship Id="rId57" Type="http://schemas.openxmlformats.org/officeDocument/2006/relationships/image" Target="../media/image59.png"/><Relationship Id="rId61" Type="http://schemas.openxmlformats.org/officeDocument/2006/relationships/image" Target="../media/image63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4" Type="http://schemas.openxmlformats.org/officeDocument/2006/relationships/image" Target="../media/image46.png"/><Relationship Id="rId52" Type="http://schemas.openxmlformats.org/officeDocument/2006/relationships/image" Target="../media/image54.png"/><Relationship Id="rId60" Type="http://schemas.openxmlformats.org/officeDocument/2006/relationships/image" Target="../media/image62.png"/><Relationship Id="rId65" Type="http://schemas.openxmlformats.org/officeDocument/2006/relationships/image" Target="../media/image6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Relationship Id="rId35" Type="http://schemas.openxmlformats.org/officeDocument/2006/relationships/image" Target="../media/image37.png"/><Relationship Id="rId43" Type="http://schemas.openxmlformats.org/officeDocument/2006/relationships/image" Target="../media/image45.png"/><Relationship Id="rId48" Type="http://schemas.openxmlformats.org/officeDocument/2006/relationships/image" Target="../media/image50.png"/><Relationship Id="rId56" Type="http://schemas.openxmlformats.org/officeDocument/2006/relationships/image" Target="../media/image58.png"/><Relationship Id="rId64" Type="http://schemas.openxmlformats.org/officeDocument/2006/relationships/image" Target="../media/image66.png"/><Relationship Id="rId8" Type="http://schemas.openxmlformats.org/officeDocument/2006/relationships/image" Target="../media/image10.png"/><Relationship Id="rId51" Type="http://schemas.openxmlformats.org/officeDocument/2006/relationships/image" Target="../media/image53.png"/><Relationship Id="rId3" Type="http://schemas.openxmlformats.org/officeDocument/2006/relationships/image" Target="../media/image5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38" Type="http://schemas.openxmlformats.org/officeDocument/2006/relationships/image" Target="../media/image40.png"/><Relationship Id="rId46" Type="http://schemas.openxmlformats.org/officeDocument/2006/relationships/image" Target="../media/image48.png"/><Relationship Id="rId59" Type="http://schemas.openxmlformats.org/officeDocument/2006/relationships/image" Target="../media/image6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0.png"/><Relationship Id="rId18" Type="http://schemas.openxmlformats.org/officeDocument/2006/relationships/image" Target="../media/image85.png"/><Relationship Id="rId26" Type="http://schemas.openxmlformats.org/officeDocument/2006/relationships/image" Target="../media/image93.png"/><Relationship Id="rId39" Type="http://schemas.openxmlformats.org/officeDocument/2006/relationships/image" Target="../media/image106.png"/><Relationship Id="rId21" Type="http://schemas.openxmlformats.org/officeDocument/2006/relationships/image" Target="../media/image88.png"/><Relationship Id="rId34" Type="http://schemas.openxmlformats.org/officeDocument/2006/relationships/image" Target="../media/image101.png"/><Relationship Id="rId42" Type="http://schemas.openxmlformats.org/officeDocument/2006/relationships/image" Target="../media/image109.png"/><Relationship Id="rId47" Type="http://schemas.openxmlformats.org/officeDocument/2006/relationships/image" Target="../media/image114.png"/><Relationship Id="rId50" Type="http://schemas.openxmlformats.org/officeDocument/2006/relationships/image" Target="../media/image117.png"/><Relationship Id="rId55" Type="http://schemas.openxmlformats.org/officeDocument/2006/relationships/image" Target="../media/image122.png"/><Relationship Id="rId63" Type="http://schemas.openxmlformats.org/officeDocument/2006/relationships/image" Target="../media/image130.png"/><Relationship Id="rId7" Type="http://schemas.openxmlformats.org/officeDocument/2006/relationships/image" Target="../media/image74.png"/><Relationship Id="rId2" Type="http://schemas.openxmlformats.org/officeDocument/2006/relationships/image" Target="../media/image69.png"/><Relationship Id="rId16" Type="http://schemas.openxmlformats.org/officeDocument/2006/relationships/image" Target="../media/image83.png"/><Relationship Id="rId20" Type="http://schemas.openxmlformats.org/officeDocument/2006/relationships/image" Target="../media/image87.png"/><Relationship Id="rId29" Type="http://schemas.openxmlformats.org/officeDocument/2006/relationships/image" Target="../media/image96.png"/><Relationship Id="rId41" Type="http://schemas.openxmlformats.org/officeDocument/2006/relationships/image" Target="../media/image108.png"/><Relationship Id="rId54" Type="http://schemas.openxmlformats.org/officeDocument/2006/relationships/image" Target="../media/image121.png"/><Relationship Id="rId62" Type="http://schemas.openxmlformats.org/officeDocument/2006/relationships/image" Target="../media/image129.png"/><Relationship Id="rId1" Type="http://schemas.openxmlformats.org/officeDocument/2006/relationships/image" Target="../media/image68.png"/><Relationship Id="rId6" Type="http://schemas.openxmlformats.org/officeDocument/2006/relationships/image" Target="../media/image73.png"/><Relationship Id="rId11" Type="http://schemas.openxmlformats.org/officeDocument/2006/relationships/image" Target="../media/image78.png"/><Relationship Id="rId24" Type="http://schemas.openxmlformats.org/officeDocument/2006/relationships/image" Target="../media/image91.png"/><Relationship Id="rId32" Type="http://schemas.openxmlformats.org/officeDocument/2006/relationships/image" Target="../media/image99.png"/><Relationship Id="rId37" Type="http://schemas.openxmlformats.org/officeDocument/2006/relationships/image" Target="../media/image104.png"/><Relationship Id="rId40" Type="http://schemas.openxmlformats.org/officeDocument/2006/relationships/image" Target="../media/image107.png"/><Relationship Id="rId45" Type="http://schemas.openxmlformats.org/officeDocument/2006/relationships/image" Target="../media/image112.png"/><Relationship Id="rId53" Type="http://schemas.openxmlformats.org/officeDocument/2006/relationships/image" Target="../media/image120.png"/><Relationship Id="rId58" Type="http://schemas.openxmlformats.org/officeDocument/2006/relationships/image" Target="../media/image125.png"/><Relationship Id="rId5" Type="http://schemas.openxmlformats.org/officeDocument/2006/relationships/image" Target="../media/image72.png"/><Relationship Id="rId15" Type="http://schemas.openxmlformats.org/officeDocument/2006/relationships/image" Target="../media/image82.png"/><Relationship Id="rId23" Type="http://schemas.openxmlformats.org/officeDocument/2006/relationships/image" Target="../media/image90.png"/><Relationship Id="rId28" Type="http://schemas.openxmlformats.org/officeDocument/2006/relationships/image" Target="../media/image95.png"/><Relationship Id="rId36" Type="http://schemas.openxmlformats.org/officeDocument/2006/relationships/image" Target="../media/image103.png"/><Relationship Id="rId49" Type="http://schemas.openxmlformats.org/officeDocument/2006/relationships/image" Target="../media/image116.png"/><Relationship Id="rId57" Type="http://schemas.openxmlformats.org/officeDocument/2006/relationships/image" Target="../media/image124.png"/><Relationship Id="rId61" Type="http://schemas.openxmlformats.org/officeDocument/2006/relationships/image" Target="../media/image128.png"/><Relationship Id="rId10" Type="http://schemas.openxmlformats.org/officeDocument/2006/relationships/image" Target="../media/image77.png"/><Relationship Id="rId19" Type="http://schemas.openxmlformats.org/officeDocument/2006/relationships/image" Target="../media/image86.png"/><Relationship Id="rId31" Type="http://schemas.openxmlformats.org/officeDocument/2006/relationships/image" Target="../media/image98.png"/><Relationship Id="rId44" Type="http://schemas.openxmlformats.org/officeDocument/2006/relationships/image" Target="../media/image111.png"/><Relationship Id="rId52" Type="http://schemas.openxmlformats.org/officeDocument/2006/relationships/image" Target="../media/image119.png"/><Relationship Id="rId60" Type="http://schemas.openxmlformats.org/officeDocument/2006/relationships/image" Target="../media/image127.png"/><Relationship Id="rId65" Type="http://schemas.openxmlformats.org/officeDocument/2006/relationships/image" Target="../media/image67.png"/><Relationship Id="rId4" Type="http://schemas.openxmlformats.org/officeDocument/2006/relationships/image" Target="../media/image71.png"/><Relationship Id="rId9" Type="http://schemas.openxmlformats.org/officeDocument/2006/relationships/image" Target="../media/image76.png"/><Relationship Id="rId14" Type="http://schemas.openxmlformats.org/officeDocument/2006/relationships/image" Target="../media/image81.png"/><Relationship Id="rId22" Type="http://schemas.openxmlformats.org/officeDocument/2006/relationships/image" Target="../media/image89.png"/><Relationship Id="rId27" Type="http://schemas.openxmlformats.org/officeDocument/2006/relationships/image" Target="../media/image94.png"/><Relationship Id="rId30" Type="http://schemas.openxmlformats.org/officeDocument/2006/relationships/image" Target="../media/image97.png"/><Relationship Id="rId35" Type="http://schemas.openxmlformats.org/officeDocument/2006/relationships/image" Target="../media/image102.png"/><Relationship Id="rId43" Type="http://schemas.openxmlformats.org/officeDocument/2006/relationships/image" Target="../media/image110.png"/><Relationship Id="rId48" Type="http://schemas.openxmlformats.org/officeDocument/2006/relationships/image" Target="../media/image115.png"/><Relationship Id="rId56" Type="http://schemas.openxmlformats.org/officeDocument/2006/relationships/image" Target="../media/image123.png"/><Relationship Id="rId64" Type="http://schemas.openxmlformats.org/officeDocument/2006/relationships/image" Target="../media/image131.png"/><Relationship Id="rId8" Type="http://schemas.openxmlformats.org/officeDocument/2006/relationships/image" Target="../media/image75.png"/><Relationship Id="rId51" Type="http://schemas.openxmlformats.org/officeDocument/2006/relationships/image" Target="../media/image118.png"/><Relationship Id="rId3" Type="http://schemas.openxmlformats.org/officeDocument/2006/relationships/image" Target="../media/image70.png"/><Relationship Id="rId12" Type="http://schemas.openxmlformats.org/officeDocument/2006/relationships/image" Target="../media/image79.png"/><Relationship Id="rId17" Type="http://schemas.openxmlformats.org/officeDocument/2006/relationships/image" Target="../media/image84.png"/><Relationship Id="rId25" Type="http://schemas.openxmlformats.org/officeDocument/2006/relationships/image" Target="../media/image92.png"/><Relationship Id="rId33" Type="http://schemas.openxmlformats.org/officeDocument/2006/relationships/image" Target="../media/image100.png"/><Relationship Id="rId38" Type="http://schemas.openxmlformats.org/officeDocument/2006/relationships/image" Target="../media/image105.png"/><Relationship Id="rId46" Type="http://schemas.openxmlformats.org/officeDocument/2006/relationships/image" Target="../media/image113.png"/><Relationship Id="rId59" Type="http://schemas.openxmlformats.org/officeDocument/2006/relationships/image" Target="../media/image1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209550</xdr:colOff>
      <xdr:row>3</xdr:row>
      <xdr:rowOff>142875</xdr:rowOff>
    </xdr:from>
    <xdr:to>
      <xdr:col>12</xdr:col>
      <xdr:colOff>630555</xdr:colOff>
      <xdr:row>18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32" t="12202" r="8081" b="4167"/>
        <a:stretch>
          <a:fillRect/>
        </a:stretch>
      </xdr:blipFill>
      <xdr:spPr bwMode="auto">
        <a:xfrm>
          <a:off x="6581775" y="628650"/>
          <a:ext cx="2809875" cy="2552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081C51-43C5-4B5E-A179-54D2F2D86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" y="1104900"/>
          <a:ext cx="952500" cy="1841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19B7C1-522F-4A8D-BAD2-80A6005A7E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90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6188E-B59E-4E75-B007-C1782CFD60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85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FA5AAA-19DB-4573-93B1-28BFAD59FA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381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C5E69A-94DF-4A6C-BBB7-69BDD33139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476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075FC7-7A2A-476B-9994-91118BAE44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571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1D6995D-BD09-4399-A44C-08706D5447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666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BE5773-CD30-4E84-937B-97BA27AB1B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762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D14D64-1F6E-406C-985F-902D93DBE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xfrm>
          <a:off x="857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F19A3B-F107-4BA2-BBB1-9E45054952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xfrm>
          <a:off x="952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5D5162C-F9D9-415F-B3F8-9E916537CA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xfrm>
          <a:off x="1047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84B5FAC-91B2-44DB-9D92-E364207FE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xfrm>
          <a:off x="1143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7AD85E-7F09-4B50-B384-0612981C98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1238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76113ED-1580-4F30-8898-875B62FCE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xfrm>
          <a:off x="1333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9148E9-53BB-49BA-A52E-D9C92C91E5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xfrm>
          <a:off x="1428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3CA3F41-3DA1-4704-B24F-58BAD0DD4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xfrm>
          <a:off x="1524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81D0281-A7D8-4E4F-AF0A-7CB20E4EDF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xfrm>
          <a:off x="1619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68D0CC5-A970-4611-9CD7-F2E3D4030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xfrm>
          <a:off x="1714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9B68A86-CEF3-4FA2-B829-FFFC801B0B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xfrm>
          <a:off x="1809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E8B4CEF-5A3B-401C-9772-2A29C86736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tretch>
          <a:fillRect/>
        </a:stretch>
      </xdr:blipFill>
      <xdr:spPr>
        <a:xfrm>
          <a:off x="1905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23</xdr:col>
      <xdr:colOff>0</xdr:colOff>
      <xdr:row>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F7197CD-CA06-4A3D-AC02-1E87E59B82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xfrm>
          <a:off x="2000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5A2AEC2-DB24-4A4D-94CB-D09F3A84DA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xfrm>
          <a:off x="2095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F4742EE-035E-4FAA-94DD-364F691DDD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xfrm>
          <a:off x="2190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0</xdr:colOff>
      <xdr:row>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D04811C-A6FC-4284-994C-25B82734A2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xfrm>
          <a:off x="2286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4995E06-0FA0-48BE-9189-04844FB075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tretch>
          <a:fillRect/>
        </a:stretch>
      </xdr:blipFill>
      <xdr:spPr>
        <a:xfrm>
          <a:off x="2381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C87E4B9-73DB-4395-BB65-D1841CC8E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tretch>
          <a:fillRect/>
        </a:stretch>
      </xdr:blipFill>
      <xdr:spPr>
        <a:xfrm>
          <a:off x="2476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</xdr:row>
      <xdr:rowOff>0</xdr:rowOff>
    </xdr:from>
    <xdr:to>
      <xdr:col>29</xdr:col>
      <xdr:colOff>0</xdr:colOff>
      <xdr:row>5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F15A4A4-CB15-4EA4-9297-AF09A337CF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tretch>
          <a:fillRect/>
        </a:stretch>
      </xdr:blipFill>
      <xdr:spPr>
        <a:xfrm>
          <a:off x="2571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0</xdr:colOff>
      <xdr:row>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08392CC-B6A7-4EEB-B7AA-82FB21D90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tretch>
          <a:fillRect/>
        </a:stretch>
      </xdr:blipFill>
      <xdr:spPr>
        <a:xfrm>
          <a:off x="2667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</xdr:row>
      <xdr:rowOff>0</xdr:rowOff>
    </xdr:from>
    <xdr:to>
      <xdr:col>31</xdr:col>
      <xdr:colOff>0</xdr:colOff>
      <xdr:row>5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44145E5-9B3B-4E39-8B6E-EDE829A1DA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tretch>
          <a:fillRect/>
        </a:stretch>
      </xdr:blipFill>
      <xdr:spPr>
        <a:xfrm>
          <a:off x="2762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31</xdr:col>
      <xdr:colOff>0</xdr:colOff>
      <xdr:row>4</xdr:row>
      <xdr:rowOff>0</xdr:rowOff>
    </xdr:from>
    <xdr:to>
      <xdr:col>32</xdr:col>
      <xdr:colOff>0</xdr:colOff>
      <xdr:row>5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71262CA-3DA8-4547-8723-89629EB48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/>
        <a:stretch>
          <a:fillRect/>
        </a:stretch>
      </xdr:blipFill>
      <xdr:spPr>
        <a:xfrm>
          <a:off x="2857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32</xdr:col>
      <xdr:colOff>0</xdr:colOff>
      <xdr:row>4</xdr:row>
      <xdr:rowOff>0</xdr:rowOff>
    </xdr:from>
    <xdr:to>
      <xdr:col>33</xdr:col>
      <xdr:colOff>0</xdr:colOff>
      <xdr:row>5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FEF963B-AAED-4ECA-AAC7-8A552E3D3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/>
        <a:stretch>
          <a:fillRect/>
        </a:stretch>
      </xdr:blipFill>
      <xdr:spPr>
        <a:xfrm>
          <a:off x="2952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33</xdr:col>
      <xdr:colOff>0</xdr:colOff>
      <xdr:row>4</xdr:row>
      <xdr:rowOff>0</xdr:rowOff>
    </xdr:from>
    <xdr:to>
      <xdr:col>34</xdr:col>
      <xdr:colOff>0</xdr:colOff>
      <xdr:row>5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33E30AC-3C32-4086-BC5B-4D98688F2E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tretch>
          <a:fillRect/>
        </a:stretch>
      </xdr:blipFill>
      <xdr:spPr>
        <a:xfrm>
          <a:off x="3048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34</xdr:col>
      <xdr:colOff>0</xdr:colOff>
      <xdr:row>4</xdr:row>
      <xdr:rowOff>0</xdr:rowOff>
    </xdr:from>
    <xdr:to>
      <xdr:col>35</xdr:col>
      <xdr:colOff>0</xdr:colOff>
      <xdr:row>5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BC59E73-52EB-4BE3-A6F6-662BBACAB6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tretch>
          <a:fillRect/>
        </a:stretch>
      </xdr:blipFill>
      <xdr:spPr>
        <a:xfrm>
          <a:off x="3143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35</xdr:col>
      <xdr:colOff>0</xdr:colOff>
      <xdr:row>4</xdr:row>
      <xdr:rowOff>0</xdr:rowOff>
    </xdr:from>
    <xdr:to>
      <xdr:col>36</xdr:col>
      <xdr:colOff>0</xdr:colOff>
      <xdr:row>5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81CCB4C-A9A6-435F-99D9-6BD65D4338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tretch>
          <a:fillRect/>
        </a:stretch>
      </xdr:blipFill>
      <xdr:spPr>
        <a:xfrm>
          <a:off x="3238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36</xdr:col>
      <xdr:colOff>0</xdr:colOff>
      <xdr:row>4</xdr:row>
      <xdr:rowOff>0</xdr:rowOff>
    </xdr:from>
    <xdr:to>
      <xdr:col>37</xdr:col>
      <xdr:colOff>0</xdr:colOff>
      <xdr:row>5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94436B3-19BE-4CBD-A6F1-7C8062DCDF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tretch>
          <a:fillRect/>
        </a:stretch>
      </xdr:blipFill>
      <xdr:spPr>
        <a:xfrm>
          <a:off x="3333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37</xdr:col>
      <xdr:colOff>0</xdr:colOff>
      <xdr:row>4</xdr:row>
      <xdr:rowOff>0</xdr:rowOff>
    </xdr:from>
    <xdr:to>
      <xdr:col>38</xdr:col>
      <xdr:colOff>0</xdr:colOff>
      <xdr:row>5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4A5DE11-797D-4867-B062-050508A44F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tretch>
          <a:fillRect/>
        </a:stretch>
      </xdr:blipFill>
      <xdr:spPr>
        <a:xfrm>
          <a:off x="3429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4</xdr:row>
      <xdr:rowOff>0</xdr:rowOff>
    </xdr:from>
    <xdr:to>
      <xdr:col>39</xdr:col>
      <xdr:colOff>0</xdr:colOff>
      <xdr:row>5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3750DE6-C8D4-4378-9A92-E1EF23C197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tretch>
          <a:fillRect/>
        </a:stretch>
      </xdr:blipFill>
      <xdr:spPr>
        <a:xfrm>
          <a:off x="3524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4</xdr:row>
      <xdr:rowOff>0</xdr:rowOff>
    </xdr:from>
    <xdr:to>
      <xdr:col>40</xdr:col>
      <xdr:colOff>0</xdr:colOff>
      <xdr:row>5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C6E2331-FC83-4ADE-8ACD-FD82627894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tretch>
          <a:fillRect/>
        </a:stretch>
      </xdr:blipFill>
      <xdr:spPr>
        <a:xfrm>
          <a:off x="3619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40</xdr:col>
      <xdr:colOff>0</xdr:colOff>
      <xdr:row>4</xdr:row>
      <xdr:rowOff>0</xdr:rowOff>
    </xdr:from>
    <xdr:to>
      <xdr:col>41</xdr:col>
      <xdr:colOff>0</xdr:colOff>
      <xdr:row>5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4FA3B48-D77C-4543-A889-246A0FDD0D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/>
        <a:stretch>
          <a:fillRect/>
        </a:stretch>
      </xdr:blipFill>
      <xdr:spPr>
        <a:xfrm>
          <a:off x="3714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41</xdr:col>
      <xdr:colOff>0</xdr:colOff>
      <xdr:row>4</xdr:row>
      <xdr:rowOff>0</xdr:rowOff>
    </xdr:from>
    <xdr:to>
      <xdr:col>42</xdr:col>
      <xdr:colOff>0</xdr:colOff>
      <xdr:row>5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5F3D76B-50F1-40F0-B630-95F1DB2BA5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/>
        <a:stretch>
          <a:fillRect/>
        </a:stretch>
      </xdr:blipFill>
      <xdr:spPr>
        <a:xfrm>
          <a:off x="3810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42</xdr:col>
      <xdr:colOff>0</xdr:colOff>
      <xdr:row>4</xdr:row>
      <xdr:rowOff>0</xdr:rowOff>
    </xdr:from>
    <xdr:to>
      <xdr:col>43</xdr:col>
      <xdr:colOff>0</xdr:colOff>
      <xdr:row>5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9CDFC63-9177-447B-AA28-0C41ECBE3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/>
        <a:stretch>
          <a:fillRect/>
        </a:stretch>
      </xdr:blipFill>
      <xdr:spPr>
        <a:xfrm>
          <a:off x="3905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43</xdr:col>
      <xdr:colOff>0</xdr:colOff>
      <xdr:row>4</xdr:row>
      <xdr:rowOff>0</xdr:rowOff>
    </xdr:from>
    <xdr:to>
      <xdr:col>44</xdr:col>
      <xdr:colOff>0</xdr:colOff>
      <xdr:row>5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D56455D-5A3C-4B98-BB8E-7CC72AD22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/>
        <a:stretch>
          <a:fillRect/>
        </a:stretch>
      </xdr:blipFill>
      <xdr:spPr>
        <a:xfrm>
          <a:off x="4000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4</xdr:row>
      <xdr:rowOff>0</xdr:rowOff>
    </xdr:from>
    <xdr:to>
      <xdr:col>45</xdr:col>
      <xdr:colOff>0</xdr:colOff>
      <xdr:row>5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D26599E-4715-46AF-948B-45FFF4130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tretch>
          <a:fillRect/>
        </a:stretch>
      </xdr:blipFill>
      <xdr:spPr>
        <a:xfrm>
          <a:off x="4095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45</xdr:col>
      <xdr:colOff>0</xdr:colOff>
      <xdr:row>4</xdr:row>
      <xdr:rowOff>0</xdr:rowOff>
    </xdr:from>
    <xdr:to>
      <xdr:col>46</xdr:col>
      <xdr:colOff>0</xdr:colOff>
      <xdr:row>5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928CA58-74F8-46D6-B351-81F1264D2C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tretch>
          <a:fillRect/>
        </a:stretch>
      </xdr:blipFill>
      <xdr:spPr>
        <a:xfrm>
          <a:off x="4191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46</xdr:col>
      <xdr:colOff>0</xdr:colOff>
      <xdr:row>4</xdr:row>
      <xdr:rowOff>0</xdr:rowOff>
    </xdr:from>
    <xdr:to>
      <xdr:col>47</xdr:col>
      <xdr:colOff>0</xdr:colOff>
      <xdr:row>5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1384224-8342-4291-B886-E70186808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/>
        <a:stretch>
          <a:fillRect/>
        </a:stretch>
      </xdr:blipFill>
      <xdr:spPr>
        <a:xfrm>
          <a:off x="4286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47</xdr:col>
      <xdr:colOff>0</xdr:colOff>
      <xdr:row>4</xdr:row>
      <xdr:rowOff>0</xdr:rowOff>
    </xdr:from>
    <xdr:to>
      <xdr:col>48</xdr:col>
      <xdr:colOff>0</xdr:colOff>
      <xdr:row>5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DB03C89-A416-4A92-A4FE-FD8AA3A1D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/>
        <a:stretch>
          <a:fillRect/>
        </a:stretch>
      </xdr:blipFill>
      <xdr:spPr>
        <a:xfrm>
          <a:off x="4381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48</xdr:col>
      <xdr:colOff>0</xdr:colOff>
      <xdr:row>4</xdr:row>
      <xdr:rowOff>0</xdr:rowOff>
    </xdr:from>
    <xdr:to>
      <xdr:col>49</xdr:col>
      <xdr:colOff>0</xdr:colOff>
      <xdr:row>5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09A94DA-FBB6-4DF6-9334-6C73DECC35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/>
        <a:stretch>
          <a:fillRect/>
        </a:stretch>
      </xdr:blipFill>
      <xdr:spPr>
        <a:xfrm>
          <a:off x="4476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49</xdr:col>
      <xdr:colOff>0</xdr:colOff>
      <xdr:row>4</xdr:row>
      <xdr:rowOff>0</xdr:rowOff>
    </xdr:from>
    <xdr:to>
      <xdr:col>50</xdr:col>
      <xdr:colOff>0</xdr:colOff>
      <xdr:row>5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8CF91FE-F7C1-4BB7-88FC-144EC28E5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/>
        <a:stretch>
          <a:fillRect/>
        </a:stretch>
      </xdr:blipFill>
      <xdr:spPr>
        <a:xfrm>
          <a:off x="4572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50</xdr:col>
      <xdr:colOff>0</xdr:colOff>
      <xdr:row>4</xdr:row>
      <xdr:rowOff>0</xdr:rowOff>
    </xdr:from>
    <xdr:to>
      <xdr:col>51</xdr:col>
      <xdr:colOff>0</xdr:colOff>
      <xdr:row>5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36C2F3C-3519-47FF-8C7A-0DACC44CE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/>
        <a:stretch>
          <a:fillRect/>
        </a:stretch>
      </xdr:blipFill>
      <xdr:spPr>
        <a:xfrm>
          <a:off x="4667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51</xdr:col>
      <xdr:colOff>0</xdr:colOff>
      <xdr:row>4</xdr:row>
      <xdr:rowOff>0</xdr:rowOff>
    </xdr:from>
    <xdr:to>
      <xdr:col>52</xdr:col>
      <xdr:colOff>0</xdr:colOff>
      <xdr:row>5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B24C0BE-2642-4DA7-B364-3BD68F6A79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tretch>
          <a:fillRect/>
        </a:stretch>
      </xdr:blipFill>
      <xdr:spPr>
        <a:xfrm>
          <a:off x="4762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52</xdr:col>
      <xdr:colOff>0</xdr:colOff>
      <xdr:row>4</xdr:row>
      <xdr:rowOff>0</xdr:rowOff>
    </xdr:from>
    <xdr:to>
      <xdr:col>53</xdr:col>
      <xdr:colOff>0</xdr:colOff>
      <xdr:row>5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984D53A-CDCC-4670-B0EA-A4DF7476D2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tretch>
          <a:fillRect/>
        </a:stretch>
      </xdr:blipFill>
      <xdr:spPr>
        <a:xfrm>
          <a:off x="4857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53</xdr:col>
      <xdr:colOff>0</xdr:colOff>
      <xdr:row>4</xdr:row>
      <xdr:rowOff>0</xdr:rowOff>
    </xdr:from>
    <xdr:to>
      <xdr:col>54</xdr:col>
      <xdr:colOff>0</xdr:colOff>
      <xdr:row>5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85D9099-93ED-450D-9E77-2F319A9D7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/>
        <a:stretch>
          <a:fillRect/>
        </a:stretch>
      </xdr:blipFill>
      <xdr:spPr>
        <a:xfrm>
          <a:off x="4953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54</xdr:col>
      <xdr:colOff>0</xdr:colOff>
      <xdr:row>4</xdr:row>
      <xdr:rowOff>0</xdr:rowOff>
    </xdr:from>
    <xdr:to>
      <xdr:col>55</xdr:col>
      <xdr:colOff>0</xdr:colOff>
      <xdr:row>5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16C0568D-11FF-48D7-B326-5A9DE94A6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/>
        <a:stretch>
          <a:fillRect/>
        </a:stretch>
      </xdr:blipFill>
      <xdr:spPr>
        <a:xfrm>
          <a:off x="5048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55</xdr:col>
      <xdr:colOff>0</xdr:colOff>
      <xdr:row>4</xdr:row>
      <xdr:rowOff>0</xdr:rowOff>
    </xdr:from>
    <xdr:to>
      <xdr:col>56</xdr:col>
      <xdr:colOff>0</xdr:colOff>
      <xdr:row>5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C27B4F1-2AAC-413D-8DBA-F3FF2B112A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tretch>
          <a:fillRect/>
        </a:stretch>
      </xdr:blipFill>
      <xdr:spPr>
        <a:xfrm>
          <a:off x="5143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56</xdr:col>
      <xdr:colOff>0</xdr:colOff>
      <xdr:row>4</xdr:row>
      <xdr:rowOff>0</xdr:rowOff>
    </xdr:from>
    <xdr:to>
      <xdr:col>57</xdr:col>
      <xdr:colOff>0</xdr:colOff>
      <xdr:row>5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EB46A72-1F37-4BBF-83E2-6993D99176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xfrm>
          <a:off x="5238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57</xdr:col>
      <xdr:colOff>0</xdr:colOff>
      <xdr:row>4</xdr:row>
      <xdr:rowOff>0</xdr:rowOff>
    </xdr:from>
    <xdr:to>
      <xdr:col>58</xdr:col>
      <xdr:colOff>0</xdr:colOff>
      <xdr:row>5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C16D94E-F530-4672-A53B-C110474DAF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xfrm>
          <a:off x="5334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58</xdr:col>
      <xdr:colOff>0</xdr:colOff>
      <xdr:row>4</xdr:row>
      <xdr:rowOff>0</xdr:rowOff>
    </xdr:from>
    <xdr:to>
      <xdr:col>59</xdr:col>
      <xdr:colOff>0</xdr:colOff>
      <xdr:row>5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F9D5101-418D-42B3-93D2-DDA6D344B7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xfrm>
          <a:off x="5429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59</xdr:col>
      <xdr:colOff>0</xdr:colOff>
      <xdr:row>4</xdr:row>
      <xdr:rowOff>0</xdr:rowOff>
    </xdr:from>
    <xdr:to>
      <xdr:col>60</xdr:col>
      <xdr:colOff>0</xdr:colOff>
      <xdr:row>5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636EAB8-0D30-4BC8-A678-D383E17206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xfrm>
          <a:off x="5524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60</xdr:col>
      <xdr:colOff>0</xdr:colOff>
      <xdr:row>4</xdr:row>
      <xdr:rowOff>0</xdr:rowOff>
    </xdr:from>
    <xdr:to>
      <xdr:col>61</xdr:col>
      <xdr:colOff>0</xdr:colOff>
      <xdr:row>5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4D7AB987-CD41-4AB4-AD40-C043F240C8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xfrm>
          <a:off x="5619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61</xdr:col>
      <xdr:colOff>0</xdr:colOff>
      <xdr:row>4</xdr:row>
      <xdr:rowOff>0</xdr:rowOff>
    </xdr:from>
    <xdr:to>
      <xdr:col>62</xdr:col>
      <xdr:colOff>0</xdr:colOff>
      <xdr:row>5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3AFF654-A8F1-4EDF-95B9-8F80DF7231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xfrm>
          <a:off x="5715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62</xdr:col>
      <xdr:colOff>0</xdr:colOff>
      <xdr:row>4</xdr:row>
      <xdr:rowOff>0</xdr:rowOff>
    </xdr:from>
    <xdr:to>
      <xdr:col>63</xdr:col>
      <xdr:colOff>0</xdr:colOff>
      <xdr:row>5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3F4DDF1-99C4-46E3-A3B1-EE5EE15F5D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xfrm>
          <a:off x="5810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63</xdr:col>
      <xdr:colOff>0</xdr:colOff>
      <xdr:row>4</xdr:row>
      <xdr:rowOff>0</xdr:rowOff>
    </xdr:from>
    <xdr:to>
      <xdr:col>64</xdr:col>
      <xdr:colOff>0</xdr:colOff>
      <xdr:row>5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2395AC9-40CE-4FE1-B119-8617B95490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xfrm>
          <a:off x="5905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64</xdr:col>
      <xdr:colOff>0</xdr:colOff>
      <xdr:row>4</xdr:row>
      <xdr:rowOff>0</xdr:rowOff>
    </xdr:from>
    <xdr:to>
      <xdr:col>65</xdr:col>
      <xdr:colOff>0</xdr:colOff>
      <xdr:row>5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68B216B-6254-4BF4-A3C5-2DEB2F6AF8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xfrm>
          <a:off x="6000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65</xdr:col>
      <xdr:colOff>0</xdr:colOff>
      <xdr:row>4</xdr:row>
      <xdr:rowOff>0</xdr:rowOff>
    </xdr:from>
    <xdr:to>
      <xdr:col>66</xdr:col>
      <xdr:colOff>0</xdr:colOff>
      <xdr:row>5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0136A08-3005-461B-B177-8F537E670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xfrm>
          <a:off x="60960000" y="1657350"/>
          <a:ext cx="952500" cy="18415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742950</xdr:colOff>
      <xdr:row>0</xdr:row>
      <xdr:rowOff>127000</xdr:rowOff>
    </xdr:from>
    <xdr:to>
      <xdr:col>4</xdr:col>
      <xdr:colOff>388315</xdr:colOff>
      <xdr:row>0</xdr:row>
      <xdr:rowOff>705363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C3F3201-B548-72C7-DF6B-0C3EBCD5B17F}"/>
            </a:ext>
          </a:extLst>
        </xdr:cNvPr>
        <xdr:cNvSpPr txBox="1"/>
      </xdr:nvSpPr>
      <xdr:spPr>
        <a:xfrm>
          <a:off x="762000" y="127000"/>
          <a:ext cx="2502865" cy="57836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NZ" sz="1400" b="1"/>
            <a:t>@RISK - Statistics</a:t>
          </a:r>
          <a:r>
            <a:rPr lang="en-NZ" sz="1000"/>
            <a:t>
</a:t>
          </a:r>
          <a:r>
            <a:rPr lang="en-NZ" sz="1000" b="1"/>
            <a:t>Performed By: </a:t>
          </a:r>
          <a:r>
            <a:rPr lang="en-NZ" sz="1000"/>
            <a:t>David Wood
</a:t>
          </a:r>
          <a:r>
            <a:rPr lang="en-NZ" sz="1000" b="1"/>
            <a:t>Date: </a:t>
          </a:r>
          <a:r>
            <a:rPr lang="en-NZ" sz="1000"/>
            <a:t>Thursday, 19 October 2023 12:11:36 pm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0E0FCA9-7D76-AE5C-F03F-F04BBE9F5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23E27-F8D7-4788-A3C0-8F89D22EF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52500" y="1104900"/>
          <a:ext cx="952500" cy="18415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69B87E-6B06-4995-83E3-95AE256C6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90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FCEECE-C55D-47D9-84E5-C9C368A34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285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85712D-C3E4-47EA-906B-895132C71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381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B498B9-2941-4EB2-BC1A-58F4201731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476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F24A5E6-CF4F-4C58-A1C4-E323EBB8D1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571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64BE77-C398-4893-BF06-5A2632CCC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666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A6F109-9DED-4A8B-99B2-FF4BD0C487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762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D250378-0472-408B-897E-D9FB88AFCC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xfrm>
          <a:off x="857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E2E5C2-FA30-4BAE-A0AD-F050ED4DF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xfrm>
          <a:off x="952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787CAF-DA02-4492-90F1-47D31E6AEC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xfrm>
          <a:off x="1047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4C99905-9379-4487-9D5F-C902AE7135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xfrm>
          <a:off x="1143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D2AF9C8-074C-44E5-AC5A-085F0844C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1238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A4A7DD8-6AB5-4611-BDAA-E04BA037D1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tretch>
          <a:fillRect/>
        </a:stretch>
      </xdr:blipFill>
      <xdr:spPr>
        <a:xfrm>
          <a:off x="1333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17</xdr:col>
      <xdr:colOff>0</xdr:colOff>
      <xdr:row>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EFDCEB-6538-446B-B655-14F527C25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xfrm>
          <a:off x="1428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</xdr:row>
      <xdr:rowOff>0</xdr:rowOff>
    </xdr:from>
    <xdr:to>
      <xdr:col>18</xdr:col>
      <xdr:colOff>0</xdr:colOff>
      <xdr:row>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14E426B-DBB3-4227-952D-8B6AC6042E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tretch>
          <a:fillRect/>
        </a:stretch>
      </xdr:blipFill>
      <xdr:spPr>
        <a:xfrm>
          <a:off x="1524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5600494-1C55-43FF-A4E4-50AB797ED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xfrm>
          <a:off x="1619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20</xdr:col>
      <xdr:colOff>0</xdr:colOff>
      <xdr:row>5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F37DF2D-659A-47EC-A3E9-3F9E102FA9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xfrm>
          <a:off x="1714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</xdr:row>
      <xdr:rowOff>0</xdr:rowOff>
    </xdr:from>
    <xdr:to>
      <xdr:col>21</xdr:col>
      <xdr:colOff>0</xdr:colOff>
      <xdr:row>5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0C390E0-DF86-480D-9714-8E1468BC3F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xfrm>
          <a:off x="1809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21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72EBC8F-2C34-45E6-82D1-32960B764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tretch>
          <a:fillRect/>
        </a:stretch>
      </xdr:blipFill>
      <xdr:spPr>
        <a:xfrm>
          <a:off x="1905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23</xdr:col>
      <xdr:colOff>0</xdr:colOff>
      <xdr:row>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AB96D41-9EAB-4EC0-96CF-23794411B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xfrm>
          <a:off x="2000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4</xdr:row>
      <xdr:rowOff>0</xdr:rowOff>
    </xdr:from>
    <xdr:to>
      <xdr:col>24</xdr:col>
      <xdr:colOff>0</xdr:colOff>
      <xdr:row>5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C98B188-5E0C-42F9-A5C5-EF9A1FF94A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xfrm>
          <a:off x="2095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3DDD850-8978-42E8-8523-E41B3A3C2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xfrm>
          <a:off x="2190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4</xdr:row>
      <xdr:rowOff>0</xdr:rowOff>
    </xdr:from>
    <xdr:to>
      <xdr:col>26</xdr:col>
      <xdr:colOff>0</xdr:colOff>
      <xdr:row>5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077DB24-F603-4F39-9700-8FC2136EFF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xfrm>
          <a:off x="2286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26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F7004F0-41E3-4890-8DD6-25D26151A7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tretch>
          <a:fillRect/>
        </a:stretch>
      </xdr:blipFill>
      <xdr:spPr>
        <a:xfrm>
          <a:off x="2381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4</xdr:row>
      <xdr:rowOff>0</xdr:rowOff>
    </xdr:from>
    <xdr:to>
      <xdr:col>28</xdr:col>
      <xdr:colOff>0</xdr:colOff>
      <xdr:row>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B106404-83D1-4232-A7EE-5AC7B3BC9D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/>
        <a:stretch>
          <a:fillRect/>
        </a:stretch>
      </xdr:blipFill>
      <xdr:spPr>
        <a:xfrm>
          <a:off x="2476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28</xdr:col>
      <xdr:colOff>0</xdr:colOff>
      <xdr:row>4</xdr:row>
      <xdr:rowOff>0</xdr:rowOff>
    </xdr:from>
    <xdr:to>
      <xdr:col>29</xdr:col>
      <xdr:colOff>0</xdr:colOff>
      <xdr:row>5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03F424E-F394-4760-9D02-4CC7A15A2D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tretch>
          <a:fillRect/>
        </a:stretch>
      </xdr:blipFill>
      <xdr:spPr>
        <a:xfrm>
          <a:off x="2571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4</xdr:row>
      <xdr:rowOff>0</xdr:rowOff>
    </xdr:from>
    <xdr:to>
      <xdr:col>30</xdr:col>
      <xdr:colOff>0</xdr:colOff>
      <xdr:row>5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B00C96F-3DE3-4B48-BCD9-9D28EC3A9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tretch>
          <a:fillRect/>
        </a:stretch>
      </xdr:blipFill>
      <xdr:spPr>
        <a:xfrm>
          <a:off x="2667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</xdr:row>
      <xdr:rowOff>0</xdr:rowOff>
    </xdr:from>
    <xdr:to>
      <xdr:col>31</xdr:col>
      <xdr:colOff>0</xdr:colOff>
      <xdr:row>5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397106E-552F-41A7-9AA4-D1ED39EF52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tretch>
          <a:fillRect/>
        </a:stretch>
      </xdr:blipFill>
      <xdr:spPr>
        <a:xfrm>
          <a:off x="2762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31</xdr:col>
      <xdr:colOff>0</xdr:colOff>
      <xdr:row>4</xdr:row>
      <xdr:rowOff>0</xdr:rowOff>
    </xdr:from>
    <xdr:to>
      <xdr:col>32</xdr:col>
      <xdr:colOff>0</xdr:colOff>
      <xdr:row>5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2FB3424-0E4F-4205-B32D-449F79EDA0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/>
        <a:stretch>
          <a:fillRect/>
        </a:stretch>
      </xdr:blipFill>
      <xdr:spPr>
        <a:xfrm>
          <a:off x="2857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32</xdr:col>
      <xdr:colOff>0</xdr:colOff>
      <xdr:row>4</xdr:row>
      <xdr:rowOff>0</xdr:rowOff>
    </xdr:from>
    <xdr:to>
      <xdr:col>33</xdr:col>
      <xdr:colOff>0</xdr:colOff>
      <xdr:row>5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B6E3827-7F6E-4F87-BCC8-A6CE882B07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/>
        <a:stretch>
          <a:fillRect/>
        </a:stretch>
      </xdr:blipFill>
      <xdr:spPr>
        <a:xfrm>
          <a:off x="2952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33</xdr:col>
      <xdr:colOff>0</xdr:colOff>
      <xdr:row>4</xdr:row>
      <xdr:rowOff>0</xdr:rowOff>
    </xdr:from>
    <xdr:to>
      <xdr:col>34</xdr:col>
      <xdr:colOff>0</xdr:colOff>
      <xdr:row>5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F5C07EE-43F9-4E42-A673-76B5F85635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tretch>
          <a:fillRect/>
        </a:stretch>
      </xdr:blipFill>
      <xdr:spPr>
        <a:xfrm>
          <a:off x="3048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34</xdr:col>
      <xdr:colOff>0</xdr:colOff>
      <xdr:row>4</xdr:row>
      <xdr:rowOff>0</xdr:rowOff>
    </xdr:from>
    <xdr:to>
      <xdr:col>35</xdr:col>
      <xdr:colOff>0</xdr:colOff>
      <xdr:row>5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AB59E06-5BDF-44D5-B2CF-87756B43B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tretch>
          <a:fillRect/>
        </a:stretch>
      </xdr:blipFill>
      <xdr:spPr>
        <a:xfrm>
          <a:off x="3143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35</xdr:col>
      <xdr:colOff>0</xdr:colOff>
      <xdr:row>4</xdr:row>
      <xdr:rowOff>0</xdr:rowOff>
    </xdr:from>
    <xdr:to>
      <xdr:col>36</xdr:col>
      <xdr:colOff>0</xdr:colOff>
      <xdr:row>5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E61A80D-1EF6-4DDA-BB3A-49C92B6FC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tretch>
          <a:fillRect/>
        </a:stretch>
      </xdr:blipFill>
      <xdr:spPr>
        <a:xfrm>
          <a:off x="3238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36</xdr:col>
      <xdr:colOff>0</xdr:colOff>
      <xdr:row>4</xdr:row>
      <xdr:rowOff>0</xdr:rowOff>
    </xdr:from>
    <xdr:to>
      <xdr:col>37</xdr:col>
      <xdr:colOff>0</xdr:colOff>
      <xdr:row>5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BA17114-E1BE-4FDB-ADAA-A8CBD6DA6A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tretch>
          <a:fillRect/>
        </a:stretch>
      </xdr:blipFill>
      <xdr:spPr>
        <a:xfrm>
          <a:off x="3333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37</xdr:col>
      <xdr:colOff>0</xdr:colOff>
      <xdr:row>4</xdr:row>
      <xdr:rowOff>0</xdr:rowOff>
    </xdr:from>
    <xdr:to>
      <xdr:col>38</xdr:col>
      <xdr:colOff>0</xdr:colOff>
      <xdr:row>5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5055B21-25FD-450E-A55D-1C835032F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tretch>
          <a:fillRect/>
        </a:stretch>
      </xdr:blipFill>
      <xdr:spPr>
        <a:xfrm>
          <a:off x="3429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4</xdr:row>
      <xdr:rowOff>0</xdr:rowOff>
    </xdr:from>
    <xdr:to>
      <xdr:col>39</xdr:col>
      <xdr:colOff>0</xdr:colOff>
      <xdr:row>5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E5E07F61-079A-44FB-96F9-6781919A62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tretch>
          <a:fillRect/>
        </a:stretch>
      </xdr:blipFill>
      <xdr:spPr>
        <a:xfrm>
          <a:off x="3524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4</xdr:row>
      <xdr:rowOff>0</xdr:rowOff>
    </xdr:from>
    <xdr:to>
      <xdr:col>40</xdr:col>
      <xdr:colOff>0</xdr:colOff>
      <xdr:row>5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8C38BA-B312-4406-88C0-C1469B6AD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tretch>
          <a:fillRect/>
        </a:stretch>
      </xdr:blipFill>
      <xdr:spPr>
        <a:xfrm>
          <a:off x="3619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40</xdr:col>
      <xdr:colOff>0</xdr:colOff>
      <xdr:row>4</xdr:row>
      <xdr:rowOff>0</xdr:rowOff>
    </xdr:from>
    <xdr:to>
      <xdr:col>41</xdr:col>
      <xdr:colOff>0</xdr:colOff>
      <xdr:row>5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B388074-D5AF-419C-A0C0-DCA28CA9A2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/>
        <a:stretch>
          <a:fillRect/>
        </a:stretch>
      </xdr:blipFill>
      <xdr:spPr>
        <a:xfrm>
          <a:off x="3714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41</xdr:col>
      <xdr:colOff>0</xdr:colOff>
      <xdr:row>4</xdr:row>
      <xdr:rowOff>0</xdr:rowOff>
    </xdr:from>
    <xdr:to>
      <xdr:col>42</xdr:col>
      <xdr:colOff>0</xdr:colOff>
      <xdr:row>5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7E4454F-191D-4039-946D-3382F048D6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/>
        <a:stretch>
          <a:fillRect/>
        </a:stretch>
      </xdr:blipFill>
      <xdr:spPr>
        <a:xfrm>
          <a:off x="3810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42</xdr:col>
      <xdr:colOff>0</xdr:colOff>
      <xdr:row>4</xdr:row>
      <xdr:rowOff>0</xdr:rowOff>
    </xdr:from>
    <xdr:to>
      <xdr:col>43</xdr:col>
      <xdr:colOff>0</xdr:colOff>
      <xdr:row>5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F8179EE-7E2F-434A-97A1-B26EB46875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/>
        <a:stretch>
          <a:fillRect/>
        </a:stretch>
      </xdr:blipFill>
      <xdr:spPr>
        <a:xfrm>
          <a:off x="3905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43</xdr:col>
      <xdr:colOff>0</xdr:colOff>
      <xdr:row>4</xdr:row>
      <xdr:rowOff>0</xdr:rowOff>
    </xdr:from>
    <xdr:to>
      <xdr:col>44</xdr:col>
      <xdr:colOff>0</xdr:colOff>
      <xdr:row>5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E775511-D0E2-47C2-8680-30502C5061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/>
        <a:stretch>
          <a:fillRect/>
        </a:stretch>
      </xdr:blipFill>
      <xdr:spPr>
        <a:xfrm>
          <a:off x="4000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4</xdr:row>
      <xdr:rowOff>0</xdr:rowOff>
    </xdr:from>
    <xdr:to>
      <xdr:col>45</xdr:col>
      <xdr:colOff>0</xdr:colOff>
      <xdr:row>5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00F4A46-5505-466C-94F5-84CE48B995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tretch>
          <a:fillRect/>
        </a:stretch>
      </xdr:blipFill>
      <xdr:spPr>
        <a:xfrm>
          <a:off x="4095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45</xdr:col>
      <xdr:colOff>0</xdr:colOff>
      <xdr:row>4</xdr:row>
      <xdr:rowOff>0</xdr:rowOff>
    </xdr:from>
    <xdr:to>
      <xdr:col>46</xdr:col>
      <xdr:colOff>0</xdr:colOff>
      <xdr:row>5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CCDF194-4CDF-4480-8F65-D96FF6B929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tretch>
          <a:fillRect/>
        </a:stretch>
      </xdr:blipFill>
      <xdr:spPr>
        <a:xfrm>
          <a:off x="4191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46</xdr:col>
      <xdr:colOff>0</xdr:colOff>
      <xdr:row>4</xdr:row>
      <xdr:rowOff>0</xdr:rowOff>
    </xdr:from>
    <xdr:to>
      <xdr:col>47</xdr:col>
      <xdr:colOff>0</xdr:colOff>
      <xdr:row>5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592B281-7FD4-492B-9F50-A491E9A975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/>
        <a:stretch>
          <a:fillRect/>
        </a:stretch>
      </xdr:blipFill>
      <xdr:spPr>
        <a:xfrm>
          <a:off x="4286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47</xdr:col>
      <xdr:colOff>0</xdr:colOff>
      <xdr:row>4</xdr:row>
      <xdr:rowOff>0</xdr:rowOff>
    </xdr:from>
    <xdr:to>
      <xdr:col>48</xdr:col>
      <xdr:colOff>0</xdr:colOff>
      <xdr:row>5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45D9CB1-F6C4-49D5-96DD-BFED726FD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/>
        <a:stretch>
          <a:fillRect/>
        </a:stretch>
      </xdr:blipFill>
      <xdr:spPr>
        <a:xfrm>
          <a:off x="4381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48</xdr:col>
      <xdr:colOff>0</xdr:colOff>
      <xdr:row>4</xdr:row>
      <xdr:rowOff>0</xdr:rowOff>
    </xdr:from>
    <xdr:to>
      <xdr:col>49</xdr:col>
      <xdr:colOff>0</xdr:colOff>
      <xdr:row>5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7BD07D2-9D31-4367-87FE-CCE49792C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/>
        <a:stretch>
          <a:fillRect/>
        </a:stretch>
      </xdr:blipFill>
      <xdr:spPr>
        <a:xfrm>
          <a:off x="4476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49</xdr:col>
      <xdr:colOff>0</xdr:colOff>
      <xdr:row>4</xdr:row>
      <xdr:rowOff>0</xdr:rowOff>
    </xdr:from>
    <xdr:to>
      <xdr:col>50</xdr:col>
      <xdr:colOff>0</xdr:colOff>
      <xdr:row>5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9526E36-069C-4093-8D43-C221F7AB7F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/>
        <a:stretch>
          <a:fillRect/>
        </a:stretch>
      </xdr:blipFill>
      <xdr:spPr>
        <a:xfrm>
          <a:off x="4572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50</xdr:col>
      <xdr:colOff>0</xdr:colOff>
      <xdr:row>4</xdr:row>
      <xdr:rowOff>0</xdr:rowOff>
    </xdr:from>
    <xdr:to>
      <xdr:col>51</xdr:col>
      <xdr:colOff>0</xdr:colOff>
      <xdr:row>5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304AF5B-89CF-4FC0-B921-1A6DF166FC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/>
        <a:stretch>
          <a:fillRect/>
        </a:stretch>
      </xdr:blipFill>
      <xdr:spPr>
        <a:xfrm>
          <a:off x="4667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51</xdr:col>
      <xdr:colOff>0</xdr:colOff>
      <xdr:row>4</xdr:row>
      <xdr:rowOff>0</xdr:rowOff>
    </xdr:from>
    <xdr:to>
      <xdr:col>52</xdr:col>
      <xdr:colOff>0</xdr:colOff>
      <xdr:row>5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4BE23246-853C-4B83-84C0-C6755AB4C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tretch>
          <a:fillRect/>
        </a:stretch>
      </xdr:blipFill>
      <xdr:spPr>
        <a:xfrm>
          <a:off x="4762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52</xdr:col>
      <xdr:colOff>0</xdr:colOff>
      <xdr:row>4</xdr:row>
      <xdr:rowOff>0</xdr:rowOff>
    </xdr:from>
    <xdr:to>
      <xdr:col>53</xdr:col>
      <xdr:colOff>0</xdr:colOff>
      <xdr:row>5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4793D459-1AB7-45D4-A0D4-212BF5E2E9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tretch>
          <a:fillRect/>
        </a:stretch>
      </xdr:blipFill>
      <xdr:spPr>
        <a:xfrm>
          <a:off x="4857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53</xdr:col>
      <xdr:colOff>0</xdr:colOff>
      <xdr:row>4</xdr:row>
      <xdr:rowOff>0</xdr:rowOff>
    </xdr:from>
    <xdr:to>
      <xdr:col>54</xdr:col>
      <xdr:colOff>0</xdr:colOff>
      <xdr:row>5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70A527F-7B30-4BB1-90FF-55BF2563F9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/>
        <a:stretch>
          <a:fillRect/>
        </a:stretch>
      </xdr:blipFill>
      <xdr:spPr>
        <a:xfrm>
          <a:off x="4953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54</xdr:col>
      <xdr:colOff>0</xdr:colOff>
      <xdr:row>4</xdr:row>
      <xdr:rowOff>0</xdr:rowOff>
    </xdr:from>
    <xdr:to>
      <xdr:col>55</xdr:col>
      <xdr:colOff>0</xdr:colOff>
      <xdr:row>5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D0954151-924D-4132-B9B1-CAD8C6B565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/>
        <a:stretch>
          <a:fillRect/>
        </a:stretch>
      </xdr:blipFill>
      <xdr:spPr>
        <a:xfrm>
          <a:off x="5048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55</xdr:col>
      <xdr:colOff>0</xdr:colOff>
      <xdr:row>4</xdr:row>
      <xdr:rowOff>0</xdr:rowOff>
    </xdr:from>
    <xdr:to>
      <xdr:col>56</xdr:col>
      <xdr:colOff>0</xdr:colOff>
      <xdr:row>5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BDC88BC-EF1D-45ED-8E18-7C24124406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tretch>
          <a:fillRect/>
        </a:stretch>
      </xdr:blipFill>
      <xdr:spPr>
        <a:xfrm>
          <a:off x="5143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56</xdr:col>
      <xdr:colOff>0</xdr:colOff>
      <xdr:row>4</xdr:row>
      <xdr:rowOff>0</xdr:rowOff>
    </xdr:from>
    <xdr:to>
      <xdr:col>57</xdr:col>
      <xdr:colOff>0</xdr:colOff>
      <xdr:row>5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081E500-1690-45D8-82B7-ADDFA350D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/>
        <a:stretch>
          <a:fillRect/>
        </a:stretch>
      </xdr:blipFill>
      <xdr:spPr>
        <a:xfrm>
          <a:off x="5238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57</xdr:col>
      <xdr:colOff>0</xdr:colOff>
      <xdr:row>4</xdr:row>
      <xdr:rowOff>0</xdr:rowOff>
    </xdr:from>
    <xdr:to>
      <xdr:col>58</xdr:col>
      <xdr:colOff>0</xdr:colOff>
      <xdr:row>5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ECBBAF3-E8DC-4480-A4BE-783F558CA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tretch>
          <a:fillRect/>
        </a:stretch>
      </xdr:blipFill>
      <xdr:spPr>
        <a:xfrm>
          <a:off x="5334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58</xdr:col>
      <xdr:colOff>0</xdr:colOff>
      <xdr:row>4</xdr:row>
      <xdr:rowOff>0</xdr:rowOff>
    </xdr:from>
    <xdr:to>
      <xdr:col>59</xdr:col>
      <xdr:colOff>0</xdr:colOff>
      <xdr:row>5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973D63C-4482-4E2E-9072-9C27A34AD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/>
        <a:stretch>
          <a:fillRect/>
        </a:stretch>
      </xdr:blipFill>
      <xdr:spPr>
        <a:xfrm>
          <a:off x="5429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59</xdr:col>
      <xdr:colOff>0</xdr:colOff>
      <xdr:row>4</xdr:row>
      <xdr:rowOff>0</xdr:rowOff>
    </xdr:from>
    <xdr:to>
      <xdr:col>60</xdr:col>
      <xdr:colOff>0</xdr:colOff>
      <xdr:row>5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F094FE3-058C-44EF-8A74-058B2F042F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tretch>
          <a:fillRect/>
        </a:stretch>
      </xdr:blipFill>
      <xdr:spPr>
        <a:xfrm>
          <a:off x="5524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60</xdr:col>
      <xdr:colOff>0</xdr:colOff>
      <xdr:row>4</xdr:row>
      <xdr:rowOff>0</xdr:rowOff>
    </xdr:from>
    <xdr:to>
      <xdr:col>61</xdr:col>
      <xdr:colOff>0</xdr:colOff>
      <xdr:row>5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3EA2101-534F-4FBE-9E92-01CD5ED5E2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/>
        <a:stretch>
          <a:fillRect/>
        </a:stretch>
      </xdr:blipFill>
      <xdr:spPr>
        <a:xfrm>
          <a:off x="5619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61</xdr:col>
      <xdr:colOff>0</xdr:colOff>
      <xdr:row>4</xdr:row>
      <xdr:rowOff>0</xdr:rowOff>
    </xdr:from>
    <xdr:to>
      <xdr:col>62</xdr:col>
      <xdr:colOff>0</xdr:colOff>
      <xdr:row>5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BBE0E423-6B2B-4596-8990-A22F646C8D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/>
        <a:stretch>
          <a:fillRect/>
        </a:stretch>
      </xdr:blipFill>
      <xdr:spPr>
        <a:xfrm>
          <a:off x="57150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62</xdr:col>
      <xdr:colOff>0</xdr:colOff>
      <xdr:row>4</xdr:row>
      <xdr:rowOff>0</xdr:rowOff>
    </xdr:from>
    <xdr:to>
      <xdr:col>63</xdr:col>
      <xdr:colOff>0</xdr:colOff>
      <xdr:row>5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21202BA-7698-4D5A-B7DE-79D2A1EA32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/>
        <a:stretch>
          <a:fillRect/>
        </a:stretch>
      </xdr:blipFill>
      <xdr:spPr>
        <a:xfrm>
          <a:off x="58102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63</xdr:col>
      <xdr:colOff>0</xdr:colOff>
      <xdr:row>4</xdr:row>
      <xdr:rowOff>0</xdr:rowOff>
    </xdr:from>
    <xdr:to>
      <xdr:col>64</xdr:col>
      <xdr:colOff>0</xdr:colOff>
      <xdr:row>5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C59B87B-3B37-42DF-8C8E-D20FAE1394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tretch>
          <a:fillRect/>
        </a:stretch>
      </xdr:blipFill>
      <xdr:spPr>
        <a:xfrm>
          <a:off x="590550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64</xdr:col>
      <xdr:colOff>0</xdr:colOff>
      <xdr:row>4</xdr:row>
      <xdr:rowOff>0</xdr:rowOff>
    </xdr:from>
    <xdr:to>
      <xdr:col>65</xdr:col>
      <xdr:colOff>0</xdr:colOff>
      <xdr:row>5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F55CD46-1971-491A-9B41-D1D9C2E508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/>
        <a:stretch>
          <a:fillRect/>
        </a:stretch>
      </xdr:blipFill>
      <xdr:spPr>
        <a:xfrm>
          <a:off x="60007500" y="1657350"/>
          <a:ext cx="952500" cy="184150"/>
        </a:xfrm>
        <a:prstGeom prst="rect">
          <a:avLst/>
        </a:prstGeom>
      </xdr:spPr>
    </xdr:pic>
    <xdr:clientData/>
  </xdr:twoCellAnchor>
  <xdr:twoCellAnchor>
    <xdr:from>
      <xdr:col>65</xdr:col>
      <xdr:colOff>0</xdr:colOff>
      <xdr:row>4</xdr:row>
      <xdr:rowOff>0</xdr:rowOff>
    </xdr:from>
    <xdr:to>
      <xdr:col>66</xdr:col>
      <xdr:colOff>0</xdr:colOff>
      <xdr:row>5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83068A14-B5B8-47E9-9EC3-A73C8B8BF6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tretch>
          <a:fillRect/>
        </a:stretch>
      </xdr:blipFill>
      <xdr:spPr>
        <a:xfrm>
          <a:off x="60960000" y="1657350"/>
          <a:ext cx="952500" cy="184150"/>
        </a:xfrm>
        <a:prstGeom prst="rect">
          <a:avLst/>
        </a:prstGeom>
      </xdr:spPr>
    </xdr:pic>
    <xdr:clientData/>
  </xdr:twoCellAnchor>
  <xdr:twoCellAnchor editAs="absolute">
    <xdr:from>
      <xdr:col>1</xdr:col>
      <xdr:colOff>742950</xdr:colOff>
      <xdr:row>0</xdr:row>
      <xdr:rowOff>127000</xdr:rowOff>
    </xdr:from>
    <xdr:to>
      <xdr:col>4</xdr:col>
      <xdr:colOff>388315</xdr:colOff>
      <xdr:row>0</xdr:row>
      <xdr:rowOff>705363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04E993B-6794-4271-B744-92766FB36EA5}"/>
            </a:ext>
          </a:extLst>
        </xdr:cNvPr>
        <xdr:cNvSpPr txBox="1"/>
      </xdr:nvSpPr>
      <xdr:spPr>
        <a:xfrm>
          <a:off x="762000" y="127000"/>
          <a:ext cx="2502865" cy="57836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Ins="0" bIns="0" rtlCol="0" anchor="t">
          <a:spAutoFit/>
        </a:bodyPr>
        <a:lstStyle/>
        <a:p>
          <a:r>
            <a:rPr lang="en-NZ" sz="1400" b="1"/>
            <a:t>@RISK - Statistics</a:t>
          </a:r>
          <a:r>
            <a:rPr lang="en-NZ" sz="1000"/>
            <a:t>
</a:t>
          </a:r>
          <a:r>
            <a:rPr lang="en-NZ" sz="1000" b="1"/>
            <a:t>Performed By: </a:t>
          </a:r>
          <a:r>
            <a:rPr lang="en-NZ" sz="1000"/>
            <a:t>David Wood
</a:t>
          </a:r>
          <a:r>
            <a:rPr lang="en-NZ" sz="1000" b="1"/>
            <a:t>Date: </a:t>
          </a:r>
          <a:r>
            <a:rPr lang="en-NZ" sz="1000"/>
            <a:t>Thursday, 19 October 2023 12:16:23 pm</a:t>
          </a:r>
        </a:p>
      </xdr:txBody>
    </xdr:sp>
    <xdr:clientData/>
  </xdr:twoCellAnchor>
  <xdr:twoCellAnchor editAs="absolute">
    <xdr:from>
      <xdr:col>1</xdr:col>
      <xdr:colOff>107950</xdr:colOff>
      <xdr:row>0</xdr:row>
      <xdr:rowOff>127000</xdr:rowOff>
    </xdr:from>
    <xdr:to>
      <xdr:col>1</xdr:col>
      <xdr:colOff>679450</xdr:colOff>
      <xdr:row>0</xdr:row>
      <xdr:rowOff>698500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FADB1A4-F9EC-7032-66A9-61164909C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71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C17" sqref="C17"/>
    </sheetView>
  </sheetViews>
  <sheetFormatPr defaultRowHeight="14.5" x14ac:dyDescent="0.35"/>
  <cols>
    <col min="1" max="1" width="10.7265625" bestFit="1" customWidth="1"/>
  </cols>
  <sheetData>
    <row r="1" spans="1:2" x14ac:dyDescent="0.35">
      <c r="A1" s="91" t="s">
        <v>75</v>
      </c>
    </row>
    <row r="2" spans="1:2" x14ac:dyDescent="0.35">
      <c r="A2" s="26" t="s">
        <v>79</v>
      </c>
      <c r="B2" t="s">
        <v>76</v>
      </c>
    </row>
    <row r="3" spans="1:2" x14ac:dyDescent="0.35">
      <c r="A3" s="26" t="s">
        <v>79</v>
      </c>
      <c r="B3" t="s">
        <v>83</v>
      </c>
    </row>
    <row r="4" spans="1:2" x14ac:dyDescent="0.35">
      <c r="A4" s="26" t="s">
        <v>79</v>
      </c>
      <c r="B4" t="s">
        <v>84</v>
      </c>
    </row>
    <row r="5" spans="1:2" x14ac:dyDescent="0.35">
      <c r="A5" s="26" t="s">
        <v>79</v>
      </c>
      <c r="B5" t="s">
        <v>80</v>
      </c>
    </row>
    <row r="6" spans="1:2" x14ac:dyDescent="0.35">
      <c r="A6" s="26" t="s">
        <v>79</v>
      </c>
      <c r="B6" t="s">
        <v>81</v>
      </c>
    </row>
    <row r="7" spans="1:2" x14ac:dyDescent="0.35">
      <c r="A7" s="26" t="s">
        <v>79</v>
      </c>
      <c r="B7" t="s">
        <v>77</v>
      </c>
    </row>
    <row r="8" spans="1:2" x14ac:dyDescent="0.35">
      <c r="A8" s="26" t="s">
        <v>79</v>
      </c>
      <c r="B8" t="s">
        <v>78</v>
      </c>
    </row>
    <row r="9" spans="1:2" x14ac:dyDescent="0.35">
      <c r="A9" s="26" t="s">
        <v>79</v>
      </c>
      <c r="B9" t="s">
        <v>82</v>
      </c>
    </row>
    <row r="10" spans="1:2" x14ac:dyDescent="0.35">
      <c r="A10" s="26" t="s">
        <v>79</v>
      </c>
      <c r="B10" t="s">
        <v>97</v>
      </c>
    </row>
    <row r="12" spans="1:2" x14ac:dyDescent="0.35">
      <c r="B12" t="s">
        <v>98</v>
      </c>
    </row>
    <row r="24" spans="1:1" x14ac:dyDescent="0.35">
      <c r="A24" s="3"/>
    </row>
    <row r="25" spans="1:1" x14ac:dyDescent="0.35">
      <c r="A25" s="9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F4F4-4578-4955-842B-EAE8D36EA1F8}">
  <dimension ref="A1:A7"/>
  <sheetViews>
    <sheetView workbookViewId="0">
      <selection activeCell="H9" sqref="H9"/>
    </sheetView>
  </sheetViews>
  <sheetFormatPr defaultRowHeight="14.5" x14ac:dyDescent="0.35"/>
  <sheetData>
    <row r="1" spans="1:1" x14ac:dyDescent="0.35">
      <c r="A1" t="s">
        <v>118</v>
      </c>
    </row>
    <row r="3" spans="1:1" x14ac:dyDescent="0.35">
      <c r="A3" t="s">
        <v>119</v>
      </c>
    </row>
    <row r="4" spans="1:1" x14ac:dyDescent="0.35">
      <c r="A4" t="s">
        <v>120</v>
      </c>
    </row>
    <row r="5" spans="1:1" x14ac:dyDescent="0.35">
      <c r="A5" t="s">
        <v>154</v>
      </c>
    </row>
    <row r="6" spans="1:1" x14ac:dyDescent="0.35">
      <c r="A6" t="s">
        <v>155</v>
      </c>
    </row>
    <row r="7" spans="1:1" x14ac:dyDescent="0.35">
      <c r="A7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84"/>
  <sheetViews>
    <sheetView topLeftCell="A12" workbookViewId="0">
      <selection activeCell="F19" sqref="F19"/>
    </sheetView>
  </sheetViews>
  <sheetFormatPr defaultRowHeight="14.5" x14ac:dyDescent="0.35"/>
  <cols>
    <col min="1" max="1" width="2.1796875" customWidth="1"/>
    <col min="2" max="2" width="31.26953125" customWidth="1"/>
    <col min="3" max="3" width="21" style="4" customWidth="1"/>
    <col min="7" max="7" width="23.08984375" customWidth="1"/>
    <col min="8" max="8" width="8.54296875" customWidth="1"/>
    <col min="9" max="9" width="8.7265625" customWidth="1"/>
    <col min="10" max="10" width="7" customWidth="1"/>
    <col min="11" max="11" width="2.54296875" customWidth="1"/>
    <col min="12" max="12" width="12.453125" customWidth="1"/>
    <col min="13" max="13" width="11.1796875" customWidth="1"/>
    <col min="14" max="14" width="15.26953125" customWidth="1"/>
    <col min="16" max="16" width="11.1796875" customWidth="1"/>
  </cols>
  <sheetData>
    <row r="1" spans="2:11" ht="15" thickBot="1" x14ac:dyDescent="0.4"/>
    <row r="2" spans="2:11" x14ac:dyDescent="0.35">
      <c r="E2" s="34" t="s">
        <v>11</v>
      </c>
      <c r="F2" s="35"/>
      <c r="G2" s="36"/>
    </row>
    <row r="3" spans="2:11" x14ac:dyDescent="0.35">
      <c r="E3" s="42" t="s">
        <v>13</v>
      </c>
      <c r="F3" s="43"/>
      <c r="G3" s="44"/>
    </row>
    <row r="4" spans="2:11" x14ac:dyDescent="0.35">
      <c r="E4" s="47" t="s">
        <v>104</v>
      </c>
      <c r="F4" s="48"/>
      <c r="G4" s="49"/>
    </row>
    <row r="5" spans="2:11" ht="15" thickBot="1" x14ac:dyDescent="0.4">
      <c r="B5" s="111" t="s">
        <v>103</v>
      </c>
      <c r="E5" s="50" t="s">
        <v>17</v>
      </c>
      <c r="F5" s="94"/>
      <c r="G5" s="93"/>
    </row>
    <row r="6" spans="2:11" ht="15" thickBot="1" x14ac:dyDescent="0.4">
      <c r="B6" s="130" t="str">
        <f xml:space="preserve"> CONCATENATE("Log10 ",Pathogen," reduction")</f>
        <v>Log10  reduction</v>
      </c>
      <c r="C6" s="131">
        <v>2</v>
      </c>
      <c r="E6" s="51" t="s">
        <v>20</v>
      </c>
      <c r="F6" s="52"/>
      <c r="G6" s="53"/>
    </row>
    <row r="7" spans="2:11" ht="15" thickBot="1" x14ac:dyDescent="0.4"/>
    <row r="8" spans="2:11" ht="15" thickBot="1" x14ac:dyDescent="0.4">
      <c r="B8" s="155" t="s">
        <v>0</v>
      </c>
      <c r="C8" s="119"/>
      <c r="D8" s="119"/>
      <c r="E8" s="119"/>
      <c r="F8" s="119"/>
      <c r="G8" s="119"/>
      <c r="H8" s="119"/>
      <c r="I8" s="119"/>
      <c r="J8" s="120"/>
      <c r="K8" s="6"/>
    </row>
    <row r="9" spans="2:11" x14ac:dyDescent="0.35">
      <c r="B9" s="8" t="s">
        <v>106</v>
      </c>
      <c r="C9" s="9" t="s">
        <v>2</v>
      </c>
      <c r="D9" s="10">
        <v>0.2</v>
      </c>
      <c r="E9" s="9" t="s">
        <v>3</v>
      </c>
      <c r="F9" s="10">
        <v>1</v>
      </c>
      <c r="G9" s="9" t="s">
        <v>4</v>
      </c>
      <c r="H9" s="10">
        <v>4</v>
      </c>
      <c r="I9" s="10"/>
      <c r="J9" s="11"/>
      <c r="K9" s="6"/>
    </row>
    <row r="10" spans="2:11" ht="15" thickBot="1" x14ac:dyDescent="0.4">
      <c r="B10" s="13" t="s">
        <v>73</v>
      </c>
      <c r="C10" s="12" t="s">
        <v>2</v>
      </c>
      <c r="D10" s="153">
        <v>5</v>
      </c>
      <c r="E10" s="12" t="s">
        <v>107</v>
      </c>
      <c r="F10" s="153">
        <v>53</v>
      </c>
      <c r="G10" s="12" t="s">
        <v>4</v>
      </c>
      <c r="H10" s="153">
        <v>250</v>
      </c>
      <c r="I10" s="153" t="s">
        <v>108</v>
      </c>
      <c r="J10" s="154">
        <v>75</v>
      </c>
      <c r="K10" s="6"/>
    </row>
    <row r="11" spans="2:11" x14ac:dyDescent="0.35">
      <c r="B11" s="9"/>
      <c r="C11"/>
    </row>
    <row r="12" spans="2:11" ht="15" thickBot="1" x14ac:dyDescent="0.4">
      <c r="B12" s="9"/>
      <c r="C12" s="9"/>
      <c r="D12" s="15"/>
      <c r="E12" s="9"/>
      <c r="F12" s="15"/>
      <c r="G12" s="9"/>
      <c r="H12" s="15"/>
      <c r="I12" s="15"/>
      <c r="J12" s="15"/>
      <c r="K12" s="6"/>
    </row>
    <row r="13" spans="2:11" x14ac:dyDescent="0.35">
      <c r="B13" s="141" t="s">
        <v>85</v>
      </c>
      <c r="C13" s="142"/>
      <c r="D13" s="15"/>
      <c r="E13" s="9"/>
      <c r="F13" s="15"/>
      <c r="G13" s="9"/>
      <c r="H13" s="15"/>
      <c r="I13" s="15"/>
      <c r="J13" s="15"/>
      <c r="K13" s="6"/>
    </row>
    <row r="14" spans="2:11" ht="15" thickBot="1" x14ac:dyDescent="0.4">
      <c r="B14" s="26"/>
      <c r="C14" s="9"/>
      <c r="D14" s="19"/>
      <c r="E14" s="6"/>
      <c r="F14" s="15"/>
      <c r="G14" s="9"/>
      <c r="H14" s="15"/>
      <c r="I14" s="15"/>
      <c r="J14" s="15"/>
      <c r="K14" s="6"/>
    </row>
    <row r="15" spans="2:11" ht="15" thickBot="1" x14ac:dyDescent="0.4">
      <c r="B15" s="166" t="s">
        <v>74</v>
      </c>
      <c r="C15" s="167"/>
      <c r="D15" s="19"/>
      <c r="E15" s="6"/>
      <c r="F15" s="15"/>
      <c r="G15" s="9"/>
      <c r="H15" s="15"/>
      <c r="I15" s="15"/>
      <c r="J15" s="15"/>
      <c r="K15" s="6"/>
    </row>
    <row r="16" spans="2:11" x14ac:dyDescent="0.35">
      <c r="B16" s="168" t="s">
        <v>112</v>
      </c>
      <c r="C16" s="143">
        <v>18.5</v>
      </c>
      <c r="D16" s="19"/>
      <c r="E16" s="6"/>
      <c r="F16" s="15"/>
      <c r="G16" s="9"/>
      <c r="H16" s="15"/>
      <c r="I16" s="15"/>
      <c r="J16" s="15"/>
      <c r="K16" s="6"/>
    </row>
    <row r="17" spans="2:16" ht="15" thickBot="1" x14ac:dyDescent="0.4">
      <c r="B17" s="165" t="s">
        <v>113</v>
      </c>
      <c r="C17" s="144">
        <v>0.6</v>
      </c>
      <c r="D17" s="19"/>
      <c r="E17" s="6"/>
      <c r="F17" s="15"/>
      <c r="G17" s="9"/>
      <c r="H17" s="15"/>
      <c r="I17" s="15"/>
      <c r="J17" s="15"/>
      <c r="K17" s="6"/>
    </row>
    <row r="18" spans="2:16" ht="15" thickBot="1" x14ac:dyDescent="0.4">
      <c r="B18" s="169" t="s">
        <v>114</v>
      </c>
      <c r="C18" s="170"/>
      <c r="D18" s="19"/>
      <c r="E18" s="6"/>
      <c r="F18" s="15"/>
      <c r="G18" s="9"/>
      <c r="H18" s="15"/>
      <c r="I18" s="15"/>
      <c r="J18" s="15"/>
      <c r="K18" s="6"/>
    </row>
    <row r="19" spans="2:16" x14ac:dyDescent="0.35">
      <c r="B19" s="165" t="s">
        <v>115</v>
      </c>
      <c r="C19" s="144">
        <v>0.04</v>
      </c>
      <c r="D19" s="19"/>
      <c r="E19" s="6"/>
      <c r="F19" s="15"/>
      <c r="G19" s="9"/>
      <c r="H19" s="15"/>
      <c r="I19" s="15"/>
      <c r="J19" s="15"/>
      <c r="K19" s="6"/>
    </row>
    <row r="20" spans="2:16" x14ac:dyDescent="0.35">
      <c r="B20" s="165" t="s">
        <v>116</v>
      </c>
      <c r="C20" s="144">
        <v>5.5E-2</v>
      </c>
      <c r="D20" s="19"/>
      <c r="E20" s="6"/>
      <c r="F20" s="15"/>
      <c r="G20" s="9"/>
      <c r="H20" s="15"/>
      <c r="I20" s="15"/>
      <c r="J20" s="15"/>
      <c r="K20" s="6"/>
    </row>
    <row r="21" spans="2:16" x14ac:dyDescent="0.35">
      <c r="B21" s="165" t="s">
        <v>117</v>
      </c>
      <c r="C21" s="144">
        <v>0.72</v>
      </c>
      <c r="D21" s="19"/>
      <c r="E21" s="6"/>
      <c r="F21" s="15"/>
      <c r="G21" s="9"/>
      <c r="H21" s="15"/>
      <c r="I21" s="15"/>
      <c r="J21" s="15"/>
      <c r="K21" s="6"/>
    </row>
    <row r="22" spans="2:16" x14ac:dyDescent="0.35">
      <c r="B22" s="26"/>
      <c r="C22" s="9"/>
      <c r="D22" s="19"/>
      <c r="E22" s="6"/>
      <c r="F22" s="15"/>
      <c r="G22" s="9"/>
      <c r="H22" s="15"/>
      <c r="I22" s="15"/>
      <c r="J22" s="15"/>
      <c r="K22" s="6"/>
    </row>
    <row r="23" spans="2:16" ht="15" thickBot="1" x14ac:dyDescent="0.4">
      <c r="B23" s="21"/>
      <c r="C23" s="15"/>
      <c r="D23" s="19"/>
      <c r="E23" s="6"/>
      <c r="F23" s="15"/>
      <c r="G23" s="9"/>
      <c r="H23" s="15"/>
      <c r="I23" s="15"/>
      <c r="J23" s="15"/>
      <c r="K23" s="6"/>
      <c r="L23" s="145" t="str">
        <f>IF(Pathogen="C. jejuni","on a clinical trial of healthy adults (ID50 about 900). But Teunis et al. (2005","")</f>
        <v/>
      </c>
    </row>
    <row r="24" spans="2:16" x14ac:dyDescent="0.35">
      <c r="B24" s="152" t="s">
        <v>6</v>
      </c>
      <c r="C24" s="148" t="s">
        <v>7</v>
      </c>
      <c r="D24" s="148" t="s">
        <v>8</v>
      </c>
      <c r="E24" s="157" t="s">
        <v>9</v>
      </c>
      <c r="F24" s="160" t="s">
        <v>111</v>
      </c>
      <c r="G24" s="9"/>
      <c r="H24" s="15"/>
      <c r="I24" s="15"/>
      <c r="J24" s="15"/>
      <c r="K24" s="6"/>
      <c r="L24" s="145" t="str">
        <f xml:space="preserve"> IF(Pathogen = "C. jejuni", "Epi. Inf. 133) derived the 'severe' risk model [(alpha, beta) = (0.024, 0.011),","")</f>
        <v/>
      </c>
    </row>
    <row r="25" spans="2:16" x14ac:dyDescent="0.35">
      <c r="B25" s="8" t="s">
        <v>109</v>
      </c>
      <c r="C25" s="24">
        <v>1000</v>
      </c>
      <c r="D25" s="129">
        <v>100000</v>
      </c>
      <c r="E25" s="25">
        <v>10000000</v>
      </c>
      <c r="F25" s="164">
        <v>95</v>
      </c>
      <c r="G25" s="9" t="s">
        <v>153</v>
      </c>
      <c r="H25" s="15"/>
      <c r="I25" s="15"/>
      <c r="J25" s="15"/>
      <c r="K25" s="6"/>
      <c r="L25" s="145"/>
      <c r="M25" s="6"/>
    </row>
    <row r="26" spans="2:16" x14ac:dyDescent="0.35">
      <c r="B26" s="8"/>
      <c r="C26" s="145"/>
      <c r="D26" s="145"/>
      <c r="E26" s="156"/>
      <c r="F26" s="161"/>
      <c r="G26" s="9"/>
      <c r="H26" s="15"/>
      <c r="I26" s="15"/>
      <c r="J26" s="15"/>
      <c r="K26" s="6"/>
      <c r="L26" s="145"/>
      <c r="M26" s="6"/>
    </row>
    <row r="27" spans="2:16" ht="15" thickBot="1" x14ac:dyDescent="0.4">
      <c r="B27" s="13" t="s">
        <v>110</v>
      </c>
      <c r="C27" s="116">
        <f xml:space="preserve"> 10^(-Log10_Pathogen_Reduction)*Nor_Conc_in_Influent_min</f>
        <v>10</v>
      </c>
      <c r="D27" s="116">
        <f xml:space="preserve"> 10^(-Log10_Pathogen_Reduction)*Nor_Conc_in_Influent_median</f>
        <v>1000</v>
      </c>
      <c r="E27" s="117">
        <f xml:space="preserve"> 10^(-Log10_Pathogen_Reduction)*Nor_Conc_in_Influent_max</f>
        <v>100000</v>
      </c>
      <c r="F27" s="162"/>
      <c r="G27" s="9"/>
      <c r="H27" s="15"/>
      <c r="I27" s="15"/>
      <c r="J27" s="15"/>
      <c r="K27" s="6"/>
      <c r="L27" s="145"/>
      <c r="M27" s="6"/>
    </row>
    <row r="28" spans="2:16" x14ac:dyDescent="0.35">
      <c r="K28" s="6"/>
      <c r="M28" s="6"/>
    </row>
    <row r="29" spans="2:16" ht="15" thickBot="1" x14ac:dyDescent="0.4">
      <c r="B29" s="111" t="s">
        <v>94</v>
      </c>
      <c r="K29" s="6"/>
    </row>
    <row r="30" spans="2:16" x14ac:dyDescent="0.35">
      <c r="B30" s="171" t="s">
        <v>88</v>
      </c>
      <c r="C30" s="172" t="s">
        <v>89</v>
      </c>
      <c r="K30" s="6"/>
      <c r="P30" s="6"/>
    </row>
    <row r="31" spans="2:16" x14ac:dyDescent="0.35">
      <c r="B31" s="173">
        <v>1</v>
      </c>
      <c r="C31" s="177" t="s">
        <v>121</v>
      </c>
      <c r="K31" s="6"/>
    </row>
    <row r="32" spans="2:16" x14ac:dyDescent="0.35">
      <c r="B32" s="174">
        <v>2</v>
      </c>
      <c r="C32" s="178" t="s">
        <v>122</v>
      </c>
      <c r="K32" s="6"/>
    </row>
    <row r="33" spans="2:11" x14ac:dyDescent="0.35">
      <c r="B33" s="174">
        <v>3</v>
      </c>
      <c r="C33" s="178" t="s">
        <v>123</v>
      </c>
      <c r="K33" s="6"/>
    </row>
    <row r="34" spans="2:11" x14ac:dyDescent="0.35">
      <c r="B34" s="174">
        <v>4</v>
      </c>
      <c r="C34" s="178" t="s">
        <v>124</v>
      </c>
      <c r="K34" s="6"/>
    </row>
    <row r="35" spans="2:11" x14ac:dyDescent="0.35">
      <c r="B35" s="174">
        <v>5</v>
      </c>
      <c r="C35" s="178" t="s">
        <v>125</v>
      </c>
      <c r="K35" s="6"/>
    </row>
    <row r="36" spans="2:11" x14ac:dyDescent="0.35">
      <c r="B36" s="174">
        <v>6</v>
      </c>
      <c r="C36" s="178" t="s">
        <v>126</v>
      </c>
      <c r="K36" s="6"/>
    </row>
    <row r="37" spans="2:11" x14ac:dyDescent="0.35">
      <c r="B37" s="175">
        <v>7</v>
      </c>
      <c r="C37" s="178" t="s">
        <v>127</v>
      </c>
      <c r="K37" s="6"/>
    </row>
    <row r="38" spans="2:11" x14ac:dyDescent="0.35">
      <c r="B38" s="174">
        <v>8</v>
      </c>
      <c r="C38" s="178" t="s">
        <v>128</v>
      </c>
      <c r="K38" s="6"/>
    </row>
    <row r="39" spans="2:11" x14ac:dyDescent="0.35">
      <c r="B39" s="174">
        <v>9</v>
      </c>
      <c r="C39" s="178" t="s">
        <v>129</v>
      </c>
      <c r="K39" s="6"/>
    </row>
    <row r="40" spans="2:11" x14ac:dyDescent="0.35">
      <c r="B40" s="174">
        <v>10</v>
      </c>
      <c r="C40" s="178" t="s">
        <v>130</v>
      </c>
      <c r="K40" s="6"/>
    </row>
    <row r="41" spans="2:11" x14ac:dyDescent="0.35">
      <c r="B41" s="174">
        <v>11</v>
      </c>
      <c r="C41" s="178" t="s">
        <v>131</v>
      </c>
      <c r="K41" s="6"/>
    </row>
    <row r="42" spans="2:11" x14ac:dyDescent="0.35">
      <c r="B42" s="174">
        <v>12</v>
      </c>
      <c r="C42" s="178" t="s">
        <v>132</v>
      </c>
      <c r="K42" s="6"/>
    </row>
    <row r="43" spans="2:11" x14ac:dyDescent="0.35">
      <c r="B43" s="174">
        <v>13</v>
      </c>
      <c r="C43" s="178" t="s">
        <v>133</v>
      </c>
      <c r="K43" s="6"/>
    </row>
    <row r="44" spans="2:11" x14ac:dyDescent="0.35">
      <c r="B44" s="174">
        <v>14</v>
      </c>
      <c r="C44" s="178" t="s">
        <v>134</v>
      </c>
      <c r="K44" s="6"/>
    </row>
    <row r="45" spans="2:11" x14ac:dyDescent="0.35">
      <c r="B45" s="174">
        <v>15</v>
      </c>
      <c r="C45" s="178" t="s">
        <v>135</v>
      </c>
      <c r="K45" s="6"/>
    </row>
    <row r="46" spans="2:11" x14ac:dyDescent="0.35">
      <c r="B46" s="174">
        <v>16</v>
      </c>
      <c r="C46" s="178" t="s">
        <v>136</v>
      </c>
      <c r="K46" s="6"/>
    </row>
    <row r="47" spans="2:11" x14ac:dyDescent="0.35">
      <c r="B47" s="174">
        <v>17</v>
      </c>
      <c r="C47" s="178" t="s">
        <v>137</v>
      </c>
      <c r="K47" s="6"/>
    </row>
    <row r="48" spans="2:11" x14ac:dyDescent="0.35">
      <c r="B48" s="174">
        <v>18</v>
      </c>
      <c r="C48" s="178" t="s">
        <v>138</v>
      </c>
      <c r="K48" s="6"/>
    </row>
    <row r="49" spans="2:11" x14ac:dyDescent="0.35">
      <c r="B49" s="174">
        <v>19</v>
      </c>
      <c r="C49" s="178" t="s">
        <v>139</v>
      </c>
      <c r="K49" s="6"/>
    </row>
    <row r="50" spans="2:11" x14ac:dyDescent="0.35">
      <c r="B50" s="174">
        <v>20</v>
      </c>
      <c r="C50" s="178" t="s">
        <v>140</v>
      </c>
      <c r="K50" s="6"/>
    </row>
    <row r="51" spans="2:11" x14ac:dyDescent="0.35">
      <c r="B51" s="174">
        <v>21</v>
      </c>
      <c r="C51" s="178" t="s">
        <v>141</v>
      </c>
      <c r="K51" s="6"/>
    </row>
    <row r="52" spans="2:11" x14ac:dyDescent="0.35">
      <c r="B52" s="175">
        <v>22</v>
      </c>
      <c r="C52" s="178" t="s">
        <v>142</v>
      </c>
      <c r="K52" s="6"/>
    </row>
    <row r="53" spans="2:11" x14ac:dyDescent="0.35">
      <c r="B53" s="174">
        <v>23</v>
      </c>
      <c r="C53" s="178" t="s">
        <v>143</v>
      </c>
      <c r="K53" s="6"/>
    </row>
    <row r="54" spans="2:11" x14ac:dyDescent="0.35">
      <c r="B54" s="174">
        <v>24</v>
      </c>
      <c r="C54" s="178" t="s">
        <v>144</v>
      </c>
      <c r="K54" s="6"/>
    </row>
    <row r="55" spans="2:11" x14ac:dyDescent="0.35">
      <c r="B55" s="174">
        <v>25</v>
      </c>
      <c r="C55" s="178" t="s">
        <v>145</v>
      </c>
      <c r="K55" s="6"/>
    </row>
    <row r="56" spans="2:11" x14ac:dyDescent="0.35">
      <c r="B56" s="174">
        <v>26</v>
      </c>
      <c r="C56" s="178" t="s">
        <v>146</v>
      </c>
      <c r="K56" s="6"/>
    </row>
    <row r="57" spans="2:11" x14ac:dyDescent="0.35">
      <c r="B57" s="174">
        <v>27</v>
      </c>
      <c r="C57" s="178" t="s">
        <v>147</v>
      </c>
      <c r="K57" s="6"/>
    </row>
    <row r="58" spans="2:11" x14ac:dyDescent="0.35">
      <c r="B58" s="174">
        <v>28</v>
      </c>
      <c r="C58" s="178" t="s">
        <v>148</v>
      </c>
      <c r="K58" s="6"/>
    </row>
    <row r="59" spans="2:11" x14ac:dyDescent="0.35">
      <c r="B59" s="174">
        <v>29</v>
      </c>
      <c r="C59" s="178" t="s">
        <v>149</v>
      </c>
      <c r="K59" s="6"/>
    </row>
    <row r="60" spans="2:11" x14ac:dyDescent="0.35">
      <c r="B60" s="174">
        <v>30</v>
      </c>
      <c r="C60" s="178" t="s">
        <v>150</v>
      </c>
      <c r="K60" s="6"/>
    </row>
    <row r="61" spans="2:11" x14ac:dyDescent="0.35">
      <c r="B61" s="175">
        <v>31</v>
      </c>
      <c r="C61" s="178" t="s">
        <v>151</v>
      </c>
      <c r="K61" s="6"/>
    </row>
    <row r="62" spans="2:11" x14ac:dyDescent="0.35">
      <c r="B62" s="176">
        <v>32</v>
      </c>
      <c r="C62" s="179" t="s">
        <v>152</v>
      </c>
      <c r="K62" s="6"/>
    </row>
    <row r="64" spans="2:11" x14ac:dyDescent="0.35">
      <c r="K64" s="6"/>
    </row>
    <row r="65" spans="2:15" ht="15" thickBot="1" x14ac:dyDescent="0.4">
      <c r="B65" s="126" t="s">
        <v>92</v>
      </c>
      <c r="K65" s="6"/>
    </row>
    <row r="66" spans="2:15" ht="15" thickBot="1" x14ac:dyDescent="0.4">
      <c r="B66" s="127" t="s">
        <v>86</v>
      </c>
      <c r="C66" s="137">
        <v>1000</v>
      </c>
      <c r="D66" s="128" t="s">
        <v>93</v>
      </c>
      <c r="K66" s="6"/>
    </row>
    <row r="67" spans="2:15" ht="15" thickBot="1" x14ac:dyDescent="0.4">
      <c r="K67" s="6"/>
      <c r="O67" s="6"/>
    </row>
    <row r="68" spans="2:15" x14ac:dyDescent="0.35">
      <c r="B68" s="138" t="s">
        <v>31</v>
      </c>
      <c r="C68" s="1" t="s">
        <v>95</v>
      </c>
      <c r="H68" s="6"/>
      <c r="I68" s="6"/>
      <c r="J68" s="6"/>
    </row>
    <row r="69" spans="2:15" ht="15" thickBot="1" x14ac:dyDescent="0.4">
      <c r="B69" s="139" t="s">
        <v>1</v>
      </c>
      <c r="C69"/>
      <c r="H69" s="15"/>
      <c r="I69" s="15"/>
      <c r="J69" s="15"/>
      <c r="K69" s="33"/>
    </row>
    <row r="70" spans="2:15" ht="15" thickBot="1" x14ac:dyDescent="0.4">
      <c r="B70" s="4"/>
      <c r="C70"/>
      <c r="H70" s="15"/>
      <c r="I70" s="15"/>
      <c r="J70" s="15"/>
      <c r="K70" s="33"/>
    </row>
    <row r="71" spans="2:15" x14ac:dyDescent="0.35">
      <c r="B71" s="138" t="s">
        <v>32</v>
      </c>
      <c r="C71" s="1" t="s">
        <v>96</v>
      </c>
      <c r="H71" s="6"/>
      <c r="I71" s="6"/>
      <c r="J71" s="6"/>
      <c r="K71" s="33"/>
    </row>
    <row r="72" spans="2:15" ht="15" thickBot="1" x14ac:dyDescent="0.4">
      <c r="B72" s="139" t="s">
        <v>5</v>
      </c>
      <c r="C72"/>
      <c r="K72" s="33"/>
    </row>
    <row r="73" spans="2:15" ht="15" thickBot="1" x14ac:dyDescent="0.4">
      <c r="B73" s="4"/>
      <c r="C73"/>
    </row>
    <row r="74" spans="2:15" x14ac:dyDescent="0.35">
      <c r="B74" s="138" t="s">
        <v>99</v>
      </c>
      <c r="C74" s="1" t="s">
        <v>96</v>
      </c>
    </row>
    <row r="75" spans="2:15" x14ac:dyDescent="0.35">
      <c r="B75" s="140" t="s">
        <v>100</v>
      </c>
      <c r="C75"/>
    </row>
    <row r="76" spans="2:15" x14ac:dyDescent="0.35">
      <c r="B76" s="140" t="s">
        <v>74</v>
      </c>
      <c r="C76"/>
    </row>
    <row r="77" spans="2:15" x14ac:dyDescent="0.35">
      <c r="B77" s="140" t="s">
        <v>101</v>
      </c>
      <c r="C77"/>
    </row>
    <row r="78" spans="2:15" ht="15" thickBot="1" x14ac:dyDescent="0.4">
      <c r="B78" s="139" t="s">
        <v>102</v>
      </c>
      <c r="C78"/>
    </row>
    <row r="79" spans="2:15" x14ac:dyDescent="0.35">
      <c r="B79" s="4"/>
      <c r="C79"/>
    </row>
    <row r="80" spans="2:15" x14ac:dyDescent="0.35">
      <c r="B80" s="4"/>
      <c r="C80"/>
    </row>
    <row r="81" spans="2:3" x14ac:dyDescent="0.35">
      <c r="B81" s="4"/>
      <c r="C81"/>
    </row>
    <row r="82" spans="2:3" x14ac:dyDescent="0.35">
      <c r="B82" s="4"/>
      <c r="C82"/>
    </row>
    <row r="83" spans="2:3" x14ac:dyDescent="0.35">
      <c r="B83" s="4"/>
      <c r="C83"/>
    </row>
    <row r="84" spans="2:3" x14ac:dyDescent="0.35">
      <c r="B84" s="4"/>
      <c r="C84"/>
    </row>
  </sheetData>
  <phoneticPr fontId="38" type="noConversion"/>
  <dataValidations disablePrompts="1" count="3">
    <dataValidation type="list" allowBlank="1" showInputMessage="1" showErrorMessage="1" sqref="O8" xr:uid="{00000000-0002-0000-0100-000000000000}">
      <formula1>$B$68:$B$69</formula1>
    </dataValidation>
    <dataValidation type="list" allowBlank="1" showInputMessage="1" showErrorMessage="1" sqref="O11" xr:uid="{00000000-0002-0000-0100-000001000000}">
      <formula1>B71:B72</formula1>
    </dataValidation>
    <dataValidation type="list" allowBlank="1" showInputMessage="1" showErrorMessage="1" sqref="B3" xr:uid="{00000000-0002-0000-0100-000002000000}">
      <formula1>$B$74:$B$78</formula1>
    </dataValidation>
  </dataValidations>
  <pageMargins left="0.7" right="0.7" top="0.75" bottom="0.75" header="0.3" footer="0.3"/>
  <pageSetup paperSize="9" orientation="portrait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D17E-BFDA-4B31-B287-E05125B6E651}">
  <dimension ref="A1:AH44"/>
  <sheetViews>
    <sheetView showFormulas="1" workbookViewId="0">
      <selection activeCell="C4" sqref="C4"/>
    </sheetView>
  </sheetViews>
  <sheetFormatPr defaultColWidth="9.1796875" defaultRowHeight="10" x14ac:dyDescent="0.2"/>
  <cols>
    <col min="1" max="1" width="2.7265625" style="70" customWidth="1"/>
    <col min="2" max="2" width="23.7265625" style="71" customWidth="1"/>
    <col min="3" max="10" width="10.7265625" style="71" customWidth="1"/>
    <col min="11" max="12" width="9.81640625" style="71" bestFit="1" customWidth="1"/>
    <col min="13" max="13" width="10.7265625" style="71" customWidth="1"/>
    <col min="14" max="14" width="11.7265625" style="71" customWidth="1"/>
    <col min="15" max="15" width="11.54296875" style="71" customWidth="1"/>
    <col min="16" max="22" width="9.1796875" style="71"/>
    <col min="23" max="23" width="18.54296875" style="71" bestFit="1" customWidth="1"/>
    <col min="24" max="16384" width="9.1796875" style="71"/>
  </cols>
  <sheetData>
    <row r="1" spans="1:34" x14ac:dyDescent="0.2">
      <c r="C1" s="71" t="s">
        <v>156</v>
      </c>
    </row>
    <row r="2" spans="1:34" ht="12" thickBot="1" x14ac:dyDescent="0.25">
      <c r="C2" s="114" t="str">
        <f>Site_name_1</f>
        <v>Currentmeter</v>
      </c>
      <c r="D2" s="114" t="str">
        <f>Site_name_2</f>
        <v>E1</v>
      </c>
      <c r="E2" s="114" t="str">
        <f>Site_name_3</f>
        <v>E10</v>
      </c>
      <c r="F2" s="114" t="str">
        <f>Site_name_4</f>
        <v>E11</v>
      </c>
      <c r="G2" s="114" t="str">
        <f>Site_name_5</f>
        <v>E12</v>
      </c>
      <c r="H2" s="114" t="str">
        <f>Site_name_6</f>
        <v>E2</v>
      </c>
      <c r="I2" s="114" t="str">
        <f>Site_name_7</f>
        <v>E3</v>
      </c>
      <c r="J2" s="114" t="str">
        <f>Site_name_8</f>
        <v>E4</v>
      </c>
      <c r="K2" s="114" t="str">
        <f>Site_name_9</f>
        <v>E5</v>
      </c>
      <c r="L2" s="114" t="str">
        <f>Site_name_10</f>
        <v>E6</v>
      </c>
      <c r="M2" s="114" t="str">
        <f>Site_name_11</f>
        <v>E7</v>
      </c>
      <c r="N2" s="114" t="str">
        <f>Site_name_12</f>
        <v>E8</v>
      </c>
      <c r="O2" s="114" t="str">
        <f>Site_name_13</f>
        <v>E9</v>
      </c>
      <c r="P2" s="114" t="str">
        <f>Site_name_14</f>
        <v>Inshore</v>
      </c>
      <c r="Q2" s="114" t="str" cm="1">
        <f t="array" ref="Q2">Site_name_15</f>
        <v>W1</v>
      </c>
      <c r="R2" s="114" t="str">
        <f>Site_name_16</f>
        <v>W10</v>
      </c>
      <c r="S2" s="114" t="str">
        <f>Site_name_17</f>
        <v>W11</v>
      </c>
      <c r="T2" s="114" t="str">
        <f>Site_name_18</f>
        <v>W12</v>
      </c>
      <c r="U2" s="114" t="str">
        <f>Site_name_19</f>
        <v>W13</v>
      </c>
      <c r="V2" s="114" t="str">
        <f>Site_name_20</f>
        <v>W14</v>
      </c>
      <c r="W2" s="114" t="str" cm="1">
        <f t="array" ref="W2">Site_name_21</f>
        <v>W15</v>
      </c>
      <c r="X2" s="114" t="str">
        <f>Site_name_22</f>
        <v>W16</v>
      </c>
      <c r="Y2" s="114" t="str" cm="1">
        <f t="array" ref="Y2">Site_name_23</f>
        <v>W17</v>
      </c>
      <c r="Z2" s="114" t="str">
        <f>Site_name_24</f>
        <v>W18</v>
      </c>
      <c r="AA2" s="114" t="str">
        <f>Site_name_25</f>
        <v>W2</v>
      </c>
      <c r="AB2" s="114" t="str">
        <f>Site_name_26</f>
        <v>W3</v>
      </c>
      <c r="AC2" s="114" t="str">
        <f>Site_name_27</f>
        <v>W4</v>
      </c>
      <c r="AD2" s="114" t="str" cm="1">
        <f t="array" ref="AD2">Site_name_28</f>
        <v>W5</v>
      </c>
      <c r="AE2" s="114" t="str">
        <f>Site_name_29</f>
        <v>W6</v>
      </c>
      <c r="AF2" s="114" t="str" cm="1">
        <f t="array" ref="AF2">Site_name_30</f>
        <v>W7</v>
      </c>
      <c r="AG2" s="114" t="str" cm="1">
        <f t="array" ref="AG2">Site_name_31</f>
        <v>W8</v>
      </c>
      <c r="AH2" s="114" t="str">
        <f>Site_name_32</f>
        <v>W9</v>
      </c>
    </row>
    <row r="3" spans="1:34" s="63" customFormat="1" ht="13" x14ac:dyDescent="0.3">
      <c r="A3" s="72"/>
      <c r="B3" s="125" t="s">
        <v>91</v>
      </c>
      <c r="C3" s="115" t="e">
        <f ca="1">_xll.RiskCumul(C4,C44,C5:C43,$B5:$B43)</f>
        <v>#NAME?</v>
      </c>
      <c r="D3" s="115" t="e">
        <f ca="1">_xll.RiskCumul(D4,D44,D5:D43,$B5:$B43)</f>
        <v>#NAME?</v>
      </c>
      <c r="E3" s="115" t="e">
        <f ca="1">_xll.RiskCumul(E4,E44,E5:E43,$B5:$B43)</f>
        <v>#NAME?</v>
      </c>
      <c r="F3" s="115" t="e">
        <f ca="1">_xll.RiskCumul(F4,F44,F5:F43,$B5:$B43)</f>
        <v>#NAME?</v>
      </c>
      <c r="G3" s="115" t="e">
        <f ca="1">_xll.RiskCumul(G4,G44,G5:G43,$B5:$B43)</f>
        <v>#NAME?</v>
      </c>
      <c r="H3" s="115" t="e">
        <f ca="1">_xll.RiskCumul(H4,H44,H5:H43,$B5:$B43)</f>
        <v>#NAME?</v>
      </c>
      <c r="I3" s="115" t="e">
        <f ca="1">_xll.RiskCumul(I4,I44,I5:I43,$B5:$B43)</f>
        <v>#NAME?</v>
      </c>
      <c r="J3" s="115" t="e">
        <f ca="1">_xll.RiskCumul(J4,J44,J5:J43,$B5:$B43)</f>
        <v>#NAME?</v>
      </c>
      <c r="K3" s="115" t="e">
        <f ca="1">_xll.RiskCumul(K4,K44,K5:K43,$B5:$B43)</f>
        <v>#NAME?</v>
      </c>
      <c r="L3" s="115" t="e">
        <f ca="1">_xll.RiskCumul(L4,L44,L5:L43,$B5:$B43)</f>
        <v>#NAME?</v>
      </c>
      <c r="M3" s="115" t="e">
        <f ca="1">_xll.RiskCumul(M4,M44,M5:M43,$B5:$B43)</f>
        <v>#NAME?</v>
      </c>
      <c r="N3" s="115" t="e">
        <f ca="1">_xll.RiskCumul(N4,N44,N5:N43,$B5:$B43)</f>
        <v>#NAME?</v>
      </c>
      <c r="O3" s="115" t="e">
        <f ca="1">_xll.RiskCumul(O4,O44,O5:O43,$B5:$B43)</f>
        <v>#NAME?</v>
      </c>
      <c r="P3" s="115" t="e">
        <f ca="1">_xll.RiskCumul(P4,P44,P5:P43,$B5:$B43)</f>
        <v>#NAME?</v>
      </c>
      <c r="Q3" s="115" t="e">
        <f ca="1">_xll.RiskCumul(Q4,Q44,Q5:Q43,$B5:$B43)</f>
        <v>#NAME?</v>
      </c>
      <c r="R3" s="115" t="e">
        <f ca="1">_xll.RiskCumul(R4,R44,R5:R43,$B5:$B43)</f>
        <v>#NAME?</v>
      </c>
      <c r="S3" s="115" t="e">
        <f ca="1">_xll.RiskCumul(S4,S44,S5:S43,$B5:$B43)</f>
        <v>#NAME?</v>
      </c>
      <c r="T3" s="115" t="e">
        <f ca="1">_xll.RiskCumul(T4,T44,T5:T43,$B5:$B43)</f>
        <v>#NAME?</v>
      </c>
      <c r="U3" s="115" t="e">
        <f ca="1">_xll.RiskCumul(U4,U44,U5:U43,$B5:$B43)</f>
        <v>#NAME?</v>
      </c>
      <c r="V3" s="115" t="e">
        <f ca="1">_xll.RiskCumul(V4,V44,V5:V43,$B5:$B43)</f>
        <v>#NAME?</v>
      </c>
      <c r="W3" s="115" t="e">
        <f ca="1">_xll.RiskCumul(W4,W44,W5:W43,$B5:$B43)</f>
        <v>#NAME?</v>
      </c>
      <c r="X3" s="115" t="e">
        <f ca="1">_xll.RiskCumul(X4,X44,X5:X43,$B5:$B43)</f>
        <v>#NAME?</v>
      </c>
      <c r="Y3" s="115" t="e">
        <f ca="1">_xll.RiskCumul(Y4,Y44,Y5:Y43,$B5:$B43)</f>
        <v>#NAME?</v>
      </c>
      <c r="Z3" s="115" t="e">
        <f ca="1">_xll.RiskCumul(Z4,Z44,Z5:Z43,$B5:$B43)</f>
        <v>#NAME?</v>
      </c>
      <c r="AA3" s="115" t="e">
        <f ca="1">_xll.RiskCumul(AA4,AA44,AA5:AA43,$B5:$B43)</f>
        <v>#NAME?</v>
      </c>
      <c r="AB3" s="115" t="e">
        <f ca="1">_xll.RiskCumul(AB4,AB44,AB5:AB43,$B5:$B43)</f>
        <v>#NAME?</v>
      </c>
      <c r="AC3" s="115" t="e">
        <f ca="1">_xll.RiskCumul(AC4,AC44,AC5:AC43,$B5:$B43)</f>
        <v>#NAME?</v>
      </c>
      <c r="AD3" s="115" t="e">
        <f ca="1">_xll.RiskCumul(AD4,AD44,AD5:AD43,$B5:$B43)</f>
        <v>#NAME?</v>
      </c>
      <c r="AE3" s="115" t="e">
        <f ca="1">_xll.RiskCumul(AE4,AE44,AE5:AE43,$B5:$B43)</f>
        <v>#NAME?</v>
      </c>
      <c r="AF3" s="115" t="e">
        <f ca="1">_xll.RiskCumul(AF4,AF44,AF5:AF43,$B5:$B43)</f>
        <v>#NAME?</v>
      </c>
      <c r="AG3" s="115" t="e">
        <f ca="1">_xll.RiskCumul(AG4,AG44,AG5:AG43,$B5:$B43)</f>
        <v>#NAME?</v>
      </c>
      <c r="AH3" s="115" t="e">
        <f ca="1">_xll.RiskCumul(AH4,AH44,AH5:AH43,$B5:$B43)</f>
        <v>#NAME?</v>
      </c>
    </row>
    <row r="4" spans="1:34" ht="14.5" x14ac:dyDescent="0.35">
      <c r="A4" s="73"/>
      <c r="B4" s="112">
        <v>0</v>
      </c>
      <c r="C4" s="90">
        <v>6.9300000000000005E-8</v>
      </c>
      <c r="D4" s="90">
        <v>8.0000000000000003E-10</v>
      </c>
      <c r="E4" s="90">
        <v>1E-10</v>
      </c>
      <c r="F4" s="90">
        <v>1E-10</v>
      </c>
      <c r="G4" s="90">
        <v>1E-10</v>
      </c>
      <c r="H4" s="90">
        <v>1E-10</v>
      </c>
      <c r="I4" s="90">
        <v>1E-10</v>
      </c>
      <c r="J4" s="90">
        <v>1E-10</v>
      </c>
      <c r="K4" s="90">
        <v>1E-10</v>
      </c>
      <c r="L4" s="90">
        <v>1E-10</v>
      </c>
      <c r="M4" s="90">
        <v>1E-10</v>
      </c>
      <c r="N4" s="90">
        <v>1E-10</v>
      </c>
      <c r="O4" s="90">
        <v>1E-10</v>
      </c>
      <c r="P4" s="90">
        <v>9.3999999999999998E-9</v>
      </c>
      <c r="Q4" s="90">
        <v>1E-10</v>
      </c>
      <c r="R4" s="90">
        <v>1E-10</v>
      </c>
      <c r="S4" s="90">
        <v>1E-10</v>
      </c>
      <c r="T4" s="90">
        <v>1E-10</v>
      </c>
      <c r="U4" s="90">
        <v>1E-10</v>
      </c>
      <c r="V4" s="90">
        <v>1E-10</v>
      </c>
      <c r="W4" s="90">
        <v>1E-10</v>
      </c>
      <c r="X4" s="90">
        <v>1E-10</v>
      </c>
      <c r="Y4" s="90">
        <v>1E-10</v>
      </c>
      <c r="Z4" s="90">
        <v>1E-10</v>
      </c>
      <c r="AA4" s="90">
        <v>1E-10</v>
      </c>
      <c r="AB4" s="90">
        <v>1E-10</v>
      </c>
      <c r="AC4" s="90">
        <v>1E-10</v>
      </c>
      <c r="AD4" s="90">
        <v>1E-10</v>
      </c>
      <c r="AE4" s="90">
        <v>1E-10</v>
      </c>
      <c r="AF4" s="90">
        <v>1E-10</v>
      </c>
      <c r="AG4" s="90">
        <v>1E-10</v>
      </c>
      <c r="AH4" s="90">
        <v>1E-10</v>
      </c>
    </row>
    <row r="5" spans="1:34" ht="14.5" x14ac:dyDescent="0.35">
      <c r="A5" s="73"/>
      <c r="B5" s="112">
        <v>1E-3</v>
      </c>
      <c r="C5" s="90">
        <v>6.9300000000000005E-8</v>
      </c>
      <c r="D5" s="90">
        <v>8.0000000000000003E-10</v>
      </c>
      <c r="E5" s="90">
        <v>1E-10</v>
      </c>
      <c r="F5" s="90">
        <v>1E-10</v>
      </c>
      <c r="G5" s="90">
        <v>1E-10</v>
      </c>
      <c r="H5" s="90">
        <v>1E-10</v>
      </c>
      <c r="I5" s="90">
        <v>1E-10</v>
      </c>
      <c r="J5" s="90">
        <v>1E-10</v>
      </c>
      <c r="K5" s="90">
        <v>1E-10</v>
      </c>
      <c r="L5" s="90">
        <v>1E-10</v>
      </c>
      <c r="M5" s="90">
        <v>1E-10</v>
      </c>
      <c r="N5" s="90">
        <v>1E-10</v>
      </c>
      <c r="O5" s="90">
        <v>1E-10</v>
      </c>
      <c r="P5" s="90">
        <v>9.3999999999999998E-9</v>
      </c>
      <c r="Q5" s="90">
        <v>1E-10</v>
      </c>
      <c r="R5" s="90">
        <v>1E-10</v>
      </c>
      <c r="S5" s="90">
        <v>1E-10</v>
      </c>
      <c r="T5" s="90">
        <v>1E-10</v>
      </c>
      <c r="U5" s="90">
        <v>1E-10</v>
      </c>
      <c r="V5" s="90">
        <v>1E-10</v>
      </c>
      <c r="W5" s="90">
        <v>1E-10</v>
      </c>
      <c r="X5" s="90">
        <v>1E-10</v>
      </c>
      <c r="Y5" s="90">
        <v>1E-10</v>
      </c>
      <c r="Z5" s="90">
        <v>1E-10</v>
      </c>
      <c r="AA5" s="90">
        <v>1E-10</v>
      </c>
      <c r="AB5" s="90">
        <v>1E-10</v>
      </c>
      <c r="AC5" s="90">
        <v>1E-10</v>
      </c>
      <c r="AD5" s="90">
        <v>1E-10</v>
      </c>
      <c r="AE5" s="90">
        <v>1E-10</v>
      </c>
      <c r="AF5" s="90">
        <v>1E-10</v>
      </c>
      <c r="AG5" s="90">
        <v>1E-10</v>
      </c>
      <c r="AH5" s="90">
        <v>1E-10</v>
      </c>
    </row>
    <row r="6" spans="1:34" ht="14.5" x14ac:dyDescent="0.35">
      <c r="A6" s="73"/>
      <c r="B6" s="112">
        <v>5.0000000000000001E-3</v>
      </c>
      <c r="C6" s="90">
        <v>6.9300000000000005E-8</v>
      </c>
      <c r="D6" s="90">
        <v>8.0000000000000003E-10</v>
      </c>
      <c r="E6" s="90">
        <v>1E-10</v>
      </c>
      <c r="F6" s="90">
        <v>1E-10</v>
      </c>
      <c r="G6" s="90">
        <v>1E-10</v>
      </c>
      <c r="H6" s="90">
        <v>1E-10</v>
      </c>
      <c r="I6" s="90">
        <v>1E-10</v>
      </c>
      <c r="J6" s="90">
        <v>1E-10</v>
      </c>
      <c r="K6" s="90">
        <v>1E-10</v>
      </c>
      <c r="L6" s="90">
        <v>1E-10</v>
      </c>
      <c r="M6" s="90">
        <v>1E-10</v>
      </c>
      <c r="N6" s="90">
        <v>1E-10</v>
      </c>
      <c r="O6" s="90">
        <v>1E-10</v>
      </c>
      <c r="P6" s="90">
        <v>9.3999999999999998E-9</v>
      </c>
      <c r="Q6" s="90">
        <v>1E-10</v>
      </c>
      <c r="R6" s="90">
        <v>1E-10</v>
      </c>
      <c r="S6" s="90">
        <v>1E-10</v>
      </c>
      <c r="T6" s="90">
        <v>1E-10</v>
      </c>
      <c r="U6" s="90">
        <v>1E-10</v>
      </c>
      <c r="V6" s="90">
        <v>1E-10</v>
      </c>
      <c r="W6" s="90">
        <v>1E-10</v>
      </c>
      <c r="X6" s="90">
        <v>1E-10</v>
      </c>
      <c r="Y6" s="90">
        <v>1E-10</v>
      </c>
      <c r="Z6" s="90">
        <v>1E-10</v>
      </c>
      <c r="AA6" s="90">
        <v>1E-10</v>
      </c>
      <c r="AB6" s="90">
        <v>1E-10</v>
      </c>
      <c r="AC6" s="90">
        <v>1E-10</v>
      </c>
      <c r="AD6" s="90">
        <v>1E-10</v>
      </c>
      <c r="AE6" s="90">
        <v>1E-10</v>
      </c>
      <c r="AF6" s="90">
        <v>1E-10</v>
      </c>
      <c r="AG6" s="90">
        <v>1E-10</v>
      </c>
      <c r="AH6" s="90">
        <v>1E-10</v>
      </c>
    </row>
    <row r="7" spans="1:34" ht="14.5" x14ac:dyDescent="0.35">
      <c r="A7" s="73"/>
      <c r="B7" s="112">
        <v>0.01</v>
      </c>
      <c r="C7" s="90">
        <v>6.9300000000000005E-8</v>
      </c>
      <c r="D7" s="90">
        <v>8.0000000000000003E-10</v>
      </c>
      <c r="E7" s="90">
        <v>1E-10</v>
      </c>
      <c r="F7" s="90">
        <v>1E-10</v>
      </c>
      <c r="G7" s="90">
        <v>1E-10</v>
      </c>
      <c r="H7" s="90">
        <v>1E-10</v>
      </c>
      <c r="I7" s="90">
        <v>1E-10</v>
      </c>
      <c r="J7" s="90">
        <v>1E-10</v>
      </c>
      <c r="K7" s="90">
        <v>1E-10</v>
      </c>
      <c r="L7" s="90">
        <v>1E-10</v>
      </c>
      <c r="M7" s="90">
        <v>1E-10</v>
      </c>
      <c r="N7" s="90">
        <v>1E-10</v>
      </c>
      <c r="O7" s="90">
        <v>1E-10</v>
      </c>
      <c r="P7" s="90">
        <v>9.3999999999999998E-9</v>
      </c>
      <c r="Q7" s="90">
        <v>1E-10</v>
      </c>
      <c r="R7" s="90">
        <v>1E-10</v>
      </c>
      <c r="S7" s="90">
        <v>1E-10</v>
      </c>
      <c r="T7" s="90">
        <v>1E-10</v>
      </c>
      <c r="U7" s="90">
        <v>1E-10</v>
      </c>
      <c r="V7" s="90">
        <v>1E-10</v>
      </c>
      <c r="W7" s="90">
        <v>1E-10</v>
      </c>
      <c r="X7" s="90">
        <v>1E-10</v>
      </c>
      <c r="Y7" s="90">
        <v>1E-10</v>
      </c>
      <c r="Z7" s="90">
        <v>1E-10</v>
      </c>
      <c r="AA7" s="90">
        <v>1E-10</v>
      </c>
      <c r="AB7" s="90">
        <v>1E-10</v>
      </c>
      <c r="AC7" s="90">
        <v>1E-10</v>
      </c>
      <c r="AD7" s="90">
        <v>1E-10</v>
      </c>
      <c r="AE7" s="90">
        <v>1E-10</v>
      </c>
      <c r="AF7" s="90">
        <v>1E-10</v>
      </c>
      <c r="AG7" s="90">
        <v>1E-10</v>
      </c>
      <c r="AH7" s="90">
        <v>1E-10</v>
      </c>
    </row>
    <row r="8" spans="1:34" ht="14.5" x14ac:dyDescent="0.35">
      <c r="A8" s="73"/>
      <c r="B8" s="112">
        <v>0.02</v>
      </c>
      <c r="C8" s="90">
        <v>6.9300000000000005E-8</v>
      </c>
      <c r="D8" s="90">
        <v>8.0000000000000003E-10</v>
      </c>
      <c r="E8" s="90">
        <v>1E-10</v>
      </c>
      <c r="F8" s="90">
        <v>1E-10</v>
      </c>
      <c r="G8" s="90">
        <v>1E-10</v>
      </c>
      <c r="H8" s="90">
        <v>1E-10</v>
      </c>
      <c r="I8" s="90">
        <v>1E-10</v>
      </c>
      <c r="J8" s="90">
        <v>1E-10</v>
      </c>
      <c r="K8" s="90">
        <v>1E-10</v>
      </c>
      <c r="L8" s="90">
        <v>1E-10</v>
      </c>
      <c r="M8" s="90">
        <v>1E-10</v>
      </c>
      <c r="N8" s="90">
        <v>1E-10</v>
      </c>
      <c r="O8" s="90">
        <v>1E-10</v>
      </c>
      <c r="P8" s="90">
        <v>9.3999999999999998E-9</v>
      </c>
      <c r="Q8" s="90">
        <v>1E-10</v>
      </c>
      <c r="R8" s="90">
        <v>1E-10</v>
      </c>
      <c r="S8" s="90">
        <v>1E-10</v>
      </c>
      <c r="T8" s="90">
        <v>1E-10</v>
      </c>
      <c r="U8" s="90">
        <v>1E-10</v>
      </c>
      <c r="V8" s="90">
        <v>1E-10</v>
      </c>
      <c r="W8" s="90">
        <v>1E-10</v>
      </c>
      <c r="X8" s="90">
        <v>1E-10</v>
      </c>
      <c r="Y8" s="90">
        <v>1E-10</v>
      </c>
      <c r="Z8" s="90">
        <v>1E-10</v>
      </c>
      <c r="AA8" s="90">
        <v>1E-10</v>
      </c>
      <c r="AB8" s="90">
        <v>1E-10</v>
      </c>
      <c r="AC8" s="90">
        <v>1E-10</v>
      </c>
      <c r="AD8" s="90">
        <v>1E-10</v>
      </c>
      <c r="AE8" s="90">
        <v>1E-10</v>
      </c>
      <c r="AF8" s="90">
        <v>1E-10</v>
      </c>
      <c r="AG8" s="90">
        <v>1E-10</v>
      </c>
      <c r="AH8" s="90">
        <v>1E-10</v>
      </c>
    </row>
    <row r="9" spans="1:34" ht="14.5" x14ac:dyDescent="0.35">
      <c r="A9" s="73"/>
      <c r="B9" s="112">
        <v>0.03</v>
      </c>
      <c r="C9" s="90">
        <v>6.9300000000000005E-8</v>
      </c>
      <c r="D9" s="90">
        <v>8.0000000000000003E-10</v>
      </c>
      <c r="E9" s="90">
        <v>1E-10</v>
      </c>
      <c r="F9" s="90">
        <v>1E-10</v>
      </c>
      <c r="G9" s="90">
        <v>1E-10</v>
      </c>
      <c r="H9" s="90">
        <v>1E-10</v>
      </c>
      <c r="I9" s="90">
        <v>1E-10</v>
      </c>
      <c r="J9" s="90">
        <v>1E-10</v>
      </c>
      <c r="K9" s="90">
        <v>1E-10</v>
      </c>
      <c r="L9" s="90">
        <v>1E-10</v>
      </c>
      <c r="M9" s="90">
        <v>1E-10</v>
      </c>
      <c r="N9" s="90">
        <v>1E-10</v>
      </c>
      <c r="O9" s="90">
        <v>1E-10</v>
      </c>
      <c r="P9" s="90">
        <v>9.3999999999999998E-9</v>
      </c>
      <c r="Q9" s="90">
        <v>1E-10</v>
      </c>
      <c r="R9" s="90">
        <v>1E-10</v>
      </c>
      <c r="S9" s="90">
        <v>1E-10</v>
      </c>
      <c r="T9" s="90">
        <v>1E-10</v>
      </c>
      <c r="U9" s="90">
        <v>1E-10</v>
      </c>
      <c r="V9" s="90">
        <v>1E-10</v>
      </c>
      <c r="W9" s="90">
        <v>1E-10</v>
      </c>
      <c r="X9" s="90">
        <v>1E-10</v>
      </c>
      <c r="Y9" s="90">
        <v>1E-10</v>
      </c>
      <c r="Z9" s="90">
        <v>1E-10</v>
      </c>
      <c r="AA9" s="90">
        <v>1E-10</v>
      </c>
      <c r="AB9" s="90">
        <v>1E-10</v>
      </c>
      <c r="AC9" s="90">
        <v>1E-10</v>
      </c>
      <c r="AD9" s="90">
        <v>1E-10</v>
      </c>
      <c r="AE9" s="90">
        <v>1E-10</v>
      </c>
      <c r="AF9" s="90">
        <v>1E-10</v>
      </c>
      <c r="AG9" s="90">
        <v>1E-10</v>
      </c>
      <c r="AH9" s="90">
        <v>1E-10</v>
      </c>
    </row>
    <row r="10" spans="1:34" ht="14.5" x14ac:dyDescent="0.35">
      <c r="A10" s="73"/>
      <c r="B10" s="112">
        <v>0.04</v>
      </c>
      <c r="C10" s="90">
        <v>6.9300000000000005E-8</v>
      </c>
      <c r="D10" s="90">
        <v>8.0000000000000003E-10</v>
      </c>
      <c r="E10" s="90">
        <v>1E-10</v>
      </c>
      <c r="F10" s="90">
        <v>1E-10</v>
      </c>
      <c r="G10" s="90">
        <v>1E-10</v>
      </c>
      <c r="H10" s="90">
        <v>1E-10</v>
      </c>
      <c r="I10" s="90">
        <v>1E-10</v>
      </c>
      <c r="J10" s="90">
        <v>1E-10</v>
      </c>
      <c r="K10" s="90">
        <v>1E-10</v>
      </c>
      <c r="L10" s="90">
        <v>1E-10</v>
      </c>
      <c r="M10" s="90">
        <v>1E-10</v>
      </c>
      <c r="N10" s="90">
        <v>1E-10</v>
      </c>
      <c r="O10" s="90">
        <v>1E-10</v>
      </c>
      <c r="P10" s="90">
        <v>9.3999999999999998E-9</v>
      </c>
      <c r="Q10" s="90">
        <v>1E-10</v>
      </c>
      <c r="R10" s="90">
        <v>1E-10</v>
      </c>
      <c r="S10" s="90">
        <v>1E-10</v>
      </c>
      <c r="T10" s="90">
        <v>1E-10</v>
      </c>
      <c r="U10" s="90">
        <v>1E-10</v>
      </c>
      <c r="V10" s="90">
        <v>1E-10</v>
      </c>
      <c r="W10" s="90">
        <v>1E-10</v>
      </c>
      <c r="X10" s="90">
        <v>1E-10</v>
      </c>
      <c r="Y10" s="90">
        <v>1E-10</v>
      </c>
      <c r="Z10" s="90">
        <v>1E-10</v>
      </c>
      <c r="AA10" s="90">
        <v>1E-10</v>
      </c>
      <c r="AB10" s="90">
        <v>1E-10</v>
      </c>
      <c r="AC10" s="90">
        <v>1E-10</v>
      </c>
      <c r="AD10" s="90">
        <v>1E-10</v>
      </c>
      <c r="AE10" s="90">
        <v>1E-10</v>
      </c>
      <c r="AF10" s="90">
        <v>1E-10</v>
      </c>
      <c r="AG10" s="90">
        <v>1E-10</v>
      </c>
      <c r="AH10" s="90">
        <v>1E-10</v>
      </c>
    </row>
    <row r="11" spans="1:34" ht="14.5" x14ac:dyDescent="0.35">
      <c r="A11" s="73"/>
      <c r="B11" s="112">
        <v>0.05</v>
      </c>
      <c r="C11" s="90">
        <v>3.3350000000000002E-7</v>
      </c>
      <c r="D11" s="90">
        <v>8.0000000000000003E-10</v>
      </c>
      <c r="E11" s="90">
        <v>1E-10</v>
      </c>
      <c r="F11" s="90">
        <v>1E-10</v>
      </c>
      <c r="G11" s="90">
        <v>1E-10</v>
      </c>
      <c r="H11" s="90">
        <v>1E-10</v>
      </c>
      <c r="I11" s="90">
        <v>1E-10</v>
      </c>
      <c r="J11" s="90">
        <v>1E-10</v>
      </c>
      <c r="K11" s="90">
        <v>1E-10</v>
      </c>
      <c r="L11" s="90">
        <v>1E-10</v>
      </c>
      <c r="M11" s="90">
        <v>1E-10</v>
      </c>
      <c r="N11" s="90">
        <v>1E-10</v>
      </c>
      <c r="O11" s="90">
        <v>1E-10</v>
      </c>
      <c r="P11" s="90">
        <v>9.3999999999999998E-9</v>
      </c>
      <c r="Q11" s="90">
        <v>1E-10</v>
      </c>
      <c r="R11" s="90">
        <v>1E-10</v>
      </c>
      <c r="S11" s="90">
        <v>1E-10</v>
      </c>
      <c r="T11" s="90">
        <v>1E-10</v>
      </c>
      <c r="U11" s="90">
        <v>1E-10</v>
      </c>
      <c r="V11" s="90">
        <v>1E-10</v>
      </c>
      <c r="W11" s="90">
        <v>1E-10</v>
      </c>
      <c r="X11" s="90">
        <v>1E-10</v>
      </c>
      <c r="Y11" s="90">
        <v>1E-10</v>
      </c>
      <c r="Z11" s="90">
        <v>1E-10</v>
      </c>
      <c r="AA11" s="90">
        <v>1E-10</v>
      </c>
      <c r="AB11" s="90">
        <v>1E-10</v>
      </c>
      <c r="AC11" s="90">
        <v>1E-10</v>
      </c>
      <c r="AD11" s="90">
        <v>1E-10</v>
      </c>
      <c r="AE11" s="90">
        <v>1E-10</v>
      </c>
      <c r="AF11" s="90">
        <v>1E-10</v>
      </c>
      <c r="AG11" s="90">
        <v>1E-10</v>
      </c>
      <c r="AH11" s="90">
        <v>1E-10</v>
      </c>
    </row>
    <row r="12" spans="1:34" ht="14.5" x14ac:dyDescent="0.35">
      <c r="A12" s="73"/>
      <c r="B12" s="112">
        <v>0.06</v>
      </c>
      <c r="C12" s="90">
        <v>4.97516E-6</v>
      </c>
      <c r="D12" s="90">
        <v>8.0000000000000003E-10</v>
      </c>
      <c r="E12" s="90">
        <v>1E-10</v>
      </c>
      <c r="F12" s="90">
        <v>1E-10</v>
      </c>
      <c r="G12" s="90">
        <v>1E-10</v>
      </c>
      <c r="H12" s="90">
        <v>1E-10</v>
      </c>
      <c r="I12" s="90">
        <v>1E-10</v>
      </c>
      <c r="J12" s="90">
        <v>1E-10</v>
      </c>
      <c r="K12" s="90">
        <v>1E-10</v>
      </c>
      <c r="L12" s="90">
        <v>1E-10</v>
      </c>
      <c r="M12" s="90">
        <v>1E-10</v>
      </c>
      <c r="N12" s="90">
        <v>1E-10</v>
      </c>
      <c r="O12" s="90">
        <v>1E-10</v>
      </c>
      <c r="P12" s="90">
        <v>9.3999999999999998E-9</v>
      </c>
      <c r="Q12" s="90">
        <v>1E-10</v>
      </c>
      <c r="R12" s="90">
        <v>1E-10</v>
      </c>
      <c r="S12" s="90">
        <v>1E-10</v>
      </c>
      <c r="T12" s="90">
        <v>1E-10</v>
      </c>
      <c r="U12" s="90">
        <v>1E-10</v>
      </c>
      <c r="V12" s="90">
        <v>1E-10</v>
      </c>
      <c r="W12" s="90">
        <v>1E-10</v>
      </c>
      <c r="X12" s="90">
        <v>1E-10</v>
      </c>
      <c r="Y12" s="90">
        <v>1E-10</v>
      </c>
      <c r="Z12" s="90">
        <v>1E-10</v>
      </c>
      <c r="AA12" s="90">
        <v>1E-10</v>
      </c>
      <c r="AB12" s="90">
        <v>1E-10</v>
      </c>
      <c r="AC12" s="90">
        <v>1E-10</v>
      </c>
      <c r="AD12" s="90">
        <v>1E-10</v>
      </c>
      <c r="AE12" s="90">
        <v>1E-10</v>
      </c>
      <c r="AF12" s="90">
        <v>1E-10</v>
      </c>
      <c r="AG12" s="90">
        <v>1E-10</v>
      </c>
      <c r="AH12" s="90">
        <v>1E-10</v>
      </c>
    </row>
    <row r="13" spans="1:34" ht="14.5" x14ac:dyDescent="0.35">
      <c r="A13" s="73"/>
      <c r="B13" s="112">
        <v>7.0000000000000007E-2</v>
      </c>
      <c r="C13" s="90">
        <v>9.6876399999999996E-6</v>
      </c>
      <c r="D13" s="90">
        <v>8.0000000000000003E-10</v>
      </c>
      <c r="E13" s="90">
        <v>1E-10</v>
      </c>
      <c r="F13" s="90">
        <v>1E-10</v>
      </c>
      <c r="G13" s="90">
        <v>1E-10</v>
      </c>
      <c r="H13" s="90">
        <v>1E-10</v>
      </c>
      <c r="I13" s="90">
        <v>1E-10</v>
      </c>
      <c r="J13" s="90">
        <v>1E-10</v>
      </c>
      <c r="K13" s="90">
        <v>1E-10</v>
      </c>
      <c r="L13" s="90">
        <v>1E-10</v>
      </c>
      <c r="M13" s="90">
        <v>1E-10</v>
      </c>
      <c r="N13" s="90">
        <v>1E-10</v>
      </c>
      <c r="O13" s="90">
        <v>1E-10</v>
      </c>
      <c r="P13" s="90">
        <v>9.3999999999999998E-9</v>
      </c>
      <c r="Q13" s="90">
        <v>1E-10</v>
      </c>
      <c r="R13" s="90">
        <v>1E-10</v>
      </c>
      <c r="S13" s="90">
        <v>1E-10</v>
      </c>
      <c r="T13" s="90">
        <v>1E-10</v>
      </c>
      <c r="U13" s="90">
        <v>1E-10</v>
      </c>
      <c r="V13" s="90">
        <v>1E-10</v>
      </c>
      <c r="W13" s="90">
        <v>1E-10</v>
      </c>
      <c r="X13" s="90">
        <v>1E-10</v>
      </c>
      <c r="Y13" s="90">
        <v>1E-10</v>
      </c>
      <c r="Z13" s="90">
        <v>1E-10</v>
      </c>
      <c r="AA13" s="90">
        <v>1E-10</v>
      </c>
      <c r="AB13" s="90">
        <v>1E-10</v>
      </c>
      <c r="AC13" s="90">
        <v>1E-10</v>
      </c>
      <c r="AD13" s="90">
        <v>1E-10</v>
      </c>
      <c r="AE13" s="90">
        <v>1E-10</v>
      </c>
      <c r="AF13" s="90">
        <v>1E-10</v>
      </c>
      <c r="AG13" s="90">
        <v>1E-10</v>
      </c>
      <c r="AH13" s="90">
        <v>1E-10</v>
      </c>
    </row>
    <row r="14" spans="1:34" ht="14.5" x14ac:dyDescent="0.35">
      <c r="A14" s="73"/>
      <c r="B14" s="112">
        <v>0.08</v>
      </c>
      <c r="C14" s="90">
        <v>1.499454E-5</v>
      </c>
      <c r="D14" s="90">
        <v>1.4091999999999999E-7</v>
      </c>
      <c r="E14" s="90">
        <v>1E-10</v>
      </c>
      <c r="F14" s="90">
        <v>1E-10</v>
      </c>
      <c r="G14" s="90">
        <v>1E-10</v>
      </c>
      <c r="H14" s="90">
        <v>1E-10</v>
      </c>
      <c r="I14" s="90">
        <v>1E-10</v>
      </c>
      <c r="J14" s="90">
        <v>1E-10</v>
      </c>
      <c r="K14" s="90">
        <v>1E-10</v>
      </c>
      <c r="L14" s="90">
        <v>1E-10</v>
      </c>
      <c r="M14" s="90">
        <v>1E-10</v>
      </c>
      <c r="N14" s="90">
        <v>1E-10</v>
      </c>
      <c r="O14" s="90">
        <v>1E-10</v>
      </c>
      <c r="P14" s="90">
        <v>9.3999999999999998E-9</v>
      </c>
      <c r="Q14" s="90">
        <v>1E-10</v>
      </c>
      <c r="R14" s="90">
        <v>1E-10</v>
      </c>
      <c r="S14" s="90">
        <v>1E-10</v>
      </c>
      <c r="T14" s="90">
        <v>1E-10</v>
      </c>
      <c r="U14" s="90">
        <v>1E-10</v>
      </c>
      <c r="V14" s="90">
        <v>1E-10</v>
      </c>
      <c r="W14" s="90">
        <v>1E-10</v>
      </c>
      <c r="X14" s="90">
        <v>1E-10</v>
      </c>
      <c r="Y14" s="90">
        <v>1E-10</v>
      </c>
      <c r="Z14" s="90">
        <v>1E-10</v>
      </c>
      <c r="AA14" s="90">
        <v>1E-10</v>
      </c>
      <c r="AB14" s="90">
        <v>1E-10</v>
      </c>
      <c r="AC14" s="90">
        <v>1E-10</v>
      </c>
      <c r="AD14" s="90">
        <v>1E-10</v>
      </c>
      <c r="AE14" s="90">
        <v>1E-10</v>
      </c>
      <c r="AF14" s="90">
        <v>1E-10</v>
      </c>
      <c r="AG14" s="90">
        <v>1E-10</v>
      </c>
      <c r="AH14" s="90">
        <v>1E-10</v>
      </c>
    </row>
    <row r="15" spans="1:34" ht="14.5" x14ac:dyDescent="0.35">
      <c r="A15" s="73"/>
      <c r="B15" s="112">
        <v>0.09</v>
      </c>
      <c r="C15" s="90">
        <v>1.9112080000000002E-5</v>
      </c>
      <c r="D15" s="90">
        <v>3.1562000000000002E-7</v>
      </c>
      <c r="E15" s="90">
        <v>1E-10</v>
      </c>
      <c r="F15" s="90">
        <v>1E-10</v>
      </c>
      <c r="G15" s="90">
        <v>1E-10</v>
      </c>
      <c r="H15" s="90">
        <v>1E-10</v>
      </c>
      <c r="I15" s="90">
        <v>1E-10</v>
      </c>
      <c r="J15" s="90">
        <v>1E-10</v>
      </c>
      <c r="K15" s="90">
        <v>1E-10</v>
      </c>
      <c r="L15" s="90">
        <v>1E-10</v>
      </c>
      <c r="M15" s="90">
        <v>1E-10</v>
      </c>
      <c r="N15" s="90">
        <v>1E-10</v>
      </c>
      <c r="O15" s="90">
        <v>1E-10</v>
      </c>
      <c r="P15" s="90">
        <v>9.3999999999999998E-9</v>
      </c>
      <c r="Q15" s="90">
        <v>1E-10</v>
      </c>
      <c r="R15" s="90">
        <v>1E-10</v>
      </c>
      <c r="S15" s="90">
        <v>1E-10</v>
      </c>
      <c r="T15" s="90">
        <v>1E-10</v>
      </c>
      <c r="U15" s="90">
        <v>1E-10</v>
      </c>
      <c r="V15" s="90">
        <v>1E-10</v>
      </c>
      <c r="W15" s="90">
        <v>1E-10</v>
      </c>
      <c r="X15" s="90">
        <v>1E-10</v>
      </c>
      <c r="Y15" s="90">
        <v>1E-10</v>
      </c>
      <c r="Z15" s="90">
        <v>1E-10</v>
      </c>
      <c r="AA15" s="90">
        <v>1E-10</v>
      </c>
      <c r="AB15" s="90">
        <v>1E-10</v>
      </c>
      <c r="AC15" s="90">
        <v>1E-10</v>
      </c>
      <c r="AD15" s="90">
        <v>1E-10</v>
      </c>
      <c r="AE15" s="90">
        <v>1E-10</v>
      </c>
      <c r="AF15" s="90">
        <v>1E-10</v>
      </c>
      <c r="AG15" s="90">
        <v>1E-10</v>
      </c>
      <c r="AH15" s="90">
        <v>1E-10</v>
      </c>
    </row>
    <row r="16" spans="1:34" ht="14.5" x14ac:dyDescent="0.35">
      <c r="A16" s="73"/>
      <c r="B16" s="112">
        <v>0.1</v>
      </c>
      <c r="C16" s="90">
        <v>2.34636E-5</v>
      </c>
      <c r="D16" s="90">
        <v>4.6320000000000002E-7</v>
      </c>
      <c r="E16" s="90">
        <v>1E-10</v>
      </c>
      <c r="F16" s="90">
        <v>1E-10</v>
      </c>
      <c r="G16" s="90">
        <v>1E-10</v>
      </c>
      <c r="H16" s="90">
        <v>1E-10</v>
      </c>
      <c r="I16" s="90">
        <v>1E-10</v>
      </c>
      <c r="J16" s="90">
        <v>1E-10</v>
      </c>
      <c r="K16" s="90">
        <v>1E-10</v>
      </c>
      <c r="L16" s="90">
        <v>1E-10</v>
      </c>
      <c r="M16" s="90">
        <v>1E-10</v>
      </c>
      <c r="N16" s="90">
        <v>1E-10</v>
      </c>
      <c r="O16" s="90">
        <v>1E-10</v>
      </c>
      <c r="P16" s="90">
        <v>9.3999999999999998E-9</v>
      </c>
      <c r="Q16" s="90">
        <v>1E-10</v>
      </c>
      <c r="R16" s="90">
        <v>1E-10</v>
      </c>
      <c r="S16" s="90">
        <v>1E-10</v>
      </c>
      <c r="T16" s="90">
        <v>1E-10</v>
      </c>
      <c r="U16" s="90">
        <v>1E-10</v>
      </c>
      <c r="V16" s="90">
        <v>1E-10</v>
      </c>
      <c r="W16" s="90">
        <v>1E-10</v>
      </c>
      <c r="X16" s="90">
        <v>1E-10</v>
      </c>
      <c r="Y16" s="90">
        <v>1E-10</v>
      </c>
      <c r="Z16" s="90">
        <v>1E-10</v>
      </c>
      <c r="AA16" s="90">
        <v>1E-10</v>
      </c>
      <c r="AB16" s="90">
        <v>1E-10</v>
      </c>
      <c r="AC16" s="90">
        <v>1E-10</v>
      </c>
      <c r="AD16" s="90">
        <v>1E-10</v>
      </c>
      <c r="AE16" s="90">
        <v>1E-10</v>
      </c>
      <c r="AF16" s="90">
        <v>1E-10</v>
      </c>
      <c r="AG16" s="90">
        <v>1E-10</v>
      </c>
      <c r="AH16" s="90">
        <v>1E-10</v>
      </c>
    </row>
    <row r="17" spans="1:34" ht="14.5" x14ac:dyDescent="0.35">
      <c r="A17" s="73"/>
      <c r="B17" s="112">
        <v>0.15</v>
      </c>
      <c r="C17" s="90">
        <v>6.2906199999999998E-5</v>
      </c>
      <c r="D17" s="90">
        <v>9.7689999999999991E-7</v>
      </c>
      <c r="E17" s="90">
        <v>1E-10</v>
      </c>
      <c r="F17" s="90">
        <v>1E-10</v>
      </c>
      <c r="G17" s="90">
        <v>1E-10</v>
      </c>
      <c r="H17" s="90">
        <v>1E-10</v>
      </c>
      <c r="I17" s="90">
        <v>3E-10</v>
      </c>
      <c r="J17" s="90">
        <v>1E-10</v>
      </c>
      <c r="K17" s="90">
        <v>1E-10</v>
      </c>
      <c r="L17" s="90">
        <v>1E-10</v>
      </c>
      <c r="M17" s="90">
        <v>1E-10</v>
      </c>
      <c r="N17" s="90">
        <v>1E-10</v>
      </c>
      <c r="O17" s="90">
        <v>1E-10</v>
      </c>
      <c r="P17" s="90">
        <v>6.0159999999999999E-7</v>
      </c>
      <c r="Q17" s="90">
        <v>1.2468499999999999E-5</v>
      </c>
      <c r="R17" s="90">
        <v>1E-10</v>
      </c>
      <c r="S17" s="90">
        <v>1E-10</v>
      </c>
      <c r="T17" s="90">
        <v>1E-10</v>
      </c>
      <c r="U17" s="90">
        <v>1E-10</v>
      </c>
      <c r="V17" s="90">
        <v>1E-10</v>
      </c>
      <c r="W17" s="90">
        <v>1E-10</v>
      </c>
      <c r="X17" s="90">
        <v>1E-10</v>
      </c>
      <c r="Y17" s="90">
        <v>1E-10</v>
      </c>
      <c r="Z17" s="90">
        <v>1E-10</v>
      </c>
      <c r="AA17" s="90">
        <v>8.9659E-6</v>
      </c>
      <c r="AB17" s="90">
        <v>4.1119999999999998E-7</v>
      </c>
      <c r="AC17" s="90">
        <v>1E-10</v>
      </c>
      <c r="AD17" s="90">
        <v>1E-10</v>
      </c>
      <c r="AE17" s="90">
        <v>1E-10</v>
      </c>
      <c r="AF17" s="90">
        <v>1E-10</v>
      </c>
      <c r="AG17" s="90">
        <v>1E-10</v>
      </c>
      <c r="AH17" s="90">
        <v>1E-10</v>
      </c>
    </row>
    <row r="18" spans="1:34" ht="14.5" x14ac:dyDescent="0.35">
      <c r="A18" s="73"/>
      <c r="B18" s="112">
        <v>0.2</v>
      </c>
      <c r="C18">
        <v>1.1864239999999999E-4</v>
      </c>
      <c r="D18" s="90">
        <v>1.5035000000000001E-6</v>
      </c>
      <c r="E18" s="90">
        <v>1E-10</v>
      </c>
      <c r="F18" s="90">
        <v>1E-10</v>
      </c>
      <c r="G18" s="90">
        <v>1E-10</v>
      </c>
      <c r="H18" s="90">
        <v>4.21E-8</v>
      </c>
      <c r="I18" s="90">
        <v>3.0899999999999999E-8</v>
      </c>
      <c r="J18" s="90">
        <v>1.6000000000000001E-9</v>
      </c>
      <c r="K18" s="90">
        <v>1E-10</v>
      </c>
      <c r="L18" s="90">
        <v>1E-10</v>
      </c>
      <c r="M18" s="90">
        <v>1E-10</v>
      </c>
      <c r="N18" s="90">
        <v>1E-10</v>
      </c>
      <c r="O18" s="90">
        <v>1E-10</v>
      </c>
      <c r="P18" s="90">
        <v>4.3601E-6</v>
      </c>
      <c r="Q18">
        <v>1.01353E-4</v>
      </c>
      <c r="R18" s="90">
        <v>2.0000000000000001E-10</v>
      </c>
      <c r="S18" s="90">
        <v>1E-10</v>
      </c>
      <c r="T18" s="90">
        <v>1E-10</v>
      </c>
      <c r="U18" s="90">
        <v>1E-10</v>
      </c>
      <c r="V18" s="90">
        <v>1E-10</v>
      </c>
      <c r="W18" s="90">
        <v>1E-10</v>
      </c>
      <c r="X18" s="90">
        <v>1E-10</v>
      </c>
      <c r="Y18" s="90">
        <v>1E-10</v>
      </c>
      <c r="Z18" s="90">
        <v>1E-10</v>
      </c>
      <c r="AA18" s="90">
        <v>8.2801900000000004E-5</v>
      </c>
      <c r="AB18" s="90">
        <v>7.6794999999999999E-6</v>
      </c>
      <c r="AC18" s="90">
        <v>5.3000000000000003E-9</v>
      </c>
      <c r="AD18" s="90">
        <v>1E-10</v>
      </c>
      <c r="AE18" s="90">
        <v>2.0000000000000001E-10</v>
      </c>
      <c r="AF18" s="90">
        <v>1E-10</v>
      </c>
      <c r="AG18" s="90">
        <v>1E-10</v>
      </c>
      <c r="AH18" s="90">
        <v>1E-10</v>
      </c>
    </row>
    <row r="19" spans="1:34" ht="14.5" x14ac:dyDescent="0.35">
      <c r="A19" s="73"/>
      <c r="B19" s="112">
        <v>0.25</v>
      </c>
      <c r="C19">
        <v>2.255906E-4</v>
      </c>
      <c r="D19" s="90">
        <v>2.6885000000000002E-6</v>
      </c>
      <c r="E19" s="90">
        <v>1E-10</v>
      </c>
      <c r="F19" s="90">
        <v>1E-10</v>
      </c>
      <c r="G19" s="90">
        <v>1E-10</v>
      </c>
      <c r="H19" s="90">
        <v>4.1578000000000002E-6</v>
      </c>
      <c r="I19" s="90">
        <v>1.3916200000000001E-5</v>
      </c>
      <c r="J19" s="90">
        <v>1.9450999999999998E-6</v>
      </c>
      <c r="K19" s="90">
        <v>3.7100000000000001E-8</v>
      </c>
      <c r="L19" s="90">
        <v>5.8999999999999999E-9</v>
      </c>
      <c r="M19" s="90">
        <v>1.6999999999999999E-9</v>
      </c>
      <c r="N19" s="90">
        <v>2.2600000000000001E-8</v>
      </c>
      <c r="O19" s="90">
        <v>1E-10</v>
      </c>
      <c r="P19" s="90">
        <v>1.2390499999999999E-5</v>
      </c>
      <c r="Q19">
        <v>2.273535E-4</v>
      </c>
      <c r="R19" s="90">
        <v>7.3610000000000003E-7</v>
      </c>
      <c r="S19" s="90">
        <v>4.8E-9</v>
      </c>
      <c r="T19" s="90">
        <v>2.53E-7</v>
      </c>
      <c r="U19" s="90">
        <v>3.3000000000000002E-9</v>
      </c>
      <c r="V19" s="90">
        <v>1E-10</v>
      </c>
      <c r="W19" s="90">
        <v>6.0399999999999998E-8</v>
      </c>
      <c r="X19" s="90">
        <v>5.4069999999999996E-7</v>
      </c>
      <c r="Y19" s="90">
        <v>1E-10</v>
      </c>
      <c r="Z19" s="90">
        <v>1E-10</v>
      </c>
      <c r="AA19">
        <v>1.6285609999999999E-4</v>
      </c>
      <c r="AB19" s="90">
        <v>4.0191300000000003E-5</v>
      </c>
      <c r="AC19" s="90">
        <v>4.39E-7</v>
      </c>
      <c r="AD19" s="90">
        <v>1.5620000000000001E-7</v>
      </c>
      <c r="AE19" s="90">
        <v>2.9349999999999997E-7</v>
      </c>
      <c r="AF19" s="90">
        <v>1.9499999999999999E-8</v>
      </c>
      <c r="AG19" s="90">
        <v>2.093E-7</v>
      </c>
      <c r="AH19" s="90">
        <v>1.269E-7</v>
      </c>
    </row>
    <row r="20" spans="1:34" ht="14.5" x14ac:dyDescent="0.35">
      <c r="A20" s="73"/>
      <c r="B20" s="112">
        <v>0.3</v>
      </c>
      <c r="C20">
        <v>3.8070809999999998E-4</v>
      </c>
      <c r="D20" s="90">
        <v>9.2603000000000001E-6</v>
      </c>
      <c r="E20" s="90">
        <v>2.0000000000000001E-10</v>
      </c>
      <c r="F20" s="90">
        <v>1E-10</v>
      </c>
      <c r="G20" s="90">
        <v>1E-10</v>
      </c>
      <c r="H20" s="90">
        <v>3.8341399999999999E-5</v>
      </c>
      <c r="I20" s="90">
        <v>9.8321700000000004E-5</v>
      </c>
      <c r="J20" s="90">
        <v>9.8062399999999998E-5</v>
      </c>
      <c r="K20" s="90">
        <v>1.5621E-6</v>
      </c>
      <c r="L20" s="90">
        <v>1.782E-6</v>
      </c>
      <c r="M20" s="90">
        <v>2.2079999999999999E-7</v>
      </c>
      <c r="N20" s="90">
        <v>2.7847000000000002E-6</v>
      </c>
      <c r="O20" s="90">
        <v>1.6000000000000001E-9</v>
      </c>
      <c r="P20" s="90">
        <v>3.5731500000000002E-5</v>
      </c>
      <c r="Q20">
        <v>4.3512120000000002E-4</v>
      </c>
      <c r="R20" s="90">
        <v>1.08201E-5</v>
      </c>
      <c r="S20" s="90">
        <v>8.54E-7</v>
      </c>
      <c r="T20" s="90">
        <v>1.6873900000000001E-5</v>
      </c>
      <c r="U20" s="90">
        <v>3.6839999999999999E-7</v>
      </c>
      <c r="V20" s="90">
        <v>2.2009999999999999E-7</v>
      </c>
      <c r="W20" s="90">
        <v>2.0549E-6</v>
      </c>
      <c r="X20" s="90">
        <v>5.6175899999999999E-5</v>
      </c>
      <c r="Y20" s="90">
        <v>1E-10</v>
      </c>
      <c r="Z20" s="90">
        <v>1E-10</v>
      </c>
      <c r="AA20">
        <v>2.9881990000000001E-4</v>
      </c>
      <c r="AB20" s="90">
        <v>8.64312E-5</v>
      </c>
      <c r="AC20" s="90">
        <v>1.0014600000000001E-5</v>
      </c>
      <c r="AD20" s="90">
        <v>2.7530999999999999E-6</v>
      </c>
      <c r="AE20" s="90">
        <v>3.9024000000000001E-6</v>
      </c>
      <c r="AF20" s="90">
        <v>4.3720000000000002E-7</v>
      </c>
      <c r="AG20" s="90">
        <v>1.3497E-6</v>
      </c>
      <c r="AH20" s="90">
        <v>2.7126000000000001E-6</v>
      </c>
    </row>
    <row r="21" spans="1:34" ht="14.5" x14ac:dyDescent="0.35">
      <c r="A21" s="73"/>
      <c r="B21" s="112">
        <v>0.35</v>
      </c>
      <c r="C21">
        <v>5.8945739999999996E-4</v>
      </c>
      <c r="D21" s="90">
        <v>5.9326200000000001E-5</v>
      </c>
      <c r="E21" s="90">
        <v>1.0879999999999999E-7</v>
      </c>
      <c r="F21" s="90">
        <v>1E-10</v>
      </c>
      <c r="G21" s="90">
        <v>1E-10</v>
      </c>
      <c r="H21">
        <v>1.0566820000000001E-4</v>
      </c>
      <c r="I21">
        <v>2.2584699999999999E-4</v>
      </c>
      <c r="J21">
        <v>1.8759469999999999E-4</v>
      </c>
      <c r="K21" s="90">
        <v>3.9749300000000002E-5</v>
      </c>
      <c r="L21" s="90">
        <v>8.8957999999999998E-5</v>
      </c>
      <c r="M21" s="90">
        <v>2.1183999999999999E-5</v>
      </c>
      <c r="N21" s="90">
        <v>8.6717800000000005E-5</v>
      </c>
      <c r="O21" s="90">
        <v>1.7009999999999999E-7</v>
      </c>
      <c r="P21">
        <v>1.2006320000000001E-4</v>
      </c>
      <c r="Q21">
        <v>7.149945E-4</v>
      </c>
      <c r="R21" s="90">
        <v>4.7513099999999997E-5</v>
      </c>
      <c r="S21" s="90">
        <v>2.0056800000000001E-5</v>
      </c>
      <c r="T21" s="90">
        <v>4.8046200000000001E-5</v>
      </c>
      <c r="U21" s="90">
        <v>4.4115E-6</v>
      </c>
      <c r="V21" s="90">
        <v>5.5026999999999998E-6</v>
      </c>
      <c r="W21" s="90">
        <v>3.4189400000000002E-5</v>
      </c>
      <c r="X21">
        <v>1.3066290000000001E-4</v>
      </c>
      <c r="Y21" s="90">
        <v>1E-10</v>
      </c>
      <c r="Z21" s="90">
        <v>1E-10</v>
      </c>
      <c r="AA21">
        <v>4.6856699999999997E-4</v>
      </c>
      <c r="AB21">
        <v>1.4222249999999999E-4</v>
      </c>
      <c r="AC21" s="90">
        <v>2.7311899999999998E-5</v>
      </c>
      <c r="AD21" s="90">
        <v>2.9832399999999999E-5</v>
      </c>
      <c r="AE21" s="90">
        <v>2.3127300000000001E-5</v>
      </c>
      <c r="AF21" s="90">
        <v>5.8526999999999999E-6</v>
      </c>
      <c r="AG21" s="90">
        <v>7.5711999999999996E-6</v>
      </c>
      <c r="AH21" s="90">
        <v>2.89519E-5</v>
      </c>
    </row>
    <row r="22" spans="1:34" ht="14.5" x14ac:dyDescent="0.35">
      <c r="A22" s="73"/>
      <c r="B22" s="112">
        <v>0.4</v>
      </c>
      <c r="C22">
        <v>8.3029420000000004E-4</v>
      </c>
      <c r="D22">
        <v>1.410265E-4</v>
      </c>
      <c r="E22" s="90">
        <v>2.2391500000000001E-5</v>
      </c>
      <c r="F22" s="90">
        <v>8.7000000000000001E-9</v>
      </c>
      <c r="G22" s="90">
        <v>1E-10</v>
      </c>
      <c r="H22">
        <v>1.8416480000000001E-4</v>
      </c>
      <c r="I22">
        <v>4.16501E-4</v>
      </c>
      <c r="J22">
        <v>3.0963399999999998E-4</v>
      </c>
      <c r="K22">
        <v>1.1543650000000001E-4</v>
      </c>
      <c r="L22">
        <v>1.961256E-4</v>
      </c>
      <c r="M22">
        <v>1.0984620000000001E-4</v>
      </c>
      <c r="N22">
        <v>1.9568520000000001E-4</v>
      </c>
      <c r="O22" s="90">
        <v>1.25315E-5</v>
      </c>
      <c r="P22">
        <v>2.1654150000000001E-4</v>
      </c>
      <c r="Q22">
        <v>9.9141180000000004E-4</v>
      </c>
      <c r="R22">
        <v>1.44048E-4</v>
      </c>
      <c r="S22" s="90">
        <v>7.3131099999999995E-5</v>
      </c>
      <c r="T22">
        <v>1.111775E-4</v>
      </c>
      <c r="U22" s="90">
        <v>1.89145E-5</v>
      </c>
      <c r="V22" s="90">
        <v>1.6422E-5</v>
      </c>
      <c r="W22" s="90">
        <v>6.2540799999999996E-5</v>
      </c>
      <c r="X22">
        <v>2.3281180000000001E-4</v>
      </c>
      <c r="Y22" s="90">
        <v>1E-10</v>
      </c>
      <c r="Z22" s="90">
        <v>1E-10</v>
      </c>
      <c r="AA22">
        <v>6.6630040000000001E-4</v>
      </c>
      <c r="AB22">
        <v>2.182772E-4</v>
      </c>
      <c r="AC22" s="90">
        <v>7.8402499999999993E-5</v>
      </c>
      <c r="AD22" s="90">
        <v>8.9447100000000006E-5</v>
      </c>
      <c r="AE22" s="90">
        <v>5.53328E-5</v>
      </c>
      <c r="AF22" s="90">
        <v>2.58153E-5</v>
      </c>
      <c r="AG22" s="90">
        <v>2.81732E-5</v>
      </c>
      <c r="AH22" s="90">
        <v>5.3097399999999998E-5</v>
      </c>
    </row>
    <row r="23" spans="1:34" ht="14.5" x14ac:dyDescent="0.35">
      <c r="A23" s="73"/>
      <c r="B23" s="112">
        <v>0.45</v>
      </c>
      <c r="C23">
        <v>1.0726571999999999E-3</v>
      </c>
      <c r="D23">
        <v>2.4561450000000002E-4</v>
      </c>
      <c r="E23" s="90">
        <v>8.0435300000000006E-5</v>
      </c>
      <c r="F23" s="90">
        <v>2.7659999999999998E-7</v>
      </c>
      <c r="G23" s="90">
        <v>1E-10</v>
      </c>
      <c r="H23">
        <v>3.011728E-4</v>
      </c>
      <c r="I23">
        <v>5.9154909999999995E-4</v>
      </c>
      <c r="J23">
        <v>4.4612489999999998E-4</v>
      </c>
      <c r="K23">
        <v>1.775143E-4</v>
      </c>
      <c r="L23">
        <v>2.9677769999999999E-4</v>
      </c>
      <c r="M23">
        <v>2.1292850000000001E-4</v>
      </c>
      <c r="N23">
        <v>3.0149879999999998E-4</v>
      </c>
      <c r="O23" s="90">
        <v>4.9093700000000001E-5</v>
      </c>
      <c r="P23">
        <v>3.6089869999999998E-4</v>
      </c>
      <c r="Q23">
        <v>1.3972327E-3</v>
      </c>
      <c r="R23">
        <v>2.187829E-4</v>
      </c>
      <c r="S23">
        <v>1.024563E-4</v>
      </c>
      <c r="T23">
        <v>1.4997900000000001E-4</v>
      </c>
      <c r="U23" s="90">
        <v>6.8849400000000005E-5</v>
      </c>
      <c r="V23" s="90">
        <v>7.3272800000000001E-5</v>
      </c>
      <c r="W23">
        <v>1.2637219999999999E-4</v>
      </c>
      <c r="X23">
        <v>3.5496380000000003E-4</v>
      </c>
      <c r="Y23" s="90">
        <v>4.0000000000000001E-10</v>
      </c>
      <c r="Z23" s="90">
        <v>1E-10</v>
      </c>
      <c r="AA23">
        <v>9.0428660000000001E-4</v>
      </c>
      <c r="AB23">
        <v>3.2063749999999998E-4</v>
      </c>
      <c r="AC23">
        <v>1.3454830000000001E-4</v>
      </c>
      <c r="AD23">
        <v>1.0302359999999999E-4</v>
      </c>
      <c r="AE23">
        <v>1.0157310000000001E-4</v>
      </c>
      <c r="AF23" s="90">
        <v>6.5156199999999998E-5</v>
      </c>
      <c r="AG23" s="90">
        <v>4.9030199999999997E-5</v>
      </c>
      <c r="AH23" s="90">
        <v>9.5789499999999995E-5</v>
      </c>
    </row>
    <row r="24" spans="1:34" ht="14.5" x14ac:dyDescent="0.35">
      <c r="A24" s="73"/>
      <c r="B24" s="112">
        <v>0.5</v>
      </c>
      <c r="C24">
        <v>1.3246022000000001E-3</v>
      </c>
      <c r="D24">
        <v>3.7611429999999998E-4</v>
      </c>
      <c r="E24">
        <v>1.497874E-4</v>
      </c>
      <c r="F24" s="90">
        <v>1.5302699999999998E-5</v>
      </c>
      <c r="G24" s="90">
        <v>8.9999999999999999E-10</v>
      </c>
      <c r="H24">
        <v>4.5165690000000002E-4</v>
      </c>
      <c r="I24">
        <v>8.2029439999999998E-4</v>
      </c>
      <c r="J24">
        <v>6.1092809999999998E-4</v>
      </c>
      <c r="K24">
        <v>2.5866590000000003E-4</v>
      </c>
      <c r="L24">
        <v>4.2033389999999998E-4</v>
      </c>
      <c r="M24">
        <v>2.9076340000000001E-4</v>
      </c>
      <c r="N24">
        <v>4.2058260000000001E-4</v>
      </c>
      <c r="O24">
        <v>1.2066860000000001E-4</v>
      </c>
      <c r="P24">
        <v>5.4824340000000004E-4</v>
      </c>
      <c r="Q24">
        <v>1.8610889E-3</v>
      </c>
      <c r="R24">
        <v>3.16125E-4</v>
      </c>
      <c r="S24">
        <v>1.4626210000000001E-4</v>
      </c>
      <c r="T24">
        <v>2.3251120000000001E-4</v>
      </c>
      <c r="U24">
        <v>1.7172070000000001E-4</v>
      </c>
      <c r="V24">
        <v>1.17621E-4</v>
      </c>
      <c r="W24">
        <v>1.8810990000000001E-4</v>
      </c>
      <c r="X24">
        <v>5.1174580000000003E-4</v>
      </c>
      <c r="Y24" s="90">
        <v>1.5399999999999999E-8</v>
      </c>
      <c r="Z24" s="90">
        <v>1E-10</v>
      </c>
      <c r="AA24">
        <v>1.1953770000000001E-3</v>
      </c>
      <c r="AB24">
        <v>4.3646610000000003E-4</v>
      </c>
      <c r="AC24">
        <v>1.804717E-4</v>
      </c>
      <c r="AD24">
        <v>1.6268850000000001E-4</v>
      </c>
      <c r="AE24">
        <v>1.5624549999999999E-4</v>
      </c>
      <c r="AF24">
        <v>1.516709E-4</v>
      </c>
      <c r="AG24" s="90">
        <v>8.8054500000000002E-5</v>
      </c>
      <c r="AH24">
        <v>1.3110610000000001E-4</v>
      </c>
    </row>
    <row r="25" spans="1:34" ht="14.5" x14ac:dyDescent="0.35">
      <c r="A25" s="73"/>
      <c r="B25" s="112">
        <v>0.55000000000000004</v>
      </c>
      <c r="C25">
        <v>1.6469273E-3</v>
      </c>
      <c r="D25">
        <v>5.4360070000000001E-4</v>
      </c>
      <c r="E25">
        <v>2.3132200000000001E-4</v>
      </c>
      <c r="F25" s="90">
        <v>4.8246199999999999E-5</v>
      </c>
      <c r="G25" s="90">
        <v>1.11E-8</v>
      </c>
      <c r="H25">
        <v>6.1824259999999995E-4</v>
      </c>
      <c r="I25">
        <v>1.0836476000000001E-3</v>
      </c>
      <c r="J25">
        <v>8.194373E-4</v>
      </c>
      <c r="K25">
        <v>3.6039870000000002E-4</v>
      </c>
      <c r="L25">
        <v>5.4483570000000005E-4</v>
      </c>
      <c r="M25">
        <v>4.1219880000000001E-4</v>
      </c>
      <c r="N25">
        <v>5.4895469999999996E-4</v>
      </c>
      <c r="O25">
        <v>1.8087379999999999E-4</v>
      </c>
      <c r="P25">
        <v>7.8423489999999995E-4</v>
      </c>
      <c r="Q25">
        <v>2.3704977999999999E-3</v>
      </c>
      <c r="R25">
        <v>4.7566159999999999E-4</v>
      </c>
      <c r="S25">
        <v>2.0833289999999999E-4</v>
      </c>
      <c r="T25">
        <v>3.4863560000000001E-4</v>
      </c>
      <c r="U25">
        <v>1.9756020000000001E-4</v>
      </c>
      <c r="V25">
        <v>1.542712E-4</v>
      </c>
      <c r="W25">
        <v>2.748367E-4</v>
      </c>
      <c r="X25">
        <v>7.3418569999999996E-4</v>
      </c>
      <c r="Y25" s="90">
        <v>2.4779999999999998E-7</v>
      </c>
      <c r="Z25" s="90">
        <v>1E-10</v>
      </c>
      <c r="AA25">
        <v>1.5664441E-3</v>
      </c>
      <c r="AB25">
        <v>5.768015E-4</v>
      </c>
      <c r="AC25">
        <v>2.4539350000000001E-4</v>
      </c>
      <c r="AD25">
        <v>2.1918250000000001E-4</v>
      </c>
      <c r="AE25">
        <v>2.2573680000000001E-4</v>
      </c>
      <c r="AF25">
        <v>1.878393E-4</v>
      </c>
      <c r="AG25">
        <v>1.811498E-4</v>
      </c>
      <c r="AH25">
        <v>1.937056E-4</v>
      </c>
    </row>
    <row r="26" spans="1:34" ht="14.5" x14ac:dyDescent="0.35">
      <c r="A26" s="73"/>
      <c r="B26" s="112">
        <v>0.6</v>
      </c>
      <c r="C26">
        <v>2.0562978000000002E-3</v>
      </c>
      <c r="D26">
        <v>7.3982469999999995E-4</v>
      </c>
      <c r="E26">
        <v>3.2018470000000002E-4</v>
      </c>
      <c r="F26">
        <v>1.0861719999999999E-4</v>
      </c>
      <c r="G26" s="90">
        <v>1.04E-7</v>
      </c>
      <c r="H26">
        <v>8.0918799999999996E-4</v>
      </c>
      <c r="I26">
        <v>1.3976002E-3</v>
      </c>
      <c r="J26">
        <v>1.0382226000000001E-3</v>
      </c>
      <c r="K26">
        <v>4.7433769999999999E-4</v>
      </c>
      <c r="L26">
        <v>6.9415030000000003E-4</v>
      </c>
      <c r="M26">
        <v>5.3605350000000005E-4</v>
      </c>
      <c r="N26">
        <v>7.0278669999999997E-4</v>
      </c>
      <c r="O26">
        <v>2.3535989999999999E-4</v>
      </c>
      <c r="P26">
        <v>1.0682937999999999E-3</v>
      </c>
      <c r="Q26">
        <v>2.9206188000000001E-3</v>
      </c>
      <c r="R26">
        <v>6.6543169999999999E-4</v>
      </c>
      <c r="S26">
        <v>2.851304E-4</v>
      </c>
      <c r="T26">
        <v>4.8542330000000001E-4</v>
      </c>
      <c r="U26">
        <v>3.0606379999999997E-4</v>
      </c>
      <c r="V26">
        <v>2.316439E-4</v>
      </c>
      <c r="W26">
        <v>4.033299E-4</v>
      </c>
      <c r="X26">
        <v>1.0581216E-3</v>
      </c>
      <c r="Y26" s="90">
        <v>2.5299000000000001E-6</v>
      </c>
      <c r="Z26" s="90">
        <v>1E-8</v>
      </c>
      <c r="AA26">
        <v>1.9810888E-3</v>
      </c>
      <c r="AB26">
        <v>7.310579E-4</v>
      </c>
      <c r="AC26">
        <v>3.2749560000000001E-4</v>
      </c>
      <c r="AD26">
        <v>3.0977339999999998E-4</v>
      </c>
      <c r="AE26">
        <v>3.1230400000000001E-4</v>
      </c>
      <c r="AF26">
        <v>2.626506E-4</v>
      </c>
      <c r="AG26">
        <v>2.4119030000000001E-4</v>
      </c>
      <c r="AH26">
        <v>2.7268730000000002E-4</v>
      </c>
    </row>
    <row r="27" spans="1:34" ht="14.5" x14ac:dyDescent="0.35">
      <c r="A27" s="73"/>
      <c r="B27" s="112">
        <v>0.65</v>
      </c>
      <c r="C27">
        <v>2.5480606999999998E-3</v>
      </c>
      <c r="D27">
        <v>9.9145770000000008E-4</v>
      </c>
      <c r="E27">
        <v>4.4203409999999998E-4</v>
      </c>
      <c r="F27">
        <v>1.8747079999999999E-4</v>
      </c>
      <c r="G27" s="90">
        <v>1.0864000000000001E-6</v>
      </c>
      <c r="H27">
        <v>1.0697662000000001E-3</v>
      </c>
      <c r="I27">
        <v>1.7665528000000001E-3</v>
      </c>
      <c r="J27">
        <v>1.3012515E-3</v>
      </c>
      <c r="K27">
        <v>6.1889010000000001E-4</v>
      </c>
      <c r="L27">
        <v>8.6207820000000002E-4</v>
      </c>
      <c r="M27">
        <v>6.7702810000000002E-4</v>
      </c>
      <c r="N27">
        <v>8.6731700000000004E-4</v>
      </c>
      <c r="O27">
        <v>3.2718249999999998E-4</v>
      </c>
      <c r="P27">
        <v>1.4305148E-3</v>
      </c>
      <c r="Q27">
        <v>3.5405536999999999E-3</v>
      </c>
      <c r="R27">
        <v>8.8495070000000004E-4</v>
      </c>
      <c r="S27">
        <v>4.038372E-4</v>
      </c>
      <c r="T27">
        <v>6.7381449999999996E-4</v>
      </c>
      <c r="U27">
        <v>4.1965060000000002E-4</v>
      </c>
      <c r="V27">
        <v>3.2662359999999999E-4</v>
      </c>
      <c r="W27">
        <v>5.6182110000000003E-4</v>
      </c>
      <c r="X27">
        <v>1.4183231E-3</v>
      </c>
      <c r="Y27" s="90">
        <v>2.42453E-5</v>
      </c>
      <c r="Z27" s="90">
        <v>7.7479999999999998E-7</v>
      </c>
      <c r="AA27">
        <v>2.5043242000000001E-3</v>
      </c>
      <c r="AB27">
        <v>9.4103269999999998E-4</v>
      </c>
      <c r="AC27">
        <v>4.2782010000000001E-4</v>
      </c>
      <c r="AD27">
        <v>4.140309E-4</v>
      </c>
      <c r="AE27">
        <v>4.1658789999999998E-4</v>
      </c>
      <c r="AF27">
        <v>3.6599309999999998E-4</v>
      </c>
      <c r="AG27">
        <v>3.1519350000000002E-4</v>
      </c>
      <c r="AH27">
        <v>3.8697139999999998E-4</v>
      </c>
    </row>
    <row r="28" spans="1:34" ht="14.5" x14ac:dyDescent="0.35">
      <c r="A28" s="73"/>
      <c r="B28" s="112">
        <v>0.7</v>
      </c>
      <c r="C28">
        <v>3.2025272999999998E-3</v>
      </c>
      <c r="D28">
        <v>1.3164868E-3</v>
      </c>
      <c r="E28">
        <v>5.7664390000000004E-4</v>
      </c>
      <c r="F28">
        <v>2.796513E-4</v>
      </c>
      <c r="G28" s="90">
        <v>1.85283E-5</v>
      </c>
      <c r="H28">
        <v>1.3863864E-3</v>
      </c>
      <c r="I28">
        <v>2.2582016999999999E-3</v>
      </c>
      <c r="J28">
        <v>1.6395334E-3</v>
      </c>
      <c r="K28">
        <v>8.0223169999999995E-4</v>
      </c>
      <c r="L28">
        <v>1.0969737E-3</v>
      </c>
      <c r="M28">
        <v>8.4807610000000005E-4</v>
      </c>
      <c r="N28">
        <v>1.0633286000000001E-3</v>
      </c>
      <c r="O28">
        <v>4.2526240000000001E-4</v>
      </c>
      <c r="P28">
        <v>1.9266019999999999E-3</v>
      </c>
      <c r="Q28">
        <v>4.1900567E-3</v>
      </c>
      <c r="R28">
        <v>1.1602829E-3</v>
      </c>
      <c r="S28">
        <v>5.6101369999999998E-4</v>
      </c>
      <c r="T28">
        <v>9.0671429999999997E-4</v>
      </c>
      <c r="U28">
        <v>5.6256160000000004E-4</v>
      </c>
      <c r="V28">
        <v>4.34704E-4</v>
      </c>
      <c r="W28">
        <v>7.4698229999999998E-4</v>
      </c>
      <c r="X28">
        <v>1.9581538000000001E-3</v>
      </c>
      <c r="Y28" s="90">
        <v>7.5169199999999999E-5</v>
      </c>
      <c r="Z28" s="90">
        <v>1.3659099999999999E-5</v>
      </c>
      <c r="AA28">
        <v>3.1177401E-3</v>
      </c>
      <c r="AB28">
        <v>1.2011921E-3</v>
      </c>
      <c r="AC28">
        <v>5.6561670000000004E-4</v>
      </c>
      <c r="AD28">
        <v>5.6940579999999999E-4</v>
      </c>
      <c r="AE28">
        <v>5.6268629999999995E-4</v>
      </c>
      <c r="AF28">
        <v>5.0883329999999998E-4</v>
      </c>
      <c r="AG28">
        <v>4.4148480000000002E-4</v>
      </c>
      <c r="AH28">
        <v>5.3535759999999996E-4</v>
      </c>
    </row>
    <row r="29" spans="1:34" ht="14.5" x14ac:dyDescent="0.35">
      <c r="A29" s="73"/>
      <c r="B29" s="112">
        <v>0.75</v>
      </c>
      <c r="C29">
        <v>4.1453886000000001E-3</v>
      </c>
      <c r="D29">
        <v>1.7937871000000001E-3</v>
      </c>
      <c r="E29">
        <v>7.5193180000000001E-4</v>
      </c>
      <c r="F29">
        <v>3.9138280000000002E-4</v>
      </c>
      <c r="G29" s="90">
        <v>4.2304900000000002E-5</v>
      </c>
      <c r="H29">
        <v>1.7540658E-3</v>
      </c>
      <c r="I29">
        <v>2.8869327999999999E-3</v>
      </c>
      <c r="J29">
        <v>2.0378513999999999E-3</v>
      </c>
      <c r="K29">
        <v>1.0028305000000001E-3</v>
      </c>
      <c r="L29">
        <v>1.3968101999999999E-3</v>
      </c>
      <c r="M29">
        <v>1.0755345999999999E-3</v>
      </c>
      <c r="N29">
        <v>1.3099635999999999E-3</v>
      </c>
      <c r="O29">
        <v>5.5812229999999997E-4</v>
      </c>
      <c r="P29">
        <v>2.6585745000000001E-3</v>
      </c>
      <c r="Q29">
        <v>4.9349240999999999E-3</v>
      </c>
      <c r="R29">
        <v>1.5162349999999999E-3</v>
      </c>
      <c r="S29">
        <v>7.5830099999999996E-4</v>
      </c>
      <c r="T29">
        <v>1.221249E-3</v>
      </c>
      <c r="U29">
        <v>7.408836E-4</v>
      </c>
      <c r="V29">
        <v>5.83174E-4</v>
      </c>
      <c r="W29">
        <v>9.7715569999999997E-4</v>
      </c>
      <c r="X29">
        <v>2.6333906E-3</v>
      </c>
      <c r="Y29">
        <v>1.315969E-4</v>
      </c>
      <c r="Z29" s="90">
        <v>7.0236500000000004E-5</v>
      </c>
      <c r="AA29">
        <v>3.9365698000000003E-3</v>
      </c>
      <c r="AB29">
        <v>1.5100849E-3</v>
      </c>
      <c r="AC29">
        <v>7.6628760000000003E-4</v>
      </c>
      <c r="AD29">
        <v>7.6335300000000003E-4</v>
      </c>
      <c r="AE29">
        <v>7.5556379999999995E-4</v>
      </c>
      <c r="AF29">
        <v>6.8299660000000005E-4</v>
      </c>
      <c r="AG29">
        <v>6.0014129999999999E-4</v>
      </c>
      <c r="AH29">
        <v>7.3368990000000002E-4</v>
      </c>
    </row>
    <row r="30" spans="1:34" ht="14.5" x14ac:dyDescent="0.35">
      <c r="A30" s="73"/>
      <c r="B30" s="112">
        <v>0.8</v>
      </c>
      <c r="C30">
        <v>5.3864242E-3</v>
      </c>
      <c r="D30">
        <v>2.3732961E-3</v>
      </c>
      <c r="E30">
        <v>1.0048906E-3</v>
      </c>
      <c r="F30">
        <v>5.6241699999999995E-4</v>
      </c>
      <c r="G30">
        <v>1.3533379999999999E-4</v>
      </c>
      <c r="H30">
        <v>2.3194307000000002E-3</v>
      </c>
      <c r="I30">
        <v>3.590331E-3</v>
      </c>
      <c r="J30">
        <v>2.5781954999999999E-3</v>
      </c>
      <c r="K30">
        <v>1.2978028000000001E-3</v>
      </c>
      <c r="L30">
        <v>1.7845218999999999E-3</v>
      </c>
      <c r="M30">
        <v>1.3688302E-3</v>
      </c>
      <c r="N30">
        <v>1.6448722E-3</v>
      </c>
      <c r="O30">
        <v>7.4672599999999997E-4</v>
      </c>
      <c r="P30">
        <v>3.7103569E-3</v>
      </c>
      <c r="Q30">
        <v>5.8884829999999999E-3</v>
      </c>
      <c r="R30">
        <v>1.9830288999999998E-3</v>
      </c>
      <c r="S30">
        <v>1.0563438E-3</v>
      </c>
      <c r="T30">
        <v>1.5909555E-3</v>
      </c>
      <c r="U30">
        <v>9.8358749999999991E-4</v>
      </c>
      <c r="V30">
        <v>8.0240770000000001E-4</v>
      </c>
      <c r="W30">
        <v>1.3032300000000001E-3</v>
      </c>
      <c r="X30">
        <v>3.5660760000000001E-3</v>
      </c>
      <c r="Y30">
        <v>1.77894E-4</v>
      </c>
      <c r="Z30">
        <v>1.9442879999999999E-4</v>
      </c>
      <c r="AA30">
        <v>5.0293504000000003E-3</v>
      </c>
      <c r="AB30">
        <v>1.9771585999999999E-3</v>
      </c>
      <c r="AC30">
        <v>1.0243307E-3</v>
      </c>
      <c r="AD30">
        <v>1.0376192999999999E-3</v>
      </c>
      <c r="AE30">
        <v>1.0368165E-3</v>
      </c>
      <c r="AF30">
        <v>9.1582209999999998E-4</v>
      </c>
      <c r="AG30">
        <v>8.4162600000000005E-4</v>
      </c>
      <c r="AH30">
        <v>1.0014437000000001E-3</v>
      </c>
    </row>
    <row r="31" spans="1:34" ht="14.5" x14ac:dyDescent="0.35">
      <c r="A31" s="73"/>
      <c r="B31" s="112">
        <v>0.85</v>
      </c>
      <c r="C31">
        <v>7.3286215000000002E-3</v>
      </c>
      <c r="D31">
        <v>3.2401793999999999E-3</v>
      </c>
      <c r="E31">
        <v>1.3976976E-3</v>
      </c>
      <c r="F31">
        <v>7.9705710000000003E-4</v>
      </c>
      <c r="G31">
        <v>1.9399120000000001E-4</v>
      </c>
      <c r="H31">
        <v>3.0295210999999999E-3</v>
      </c>
      <c r="I31">
        <v>4.5860503E-3</v>
      </c>
      <c r="J31">
        <v>3.3118710000000001E-3</v>
      </c>
      <c r="K31">
        <v>1.7445612E-3</v>
      </c>
      <c r="L31">
        <v>2.2790954999999998E-3</v>
      </c>
      <c r="M31">
        <v>1.8181066000000001E-3</v>
      </c>
      <c r="N31">
        <v>2.1621702999999998E-3</v>
      </c>
      <c r="O31">
        <v>1.0035853000000001E-3</v>
      </c>
      <c r="P31">
        <v>5.1741379000000004E-3</v>
      </c>
      <c r="Q31">
        <v>7.2590103000000003E-3</v>
      </c>
      <c r="R31">
        <v>2.6261214000000001E-3</v>
      </c>
      <c r="S31">
        <v>1.5142389999999999E-3</v>
      </c>
      <c r="T31">
        <v>2.1852109999999998E-3</v>
      </c>
      <c r="U31">
        <v>1.2971898000000001E-3</v>
      </c>
      <c r="V31">
        <v>1.0919229E-3</v>
      </c>
      <c r="W31">
        <v>1.7904679999999999E-3</v>
      </c>
      <c r="X31">
        <v>4.7907816000000002E-3</v>
      </c>
      <c r="Y31">
        <v>2.834208E-4</v>
      </c>
      <c r="Z31">
        <v>2.6884119999999998E-4</v>
      </c>
      <c r="AA31">
        <v>6.5844231000000003E-3</v>
      </c>
      <c r="AB31">
        <v>2.5775559999999999E-3</v>
      </c>
      <c r="AC31">
        <v>1.4764134999999999E-3</v>
      </c>
      <c r="AD31">
        <v>1.4574080999999999E-3</v>
      </c>
      <c r="AE31">
        <v>1.4450785E-3</v>
      </c>
      <c r="AF31">
        <v>1.2883352999999999E-3</v>
      </c>
      <c r="AG31">
        <v>1.2078481999999999E-3</v>
      </c>
      <c r="AH31">
        <v>1.3895279000000001E-3</v>
      </c>
    </row>
    <row r="32" spans="1:34" ht="14.5" x14ac:dyDescent="0.35">
      <c r="A32" s="73"/>
      <c r="B32" s="112">
        <v>0.9</v>
      </c>
      <c r="C32">
        <v>1.0392104399999999E-2</v>
      </c>
      <c r="D32">
        <v>4.5530917999999998E-3</v>
      </c>
      <c r="E32">
        <v>2.0232412999999999E-3</v>
      </c>
      <c r="F32">
        <v>1.1573304E-3</v>
      </c>
      <c r="G32">
        <v>3.467419E-4</v>
      </c>
      <c r="H32">
        <v>4.1774580000000002E-3</v>
      </c>
      <c r="I32">
        <v>6.1488076999999999E-3</v>
      </c>
      <c r="J32">
        <v>4.2985020000000001E-3</v>
      </c>
      <c r="K32">
        <v>2.3378181999999998E-3</v>
      </c>
      <c r="L32">
        <v>3.0561763E-3</v>
      </c>
      <c r="M32">
        <v>2.6391802000000002E-3</v>
      </c>
      <c r="N32">
        <v>2.9468418999999998E-3</v>
      </c>
      <c r="O32">
        <v>1.3997616E-3</v>
      </c>
      <c r="P32">
        <v>7.7172348999999998E-3</v>
      </c>
      <c r="Q32">
        <v>9.1678743E-3</v>
      </c>
      <c r="R32">
        <v>3.6549268E-3</v>
      </c>
      <c r="S32">
        <v>2.2162125000000001E-3</v>
      </c>
      <c r="T32">
        <v>3.0613775999999999E-3</v>
      </c>
      <c r="U32">
        <v>1.8652145E-3</v>
      </c>
      <c r="V32">
        <v>1.5365717000000001E-3</v>
      </c>
      <c r="W32">
        <v>2.5915913E-3</v>
      </c>
      <c r="X32">
        <v>6.8236121000000002E-3</v>
      </c>
      <c r="Y32">
        <v>4.889486E-4</v>
      </c>
      <c r="Z32">
        <v>4.6434949999999998E-4</v>
      </c>
      <c r="AA32">
        <v>8.8449901000000001E-3</v>
      </c>
      <c r="AB32">
        <v>3.5694022999999998E-3</v>
      </c>
      <c r="AC32">
        <v>2.2562244E-3</v>
      </c>
      <c r="AD32">
        <v>2.1816792999999998E-3</v>
      </c>
      <c r="AE32">
        <v>2.0718614000000001E-3</v>
      </c>
      <c r="AF32">
        <v>1.8627979999999999E-3</v>
      </c>
      <c r="AG32">
        <v>1.7953327E-3</v>
      </c>
      <c r="AH32">
        <v>2.0007101000000002E-3</v>
      </c>
    </row>
    <row r="33" spans="1:34" ht="14.5" x14ac:dyDescent="0.35">
      <c r="A33" s="73"/>
      <c r="B33" s="112">
        <v>0.91</v>
      </c>
      <c r="C33">
        <v>1.130307472E-2</v>
      </c>
      <c r="D33">
        <v>4.8806765000000002E-3</v>
      </c>
      <c r="E33">
        <v>2.1835810800000001E-3</v>
      </c>
      <c r="F33">
        <v>1.26938708E-3</v>
      </c>
      <c r="G33">
        <v>4.0418112000000102E-4</v>
      </c>
      <c r="H33">
        <v>4.4861199399999999E-3</v>
      </c>
      <c r="I33">
        <v>6.5803819200000099E-3</v>
      </c>
      <c r="J33">
        <v>4.5611395400000001E-3</v>
      </c>
      <c r="K33">
        <v>2.4976021200000002E-3</v>
      </c>
      <c r="L33">
        <v>3.2444720399999998E-3</v>
      </c>
      <c r="M33">
        <v>2.82300118E-3</v>
      </c>
      <c r="N33">
        <v>3.1406708000000002E-3</v>
      </c>
      <c r="O33">
        <v>1.5177263599999999E-3</v>
      </c>
      <c r="P33">
        <v>8.4134130599999996E-3</v>
      </c>
      <c r="Q33">
        <v>9.6586191599999996E-3</v>
      </c>
      <c r="R33">
        <v>3.9154096999999997E-3</v>
      </c>
      <c r="S33">
        <v>2.4386245000000001E-3</v>
      </c>
      <c r="T33">
        <v>3.30723596E-3</v>
      </c>
      <c r="U33">
        <v>2.0116473200000001E-3</v>
      </c>
      <c r="V33">
        <v>1.6564793999999999E-3</v>
      </c>
      <c r="W33">
        <v>2.8013277600000002E-3</v>
      </c>
      <c r="X33">
        <v>7.4652402000000102E-3</v>
      </c>
      <c r="Y33">
        <v>5.5063300000000003E-4</v>
      </c>
      <c r="Z33">
        <v>5.0623850000000104E-4</v>
      </c>
      <c r="AA33">
        <v>9.4301111200000096E-3</v>
      </c>
      <c r="AB33">
        <v>3.86480028E-3</v>
      </c>
      <c r="AC33">
        <v>2.44513798E-3</v>
      </c>
      <c r="AD33">
        <v>2.37816168E-3</v>
      </c>
      <c r="AE33">
        <v>2.2529483399999998E-3</v>
      </c>
      <c r="AF33">
        <v>2.0223356999999999E-3</v>
      </c>
      <c r="AG33">
        <v>1.9502429999999999E-3</v>
      </c>
      <c r="AH33">
        <v>2.1814138400000002E-3</v>
      </c>
    </row>
    <row r="34" spans="1:34" ht="14.5" x14ac:dyDescent="0.35">
      <c r="A34" s="73"/>
      <c r="B34" s="112">
        <v>0.92</v>
      </c>
      <c r="C34">
        <v>1.271501046E-2</v>
      </c>
      <c r="D34">
        <v>5.2593188000000001E-3</v>
      </c>
      <c r="E34">
        <v>2.4033099599999998E-3</v>
      </c>
      <c r="F34">
        <v>1.39147578E-3</v>
      </c>
      <c r="G34">
        <v>4.4228369999999999E-4</v>
      </c>
      <c r="H34">
        <v>4.8189280999999997E-3</v>
      </c>
      <c r="I34">
        <v>7.0037340799999999E-3</v>
      </c>
      <c r="J34">
        <v>4.8787851800000002E-3</v>
      </c>
      <c r="K34">
        <v>2.7051299800000001E-3</v>
      </c>
      <c r="L34">
        <v>3.4828778800000001E-3</v>
      </c>
      <c r="M34">
        <v>3.0931529600000101E-3</v>
      </c>
      <c r="N34">
        <v>3.3759141400000001E-3</v>
      </c>
      <c r="O34">
        <v>1.6544112799999999E-3</v>
      </c>
      <c r="P34">
        <v>9.1745163600000304E-3</v>
      </c>
      <c r="Q34">
        <v>1.0136668200000001E-2</v>
      </c>
      <c r="R34">
        <v>4.2042667600000003E-3</v>
      </c>
      <c r="S34">
        <v>2.6754341800000001E-3</v>
      </c>
      <c r="T34">
        <v>3.5644339600000002E-3</v>
      </c>
      <c r="U34">
        <v>2.1647303999999998E-3</v>
      </c>
      <c r="V34">
        <v>1.7927082999999999E-3</v>
      </c>
      <c r="W34">
        <v>3.0489082199999999E-3</v>
      </c>
      <c r="X34">
        <v>8.1944994400000096E-3</v>
      </c>
      <c r="Y34">
        <v>6.2014025999999997E-4</v>
      </c>
      <c r="Z34">
        <v>5.9103428000000099E-4</v>
      </c>
      <c r="AA34">
        <v>1.0243147980000001E-2</v>
      </c>
      <c r="AB34">
        <v>4.2106315999999996E-3</v>
      </c>
      <c r="AC34">
        <v>2.6698933000000001E-3</v>
      </c>
      <c r="AD34">
        <v>2.6096277E-3</v>
      </c>
      <c r="AE34">
        <v>2.42644646E-3</v>
      </c>
      <c r="AF34">
        <v>2.2107107000000001E-3</v>
      </c>
      <c r="AG34">
        <v>2.1573123400000101E-3</v>
      </c>
      <c r="AH34">
        <v>2.3818912999999998E-3</v>
      </c>
    </row>
    <row r="35" spans="1:34" ht="14.5" x14ac:dyDescent="0.35">
      <c r="A35" s="73"/>
      <c r="B35" s="112">
        <v>0.93</v>
      </c>
      <c r="C35">
        <v>1.377348764E-2</v>
      </c>
      <c r="D35">
        <v>5.7825203399999997E-3</v>
      </c>
      <c r="E35">
        <v>2.6132773600000001E-3</v>
      </c>
      <c r="F35">
        <v>1.5082481E-3</v>
      </c>
      <c r="G35">
        <v>4.9949652000000095E-4</v>
      </c>
      <c r="H35">
        <v>5.2461873799999996E-3</v>
      </c>
      <c r="I35">
        <v>7.5550694999999999E-3</v>
      </c>
      <c r="J35">
        <v>5.22794616E-3</v>
      </c>
      <c r="K35">
        <v>2.9147079000000002E-3</v>
      </c>
      <c r="L35">
        <v>3.74507676E-3</v>
      </c>
      <c r="M35">
        <v>3.4369601400000001E-3</v>
      </c>
      <c r="N35">
        <v>3.6911429E-3</v>
      </c>
      <c r="O35">
        <v>1.8085759399999999E-3</v>
      </c>
      <c r="P35">
        <v>9.9976536999999994E-3</v>
      </c>
      <c r="Q35">
        <v>1.077620996E-2</v>
      </c>
      <c r="R35">
        <v>4.5538287399999999E-3</v>
      </c>
      <c r="S35">
        <v>2.9846399200000001E-3</v>
      </c>
      <c r="T35">
        <v>3.8830828000000002E-3</v>
      </c>
      <c r="U35">
        <v>2.3627955599999999E-3</v>
      </c>
      <c r="V35">
        <v>1.9908565799999999E-3</v>
      </c>
      <c r="W35">
        <v>3.3596654800000002E-3</v>
      </c>
      <c r="X35">
        <v>8.9203672199999993E-3</v>
      </c>
      <c r="Y35">
        <v>7.1253538000000003E-4</v>
      </c>
      <c r="Z35">
        <v>6.5877830000000005E-4</v>
      </c>
      <c r="AA35">
        <v>1.1011154760000001E-2</v>
      </c>
      <c r="AB35">
        <v>4.5703782E-3</v>
      </c>
      <c r="AC35">
        <v>2.94995538E-3</v>
      </c>
      <c r="AD35">
        <v>2.9077203199999999E-3</v>
      </c>
      <c r="AE35">
        <v>2.6308049600000001E-3</v>
      </c>
      <c r="AF35">
        <v>2.4442621399999999E-3</v>
      </c>
      <c r="AG35">
        <v>2.4042530400000001E-3</v>
      </c>
      <c r="AH35">
        <v>2.5819122599999998E-3</v>
      </c>
    </row>
    <row r="36" spans="1:34" ht="14.5" x14ac:dyDescent="0.35">
      <c r="A36" s="73"/>
      <c r="B36" s="112">
        <v>0.94</v>
      </c>
      <c r="C36">
        <v>1.53845348E-2</v>
      </c>
      <c r="D36">
        <v>6.2859057000000003E-3</v>
      </c>
      <c r="E36">
        <v>2.87331922E-3</v>
      </c>
      <c r="F36">
        <v>1.6752621000000001E-3</v>
      </c>
      <c r="G36">
        <v>5.7381952000000003E-4</v>
      </c>
      <c r="H36">
        <v>5.8431442599999996E-3</v>
      </c>
      <c r="I36">
        <v>8.1183552599999997E-3</v>
      </c>
      <c r="J36">
        <v>5.7339714999999998E-3</v>
      </c>
      <c r="K36">
        <v>3.1497966000000001E-3</v>
      </c>
      <c r="L36">
        <v>4.0377654400000004E-3</v>
      </c>
      <c r="M36">
        <v>3.7878399599999999E-3</v>
      </c>
      <c r="N36">
        <v>3.9910824999999997E-3</v>
      </c>
      <c r="O36">
        <v>1.9817238200000001E-3</v>
      </c>
      <c r="P36">
        <v>1.111464038E-2</v>
      </c>
      <c r="Q36">
        <v>1.141331456E-2</v>
      </c>
      <c r="R36">
        <v>4.9647353599999904E-3</v>
      </c>
      <c r="S36">
        <v>3.3466886400000001E-3</v>
      </c>
      <c r="T36">
        <v>4.2944296999999996E-3</v>
      </c>
      <c r="U36">
        <v>2.60982718E-3</v>
      </c>
      <c r="V36">
        <v>2.2215677599999998E-3</v>
      </c>
      <c r="W36">
        <v>3.7263296400000001E-3</v>
      </c>
      <c r="X36">
        <v>9.9924079199999998E-3</v>
      </c>
      <c r="Y36">
        <v>8.1667343999999897E-4</v>
      </c>
      <c r="Z36">
        <v>7.6730671999999998E-4</v>
      </c>
      <c r="AA36">
        <v>1.203198994E-2</v>
      </c>
      <c r="AB36">
        <v>5.00105868E-3</v>
      </c>
      <c r="AC36">
        <v>3.2745122199999998E-3</v>
      </c>
      <c r="AD36">
        <v>3.2136137199999999E-3</v>
      </c>
      <c r="AE36">
        <v>2.9708169799999998E-3</v>
      </c>
      <c r="AF36">
        <v>2.7260510599999999E-3</v>
      </c>
      <c r="AG36">
        <v>2.6507786799999998E-3</v>
      </c>
      <c r="AH36">
        <v>2.8350462600000002E-3</v>
      </c>
    </row>
    <row r="37" spans="1:34" ht="14.5" x14ac:dyDescent="0.35">
      <c r="A37" s="73"/>
      <c r="B37" s="112">
        <v>0.95</v>
      </c>
      <c r="C37">
        <v>1.7269855000000001E-2</v>
      </c>
      <c r="D37">
        <v>6.8933618999999996E-3</v>
      </c>
      <c r="E37">
        <v>3.1647041E-3</v>
      </c>
      <c r="F37">
        <v>1.9256831999999999E-3</v>
      </c>
      <c r="G37">
        <v>6.6272300000000004E-4</v>
      </c>
      <c r="H37">
        <v>6.3437633000000002E-3</v>
      </c>
      <c r="I37">
        <v>8.9930653999999999E-3</v>
      </c>
      <c r="J37">
        <v>6.3257731999999999E-3</v>
      </c>
      <c r="K37">
        <v>3.4584672999999999E-3</v>
      </c>
      <c r="L37">
        <v>4.4461648000000001E-3</v>
      </c>
      <c r="M37">
        <v>4.1895834000000003E-3</v>
      </c>
      <c r="N37">
        <v>4.3760619000000004E-3</v>
      </c>
      <c r="O37">
        <v>2.2019104000000002E-3</v>
      </c>
      <c r="P37">
        <v>1.2383834E-2</v>
      </c>
      <c r="Q37">
        <v>1.2340304599999999E-2</v>
      </c>
      <c r="R37">
        <v>5.4550323E-3</v>
      </c>
      <c r="S37">
        <v>3.7625091999999999E-3</v>
      </c>
      <c r="T37">
        <v>4.7949613E-3</v>
      </c>
      <c r="U37">
        <v>2.9220841000000002E-3</v>
      </c>
      <c r="V37">
        <v>2.5560002000000002E-3</v>
      </c>
      <c r="W37">
        <v>4.2821237999999999E-3</v>
      </c>
      <c r="X37">
        <v>1.1165087299999999E-2</v>
      </c>
      <c r="Y37">
        <v>9.5283110000000005E-4</v>
      </c>
      <c r="Z37">
        <v>8.8355509999999999E-4</v>
      </c>
      <c r="AA37">
        <v>1.32447869E-2</v>
      </c>
      <c r="AB37">
        <v>5.5624120999999997E-3</v>
      </c>
      <c r="AC37">
        <v>3.7094101999999999E-3</v>
      </c>
      <c r="AD37">
        <v>3.6911628999999999E-3</v>
      </c>
      <c r="AE37">
        <v>3.3699657000000002E-3</v>
      </c>
      <c r="AF37">
        <v>3.0774518E-3</v>
      </c>
      <c r="AG37">
        <v>3.0076678000000002E-3</v>
      </c>
      <c r="AH37">
        <v>3.1407218999999998E-3</v>
      </c>
    </row>
    <row r="38" spans="1:34" ht="14.5" x14ac:dyDescent="0.35">
      <c r="A38" s="73"/>
      <c r="B38" s="112">
        <v>0.96</v>
      </c>
      <c r="C38">
        <v>1.9384408539999998E-2</v>
      </c>
      <c r="D38">
        <v>7.7021495399999997E-3</v>
      </c>
      <c r="E38">
        <v>3.4985219800000001E-3</v>
      </c>
      <c r="F38">
        <v>2.28438834E-3</v>
      </c>
      <c r="G38">
        <v>7.7560156000000102E-4</v>
      </c>
      <c r="H38">
        <v>7.1232115600000003E-3</v>
      </c>
      <c r="I38">
        <v>9.9244862800000003E-3</v>
      </c>
      <c r="J38">
        <v>6.8927298400000099E-3</v>
      </c>
      <c r="K38">
        <v>3.8447409800000001E-3</v>
      </c>
      <c r="L38">
        <v>4.96008226E-3</v>
      </c>
      <c r="M38">
        <v>4.7183439600000003E-3</v>
      </c>
      <c r="N38">
        <v>4.8059103199999996E-3</v>
      </c>
      <c r="O38">
        <v>2.4799015999999998E-3</v>
      </c>
      <c r="P38">
        <v>1.429994744E-2</v>
      </c>
      <c r="Q38">
        <v>1.3634994980000001E-2</v>
      </c>
      <c r="R38">
        <v>6.1645418000000002E-3</v>
      </c>
      <c r="S38">
        <v>4.3898188200000004E-3</v>
      </c>
      <c r="T38">
        <v>5.4865390999999999E-3</v>
      </c>
      <c r="U38">
        <v>3.23535394E-3</v>
      </c>
      <c r="V38">
        <v>2.9403511600000001E-3</v>
      </c>
      <c r="W38">
        <v>4.9030556999999997E-3</v>
      </c>
      <c r="X38">
        <v>1.263394118E-2</v>
      </c>
      <c r="Y38">
        <v>1.1149978799999999E-3</v>
      </c>
      <c r="Z38">
        <v>1.06392096E-3</v>
      </c>
      <c r="AA38">
        <v>1.4713546080000001E-2</v>
      </c>
      <c r="AB38">
        <v>6.2923728400000002E-3</v>
      </c>
      <c r="AC38">
        <v>4.3749359199999997E-3</v>
      </c>
      <c r="AD38">
        <v>4.3308812999999996E-3</v>
      </c>
      <c r="AE38">
        <v>3.92595620000001E-3</v>
      </c>
      <c r="AF38">
        <v>3.5855761599999998E-3</v>
      </c>
      <c r="AG38">
        <v>3.4375395599999998E-3</v>
      </c>
      <c r="AH38">
        <v>3.5895317200000001E-3</v>
      </c>
    </row>
    <row r="39" spans="1:34" ht="14.5" x14ac:dyDescent="0.35">
      <c r="B39" s="112">
        <v>0.97</v>
      </c>
      <c r="C39">
        <v>2.2213978299999999E-2</v>
      </c>
      <c r="D39">
        <v>8.8791925199999695E-3</v>
      </c>
      <c r="E39">
        <v>3.98102533999999E-3</v>
      </c>
      <c r="F39">
        <v>2.69654941999999E-3</v>
      </c>
      <c r="G39">
        <v>9.2142791999998998E-4</v>
      </c>
      <c r="H39">
        <v>8.0944575999999796E-3</v>
      </c>
      <c r="I39">
        <v>1.126566088E-2</v>
      </c>
      <c r="J39">
        <v>7.63770345999998E-3</v>
      </c>
      <c r="K39">
        <v>4.4437749599999998E-3</v>
      </c>
      <c r="L39">
        <v>5.4340718199999798E-3</v>
      </c>
      <c r="M39">
        <v>5.6148227399999999E-3</v>
      </c>
      <c r="N39">
        <v>5.3953322200000001E-3</v>
      </c>
      <c r="O39">
        <v>2.8745538599999898E-3</v>
      </c>
      <c r="P39">
        <v>1.652447432E-2</v>
      </c>
      <c r="Q39">
        <v>1.530369512E-2</v>
      </c>
      <c r="R39">
        <v>7.0115825999999999E-3</v>
      </c>
      <c r="S39">
        <v>5.2160808399999798E-3</v>
      </c>
      <c r="T39">
        <v>6.3335591799999801E-3</v>
      </c>
      <c r="U39">
        <v>3.8639681999999998E-3</v>
      </c>
      <c r="V39">
        <v>3.5629304199999998E-3</v>
      </c>
      <c r="W39">
        <v>5.8932409199999904E-3</v>
      </c>
      <c r="X39">
        <v>1.4191710180000001E-2</v>
      </c>
      <c r="Y39">
        <v>1.3404271800000001E-3</v>
      </c>
      <c r="Z39">
        <v>1.3018970400000001E-3</v>
      </c>
      <c r="AA39">
        <v>1.6622218960000001E-2</v>
      </c>
      <c r="AB39">
        <v>7.1305468199999904E-3</v>
      </c>
      <c r="AC39">
        <v>5.1462955799999998E-3</v>
      </c>
      <c r="AD39">
        <v>5.0276698799999698E-3</v>
      </c>
      <c r="AE39">
        <v>4.53189081999999E-3</v>
      </c>
      <c r="AF39">
        <v>4.2250021199999998E-3</v>
      </c>
      <c r="AG39">
        <v>4.1620515800000002E-3</v>
      </c>
      <c r="AH39">
        <v>4.2020209600000004E-3</v>
      </c>
    </row>
    <row r="40" spans="1:34" ht="14.5" x14ac:dyDescent="0.35">
      <c r="B40" s="112">
        <v>0.98</v>
      </c>
      <c r="C40">
        <v>2.6634227979999901E-2</v>
      </c>
      <c r="D40">
        <v>1.0756028339999999E-2</v>
      </c>
      <c r="E40">
        <v>4.8628022400000002E-3</v>
      </c>
      <c r="F40">
        <v>3.4088919999999902E-3</v>
      </c>
      <c r="G40">
        <v>1.1251333000000001E-3</v>
      </c>
      <c r="H40">
        <v>9.6135973199999898E-3</v>
      </c>
      <c r="I40">
        <v>1.328758258E-2</v>
      </c>
      <c r="J40">
        <v>8.6690501199999902E-3</v>
      </c>
      <c r="K40">
        <v>5.24697493999997E-3</v>
      </c>
      <c r="L40">
        <v>6.4171805000000004E-3</v>
      </c>
      <c r="M40">
        <v>6.6134161999999901E-3</v>
      </c>
      <c r="N40">
        <v>6.18349983999999E-3</v>
      </c>
      <c r="O40">
        <v>3.36197764E-3</v>
      </c>
      <c r="P40">
        <v>2.0252105100000001E-2</v>
      </c>
      <c r="Q40">
        <v>1.7571891240000002E-2</v>
      </c>
      <c r="R40">
        <v>8.17069879999998E-3</v>
      </c>
      <c r="S40">
        <v>6.6112447599999897E-3</v>
      </c>
      <c r="T40">
        <v>7.6082253000000002E-3</v>
      </c>
      <c r="U40">
        <v>4.6894540999999901E-3</v>
      </c>
      <c r="V40">
        <v>4.3026012599999899E-3</v>
      </c>
      <c r="W40">
        <v>7.0866584200000001E-3</v>
      </c>
      <c r="X40">
        <v>1.678553608E-2</v>
      </c>
      <c r="Y40">
        <v>1.72871147999999E-3</v>
      </c>
      <c r="Z40">
        <v>1.71066372E-3</v>
      </c>
      <c r="AA40">
        <v>1.9285458419999998E-2</v>
      </c>
      <c r="AB40">
        <v>8.1885522400000008E-3</v>
      </c>
      <c r="AC40">
        <v>6.3428580599999996E-3</v>
      </c>
      <c r="AD40">
        <v>5.99071928E-3</v>
      </c>
      <c r="AE40">
        <v>5.6631481799999904E-3</v>
      </c>
      <c r="AF40">
        <v>5.42287862E-3</v>
      </c>
      <c r="AG40">
        <v>5.3999868599999903E-3</v>
      </c>
      <c r="AH40">
        <v>5.0799213599999997E-3</v>
      </c>
    </row>
    <row r="41" spans="1:34" ht="14.5" x14ac:dyDescent="0.35">
      <c r="B41" s="112">
        <v>0.99</v>
      </c>
      <c r="C41">
        <v>3.4187056039999802E-2</v>
      </c>
      <c r="D41">
        <v>1.3804778780000001E-2</v>
      </c>
      <c r="E41">
        <v>6.8119196399999901E-3</v>
      </c>
      <c r="F41">
        <v>4.5990386199999999E-3</v>
      </c>
      <c r="G41">
        <v>1.54649114E-3</v>
      </c>
      <c r="H41">
        <v>1.177652016E-2</v>
      </c>
      <c r="I41">
        <v>1.6884645319999999E-2</v>
      </c>
      <c r="J41">
        <v>1.079522892E-2</v>
      </c>
      <c r="K41">
        <v>6.5573767199999904E-3</v>
      </c>
      <c r="L41">
        <v>8.1959016599999802E-3</v>
      </c>
      <c r="M41">
        <v>8.5516791799999901E-3</v>
      </c>
      <c r="N41">
        <v>7.4903551400000001E-3</v>
      </c>
      <c r="O41">
        <v>4.28838424E-3</v>
      </c>
      <c r="P41">
        <v>2.4752083720000002E-2</v>
      </c>
      <c r="Q41">
        <v>2.1842490240000002E-2</v>
      </c>
      <c r="R41">
        <v>1.0519794440000001E-2</v>
      </c>
      <c r="S41">
        <v>9.1251892199999997E-3</v>
      </c>
      <c r="T41">
        <v>1.047300376E-2</v>
      </c>
      <c r="U41">
        <v>6.0170328599999899E-3</v>
      </c>
      <c r="V41">
        <v>5.8477818999999901E-3</v>
      </c>
      <c r="W41">
        <v>9.8808269799999897E-3</v>
      </c>
      <c r="X41">
        <v>2.45024599599999E-2</v>
      </c>
      <c r="Y41">
        <v>2.6218871200000002E-3</v>
      </c>
      <c r="Z41">
        <v>2.49926752E-3</v>
      </c>
      <c r="AA41">
        <v>2.482646116E-2</v>
      </c>
      <c r="AB41">
        <v>1.043294464E-2</v>
      </c>
      <c r="AC41">
        <v>7.79897805999999E-3</v>
      </c>
      <c r="AD41">
        <v>8.2342692599999996E-3</v>
      </c>
      <c r="AE41">
        <v>7.72384587999998E-3</v>
      </c>
      <c r="AF41">
        <v>7.7100075599999896E-3</v>
      </c>
      <c r="AG41">
        <v>7.3454291199999801E-3</v>
      </c>
      <c r="AH41">
        <v>6.7526533600000003E-3</v>
      </c>
    </row>
    <row r="42" spans="1:34" ht="14.5" x14ac:dyDescent="0.35">
      <c r="B42" s="112">
        <v>0.995</v>
      </c>
      <c r="C42">
        <v>4.0982373599999997E-2</v>
      </c>
      <c r="D42">
        <v>1.68739139000001E-2</v>
      </c>
      <c r="E42">
        <v>8.2176625200000401E-3</v>
      </c>
      <c r="F42">
        <v>5.7296968400000004E-3</v>
      </c>
      <c r="G42">
        <v>2.0145000800000099E-3</v>
      </c>
      <c r="H42">
        <v>1.3767035699999999E-2</v>
      </c>
      <c r="I42">
        <v>1.957212732E-2</v>
      </c>
      <c r="J42">
        <v>1.2757767539999999E-2</v>
      </c>
      <c r="K42">
        <v>7.7997051800000102E-3</v>
      </c>
      <c r="L42">
        <v>1.0297969420000001E-2</v>
      </c>
      <c r="M42">
        <v>1.048071356E-2</v>
      </c>
      <c r="N42">
        <v>8.8072637999999995E-3</v>
      </c>
      <c r="O42">
        <v>5.3082125200000097E-3</v>
      </c>
      <c r="P42">
        <v>3.0219330820000001E-2</v>
      </c>
      <c r="Q42">
        <v>2.7611000980000199E-2</v>
      </c>
      <c r="R42">
        <v>1.2802249860000199E-2</v>
      </c>
      <c r="S42">
        <v>1.16572048400001E-2</v>
      </c>
      <c r="T42">
        <v>1.32748479000001E-2</v>
      </c>
      <c r="U42">
        <v>7.6923009800000603E-3</v>
      </c>
      <c r="V42">
        <v>8.0946986200000105E-3</v>
      </c>
      <c r="W42">
        <v>1.3016010640000001E-2</v>
      </c>
      <c r="X42">
        <v>3.2171801159999999E-2</v>
      </c>
      <c r="Y42">
        <v>3.7512895999999999E-3</v>
      </c>
      <c r="Z42">
        <v>3.8900649000000102E-3</v>
      </c>
      <c r="AA42">
        <v>3.2904469280000202E-2</v>
      </c>
      <c r="AB42">
        <v>1.30258502600001E-2</v>
      </c>
      <c r="AC42">
        <v>9.6587414000002206E-3</v>
      </c>
      <c r="AD42">
        <v>1.0453985080000099E-2</v>
      </c>
      <c r="AE42">
        <v>9.9144087000000106E-3</v>
      </c>
      <c r="AF42">
        <v>9.8492375600000102E-3</v>
      </c>
      <c r="AG42">
        <v>9.7485361000000208E-3</v>
      </c>
      <c r="AH42">
        <v>8.8553884800000298E-3</v>
      </c>
    </row>
    <row r="43" spans="1:34" ht="14.5" x14ac:dyDescent="0.35">
      <c r="B43" s="112">
        <v>0.99900000000000011</v>
      </c>
      <c r="C43">
        <v>5.3733244523999801E-2</v>
      </c>
      <c r="D43">
        <v>3.0106630291999899E-2</v>
      </c>
      <c r="E43">
        <v>1.157781404E-2</v>
      </c>
      <c r="F43">
        <v>8.9990878359999492E-3</v>
      </c>
      <c r="G43">
        <v>3.22295766799992E-3</v>
      </c>
      <c r="H43">
        <v>1.92836218559999E-2</v>
      </c>
      <c r="I43">
        <v>2.7967442839999999E-2</v>
      </c>
      <c r="J43">
        <v>1.8782124351999899E-2</v>
      </c>
      <c r="K43">
        <v>1.13190594759999E-2</v>
      </c>
      <c r="L43">
        <v>1.3981313535999899E-2</v>
      </c>
      <c r="M43">
        <v>1.4830758055999999E-2</v>
      </c>
      <c r="N43">
        <v>1.2423499932000001E-2</v>
      </c>
      <c r="O43">
        <v>7.6599901839999596E-3</v>
      </c>
      <c r="P43">
        <v>4.1342222043999899E-2</v>
      </c>
      <c r="Q43">
        <v>4.3184996487999699E-2</v>
      </c>
      <c r="R43">
        <v>2.1329689191999901E-2</v>
      </c>
      <c r="S43">
        <v>2.0992183859999899E-2</v>
      </c>
      <c r="T43">
        <v>2.2519999647999799E-2</v>
      </c>
      <c r="U43">
        <v>1.2269295363999899E-2</v>
      </c>
      <c r="V43">
        <v>1.2032072304E-2</v>
      </c>
      <c r="W43">
        <v>2.3866553291999899E-2</v>
      </c>
      <c r="X43">
        <v>4.69637506679998E-2</v>
      </c>
      <c r="Y43">
        <v>7.2713009319999699E-3</v>
      </c>
      <c r="Z43">
        <v>5.6334953079999802E-3</v>
      </c>
      <c r="AA43">
        <v>5.09718060039984E-2</v>
      </c>
      <c r="AB43">
        <v>1.7485579739999899E-2</v>
      </c>
      <c r="AC43">
        <v>1.369858912E-2</v>
      </c>
      <c r="AD43">
        <v>1.49367423439998E-2</v>
      </c>
      <c r="AE43">
        <v>1.349051744E-2</v>
      </c>
      <c r="AF43">
        <v>1.3878776532E-2</v>
      </c>
      <c r="AG43">
        <v>1.48924839879998E-2</v>
      </c>
      <c r="AH43">
        <v>1.6008894784E-2</v>
      </c>
    </row>
    <row r="44" spans="1:34" ht="15" thickBot="1" x14ac:dyDescent="0.4">
      <c r="B44" s="113">
        <v>1</v>
      </c>
      <c r="C44">
        <v>6.5668257899999999E-2</v>
      </c>
      <c r="D44">
        <v>8.9253389200000005E-2</v>
      </c>
      <c r="E44">
        <v>1.45083347E-2</v>
      </c>
      <c r="F44">
        <v>1.40113397E-2</v>
      </c>
      <c r="G44">
        <v>7.0476030000000004E-3</v>
      </c>
      <c r="H44">
        <v>3.4074408E-2</v>
      </c>
      <c r="I44">
        <v>4.6411893799999999E-2</v>
      </c>
      <c r="J44">
        <v>2.8936282000000001E-2</v>
      </c>
      <c r="K44">
        <v>2.0223240600000001E-2</v>
      </c>
      <c r="L44">
        <v>2.1194600099999999E-2</v>
      </c>
      <c r="M44">
        <v>2.3411506299999999E-2</v>
      </c>
      <c r="N44">
        <v>1.6302008900000001E-2</v>
      </c>
      <c r="O44">
        <v>1.4596518100000001E-2</v>
      </c>
      <c r="P44">
        <v>7.2608014299999996E-2</v>
      </c>
      <c r="Q44">
        <v>7.7066950699999998E-2</v>
      </c>
      <c r="R44">
        <v>3.0510781099999999E-2</v>
      </c>
      <c r="S44">
        <v>5.0743796899999999E-2</v>
      </c>
      <c r="T44">
        <v>6.4593640499999994E-2</v>
      </c>
      <c r="U44">
        <v>1.8382781099999999E-2</v>
      </c>
      <c r="V44">
        <v>2.0245459300000001E-2</v>
      </c>
      <c r="W44">
        <v>5.2942502199999998E-2</v>
      </c>
      <c r="X44">
        <v>7.1690254699999997E-2</v>
      </c>
      <c r="Y44">
        <v>1.23629254E-2</v>
      </c>
      <c r="Z44">
        <v>7.0106046000000003E-3</v>
      </c>
      <c r="AA44">
        <v>8.6416296500000003E-2</v>
      </c>
      <c r="AB44">
        <v>2.5837915199999999E-2</v>
      </c>
      <c r="AC44">
        <v>1.7184595899999999E-2</v>
      </c>
      <c r="AD44">
        <v>1.9854247700000001E-2</v>
      </c>
      <c r="AE44">
        <v>1.9906052E-2</v>
      </c>
      <c r="AF44">
        <v>1.8860938099999999E-2</v>
      </c>
      <c r="AG44">
        <v>3.5281509699999998E-2</v>
      </c>
      <c r="AH44">
        <v>2.06594212E-2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0196-71DF-4035-8882-E21645B1C8CC}">
  <dimension ref="B1:GO112"/>
  <sheetViews>
    <sheetView tabSelected="1" topLeftCell="FI1" workbookViewId="0">
      <selection activeCell="FI2" sqref="FI2"/>
    </sheetView>
  </sheetViews>
  <sheetFormatPr defaultColWidth="9.1796875" defaultRowHeight="11.5" x14ac:dyDescent="0.25"/>
  <cols>
    <col min="1" max="1" width="3.26953125" style="6" customWidth="1"/>
    <col min="2" max="2" width="14.26953125" style="6" customWidth="1"/>
    <col min="3" max="3" width="15.7265625" style="6" customWidth="1"/>
    <col min="4" max="4" width="20.81640625" style="6" customWidth="1"/>
    <col min="5" max="5" width="10.453125" style="6" customWidth="1"/>
    <col min="6" max="6" width="1.7265625" style="6" customWidth="1"/>
    <col min="7" max="7" width="12.7265625" style="6" customWidth="1"/>
    <col min="8" max="10" width="9.7265625" style="6" customWidth="1"/>
    <col min="11" max="11" width="12.7265625" style="6" customWidth="1"/>
    <col min="12" max="12" width="1.7265625" style="6" customWidth="1"/>
    <col min="13" max="13" width="12.7265625" style="6" customWidth="1"/>
    <col min="14" max="16" width="9.7265625" style="6" customWidth="1"/>
    <col min="17" max="17" width="12.7265625" style="6" customWidth="1"/>
    <col min="18" max="18" width="1.7265625" style="6" customWidth="1"/>
    <col min="19" max="19" width="12.7265625" style="6" customWidth="1"/>
    <col min="20" max="22" width="9.7265625" style="6" customWidth="1"/>
    <col min="23" max="23" width="12.7265625" style="6" customWidth="1"/>
    <col min="24" max="24" width="1.7265625" style="6" customWidth="1"/>
    <col min="25" max="25" width="12.7265625" style="6" customWidth="1"/>
    <col min="26" max="28" width="9.7265625" style="6" customWidth="1"/>
    <col min="29" max="29" width="12.7265625" style="6" customWidth="1"/>
    <col min="30" max="30" width="1.7265625" style="6" customWidth="1"/>
    <col min="31" max="31" width="12.7265625" style="6" customWidth="1"/>
    <col min="32" max="34" width="9.7265625" style="6" customWidth="1"/>
    <col min="35" max="35" width="12.7265625" style="6" customWidth="1"/>
    <col min="36" max="36" width="1.7265625" style="6" customWidth="1"/>
    <col min="37" max="37" width="12.7265625" style="6" customWidth="1"/>
    <col min="38" max="40" width="9.7265625" style="6" customWidth="1"/>
    <col min="41" max="41" width="12.7265625" style="6" customWidth="1"/>
    <col min="42" max="42" width="1.7265625" style="6" customWidth="1"/>
    <col min="43" max="43" width="12.7265625" style="6" customWidth="1"/>
    <col min="44" max="46" width="9.7265625" style="6" customWidth="1"/>
    <col min="47" max="47" width="12.7265625" style="6" customWidth="1"/>
    <col min="48" max="48" width="1.7265625" style="6" customWidth="1"/>
    <col min="49" max="49" width="12.7265625" style="6" customWidth="1"/>
    <col min="50" max="52" width="9.7265625" style="6" customWidth="1"/>
    <col min="53" max="53" width="12.7265625" style="6" customWidth="1"/>
    <col min="54" max="93" width="9.1796875" style="6"/>
    <col min="94" max="94" width="15.08984375" style="6" customWidth="1"/>
    <col min="95" max="16384" width="9.1796875" style="6"/>
  </cols>
  <sheetData>
    <row r="1" spans="2:197" ht="12" thickBot="1" x14ac:dyDescent="0.3">
      <c r="H1" s="6">
        <f>alpha_nov</f>
        <v>0.04</v>
      </c>
      <c r="J1" s="6">
        <f>beta_nov</f>
        <v>5.5E-2</v>
      </c>
    </row>
    <row r="2" spans="2:197" ht="15" thickBot="1" x14ac:dyDescent="0.4">
      <c r="B2" s="123" t="s">
        <v>87</v>
      </c>
      <c r="C2" s="132">
        <f xml:space="preserve"> Log10_Pathogen_Reduction</f>
        <v>2</v>
      </c>
      <c r="G2" s="82" t="str">
        <f>CONCATENATE("Site ",Site_name_1,"_inf")</f>
        <v>Site Currentmeter_inf</v>
      </c>
      <c r="I2" s="121" t="str">
        <f>CONCATENATE("Site ",Site_name_1)</f>
        <v>Site Currentmeter</v>
      </c>
      <c r="J2" s="9"/>
      <c r="K2" s="82" t="str">
        <f>CONCATENATE("Site ",Site_name_1,"_ill")</f>
        <v>Site Currentmeter_ill</v>
      </c>
      <c r="M2" s="82" t="str">
        <f>CONCATENATE("Site ",Site_name_2,"_inf")</f>
        <v>Site E1_inf</v>
      </c>
      <c r="O2" s="121" t="str">
        <f>CONCATENATE("Site ",Site_name_2)</f>
        <v>Site E1</v>
      </c>
      <c r="P2" s="9"/>
      <c r="Q2" s="82" t="str">
        <f>CONCATENATE("Site ",Site_name_2,"_ill")</f>
        <v>Site E1_ill</v>
      </c>
      <c r="S2" s="82" t="str">
        <f>CONCATENATE("Site ",Site_name_3,"_inf")</f>
        <v>Site E10_inf</v>
      </c>
      <c r="U2" s="121" t="str">
        <f>CONCATENATE("Site ",Site_name_3)</f>
        <v>Site E10</v>
      </c>
      <c r="V2" s="9"/>
      <c r="W2" s="82" t="str">
        <f>CONCATENATE("Site ",Site_name_3,"_ill")</f>
        <v>Site E10_ill</v>
      </c>
      <c r="Y2" s="82" t="str">
        <f>CONCATENATE("Site ",Site_name_4,"_inf")</f>
        <v>Site E11_inf</v>
      </c>
      <c r="AA2" s="121" t="str">
        <f>CONCATENATE("Site ",Site_name_4)</f>
        <v>Site E11</v>
      </c>
      <c r="AB2" s="9"/>
      <c r="AC2" s="82" t="str">
        <f>CONCATENATE("Site ",Site_name_4,"_ill")</f>
        <v>Site E11_ill</v>
      </c>
      <c r="AE2" s="82" t="str">
        <f>CONCATENATE("Site ",Site_name_5,"_inf")</f>
        <v>Site E12_inf</v>
      </c>
      <c r="AG2" s="121" t="str">
        <f>CONCATENATE("Site ",Site_name_5)</f>
        <v>Site E12</v>
      </c>
      <c r="AH2" s="9"/>
      <c r="AI2" s="82" t="str">
        <f>CONCATENATE("Site ",Site_name_5,"_ill")</f>
        <v>Site E12_ill</v>
      </c>
      <c r="AK2" s="82" t="str">
        <f>CONCATENATE("Site ",Site_name_6,"_inf")</f>
        <v>Site E2_inf</v>
      </c>
      <c r="AM2" s="121" t="str">
        <f>CONCATENATE("Site ",Site_name_6)</f>
        <v>Site E2</v>
      </c>
      <c r="AN2" s="9"/>
      <c r="AO2" s="82" t="str">
        <f>CONCATENATE("Site ",Site_name_6,"_ill")</f>
        <v>Site E2_ill</v>
      </c>
      <c r="AQ2" s="82" t="str">
        <f>CONCATENATE("Site ",Site_name_7,"_inf")</f>
        <v>Site E3_inf</v>
      </c>
      <c r="AS2" s="121" t="str">
        <f>CONCATENATE("Site ",Site_name_7)</f>
        <v>Site E3</v>
      </c>
      <c r="AT2" s="9"/>
      <c r="AU2" s="82" t="str">
        <f>CONCATENATE("Site ",Site_name_7,"_ill")</f>
        <v>Site E3_ill</v>
      </c>
      <c r="AW2" s="82" t="str">
        <f>CONCATENATE("Site ",Site_name_8,"_inf")</f>
        <v>Site E4_inf</v>
      </c>
      <c r="AY2" s="121" t="str">
        <f>CONCATENATE("Site ",Site_name_8)</f>
        <v>Site E4</v>
      </c>
      <c r="AZ2" s="9"/>
      <c r="BA2" s="82" t="str">
        <f>CONCATENATE("Site ",Site_name_8,"_ill")</f>
        <v>Site E4_ill</v>
      </c>
      <c r="BC2" s="82" t="str">
        <f>CONCATENATE("Site ",Site_name_9,"_inf")</f>
        <v>Site E5_inf</v>
      </c>
      <c r="BE2" s="121" t="str">
        <f>CONCATENATE("Site ",Site_name_9)</f>
        <v>Site E5</v>
      </c>
      <c r="BF2" s="9"/>
      <c r="BG2" s="82" t="str">
        <f>CONCATENATE("Site ",Site_name_9,"_ill")</f>
        <v>Site E5_ill</v>
      </c>
      <c r="BI2" s="82" t="str">
        <f>CONCATENATE("Site ",Site_name_10,"_inf")</f>
        <v>Site E6_inf</v>
      </c>
      <c r="BK2" s="121" t="str">
        <f>CONCATENATE("Site ",Site_name_10)</f>
        <v>Site E6</v>
      </c>
      <c r="BL2" s="9"/>
      <c r="BM2" s="82" t="str">
        <f>CONCATENATE("Site ",Site_name_10,"_ill")</f>
        <v>Site E6_ill</v>
      </c>
      <c r="BO2" s="82" t="str">
        <f>CONCATENATE("Site ",Site_name_11,"_inf")</f>
        <v>Site E7_inf</v>
      </c>
      <c r="BQ2" s="121" t="str">
        <f>CONCATENATE("Site ",Site_name_11)</f>
        <v>Site E7</v>
      </c>
      <c r="BR2" s="9"/>
      <c r="BS2" s="82" t="str">
        <f>CONCATENATE("Site ",Site_name_11,"_ill")</f>
        <v>Site E7_ill</v>
      </c>
      <c r="BU2" s="82" t="str">
        <f>CONCATENATE("Site ",Site_name_12,"_inf")</f>
        <v>Site E8_inf</v>
      </c>
      <c r="BW2" s="121" t="str">
        <f>CONCATENATE("Site ",Site_name_12)</f>
        <v>Site E8</v>
      </c>
      <c r="BX2" s="9"/>
      <c r="BY2" s="82" t="str">
        <f>CONCATENATE("Site ",Site_name_12,"_ill")</f>
        <v>Site E8_ill</v>
      </c>
      <c r="CA2" s="82" t="str">
        <f>CONCATENATE("Site ",Site_name_13,"_inf")</f>
        <v>Site E9_inf</v>
      </c>
      <c r="CC2" s="121" t="str">
        <f>CONCATENATE("Site ",Site_name_13)</f>
        <v>Site E9</v>
      </c>
      <c r="CD2" s="9"/>
      <c r="CE2" s="82" t="str">
        <f>CONCATENATE("Site ",Site_name_13,"_ill")</f>
        <v>Site E9_ill</v>
      </c>
      <c r="CG2" s="82" t="str">
        <f>CONCATENATE("Site ",Site_name_14,"_inf")</f>
        <v>Site Inshore_inf</v>
      </c>
      <c r="CI2" s="121" t="str">
        <f>CONCATENATE("Site ",Site_name_14)</f>
        <v>Site Inshore</v>
      </c>
      <c r="CJ2" s="9"/>
      <c r="CK2" s="82" t="str">
        <f>CONCATENATE("Site ",Site_name_14,"_ill")</f>
        <v>Site Inshore_ill</v>
      </c>
      <c r="CM2" s="82" t="str">
        <f>CONCATENATE("Site ",Site_name_15,"_inf")</f>
        <v>Site W1_inf</v>
      </c>
      <c r="CO2" s="121" t="str">
        <f>CONCATENATE("Site ",Site_name_15)</f>
        <v>Site W1</v>
      </c>
      <c r="CP2" s="9"/>
      <c r="CQ2" s="82" t="str">
        <f>CONCATENATE("Site ",Site_name_15,"_ill")</f>
        <v>Site W1_ill</v>
      </c>
      <c r="CS2" s="82" t="str">
        <f>CONCATENATE("Site ",Site_name_16,"_inf")</f>
        <v>Site W10_inf</v>
      </c>
      <c r="CU2" s="121" t="str">
        <f>CONCATENATE("Site ",Site_name_16)</f>
        <v>Site W10</v>
      </c>
      <c r="CV2" s="9"/>
      <c r="CW2" s="82" t="str">
        <f>CONCATENATE("Site ",Site_name_16,"_ill")</f>
        <v>Site W10_ill</v>
      </c>
      <c r="CY2" s="82" t="str">
        <f>CONCATENATE("Site ",Site_name_17,"_inf")</f>
        <v>Site W11_inf</v>
      </c>
      <c r="DA2" s="121" t="str">
        <f>CONCATENATE("Site ",Site_name_17)</f>
        <v>Site W11</v>
      </c>
      <c r="DB2" s="9"/>
      <c r="DC2" s="82" t="str">
        <f>CONCATENATE("Site ",Site_name_17,"_ill")</f>
        <v>Site W11_ill</v>
      </c>
      <c r="DE2" s="82" t="str">
        <f>CONCATENATE("Site ",Site_name_18,"_inf")</f>
        <v>Site W12_inf</v>
      </c>
      <c r="DG2" s="121" t="str">
        <f>CONCATENATE("Site ",Site_name_18)</f>
        <v>Site W12</v>
      </c>
      <c r="DH2" s="9"/>
      <c r="DI2" s="82" t="str">
        <f>CONCATENATE("Site ",Site_name_18,"_ill")</f>
        <v>Site W12_ill</v>
      </c>
      <c r="DK2" s="82" t="str">
        <f>CONCATENATE("Site ",Site_name_19,"_inf")</f>
        <v>Site W13_inf</v>
      </c>
      <c r="DM2" s="121" t="str">
        <f>CONCATENATE("Site ",Site_name_19)</f>
        <v>Site W13</v>
      </c>
      <c r="DN2" s="9"/>
      <c r="DO2" s="82" t="str">
        <f>CONCATENATE("Site ",Site_name_19,"_ill")</f>
        <v>Site W13_ill</v>
      </c>
      <c r="DQ2" s="82" t="str">
        <f>CONCATENATE("Site ",Site_name_20,"_inf")</f>
        <v>Site W14_inf</v>
      </c>
      <c r="DS2" s="121" t="str">
        <f>CONCATENATE("Site ",Site_name_20)</f>
        <v>Site W14</v>
      </c>
      <c r="DT2" s="9"/>
      <c r="DU2" s="82" t="str">
        <f>CONCATENATE("Site ",Site_name_20,"_ill")</f>
        <v>Site W14_ill</v>
      </c>
      <c r="DW2" s="82" t="str" cm="1">
        <f t="array" ref="DW2">CONCATENATE("Site ",Site_name_21,"_inf")</f>
        <v>Site W15_inf</v>
      </c>
      <c r="DY2" s="121" t="str" cm="1">
        <f t="array" ref="DY2">CONCATENATE("Site ",Site_name_21)</f>
        <v>Site W15</v>
      </c>
      <c r="DZ2" s="9"/>
      <c r="EA2" s="82" t="str" cm="1">
        <f t="array" ref="EA2">CONCATENATE("Site ",Site_name_21,"_ill")</f>
        <v>Site W15_ill</v>
      </c>
      <c r="EC2" s="82" t="str">
        <f>CONCATENATE("Site ",Site_name_22,"_inf")</f>
        <v>Site W16_inf</v>
      </c>
      <c r="EE2" s="121" t="str">
        <f>CONCATENATE("Site ",Site_name_22)</f>
        <v>Site W16</v>
      </c>
      <c r="EF2" s="9"/>
      <c r="EG2" s="82" t="str">
        <f>CONCATENATE("Site ",Site_name_22,"_ill")</f>
        <v>Site W16_ill</v>
      </c>
      <c r="EI2" s="82" t="str" cm="1">
        <f t="array" ref="EI2">CONCATENATE("Site ",Site_name_23,"_inf")</f>
        <v>Site W17_inf</v>
      </c>
      <c r="EK2" s="121" t="str" cm="1">
        <f t="array" ref="EK2">CONCATENATE("Site ",Site_name_23)</f>
        <v>Site W17</v>
      </c>
      <c r="EL2" s="9"/>
      <c r="EM2" s="82" t="str" cm="1">
        <f t="array" ref="EM2">CONCATENATE("Site ",Site_name_23,"_ill")</f>
        <v>Site W17_ill</v>
      </c>
      <c r="EO2" s="82" t="str">
        <f>CONCATENATE("Site ",Site_name_24,"_inf")</f>
        <v>Site W18_inf</v>
      </c>
      <c r="EQ2" s="121" t="str">
        <f>CONCATENATE("Site ",Site_name_24)</f>
        <v>Site W18</v>
      </c>
      <c r="ER2" s="9"/>
      <c r="ES2" s="82" t="str">
        <f>CONCATENATE("Site ",Site_name_24,"_ill")</f>
        <v>Site W18_ill</v>
      </c>
      <c r="EU2" s="82" t="str">
        <f>CONCATENATE("Site ",Site_name_25,"_inf")</f>
        <v>Site W2_inf</v>
      </c>
      <c r="EW2" s="121" t="str">
        <f>CONCATENATE("Site ",Site_name_25)</f>
        <v>Site W2</v>
      </c>
      <c r="EX2" s="9"/>
      <c r="EY2" s="82" t="str">
        <f>CONCATENATE("Site ",Site_name_25,"_ill")</f>
        <v>Site W2_ill</v>
      </c>
      <c r="FA2" s="82" t="str">
        <f>CONCATENATE("Site ",Site_name_26,"_inf")</f>
        <v>Site W3_inf</v>
      </c>
      <c r="FC2" s="121" t="str">
        <f>CONCATENATE("Site ",Site_name_26)</f>
        <v>Site W3</v>
      </c>
      <c r="FD2" s="9"/>
      <c r="FE2" s="82" t="str">
        <f>CONCATENATE("Site ",Site_name_26,"_ill")</f>
        <v>Site W3_ill</v>
      </c>
      <c r="FG2" s="82" t="str">
        <f>CONCATENATE("Site ",Site_name_27,"_inf")</f>
        <v>Site W4_inf</v>
      </c>
      <c r="FI2" s="121" t="str">
        <f>CONCATENATE("Site ",Site_name_27)</f>
        <v>Site W4</v>
      </c>
      <c r="FJ2" s="9"/>
      <c r="FK2" s="82" t="str">
        <f>CONCATENATE("Site ",Site_name_27,"_ill")</f>
        <v>Site W4_ill</v>
      </c>
      <c r="FM2" s="82" t="str" cm="1">
        <f t="array" ref="FM2">CONCATENATE("Site ",Site_name_28,"_inf")</f>
        <v>Site W5_inf</v>
      </c>
      <c r="FO2" s="121" t="str" cm="1">
        <f t="array" ref="FO2">CONCATENATE("Site ",Site_name_28)</f>
        <v>Site W5</v>
      </c>
      <c r="FP2" s="9"/>
      <c r="FQ2" s="82" t="str" cm="1">
        <f t="array" ref="FQ2">CONCATENATE("Site ",Site_name_28,"_ill")</f>
        <v>Site W5_ill</v>
      </c>
      <c r="FS2" s="82" t="str">
        <f>CONCATENATE("Site ",Site_name_29,"_inf")</f>
        <v>Site W6_inf</v>
      </c>
      <c r="FU2" s="121" t="str">
        <f>CONCATENATE("Site ",Site_name_29)</f>
        <v>Site W6</v>
      </c>
      <c r="FV2" s="9"/>
      <c r="FW2" s="82" t="str">
        <f>CONCATENATE("Site ",Site_name_29,"_ill")</f>
        <v>Site W6_ill</v>
      </c>
      <c r="FY2" s="82" t="str">
        <f>CONCATENATE("Site ",Site_name_30,"_inf")</f>
        <v>Site W7_inf</v>
      </c>
      <c r="GA2" s="121" t="str">
        <f>CONCATENATE("Site ",Site_name_30)</f>
        <v>Site W7</v>
      </c>
      <c r="GB2" s="9"/>
      <c r="GC2" s="82" t="str">
        <f>CONCATENATE("Site ",Site_name_30,"_ill")</f>
        <v>Site W7_ill</v>
      </c>
      <c r="GE2" s="82" t="str">
        <f>CONCATENATE("Site ",Site_name_31,"_inf")</f>
        <v>Site W8_inf</v>
      </c>
      <c r="GG2" s="121" t="str">
        <f>CONCATENATE("Site ",Site_name_31)</f>
        <v>Site W8</v>
      </c>
      <c r="GH2" s="9"/>
      <c r="GI2" s="82" t="str">
        <f>CONCATENATE("Site ",Site_name_31,"_ill")</f>
        <v>Site W8_ill</v>
      </c>
      <c r="GK2" s="82" t="str">
        <f>CONCATENATE("Site ",Site_name_32,"_inf")</f>
        <v>Site W9_inf</v>
      </c>
      <c r="GM2" s="121" t="str">
        <f>CONCATENATE("Site ",Site_name_32)</f>
        <v>Site W9</v>
      </c>
      <c r="GN2" s="9"/>
      <c r="GO2" s="82" t="str">
        <f>CONCATENATE("Site ",Site_name_32,"_ill")</f>
        <v>Site W9_ill</v>
      </c>
    </row>
    <row r="3" spans="2:197" ht="13" thickBot="1" x14ac:dyDescent="0.3">
      <c r="B3" s="14"/>
      <c r="C3" s="96"/>
      <c r="D3" s="7"/>
      <c r="E3" s="149"/>
      <c r="G3" s="17"/>
      <c r="H3" s="119"/>
      <c r="I3" s="18" t="str">
        <f>CONCATENATE("Noro Conc at ",I2," (/L) =")</f>
        <v>Noro Conc at Site Currentmeter (/L) =</v>
      </c>
      <c r="J3" s="122" t="e" cm="1">
        <f t="array" aca="1" ref="J3" ca="1">Random_effluent_nor_conc*Pathogen_Conc_Site_1</f>
        <v>#NAME?</v>
      </c>
      <c r="K3" s="120"/>
      <c r="L3" s="105"/>
      <c r="M3" s="17"/>
      <c r="N3" s="119"/>
      <c r="O3" s="18" t="str">
        <f>CONCATENATE("Noro Conc at ",O2," (/L) =")</f>
        <v>Noro Conc at Site E1 (/L) =</v>
      </c>
      <c r="P3" s="122" t="e" cm="1">
        <f t="array" aca="1" ref="P3" ca="1">Random_effluent_nor_conc*Pathogen_Conc_Site_2</f>
        <v>#NAME?</v>
      </c>
      <c r="Q3" s="120"/>
      <c r="R3" s="105"/>
      <c r="S3" s="17"/>
      <c r="T3" s="119"/>
      <c r="U3" s="18" t="str">
        <f>CONCATENATE("Noro Conc at ",U2," (/L) =")</f>
        <v>Noro Conc at Site E10 (/L) =</v>
      </c>
      <c r="V3" s="122" t="e">
        <f ca="1">Random_effluent_nor_conc*Pathogen_Conc_site_3</f>
        <v>#NAME?</v>
      </c>
      <c r="W3" s="120"/>
      <c r="X3" s="105"/>
      <c r="Y3" s="17"/>
      <c r="Z3" s="119"/>
      <c r="AA3" s="18" t="str">
        <f>CONCATENATE("Noro Conc at ",AA2," (/L) =")</f>
        <v>Noro Conc at Site E11 (/L) =</v>
      </c>
      <c r="AB3" s="122" t="e">
        <f ca="1">Random_effluent_nor_conc*Pathogen_Conc_Site_4</f>
        <v>#NAME?</v>
      </c>
      <c r="AC3" s="120"/>
      <c r="AD3" s="105"/>
      <c r="AE3" s="17"/>
      <c r="AF3" s="119"/>
      <c r="AG3" s="18" t="str">
        <f>CONCATENATE("Noro Conc at ",AG2," (/L) =")</f>
        <v>Noro Conc at Site E12 (/L) =</v>
      </c>
      <c r="AH3" s="122" t="e">
        <f ca="1">Random_effluent_nor_conc*Pathogen_Conc_Site_5</f>
        <v>#NAME?</v>
      </c>
      <c r="AI3" s="120"/>
      <c r="AJ3" s="105"/>
      <c r="AK3" s="17"/>
      <c r="AL3" s="119"/>
      <c r="AM3" s="18" t="str">
        <f>CONCATENATE("Noro Conc at ",AM2," (/L) =")</f>
        <v>Noro Conc at Site E2 (/L) =</v>
      </c>
      <c r="AN3" s="122" t="e">
        <f ca="1">Random_effluent_nor_conc*Pathogen_Conc_Site_6</f>
        <v>#NAME?</v>
      </c>
      <c r="AO3" s="120"/>
      <c r="AP3" s="105"/>
      <c r="AQ3" s="17"/>
      <c r="AR3" s="119"/>
      <c r="AS3" s="18" t="str">
        <f>CONCATENATE("Noro Conc at ",AS2," (/L) =")</f>
        <v>Noro Conc at Site E3 (/L) =</v>
      </c>
      <c r="AT3" s="122" t="e" cm="1">
        <f t="array" aca="1" ref="AT3" ca="1">Random_effluent_nor_conc*Pathogen_Conc_Site_7</f>
        <v>#NAME?</v>
      </c>
      <c r="AU3" s="120"/>
      <c r="AV3" s="105"/>
      <c r="AW3" s="17"/>
      <c r="AX3" s="119"/>
      <c r="AY3" s="18" t="str">
        <f>CONCATENATE("Noro Conc at ",AY2," (/L) =")</f>
        <v>Noro Conc at Site E4 (/L) =</v>
      </c>
      <c r="AZ3" s="122" t="e">
        <f ca="1">Random_effluent_nor_conc*Pathogen_Conc_Site_8</f>
        <v>#NAME?</v>
      </c>
      <c r="BA3" s="120"/>
      <c r="BC3" s="17"/>
      <c r="BD3" s="119"/>
      <c r="BE3" s="18" t="str">
        <f>CONCATENATE("Noro Conc at ",BE2," (/L) =")</f>
        <v>Noro Conc at Site E5 (/L) =</v>
      </c>
      <c r="BF3" s="122" t="e" cm="1">
        <f t="array" aca="1" ref="BF3" ca="1">Random_effluent_nor_conc*Pathogen_Conc_Site_9</f>
        <v>#NAME?</v>
      </c>
      <c r="BG3" s="120"/>
      <c r="BI3" s="17"/>
      <c r="BJ3" s="119"/>
      <c r="BK3" s="18" t="str">
        <f>CONCATENATE("Noro Conc at ",BK2," (/L) =")</f>
        <v>Noro Conc at Site E6 (/L) =</v>
      </c>
      <c r="BL3" s="122" t="e" cm="1">
        <f t="array" aca="1" ref="BL3" ca="1">Random_effluent_nor_conc*Pathogen_Conc_Site_10</f>
        <v>#NAME?</v>
      </c>
      <c r="BM3" s="120"/>
      <c r="BO3" s="17"/>
      <c r="BP3" s="119"/>
      <c r="BQ3" s="18" t="str">
        <f>CONCATENATE("Noro Conc at ",BQ2," (/L) =")</f>
        <v>Noro Conc at Site E7 (/L) =</v>
      </c>
      <c r="BR3" s="122" t="e" cm="1">
        <f t="array" aca="1" ref="BR3" ca="1">Random_effluent_nor_conc*Pathogen_Conc_Site_11</f>
        <v>#NAME?</v>
      </c>
      <c r="BS3" s="120"/>
      <c r="BU3" s="17"/>
      <c r="BV3" s="119"/>
      <c r="BW3" s="18" t="str">
        <f>CONCATENATE("Noro Conc at ",BW2," (/L) =")</f>
        <v>Noro Conc at Site E8 (/L) =</v>
      </c>
      <c r="BX3" s="122" t="e" cm="1">
        <f t="array" aca="1" ref="BX3" ca="1">Random_effluent_nor_conc*Pathogen_Conc_Site_12</f>
        <v>#NAME?</v>
      </c>
      <c r="BY3" s="120"/>
      <c r="CA3" s="17"/>
      <c r="CB3" s="119"/>
      <c r="CC3" s="18" t="str">
        <f>CONCATENATE("Noro Conc at ",CC2," (/L) =")</f>
        <v>Noro Conc at Site E9 (/L) =</v>
      </c>
      <c r="CD3" s="122" t="e" cm="1">
        <f t="array" aca="1" ref="CD3" ca="1">Random_effluent_nor_conc*Pathogen_Conc_Site_13</f>
        <v>#NAME?</v>
      </c>
      <c r="CE3" s="120"/>
      <c r="CG3" s="17"/>
      <c r="CH3" s="119"/>
      <c r="CI3" s="18" t="str">
        <f>CONCATENATE("Noro Conc at ",CI2," (/L) =")</f>
        <v>Noro Conc at Site Inshore (/L) =</v>
      </c>
      <c r="CJ3" s="122" t="e" cm="1">
        <f t="array" aca="1" ref="CJ3" ca="1">Random_effluent_nor_conc*Pathogen_Conc_Site_14</f>
        <v>#NAME?</v>
      </c>
      <c r="CK3" s="120"/>
      <c r="CM3" s="17"/>
      <c r="CN3" s="119"/>
      <c r="CO3" s="18" t="str">
        <f>CONCATENATE("Noro Conc at ",CO2," (/L) =")</f>
        <v>Noro Conc at Site W1 (/L) =</v>
      </c>
      <c r="CP3" s="122" t="e" cm="1">
        <f t="array" aca="1" ref="CP3" ca="1">Random_effluent_nor_conc*Pathogen_Conc_Site_15</f>
        <v>#NAME?</v>
      </c>
      <c r="CQ3" s="120"/>
      <c r="CS3" s="17"/>
      <c r="CT3" s="119"/>
      <c r="CU3" s="18" t="str">
        <f>CONCATENATE("Noro Conc at ",CU2," (/L) =")</f>
        <v>Noro Conc at Site W10 (/L) =</v>
      </c>
      <c r="CV3" s="122" t="e" cm="1">
        <f t="array" aca="1" ref="CV3" ca="1">Random_effluent_nor_conc*Pathogen_Conc_Site_16</f>
        <v>#NAME?</v>
      </c>
      <c r="CW3" s="120"/>
      <c r="CY3" s="17"/>
      <c r="CZ3" s="119"/>
      <c r="DA3" s="18" t="str">
        <f>CONCATENATE("Noro Conc at ",DA2," (/L) =")</f>
        <v>Noro Conc at Site W11 (/L) =</v>
      </c>
      <c r="DB3" s="122" t="e" cm="1">
        <f t="array" aca="1" ref="DB3" ca="1">Random_effluent_nor_conc*Pathogen_Conc_Site_17</f>
        <v>#NAME?</v>
      </c>
      <c r="DC3" s="120"/>
      <c r="DE3" s="17"/>
      <c r="DF3" s="119"/>
      <c r="DG3" s="18" t="str">
        <f>CONCATENATE("Noro Conc at ",DG2," (/L) =")</f>
        <v>Noro Conc at Site W12 (/L) =</v>
      </c>
      <c r="DH3" s="122" t="e" cm="1">
        <f t="array" aca="1" ref="DH3" ca="1">Random_effluent_nor_conc*Pathogen_Conc_Site_18</f>
        <v>#NAME?</v>
      </c>
      <c r="DI3" s="120"/>
      <c r="DK3" s="17"/>
      <c r="DL3" s="119"/>
      <c r="DM3" s="18" t="str">
        <f>CONCATENATE("Noro Conc at ",DM2," (/L) =")</f>
        <v>Noro Conc at Site W13 (/L) =</v>
      </c>
      <c r="DN3" s="122" t="e" cm="1">
        <f t="array" aca="1" ref="DN3" ca="1">Random_effluent_nor_conc*Pathogen_Conc_Site_19</f>
        <v>#NAME?</v>
      </c>
      <c r="DO3" s="120"/>
      <c r="DQ3" s="17"/>
      <c r="DR3" s="119"/>
      <c r="DS3" s="18" t="str">
        <f>CONCATENATE("Noro Conc at ",DS2," (/L) =")</f>
        <v>Noro Conc at Site W14 (/L) =</v>
      </c>
      <c r="DT3" s="122" t="e" cm="1">
        <f t="array" aca="1" ref="DT3" ca="1">Random_effluent_nor_conc*Pathogen_Conc_Site_20</f>
        <v>#NAME?</v>
      </c>
      <c r="DU3" s="120"/>
      <c r="DW3" s="17"/>
      <c r="DX3" s="119"/>
      <c r="DY3" s="18" t="str">
        <f>CONCATENATE("Noro Conc at ",DY2," (/L) =")</f>
        <v>Noro Conc at Site W15 (/L) =</v>
      </c>
      <c r="DZ3" s="122" t="e" cm="1">
        <f t="array" aca="1" ref="DZ3" ca="1">Random_effluent_nor_conc*Pathogen_Conc_Site_21</f>
        <v>#NAME?</v>
      </c>
      <c r="EA3" s="120"/>
      <c r="EC3" s="17"/>
      <c r="ED3" s="119"/>
      <c r="EE3" s="18" t="str">
        <f>CONCATENATE("Noro Conc at ",EE2," (/L) =")</f>
        <v>Noro Conc at Site W16 (/L) =</v>
      </c>
      <c r="EF3" s="122" t="e" cm="1">
        <f t="array" aca="1" ref="EF3" ca="1">Random_effluent_nor_conc*Pathogen_Conc_Site_22</f>
        <v>#NAME?</v>
      </c>
      <c r="EG3" s="120"/>
      <c r="EI3" s="17"/>
      <c r="EJ3" s="119"/>
      <c r="EK3" s="18" t="str">
        <f>CONCATENATE("Noro Conc at ",EK2," (/L) =")</f>
        <v>Noro Conc at Site W17 (/L) =</v>
      </c>
      <c r="EL3" s="122" t="e" cm="1">
        <f t="array" aca="1" ref="EL3" ca="1">Random_effluent_nor_conc*Pathogen_Conc_Site_23</f>
        <v>#NAME?</v>
      </c>
      <c r="EM3" s="120"/>
      <c r="EO3" s="17"/>
      <c r="EP3" s="119"/>
      <c r="EQ3" s="18" t="str">
        <f>CONCATENATE("Noro Conc at ",EQ2," (/L) =")</f>
        <v>Noro Conc at Site W18 (/L) =</v>
      </c>
      <c r="ER3" s="122" t="e" cm="1">
        <f t="array" aca="1" ref="ER3" ca="1">Random_effluent_nor_conc*Pathogen_Conc_Site_24</f>
        <v>#NAME?</v>
      </c>
      <c r="ES3" s="120"/>
      <c r="EU3" s="17"/>
      <c r="EV3" s="119"/>
      <c r="EW3" s="18" t="str">
        <f>CONCATENATE("Noro Conc at ",EW2," (/L) =")</f>
        <v>Noro Conc at Site W2 (/L) =</v>
      </c>
      <c r="EX3" s="122" t="e" cm="1">
        <f t="array" aca="1" ref="EX3" ca="1">Random_effluent_nor_conc*Pathogen_Conc_Site_25</f>
        <v>#NAME?</v>
      </c>
      <c r="EY3" s="120"/>
      <c r="FA3" s="17"/>
      <c r="FB3" s="119"/>
      <c r="FC3" s="18" t="str">
        <f>CONCATENATE("Noro Conc at ",FC2," (/L) =")</f>
        <v>Noro Conc at Site W3 (/L) =</v>
      </c>
      <c r="FD3" s="122" t="e" cm="1">
        <f t="array" aca="1" ref="FD3" ca="1">Random_effluent_nor_conc*Pathogen_Conc_Site_26</f>
        <v>#NAME?</v>
      </c>
      <c r="FE3" s="120"/>
      <c r="FG3" s="17"/>
      <c r="FH3" s="119"/>
      <c r="FI3" s="18" t="str">
        <f>CONCATENATE("Noro Conc at ",FI2," (/L) =")</f>
        <v>Noro Conc at Site W4 (/L) =</v>
      </c>
      <c r="FJ3" s="122" t="e" cm="1">
        <f t="array" aca="1" ref="FJ3" ca="1">Random_effluent_nor_conc*Pathogen_Conc_Site_27</f>
        <v>#NAME?</v>
      </c>
      <c r="FK3" s="120"/>
      <c r="FM3" s="17"/>
      <c r="FN3" s="119"/>
      <c r="FO3" s="18" t="str">
        <f>CONCATENATE("Noro Conc at ",FO2," (/L) =")</f>
        <v>Noro Conc at Site W5 (/L) =</v>
      </c>
      <c r="FP3" s="122" t="e" cm="1">
        <f t="array" aca="1" ref="FP3" ca="1">Random_effluent_nor_conc*Pathogen_Conc_Site_28</f>
        <v>#NAME?</v>
      </c>
      <c r="FQ3" s="120"/>
      <c r="FS3" s="17"/>
      <c r="FT3" s="119"/>
      <c r="FU3" s="18" t="str">
        <f>CONCATENATE("Noro Conc at ",FU2," (/L) =")</f>
        <v>Noro Conc at Site W6 (/L) =</v>
      </c>
      <c r="FV3" s="122" t="e" cm="1">
        <f t="array" aca="1" ref="FV3" ca="1">Random_effluent_nor_conc*Pathogen_Conc_Site_29</f>
        <v>#NAME?</v>
      </c>
      <c r="FW3" s="120"/>
      <c r="FY3" s="17"/>
      <c r="FZ3" s="119"/>
      <c r="GA3" s="18" t="str">
        <f>CONCATENATE("Noro Conc at ",GA2," (/L) =")</f>
        <v>Noro Conc at Site W7 (/L) =</v>
      </c>
      <c r="GB3" s="122" t="e" cm="1">
        <f t="array" aca="1" ref="GB3" ca="1">Random_effluent_nor_conc*Pathogen_Conc_Site_30</f>
        <v>#NAME?</v>
      </c>
      <c r="GC3" s="120"/>
      <c r="GE3" s="17"/>
      <c r="GF3" s="119"/>
      <c r="GG3" s="18" t="str">
        <f>CONCATENATE("Noro Conc at ",GG2," (/L) =")</f>
        <v>Noro Conc at Site W8 (/L) =</v>
      </c>
      <c r="GH3" s="122" t="e" cm="1">
        <f t="array" aca="1" ref="GH3" ca="1">Random_effluent_nor_conc*Pathogen_Conc_Site_31</f>
        <v>#NAME?</v>
      </c>
      <c r="GI3" s="120"/>
      <c r="GK3" s="17"/>
      <c r="GL3" s="119"/>
      <c r="GM3" s="18" t="str">
        <f>CONCATENATE("Noro Conc at ",GM2," (/L) =")</f>
        <v>Noro Conc at Site W9 (/L) =</v>
      </c>
      <c r="GN3" s="122" t="e" cm="1">
        <f t="array" aca="1" ref="GN3" ca="1">Random_effluent_nor_conc * Pathogen_Conc_Site_32</f>
        <v>#NAME?</v>
      </c>
      <c r="GO3" s="120"/>
    </row>
    <row r="4" spans="2:197" ht="12" thickBot="1" x14ac:dyDescent="0.3">
      <c r="B4" s="75"/>
      <c r="C4" s="76"/>
      <c r="D4" s="97"/>
      <c r="E4" s="151"/>
      <c r="F4" s="20"/>
      <c r="G4" s="20"/>
      <c r="H4" s="20"/>
      <c r="I4" s="20"/>
      <c r="J4" s="82"/>
      <c r="K4" s="20"/>
      <c r="M4" s="20"/>
      <c r="N4" s="20"/>
      <c r="O4" s="20"/>
      <c r="P4" s="82"/>
      <c r="Q4" s="20"/>
      <c r="S4" s="20"/>
      <c r="T4" s="20"/>
      <c r="U4" s="20"/>
      <c r="V4" s="82"/>
      <c r="W4" s="20"/>
      <c r="Y4" s="20"/>
      <c r="Z4" s="20"/>
      <c r="AA4" s="20"/>
      <c r="AB4" s="82"/>
      <c r="AC4" s="20"/>
      <c r="AE4" s="20"/>
      <c r="AF4" s="20"/>
      <c r="AG4" s="20"/>
      <c r="AH4" s="82"/>
      <c r="AI4" s="20"/>
      <c r="AK4" s="20"/>
      <c r="AL4" s="20"/>
      <c r="AM4" s="20"/>
      <c r="AN4" s="82"/>
      <c r="AO4" s="20"/>
      <c r="AQ4" s="20"/>
      <c r="AR4" s="20"/>
      <c r="AS4" s="20"/>
      <c r="AT4" s="82"/>
      <c r="AU4" s="20"/>
      <c r="AW4" s="20"/>
      <c r="AX4" s="20"/>
      <c r="AY4" s="20"/>
      <c r="AZ4" s="82"/>
      <c r="BA4" s="20"/>
      <c r="BC4" s="20"/>
      <c r="BD4" s="20"/>
      <c r="BE4" s="20"/>
      <c r="BF4" s="82"/>
      <c r="BG4" s="20"/>
      <c r="BI4" s="20"/>
      <c r="BJ4" s="20"/>
      <c r="BK4" s="20"/>
      <c r="BL4" s="82"/>
      <c r="BM4" s="20"/>
      <c r="BO4" s="20"/>
      <c r="BP4" s="20"/>
      <c r="BQ4" s="20"/>
      <c r="BR4" s="82"/>
      <c r="BS4" s="20"/>
      <c r="BU4" s="20"/>
      <c r="BV4" s="20"/>
      <c r="BW4" s="20"/>
      <c r="BX4" s="82"/>
      <c r="BY4" s="20"/>
      <c r="CA4" s="20"/>
      <c r="CB4" s="20"/>
      <c r="CC4" s="20"/>
      <c r="CD4" s="82"/>
      <c r="CE4" s="20"/>
      <c r="CG4" s="20"/>
      <c r="CH4" s="20"/>
      <c r="CI4" s="20"/>
      <c r="CJ4" s="82"/>
      <c r="CK4" s="20"/>
      <c r="CM4" s="20"/>
      <c r="CN4" s="20"/>
      <c r="CO4" s="20"/>
      <c r="CP4" s="82"/>
      <c r="CQ4" s="20"/>
      <c r="CS4" s="20"/>
      <c r="CT4" s="20"/>
      <c r="CU4" s="20"/>
      <c r="CV4" s="82"/>
      <c r="CW4" s="20"/>
      <c r="CY4" s="20"/>
      <c r="CZ4" s="20"/>
      <c r="DA4" s="20"/>
      <c r="DB4" s="82"/>
      <c r="DC4" s="20"/>
      <c r="DE4" s="20"/>
      <c r="DF4" s="20"/>
      <c r="DG4" s="20"/>
      <c r="DH4" s="82"/>
      <c r="DI4" s="20"/>
      <c r="DK4" s="20"/>
      <c r="DL4" s="20"/>
      <c r="DM4" s="20"/>
      <c r="DN4" s="82"/>
      <c r="DO4" s="20"/>
      <c r="DQ4" s="20"/>
      <c r="DR4" s="20"/>
      <c r="DS4" s="20"/>
      <c r="DT4" s="82"/>
      <c r="DU4" s="20"/>
      <c r="DW4" s="20"/>
      <c r="DX4" s="20"/>
      <c r="DY4" s="20"/>
      <c r="DZ4" s="82"/>
      <c r="EA4" s="20"/>
      <c r="EC4" s="20"/>
      <c r="ED4" s="20"/>
      <c r="EE4" s="20"/>
      <c r="EF4" s="82"/>
      <c r="EG4" s="20"/>
      <c r="EI4" s="20"/>
      <c r="EJ4" s="20"/>
      <c r="EK4" s="20"/>
      <c r="EL4" s="82"/>
      <c r="EM4" s="20"/>
      <c r="EO4" s="20"/>
      <c r="EP4" s="20"/>
      <c r="EQ4" s="20"/>
      <c r="ER4" s="82"/>
      <c r="ES4" s="20"/>
      <c r="EU4" s="20"/>
      <c r="EV4" s="20"/>
      <c r="EW4" s="20"/>
      <c r="EX4" s="82"/>
      <c r="EY4" s="20"/>
      <c r="FA4" s="20"/>
      <c r="FB4" s="20"/>
      <c r="FC4" s="20"/>
      <c r="FD4" s="82"/>
      <c r="FE4" s="20"/>
      <c r="FG4" s="20"/>
      <c r="FH4" s="20"/>
      <c r="FI4" s="20"/>
      <c r="FJ4" s="82"/>
      <c r="FK4" s="20"/>
      <c r="FM4" s="20"/>
      <c r="FN4" s="20"/>
      <c r="FO4" s="20"/>
      <c r="FP4" s="82"/>
      <c r="FQ4" s="20"/>
      <c r="FS4" s="20"/>
      <c r="FT4" s="20"/>
      <c r="FU4" s="20"/>
      <c r="FV4" s="82"/>
      <c r="FW4" s="20"/>
      <c r="FY4" s="20"/>
      <c r="FZ4" s="20"/>
      <c r="GA4" s="20"/>
      <c r="GB4" s="82"/>
      <c r="GC4" s="20"/>
      <c r="GE4" s="20"/>
      <c r="GF4" s="20"/>
      <c r="GG4" s="20"/>
      <c r="GH4" s="82"/>
      <c r="GI4" s="20"/>
      <c r="GK4" s="20"/>
      <c r="GL4" s="20"/>
      <c r="GM4" s="20"/>
      <c r="GN4" s="82"/>
      <c r="GO4" s="20"/>
    </row>
    <row r="5" spans="2:197" ht="12" thickBot="1" x14ac:dyDescent="0.3">
      <c r="B5" s="134"/>
      <c r="C5" s="135"/>
      <c r="D5" s="136" t="str">
        <f xml:space="preserve"> CONCATENATE("Random Effluent Noro concentration, ceff (gc per L) =")</f>
        <v>Random Effluent Noro concentration, ceff (gc per L) =</v>
      </c>
      <c r="E5" s="150" t="e">
        <f ca="1">Random_effluent_nor_conc</f>
        <v>#NAME?</v>
      </c>
      <c r="F5" s="20"/>
      <c r="G5" s="77" t="s">
        <v>62</v>
      </c>
      <c r="H5" s="78"/>
      <c r="I5" s="78"/>
      <c r="J5" s="5"/>
      <c r="K5" s="79" t="s">
        <v>63</v>
      </c>
      <c r="M5" s="77" t="s">
        <v>62</v>
      </c>
      <c r="N5" s="78"/>
      <c r="O5" s="78"/>
      <c r="P5" s="5"/>
      <c r="Q5" s="79" t="s">
        <v>63</v>
      </c>
      <c r="S5" s="77" t="s">
        <v>62</v>
      </c>
      <c r="T5" s="78"/>
      <c r="U5" s="78"/>
      <c r="V5" s="5"/>
      <c r="W5" s="79" t="s">
        <v>63</v>
      </c>
      <c r="Y5" s="77" t="s">
        <v>62</v>
      </c>
      <c r="Z5" s="78"/>
      <c r="AA5" s="78"/>
      <c r="AB5" s="5"/>
      <c r="AC5" s="79" t="s">
        <v>63</v>
      </c>
      <c r="AE5" s="77" t="s">
        <v>62</v>
      </c>
      <c r="AF5" s="78"/>
      <c r="AG5" s="78"/>
      <c r="AH5" s="5"/>
      <c r="AI5" s="79" t="s">
        <v>63</v>
      </c>
      <c r="AK5" s="77" t="s">
        <v>62</v>
      </c>
      <c r="AL5" s="78"/>
      <c r="AM5" s="78"/>
      <c r="AN5" s="5"/>
      <c r="AO5" s="79" t="s">
        <v>63</v>
      </c>
      <c r="AQ5" s="77" t="s">
        <v>62</v>
      </c>
      <c r="AR5" s="78"/>
      <c r="AS5" s="78"/>
      <c r="AT5" s="5"/>
      <c r="AU5" s="79" t="s">
        <v>63</v>
      </c>
      <c r="AW5" s="77" t="s">
        <v>62</v>
      </c>
      <c r="AX5" s="78"/>
      <c r="AY5" s="78"/>
      <c r="AZ5" s="5"/>
      <c r="BA5" s="79" t="s">
        <v>63</v>
      </c>
      <c r="BC5" s="77" t="s">
        <v>62</v>
      </c>
      <c r="BD5" s="78"/>
      <c r="BE5" s="78"/>
      <c r="BF5" s="5"/>
      <c r="BG5" s="79" t="s">
        <v>63</v>
      </c>
      <c r="BI5" s="77" t="s">
        <v>62</v>
      </c>
      <c r="BJ5" s="78"/>
      <c r="BK5" s="78"/>
      <c r="BL5" s="5"/>
      <c r="BM5" s="79" t="s">
        <v>63</v>
      </c>
      <c r="BO5" s="77" t="s">
        <v>62</v>
      </c>
      <c r="BP5" s="78"/>
      <c r="BQ5" s="78"/>
      <c r="BR5" s="5"/>
      <c r="BS5" s="79" t="s">
        <v>63</v>
      </c>
      <c r="BU5" s="77" t="s">
        <v>62</v>
      </c>
      <c r="BV5" s="78"/>
      <c r="BW5" s="78"/>
      <c r="BX5" s="5"/>
      <c r="BY5" s="79" t="s">
        <v>63</v>
      </c>
      <c r="CA5" s="77" t="s">
        <v>62</v>
      </c>
      <c r="CB5" s="78"/>
      <c r="CC5" s="78"/>
      <c r="CD5" s="5"/>
      <c r="CE5" s="79" t="s">
        <v>63</v>
      </c>
      <c r="CG5" s="77" t="s">
        <v>62</v>
      </c>
      <c r="CH5" s="78"/>
      <c r="CI5" s="78"/>
      <c r="CJ5" s="5"/>
      <c r="CK5" s="79" t="s">
        <v>63</v>
      </c>
      <c r="CM5" s="77" t="s">
        <v>62</v>
      </c>
      <c r="CN5" s="78"/>
      <c r="CO5" s="78"/>
      <c r="CP5" s="5"/>
      <c r="CQ5" s="79" t="s">
        <v>63</v>
      </c>
      <c r="CS5" s="77" t="s">
        <v>62</v>
      </c>
      <c r="CT5" s="78"/>
      <c r="CU5" s="78"/>
      <c r="CV5" s="5"/>
      <c r="CW5" s="79" t="s">
        <v>63</v>
      </c>
      <c r="CY5" s="77" t="s">
        <v>62</v>
      </c>
      <c r="CZ5" s="78"/>
      <c r="DA5" s="78"/>
      <c r="DB5" s="5"/>
      <c r="DC5" s="79" t="s">
        <v>63</v>
      </c>
      <c r="DE5" s="77" t="s">
        <v>62</v>
      </c>
      <c r="DF5" s="78"/>
      <c r="DG5" s="78"/>
      <c r="DH5" s="5"/>
      <c r="DI5" s="79" t="s">
        <v>63</v>
      </c>
      <c r="DK5" s="77" t="s">
        <v>62</v>
      </c>
      <c r="DL5" s="78"/>
      <c r="DM5" s="78"/>
      <c r="DN5" s="5"/>
      <c r="DO5" s="79" t="s">
        <v>63</v>
      </c>
      <c r="DQ5" s="77" t="s">
        <v>62</v>
      </c>
      <c r="DR5" s="78"/>
      <c r="DS5" s="78"/>
      <c r="DT5" s="5"/>
      <c r="DU5" s="79" t="s">
        <v>63</v>
      </c>
      <c r="DW5" s="77" t="s">
        <v>62</v>
      </c>
      <c r="DX5" s="78"/>
      <c r="DY5" s="78"/>
      <c r="DZ5" s="5"/>
      <c r="EA5" s="79" t="s">
        <v>63</v>
      </c>
      <c r="EC5" s="77" t="s">
        <v>62</v>
      </c>
      <c r="ED5" s="78"/>
      <c r="EE5" s="78"/>
      <c r="EF5" s="5"/>
      <c r="EG5" s="79" t="s">
        <v>63</v>
      </c>
      <c r="EI5" s="77" t="s">
        <v>62</v>
      </c>
      <c r="EJ5" s="78"/>
      <c r="EK5" s="78"/>
      <c r="EL5" s="5"/>
      <c r="EM5" s="79" t="s">
        <v>63</v>
      </c>
      <c r="EO5" s="77" t="s">
        <v>62</v>
      </c>
      <c r="EP5" s="78"/>
      <c r="EQ5" s="78"/>
      <c r="ER5" s="5"/>
      <c r="ES5" s="79" t="s">
        <v>63</v>
      </c>
      <c r="EU5" s="77" t="s">
        <v>62</v>
      </c>
      <c r="EV5" s="78"/>
      <c r="EW5" s="78"/>
      <c r="EX5" s="5"/>
      <c r="EY5" s="79" t="s">
        <v>63</v>
      </c>
      <c r="FA5" s="77" t="s">
        <v>62</v>
      </c>
      <c r="FB5" s="78"/>
      <c r="FC5" s="78"/>
      <c r="FD5" s="5"/>
      <c r="FE5" s="79" t="s">
        <v>63</v>
      </c>
      <c r="FG5" s="77" t="s">
        <v>62</v>
      </c>
      <c r="FH5" s="78"/>
      <c r="FI5" s="78"/>
      <c r="FJ5" s="5"/>
      <c r="FK5" s="79" t="s">
        <v>63</v>
      </c>
      <c r="FM5" s="77" t="s">
        <v>62</v>
      </c>
      <c r="FN5" s="78"/>
      <c r="FO5" s="78"/>
      <c r="FP5" s="5"/>
      <c r="FQ5" s="79" t="s">
        <v>63</v>
      </c>
      <c r="FS5" s="77" t="s">
        <v>62</v>
      </c>
      <c r="FT5" s="78"/>
      <c r="FU5" s="78"/>
      <c r="FV5" s="5"/>
      <c r="FW5" s="79" t="s">
        <v>63</v>
      </c>
      <c r="FY5" s="77" t="s">
        <v>62</v>
      </c>
      <c r="FZ5" s="78"/>
      <c r="GA5" s="78"/>
      <c r="GB5" s="5"/>
      <c r="GC5" s="79" t="s">
        <v>63</v>
      </c>
      <c r="GE5" s="77" t="s">
        <v>62</v>
      </c>
      <c r="GF5" s="78"/>
      <c r="GG5" s="78"/>
      <c r="GH5" s="5"/>
      <c r="GI5" s="79" t="s">
        <v>63</v>
      </c>
      <c r="GK5" s="77" t="s">
        <v>62</v>
      </c>
      <c r="GL5" s="78"/>
      <c r="GM5" s="78"/>
      <c r="GN5" s="5"/>
      <c r="GO5" s="79" t="s">
        <v>63</v>
      </c>
    </row>
    <row r="6" spans="2:197" ht="12" thickBot="1" x14ac:dyDescent="0.3">
      <c r="B6" s="38"/>
      <c r="D6" s="95"/>
      <c r="E6" s="133"/>
      <c r="F6" s="103"/>
      <c r="G6" s="81" t="e">
        <f ca="1">_xll.RiskOutput(G2)+J109</f>
        <v>#NAME?</v>
      </c>
      <c r="H6" s="104"/>
      <c r="I6" s="104"/>
      <c r="J6" s="80"/>
      <c r="K6" s="81" t="e">
        <f ca="1">_xll.RiskOutput(K2)+K109</f>
        <v>#NAME?</v>
      </c>
      <c r="M6" s="81" t="e">
        <f ca="1">_xll.RiskOutput(M2)+P109</f>
        <v>#NAME?</v>
      </c>
      <c r="N6" s="104"/>
      <c r="O6" s="104"/>
      <c r="P6" s="80"/>
      <c r="Q6" s="81" t="e">
        <f ca="1">_xll.RiskOutput(Q2)+Q109</f>
        <v>#NAME?</v>
      </c>
      <c r="S6" s="81" t="e">
        <f ca="1">_xll.RiskOutput(S2)+V109</f>
        <v>#NAME?</v>
      </c>
      <c r="T6" s="104"/>
      <c r="U6" s="104"/>
      <c r="V6" s="80"/>
      <c r="W6" s="81" t="e">
        <f ca="1">_xll.RiskOutput(W2)+W109</f>
        <v>#NAME?</v>
      </c>
      <c r="Y6" s="81" t="e">
        <f ca="1">_xll.RiskOutput(Y2)+AB109</f>
        <v>#NAME?</v>
      </c>
      <c r="Z6" s="104"/>
      <c r="AA6" s="104"/>
      <c r="AB6" s="80"/>
      <c r="AC6" s="81" t="e">
        <f ca="1">_xll.RiskOutput(AC2)+AC109</f>
        <v>#NAME?</v>
      </c>
      <c r="AE6" s="81" t="e">
        <f ca="1">_xll.RiskOutput(AE2)+AH109</f>
        <v>#NAME?</v>
      </c>
      <c r="AF6" s="104"/>
      <c r="AG6" s="104"/>
      <c r="AH6" s="80"/>
      <c r="AI6" s="81" t="e">
        <f ca="1">_xll.RiskOutput(AI2)+AI109</f>
        <v>#NAME?</v>
      </c>
      <c r="AJ6" s="104"/>
      <c r="AK6" s="81" t="e">
        <f ca="1">_xll.RiskOutput(AK2)+AN109</f>
        <v>#NAME?</v>
      </c>
      <c r="AL6" s="104"/>
      <c r="AM6" s="104"/>
      <c r="AN6" s="80"/>
      <c r="AO6" s="81" t="e">
        <f ca="1">_xll.RiskOutput(AO2)+AO109</f>
        <v>#NAME?</v>
      </c>
      <c r="AQ6" s="81" t="e">
        <f ca="1">_xll.RiskOutput(AQ2)+AT109</f>
        <v>#NAME?</v>
      </c>
      <c r="AR6" s="104"/>
      <c r="AS6" s="104"/>
      <c r="AT6" s="80"/>
      <c r="AU6" s="81" t="e">
        <f ca="1">_xll.RiskOutput(AU2)+AU109</f>
        <v>#NAME?</v>
      </c>
      <c r="AW6" s="81" t="e">
        <f ca="1">_xll.RiskOutput(AW2)+AZ109</f>
        <v>#NAME?</v>
      </c>
      <c r="AX6" s="104"/>
      <c r="AY6" s="104"/>
      <c r="AZ6" s="80"/>
      <c r="BA6" s="81" t="e">
        <f ca="1">_xll.RiskOutput(BA2)+BA109</f>
        <v>#NAME?</v>
      </c>
      <c r="BC6" s="81" t="e">
        <f ca="1">_xll.RiskOutput(BC2)+BF109</f>
        <v>#NAME?</v>
      </c>
      <c r="BD6" s="104"/>
      <c r="BE6" s="104"/>
      <c r="BF6" s="80"/>
      <c r="BG6" s="81" t="e">
        <f ca="1">_xll.RiskOutput(BG2)+BG109</f>
        <v>#NAME?</v>
      </c>
      <c r="BI6" s="81" t="e">
        <f ca="1">_xll.RiskOutput(BI2)+BL109</f>
        <v>#NAME?</v>
      </c>
      <c r="BJ6" s="104"/>
      <c r="BK6" s="104"/>
      <c r="BL6" s="80"/>
      <c r="BM6" s="81" t="e">
        <f ca="1">_xll.RiskOutput(BM2)+BM109</f>
        <v>#NAME?</v>
      </c>
      <c r="BO6" s="81" t="e">
        <f ca="1">_xll.RiskOutput(BO2)+BR109</f>
        <v>#NAME?</v>
      </c>
      <c r="BP6" s="104"/>
      <c r="BQ6" s="104"/>
      <c r="BR6" s="80"/>
      <c r="BS6" s="81" t="e">
        <f ca="1">_xll.RiskOutput(BS2)+BS109</f>
        <v>#NAME?</v>
      </c>
      <c r="BU6" s="81" t="e">
        <f ca="1">_xll.RiskOutput(BU2)+BX109</f>
        <v>#NAME?</v>
      </c>
      <c r="BV6" s="104"/>
      <c r="BW6" s="104"/>
      <c r="BX6" s="80"/>
      <c r="BY6" s="81" t="e">
        <f ca="1">_xll.RiskOutput(BY2)+BY109</f>
        <v>#NAME?</v>
      </c>
      <c r="CA6" s="81" t="e">
        <f ca="1">_xll.RiskOutput(CA2)+CD109</f>
        <v>#NAME?</v>
      </c>
      <c r="CB6" s="104"/>
      <c r="CC6" s="104"/>
      <c r="CD6" s="80"/>
      <c r="CE6" s="81" t="e">
        <f ca="1">_xll.RiskOutput(CE2)+CE109</f>
        <v>#NAME?</v>
      </c>
      <c r="CG6" s="81" t="e">
        <f ca="1">_xll.RiskOutput(CG2)+CJ109</f>
        <v>#NAME?</v>
      </c>
      <c r="CH6" s="104"/>
      <c r="CI6" s="104"/>
      <c r="CJ6" s="80"/>
      <c r="CK6" s="81" t="e">
        <f ca="1">_xll.RiskOutput(CK2)+CK109</f>
        <v>#NAME?</v>
      </c>
      <c r="CM6" s="81" t="e">
        <f ca="1">_xll.RiskOutput(CM2)+CP109</f>
        <v>#NAME?</v>
      </c>
      <c r="CN6" s="104"/>
      <c r="CO6" s="104"/>
      <c r="CP6" s="80"/>
      <c r="CQ6" s="81" t="e">
        <f ca="1">_xll.RiskOutput(CQ2)+CQ109</f>
        <v>#NAME?</v>
      </c>
      <c r="CS6" s="81" t="e">
        <f ca="1">_xll.RiskOutput(CS2)+CV109</f>
        <v>#NAME?</v>
      </c>
      <c r="CT6" s="104"/>
      <c r="CU6" s="104"/>
      <c r="CV6" s="80"/>
      <c r="CW6" s="81" t="e">
        <f ca="1">_xll.RiskOutput(CW2)+CW109</f>
        <v>#NAME?</v>
      </c>
      <c r="CY6" s="81" t="e">
        <f ca="1">_xll.RiskOutput(CY2)+DB109</f>
        <v>#NAME?</v>
      </c>
      <c r="CZ6" s="104"/>
      <c r="DA6" s="104"/>
      <c r="DB6" s="80"/>
      <c r="DC6" s="81" t="e">
        <f ca="1">_xll.RiskOutput(DC2)+DC109</f>
        <v>#NAME?</v>
      </c>
      <c r="DE6" s="81" t="e">
        <f ca="1">_xll.RiskOutput(DE2)+DH109</f>
        <v>#NAME?</v>
      </c>
      <c r="DF6" s="104"/>
      <c r="DG6" s="104"/>
      <c r="DH6" s="80"/>
      <c r="DI6" s="81" t="e">
        <f ca="1">_xll.RiskOutput(DI2)+DI109</f>
        <v>#NAME?</v>
      </c>
      <c r="DK6" s="81" t="e">
        <f ca="1">_xll.RiskOutput(DK2)+DN109</f>
        <v>#NAME?</v>
      </c>
      <c r="DL6" s="104"/>
      <c r="DM6" s="104"/>
      <c r="DN6" s="80"/>
      <c r="DO6" s="81" t="e">
        <f ca="1">_xll.RiskOutput(DO2)+DO109</f>
        <v>#NAME?</v>
      </c>
      <c r="DQ6" s="81" t="e">
        <f ca="1">_xll.RiskOutput(DQ2)+DT109</f>
        <v>#NAME?</v>
      </c>
      <c r="DR6" s="104"/>
      <c r="DS6" s="104"/>
      <c r="DT6" s="80"/>
      <c r="DU6" s="81" t="e">
        <f ca="1">_xll.RiskOutput(DU2)+DU109</f>
        <v>#NAME?</v>
      </c>
      <c r="DW6" s="81" t="e">
        <f ca="1">_xll.RiskOutput(DW2)+DZ109</f>
        <v>#NAME?</v>
      </c>
      <c r="DX6" s="104"/>
      <c r="DY6" s="104"/>
      <c r="DZ6" s="80"/>
      <c r="EA6" s="81" t="e">
        <f ca="1">_xll.RiskOutput(EA2)+EA109</f>
        <v>#NAME?</v>
      </c>
      <c r="EC6" s="81" t="e">
        <f ca="1">_xll.RiskOutput(EC2)+EF109</f>
        <v>#NAME?</v>
      </c>
      <c r="ED6" s="104"/>
      <c r="EE6" s="104"/>
      <c r="EF6" s="80"/>
      <c r="EG6" s="81" t="e">
        <f ca="1">_xll.RiskOutput(EG2)+EG109</f>
        <v>#NAME?</v>
      </c>
      <c r="EI6" s="81" t="e">
        <f ca="1">_xll.RiskOutput(EI2)+EL109</f>
        <v>#NAME?</v>
      </c>
      <c r="EJ6" s="104"/>
      <c r="EK6" s="104"/>
      <c r="EL6" s="80"/>
      <c r="EM6" s="81" t="e">
        <f ca="1">_xll.RiskOutput(EM2)+EM109</f>
        <v>#NAME?</v>
      </c>
      <c r="EO6" s="81" t="e">
        <f ca="1">_xll.RiskOutput(EO2)+ER109</f>
        <v>#NAME?</v>
      </c>
      <c r="EP6" s="104"/>
      <c r="EQ6" s="104"/>
      <c r="ER6" s="80"/>
      <c r="ES6" s="81" t="e">
        <f ca="1">_xll.RiskOutput(ES2)+ES109</f>
        <v>#NAME?</v>
      </c>
      <c r="EU6" s="81" t="e">
        <f ca="1">_xll.RiskOutput(EU2)+EX109</f>
        <v>#NAME?</v>
      </c>
      <c r="EV6" s="104"/>
      <c r="EW6" s="104"/>
      <c r="EX6" s="80"/>
      <c r="EY6" s="81" t="e">
        <f ca="1">_xll.RiskOutput(EY2)+EY109</f>
        <v>#NAME?</v>
      </c>
      <c r="FA6" s="81" t="e">
        <f ca="1">_xll.RiskOutput(FA2)+FD109</f>
        <v>#NAME?</v>
      </c>
      <c r="FB6" s="104"/>
      <c r="FC6" s="104"/>
      <c r="FD6" s="80"/>
      <c r="FE6" s="81" t="e">
        <f ca="1">_xll.RiskOutput(FE2)+FE109</f>
        <v>#NAME?</v>
      </c>
      <c r="FG6" s="81" t="e">
        <f ca="1">_xll.RiskOutput(FG2)+FJ109</f>
        <v>#NAME?</v>
      </c>
      <c r="FH6" s="104"/>
      <c r="FI6" s="104"/>
      <c r="FJ6" s="80"/>
      <c r="FK6" s="81" t="e">
        <f ca="1">_xll.RiskOutput(FK2)+FK109</f>
        <v>#NAME?</v>
      </c>
      <c r="FM6" s="81" t="e">
        <f ca="1">_xll.RiskOutput(FM2)+FP109</f>
        <v>#NAME?</v>
      </c>
      <c r="FN6" s="104"/>
      <c r="FO6" s="104"/>
      <c r="FP6" s="80"/>
      <c r="FQ6" s="81" t="e">
        <f ca="1">_xll.RiskOutput(FQ2)+FQ109</f>
        <v>#NAME?</v>
      </c>
      <c r="FS6" s="81" t="e">
        <f ca="1">_xll.RiskOutput(FS2)+FV109</f>
        <v>#NAME?</v>
      </c>
      <c r="FT6" s="104"/>
      <c r="FU6" s="104"/>
      <c r="FV6" s="80"/>
      <c r="FW6" s="81" t="e">
        <f ca="1">_xll.RiskOutput(FW2)+FW109</f>
        <v>#NAME?</v>
      </c>
      <c r="FY6" s="81" t="e">
        <f ca="1">_xll.RiskOutput(FY2)+GB109</f>
        <v>#NAME?</v>
      </c>
      <c r="FZ6" s="104"/>
      <c r="GA6" s="104"/>
      <c r="GB6" s="80"/>
      <c r="GC6" s="81" t="e">
        <f ca="1">_xll.RiskOutput(GC2)+GC109</f>
        <v>#NAME?</v>
      </c>
      <c r="GE6" s="81" t="e">
        <f ca="1">_xll.RiskOutput(GE2)+GH109</f>
        <v>#NAME?</v>
      </c>
      <c r="GF6" s="104"/>
      <c r="GG6" s="104"/>
      <c r="GH6" s="80"/>
      <c r="GI6" s="81" t="e">
        <f ca="1">_xll.RiskOutput(GI2)+GI109</f>
        <v>#NAME?</v>
      </c>
      <c r="GK6" s="81" t="e">
        <f ca="1">_xll.RiskOutput(GK2)+GN109</f>
        <v>#NAME?</v>
      </c>
      <c r="GL6" s="104"/>
      <c r="GM6" s="104"/>
      <c r="GN6" s="80"/>
      <c r="GO6" s="81" t="e">
        <f ca="1">_xll.RiskOutput(GO2)+GO109</f>
        <v>#NAME?</v>
      </c>
    </row>
    <row r="7" spans="2:197" ht="12" thickBot="1" x14ac:dyDescent="0.3">
      <c r="B7" s="38"/>
      <c r="C7" s="83"/>
      <c r="D7" s="83"/>
      <c r="E7" s="83"/>
      <c r="G7" s="83"/>
      <c r="H7" s="83"/>
      <c r="I7" s="83"/>
      <c r="M7" s="83"/>
      <c r="N7" s="83"/>
      <c r="O7" s="83"/>
      <c r="S7" s="83"/>
      <c r="T7" s="83"/>
      <c r="U7" s="83"/>
      <c r="Y7" s="83"/>
      <c r="Z7" s="83"/>
      <c r="AA7" s="83"/>
      <c r="AE7" s="83"/>
      <c r="AF7" s="83"/>
      <c r="AG7" s="83"/>
      <c r="AK7" s="83"/>
      <c r="AL7" s="83"/>
      <c r="AM7" s="83"/>
      <c r="AQ7" s="83"/>
      <c r="AR7" s="83"/>
      <c r="AS7" s="83"/>
      <c r="AW7" s="83"/>
      <c r="AX7" s="83"/>
      <c r="AY7" s="83"/>
      <c r="BC7" s="83"/>
      <c r="BD7" s="83"/>
      <c r="BE7" s="83"/>
      <c r="BI7" s="83"/>
      <c r="BJ7" s="83"/>
      <c r="BK7" s="83"/>
      <c r="BO7" s="83"/>
      <c r="BP7" s="83"/>
      <c r="BQ7" s="83"/>
      <c r="BU7" s="83"/>
      <c r="BV7" s="83"/>
      <c r="BW7" s="83"/>
      <c r="CA7" s="83"/>
      <c r="CB7" s="83"/>
      <c r="CC7" s="83"/>
      <c r="CG7" s="83"/>
      <c r="CH7" s="83"/>
      <c r="CI7" s="83"/>
      <c r="CM7" s="83"/>
      <c r="CN7" s="83"/>
      <c r="CO7" s="83"/>
      <c r="CS7" s="83"/>
      <c r="CT7" s="83"/>
      <c r="CU7" s="83"/>
      <c r="CY7" s="83"/>
      <c r="CZ7" s="83"/>
      <c r="DA7" s="83"/>
      <c r="DE7" s="83"/>
      <c r="DF7" s="83"/>
      <c r="DG7" s="83"/>
      <c r="DK7" s="83"/>
      <c r="DL7" s="83"/>
      <c r="DM7" s="83"/>
      <c r="DQ7" s="83"/>
      <c r="DR7" s="83"/>
      <c r="DS7" s="83"/>
      <c r="DW7" s="83"/>
      <c r="DX7" s="83"/>
      <c r="DY7" s="83"/>
      <c r="EC7" s="83"/>
      <c r="ED7" s="83"/>
      <c r="EE7" s="83"/>
      <c r="EI7" s="83"/>
      <c r="EJ7" s="83"/>
      <c r="EK7" s="83"/>
      <c r="EO7" s="83"/>
      <c r="EP7" s="83"/>
      <c r="EQ7" s="83"/>
      <c r="EU7" s="83"/>
      <c r="EV7" s="83"/>
      <c r="EW7" s="83"/>
      <c r="FA7" s="83"/>
      <c r="FB7" s="83"/>
      <c r="FC7" s="83"/>
      <c r="FG7" s="83"/>
      <c r="FH7" s="83"/>
      <c r="FI7" s="83"/>
      <c r="FM7" s="83"/>
      <c r="FN7" s="83"/>
      <c r="FO7" s="83"/>
      <c r="FS7" s="83"/>
      <c r="FT7" s="83"/>
      <c r="FU7" s="83"/>
      <c r="FY7" s="83"/>
      <c r="FZ7" s="83"/>
      <c r="GA7" s="83"/>
      <c r="GE7" s="83"/>
      <c r="GF7" s="83"/>
      <c r="GG7" s="83"/>
      <c r="GK7" s="83"/>
      <c r="GL7" s="83"/>
      <c r="GM7" s="83"/>
    </row>
    <row r="8" spans="2:197" x14ac:dyDescent="0.25">
      <c r="B8" s="74" t="s">
        <v>64</v>
      </c>
      <c r="C8" s="108" t="s">
        <v>65</v>
      </c>
      <c r="D8" s="22" t="s">
        <v>66</v>
      </c>
      <c r="E8" s="23" t="s">
        <v>67</v>
      </c>
      <c r="G8" s="74" t="s">
        <v>68</v>
      </c>
      <c r="H8" s="22" t="s">
        <v>69</v>
      </c>
      <c r="I8" s="22" t="s">
        <v>70</v>
      </c>
      <c r="J8" s="22" t="s">
        <v>71</v>
      </c>
      <c r="K8" s="84" t="s">
        <v>72</v>
      </c>
      <c r="M8" s="74" t="s">
        <v>68</v>
      </c>
      <c r="N8" s="22" t="s">
        <v>69</v>
      </c>
      <c r="O8" s="22" t="s">
        <v>70</v>
      </c>
      <c r="P8" s="22" t="s">
        <v>71</v>
      </c>
      <c r="Q8" s="84" t="s">
        <v>72</v>
      </c>
      <c r="S8" s="74" t="s">
        <v>68</v>
      </c>
      <c r="T8" s="22" t="s">
        <v>69</v>
      </c>
      <c r="U8" s="22" t="s">
        <v>70</v>
      </c>
      <c r="V8" s="22" t="s">
        <v>71</v>
      </c>
      <c r="W8" s="84" t="s">
        <v>72</v>
      </c>
      <c r="Y8" s="74" t="s">
        <v>68</v>
      </c>
      <c r="Z8" s="22" t="s">
        <v>69</v>
      </c>
      <c r="AA8" s="22" t="s">
        <v>70</v>
      </c>
      <c r="AB8" s="22" t="s">
        <v>71</v>
      </c>
      <c r="AC8" s="84" t="s">
        <v>72</v>
      </c>
      <c r="AE8" s="74" t="s">
        <v>68</v>
      </c>
      <c r="AF8" s="22" t="s">
        <v>69</v>
      </c>
      <c r="AG8" s="22" t="s">
        <v>70</v>
      </c>
      <c r="AH8" s="22" t="s">
        <v>71</v>
      </c>
      <c r="AI8" s="84" t="s">
        <v>72</v>
      </c>
      <c r="AK8" s="74" t="s">
        <v>68</v>
      </c>
      <c r="AL8" s="22" t="s">
        <v>69</v>
      </c>
      <c r="AM8" s="22" t="s">
        <v>70</v>
      </c>
      <c r="AN8" s="22" t="s">
        <v>71</v>
      </c>
      <c r="AO8" s="84" t="s">
        <v>72</v>
      </c>
      <c r="AQ8" s="74" t="s">
        <v>68</v>
      </c>
      <c r="AR8" s="22" t="s">
        <v>69</v>
      </c>
      <c r="AS8" s="22" t="s">
        <v>70</v>
      </c>
      <c r="AT8" s="22" t="s">
        <v>71</v>
      </c>
      <c r="AU8" s="84" t="s">
        <v>72</v>
      </c>
      <c r="AW8" s="74" t="s">
        <v>68</v>
      </c>
      <c r="AX8" s="22" t="s">
        <v>69</v>
      </c>
      <c r="AY8" s="22" t="s">
        <v>70</v>
      </c>
      <c r="AZ8" s="22" t="s">
        <v>71</v>
      </c>
      <c r="BA8" s="84" t="s">
        <v>72</v>
      </c>
      <c r="BC8" s="74" t="s">
        <v>68</v>
      </c>
      <c r="BD8" s="22" t="s">
        <v>69</v>
      </c>
      <c r="BE8" s="22" t="s">
        <v>70</v>
      </c>
      <c r="BF8" s="22" t="s">
        <v>71</v>
      </c>
      <c r="BG8" s="84" t="s">
        <v>72</v>
      </c>
      <c r="BI8" s="74" t="s">
        <v>68</v>
      </c>
      <c r="BJ8" s="22" t="s">
        <v>69</v>
      </c>
      <c r="BK8" s="22" t="s">
        <v>70</v>
      </c>
      <c r="BL8" s="22" t="s">
        <v>71</v>
      </c>
      <c r="BM8" s="84" t="s">
        <v>72</v>
      </c>
      <c r="BO8" s="74" t="s">
        <v>68</v>
      </c>
      <c r="BP8" s="22" t="s">
        <v>69</v>
      </c>
      <c r="BQ8" s="22" t="s">
        <v>70</v>
      </c>
      <c r="BR8" s="22" t="s">
        <v>71</v>
      </c>
      <c r="BS8" s="84" t="s">
        <v>72</v>
      </c>
      <c r="BU8" s="74" t="s">
        <v>68</v>
      </c>
      <c r="BV8" s="22" t="s">
        <v>69</v>
      </c>
      <c r="BW8" s="22" t="s">
        <v>70</v>
      </c>
      <c r="BX8" s="22" t="s">
        <v>71</v>
      </c>
      <c r="BY8" s="84" t="s">
        <v>72</v>
      </c>
      <c r="CA8" s="74" t="s">
        <v>68</v>
      </c>
      <c r="CB8" s="22" t="s">
        <v>69</v>
      </c>
      <c r="CC8" s="22" t="s">
        <v>70</v>
      </c>
      <c r="CD8" s="22" t="s">
        <v>71</v>
      </c>
      <c r="CE8" s="84" t="s">
        <v>72</v>
      </c>
      <c r="CG8" s="74" t="s">
        <v>68</v>
      </c>
      <c r="CH8" s="22" t="s">
        <v>69</v>
      </c>
      <c r="CI8" s="22" t="s">
        <v>70</v>
      </c>
      <c r="CJ8" s="22" t="s">
        <v>71</v>
      </c>
      <c r="CK8" s="84" t="s">
        <v>72</v>
      </c>
      <c r="CM8" s="74" t="s">
        <v>68</v>
      </c>
      <c r="CN8" s="22" t="s">
        <v>69</v>
      </c>
      <c r="CO8" s="22" t="s">
        <v>70</v>
      </c>
      <c r="CP8" s="22" t="s">
        <v>71</v>
      </c>
      <c r="CQ8" s="84" t="s">
        <v>72</v>
      </c>
      <c r="CS8" s="74" t="s">
        <v>68</v>
      </c>
      <c r="CT8" s="22" t="s">
        <v>69</v>
      </c>
      <c r="CU8" s="22" t="s">
        <v>70</v>
      </c>
      <c r="CV8" s="22" t="s">
        <v>71</v>
      </c>
      <c r="CW8" s="84" t="s">
        <v>72</v>
      </c>
      <c r="CY8" s="74" t="s">
        <v>68</v>
      </c>
      <c r="CZ8" s="22" t="s">
        <v>69</v>
      </c>
      <c r="DA8" s="22" t="s">
        <v>70</v>
      </c>
      <c r="DB8" s="22" t="s">
        <v>71</v>
      </c>
      <c r="DC8" s="84" t="s">
        <v>72</v>
      </c>
      <c r="DE8" s="74" t="s">
        <v>68</v>
      </c>
      <c r="DF8" s="22" t="s">
        <v>69</v>
      </c>
      <c r="DG8" s="22" t="s">
        <v>70</v>
      </c>
      <c r="DH8" s="22" t="s">
        <v>71</v>
      </c>
      <c r="DI8" s="84" t="s">
        <v>72</v>
      </c>
      <c r="DK8" s="74" t="s">
        <v>68</v>
      </c>
      <c r="DL8" s="22" t="s">
        <v>69</v>
      </c>
      <c r="DM8" s="22" t="s">
        <v>70</v>
      </c>
      <c r="DN8" s="22" t="s">
        <v>71</v>
      </c>
      <c r="DO8" s="84" t="s">
        <v>72</v>
      </c>
      <c r="DQ8" s="74" t="s">
        <v>68</v>
      </c>
      <c r="DR8" s="22" t="s">
        <v>69</v>
      </c>
      <c r="DS8" s="22" t="s">
        <v>70</v>
      </c>
      <c r="DT8" s="22" t="s">
        <v>71</v>
      </c>
      <c r="DU8" s="84" t="s">
        <v>72</v>
      </c>
      <c r="DW8" s="74" t="s">
        <v>68</v>
      </c>
      <c r="DX8" s="22" t="s">
        <v>69</v>
      </c>
      <c r="DY8" s="22" t="s">
        <v>70</v>
      </c>
      <c r="DZ8" s="22" t="s">
        <v>71</v>
      </c>
      <c r="EA8" s="84" t="s">
        <v>72</v>
      </c>
      <c r="EC8" s="74" t="s">
        <v>68</v>
      </c>
      <c r="ED8" s="22" t="s">
        <v>69</v>
      </c>
      <c r="EE8" s="22" t="s">
        <v>70</v>
      </c>
      <c r="EF8" s="22" t="s">
        <v>71</v>
      </c>
      <c r="EG8" s="84" t="s">
        <v>72</v>
      </c>
      <c r="EI8" s="74" t="s">
        <v>68</v>
      </c>
      <c r="EJ8" s="22" t="s">
        <v>69</v>
      </c>
      <c r="EK8" s="22" t="s">
        <v>70</v>
      </c>
      <c r="EL8" s="22" t="s">
        <v>71</v>
      </c>
      <c r="EM8" s="84" t="s">
        <v>72</v>
      </c>
      <c r="EO8" s="74" t="s">
        <v>68</v>
      </c>
      <c r="EP8" s="22" t="s">
        <v>69</v>
      </c>
      <c r="EQ8" s="22" t="s">
        <v>70</v>
      </c>
      <c r="ER8" s="22" t="s">
        <v>71</v>
      </c>
      <c r="ES8" s="84" t="s">
        <v>72</v>
      </c>
      <c r="EU8" s="74" t="s">
        <v>68</v>
      </c>
      <c r="EV8" s="22" t="s">
        <v>69</v>
      </c>
      <c r="EW8" s="22" t="s">
        <v>70</v>
      </c>
      <c r="EX8" s="22" t="s">
        <v>71</v>
      </c>
      <c r="EY8" s="84" t="s">
        <v>72</v>
      </c>
      <c r="FA8" s="74" t="s">
        <v>68</v>
      </c>
      <c r="FB8" s="22" t="s">
        <v>69</v>
      </c>
      <c r="FC8" s="22" t="s">
        <v>70</v>
      </c>
      <c r="FD8" s="22" t="s">
        <v>71</v>
      </c>
      <c r="FE8" s="84" t="s">
        <v>72</v>
      </c>
      <c r="FG8" s="74" t="s">
        <v>68</v>
      </c>
      <c r="FH8" s="22" t="s">
        <v>69</v>
      </c>
      <c r="FI8" s="22" t="s">
        <v>70</v>
      </c>
      <c r="FJ8" s="22" t="s">
        <v>71</v>
      </c>
      <c r="FK8" s="84" t="s">
        <v>72</v>
      </c>
      <c r="FM8" s="74" t="s">
        <v>68</v>
      </c>
      <c r="FN8" s="22" t="s">
        <v>69</v>
      </c>
      <c r="FO8" s="22" t="s">
        <v>70</v>
      </c>
      <c r="FP8" s="22" t="s">
        <v>71</v>
      </c>
      <c r="FQ8" s="84" t="s">
        <v>72</v>
      </c>
      <c r="FS8" s="74" t="s">
        <v>68</v>
      </c>
      <c r="FT8" s="22" t="s">
        <v>69</v>
      </c>
      <c r="FU8" s="22" t="s">
        <v>70</v>
      </c>
      <c r="FV8" s="22" t="s">
        <v>71</v>
      </c>
      <c r="FW8" s="84" t="s">
        <v>72</v>
      </c>
      <c r="FY8" s="74" t="s">
        <v>68</v>
      </c>
      <c r="FZ8" s="22" t="s">
        <v>69</v>
      </c>
      <c r="GA8" s="22" t="s">
        <v>70</v>
      </c>
      <c r="GB8" s="22" t="s">
        <v>71</v>
      </c>
      <c r="GC8" s="84" t="s">
        <v>72</v>
      </c>
      <c r="GE8" s="74" t="s">
        <v>68</v>
      </c>
      <c r="GF8" s="22" t="s">
        <v>69</v>
      </c>
      <c r="GG8" s="22" t="s">
        <v>70</v>
      </c>
      <c r="GH8" s="22" t="s">
        <v>71</v>
      </c>
      <c r="GI8" s="84" t="s">
        <v>72</v>
      </c>
      <c r="GK8" s="74" t="s">
        <v>68</v>
      </c>
      <c r="GL8" s="22" t="s">
        <v>69</v>
      </c>
      <c r="GM8" s="22" t="s">
        <v>70</v>
      </c>
      <c r="GN8" s="22" t="s">
        <v>71</v>
      </c>
      <c r="GO8" s="84" t="s">
        <v>72</v>
      </c>
    </row>
    <row r="9" spans="2:197" x14ac:dyDescent="0.25">
      <c r="B9" s="106">
        <v>1</v>
      </c>
      <c r="C9" s="109" t="e">
        <f ca="1" xml:space="preserve"> _xll.RiskPert(Dur_Swim_hours_min,Dur_Swim_hours_mode,Dur_Swim_hours_max)</f>
        <v>#NAME?</v>
      </c>
      <c r="D9" s="33" t="e">
        <f ca="1">_xll.RiskLognorm(Primary_Ing_Rate_mL_per_hour_mean,Primary_Ing_Rate_mL_per_hour_sd, _xll.RiskTruncate(Primary_Ing_Rate_mL_per_hour_min,Primary_Ing_Rate_mL_per_hour_max))</f>
        <v>#NAME?</v>
      </c>
      <c r="E9" s="41" t="e">
        <f ca="1">C9*D9</f>
        <v>#NAME?</v>
      </c>
      <c r="G9" s="85" t="e">
        <f ca="1">$E9*J$3/V</f>
        <v>#NAME?</v>
      </c>
      <c r="H9" s="40" t="e">
        <f ca="1">INT(G9) + _xll.RiskBinomial(1,G9-INT(G9))</f>
        <v>#NAME?</v>
      </c>
      <c r="I9" s="33" t="e">
        <f t="shared" ref="I9:I72" ca="1" si="0" xml:space="preserve"> Prob__susceptible_to_Nov_infection *  MAX(1-EXP((GAMMALN(beta_nov+H9)+GAMMALN(alpha_nov+beta_nov)-GAMMALN(alpha_nov+beta_nov+H9)-GAMMALN(beta_nov))),0)</f>
        <v>#NAME?</v>
      </c>
      <c r="J9" s="38" t="e">
        <f ca="1">_xll.RiskBinomial(1,I9)</f>
        <v>#NAME?</v>
      </c>
      <c r="K9" s="86" t="e">
        <f ca="1">IF(J9=1,_xll.RiskBinomial(1,Prob_illness_Noro_infection),0)</f>
        <v>#NAME?</v>
      </c>
      <c r="M9" s="85" t="e">
        <f ca="1">$E9*P$3/V</f>
        <v>#NAME?</v>
      </c>
      <c r="N9" s="40" t="e">
        <f ca="1">INT(M9) + _xll.RiskBinomial(1,M9-INT(M9))</f>
        <v>#NAME?</v>
      </c>
      <c r="O9" s="33" t="e">
        <f t="shared" ref="O9:O72" ca="1" si="1" xml:space="preserve"> Prob__susceptible_to_Nov_infection *  MAX(1-EXP((GAMMALN(beta_nov+N9)+GAMMALN(alpha_nov+beta_nov)-GAMMALN(alpha_nov+beta_nov+N9)-GAMMALN(beta_nov))),0)</f>
        <v>#NAME?</v>
      </c>
      <c r="P9" s="38" t="e">
        <f ca="1">_xll.RiskBinomial(1,O9)</f>
        <v>#NAME?</v>
      </c>
      <c r="Q9" s="86" t="e">
        <f ca="1">IF(P9=1,_xll.RiskBinomial(1,Prob_illness_Noro_infection),0)</f>
        <v>#NAME?</v>
      </c>
      <c r="S9" s="85" t="e">
        <f ca="1">$E9*V$3/V</f>
        <v>#NAME?</v>
      </c>
      <c r="T9" s="40" t="e">
        <f ca="1">INT(S9) + _xll.RiskBinomial(1,S9-INT(S9))</f>
        <v>#NAME?</v>
      </c>
      <c r="U9" s="33" t="e">
        <f t="shared" ref="U9:U72" ca="1" si="2" xml:space="preserve"> Prob__susceptible_to_Nov_infection *  MAX(1-EXP((GAMMALN(beta_nov+T9)+GAMMALN(alpha_nov+beta_nov)-GAMMALN(alpha_nov+beta_nov+T9)-GAMMALN(beta_nov))),0)</f>
        <v>#NAME?</v>
      </c>
      <c r="V9" s="38" t="e">
        <f ca="1">_xll.RiskBinomial(1,U9)</f>
        <v>#NAME?</v>
      </c>
      <c r="W9" s="86" t="e">
        <f ca="1">IF(V9=1,_xll.RiskBinomial(1,Prob_illness_Noro_infection),0)</f>
        <v>#NAME?</v>
      </c>
      <c r="Y9" s="85" t="e">
        <f t="shared" ref="Y9:Y72" ca="1" si="3">$E9*AB$3/V</f>
        <v>#NAME?</v>
      </c>
      <c r="Z9" s="40" t="e">
        <f ca="1">INT(Y9) + _xll.RiskBinomial(1,Y9-INT(Y9))</f>
        <v>#NAME?</v>
      </c>
      <c r="AA9" s="33" t="e">
        <f t="shared" ref="AA9:AA72" ca="1" si="4" xml:space="preserve"> Prob__susceptible_to_Nov_infection *  MAX(1-EXP((GAMMALN(beta_nov+Z9)+GAMMALN(alpha_nov+beta_nov)-GAMMALN(alpha_nov+beta_nov+Z9)-GAMMALN(beta_nov))),0)</f>
        <v>#NAME?</v>
      </c>
      <c r="AB9" s="38" t="e">
        <f ca="1">_xll.RiskBinomial(1,AA9)</f>
        <v>#NAME?</v>
      </c>
      <c r="AC9" s="86" t="e">
        <f ca="1">IF(AB9=1,_xll.RiskBinomial(1,Prob_illness_Noro_infection),0)</f>
        <v>#NAME?</v>
      </c>
      <c r="AE9" s="85" t="e">
        <f t="shared" ref="AE9:AE72" ca="1" si="5">$E9*AH$3/V</f>
        <v>#NAME?</v>
      </c>
      <c r="AF9" s="40" t="e">
        <f ca="1">INT(AE9) + _xll.RiskBinomial(1,AE9-INT(AE9))</f>
        <v>#NAME?</v>
      </c>
      <c r="AG9" s="33" t="e">
        <f t="shared" ref="AG9:AG72" ca="1" si="6" xml:space="preserve"> Prob__susceptible_to_Nov_infection *  MAX(1-EXP((GAMMALN(beta_nov+AF9)+GAMMALN(alpha_nov+beta_nov)-GAMMALN(alpha_nov+beta_nov+AF9)-GAMMALN(beta_nov))),0)</f>
        <v>#NAME?</v>
      </c>
      <c r="AH9" s="38" t="e">
        <f ca="1">_xll.RiskBinomial(1,AG9)</f>
        <v>#NAME?</v>
      </c>
      <c r="AI9" s="86" t="e">
        <f ca="1">IF(AH9=1,_xll.RiskBinomial(1,Prob_illness_Noro_infection),0)</f>
        <v>#NAME?</v>
      </c>
      <c r="AK9" s="85" t="e">
        <f t="shared" ref="AK9:AK72" ca="1" si="7">$E9*AN$3/V</f>
        <v>#NAME?</v>
      </c>
      <c r="AL9" s="40" t="e">
        <f ca="1">INT(AK9) + _xll.RiskBinomial(1,AK9-INT(AK9))</f>
        <v>#NAME?</v>
      </c>
      <c r="AM9" s="33" t="e">
        <f t="shared" ref="AM9:AM72" ca="1" si="8" xml:space="preserve"> Prob__susceptible_to_Nov_infection *  MAX(1-EXP((GAMMALN(beta_nov+AL9)+GAMMALN(alpha_nov+beta_nov)-GAMMALN(alpha_nov+beta_nov+AL9)-GAMMALN(beta_nov))),0)</f>
        <v>#NAME?</v>
      </c>
      <c r="AN9" s="38" t="e">
        <f ca="1">_xll.RiskBinomial(1,AM9)</f>
        <v>#NAME?</v>
      </c>
      <c r="AO9" s="86" t="e">
        <f ca="1">IF(AN9=1,_xll.RiskBinomial(1,Prob_illness_Noro_infection),0)</f>
        <v>#NAME?</v>
      </c>
      <c r="AQ9" s="85" t="e">
        <f t="shared" ref="AQ9:AQ40" ca="1" si="9">$E9*AT$3/V</f>
        <v>#NAME?</v>
      </c>
      <c r="AR9" s="40" t="e">
        <f ca="1">INT(AQ9) + _xll.RiskBinomial(1,AQ9-INT(AQ9))</f>
        <v>#NAME?</v>
      </c>
      <c r="AS9" s="33" t="e">
        <f t="shared" ref="AS9:AS72" ca="1" si="10" xml:space="preserve"> Prob__susceptible_to_Nov_infection *  MAX(1-EXP((GAMMALN(beta_nov+AR9)+GAMMALN(alpha_nov+beta_nov)-GAMMALN(alpha_nov+beta_nov+AR9)-GAMMALN(beta_nov))),0)</f>
        <v>#NAME?</v>
      </c>
      <c r="AT9" s="38" t="e">
        <f ca="1">_xll.RiskBinomial(1,AS9)</f>
        <v>#NAME?</v>
      </c>
      <c r="AU9" s="86" t="e">
        <f ca="1">IF(AT9=1,_xll.RiskBinomial(1,Prob_illness_Noro_infection),0)</f>
        <v>#NAME?</v>
      </c>
      <c r="AW9" s="85" t="e">
        <f ca="1">$E9*AZ$3/V</f>
        <v>#NAME?</v>
      </c>
      <c r="AX9" s="40" t="e">
        <f ca="1">INT(AW9) + _xll.RiskBinomial(1,AW9-INT(AW9))</f>
        <v>#NAME?</v>
      </c>
      <c r="AY9" s="33" t="e">
        <f t="shared" ref="AY9:AY72" ca="1" si="11" xml:space="preserve"> Prob__susceptible_to_Nov_infection *  MAX(1-EXP((GAMMALN(beta_nov+AX9)+GAMMALN(alpha_nov+beta_nov)-GAMMALN(alpha_nov+beta_nov+AX9)-GAMMALN(beta_nov))),0)</f>
        <v>#NAME?</v>
      </c>
      <c r="AZ9" s="38" t="e">
        <f ca="1">_xll.RiskBinomial(1,AY9)</f>
        <v>#NAME?</v>
      </c>
      <c r="BA9" s="86" t="e">
        <f ca="1">IF(AZ9=1,_xll.RiskBinomial(1,Prob_illness_Noro_infection),0)</f>
        <v>#NAME?</v>
      </c>
      <c r="BC9" s="85" t="e">
        <f ca="1">$E9*BF$3/V</f>
        <v>#NAME?</v>
      </c>
      <c r="BD9" s="40" t="e">
        <f ca="1">INT(BC9) + _xll.RiskBinomial(1,BC9-INT(BC9))</f>
        <v>#NAME?</v>
      </c>
      <c r="BE9" s="33" t="e">
        <f t="shared" ref="BE9:BE72" ca="1" si="12" xml:space="preserve"> Prob__susceptible_to_Nov_infection *  MAX(1-EXP((GAMMALN(beta_nov+BD9)+GAMMALN(alpha_nov+beta_nov)-GAMMALN(alpha_nov+beta_nov+BD9)-GAMMALN(beta_nov))),0)</f>
        <v>#NAME?</v>
      </c>
      <c r="BF9" s="38" t="e">
        <f ca="1">_xll.RiskBinomial(1,BE9)</f>
        <v>#NAME?</v>
      </c>
      <c r="BG9" s="86" t="e">
        <f ca="1">IF(BF9=1,_xll.RiskBinomial(1,Prob_illness_Noro_infection),0)</f>
        <v>#NAME?</v>
      </c>
      <c r="BI9" s="85" t="e">
        <f ca="1">$E9*BL$3/V</f>
        <v>#NAME?</v>
      </c>
      <c r="BJ9" s="40" t="e">
        <f ca="1">INT(BI9) + _xll.RiskBinomial(1,BI9-INT(BI9))</f>
        <v>#NAME?</v>
      </c>
      <c r="BK9" s="33" t="e">
        <f t="shared" ref="BK9:BK72" ca="1" si="13" xml:space="preserve"> Prob__susceptible_to_Nov_infection *  MAX(1-EXP((GAMMALN(beta_nov+BJ9)+GAMMALN(alpha_nov+beta_nov)-GAMMALN(alpha_nov+beta_nov+BJ9)-GAMMALN(beta_nov))),0)</f>
        <v>#NAME?</v>
      </c>
      <c r="BL9" s="38" t="e">
        <f ca="1">_xll.RiskBinomial(1,BK9)</f>
        <v>#NAME?</v>
      </c>
      <c r="BM9" s="86" t="e">
        <f ca="1">IF(BL9=1,_xll.RiskBinomial(1,Prob_illness_Noro_infection),0)</f>
        <v>#NAME?</v>
      </c>
      <c r="BO9" s="85" t="e">
        <f ca="1">$E9*BR$3/V</f>
        <v>#NAME?</v>
      </c>
      <c r="BP9" s="40" t="e">
        <f ca="1">INT(BO9) + _xll.RiskBinomial(1,BO9-INT(BO9))</f>
        <v>#NAME?</v>
      </c>
      <c r="BQ9" s="33" t="e">
        <f t="shared" ref="BQ9:BQ72" ca="1" si="14" xml:space="preserve"> Prob__susceptible_to_Nov_infection *  MAX(1-EXP((GAMMALN(beta_nov+BP9)+GAMMALN(alpha_nov+beta_nov)-GAMMALN(alpha_nov+beta_nov+BP9)-GAMMALN(beta_nov))),0)</f>
        <v>#NAME?</v>
      </c>
      <c r="BR9" s="38" t="e">
        <f ca="1">_xll.RiskBinomial(1,BQ9)</f>
        <v>#NAME?</v>
      </c>
      <c r="BS9" s="86" t="e">
        <f ca="1">IF(BR9=1,_xll.RiskBinomial(1,Prob_illness_Noro_infection),0)</f>
        <v>#NAME?</v>
      </c>
      <c r="BU9" s="85" t="e">
        <f ca="1">$E9*BX$3/V</f>
        <v>#NAME?</v>
      </c>
      <c r="BV9" s="40" t="e">
        <f ca="1">INT(BU9) + _xll.RiskBinomial(1,BU9-INT(BU9))</f>
        <v>#NAME?</v>
      </c>
      <c r="BW9" s="33" t="e">
        <f t="shared" ref="BW9:BW72" ca="1" si="15" xml:space="preserve"> Prob__susceptible_to_Nov_infection *  MAX(1-EXP((GAMMALN(beta_nov+BV9)+GAMMALN(alpha_nov+beta_nov)-GAMMALN(alpha_nov+beta_nov+BV9)-GAMMALN(beta_nov))),0)</f>
        <v>#NAME?</v>
      </c>
      <c r="BX9" s="38" t="e">
        <f ca="1">_xll.RiskBinomial(1,BW9)</f>
        <v>#NAME?</v>
      </c>
      <c r="BY9" s="86" t="e">
        <f ca="1">IF(BX9=1,_xll.RiskBinomial(1,Prob_illness_Noro_infection),0)</f>
        <v>#NAME?</v>
      </c>
      <c r="CA9" s="85" t="e">
        <f ca="1">$E9*CD$3/V</f>
        <v>#NAME?</v>
      </c>
      <c r="CB9" s="40" t="e">
        <f ca="1">INT(CA9) + _xll.RiskBinomial(1,CA9-INT(CA9))</f>
        <v>#NAME?</v>
      </c>
      <c r="CC9" s="33" t="e">
        <f t="shared" ref="CC9:CC72" ca="1" si="16" xml:space="preserve"> Prob__susceptible_to_Nov_infection *  MAX(1-EXP((GAMMALN(beta_nov+CB9)+GAMMALN(alpha_nov+beta_nov)-GAMMALN(alpha_nov+beta_nov+CB9)-GAMMALN(beta_nov))),0)</f>
        <v>#NAME?</v>
      </c>
      <c r="CD9" s="38" t="e">
        <f ca="1">_xll.RiskBinomial(1,CC9)</f>
        <v>#NAME?</v>
      </c>
      <c r="CE9" s="86" t="e">
        <f ca="1">IF(CD9=1,_xll.RiskBinomial(1,Prob_illness_Noro_infection),0)</f>
        <v>#NAME?</v>
      </c>
      <c r="CG9" s="85" t="e">
        <f ca="1">$E9*CJ$3/V</f>
        <v>#NAME?</v>
      </c>
      <c r="CH9" s="40" t="e">
        <f ca="1">INT(CG9) + _xll.RiskBinomial(1,CG9-INT(CG9))</f>
        <v>#NAME?</v>
      </c>
      <c r="CI9" s="33" t="e">
        <f t="shared" ref="CI9:CI72" ca="1" si="17" xml:space="preserve"> Prob__susceptible_to_Nov_infection *  MAX(1-EXP((GAMMALN(beta_nov+CH9)+GAMMALN(alpha_nov+beta_nov)-GAMMALN(alpha_nov+beta_nov+CH9)-GAMMALN(beta_nov))),0)</f>
        <v>#NAME?</v>
      </c>
      <c r="CJ9" s="38" t="e">
        <f ca="1">_xll.RiskBinomial(1,CI9)</f>
        <v>#NAME?</v>
      </c>
      <c r="CK9" s="86" t="e">
        <f ca="1">IF(CJ9=1,_xll.RiskBinomial(1,Prob_illness_Noro_infection),0)</f>
        <v>#NAME?</v>
      </c>
      <c r="CM9" s="85" t="e">
        <f ca="1">$E9*CP$3/V</f>
        <v>#NAME?</v>
      </c>
      <c r="CN9" s="40" t="e">
        <f ca="1">INT(CM9) + _xll.RiskBinomial(1,CM9-INT(CM9))</f>
        <v>#NAME?</v>
      </c>
      <c r="CO9" s="33" t="e">
        <f t="shared" ref="CO9:CO72" ca="1" si="18" xml:space="preserve"> Prob__susceptible_to_Nov_infection *  MAX(1-EXP((GAMMALN(beta_nov+CN9)+GAMMALN(alpha_nov+beta_nov)-GAMMALN(alpha_nov+beta_nov+CN9)-GAMMALN(beta_nov))),0)</f>
        <v>#NAME?</v>
      </c>
      <c r="CP9" s="38" t="e">
        <f ca="1">_xll.RiskBinomial(1,CO9)</f>
        <v>#NAME?</v>
      </c>
      <c r="CQ9" s="86" t="e">
        <f ca="1">IF(CP9=1,_xll.RiskBinomial(1,Prob_illness_Noro_infection),0)</f>
        <v>#NAME?</v>
      </c>
      <c r="CS9" s="85" t="e">
        <f ca="1">$E9*CV$3/V</f>
        <v>#NAME?</v>
      </c>
      <c r="CT9" s="40" t="e">
        <f ca="1">INT(CS9) + _xll.RiskBinomial(1,CS9-INT(CS9))</f>
        <v>#NAME?</v>
      </c>
      <c r="CU9" s="33" t="e">
        <f t="shared" ref="CU9:CU72" ca="1" si="19" xml:space="preserve"> Prob__susceptible_to_Nov_infection *  MAX(1-EXP((GAMMALN(beta_nov+CT9)+GAMMALN(alpha_nov+beta_nov)-GAMMALN(alpha_nov+beta_nov+CT9)-GAMMALN(beta_nov))),0)</f>
        <v>#NAME?</v>
      </c>
      <c r="CV9" s="38" t="e">
        <f ca="1">_xll.RiskBinomial(1,CU9)</f>
        <v>#NAME?</v>
      </c>
      <c r="CW9" s="86" t="e">
        <f ca="1">IF(CV9=1,_xll.RiskBinomial(1,Prob_illness_Noro_infection),0)</f>
        <v>#NAME?</v>
      </c>
      <c r="CY9" s="85" t="e">
        <f ca="1">$E9*DB$3/V</f>
        <v>#NAME?</v>
      </c>
      <c r="CZ9" s="40" t="e">
        <f ca="1">INT(CY9) + _xll.RiskBinomial(1,CY9-INT(CY9))</f>
        <v>#NAME?</v>
      </c>
      <c r="DA9" s="33" t="e">
        <f t="shared" ref="DA9:DA72" ca="1" si="20" xml:space="preserve"> Prob__susceptible_to_Nov_infection *  MAX(1-EXP((GAMMALN(beta_nov+CZ9)+GAMMALN(alpha_nov+beta_nov)-GAMMALN(alpha_nov+beta_nov+CZ9)-GAMMALN(beta_nov))),0)</f>
        <v>#NAME?</v>
      </c>
      <c r="DB9" s="38" t="e">
        <f ca="1">_xll.RiskBinomial(1,DA9)</f>
        <v>#NAME?</v>
      </c>
      <c r="DC9" s="86" t="e">
        <f ca="1">IF(DB9=1,_xll.RiskBinomial(1,Prob_illness_Noro_infection),0)</f>
        <v>#NAME?</v>
      </c>
      <c r="DE9" s="85" t="e">
        <f ca="1">$E9*DH$3/V</f>
        <v>#NAME?</v>
      </c>
      <c r="DF9" s="40" t="e">
        <f ca="1">INT(DE9) + _xll.RiskBinomial(1,DE9-INT(DE9))</f>
        <v>#NAME?</v>
      </c>
      <c r="DG9" s="33" t="e">
        <f t="shared" ref="DG9:DG72" ca="1" si="21" xml:space="preserve"> Prob__susceptible_to_Nov_infection *  MAX(1-EXP((GAMMALN(beta_nov+DF9)+GAMMALN(alpha_nov+beta_nov)-GAMMALN(alpha_nov+beta_nov+DF9)-GAMMALN(beta_nov))),0)</f>
        <v>#NAME?</v>
      </c>
      <c r="DH9" s="38" t="e">
        <f ca="1">_xll.RiskBinomial(1,DG9)</f>
        <v>#NAME?</v>
      </c>
      <c r="DI9" s="86" t="e">
        <f ca="1">IF(DH9=1,_xll.RiskBinomial(1,Prob_illness_Noro_infection),0)</f>
        <v>#NAME?</v>
      </c>
      <c r="DK9" s="85" t="e">
        <f ca="1">$E9*DN$3/V</f>
        <v>#NAME?</v>
      </c>
      <c r="DL9" s="40" t="e">
        <f ca="1">INT(DK9) + _xll.RiskBinomial(1,DK9-INT(DK9))</f>
        <v>#NAME?</v>
      </c>
      <c r="DM9" s="33" t="e">
        <f t="shared" ref="DM9:DM72" ca="1" si="22" xml:space="preserve"> Prob__susceptible_to_Nov_infection *  MAX(1-EXP((GAMMALN(beta_nov+DL9)+GAMMALN(alpha_nov+beta_nov)-GAMMALN(alpha_nov+beta_nov+DL9)-GAMMALN(beta_nov))),0)</f>
        <v>#NAME?</v>
      </c>
      <c r="DN9" s="38" t="e">
        <f ca="1">_xll.RiskBinomial(1,DM9)</f>
        <v>#NAME?</v>
      </c>
      <c r="DO9" s="86" t="e">
        <f ca="1">IF(DN9=1,_xll.RiskBinomial(1,Prob_illness_Noro_infection),0)</f>
        <v>#NAME?</v>
      </c>
      <c r="DQ9" s="85" t="e">
        <f ca="1">$E9*DT$3/V</f>
        <v>#NAME?</v>
      </c>
      <c r="DR9" s="40" t="e">
        <f ca="1">INT(DQ9) + _xll.RiskBinomial(1,DQ9-INT(DQ9))</f>
        <v>#NAME?</v>
      </c>
      <c r="DS9" s="33" t="e">
        <f t="shared" ref="DS9:DS72" ca="1" si="23" xml:space="preserve"> Prob__susceptible_to_Nov_infection *  MAX(1-EXP((GAMMALN(beta_nov+DR9)+GAMMALN(alpha_nov+beta_nov)-GAMMALN(alpha_nov+beta_nov+DR9)-GAMMALN(beta_nov))),0)</f>
        <v>#NAME?</v>
      </c>
      <c r="DT9" s="38" t="e">
        <f ca="1">_xll.RiskBinomial(1,DS9)</f>
        <v>#NAME?</v>
      </c>
      <c r="DU9" s="86" t="e">
        <f ca="1">IF(DT9=1,_xll.RiskBinomial(1,Prob_illness_Noro_infection),0)</f>
        <v>#NAME?</v>
      </c>
      <c r="DW9" s="85" t="e">
        <f ca="1">$E9*DZ$3/V</f>
        <v>#NAME?</v>
      </c>
      <c r="DX9" s="40" t="e">
        <f ca="1">INT(DW9) + _xll.RiskBinomial(1,DW9-INT(DW9))</f>
        <v>#NAME?</v>
      </c>
      <c r="DY9" s="33" t="e">
        <f t="shared" ref="DY9:DY72" ca="1" si="24" xml:space="preserve"> Prob__susceptible_to_Nov_infection *  MAX(1-EXP((GAMMALN(beta_nov+DX9)+GAMMALN(alpha_nov+beta_nov)-GAMMALN(alpha_nov+beta_nov+DX9)-GAMMALN(beta_nov))),0)</f>
        <v>#NAME?</v>
      </c>
      <c r="DZ9" s="38" t="e">
        <f ca="1">_xll.RiskBinomial(1,DY9)</f>
        <v>#NAME?</v>
      </c>
      <c r="EA9" s="86" t="e">
        <f ca="1">IF(DZ9=1,_xll.RiskBinomial(1,Prob_illness_Noro_infection),0)</f>
        <v>#NAME?</v>
      </c>
      <c r="EC9" s="85" t="e">
        <f ca="1">$E9*EF$3/V</f>
        <v>#NAME?</v>
      </c>
      <c r="ED9" s="40" t="e">
        <f ca="1">INT(EC9) + _xll.RiskBinomial(1,EC9-INT(EC9))</f>
        <v>#NAME?</v>
      </c>
      <c r="EE9" s="33" t="e">
        <f t="shared" ref="EE9:EE72" ca="1" si="25" xml:space="preserve"> Prob__susceptible_to_Nov_infection *  MAX(1-EXP((GAMMALN(beta_nov+ED9)+GAMMALN(alpha_nov+beta_nov)-GAMMALN(alpha_nov+beta_nov+ED9)-GAMMALN(beta_nov))),0)</f>
        <v>#NAME?</v>
      </c>
      <c r="EF9" s="38" t="e">
        <f ca="1">_xll.RiskBinomial(1,EE9)</f>
        <v>#NAME?</v>
      </c>
      <c r="EG9" s="86" t="e">
        <f ca="1">IF(EF9=1,_xll.RiskBinomial(1,Prob_illness_Noro_infection),0)</f>
        <v>#NAME?</v>
      </c>
      <c r="EI9" s="85" t="e">
        <f ca="1">$E9*EL$3/V</f>
        <v>#NAME?</v>
      </c>
      <c r="EJ9" s="40" t="e">
        <f ca="1">INT(EI9) + _xll.RiskBinomial(1,EI9-INT(EI9))</f>
        <v>#NAME?</v>
      </c>
      <c r="EK9" s="33" t="e">
        <f t="shared" ref="EK9:EK72" ca="1" si="26" xml:space="preserve"> Prob__susceptible_to_Nov_infection *  MAX(1-EXP((GAMMALN(beta_nov+EJ9)+GAMMALN(alpha_nov+beta_nov)-GAMMALN(alpha_nov+beta_nov+EJ9)-GAMMALN(beta_nov))),0)</f>
        <v>#NAME?</v>
      </c>
      <c r="EL9" s="38" t="e">
        <f ca="1">_xll.RiskBinomial(1,EK9)</f>
        <v>#NAME?</v>
      </c>
      <c r="EM9" s="86" t="e">
        <f ca="1">IF(EL9=1,_xll.RiskBinomial(1,Prob_illness_Noro_infection),0)</f>
        <v>#NAME?</v>
      </c>
      <c r="EO9" s="85" t="e">
        <f ca="1">$E9*ER$3/V</f>
        <v>#NAME?</v>
      </c>
      <c r="EP9" s="40" t="e">
        <f ca="1">INT(EO9) + _xll.RiskBinomial(1,EO9-INT(EO9))</f>
        <v>#NAME?</v>
      </c>
      <c r="EQ9" s="33" t="e">
        <f t="shared" ref="EQ9:EQ72" ca="1" si="27" xml:space="preserve"> Prob__susceptible_to_Nov_infection *  MAX(1-EXP((GAMMALN(beta_nov+EP9)+GAMMALN(alpha_nov+beta_nov)-GAMMALN(alpha_nov+beta_nov+EP9)-GAMMALN(beta_nov))),0)</f>
        <v>#NAME?</v>
      </c>
      <c r="ER9" s="38" t="e">
        <f ca="1">_xll.RiskBinomial(1,EQ9)</f>
        <v>#NAME?</v>
      </c>
      <c r="ES9" s="86" t="e">
        <f ca="1">IF(ER9=1,_xll.RiskBinomial(1,Prob_illness_Noro_infection),0)</f>
        <v>#NAME?</v>
      </c>
      <c r="EU9" s="85" t="e">
        <f ca="1">$E9*EX$3/V</f>
        <v>#NAME?</v>
      </c>
      <c r="EV9" s="40" t="e">
        <f ca="1">INT(EU9) + _xll.RiskBinomial(1,EU9-INT(EU9))</f>
        <v>#NAME?</v>
      </c>
      <c r="EW9" s="33" t="e">
        <f t="shared" ref="EW9:EW72" ca="1" si="28" xml:space="preserve"> Prob__susceptible_to_Nov_infection *  MAX(1-EXP((GAMMALN(beta_nov+EV9)+GAMMALN(alpha_nov+beta_nov)-GAMMALN(alpha_nov+beta_nov+EV9)-GAMMALN(beta_nov))),0)</f>
        <v>#NAME?</v>
      </c>
      <c r="EX9" s="38" t="e">
        <f ca="1">_xll.RiskBinomial(1,EW9)</f>
        <v>#NAME?</v>
      </c>
      <c r="EY9" s="86" t="e">
        <f ca="1">IF(EX9=1,_xll.RiskBinomial(1,Prob_illness_Noro_infection),0)</f>
        <v>#NAME?</v>
      </c>
      <c r="FA9" s="85" t="e">
        <f ca="1">$E9*FD$3/V</f>
        <v>#NAME?</v>
      </c>
      <c r="FB9" s="40" t="e">
        <f ca="1">INT(FA9) + _xll.RiskBinomial(1,FA9-INT(FA9))</f>
        <v>#NAME?</v>
      </c>
      <c r="FC9" s="33" t="e">
        <f t="shared" ref="FC9:FC72" ca="1" si="29" xml:space="preserve"> Prob__susceptible_to_Nov_infection *  MAX(1-EXP((GAMMALN(beta_nov+FB9)+GAMMALN(alpha_nov+beta_nov)-GAMMALN(alpha_nov+beta_nov+FB9)-GAMMALN(beta_nov))),0)</f>
        <v>#NAME?</v>
      </c>
      <c r="FD9" s="38" t="e">
        <f ca="1">_xll.RiskBinomial(1,FC9)</f>
        <v>#NAME?</v>
      </c>
      <c r="FE9" s="86" t="e">
        <f ca="1">IF(FD9=1,_xll.RiskBinomial(1,Prob_illness_Noro_infection),0)</f>
        <v>#NAME?</v>
      </c>
      <c r="FG9" s="85" t="e">
        <f ca="1">$E9*FJ$3/V</f>
        <v>#NAME?</v>
      </c>
      <c r="FH9" s="40" t="e">
        <f ca="1">INT(FG9) + _xll.RiskBinomial(1,FG9-INT(FG9))</f>
        <v>#NAME?</v>
      </c>
      <c r="FI9" s="33" t="e">
        <f t="shared" ref="FI9:FI72" ca="1" si="30" xml:space="preserve"> Prob__susceptible_to_Nov_infection *  MAX(1-EXP((GAMMALN(beta_nov+FH9)+GAMMALN(alpha_nov+beta_nov)-GAMMALN(alpha_nov+beta_nov+FH9)-GAMMALN(beta_nov))),0)</f>
        <v>#NAME?</v>
      </c>
      <c r="FJ9" s="38" t="e">
        <f ca="1">_xll.RiskBinomial(1,FI9)</f>
        <v>#NAME?</v>
      </c>
      <c r="FK9" s="86" t="e">
        <f ca="1">IF(FJ9=1,_xll.RiskBinomial(1,Prob_illness_Noro_infection),0)</f>
        <v>#NAME?</v>
      </c>
      <c r="FM9" s="85" t="e">
        <f ca="1">$E9*FP$3/V</f>
        <v>#NAME?</v>
      </c>
      <c r="FN9" s="40" t="e">
        <f ca="1">INT(FM9) + _xll.RiskBinomial(1,FM9-INT(FM9))</f>
        <v>#NAME?</v>
      </c>
      <c r="FO9" s="33" t="e">
        <f t="shared" ref="FO9:FO72" ca="1" si="31" xml:space="preserve"> Prob__susceptible_to_Nov_infection *  MAX(1-EXP((GAMMALN(beta_nov+FN9)+GAMMALN(alpha_nov+beta_nov)-GAMMALN(alpha_nov+beta_nov+FN9)-GAMMALN(beta_nov))),0)</f>
        <v>#NAME?</v>
      </c>
      <c r="FP9" s="38" t="e">
        <f ca="1">_xll.RiskBinomial(1,FO9)</f>
        <v>#NAME?</v>
      </c>
      <c r="FQ9" s="86" t="e">
        <f ca="1">IF(FP9=1,_xll.RiskBinomial(1,Prob_illness_Noro_infection),0)</f>
        <v>#NAME?</v>
      </c>
      <c r="FS9" s="85" t="e">
        <f ca="1">$E9*FV$3/V</f>
        <v>#NAME?</v>
      </c>
      <c r="FT9" s="40" t="e">
        <f ca="1">INT(FS9) + _xll.RiskBinomial(1,FS9-INT(FS9))</f>
        <v>#NAME?</v>
      </c>
      <c r="FU9" s="33" t="e">
        <f t="shared" ref="FU9:FU72" ca="1" si="32" xml:space="preserve"> Prob__susceptible_to_Nov_infection *  MAX(1-EXP((GAMMALN(beta_nov+FT9)+GAMMALN(alpha_nov+beta_nov)-GAMMALN(alpha_nov+beta_nov+FT9)-GAMMALN(beta_nov))),0)</f>
        <v>#NAME?</v>
      </c>
      <c r="FV9" s="38" t="e">
        <f ca="1">_xll.RiskBinomial(1,FU9)</f>
        <v>#NAME?</v>
      </c>
      <c r="FW9" s="86" t="e">
        <f ca="1">IF(FV9=1,_xll.RiskBinomial(1,Prob_illness_Noro_infection),0)</f>
        <v>#NAME?</v>
      </c>
      <c r="FY9" s="85" t="e">
        <f ca="1">$E9*GB$3/V</f>
        <v>#NAME?</v>
      </c>
      <c r="FZ9" s="40" t="e">
        <f ca="1">INT(FY9) + _xll.RiskBinomial(1,FY9-INT(FY9))</f>
        <v>#NAME?</v>
      </c>
      <c r="GA9" s="33" t="e">
        <f t="shared" ref="GA9:GA72" ca="1" si="33" xml:space="preserve"> Prob__susceptible_to_Nov_infection *  MAX(1-EXP((GAMMALN(beta_nov+FZ9)+GAMMALN(alpha_nov+beta_nov)-GAMMALN(alpha_nov+beta_nov+FZ9)-GAMMALN(beta_nov))),0)</f>
        <v>#NAME?</v>
      </c>
      <c r="GB9" s="38" t="e">
        <f ca="1">_xll.RiskBinomial(1,GA9)</f>
        <v>#NAME?</v>
      </c>
      <c r="GC9" s="86" t="e">
        <f ca="1">IF(GB9=1,_xll.RiskBinomial(1,Prob_illness_Noro_infection),0)</f>
        <v>#NAME?</v>
      </c>
      <c r="GE9" s="85" t="e">
        <f ca="1">$E9*GH$3/V</f>
        <v>#NAME?</v>
      </c>
      <c r="GF9" s="40" t="e">
        <f ca="1">INT(GE9) + _xll.RiskBinomial(1,GE9-INT(GE9))</f>
        <v>#NAME?</v>
      </c>
      <c r="GG9" s="33" t="e">
        <f t="shared" ref="GG9:GG72" ca="1" si="34" xml:space="preserve"> Prob__susceptible_to_Nov_infection *  MAX(1-EXP((GAMMALN(beta_nov+GF9)+GAMMALN(alpha_nov+beta_nov)-GAMMALN(alpha_nov+beta_nov+GF9)-GAMMALN(beta_nov))),0)</f>
        <v>#NAME?</v>
      </c>
      <c r="GH9" s="38" t="e">
        <f ca="1">_xll.RiskBinomial(1,GG9)</f>
        <v>#NAME?</v>
      </c>
      <c r="GI9" s="86" t="e">
        <f ca="1">IF(GH9=1,_xll.RiskBinomial(1,Prob_illness_Noro_infection),0)</f>
        <v>#NAME?</v>
      </c>
      <c r="GK9" s="85" t="e">
        <f ca="1">$E9*GN$3/V</f>
        <v>#NAME?</v>
      </c>
      <c r="GL9" s="40" t="e">
        <f ca="1">INT(GK9) + _xll.RiskBinomial(1,GK9-INT(GK9))</f>
        <v>#NAME?</v>
      </c>
      <c r="GM9" s="33" t="e">
        <f t="shared" ref="GM9:GM72" ca="1" si="35" xml:space="preserve"> Prob__susceptible_to_Nov_infection *  MAX(1-EXP((GAMMALN(beta_nov+GL9)+GAMMALN(alpha_nov+beta_nov)-GAMMALN(alpha_nov+beta_nov+GL9)-GAMMALN(beta_nov))),0)</f>
        <v>#NAME?</v>
      </c>
      <c r="GN9" s="38" t="e">
        <f ca="1">_xll.RiskBinomial(1,GM9)</f>
        <v>#NAME?</v>
      </c>
      <c r="GO9" s="86" t="e">
        <f ca="1">IF(GN9=1,_xll.RiskBinomial(1,Prob_illness_Noro_infection),0)</f>
        <v>#NAME?</v>
      </c>
    </row>
    <row r="10" spans="2:197" x14ac:dyDescent="0.25">
      <c r="B10" s="106">
        <v>2</v>
      </c>
      <c r="C10" s="109" t="e">
        <f ca="1" xml:space="preserve"> _xll.RiskPert(Dur_Swim_hours_min,Dur_Swim_hours_mode,Dur_Swim_hours_max)</f>
        <v>#NAME?</v>
      </c>
      <c r="D10" s="33" t="e">
        <f ca="1">_xll.RiskLognorm(Primary_Ing_Rate_mL_per_hour_mean,Primary_Ing_Rate_mL_per_hour_sd, _xll.RiskTruncate(Primary_Ing_Rate_mL_per_hour_min,Primary_Ing_Rate_mL_per_hour_max))</f>
        <v>#NAME?</v>
      </c>
      <c r="E10" s="41" t="e">
        <f t="shared" ref="E10:E73" ca="1" si="36">C10*D10</f>
        <v>#NAME?</v>
      </c>
      <c r="G10" s="85" t="e">
        <f t="shared" ref="G10:G73" ca="1" si="37">$E10*J$3/V</f>
        <v>#NAME?</v>
      </c>
      <c r="H10" s="40" t="e">
        <f ca="1">INT(G10) + _xll.RiskBinomial(1,G10-INT(G10))</f>
        <v>#NAME?</v>
      </c>
      <c r="I10" s="33" t="e">
        <f t="shared" ca="1" si="0"/>
        <v>#NAME?</v>
      </c>
      <c r="J10" s="38" t="e">
        <f ca="1">_xll.RiskBinomial(1,I10)</f>
        <v>#NAME?</v>
      </c>
      <c r="K10" s="86" t="e">
        <f ca="1">IF(J10=1,_xll.RiskBinomial(1,Prob_illness_Noro_infection),0)</f>
        <v>#NAME?</v>
      </c>
      <c r="M10" s="85" t="e">
        <f t="shared" ref="M10:M72" ca="1" si="38">$E10*P$3/V</f>
        <v>#NAME?</v>
      </c>
      <c r="N10" s="40" t="e">
        <f ca="1">INT(M10) + _xll.RiskBinomial(1,M10-INT(M10))</f>
        <v>#NAME?</v>
      </c>
      <c r="O10" s="33" t="e">
        <f t="shared" ca="1" si="1"/>
        <v>#NAME?</v>
      </c>
      <c r="P10" s="38" t="e">
        <f ca="1">_xll.RiskBinomial(1,O10)</f>
        <v>#NAME?</v>
      </c>
      <c r="Q10" s="86" t="e">
        <f ca="1">IF(P10=1,_xll.RiskBinomial(1,Prob_illness_Noro_infection),0)</f>
        <v>#NAME?</v>
      </c>
      <c r="S10" s="85" t="e">
        <f t="shared" ref="S10:S72" ca="1" si="39">$E10*V$3/V</f>
        <v>#NAME?</v>
      </c>
      <c r="T10" s="40" t="e">
        <f ca="1">INT(S10) + _xll.RiskBinomial(1,S10-INT(S10))</f>
        <v>#NAME?</v>
      </c>
      <c r="U10" s="33" t="e">
        <f t="shared" ca="1" si="2"/>
        <v>#NAME?</v>
      </c>
      <c r="V10" s="38" t="e">
        <f ca="1">_xll.RiskBinomial(1,U10)</f>
        <v>#NAME?</v>
      </c>
      <c r="W10" s="86" t="e">
        <f ca="1">IF(V10=1,_xll.RiskBinomial(1,Prob_illness_Noro_infection),0)</f>
        <v>#NAME?</v>
      </c>
      <c r="Y10" s="85" t="e">
        <f t="shared" ca="1" si="3"/>
        <v>#NAME?</v>
      </c>
      <c r="Z10" s="40" t="e">
        <f ca="1">INT(Y10) + _xll.RiskBinomial(1,Y10-INT(Y10))</f>
        <v>#NAME?</v>
      </c>
      <c r="AA10" s="33" t="e">
        <f t="shared" ca="1" si="4"/>
        <v>#NAME?</v>
      </c>
      <c r="AB10" s="38" t="e">
        <f ca="1">_xll.RiskBinomial(1,AA10)</f>
        <v>#NAME?</v>
      </c>
      <c r="AC10" s="86" t="e">
        <f ca="1">IF(AB10=1,_xll.RiskBinomial(1,Prob_illness_Noro_infection),0)</f>
        <v>#NAME?</v>
      </c>
      <c r="AE10" s="85" t="e">
        <f t="shared" ca="1" si="5"/>
        <v>#NAME?</v>
      </c>
      <c r="AF10" s="40" t="e">
        <f ca="1">INT(AE10) + _xll.RiskBinomial(1,AE10-INT(AE10))</f>
        <v>#NAME?</v>
      </c>
      <c r="AG10" s="33" t="e">
        <f t="shared" ca="1" si="6"/>
        <v>#NAME?</v>
      </c>
      <c r="AH10" s="38" t="e">
        <f ca="1">_xll.RiskBinomial(1,AG10)</f>
        <v>#NAME?</v>
      </c>
      <c r="AI10" s="86" t="e">
        <f ca="1">IF(AH10=1,_xll.RiskBinomial(1,Prob_illness_Noro_infection),0)</f>
        <v>#NAME?</v>
      </c>
      <c r="AK10" s="85" t="e">
        <f t="shared" ca="1" si="7"/>
        <v>#NAME?</v>
      </c>
      <c r="AL10" s="40" t="e">
        <f ca="1">INT(AK10) + _xll.RiskBinomial(1,AK10-INT(AK10))</f>
        <v>#NAME?</v>
      </c>
      <c r="AM10" s="33" t="e">
        <f t="shared" ca="1" si="8"/>
        <v>#NAME?</v>
      </c>
      <c r="AN10" s="38" t="e">
        <f ca="1">_xll.RiskBinomial(1,AM10)</f>
        <v>#NAME?</v>
      </c>
      <c r="AO10" s="86" t="e">
        <f ca="1">IF(AN10=1,_xll.RiskBinomial(1,Prob_illness_Noro_infection),0)</f>
        <v>#NAME?</v>
      </c>
      <c r="AQ10" s="85" t="e">
        <f t="shared" ca="1" si="9"/>
        <v>#NAME?</v>
      </c>
      <c r="AR10" s="40" t="e">
        <f ca="1">INT(AQ10) + _xll.RiskBinomial(1,AQ10-INT(AQ10))</f>
        <v>#NAME?</v>
      </c>
      <c r="AS10" s="33" t="e">
        <f t="shared" ca="1" si="10"/>
        <v>#NAME?</v>
      </c>
      <c r="AT10" s="38" t="e">
        <f ca="1">_xll.RiskBinomial(1,AS10)</f>
        <v>#NAME?</v>
      </c>
      <c r="AU10" s="86" t="e">
        <f ca="1">IF(AT10=1,_xll.RiskBinomial(1,Prob_illness_Noro_infection),0)</f>
        <v>#NAME?</v>
      </c>
      <c r="AW10" s="85" t="e">
        <f t="shared" ref="AW10:AW73" ca="1" si="40">$E10*AZ$3/V</f>
        <v>#NAME?</v>
      </c>
      <c r="AX10" s="40" t="e">
        <f ca="1">INT(AW10) + _xll.RiskBinomial(1,AW10-INT(AW10))</f>
        <v>#NAME?</v>
      </c>
      <c r="AY10" s="33" t="e">
        <f t="shared" ca="1" si="11"/>
        <v>#NAME?</v>
      </c>
      <c r="AZ10" s="38" t="e">
        <f ca="1">_xll.RiskBinomial(1,AY10)</f>
        <v>#NAME?</v>
      </c>
      <c r="BA10" s="86" t="e">
        <f ca="1">IF(AZ10=1,_xll.RiskBinomial(1,Prob_illness_Noro_infection),0)</f>
        <v>#NAME?</v>
      </c>
      <c r="BC10" s="85" t="e">
        <f t="shared" ref="BC10:BC73" ca="1" si="41">$E10*BF$3/V</f>
        <v>#NAME?</v>
      </c>
      <c r="BD10" s="40" t="e">
        <f ca="1">INT(BC10) + _xll.RiskBinomial(1,BC10-INT(BC10))</f>
        <v>#NAME?</v>
      </c>
      <c r="BE10" s="33" t="e">
        <f t="shared" ca="1" si="12"/>
        <v>#NAME?</v>
      </c>
      <c r="BF10" s="38" t="e">
        <f ca="1">_xll.RiskBinomial(1,BE10)</f>
        <v>#NAME?</v>
      </c>
      <c r="BG10" s="86" t="e">
        <f ca="1">IF(BF10=1,_xll.RiskBinomial(1,Prob_illness_Noro_infection),0)</f>
        <v>#NAME?</v>
      </c>
      <c r="BI10" s="85" t="e">
        <f t="shared" ref="BI10:BI73" ca="1" si="42">$E10*BL$3/V</f>
        <v>#NAME?</v>
      </c>
      <c r="BJ10" s="40" t="e">
        <f ca="1">INT(BI10) + _xll.RiskBinomial(1,BI10-INT(BI10))</f>
        <v>#NAME?</v>
      </c>
      <c r="BK10" s="33" t="e">
        <f t="shared" ca="1" si="13"/>
        <v>#NAME?</v>
      </c>
      <c r="BL10" s="38" t="e">
        <f ca="1">_xll.RiskBinomial(1,BK10)</f>
        <v>#NAME?</v>
      </c>
      <c r="BM10" s="86" t="e">
        <f ca="1">IF(BL10=1,_xll.RiskBinomial(1,Prob_illness_Noro_infection),0)</f>
        <v>#NAME?</v>
      </c>
      <c r="BO10" s="85" t="e">
        <f t="shared" ref="BO10:BO73" ca="1" si="43">$E10*BR$3/V</f>
        <v>#NAME?</v>
      </c>
      <c r="BP10" s="40" t="e">
        <f ca="1">INT(BO10) + _xll.RiskBinomial(1,BO10-INT(BO10))</f>
        <v>#NAME?</v>
      </c>
      <c r="BQ10" s="33" t="e">
        <f t="shared" ca="1" si="14"/>
        <v>#NAME?</v>
      </c>
      <c r="BR10" s="38" t="e">
        <f ca="1">_xll.RiskBinomial(1,BQ10)</f>
        <v>#NAME?</v>
      </c>
      <c r="BS10" s="86" t="e">
        <f ca="1">IF(BR10=1,_xll.RiskBinomial(1,Prob_illness_Noro_infection),0)</f>
        <v>#NAME?</v>
      </c>
      <c r="BU10" s="85" t="e">
        <f t="shared" ref="BU10:BU73" ca="1" si="44">$E10*BX$3/V</f>
        <v>#NAME?</v>
      </c>
      <c r="BV10" s="40" t="e">
        <f ca="1">INT(BU10) + _xll.RiskBinomial(1,BU10-INT(BU10))</f>
        <v>#NAME?</v>
      </c>
      <c r="BW10" s="33" t="e">
        <f t="shared" ca="1" si="15"/>
        <v>#NAME?</v>
      </c>
      <c r="BX10" s="38" t="e">
        <f ca="1">_xll.RiskBinomial(1,BW10)</f>
        <v>#NAME?</v>
      </c>
      <c r="BY10" s="86" t="e">
        <f ca="1">IF(BX10=1,_xll.RiskBinomial(1,Prob_illness_Noro_infection),0)</f>
        <v>#NAME?</v>
      </c>
      <c r="CA10" s="85" t="e">
        <f t="shared" ref="CA10:CA73" ca="1" si="45">$E10*CD$3/V</f>
        <v>#NAME?</v>
      </c>
      <c r="CB10" s="40" t="e">
        <f ca="1">INT(CA10) + _xll.RiskBinomial(1,CA10-INT(CA10))</f>
        <v>#NAME?</v>
      </c>
      <c r="CC10" s="33" t="e">
        <f t="shared" ca="1" si="16"/>
        <v>#NAME?</v>
      </c>
      <c r="CD10" s="38" t="e">
        <f ca="1">_xll.RiskBinomial(1,CC10)</f>
        <v>#NAME?</v>
      </c>
      <c r="CE10" s="86" t="e">
        <f ca="1">IF(CD10=1,_xll.RiskBinomial(1,Prob_illness_Noro_infection),0)</f>
        <v>#NAME?</v>
      </c>
      <c r="CG10" s="85" t="e">
        <f t="shared" ref="CG10:CG73" ca="1" si="46">$E10*CJ$3/V</f>
        <v>#NAME?</v>
      </c>
      <c r="CH10" s="40" t="e">
        <f ca="1">INT(CG10) + _xll.RiskBinomial(1,CG10-INT(CG10))</f>
        <v>#NAME?</v>
      </c>
      <c r="CI10" s="33" t="e">
        <f t="shared" ca="1" si="17"/>
        <v>#NAME?</v>
      </c>
      <c r="CJ10" s="38" t="e">
        <f ca="1">_xll.RiskBinomial(1,CI10)</f>
        <v>#NAME?</v>
      </c>
      <c r="CK10" s="86" t="e">
        <f ca="1">IF(CJ10=1,_xll.RiskBinomial(1,Prob_illness_Noro_infection),0)</f>
        <v>#NAME?</v>
      </c>
      <c r="CM10" s="85" t="e">
        <f t="shared" ref="CM10:CM73" ca="1" si="47">$E10*CP$3/V</f>
        <v>#NAME?</v>
      </c>
      <c r="CN10" s="40" t="e">
        <f ca="1">INT(CM10) + _xll.RiskBinomial(1,CM10-INT(CM10))</f>
        <v>#NAME?</v>
      </c>
      <c r="CO10" s="33" t="e">
        <f t="shared" ca="1" si="18"/>
        <v>#NAME?</v>
      </c>
      <c r="CP10" s="38" t="e">
        <f ca="1">_xll.RiskBinomial(1,CO10)</f>
        <v>#NAME?</v>
      </c>
      <c r="CQ10" s="86" t="e">
        <f ca="1">IF(CP10=1,_xll.RiskBinomial(1,Prob_illness_Noro_infection),0)</f>
        <v>#NAME?</v>
      </c>
      <c r="CS10" s="85" t="e">
        <f t="shared" ref="CS10:CS73" ca="1" si="48">$E10*CV$3/V</f>
        <v>#NAME?</v>
      </c>
      <c r="CT10" s="40" t="e">
        <f ca="1">INT(CS10) + _xll.RiskBinomial(1,CS10-INT(CS10))</f>
        <v>#NAME?</v>
      </c>
      <c r="CU10" s="33" t="e">
        <f t="shared" ca="1" si="19"/>
        <v>#NAME?</v>
      </c>
      <c r="CV10" s="38" t="e">
        <f ca="1">_xll.RiskBinomial(1,CU10)</f>
        <v>#NAME?</v>
      </c>
      <c r="CW10" s="86" t="e">
        <f ca="1">IF(CV10=1,_xll.RiskBinomial(1,Prob_illness_Noro_infection),0)</f>
        <v>#NAME?</v>
      </c>
      <c r="CY10" s="85" t="e">
        <f t="shared" ref="CY10:CY73" ca="1" si="49">$E10*DB$3/V</f>
        <v>#NAME?</v>
      </c>
      <c r="CZ10" s="40" t="e">
        <f ca="1">INT(CY10) + _xll.RiskBinomial(1,CY10-INT(CY10))</f>
        <v>#NAME?</v>
      </c>
      <c r="DA10" s="33" t="e">
        <f t="shared" ca="1" si="20"/>
        <v>#NAME?</v>
      </c>
      <c r="DB10" s="38" t="e">
        <f ca="1">_xll.RiskBinomial(1,DA10)</f>
        <v>#NAME?</v>
      </c>
      <c r="DC10" s="86" t="e">
        <f ca="1">IF(DB10=1,_xll.RiskBinomial(1,Prob_illness_Noro_infection),0)</f>
        <v>#NAME?</v>
      </c>
      <c r="DE10" s="85" t="e">
        <f t="shared" ref="DE10:DE73" ca="1" si="50">$E10*DH$3/V</f>
        <v>#NAME?</v>
      </c>
      <c r="DF10" s="40" t="e">
        <f ca="1">INT(DE10) + _xll.RiskBinomial(1,DE10-INT(DE10))</f>
        <v>#NAME?</v>
      </c>
      <c r="DG10" s="33" t="e">
        <f t="shared" ca="1" si="21"/>
        <v>#NAME?</v>
      </c>
      <c r="DH10" s="38" t="e">
        <f ca="1">_xll.RiskBinomial(1,DG10)</f>
        <v>#NAME?</v>
      </c>
      <c r="DI10" s="86" t="e">
        <f ca="1">IF(DH10=1,_xll.RiskBinomial(1,Prob_illness_Noro_infection),0)</f>
        <v>#NAME?</v>
      </c>
      <c r="DK10" s="85" t="e">
        <f t="shared" ref="DK10:DK73" ca="1" si="51">$E10*DN$3/V</f>
        <v>#NAME?</v>
      </c>
      <c r="DL10" s="40" t="e">
        <f ca="1">INT(DK10) + _xll.RiskBinomial(1,DK10-INT(DK10))</f>
        <v>#NAME?</v>
      </c>
      <c r="DM10" s="33" t="e">
        <f t="shared" ca="1" si="22"/>
        <v>#NAME?</v>
      </c>
      <c r="DN10" s="38" t="e">
        <f ca="1">_xll.RiskBinomial(1,DM10)</f>
        <v>#NAME?</v>
      </c>
      <c r="DO10" s="86" t="e">
        <f ca="1">IF(DN10=1,_xll.RiskBinomial(1,Prob_illness_Noro_infection),0)</f>
        <v>#NAME?</v>
      </c>
      <c r="DQ10" s="85" t="e">
        <f t="shared" ref="DQ10:DQ73" ca="1" si="52">$E10*DT$3/V</f>
        <v>#NAME?</v>
      </c>
      <c r="DR10" s="40" t="e">
        <f ca="1">INT(DQ10) + _xll.RiskBinomial(1,DQ10-INT(DQ10))</f>
        <v>#NAME?</v>
      </c>
      <c r="DS10" s="33" t="e">
        <f t="shared" ca="1" si="23"/>
        <v>#NAME?</v>
      </c>
      <c r="DT10" s="38" t="e">
        <f ca="1">_xll.RiskBinomial(1,DS10)</f>
        <v>#NAME?</v>
      </c>
      <c r="DU10" s="86" t="e">
        <f ca="1">IF(DT10=1,_xll.RiskBinomial(1,Prob_illness_Noro_infection),0)</f>
        <v>#NAME?</v>
      </c>
      <c r="DW10" s="85" t="e">
        <f t="shared" ref="DW10:DW73" ca="1" si="53">$E10*DZ$3/V</f>
        <v>#NAME?</v>
      </c>
      <c r="DX10" s="40" t="e">
        <f ca="1">INT(DW10) + _xll.RiskBinomial(1,DW10-INT(DW10))</f>
        <v>#NAME?</v>
      </c>
      <c r="DY10" s="33" t="e">
        <f t="shared" ca="1" si="24"/>
        <v>#NAME?</v>
      </c>
      <c r="DZ10" s="38" t="e">
        <f ca="1">_xll.RiskBinomial(1,DY10)</f>
        <v>#NAME?</v>
      </c>
      <c r="EA10" s="86" t="e">
        <f ca="1">IF(DZ10=1,_xll.RiskBinomial(1,Prob_illness_Noro_infection),0)</f>
        <v>#NAME?</v>
      </c>
      <c r="EC10" s="85" t="e">
        <f t="shared" ref="EC10:EC73" ca="1" si="54">$E10*EF$3/V</f>
        <v>#NAME?</v>
      </c>
      <c r="ED10" s="40" t="e">
        <f ca="1">INT(EC10) + _xll.RiskBinomial(1,EC10-INT(EC10))</f>
        <v>#NAME?</v>
      </c>
      <c r="EE10" s="33" t="e">
        <f t="shared" ca="1" si="25"/>
        <v>#NAME?</v>
      </c>
      <c r="EF10" s="38" t="e">
        <f ca="1">_xll.RiskBinomial(1,EE10)</f>
        <v>#NAME?</v>
      </c>
      <c r="EG10" s="86" t="e">
        <f ca="1">IF(EF10=1,_xll.RiskBinomial(1,Prob_illness_Noro_infection),0)</f>
        <v>#NAME?</v>
      </c>
      <c r="EI10" s="85" t="e">
        <f t="shared" ref="EI10:EI73" ca="1" si="55">$E10*EL$3/V</f>
        <v>#NAME?</v>
      </c>
      <c r="EJ10" s="40" t="e">
        <f ca="1">INT(EI10) + _xll.RiskBinomial(1,EI10-INT(EI10))</f>
        <v>#NAME?</v>
      </c>
      <c r="EK10" s="33" t="e">
        <f t="shared" ca="1" si="26"/>
        <v>#NAME?</v>
      </c>
      <c r="EL10" s="38" t="e">
        <f ca="1">_xll.RiskBinomial(1,EK10)</f>
        <v>#NAME?</v>
      </c>
      <c r="EM10" s="86" t="e">
        <f ca="1">IF(EL10=1,_xll.RiskBinomial(1,Prob_illness_Noro_infection),0)</f>
        <v>#NAME?</v>
      </c>
      <c r="EO10" s="85" t="e">
        <f t="shared" ref="EO10:EO73" ca="1" si="56">$E10*ER$3/V</f>
        <v>#NAME?</v>
      </c>
      <c r="EP10" s="40" t="e">
        <f ca="1">INT(EO10) + _xll.RiskBinomial(1,EO10-INT(EO10))</f>
        <v>#NAME?</v>
      </c>
      <c r="EQ10" s="33" t="e">
        <f t="shared" ca="1" si="27"/>
        <v>#NAME?</v>
      </c>
      <c r="ER10" s="38" t="e">
        <f ca="1">_xll.RiskBinomial(1,EQ10)</f>
        <v>#NAME?</v>
      </c>
      <c r="ES10" s="86" t="e">
        <f ca="1">IF(ER10=1,_xll.RiskBinomial(1,Prob_illness_Noro_infection),0)</f>
        <v>#NAME?</v>
      </c>
      <c r="EU10" s="85" t="e">
        <f t="shared" ref="EU10:EU73" ca="1" si="57">$E10*EX$3/V</f>
        <v>#NAME?</v>
      </c>
      <c r="EV10" s="40" t="e">
        <f ca="1">INT(EU10) + _xll.RiskBinomial(1,EU10-INT(EU10))</f>
        <v>#NAME?</v>
      </c>
      <c r="EW10" s="33" t="e">
        <f t="shared" ca="1" si="28"/>
        <v>#NAME?</v>
      </c>
      <c r="EX10" s="38" t="e">
        <f ca="1">_xll.RiskBinomial(1,EW10)</f>
        <v>#NAME?</v>
      </c>
      <c r="EY10" s="86" t="e">
        <f ca="1">IF(EX10=1,_xll.RiskBinomial(1,Prob_illness_Noro_infection),0)</f>
        <v>#NAME?</v>
      </c>
      <c r="FA10" s="85" t="e">
        <f t="shared" ref="FA10:FA73" ca="1" si="58">$E10*FD$3/V</f>
        <v>#NAME?</v>
      </c>
      <c r="FB10" s="40" t="e">
        <f ca="1">INT(FA10) + _xll.RiskBinomial(1,FA10-INT(FA10))</f>
        <v>#NAME?</v>
      </c>
      <c r="FC10" s="33" t="e">
        <f t="shared" ca="1" si="29"/>
        <v>#NAME?</v>
      </c>
      <c r="FD10" s="38" t="e">
        <f ca="1">_xll.RiskBinomial(1,FC10)</f>
        <v>#NAME?</v>
      </c>
      <c r="FE10" s="86" t="e">
        <f ca="1">IF(FD10=1,_xll.RiskBinomial(1,Prob_illness_Noro_infection),0)</f>
        <v>#NAME?</v>
      </c>
      <c r="FG10" s="85" t="e">
        <f t="shared" ref="FG10:FG73" ca="1" si="59">$E10*FJ$3/V</f>
        <v>#NAME?</v>
      </c>
      <c r="FH10" s="40" t="e">
        <f ca="1">INT(FG10) + _xll.RiskBinomial(1,FG10-INT(FG10))</f>
        <v>#NAME?</v>
      </c>
      <c r="FI10" s="33" t="e">
        <f t="shared" ca="1" si="30"/>
        <v>#NAME?</v>
      </c>
      <c r="FJ10" s="38" t="e">
        <f ca="1">_xll.RiskBinomial(1,FI10)</f>
        <v>#NAME?</v>
      </c>
      <c r="FK10" s="86" t="e">
        <f ca="1">IF(FJ10=1,_xll.RiskBinomial(1,Prob_illness_Noro_infection),0)</f>
        <v>#NAME?</v>
      </c>
      <c r="FM10" s="85" t="e">
        <f t="shared" ref="FM10:FM73" ca="1" si="60">$E10*FP$3/V</f>
        <v>#NAME?</v>
      </c>
      <c r="FN10" s="40" t="e">
        <f ca="1">INT(FM10) + _xll.RiskBinomial(1,FM10-INT(FM10))</f>
        <v>#NAME?</v>
      </c>
      <c r="FO10" s="33" t="e">
        <f t="shared" ca="1" si="31"/>
        <v>#NAME?</v>
      </c>
      <c r="FP10" s="38" t="e">
        <f ca="1">_xll.RiskBinomial(1,FO10)</f>
        <v>#NAME?</v>
      </c>
      <c r="FQ10" s="86" t="e">
        <f ca="1">IF(FP10=1,_xll.RiskBinomial(1,Prob_illness_Noro_infection),0)</f>
        <v>#NAME?</v>
      </c>
      <c r="FS10" s="85" t="e">
        <f t="shared" ref="FS10:FS73" ca="1" si="61">$E10*FV$3/V</f>
        <v>#NAME?</v>
      </c>
      <c r="FT10" s="40" t="e">
        <f ca="1">INT(FS10) + _xll.RiskBinomial(1,FS10-INT(FS10))</f>
        <v>#NAME?</v>
      </c>
      <c r="FU10" s="33" t="e">
        <f t="shared" ca="1" si="32"/>
        <v>#NAME?</v>
      </c>
      <c r="FV10" s="38" t="e">
        <f ca="1">_xll.RiskBinomial(1,FU10)</f>
        <v>#NAME?</v>
      </c>
      <c r="FW10" s="86" t="e">
        <f ca="1">IF(FV10=1,_xll.RiskBinomial(1,Prob_illness_Noro_infection),0)</f>
        <v>#NAME?</v>
      </c>
      <c r="FY10" s="85" t="e">
        <f t="shared" ref="FY10:FY73" ca="1" si="62">$E10*GB$3/V</f>
        <v>#NAME?</v>
      </c>
      <c r="FZ10" s="40" t="e">
        <f ca="1">INT(FY10) + _xll.RiskBinomial(1,FY10-INT(FY10))</f>
        <v>#NAME?</v>
      </c>
      <c r="GA10" s="33" t="e">
        <f t="shared" ca="1" si="33"/>
        <v>#NAME?</v>
      </c>
      <c r="GB10" s="38" t="e">
        <f ca="1">_xll.RiskBinomial(1,GA10)</f>
        <v>#NAME?</v>
      </c>
      <c r="GC10" s="86" t="e">
        <f ca="1">IF(GB10=1,_xll.RiskBinomial(1,Prob_illness_Noro_infection),0)</f>
        <v>#NAME?</v>
      </c>
      <c r="GE10" s="85" t="e">
        <f t="shared" ref="GE10:GE73" ca="1" si="63">$E10*GH$3/V</f>
        <v>#NAME?</v>
      </c>
      <c r="GF10" s="40" t="e">
        <f ca="1">INT(GE10) + _xll.RiskBinomial(1,GE10-INT(GE10))</f>
        <v>#NAME?</v>
      </c>
      <c r="GG10" s="33" t="e">
        <f t="shared" ca="1" si="34"/>
        <v>#NAME?</v>
      </c>
      <c r="GH10" s="38" t="e">
        <f ca="1">_xll.RiskBinomial(1,GG10)</f>
        <v>#NAME?</v>
      </c>
      <c r="GI10" s="86" t="e">
        <f ca="1">IF(GH10=1,_xll.RiskBinomial(1,Prob_illness_Noro_infection),0)</f>
        <v>#NAME?</v>
      </c>
      <c r="GK10" s="85" t="e">
        <f t="shared" ref="GK10:GK73" ca="1" si="64">$E10*GN$3/V</f>
        <v>#NAME?</v>
      </c>
      <c r="GL10" s="40" t="e">
        <f ca="1">INT(GK10) + _xll.RiskBinomial(1,GK10-INT(GK10))</f>
        <v>#NAME?</v>
      </c>
      <c r="GM10" s="33" t="e">
        <f t="shared" ca="1" si="35"/>
        <v>#NAME?</v>
      </c>
      <c r="GN10" s="38" t="e">
        <f ca="1">_xll.RiskBinomial(1,GM10)</f>
        <v>#NAME?</v>
      </c>
      <c r="GO10" s="86" t="e">
        <f ca="1">IF(GN10=1,_xll.RiskBinomial(1,Prob_illness_Noro_infection),0)</f>
        <v>#NAME?</v>
      </c>
    </row>
    <row r="11" spans="2:197" x14ac:dyDescent="0.25">
      <c r="B11" s="106">
        <v>3</v>
      </c>
      <c r="C11" s="109" t="e">
        <f ca="1" xml:space="preserve"> _xll.RiskPert(Dur_Swim_hours_min,Dur_Swim_hours_mode,Dur_Swim_hours_max)</f>
        <v>#NAME?</v>
      </c>
      <c r="D11" s="33" t="e">
        <f ca="1">_xll.RiskLognorm(Primary_Ing_Rate_mL_per_hour_mean,Primary_Ing_Rate_mL_per_hour_sd, _xll.RiskTruncate(Primary_Ing_Rate_mL_per_hour_min,Primary_Ing_Rate_mL_per_hour_max))</f>
        <v>#NAME?</v>
      </c>
      <c r="E11" s="41" t="e">
        <f t="shared" ca="1" si="36"/>
        <v>#NAME?</v>
      </c>
      <c r="F11" s="83"/>
      <c r="G11" s="85" t="e">
        <f t="shared" ca="1" si="37"/>
        <v>#NAME?</v>
      </c>
      <c r="H11" s="40" t="e">
        <f ca="1">INT(G11) + _xll.RiskBinomial(1,G11-INT(G11))</f>
        <v>#NAME?</v>
      </c>
      <c r="I11" s="33" t="e">
        <f t="shared" ca="1" si="0"/>
        <v>#NAME?</v>
      </c>
      <c r="J11" s="38" t="e">
        <f ca="1">_xll.RiskBinomial(1,I11)</f>
        <v>#NAME?</v>
      </c>
      <c r="K11" s="86" t="e">
        <f ca="1">IF(J11=1,_xll.RiskBinomial(1,Prob_illness_Noro_infection),0)</f>
        <v>#NAME?</v>
      </c>
      <c r="L11" s="83"/>
      <c r="M11" s="85" t="e">
        <f t="shared" ca="1" si="38"/>
        <v>#NAME?</v>
      </c>
      <c r="N11" s="40" t="e">
        <f ca="1">INT(M11) + _xll.RiskBinomial(1,M11-INT(M11))</f>
        <v>#NAME?</v>
      </c>
      <c r="O11" s="33" t="e">
        <f t="shared" ca="1" si="1"/>
        <v>#NAME?</v>
      </c>
      <c r="P11" s="38" t="e">
        <f ca="1">_xll.RiskBinomial(1,O11)</f>
        <v>#NAME?</v>
      </c>
      <c r="Q11" s="86" t="e">
        <f ca="1">IF(P11=1,_xll.RiskBinomial(1,Prob_illness_Noro_infection),0)</f>
        <v>#NAME?</v>
      </c>
      <c r="R11" s="83"/>
      <c r="S11" s="85" t="e">
        <f t="shared" ca="1" si="39"/>
        <v>#NAME?</v>
      </c>
      <c r="T11" s="40" t="e">
        <f ca="1">INT(S11) + _xll.RiskBinomial(1,S11-INT(S11))</f>
        <v>#NAME?</v>
      </c>
      <c r="U11" s="33" t="e">
        <f t="shared" ca="1" si="2"/>
        <v>#NAME?</v>
      </c>
      <c r="V11" s="38" t="e">
        <f ca="1">_xll.RiskBinomial(1,U11)</f>
        <v>#NAME?</v>
      </c>
      <c r="W11" s="86" t="e">
        <f ca="1">IF(V11=1,_xll.RiskBinomial(1,Prob_illness_Noro_infection),0)</f>
        <v>#NAME?</v>
      </c>
      <c r="X11" s="83"/>
      <c r="Y11" s="85" t="e">
        <f t="shared" ca="1" si="3"/>
        <v>#NAME?</v>
      </c>
      <c r="Z11" s="40" t="e">
        <f ca="1">INT(Y11) + _xll.RiskBinomial(1,Y11-INT(Y11))</f>
        <v>#NAME?</v>
      </c>
      <c r="AA11" s="33" t="e">
        <f t="shared" ca="1" si="4"/>
        <v>#NAME?</v>
      </c>
      <c r="AB11" s="38" t="e">
        <f ca="1">_xll.RiskBinomial(1,AA11)</f>
        <v>#NAME?</v>
      </c>
      <c r="AC11" s="86" t="e">
        <f ca="1">IF(AB11=1,_xll.RiskBinomial(1,Prob_illness_Noro_infection),0)</f>
        <v>#NAME?</v>
      </c>
      <c r="AD11" s="83"/>
      <c r="AE11" s="85" t="e">
        <f t="shared" ca="1" si="5"/>
        <v>#NAME?</v>
      </c>
      <c r="AF11" s="40" t="e">
        <f ca="1">INT(AE11) + _xll.RiskBinomial(1,AE11-INT(AE11))</f>
        <v>#NAME?</v>
      </c>
      <c r="AG11" s="33" t="e">
        <f t="shared" ca="1" si="6"/>
        <v>#NAME?</v>
      </c>
      <c r="AH11" s="38" t="e">
        <f ca="1">_xll.RiskBinomial(1,AG11)</f>
        <v>#NAME?</v>
      </c>
      <c r="AI11" s="86" t="e">
        <f ca="1">IF(AH11=1,_xll.RiskBinomial(1,Prob_illness_Noro_infection),0)</f>
        <v>#NAME?</v>
      </c>
      <c r="AJ11" s="83"/>
      <c r="AK11" s="85" t="e">
        <f t="shared" ca="1" si="7"/>
        <v>#NAME?</v>
      </c>
      <c r="AL11" s="40" t="e">
        <f ca="1">INT(AK11) + _xll.RiskBinomial(1,AK11-INT(AK11))</f>
        <v>#NAME?</v>
      </c>
      <c r="AM11" s="33" t="e">
        <f t="shared" ca="1" si="8"/>
        <v>#NAME?</v>
      </c>
      <c r="AN11" s="38" t="e">
        <f ca="1">_xll.RiskBinomial(1,AM11)</f>
        <v>#NAME?</v>
      </c>
      <c r="AO11" s="86" t="e">
        <f ca="1">IF(AN11=1,_xll.RiskBinomial(1,Prob_illness_Noro_infection),0)</f>
        <v>#NAME?</v>
      </c>
      <c r="AP11" s="83"/>
      <c r="AQ11" s="85" t="e">
        <f t="shared" ca="1" si="9"/>
        <v>#NAME?</v>
      </c>
      <c r="AR11" s="40" t="e">
        <f ca="1">INT(AQ11) + _xll.RiskBinomial(1,AQ11-INT(AQ11))</f>
        <v>#NAME?</v>
      </c>
      <c r="AS11" s="33" t="e">
        <f t="shared" ca="1" si="10"/>
        <v>#NAME?</v>
      </c>
      <c r="AT11" s="38" t="e">
        <f ca="1">_xll.RiskBinomial(1,AS11)</f>
        <v>#NAME?</v>
      </c>
      <c r="AU11" s="86" t="e">
        <f ca="1">IF(AT11=1,_xll.RiskBinomial(1,Prob_illness_Noro_infection),0)</f>
        <v>#NAME?</v>
      </c>
      <c r="AV11" s="83"/>
      <c r="AW11" s="85" t="e">
        <f t="shared" ca="1" si="40"/>
        <v>#NAME?</v>
      </c>
      <c r="AX11" s="40" t="e">
        <f ca="1">INT(AW11) + _xll.RiskBinomial(1,AW11-INT(AW11))</f>
        <v>#NAME?</v>
      </c>
      <c r="AY11" s="33" t="e">
        <f t="shared" ca="1" si="11"/>
        <v>#NAME?</v>
      </c>
      <c r="AZ11" s="38" t="e">
        <f ca="1">_xll.RiskBinomial(1,AY11)</f>
        <v>#NAME?</v>
      </c>
      <c r="BA11" s="86" t="e">
        <f ca="1">IF(AZ11=1,_xll.RiskBinomial(1,Prob_illness_Noro_infection),0)</f>
        <v>#NAME?</v>
      </c>
      <c r="BC11" s="85" t="e">
        <f t="shared" ca="1" si="41"/>
        <v>#NAME?</v>
      </c>
      <c r="BD11" s="40" t="e">
        <f ca="1">INT(BC11) + _xll.RiskBinomial(1,BC11-INT(BC11))</f>
        <v>#NAME?</v>
      </c>
      <c r="BE11" s="33" t="e">
        <f t="shared" ca="1" si="12"/>
        <v>#NAME?</v>
      </c>
      <c r="BF11" s="38" t="e">
        <f ca="1">_xll.RiskBinomial(1,BE11)</f>
        <v>#NAME?</v>
      </c>
      <c r="BG11" s="86" t="e">
        <f ca="1">IF(BF11=1,_xll.RiskBinomial(1,Prob_illness_Noro_infection),0)</f>
        <v>#NAME?</v>
      </c>
      <c r="BI11" s="85" t="e">
        <f t="shared" ca="1" si="42"/>
        <v>#NAME?</v>
      </c>
      <c r="BJ11" s="40" t="e">
        <f ca="1">INT(BI11) + _xll.RiskBinomial(1,BI11-INT(BI11))</f>
        <v>#NAME?</v>
      </c>
      <c r="BK11" s="33" t="e">
        <f t="shared" ca="1" si="13"/>
        <v>#NAME?</v>
      </c>
      <c r="BL11" s="38" t="e">
        <f ca="1">_xll.RiskBinomial(1,BK11)</f>
        <v>#NAME?</v>
      </c>
      <c r="BM11" s="86" t="e">
        <f ca="1">IF(BL11=1,_xll.RiskBinomial(1,Prob_illness_Noro_infection),0)</f>
        <v>#NAME?</v>
      </c>
      <c r="BO11" s="85" t="e">
        <f t="shared" ca="1" si="43"/>
        <v>#NAME?</v>
      </c>
      <c r="BP11" s="40" t="e">
        <f ca="1">INT(BO11) + _xll.RiskBinomial(1,BO11-INT(BO11))</f>
        <v>#NAME?</v>
      </c>
      <c r="BQ11" s="33" t="e">
        <f t="shared" ca="1" si="14"/>
        <v>#NAME?</v>
      </c>
      <c r="BR11" s="38" t="e">
        <f ca="1">_xll.RiskBinomial(1,BQ11)</f>
        <v>#NAME?</v>
      </c>
      <c r="BS11" s="86" t="e">
        <f ca="1">IF(BR11=1,_xll.RiskBinomial(1,Prob_illness_Noro_infection),0)</f>
        <v>#NAME?</v>
      </c>
      <c r="BU11" s="85" t="e">
        <f t="shared" ca="1" si="44"/>
        <v>#NAME?</v>
      </c>
      <c r="BV11" s="40" t="e">
        <f ca="1">INT(BU11) + _xll.RiskBinomial(1,BU11-INT(BU11))</f>
        <v>#NAME?</v>
      </c>
      <c r="BW11" s="33" t="e">
        <f t="shared" ca="1" si="15"/>
        <v>#NAME?</v>
      </c>
      <c r="BX11" s="38" t="e">
        <f ca="1">_xll.RiskBinomial(1,BW11)</f>
        <v>#NAME?</v>
      </c>
      <c r="BY11" s="86" t="e">
        <f ca="1">IF(BX11=1,_xll.RiskBinomial(1,Prob_illness_Noro_infection),0)</f>
        <v>#NAME?</v>
      </c>
      <c r="CA11" s="85" t="e">
        <f t="shared" ca="1" si="45"/>
        <v>#NAME?</v>
      </c>
      <c r="CB11" s="40" t="e">
        <f ca="1">INT(CA11) + _xll.RiskBinomial(1,CA11-INT(CA11))</f>
        <v>#NAME?</v>
      </c>
      <c r="CC11" s="33" t="e">
        <f t="shared" ca="1" si="16"/>
        <v>#NAME?</v>
      </c>
      <c r="CD11" s="38" t="e">
        <f ca="1">_xll.RiskBinomial(1,CC11)</f>
        <v>#NAME?</v>
      </c>
      <c r="CE11" s="86" t="e">
        <f ca="1">IF(CD11=1,_xll.RiskBinomial(1,Prob_illness_Noro_infection),0)</f>
        <v>#NAME?</v>
      </c>
      <c r="CG11" s="85" t="e">
        <f t="shared" ca="1" si="46"/>
        <v>#NAME?</v>
      </c>
      <c r="CH11" s="40" t="e">
        <f ca="1">INT(CG11) + _xll.RiskBinomial(1,CG11-INT(CG11))</f>
        <v>#NAME?</v>
      </c>
      <c r="CI11" s="33" t="e">
        <f t="shared" ca="1" si="17"/>
        <v>#NAME?</v>
      </c>
      <c r="CJ11" s="38" t="e">
        <f ca="1">_xll.RiskBinomial(1,CI11)</f>
        <v>#NAME?</v>
      </c>
      <c r="CK11" s="86" t="e">
        <f ca="1">IF(CJ11=1,_xll.RiskBinomial(1,Prob_illness_Noro_infection),0)</f>
        <v>#NAME?</v>
      </c>
      <c r="CM11" s="85" t="e">
        <f t="shared" ca="1" si="47"/>
        <v>#NAME?</v>
      </c>
      <c r="CN11" s="40" t="e">
        <f ca="1">INT(CM11) + _xll.RiskBinomial(1,CM11-INT(CM11))</f>
        <v>#NAME?</v>
      </c>
      <c r="CO11" s="33" t="e">
        <f t="shared" ca="1" si="18"/>
        <v>#NAME?</v>
      </c>
      <c r="CP11" s="38" t="e">
        <f ca="1">_xll.RiskBinomial(1,CO11)</f>
        <v>#NAME?</v>
      </c>
      <c r="CQ11" s="86" t="e">
        <f ca="1">IF(CP11=1,_xll.RiskBinomial(1,Prob_illness_Noro_infection),0)</f>
        <v>#NAME?</v>
      </c>
      <c r="CS11" s="85" t="e">
        <f t="shared" ca="1" si="48"/>
        <v>#NAME?</v>
      </c>
      <c r="CT11" s="40" t="e">
        <f ca="1">INT(CS11) + _xll.RiskBinomial(1,CS11-INT(CS11))</f>
        <v>#NAME?</v>
      </c>
      <c r="CU11" s="33" t="e">
        <f t="shared" ca="1" si="19"/>
        <v>#NAME?</v>
      </c>
      <c r="CV11" s="38" t="e">
        <f ca="1">_xll.RiskBinomial(1,CU11)</f>
        <v>#NAME?</v>
      </c>
      <c r="CW11" s="86" t="e">
        <f ca="1">IF(CV11=1,_xll.RiskBinomial(1,Prob_illness_Noro_infection),0)</f>
        <v>#NAME?</v>
      </c>
      <c r="CY11" s="85" t="e">
        <f t="shared" ca="1" si="49"/>
        <v>#NAME?</v>
      </c>
      <c r="CZ11" s="40" t="e">
        <f ca="1">INT(CY11) + _xll.RiskBinomial(1,CY11-INT(CY11))</f>
        <v>#NAME?</v>
      </c>
      <c r="DA11" s="33" t="e">
        <f t="shared" ca="1" si="20"/>
        <v>#NAME?</v>
      </c>
      <c r="DB11" s="38" t="e">
        <f ca="1">_xll.RiskBinomial(1,DA11)</f>
        <v>#NAME?</v>
      </c>
      <c r="DC11" s="86" t="e">
        <f ca="1">IF(DB11=1,_xll.RiskBinomial(1,Prob_illness_Noro_infection),0)</f>
        <v>#NAME?</v>
      </c>
      <c r="DE11" s="85" t="e">
        <f t="shared" ca="1" si="50"/>
        <v>#NAME?</v>
      </c>
      <c r="DF11" s="40" t="e">
        <f ca="1">INT(DE11) + _xll.RiskBinomial(1,DE11-INT(DE11))</f>
        <v>#NAME?</v>
      </c>
      <c r="DG11" s="33" t="e">
        <f t="shared" ca="1" si="21"/>
        <v>#NAME?</v>
      </c>
      <c r="DH11" s="38" t="e">
        <f ca="1">_xll.RiskBinomial(1,DG11)</f>
        <v>#NAME?</v>
      </c>
      <c r="DI11" s="86" t="e">
        <f ca="1">IF(DH11=1,_xll.RiskBinomial(1,Prob_illness_Noro_infection),0)</f>
        <v>#NAME?</v>
      </c>
      <c r="DK11" s="85" t="e">
        <f t="shared" ca="1" si="51"/>
        <v>#NAME?</v>
      </c>
      <c r="DL11" s="40" t="e">
        <f ca="1">INT(DK11) + _xll.RiskBinomial(1,DK11-INT(DK11))</f>
        <v>#NAME?</v>
      </c>
      <c r="DM11" s="33" t="e">
        <f t="shared" ca="1" si="22"/>
        <v>#NAME?</v>
      </c>
      <c r="DN11" s="38" t="e">
        <f ca="1">_xll.RiskBinomial(1,DM11)</f>
        <v>#NAME?</v>
      </c>
      <c r="DO11" s="86" t="e">
        <f ca="1">IF(DN11=1,_xll.RiskBinomial(1,Prob_illness_Noro_infection),0)</f>
        <v>#NAME?</v>
      </c>
      <c r="DQ11" s="85" t="e">
        <f t="shared" ca="1" si="52"/>
        <v>#NAME?</v>
      </c>
      <c r="DR11" s="40" t="e">
        <f ca="1">INT(DQ11) + _xll.RiskBinomial(1,DQ11-INT(DQ11))</f>
        <v>#NAME?</v>
      </c>
      <c r="DS11" s="33" t="e">
        <f t="shared" ca="1" si="23"/>
        <v>#NAME?</v>
      </c>
      <c r="DT11" s="38" t="e">
        <f ca="1">_xll.RiskBinomial(1,DS11)</f>
        <v>#NAME?</v>
      </c>
      <c r="DU11" s="86" t="e">
        <f ca="1">IF(DT11=1,_xll.RiskBinomial(1,Prob_illness_Noro_infection),0)</f>
        <v>#NAME?</v>
      </c>
      <c r="DW11" s="85" t="e">
        <f t="shared" ca="1" si="53"/>
        <v>#NAME?</v>
      </c>
      <c r="DX11" s="40" t="e">
        <f ca="1">INT(DW11) + _xll.RiskBinomial(1,DW11-INT(DW11))</f>
        <v>#NAME?</v>
      </c>
      <c r="DY11" s="33" t="e">
        <f t="shared" ca="1" si="24"/>
        <v>#NAME?</v>
      </c>
      <c r="DZ11" s="38" t="e">
        <f ca="1">_xll.RiskBinomial(1,DY11)</f>
        <v>#NAME?</v>
      </c>
      <c r="EA11" s="86" t="e">
        <f ca="1">IF(DZ11=1,_xll.RiskBinomial(1,Prob_illness_Noro_infection),0)</f>
        <v>#NAME?</v>
      </c>
      <c r="EC11" s="85" t="e">
        <f t="shared" ca="1" si="54"/>
        <v>#NAME?</v>
      </c>
      <c r="ED11" s="40" t="e">
        <f ca="1">INT(EC11) + _xll.RiskBinomial(1,EC11-INT(EC11))</f>
        <v>#NAME?</v>
      </c>
      <c r="EE11" s="33" t="e">
        <f t="shared" ca="1" si="25"/>
        <v>#NAME?</v>
      </c>
      <c r="EF11" s="38" t="e">
        <f ca="1">_xll.RiskBinomial(1,EE11)</f>
        <v>#NAME?</v>
      </c>
      <c r="EG11" s="86" t="e">
        <f ca="1">IF(EF11=1,_xll.RiskBinomial(1,Prob_illness_Noro_infection),0)</f>
        <v>#NAME?</v>
      </c>
      <c r="EI11" s="85" t="e">
        <f t="shared" ca="1" si="55"/>
        <v>#NAME?</v>
      </c>
      <c r="EJ11" s="40" t="e">
        <f ca="1">INT(EI11) + _xll.RiskBinomial(1,EI11-INT(EI11))</f>
        <v>#NAME?</v>
      </c>
      <c r="EK11" s="33" t="e">
        <f t="shared" ca="1" si="26"/>
        <v>#NAME?</v>
      </c>
      <c r="EL11" s="38" t="e">
        <f ca="1">_xll.RiskBinomial(1,EK11)</f>
        <v>#NAME?</v>
      </c>
      <c r="EM11" s="86" t="e">
        <f ca="1">IF(EL11=1,_xll.RiskBinomial(1,Prob_illness_Noro_infection),0)</f>
        <v>#NAME?</v>
      </c>
      <c r="EO11" s="85" t="e">
        <f t="shared" ca="1" si="56"/>
        <v>#NAME?</v>
      </c>
      <c r="EP11" s="40" t="e">
        <f ca="1">INT(EO11) + _xll.RiskBinomial(1,EO11-INT(EO11))</f>
        <v>#NAME?</v>
      </c>
      <c r="EQ11" s="33" t="e">
        <f t="shared" ca="1" si="27"/>
        <v>#NAME?</v>
      </c>
      <c r="ER11" s="38" t="e">
        <f ca="1">_xll.RiskBinomial(1,EQ11)</f>
        <v>#NAME?</v>
      </c>
      <c r="ES11" s="86" t="e">
        <f ca="1">IF(ER11=1,_xll.RiskBinomial(1,Prob_illness_Noro_infection),0)</f>
        <v>#NAME?</v>
      </c>
      <c r="EU11" s="85" t="e">
        <f t="shared" ca="1" si="57"/>
        <v>#NAME?</v>
      </c>
      <c r="EV11" s="40" t="e">
        <f ca="1">INT(EU11) + _xll.RiskBinomial(1,EU11-INT(EU11))</f>
        <v>#NAME?</v>
      </c>
      <c r="EW11" s="33" t="e">
        <f t="shared" ca="1" si="28"/>
        <v>#NAME?</v>
      </c>
      <c r="EX11" s="38" t="e">
        <f ca="1">_xll.RiskBinomial(1,EW11)</f>
        <v>#NAME?</v>
      </c>
      <c r="EY11" s="86" t="e">
        <f ca="1">IF(EX11=1,_xll.RiskBinomial(1,Prob_illness_Noro_infection),0)</f>
        <v>#NAME?</v>
      </c>
      <c r="FA11" s="85" t="e">
        <f t="shared" ca="1" si="58"/>
        <v>#NAME?</v>
      </c>
      <c r="FB11" s="40" t="e">
        <f ca="1">INT(FA11) + _xll.RiskBinomial(1,FA11-INT(FA11))</f>
        <v>#NAME?</v>
      </c>
      <c r="FC11" s="33" t="e">
        <f t="shared" ca="1" si="29"/>
        <v>#NAME?</v>
      </c>
      <c r="FD11" s="38" t="e">
        <f ca="1">_xll.RiskBinomial(1,FC11)</f>
        <v>#NAME?</v>
      </c>
      <c r="FE11" s="86" t="e">
        <f ca="1">IF(FD11=1,_xll.RiskBinomial(1,Prob_illness_Noro_infection),0)</f>
        <v>#NAME?</v>
      </c>
      <c r="FG11" s="85" t="e">
        <f t="shared" ca="1" si="59"/>
        <v>#NAME?</v>
      </c>
      <c r="FH11" s="40" t="e">
        <f ca="1">INT(FG11) + _xll.RiskBinomial(1,FG11-INT(FG11))</f>
        <v>#NAME?</v>
      </c>
      <c r="FI11" s="33" t="e">
        <f t="shared" ca="1" si="30"/>
        <v>#NAME?</v>
      </c>
      <c r="FJ11" s="38" t="e">
        <f ca="1">_xll.RiskBinomial(1,FI11)</f>
        <v>#NAME?</v>
      </c>
      <c r="FK11" s="86" t="e">
        <f ca="1">IF(FJ11=1,_xll.RiskBinomial(1,Prob_illness_Noro_infection),0)</f>
        <v>#NAME?</v>
      </c>
      <c r="FM11" s="85" t="e">
        <f t="shared" ca="1" si="60"/>
        <v>#NAME?</v>
      </c>
      <c r="FN11" s="40" t="e">
        <f ca="1">INT(FM11) + _xll.RiskBinomial(1,FM11-INT(FM11))</f>
        <v>#NAME?</v>
      </c>
      <c r="FO11" s="33" t="e">
        <f t="shared" ca="1" si="31"/>
        <v>#NAME?</v>
      </c>
      <c r="FP11" s="38" t="e">
        <f ca="1">_xll.RiskBinomial(1,FO11)</f>
        <v>#NAME?</v>
      </c>
      <c r="FQ11" s="86" t="e">
        <f ca="1">IF(FP11=1,_xll.RiskBinomial(1,Prob_illness_Noro_infection),0)</f>
        <v>#NAME?</v>
      </c>
      <c r="FS11" s="85" t="e">
        <f t="shared" ca="1" si="61"/>
        <v>#NAME?</v>
      </c>
      <c r="FT11" s="40" t="e">
        <f ca="1">INT(FS11) + _xll.RiskBinomial(1,FS11-INT(FS11))</f>
        <v>#NAME?</v>
      </c>
      <c r="FU11" s="33" t="e">
        <f t="shared" ca="1" si="32"/>
        <v>#NAME?</v>
      </c>
      <c r="FV11" s="38" t="e">
        <f ca="1">_xll.RiskBinomial(1,FU11)</f>
        <v>#NAME?</v>
      </c>
      <c r="FW11" s="86" t="e">
        <f ca="1">IF(FV11=1,_xll.RiskBinomial(1,Prob_illness_Noro_infection),0)</f>
        <v>#NAME?</v>
      </c>
      <c r="FY11" s="85" t="e">
        <f t="shared" ca="1" si="62"/>
        <v>#NAME?</v>
      </c>
      <c r="FZ11" s="40" t="e">
        <f ca="1">INT(FY11) + _xll.RiskBinomial(1,FY11-INT(FY11))</f>
        <v>#NAME?</v>
      </c>
      <c r="GA11" s="33" t="e">
        <f t="shared" ca="1" si="33"/>
        <v>#NAME?</v>
      </c>
      <c r="GB11" s="38" t="e">
        <f ca="1">_xll.RiskBinomial(1,GA11)</f>
        <v>#NAME?</v>
      </c>
      <c r="GC11" s="86" t="e">
        <f ca="1">IF(GB11=1,_xll.RiskBinomial(1,Prob_illness_Noro_infection),0)</f>
        <v>#NAME?</v>
      </c>
      <c r="GE11" s="85" t="e">
        <f t="shared" ca="1" si="63"/>
        <v>#NAME?</v>
      </c>
      <c r="GF11" s="40" t="e">
        <f ca="1">INT(GE11) + _xll.RiskBinomial(1,GE11-INT(GE11))</f>
        <v>#NAME?</v>
      </c>
      <c r="GG11" s="33" t="e">
        <f t="shared" ca="1" si="34"/>
        <v>#NAME?</v>
      </c>
      <c r="GH11" s="38" t="e">
        <f ca="1">_xll.RiskBinomial(1,GG11)</f>
        <v>#NAME?</v>
      </c>
      <c r="GI11" s="86" t="e">
        <f ca="1">IF(GH11=1,_xll.RiskBinomial(1,Prob_illness_Noro_infection),0)</f>
        <v>#NAME?</v>
      </c>
      <c r="GK11" s="85" t="e">
        <f t="shared" ca="1" si="64"/>
        <v>#NAME?</v>
      </c>
      <c r="GL11" s="40" t="e">
        <f ca="1">INT(GK11) + _xll.RiskBinomial(1,GK11-INT(GK11))</f>
        <v>#NAME?</v>
      </c>
      <c r="GM11" s="33" t="e">
        <f t="shared" ca="1" si="35"/>
        <v>#NAME?</v>
      </c>
      <c r="GN11" s="38" t="e">
        <f ca="1">_xll.RiskBinomial(1,GM11)</f>
        <v>#NAME?</v>
      </c>
      <c r="GO11" s="86" t="e">
        <f ca="1">IF(GN11=1,_xll.RiskBinomial(1,Prob_illness_Noro_infection),0)</f>
        <v>#NAME?</v>
      </c>
    </row>
    <row r="12" spans="2:197" x14ac:dyDescent="0.25">
      <c r="B12" s="106">
        <v>4</v>
      </c>
      <c r="C12" s="109" t="e">
        <f ca="1" xml:space="preserve"> _xll.RiskPert(Dur_Swim_hours_min,Dur_Swim_hours_mode,Dur_Swim_hours_max)</f>
        <v>#NAME?</v>
      </c>
      <c r="D12" s="33" t="e">
        <f ca="1">_xll.RiskLognorm(Primary_Ing_Rate_mL_per_hour_mean,Primary_Ing_Rate_mL_per_hour_sd, _xll.RiskTruncate(Primary_Ing_Rate_mL_per_hour_min,Primary_Ing_Rate_mL_per_hour_max))</f>
        <v>#NAME?</v>
      </c>
      <c r="E12" s="41" t="e">
        <f t="shared" ca="1" si="36"/>
        <v>#NAME?</v>
      </c>
      <c r="F12" s="82"/>
      <c r="G12" s="85" t="e">
        <f t="shared" ca="1" si="37"/>
        <v>#NAME?</v>
      </c>
      <c r="H12" s="40" t="e">
        <f ca="1">INT(G12) + _xll.RiskBinomial(1,G12-INT(G12))</f>
        <v>#NAME?</v>
      </c>
      <c r="I12" s="33" t="e">
        <f t="shared" ca="1" si="0"/>
        <v>#NAME?</v>
      </c>
      <c r="J12" s="38" t="e">
        <f ca="1">_xll.RiskBinomial(1,I12)</f>
        <v>#NAME?</v>
      </c>
      <c r="K12" s="86" t="e">
        <f ca="1">IF(J12=1,_xll.RiskBinomial(1,Prob_illness_Noro_infection),0)</f>
        <v>#NAME?</v>
      </c>
      <c r="L12" s="82"/>
      <c r="M12" s="85" t="e">
        <f t="shared" ca="1" si="38"/>
        <v>#NAME?</v>
      </c>
      <c r="N12" s="40" t="e">
        <f ca="1">INT(M12) + _xll.RiskBinomial(1,M12-INT(M12))</f>
        <v>#NAME?</v>
      </c>
      <c r="O12" s="33" t="e">
        <f t="shared" ca="1" si="1"/>
        <v>#NAME?</v>
      </c>
      <c r="P12" s="38" t="e">
        <f ca="1">_xll.RiskBinomial(1,O12)</f>
        <v>#NAME?</v>
      </c>
      <c r="Q12" s="86" t="e">
        <f ca="1">IF(P12=1,_xll.RiskBinomial(1,Prob_illness_Noro_infection),0)</f>
        <v>#NAME?</v>
      </c>
      <c r="R12" s="82"/>
      <c r="S12" s="85" t="e">
        <f t="shared" ca="1" si="39"/>
        <v>#NAME?</v>
      </c>
      <c r="T12" s="40" t="e">
        <f ca="1">INT(S12) + _xll.RiskBinomial(1,S12-INT(S12))</f>
        <v>#NAME?</v>
      </c>
      <c r="U12" s="33" t="e">
        <f t="shared" ca="1" si="2"/>
        <v>#NAME?</v>
      </c>
      <c r="V12" s="38" t="e">
        <f ca="1">_xll.RiskBinomial(1,U12)</f>
        <v>#NAME?</v>
      </c>
      <c r="W12" s="86" t="e">
        <f ca="1">IF(V12=1,_xll.RiskBinomial(1,Prob_illness_Noro_infection),0)</f>
        <v>#NAME?</v>
      </c>
      <c r="X12" s="82"/>
      <c r="Y12" s="85" t="e">
        <f t="shared" ca="1" si="3"/>
        <v>#NAME?</v>
      </c>
      <c r="Z12" s="40" t="e">
        <f ca="1">INT(Y12) + _xll.RiskBinomial(1,Y12-INT(Y12))</f>
        <v>#NAME?</v>
      </c>
      <c r="AA12" s="33" t="e">
        <f t="shared" ca="1" si="4"/>
        <v>#NAME?</v>
      </c>
      <c r="AB12" s="38" t="e">
        <f ca="1">_xll.RiskBinomial(1,AA12)</f>
        <v>#NAME?</v>
      </c>
      <c r="AC12" s="86" t="e">
        <f ca="1">IF(AB12=1,_xll.RiskBinomial(1,Prob_illness_Noro_infection),0)</f>
        <v>#NAME?</v>
      </c>
      <c r="AD12" s="82"/>
      <c r="AE12" s="85" t="e">
        <f t="shared" ca="1" si="5"/>
        <v>#NAME?</v>
      </c>
      <c r="AF12" s="40" t="e">
        <f ca="1">INT(AE12) + _xll.RiskBinomial(1,AE12-INT(AE12))</f>
        <v>#NAME?</v>
      </c>
      <c r="AG12" s="33" t="e">
        <f t="shared" ca="1" si="6"/>
        <v>#NAME?</v>
      </c>
      <c r="AH12" s="38" t="e">
        <f ca="1">_xll.RiskBinomial(1,AG12)</f>
        <v>#NAME?</v>
      </c>
      <c r="AI12" s="86" t="e">
        <f ca="1">IF(AH12=1,_xll.RiskBinomial(1,Prob_illness_Noro_infection),0)</f>
        <v>#NAME?</v>
      </c>
      <c r="AJ12" s="82"/>
      <c r="AK12" s="85" t="e">
        <f t="shared" ca="1" si="7"/>
        <v>#NAME?</v>
      </c>
      <c r="AL12" s="40" t="e">
        <f ca="1">INT(AK12) + _xll.RiskBinomial(1,AK12-INT(AK12))</f>
        <v>#NAME?</v>
      </c>
      <c r="AM12" s="33" t="e">
        <f t="shared" ca="1" si="8"/>
        <v>#NAME?</v>
      </c>
      <c r="AN12" s="38" t="e">
        <f ca="1">_xll.RiskBinomial(1,AM12)</f>
        <v>#NAME?</v>
      </c>
      <c r="AO12" s="86" t="e">
        <f ca="1">IF(AN12=1,_xll.RiskBinomial(1,Prob_illness_Noro_infection),0)</f>
        <v>#NAME?</v>
      </c>
      <c r="AP12" s="82"/>
      <c r="AQ12" s="85" t="e">
        <f t="shared" ca="1" si="9"/>
        <v>#NAME?</v>
      </c>
      <c r="AR12" s="40" t="e">
        <f ca="1">INT(AQ12) + _xll.RiskBinomial(1,AQ12-INT(AQ12))</f>
        <v>#NAME?</v>
      </c>
      <c r="AS12" s="33" t="e">
        <f t="shared" ca="1" si="10"/>
        <v>#NAME?</v>
      </c>
      <c r="AT12" s="38" t="e">
        <f ca="1">_xll.RiskBinomial(1,AS12)</f>
        <v>#NAME?</v>
      </c>
      <c r="AU12" s="86" t="e">
        <f ca="1">IF(AT12=1,_xll.RiskBinomial(1,Prob_illness_Noro_infection),0)</f>
        <v>#NAME?</v>
      </c>
      <c r="AV12" s="82"/>
      <c r="AW12" s="85" t="e">
        <f t="shared" ca="1" si="40"/>
        <v>#NAME?</v>
      </c>
      <c r="AX12" s="40" t="e">
        <f ca="1">INT(AW12) + _xll.RiskBinomial(1,AW12-INT(AW12))</f>
        <v>#NAME?</v>
      </c>
      <c r="AY12" s="33" t="e">
        <f t="shared" ca="1" si="11"/>
        <v>#NAME?</v>
      </c>
      <c r="AZ12" s="38" t="e">
        <f ca="1">_xll.RiskBinomial(1,AY12)</f>
        <v>#NAME?</v>
      </c>
      <c r="BA12" s="86" t="e">
        <f ca="1">IF(AZ12=1,_xll.RiskBinomial(1,Prob_illness_Noro_infection),0)</f>
        <v>#NAME?</v>
      </c>
      <c r="BC12" s="85" t="e">
        <f t="shared" ca="1" si="41"/>
        <v>#NAME?</v>
      </c>
      <c r="BD12" s="40" t="e">
        <f ca="1">INT(BC12) + _xll.RiskBinomial(1,BC12-INT(BC12))</f>
        <v>#NAME?</v>
      </c>
      <c r="BE12" s="33" t="e">
        <f t="shared" ca="1" si="12"/>
        <v>#NAME?</v>
      </c>
      <c r="BF12" s="38" t="e">
        <f ca="1">_xll.RiskBinomial(1,BE12)</f>
        <v>#NAME?</v>
      </c>
      <c r="BG12" s="86" t="e">
        <f ca="1">IF(BF12=1,_xll.RiskBinomial(1,Prob_illness_Noro_infection),0)</f>
        <v>#NAME?</v>
      </c>
      <c r="BI12" s="85" t="e">
        <f t="shared" ca="1" si="42"/>
        <v>#NAME?</v>
      </c>
      <c r="BJ12" s="40" t="e">
        <f ca="1">INT(BI12) + _xll.RiskBinomial(1,BI12-INT(BI12))</f>
        <v>#NAME?</v>
      </c>
      <c r="BK12" s="33" t="e">
        <f t="shared" ca="1" si="13"/>
        <v>#NAME?</v>
      </c>
      <c r="BL12" s="38" t="e">
        <f ca="1">_xll.RiskBinomial(1,BK12)</f>
        <v>#NAME?</v>
      </c>
      <c r="BM12" s="86" t="e">
        <f ca="1">IF(BL12=1,_xll.RiskBinomial(1,Prob_illness_Noro_infection),0)</f>
        <v>#NAME?</v>
      </c>
      <c r="BO12" s="85" t="e">
        <f t="shared" ca="1" si="43"/>
        <v>#NAME?</v>
      </c>
      <c r="BP12" s="40" t="e">
        <f ca="1">INT(BO12) + _xll.RiskBinomial(1,BO12-INT(BO12))</f>
        <v>#NAME?</v>
      </c>
      <c r="BQ12" s="33" t="e">
        <f t="shared" ca="1" si="14"/>
        <v>#NAME?</v>
      </c>
      <c r="BR12" s="38" t="e">
        <f ca="1">_xll.RiskBinomial(1,BQ12)</f>
        <v>#NAME?</v>
      </c>
      <c r="BS12" s="86" t="e">
        <f ca="1">IF(BR12=1,_xll.RiskBinomial(1,Prob_illness_Noro_infection),0)</f>
        <v>#NAME?</v>
      </c>
      <c r="BU12" s="85" t="e">
        <f t="shared" ca="1" si="44"/>
        <v>#NAME?</v>
      </c>
      <c r="BV12" s="40" t="e">
        <f ca="1">INT(BU12) + _xll.RiskBinomial(1,BU12-INT(BU12))</f>
        <v>#NAME?</v>
      </c>
      <c r="BW12" s="33" t="e">
        <f t="shared" ca="1" si="15"/>
        <v>#NAME?</v>
      </c>
      <c r="BX12" s="38" t="e">
        <f ca="1">_xll.RiskBinomial(1,BW12)</f>
        <v>#NAME?</v>
      </c>
      <c r="BY12" s="86" t="e">
        <f ca="1">IF(BX12=1,_xll.RiskBinomial(1,Prob_illness_Noro_infection),0)</f>
        <v>#NAME?</v>
      </c>
      <c r="CA12" s="85" t="e">
        <f t="shared" ca="1" si="45"/>
        <v>#NAME?</v>
      </c>
      <c r="CB12" s="40" t="e">
        <f ca="1">INT(CA12) + _xll.RiskBinomial(1,CA12-INT(CA12))</f>
        <v>#NAME?</v>
      </c>
      <c r="CC12" s="33" t="e">
        <f t="shared" ca="1" si="16"/>
        <v>#NAME?</v>
      </c>
      <c r="CD12" s="38" t="e">
        <f ca="1">_xll.RiskBinomial(1,CC12)</f>
        <v>#NAME?</v>
      </c>
      <c r="CE12" s="86" t="e">
        <f ca="1">IF(CD12=1,_xll.RiskBinomial(1,Prob_illness_Noro_infection),0)</f>
        <v>#NAME?</v>
      </c>
      <c r="CG12" s="85" t="e">
        <f t="shared" ca="1" si="46"/>
        <v>#NAME?</v>
      </c>
      <c r="CH12" s="40" t="e">
        <f ca="1">INT(CG12) + _xll.RiskBinomial(1,CG12-INT(CG12))</f>
        <v>#NAME?</v>
      </c>
      <c r="CI12" s="33" t="e">
        <f t="shared" ca="1" si="17"/>
        <v>#NAME?</v>
      </c>
      <c r="CJ12" s="38" t="e">
        <f ca="1">_xll.RiskBinomial(1,CI12)</f>
        <v>#NAME?</v>
      </c>
      <c r="CK12" s="86" t="e">
        <f ca="1">IF(CJ12=1,_xll.RiskBinomial(1,Prob_illness_Noro_infection),0)</f>
        <v>#NAME?</v>
      </c>
      <c r="CM12" s="85" t="e">
        <f t="shared" ca="1" si="47"/>
        <v>#NAME?</v>
      </c>
      <c r="CN12" s="40" t="e">
        <f ca="1">INT(CM12) + _xll.RiskBinomial(1,CM12-INT(CM12))</f>
        <v>#NAME?</v>
      </c>
      <c r="CO12" s="33" t="e">
        <f t="shared" ca="1" si="18"/>
        <v>#NAME?</v>
      </c>
      <c r="CP12" s="38" t="e">
        <f ca="1">_xll.RiskBinomial(1,CO12)</f>
        <v>#NAME?</v>
      </c>
      <c r="CQ12" s="86" t="e">
        <f ca="1">IF(CP12=1,_xll.RiskBinomial(1,Prob_illness_Noro_infection),0)</f>
        <v>#NAME?</v>
      </c>
      <c r="CS12" s="85" t="e">
        <f t="shared" ca="1" si="48"/>
        <v>#NAME?</v>
      </c>
      <c r="CT12" s="40" t="e">
        <f ca="1">INT(CS12) + _xll.RiskBinomial(1,CS12-INT(CS12))</f>
        <v>#NAME?</v>
      </c>
      <c r="CU12" s="33" t="e">
        <f t="shared" ca="1" si="19"/>
        <v>#NAME?</v>
      </c>
      <c r="CV12" s="38" t="e">
        <f ca="1">_xll.RiskBinomial(1,CU12)</f>
        <v>#NAME?</v>
      </c>
      <c r="CW12" s="86" t="e">
        <f ca="1">IF(CV12=1,_xll.RiskBinomial(1,Prob_illness_Noro_infection),0)</f>
        <v>#NAME?</v>
      </c>
      <c r="CY12" s="85" t="e">
        <f t="shared" ca="1" si="49"/>
        <v>#NAME?</v>
      </c>
      <c r="CZ12" s="40" t="e">
        <f ca="1">INT(CY12) + _xll.RiskBinomial(1,CY12-INT(CY12))</f>
        <v>#NAME?</v>
      </c>
      <c r="DA12" s="33" t="e">
        <f t="shared" ca="1" si="20"/>
        <v>#NAME?</v>
      </c>
      <c r="DB12" s="38" t="e">
        <f ca="1">_xll.RiskBinomial(1,DA12)</f>
        <v>#NAME?</v>
      </c>
      <c r="DC12" s="86" t="e">
        <f ca="1">IF(DB12=1,_xll.RiskBinomial(1,Prob_illness_Noro_infection),0)</f>
        <v>#NAME?</v>
      </c>
      <c r="DE12" s="85" t="e">
        <f t="shared" ca="1" si="50"/>
        <v>#NAME?</v>
      </c>
      <c r="DF12" s="40" t="e">
        <f ca="1">INT(DE12) + _xll.RiskBinomial(1,DE12-INT(DE12))</f>
        <v>#NAME?</v>
      </c>
      <c r="DG12" s="33" t="e">
        <f t="shared" ca="1" si="21"/>
        <v>#NAME?</v>
      </c>
      <c r="DH12" s="38" t="e">
        <f ca="1">_xll.RiskBinomial(1,DG12)</f>
        <v>#NAME?</v>
      </c>
      <c r="DI12" s="86" t="e">
        <f ca="1">IF(DH12=1,_xll.RiskBinomial(1,Prob_illness_Noro_infection),0)</f>
        <v>#NAME?</v>
      </c>
      <c r="DK12" s="85" t="e">
        <f t="shared" ca="1" si="51"/>
        <v>#NAME?</v>
      </c>
      <c r="DL12" s="40" t="e">
        <f ca="1">INT(DK12) + _xll.RiskBinomial(1,DK12-INT(DK12))</f>
        <v>#NAME?</v>
      </c>
      <c r="DM12" s="33" t="e">
        <f t="shared" ca="1" si="22"/>
        <v>#NAME?</v>
      </c>
      <c r="DN12" s="38" t="e">
        <f ca="1">_xll.RiskBinomial(1,DM12)</f>
        <v>#NAME?</v>
      </c>
      <c r="DO12" s="86" t="e">
        <f ca="1">IF(DN12=1,_xll.RiskBinomial(1,Prob_illness_Noro_infection),0)</f>
        <v>#NAME?</v>
      </c>
      <c r="DQ12" s="85" t="e">
        <f t="shared" ca="1" si="52"/>
        <v>#NAME?</v>
      </c>
      <c r="DR12" s="40" t="e">
        <f ca="1">INT(DQ12) + _xll.RiskBinomial(1,DQ12-INT(DQ12))</f>
        <v>#NAME?</v>
      </c>
      <c r="DS12" s="33" t="e">
        <f t="shared" ca="1" si="23"/>
        <v>#NAME?</v>
      </c>
      <c r="DT12" s="38" t="e">
        <f ca="1">_xll.RiskBinomial(1,DS12)</f>
        <v>#NAME?</v>
      </c>
      <c r="DU12" s="86" t="e">
        <f ca="1">IF(DT12=1,_xll.RiskBinomial(1,Prob_illness_Noro_infection),0)</f>
        <v>#NAME?</v>
      </c>
      <c r="DW12" s="85" t="e">
        <f t="shared" ca="1" si="53"/>
        <v>#NAME?</v>
      </c>
      <c r="DX12" s="40" t="e">
        <f ca="1">INT(DW12) + _xll.RiskBinomial(1,DW12-INT(DW12))</f>
        <v>#NAME?</v>
      </c>
      <c r="DY12" s="33" t="e">
        <f t="shared" ca="1" si="24"/>
        <v>#NAME?</v>
      </c>
      <c r="DZ12" s="38" t="e">
        <f ca="1">_xll.RiskBinomial(1,DY12)</f>
        <v>#NAME?</v>
      </c>
      <c r="EA12" s="86" t="e">
        <f ca="1">IF(DZ12=1,_xll.RiskBinomial(1,Prob_illness_Noro_infection),0)</f>
        <v>#NAME?</v>
      </c>
      <c r="EC12" s="85" t="e">
        <f t="shared" ca="1" si="54"/>
        <v>#NAME?</v>
      </c>
      <c r="ED12" s="40" t="e">
        <f ca="1">INT(EC12) + _xll.RiskBinomial(1,EC12-INT(EC12))</f>
        <v>#NAME?</v>
      </c>
      <c r="EE12" s="33" t="e">
        <f t="shared" ca="1" si="25"/>
        <v>#NAME?</v>
      </c>
      <c r="EF12" s="38" t="e">
        <f ca="1">_xll.RiskBinomial(1,EE12)</f>
        <v>#NAME?</v>
      </c>
      <c r="EG12" s="86" t="e">
        <f ca="1">IF(EF12=1,_xll.RiskBinomial(1,Prob_illness_Noro_infection),0)</f>
        <v>#NAME?</v>
      </c>
      <c r="EI12" s="85" t="e">
        <f t="shared" ca="1" si="55"/>
        <v>#NAME?</v>
      </c>
      <c r="EJ12" s="40" t="e">
        <f ca="1">INT(EI12) + _xll.RiskBinomial(1,EI12-INT(EI12))</f>
        <v>#NAME?</v>
      </c>
      <c r="EK12" s="33" t="e">
        <f t="shared" ca="1" si="26"/>
        <v>#NAME?</v>
      </c>
      <c r="EL12" s="38" t="e">
        <f ca="1">_xll.RiskBinomial(1,EK12)</f>
        <v>#NAME?</v>
      </c>
      <c r="EM12" s="86" t="e">
        <f ca="1">IF(EL12=1,_xll.RiskBinomial(1,Prob_illness_Noro_infection),0)</f>
        <v>#NAME?</v>
      </c>
      <c r="EO12" s="85" t="e">
        <f t="shared" ca="1" si="56"/>
        <v>#NAME?</v>
      </c>
      <c r="EP12" s="40" t="e">
        <f ca="1">INT(EO12) + _xll.RiskBinomial(1,EO12-INT(EO12))</f>
        <v>#NAME?</v>
      </c>
      <c r="EQ12" s="33" t="e">
        <f t="shared" ca="1" si="27"/>
        <v>#NAME?</v>
      </c>
      <c r="ER12" s="38" t="e">
        <f ca="1">_xll.RiskBinomial(1,EQ12)</f>
        <v>#NAME?</v>
      </c>
      <c r="ES12" s="86" t="e">
        <f ca="1">IF(ER12=1,_xll.RiskBinomial(1,Prob_illness_Noro_infection),0)</f>
        <v>#NAME?</v>
      </c>
      <c r="EU12" s="85" t="e">
        <f t="shared" ca="1" si="57"/>
        <v>#NAME?</v>
      </c>
      <c r="EV12" s="40" t="e">
        <f ca="1">INT(EU12) + _xll.RiskBinomial(1,EU12-INT(EU12))</f>
        <v>#NAME?</v>
      </c>
      <c r="EW12" s="33" t="e">
        <f t="shared" ca="1" si="28"/>
        <v>#NAME?</v>
      </c>
      <c r="EX12" s="38" t="e">
        <f ca="1">_xll.RiskBinomial(1,EW12)</f>
        <v>#NAME?</v>
      </c>
      <c r="EY12" s="86" t="e">
        <f ca="1">IF(EX12=1,_xll.RiskBinomial(1,Prob_illness_Noro_infection),0)</f>
        <v>#NAME?</v>
      </c>
      <c r="FA12" s="85" t="e">
        <f t="shared" ca="1" si="58"/>
        <v>#NAME?</v>
      </c>
      <c r="FB12" s="40" t="e">
        <f ca="1">INT(FA12) + _xll.RiskBinomial(1,FA12-INT(FA12))</f>
        <v>#NAME?</v>
      </c>
      <c r="FC12" s="33" t="e">
        <f t="shared" ca="1" si="29"/>
        <v>#NAME?</v>
      </c>
      <c r="FD12" s="38" t="e">
        <f ca="1">_xll.RiskBinomial(1,FC12)</f>
        <v>#NAME?</v>
      </c>
      <c r="FE12" s="86" t="e">
        <f ca="1">IF(FD12=1,_xll.RiskBinomial(1,Prob_illness_Noro_infection),0)</f>
        <v>#NAME?</v>
      </c>
      <c r="FG12" s="85" t="e">
        <f t="shared" ca="1" si="59"/>
        <v>#NAME?</v>
      </c>
      <c r="FH12" s="40" t="e">
        <f ca="1">INT(FG12) + _xll.RiskBinomial(1,FG12-INT(FG12))</f>
        <v>#NAME?</v>
      </c>
      <c r="FI12" s="33" t="e">
        <f t="shared" ca="1" si="30"/>
        <v>#NAME?</v>
      </c>
      <c r="FJ12" s="38" t="e">
        <f ca="1">_xll.RiskBinomial(1,FI12)</f>
        <v>#NAME?</v>
      </c>
      <c r="FK12" s="86" t="e">
        <f ca="1">IF(FJ12=1,_xll.RiskBinomial(1,Prob_illness_Noro_infection),0)</f>
        <v>#NAME?</v>
      </c>
      <c r="FM12" s="85" t="e">
        <f t="shared" ca="1" si="60"/>
        <v>#NAME?</v>
      </c>
      <c r="FN12" s="40" t="e">
        <f ca="1">INT(FM12) + _xll.RiskBinomial(1,FM12-INT(FM12))</f>
        <v>#NAME?</v>
      </c>
      <c r="FO12" s="33" t="e">
        <f t="shared" ca="1" si="31"/>
        <v>#NAME?</v>
      </c>
      <c r="FP12" s="38" t="e">
        <f ca="1">_xll.RiskBinomial(1,FO12)</f>
        <v>#NAME?</v>
      </c>
      <c r="FQ12" s="86" t="e">
        <f ca="1">IF(FP12=1,_xll.RiskBinomial(1,Prob_illness_Noro_infection),0)</f>
        <v>#NAME?</v>
      </c>
      <c r="FS12" s="85" t="e">
        <f t="shared" ca="1" si="61"/>
        <v>#NAME?</v>
      </c>
      <c r="FT12" s="40" t="e">
        <f ca="1">INT(FS12) + _xll.RiskBinomial(1,FS12-INT(FS12))</f>
        <v>#NAME?</v>
      </c>
      <c r="FU12" s="33" t="e">
        <f t="shared" ca="1" si="32"/>
        <v>#NAME?</v>
      </c>
      <c r="FV12" s="38" t="e">
        <f ca="1">_xll.RiskBinomial(1,FU12)</f>
        <v>#NAME?</v>
      </c>
      <c r="FW12" s="86" t="e">
        <f ca="1">IF(FV12=1,_xll.RiskBinomial(1,Prob_illness_Noro_infection),0)</f>
        <v>#NAME?</v>
      </c>
      <c r="FY12" s="85" t="e">
        <f t="shared" ca="1" si="62"/>
        <v>#NAME?</v>
      </c>
      <c r="FZ12" s="40" t="e">
        <f ca="1">INT(FY12) + _xll.RiskBinomial(1,FY12-INT(FY12))</f>
        <v>#NAME?</v>
      </c>
      <c r="GA12" s="33" t="e">
        <f t="shared" ca="1" si="33"/>
        <v>#NAME?</v>
      </c>
      <c r="GB12" s="38" t="e">
        <f ca="1">_xll.RiskBinomial(1,GA12)</f>
        <v>#NAME?</v>
      </c>
      <c r="GC12" s="86" t="e">
        <f ca="1">IF(GB12=1,_xll.RiskBinomial(1,Prob_illness_Noro_infection),0)</f>
        <v>#NAME?</v>
      </c>
      <c r="GE12" s="85" t="e">
        <f t="shared" ca="1" si="63"/>
        <v>#NAME?</v>
      </c>
      <c r="GF12" s="40" t="e">
        <f ca="1">INT(GE12) + _xll.RiskBinomial(1,GE12-INT(GE12))</f>
        <v>#NAME?</v>
      </c>
      <c r="GG12" s="33" t="e">
        <f t="shared" ca="1" si="34"/>
        <v>#NAME?</v>
      </c>
      <c r="GH12" s="38" t="e">
        <f ca="1">_xll.RiskBinomial(1,GG12)</f>
        <v>#NAME?</v>
      </c>
      <c r="GI12" s="86" t="e">
        <f ca="1">IF(GH12=1,_xll.RiskBinomial(1,Prob_illness_Noro_infection),0)</f>
        <v>#NAME?</v>
      </c>
      <c r="GK12" s="85" t="e">
        <f t="shared" ca="1" si="64"/>
        <v>#NAME?</v>
      </c>
      <c r="GL12" s="40" t="e">
        <f ca="1">INT(GK12) + _xll.RiskBinomial(1,GK12-INT(GK12))</f>
        <v>#NAME?</v>
      </c>
      <c r="GM12" s="33" t="e">
        <f t="shared" ca="1" si="35"/>
        <v>#NAME?</v>
      </c>
      <c r="GN12" s="38" t="e">
        <f ca="1">_xll.RiskBinomial(1,GM12)</f>
        <v>#NAME?</v>
      </c>
      <c r="GO12" s="86" t="e">
        <f ca="1">IF(GN12=1,_xll.RiskBinomial(1,Prob_illness_Noro_infection),0)</f>
        <v>#NAME?</v>
      </c>
    </row>
    <row r="13" spans="2:197" x14ac:dyDescent="0.25">
      <c r="B13" s="106">
        <v>5</v>
      </c>
      <c r="C13" s="109" t="e">
        <f ca="1" xml:space="preserve"> _xll.RiskPert(Dur_Swim_hours_min,Dur_Swim_hours_mode,Dur_Swim_hours_max)</f>
        <v>#NAME?</v>
      </c>
      <c r="D13" s="33" t="e">
        <f ca="1">_xll.RiskLognorm(Primary_Ing_Rate_mL_per_hour_mean,Primary_Ing_Rate_mL_per_hour_sd, _xll.RiskTruncate(Primary_Ing_Rate_mL_per_hour_min,Primary_Ing_Rate_mL_per_hour_max))</f>
        <v>#NAME?</v>
      </c>
      <c r="E13" s="41" t="e">
        <f t="shared" ca="1" si="36"/>
        <v>#NAME?</v>
      </c>
      <c r="F13" s="33"/>
      <c r="G13" s="85" t="e">
        <f t="shared" ca="1" si="37"/>
        <v>#NAME?</v>
      </c>
      <c r="H13" s="40" t="e">
        <f ca="1">INT(G13) + _xll.RiskBinomial(1,G13-INT(G13))</f>
        <v>#NAME?</v>
      </c>
      <c r="I13" s="33" t="e">
        <f t="shared" ca="1" si="0"/>
        <v>#NAME?</v>
      </c>
      <c r="J13" s="38" t="e">
        <f ca="1">_xll.RiskBinomial(1,I13)</f>
        <v>#NAME?</v>
      </c>
      <c r="K13" s="86" t="e">
        <f ca="1">IF(J13=1,_xll.RiskBinomial(1,Prob_illness_Noro_infection),0)</f>
        <v>#NAME?</v>
      </c>
      <c r="L13" s="33"/>
      <c r="M13" s="85" t="e">
        <f t="shared" ca="1" si="38"/>
        <v>#NAME?</v>
      </c>
      <c r="N13" s="40" t="e">
        <f ca="1">INT(M13) + _xll.RiskBinomial(1,M13-INT(M13))</f>
        <v>#NAME?</v>
      </c>
      <c r="O13" s="33" t="e">
        <f t="shared" ca="1" si="1"/>
        <v>#NAME?</v>
      </c>
      <c r="P13" s="38" t="e">
        <f ca="1">_xll.RiskBinomial(1,O13)</f>
        <v>#NAME?</v>
      </c>
      <c r="Q13" s="86" t="e">
        <f ca="1">IF(P13=1,_xll.RiskBinomial(1,Prob_illness_Noro_infection),0)</f>
        <v>#NAME?</v>
      </c>
      <c r="R13" s="33"/>
      <c r="S13" s="85" t="e">
        <f t="shared" ca="1" si="39"/>
        <v>#NAME?</v>
      </c>
      <c r="T13" s="40" t="e">
        <f ca="1">INT(S13) + _xll.RiskBinomial(1,S13-INT(S13))</f>
        <v>#NAME?</v>
      </c>
      <c r="U13" s="33" t="e">
        <f t="shared" ca="1" si="2"/>
        <v>#NAME?</v>
      </c>
      <c r="V13" s="38" t="e">
        <f ca="1">_xll.RiskBinomial(1,U13)</f>
        <v>#NAME?</v>
      </c>
      <c r="W13" s="86" t="e">
        <f ca="1">IF(V13=1,_xll.RiskBinomial(1,Prob_illness_Noro_infection),0)</f>
        <v>#NAME?</v>
      </c>
      <c r="X13" s="33"/>
      <c r="Y13" s="85" t="e">
        <f t="shared" ca="1" si="3"/>
        <v>#NAME?</v>
      </c>
      <c r="Z13" s="40" t="e">
        <f ca="1">INT(Y13) + _xll.RiskBinomial(1,Y13-INT(Y13))</f>
        <v>#NAME?</v>
      </c>
      <c r="AA13" s="33" t="e">
        <f t="shared" ca="1" si="4"/>
        <v>#NAME?</v>
      </c>
      <c r="AB13" s="38" t="e">
        <f ca="1">_xll.RiskBinomial(1,AA13)</f>
        <v>#NAME?</v>
      </c>
      <c r="AC13" s="86" t="e">
        <f ca="1">IF(AB13=1,_xll.RiskBinomial(1,Prob_illness_Noro_infection),0)</f>
        <v>#NAME?</v>
      </c>
      <c r="AD13" s="33"/>
      <c r="AE13" s="85" t="e">
        <f t="shared" ca="1" si="5"/>
        <v>#NAME?</v>
      </c>
      <c r="AF13" s="40" t="e">
        <f ca="1">INT(AE13) + _xll.RiskBinomial(1,AE13-INT(AE13))</f>
        <v>#NAME?</v>
      </c>
      <c r="AG13" s="33" t="e">
        <f t="shared" ca="1" si="6"/>
        <v>#NAME?</v>
      </c>
      <c r="AH13" s="38" t="e">
        <f ca="1">_xll.RiskBinomial(1,AG13)</f>
        <v>#NAME?</v>
      </c>
      <c r="AI13" s="86" t="e">
        <f ca="1">IF(AH13=1,_xll.RiskBinomial(1,Prob_illness_Noro_infection),0)</f>
        <v>#NAME?</v>
      </c>
      <c r="AJ13" s="33"/>
      <c r="AK13" s="85" t="e">
        <f t="shared" ca="1" si="7"/>
        <v>#NAME?</v>
      </c>
      <c r="AL13" s="40" t="e">
        <f ca="1">INT(AK13) + _xll.RiskBinomial(1,AK13-INT(AK13))</f>
        <v>#NAME?</v>
      </c>
      <c r="AM13" s="33" t="e">
        <f t="shared" ca="1" si="8"/>
        <v>#NAME?</v>
      </c>
      <c r="AN13" s="38" t="e">
        <f ca="1">_xll.RiskBinomial(1,AM13)</f>
        <v>#NAME?</v>
      </c>
      <c r="AO13" s="86" t="e">
        <f ca="1">IF(AN13=1,_xll.RiskBinomial(1,Prob_illness_Noro_infection),0)</f>
        <v>#NAME?</v>
      </c>
      <c r="AP13" s="33"/>
      <c r="AQ13" s="85" t="e">
        <f t="shared" ca="1" si="9"/>
        <v>#NAME?</v>
      </c>
      <c r="AR13" s="40" t="e">
        <f ca="1">INT(AQ13) + _xll.RiskBinomial(1,AQ13-INT(AQ13))</f>
        <v>#NAME?</v>
      </c>
      <c r="AS13" s="33" t="e">
        <f t="shared" ca="1" si="10"/>
        <v>#NAME?</v>
      </c>
      <c r="AT13" s="38" t="e">
        <f ca="1">_xll.RiskBinomial(1,AS13)</f>
        <v>#NAME?</v>
      </c>
      <c r="AU13" s="86" t="e">
        <f ca="1">IF(AT13=1,_xll.RiskBinomial(1,Prob_illness_Noro_infection),0)</f>
        <v>#NAME?</v>
      </c>
      <c r="AV13" s="33"/>
      <c r="AW13" s="85" t="e">
        <f t="shared" ca="1" si="40"/>
        <v>#NAME?</v>
      </c>
      <c r="AX13" s="40" t="e">
        <f ca="1">INT(AW13) + _xll.RiskBinomial(1,AW13-INT(AW13))</f>
        <v>#NAME?</v>
      </c>
      <c r="AY13" s="33" t="e">
        <f t="shared" ca="1" si="11"/>
        <v>#NAME?</v>
      </c>
      <c r="AZ13" s="38" t="e">
        <f ca="1">_xll.RiskBinomial(1,AY13)</f>
        <v>#NAME?</v>
      </c>
      <c r="BA13" s="86" t="e">
        <f ca="1">IF(AZ13=1,_xll.RiskBinomial(1,Prob_illness_Noro_infection),0)</f>
        <v>#NAME?</v>
      </c>
      <c r="BC13" s="85" t="e">
        <f t="shared" ca="1" si="41"/>
        <v>#NAME?</v>
      </c>
      <c r="BD13" s="40" t="e">
        <f ca="1">INT(BC13) + _xll.RiskBinomial(1,BC13-INT(BC13))</f>
        <v>#NAME?</v>
      </c>
      <c r="BE13" s="33" t="e">
        <f t="shared" ca="1" si="12"/>
        <v>#NAME?</v>
      </c>
      <c r="BF13" s="38" t="e">
        <f ca="1">_xll.RiskBinomial(1,BE13)</f>
        <v>#NAME?</v>
      </c>
      <c r="BG13" s="86" t="e">
        <f ca="1">IF(BF13=1,_xll.RiskBinomial(1,Prob_illness_Noro_infection),0)</f>
        <v>#NAME?</v>
      </c>
      <c r="BI13" s="85" t="e">
        <f t="shared" ca="1" si="42"/>
        <v>#NAME?</v>
      </c>
      <c r="BJ13" s="40" t="e">
        <f ca="1">INT(BI13) + _xll.RiskBinomial(1,BI13-INT(BI13))</f>
        <v>#NAME?</v>
      </c>
      <c r="BK13" s="33" t="e">
        <f t="shared" ca="1" si="13"/>
        <v>#NAME?</v>
      </c>
      <c r="BL13" s="38" t="e">
        <f ca="1">_xll.RiskBinomial(1,BK13)</f>
        <v>#NAME?</v>
      </c>
      <c r="BM13" s="86" t="e">
        <f ca="1">IF(BL13=1,_xll.RiskBinomial(1,Prob_illness_Noro_infection),0)</f>
        <v>#NAME?</v>
      </c>
      <c r="BO13" s="85" t="e">
        <f t="shared" ca="1" si="43"/>
        <v>#NAME?</v>
      </c>
      <c r="BP13" s="40" t="e">
        <f ca="1">INT(BO13) + _xll.RiskBinomial(1,BO13-INT(BO13))</f>
        <v>#NAME?</v>
      </c>
      <c r="BQ13" s="33" t="e">
        <f t="shared" ca="1" si="14"/>
        <v>#NAME?</v>
      </c>
      <c r="BR13" s="38" t="e">
        <f ca="1">_xll.RiskBinomial(1,BQ13)</f>
        <v>#NAME?</v>
      </c>
      <c r="BS13" s="86" t="e">
        <f ca="1">IF(BR13=1,_xll.RiskBinomial(1,Prob_illness_Noro_infection),0)</f>
        <v>#NAME?</v>
      </c>
      <c r="BU13" s="85" t="e">
        <f t="shared" ca="1" si="44"/>
        <v>#NAME?</v>
      </c>
      <c r="BV13" s="40" t="e">
        <f ca="1">INT(BU13) + _xll.RiskBinomial(1,BU13-INT(BU13))</f>
        <v>#NAME?</v>
      </c>
      <c r="BW13" s="33" t="e">
        <f t="shared" ca="1" si="15"/>
        <v>#NAME?</v>
      </c>
      <c r="BX13" s="38" t="e">
        <f ca="1">_xll.RiskBinomial(1,BW13)</f>
        <v>#NAME?</v>
      </c>
      <c r="BY13" s="86" t="e">
        <f ca="1">IF(BX13=1,_xll.RiskBinomial(1,Prob_illness_Noro_infection),0)</f>
        <v>#NAME?</v>
      </c>
      <c r="CA13" s="85" t="e">
        <f t="shared" ca="1" si="45"/>
        <v>#NAME?</v>
      </c>
      <c r="CB13" s="40" t="e">
        <f ca="1">INT(CA13) + _xll.RiskBinomial(1,CA13-INT(CA13))</f>
        <v>#NAME?</v>
      </c>
      <c r="CC13" s="33" t="e">
        <f t="shared" ca="1" si="16"/>
        <v>#NAME?</v>
      </c>
      <c r="CD13" s="38" t="e">
        <f ca="1">_xll.RiskBinomial(1,CC13)</f>
        <v>#NAME?</v>
      </c>
      <c r="CE13" s="86" t="e">
        <f ca="1">IF(CD13=1,_xll.RiskBinomial(1,Prob_illness_Noro_infection),0)</f>
        <v>#NAME?</v>
      </c>
      <c r="CG13" s="85" t="e">
        <f t="shared" ca="1" si="46"/>
        <v>#NAME?</v>
      </c>
      <c r="CH13" s="40" t="e">
        <f ca="1">INT(CG13) + _xll.RiskBinomial(1,CG13-INT(CG13))</f>
        <v>#NAME?</v>
      </c>
      <c r="CI13" s="33" t="e">
        <f t="shared" ca="1" si="17"/>
        <v>#NAME?</v>
      </c>
      <c r="CJ13" s="38" t="e">
        <f ca="1">_xll.RiskBinomial(1,CI13)</f>
        <v>#NAME?</v>
      </c>
      <c r="CK13" s="86" t="e">
        <f ca="1">IF(CJ13=1,_xll.RiskBinomial(1,Prob_illness_Noro_infection),0)</f>
        <v>#NAME?</v>
      </c>
      <c r="CM13" s="85" t="e">
        <f t="shared" ca="1" si="47"/>
        <v>#NAME?</v>
      </c>
      <c r="CN13" s="40" t="e">
        <f ca="1">INT(CM13) + _xll.RiskBinomial(1,CM13-INT(CM13))</f>
        <v>#NAME?</v>
      </c>
      <c r="CO13" s="33" t="e">
        <f t="shared" ca="1" si="18"/>
        <v>#NAME?</v>
      </c>
      <c r="CP13" s="38" t="e">
        <f ca="1">_xll.RiskBinomial(1,CO13)</f>
        <v>#NAME?</v>
      </c>
      <c r="CQ13" s="86" t="e">
        <f ca="1">IF(CP13=1,_xll.RiskBinomial(1,Prob_illness_Noro_infection),0)</f>
        <v>#NAME?</v>
      </c>
      <c r="CS13" s="85" t="e">
        <f t="shared" ca="1" si="48"/>
        <v>#NAME?</v>
      </c>
      <c r="CT13" s="40" t="e">
        <f ca="1">INT(CS13) + _xll.RiskBinomial(1,CS13-INT(CS13))</f>
        <v>#NAME?</v>
      </c>
      <c r="CU13" s="33" t="e">
        <f t="shared" ca="1" si="19"/>
        <v>#NAME?</v>
      </c>
      <c r="CV13" s="38" t="e">
        <f ca="1">_xll.RiskBinomial(1,CU13)</f>
        <v>#NAME?</v>
      </c>
      <c r="CW13" s="86" t="e">
        <f ca="1">IF(CV13=1,_xll.RiskBinomial(1,Prob_illness_Noro_infection),0)</f>
        <v>#NAME?</v>
      </c>
      <c r="CY13" s="85" t="e">
        <f t="shared" ca="1" si="49"/>
        <v>#NAME?</v>
      </c>
      <c r="CZ13" s="40" t="e">
        <f ca="1">INT(CY13) + _xll.RiskBinomial(1,CY13-INT(CY13))</f>
        <v>#NAME?</v>
      </c>
      <c r="DA13" s="33" t="e">
        <f t="shared" ca="1" si="20"/>
        <v>#NAME?</v>
      </c>
      <c r="DB13" s="38" t="e">
        <f ca="1">_xll.RiskBinomial(1,DA13)</f>
        <v>#NAME?</v>
      </c>
      <c r="DC13" s="86" t="e">
        <f ca="1">IF(DB13=1,_xll.RiskBinomial(1,Prob_illness_Noro_infection),0)</f>
        <v>#NAME?</v>
      </c>
      <c r="DE13" s="85" t="e">
        <f t="shared" ca="1" si="50"/>
        <v>#NAME?</v>
      </c>
      <c r="DF13" s="40" t="e">
        <f ca="1">INT(DE13) + _xll.RiskBinomial(1,DE13-INT(DE13))</f>
        <v>#NAME?</v>
      </c>
      <c r="DG13" s="33" t="e">
        <f t="shared" ca="1" si="21"/>
        <v>#NAME?</v>
      </c>
      <c r="DH13" s="38" t="e">
        <f ca="1">_xll.RiskBinomial(1,DG13)</f>
        <v>#NAME?</v>
      </c>
      <c r="DI13" s="86" t="e">
        <f ca="1">IF(DH13=1,_xll.RiskBinomial(1,Prob_illness_Noro_infection),0)</f>
        <v>#NAME?</v>
      </c>
      <c r="DK13" s="85" t="e">
        <f t="shared" ca="1" si="51"/>
        <v>#NAME?</v>
      </c>
      <c r="DL13" s="40" t="e">
        <f ca="1">INT(DK13) + _xll.RiskBinomial(1,DK13-INT(DK13))</f>
        <v>#NAME?</v>
      </c>
      <c r="DM13" s="33" t="e">
        <f t="shared" ca="1" si="22"/>
        <v>#NAME?</v>
      </c>
      <c r="DN13" s="38" t="e">
        <f ca="1">_xll.RiskBinomial(1,DM13)</f>
        <v>#NAME?</v>
      </c>
      <c r="DO13" s="86" t="e">
        <f ca="1">IF(DN13=1,_xll.RiskBinomial(1,Prob_illness_Noro_infection),0)</f>
        <v>#NAME?</v>
      </c>
      <c r="DQ13" s="85" t="e">
        <f t="shared" ca="1" si="52"/>
        <v>#NAME?</v>
      </c>
      <c r="DR13" s="40" t="e">
        <f ca="1">INT(DQ13) + _xll.RiskBinomial(1,DQ13-INT(DQ13))</f>
        <v>#NAME?</v>
      </c>
      <c r="DS13" s="33" t="e">
        <f t="shared" ca="1" si="23"/>
        <v>#NAME?</v>
      </c>
      <c r="DT13" s="38" t="e">
        <f ca="1">_xll.RiskBinomial(1,DS13)</f>
        <v>#NAME?</v>
      </c>
      <c r="DU13" s="86" t="e">
        <f ca="1">IF(DT13=1,_xll.RiskBinomial(1,Prob_illness_Noro_infection),0)</f>
        <v>#NAME?</v>
      </c>
      <c r="DW13" s="85" t="e">
        <f t="shared" ca="1" si="53"/>
        <v>#NAME?</v>
      </c>
      <c r="DX13" s="40" t="e">
        <f ca="1">INT(DW13) + _xll.RiskBinomial(1,DW13-INT(DW13))</f>
        <v>#NAME?</v>
      </c>
      <c r="DY13" s="33" t="e">
        <f t="shared" ca="1" si="24"/>
        <v>#NAME?</v>
      </c>
      <c r="DZ13" s="38" t="e">
        <f ca="1">_xll.RiskBinomial(1,DY13)</f>
        <v>#NAME?</v>
      </c>
      <c r="EA13" s="86" t="e">
        <f ca="1">IF(DZ13=1,_xll.RiskBinomial(1,Prob_illness_Noro_infection),0)</f>
        <v>#NAME?</v>
      </c>
      <c r="EC13" s="85" t="e">
        <f t="shared" ca="1" si="54"/>
        <v>#NAME?</v>
      </c>
      <c r="ED13" s="40" t="e">
        <f ca="1">INT(EC13) + _xll.RiskBinomial(1,EC13-INT(EC13))</f>
        <v>#NAME?</v>
      </c>
      <c r="EE13" s="33" t="e">
        <f t="shared" ca="1" si="25"/>
        <v>#NAME?</v>
      </c>
      <c r="EF13" s="38" t="e">
        <f ca="1">_xll.RiskBinomial(1,EE13)</f>
        <v>#NAME?</v>
      </c>
      <c r="EG13" s="86" t="e">
        <f ca="1">IF(EF13=1,_xll.RiskBinomial(1,Prob_illness_Noro_infection),0)</f>
        <v>#NAME?</v>
      </c>
      <c r="EI13" s="85" t="e">
        <f t="shared" ca="1" si="55"/>
        <v>#NAME?</v>
      </c>
      <c r="EJ13" s="40" t="e">
        <f ca="1">INT(EI13) + _xll.RiskBinomial(1,EI13-INT(EI13))</f>
        <v>#NAME?</v>
      </c>
      <c r="EK13" s="33" t="e">
        <f t="shared" ca="1" si="26"/>
        <v>#NAME?</v>
      </c>
      <c r="EL13" s="38" t="e">
        <f ca="1">_xll.RiskBinomial(1,EK13)</f>
        <v>#NAME?</v>
      </c>
      <c r="EM13" s="86" t="e">
        <f ca="1">IF(EL13=1,_xll.RiskBinomial(1,Prob_illness_Noro_infection),0)</f>
        <v>#NAME?</v>
      </c>
      <c r="EO13" s="85" t="e">
        <f t="shared" ca="1" si="56"/>
        <v>#NAME?</v>
      </c>
      <c r="EP13" s="40" t="e">
        <f ca="1">INT(EO13) + _xll.RiskBinomial(1,EO13-INT(EO13))</f>
        <v>#NAME?</v>
      </c>
      <c r="EQ13" s="33" t="e">
        <f t="shared" ca="1" si="27"/>
        <v>#NAME?</v>
      </c>
      <c r="ER13" s="38" t="e">
        <f ca="1">_xll.RiskBinomial(1,EQ13)</f>
        <v>#NAME?</v>
      </c>
      <c r="ES13" s="86" t="e">
        <f ca="1">IF(ER13=1,_xll.RiskBinomial(1,Prob_illness_Noro_infection),0)</f>
        <v>#NAME?</v>
      </c>
      <c r="EU13" s="85" t="e">
        <f t="shared" ca="1" si="57"/>
        <v>#NAME?</v>
      </c>
      <c r="EV13" s="40" t="e">
        <f ca="1">INT(EU13) + _xll.RiskBinomial(1,EU13-INT(EU13))</f>
        <v>#NAME?</v>
      </c>
      <c r="EW13" s="33" t="e">
        <f t="shared" ca="1" si="28"/>
        <v>#NAME?</v>
      </c>
      <c r="EX13" s="38" t="e">
        <f ca="1">_xll.RiskBinomial(1,EW13)</f>
        <v>#NAME?</v>
      </c>
      <c r="EY13" s="86" t="e">
        <f ca="1">IF(EX13=1,_xll.RiskBinomial(1,Prob_illness_Noro_infection),0)</f>
        <v>#NAME?</v>
      </c>
      <c r="FA13" s="85" t="e">
        <f t="shared" ca="1" si="58"/>
        <v>#NAME?</v>
      </c>
      <c r="FB13" s="40" t="e">
        <f ca="1">INT(FA13) + _xll.RiskBinomial(1,FA13-INT(FA13))</f>
        <v>#NAME?</v>
      </c>
      <c r="FC13" s="33" t="e">
        <f t="shared" ca="1" si="29"/>
        <v>#NAME?</v>
      </c>
      <c r="FD13" s="38" t="e">
        <f ca="1">_xll.RiskBinomial(1,FC13)</f>
        <v>#NAME?</v>
      </c>
      <c r="FE13" s="86" t="e">
        <f ca="1">IF(FD13=1,_xll.RiskBinomial(1,Prob_illness_Noro_infection),0)</f>
        <v>#NAME?</v>
      </c>
      <c r="FG13" s="85" t="e">
        <f t="shared" ca="1" si="59"/>
        <v>#NAME?</v>
      </c>
      <c r="FH13" s="40" t="e">
        <f ca="1">INT(FG13) + _xll.RiskBinomial(1,FG13-INT(FG13))</f>
        <v>#NAME?</v>
      </c>
      <c r="FI13" s="33" t="e">
        <f t="shared" ca="1" si="30"/>
        <v>#NAME?</v>
      </c>
      <c r="FJ13" s="38" t="e">
        <f ca="1">_xll.RiskBinomial(1,FI13)</f>
        <v>#NAME?</v>
      </c>
      <c r="FK13" s="86" t="e">
        <f ca="1">IF(FJ13=1,_xll.RiskBinomial(1,Prob_illness_Noro_infection),0)</f>
        <v>#NAME?</v>
      </c>
      <c r="FM13" s="85" t="e">
        <f t="shared" ca="1" si="60"/>
        <v>#NAME?</v>
      </c>
      <c r="FN13" s="40" t="e">
        <f ca="1">INT(FM13) + _xll.RiskBinomial(1,FM13-INT(FM13))</f>
        <v>#NAME?</v>
      </c>
      <c r="FO13" s="33" t="e">
        <f t="shared" ca="1" si="31"/>
        <v>#NAME?</v>
      </c>
      <c r="FP13" s="38" t="e">
        <f ca="1">_xll.RiskBinomial(1,FO13)</f>
        <v>#NAME?</v>
      </c>
      <c r="FQ13" s="86" t="e">
        <f ca="1">IF(FP13=1,_xll.RiskBinomial(1,Prob_illness_Noro_infection),0)</f>
        <v>#NAME?</v>
      </c>
      <c r="FS13" s="85" t="e">
        <f t="shared" ca="1" si="61"/>
        <v>#NAME?</v>
      </c>
      <c r="FT13" s="40" t="e">
        <f ca="1">INT(FS13) + _xll.RiskBinomial(1,FS13-INT(FS13))</f>
        <v>#NAME?</v>
      </c>
      <c r="FU13" s="33" t="e">
        <f t="shared" ca="1" si="32"/>
        <v>#NAME?</v>
      </c>
      <c r="FV13" s="38" t="e">
        <f ca="1">_xll.RiskBinomial(1,FU13)</f>
        <v>#NAME?</v>
      </c>
      <c r="FW13" s="86" t="e">
        <f ca="1">IF(FV13=1,_xll.RiskBinomial(1,Prob_illness_Noro_infection),0)</f>
        <v>#NAME?</v>
      </c>
      <c r="FY13" s="85" t="e">
        <f t="shared" ca="1" si="62"/>
        <v>#NAME?</v>
      </c>
      <c r="FZ13" s="40" t="e">
        <f ca="1">INT(FY13) + _xll.RiskBinomial(1,FY13-INT(FY13))</f>
        <v>#NAME?</v>
      </c>
      <c r="GA13" s="33" t="e">
        <f t="shared" ca="1" si="33"/>
        <v>#NAME?</v>
      </c>
      <c r="GB13" s="38" t="e">
        <f ca="1">_xll.RiskBinomial(1,GA13)</f>
        <v>#NAME?</v>
      </c>
      <c r="GC13" s="86" t="e">
        <f ca="1">IF(GB13=1,_xll.RiskBinomial(1,Prob_illness_Noro_infection),0)</f>
        <v>#NAME?</v>
      </c>
      <c r="GE13" s="85" t="e">
        <f t="shared" ca="1" si="63"/>
        <v>#NAME?</v>
      </c>
      <c r="GF13" s="40" t="e">
        <f ca="1">INT(GE13) + _xll.RiskBinomial(1,GE13-INT(GE13))</f>
        <v>#NAME?</v>
      </c>
      <c r="GG13" s="33" t="e">
        <f t="shared" ca="1" si="34"/>
        <v>#NAME?</v>
      </c>
      <c r="GH13" s="38" t="e">
        <f ca="1">_xll.RiskBinomial(1,GG13)</f>
        <v>#NAME?</v>
      </c>
      <c r="GI13" s="86" t="e">
        <f ca="1">IF(GH13=1,_xll.RiskBinomial(1,Prob_illness_Noro_infection),0)</f>
        <v>#NAME?</v>
      </c>
      <c r="GK13" s="85" t="e">
        <f t="shared" ca="1" si="64"/>
        <v>#NAME?</v>
      </c>
      <c r="GL13" s="40" t="e">
        <f ca="1">INT(GK13) + _xll.RiskBinomial(1,GK13-INT(GK13))</f>
        <v>#NAME?</v>
      </c>
      <c r="GM13" s="33" t="e">
        <f t="shared" ca="1" si="35"/>
        <v>#NAME?</v>
      </c>
      <c r="GN13" s="38" t="e">
        <f ca="1">_xll.RiskBinomial(1,GM13)</f>
        <v>#NAME?</v>
      </c>
      <c r="GO13" s="86" t="e">
        <f ca="1">IF(GN13=1,_xll.RiskBinomial(1,Prob_illness_Noro_infection),0)</f>
        <v>#NAME?</v>
      </c>
    </row>
    <row r="14" spans="2:197" x14ac:dyDescent="0.25">
      <c r="B14" s="106">
        <v>6</v>
      </c>
      <c r="C14" s="109" t="e">
        <f ca="1" xml:space="preserve"> _xll.RiskPert(Dur_Swim_hours_min,Dur_Swim_hours_mode,Dur_Swim_hours_max)</f>
        <v>#NAME?</v>
      </c>
      <c r="D14" s="33" t="e">
        <f ca="1">_xll.RiskLognorm(Primary_Ing_Rate_mL_per_hour_mean,Primary_Ing_Rate_mL_per_hour_sd, _xll.RiskTruncate(Primary_Ing_Rate_mL_per_hour_min,Primary_Ing_Rate_mL_per_hour_max))</f>
        <v>#NAME?</v>
      </c>
      <c r="E14" s="41" t="e">
        <f t="shared" ca="1" si="36"/>
        <v>#NAME?</v>
      </c>
      <c r="F14" s="33"/>
      <c r="G14" s="85" t="e">
        <f t="shared" ca="1" si="37"/>
        <v>#NAME?</v>
      </c>
      <c r="H14" s="40" t="e">
        <f ca="1">INT(G14) + _xll.RiskBinomial(1,G14-INT(G14))</f>
        <v>#NAME?</v>
      </c>
      <c r="I14" s="33" t="e">
        <f t="shared" ca="1" si="0"/>
        <v>#NAME?</v>
      </c>
      <c r="J14" s="38" t="e">
        <f ca="1">_xll.RiskBinomial(1,I14)</f>
        <v>#NAME?</v>
      </c>
      <c r="K14" s="86" t="e">
        <f ca="1">IF(J14=1,_xll.RiskBinomial(1,Prob_illness_Noro_infection),0)</f>
        <v>#NAME?</v>
      </c>
      <c r="L14" s="33"/>
      <c r="M14" s="85" t="e">
        <f t="shared" ca="1" si="38"/>
        <v>#NAME?</v>
      </c>
      <c r="N14" s="40" t="e">
        <f ca="1">INT(M14) + _xll.RiskBinomial(1,M14-INT(M14))</f>
        <v>#NAME?</v>
      </c>
      <c r="O14" s="33" t="e">
        <f t="shared" ca="1" si="1"/>
        <v>#NAME?</v>
      </c>
      <c r="P14" s="38" t="e">
        <f ca="1">_xll.RiskBinomial(1,O14)</f>
        <v>#NAME?</v>
      </c>
      <c r="Q14" s="86" t="e">
        <f ca="1">IF(P14=1,_xll.RiskBinomial(1,Prob_illness_Noro_infection),0)</f>
        <v>#NAME?</v>
      </c>
      <c r="R14" s="33"/>
      <c r="S14" s="85" t="e">
        <f t="shared" ca="1" si="39"/>
        <v>#NAME?</v>
      </c>
      <c r="T14" s="40" t="e">
        <f ca="1">INT(S14) + _xll.RiskBinomial(1,S14-INT(S14))</f>
        <v>#NAME?</v>
      </c>
      <c r="U14" s="33" t="e">
        <f t="shared" ca="1" si="2"/>
        <v>#NAME?</v>
      </c>
      <c r="V14" s="38" t="e">
        <f ca="1">_xll.RiskBinomial(1,U14)</f>
        <v>#NAME?</v>
      </c>
      <c r="W14" s="86" t="e">
        <f ca="1">IF(V14=1,_xll.RiskBinomial(1,Prob_illness_Noro_infection),0)</f>
        <v>#NAME?</v>
      </c>
      <c r="X14" s="33"/>
      <c r="Y14" s="85" t="e">
        <f t="shared" ca="1" si="3"/>
        <v>#NAME?</v>
      </c>
      <c r="Z14" s="40" t="e">
        <f ca="1">INT(Y14) + _xll.RiskBinomial(1,Y14-INT(Y14))</f>
        <v>#NAME?</v>
      </c>
      <c r="AA14" s="33" t="e">
        <f t="shared" ca="1" si="4"/>
        <v>#NAME?</v>
      </c>
      <c r="AB14" s="38" t="e">
        <f ca="1">_xll.RiskBinomial(1,AA14)</f>
        <v>#NAME?</v>
      </c>
      <c r="AC14" s="86" t="e">
        <f ca="1">IF(AB14=1,_xll.RiskBinomial(1,Prob_illness_Noro_infection),0)</f>
        <v>#NAME?</v>
      </c>
      <c r="AD14" s="33"/>
      <c r="AE14" s="85" t="e">
        <f t="shared" ca="1" si="5"/>
        <v>#NAME?</v>
      </c>
      <c r="AF14" s="40" t="e">
        <f ca="1">INT(AE14) + _xll.RiskBinomial(1,AE14-INT(AE14))</f>
        <v>#NAME?</v>
      </c>
      <c r="AG14" s="33" t="e">
        <f t="shared" ca="1" si="6"/>
        <v>#NAME?</v>
      </c>
      <c r="AH14" s="38" t="e">
        <f ca="1">_xll.RiskBinomial(1,AG14)</f>
        <v>#NAME?</v>
      </c>
      <c r="AI14" s="86" t="e">
        <f ca="1">IF(AH14=1,_xll.RiskBinomial(1,Prob_illness_Noro_infection),0)</f>
        <v>#NAME?</v>
      </c>
      <c r="AJ14" s="33"/>
      <c r="AK14" s="85" t="e">
        <f t="shared" ca="1" si="7"/>
        <v>#NAME?</v>
      </c>
      <c r="AL14" s="40" t="e">
        <f ca="1">INT(AK14) + _xll.RiskBinomial(1,AK14-INT(AK14))</f>
        <v>#NAME?</v>
      </c>
      <c r="AM14" s="33" t="e">
        <f t="shared" ca="1" si="8"/>
        <v>#NAME?</v>
      </c>
      <c r="AN14" s="38" t="e">
        <f ca="1">_xll.RiskBinomial(1,AM14)</f>
        <v>#NAME?</v>
      </c>
      <c r="AO14" s="86" t="e">
        <f ca="1">IF(AN14=1,_xll.RiskBinomial(1,Prob_illness_Noro_infection),0)</f>
        <v>#NAME?</v>
      </c>
      <c r="AP14" s="33"/>
      <c r="AQ14" s="85" t="e">
        <f t="shared" ca="1" si="9"/>
        <v>#NAME?</v>
      </c>
      <c r="AR14" s="40" t="e">
        <f ca="1">INT(AQ14) + _xll.RiskBinomial(1,AQ14-INT(AQ14))</f>
        <v>#NAME?</v>
      </c>
      <c r="AS14" s="33" t="e">
        <f t="shared" ca="1" si="10"/>
        <v>#NAME?</v>
      </c>
      <c r="AT14" s="38" t="e">
        <f ca="1">_xll.RiskBinomial(1,AS14)</f>
        <v>#NAME?</v>
      </c>
      <c r="AU14" s="86" t="e">
        <f ca="1">IF(AT14=1,_xll.RiskBinomial(1,Prob_illness_Noro_infection),0)</f>
        <v>#NAME?</v>
      </c>
      <c r="AV14" s="33"/>
      <c r="AW14" s="85" t="e">
        <f t="shared" ca="1" si="40"/>
        <v>#NAME?</v>
      </c>
      <c r="AX14" s="40" t="e">
        <f ca="1">INT(AW14) + _xll.RiskBinomial(1,AW14-INT(AW14))</f>
        <v>#NAME?</v>
      </c>
      <c r="AY14" s="33" t="e">
        <f t="shared" ca="1" si="11"/>
        <v>#NAME?</v>
      </c>
      <c r="AZ14" s="38" t="e">
        <f ca="1">_xll.RiskBinomial(1,AY14)</f>
        <v>#NAME?</v>
      </c>
      <c r="BA14" s="86" t="e">
        <f ca="1">IF(AZ14=1,_xll.RiskBinomial(1,Prob_illness_Noro_infection),0)</f>
        <v>#NAME?</v>
      </c>
      <c r="BC14" s="85" t="e">
        <f t="shared" ca="1" si="41"/>
        <v>#NAME?</v>
      </c>
      <c r="BD14" s="40" t="e">
        <f ca="1">INT(BC14) + _xll.RiskBinomial(1,BC14-INT(BC14))</f>
        <v>#NAME?</v>
      </c>
      <c r="BE14" s="33" t="e">
        <f t="shared" ca="1" si="12"/>
        <v>#NAME?</v>
      </c>
      <c r="BF14" s="38" t="e">
        <f ca="1">_xll.RiskBinomial(1,BE14)</f>
        <v>#NAME?</v>
      </c>
      <c r="BG14" s="86" t="e">
        <f ca="1">IF(BF14=1,_xll.RiskBinomial(1,Prob_illness_Noro_infection),0)</f>
        <v>#NAME?</v>
      </c>
      <c r="BI14" s="85" t="e">
        <f t="shared" ca="1" si="42"/>
        <v>#NAME?</v>
      </c>
      <c r="BJ14" s="40" t="e">
        <f ca="1">INT(BI14) + _xll.RiskBinomial(1,BI14-INT(BI14))</f>
        <v>#NAME?</v>
      </c>
      <c r="BK14" s="33" t="e">
        <f t="shared" ca="1" si="13"/>
        <v>#NAME?</v>
      </c>
      <c r="BL14" s="38" t="e">
        <f ca="1">_xll.RiskBinomial(1,BK14)</f>
        <v>#NAME?</v>
      </c>
      <c r="BM14" s="86" t="e">
        <f ca="1">IF(BL14=1,_xll.RiskBinomial(1,Prob_illness_Noro_infection),0)</f>
        <v>#NAME?</v>
      </c>
      <c r="BO14" s="85" t="e">
        <f t="shared" ca="1" si="43"/>
        <v>#NAME?</v>
      </c>
      <c r="BP14" s="40" t="e">
        <f ca="1">INT(BO14) + _xll.RiskBinomial(1,BO14-INT(BO14))</f>
        <v>#NAME?</v>
      </c>
      <c r="BQ14" s="33" t="e">
        <f t="shared" ca="1" si="14"/>
        <v>#NAME?</v>
      </c>
      <c r="BR14" s="38" t="e">
        <f ca="1">_xll.RiskBinomial(1,BQ14)</f>
        <v>#NAME?</v>
      </c>
      <c r="BS14" s="86" t="e">
        <f ca="1">IF(BR14=1,_xll.RiskBinomial(1,Prob_illness_Noro_infection),0)</f>
        <v>#NAME?</v>
      </c>
      <c r="BU14" s="85" t="e">
        <f t="shared" ca="1" si="44"/>
        <v>#NAME?</v>
      </c>
      <c r="BV14" s="40" t="e">
        <f ca="1">INT(BU14) + _xll.RiskBinomial(1,BU14-INT(BU14))</f>
        <v>#NAME?</v>
      </c>
      <c r="BW14" s="33" t="e">
        <f t="shared" ca="1" si="15"/>
        <v>#NAME?</v>
      </c>
      <c r="BX14" s="38" t="e">
        <f ca="1">_xll.RiskBinomial(1,BW14)</f>
        <v>#NAME?</v>
      </c>
      <c r="BY14" s="86" t="e">
        <f ca="1">IF(BX14=1,_xll.RiskBinomial(1,Prob_illness_Noro_infection),0)</f>
        <v>#NAME?</v>
      </c>
      <c r="CA14" s="85" t="e">
        <f t="shared" ca="1" si="45"/>
        <v>#NAME?</v>
      </c>
      <c r="CB14" s="40" t="e">
        <f ca="1">INT(CA14) + _xll.RiskBinomial(1,CA14-INT(CA14))</f>
        <v>#NAME?</v>
      </c>
      <c r="CC14" s="33" t="e">
        <f t="shared" ca="1" si="16"/>
        <v>#NAME?</v>
      </c>
      <c r="CD14" s="38" t="e">
        <f ca="1">_xll.RiskBinomial(1,CC14)</f>
        <v>#NAME?</v>
      </c>
      <c r="CE14" s="86" t="e">
        <f ca="1">IF(CD14=1,_xll.RiskBinomial(1,Prob_illness_Noro_infection),0)</f>
        <v>#NAME?</v>
      </c>
      <c r="CG14" s="85" t="e">
        <f t="shared" ca="1" si="46"/>
        <v>#NAME?</v>
      </c>
      <c r="CH14" s="40" t="e">
        <f ca="1">INT(CG14) + _xll.RiskBinomial(1,CG14-INT(CG14))</f>
        <v>#NAME?</v>
      </c>
      <c r="CI14" s="33" t="e">
        <f t="shared" ca="1" si="17"/>
        <v>#NAME?</v>
      </c>
      <c r="CJ14" s="38" t="e">
        <f ca="1">_xll.RiskBinomial(1,CI14)</f>
        <v>#NAME?</v>
      </c>
      <c r="CK14" s="86" t="e">
        <f ca="1">IF(CJ14=1,_xll.RiskBinomial(1,Prob_illness_Noro_infection),0)</f>
        <v>#NAME?</v>
      </c>
      <c r="CM14" s="85" t="e">
        <f t="shared" ca="1" si="47"/>
        <v>#NAME?</v>
      </c>
      <c r="CN14" s="40" t="e">
        <f ca="1">INT(CM14) + _xll.RiskBinomial(1,CM14-INT(CM14))</f>
        <v>#NAME?</v>
      </c>
      <c r="CO14" s="33" t="e">
        <f t="shared" ca="1" si="18"/>
        <v>#NAME?</v>
      </c>
      <c r="CP14" s="38" t="e">
        <f ca="1">_xll.RiskBinomial(1,CO14)</f>
        <v>#NAME?</v>
      </c>
      <c r="CQ14" s="86" t="e">
        <f ca="1">IF(CP14=1,_xll.RiskBinomial(1,Prob_illness_Noro_infection),0)</f>
        <v>#NAME?</v>
      </c>
      <c r="CS14" s="85" t="e">
        <f t="shared" ca="1" si="48"/>
        <v>#NAME?</v>
      </c>
      <c r="CT14" s="40" t="e">
        <f ca="1">INT(CS14) + _xll.RiskBinomial(1,CS14-INT(CS14))</f>
        <v>#NAME?</v>
      </c>
      <c r="CU14" s="33" t="e">
        <f t="shared" ca="1" si="19"/>
        <v>#NAME?</v>
      </c>
      <c r="CV14" s="38" t="e">
        <f ca="1">_xll.RiskBinomial(1,CU14)</f>
        <v>#NAME?</v>
      </c>
      <c r="CW14" s="86" t="e">
        <f ca="1">IF(CV14=1,_xll.RiskBinomial(1,Prob_illness_Noro_infection),0)</f>
        <v>#NAME?</v>
      </c>
      <c r="CY14" s="85" t="e">
        <f t="shared" ca="1" si="49"/>
        <v>#NAME?</v>
      </c>
      <c r="CZ14" s="40" t="e">
        <f ca="1">INT(CY14) + _xll.RiskBinomial(1,CY14-INT(CY14))</f>
        <v>#NAME?</v>
      </c>
      <c r="DA14" s="33" t="e">
        <f t="shared" ca="1" si="20"/>
        <v>#NAME?</v>
      </c>
      <c r="DB14" s="38" t="e">
        <f ca="1">_xll.RiskBinomial(1,DA14)</f>
        <v>#NAME?</v>
      </c>
      <c r="DC14" s="86" t="e">
        <f ca="1">IF(DB14=1,_xll.RiskBinomial(1,Prob_illness_Noro_infection),0)</f>
        <v>#NAME?</v>
      </c>
      <c r="DE14" s="85" t="e">
        <f t="shared" ca="1" si="50"/>
        <v>#NAME?</v>
      </c>
      <c r="DF14" s="40" t="e">
        <f ca="1">INT(DE14) + _xll.RiskBinomial(1,DE14-INT(DE14))</f>
        <v>#NAME?</v>
      </c>
      <c r="DG14" s="33" t="e">
        <f t="shared" ca="1" si="21"/>
        <v>#NAME?</v>
      </c>
      <c r="DH14" s="38" t="e">
        <f ca="1">_xll.RiskBinomial(1,DG14)</f>
        <v>#NAME?</v>
      </c>
      <c r="DI14" s="86" t="e">
        <f ca="1">IF(DH14=1,_xll.RiskBinomial(1,Prob_illness_Noro_infection),0)</f>
        <v>#NAME?</v>
      </c>
      <c r="DK14" s="85" t="e">
        <f t="shared" ca="1" si="51"/>
        <v>#NAME?</v>
      </c>
      <c r="DL14" s="40" t="e">
        <f ca="1">INT(DK14) + _xll.RiskBinomial(1,DK14-INT(DK14))</f>
        <v>#NAME?</v>
      </c>
      <c r="DM14" s="33" t="e">
        <f t="shared" ca="1" si="22"/>
        <v>#NAME?</v>
      </c>
      <c r="DN14" s="38" t="e">
        <f ca="1">_xll.RiskBinomial(1,DM14)</f>
        <v>#NAME?</v>
      </c>
      <c r="DO14" s="86" t="e">
        <f ca="1">IF(DN14=1,_xll.RiskBinomial(1,Prob_illness_Noro_infection),0)</f>
        <v>#NAME?</v>
      </c>
      <c r="DQ14" s="85" t="e">
        <f t="shared" ca="1" si="52"/>
        <v>#NAME?</v>
      </c>
      <c r="DR14" s="40" t="e">
        <f ca="1">INT(DQ14) + _xll.RiskBinomial(1,DQ14-INT(DQ14))</f>
        <v>#NAME?</v>
      </c>
      <c r="DS14" s="33" t="e">
        <f t="shared" ca="1" si="23"/>
        <v>#NAME?</v>
      </c>
      <c r="DT14" s="38" t="e">
        <f ca="1">_xll.RiskBinomial(1,DS14)</f>
        <v>#NAME?</v>
      </c>
      <c r="DU14" s="86" t="e">
        <f ca="1">IF(DT14=1,_xll.RiskBinomial(1,Prob_illness_Noro_infection),0)</f>
        <v>#NAME?</v>
      </c>
      <c r="DW14" s="85" t="e">
        <f t="shared" ca="1" si="53"/>
        <v>#NAME?</v>
      </c>
      <c r="DX14" s="40" t="e">
        <f ca="1">INT(DW14) + _xll.RiskBinomial(1,DW14-INT(DW14))</f>
        <v>#NAME?</v>
      </c>
      <c r="DY14" s="33" t="e">
        <f t="shared" ca="1" si="24"/>
        <v>#NAME?</v>
      </c>
      <c r="DZ14" s="38" t="e">
        <f ca="1">_xll.RiskBinomial(1,DY14)</f>
        <v>#NAME?</v>
      </c>
      <c r="EA14" s="86" t="e">
        <f ca="1">IF(DZ14=1,_xll.RiskBinomial(1,Prob_illness_Noro_infection),0)</f>
        <v>#NAME?</v>
      </c>
      <c r="EC14" s="85" t="e">
        <f t="shared" ca="1" si="54"/>
        <v>#NAME?</v>
      </c>
      <c r="ED14" s="40" t="e">
        <f ca="1">INT(EC14) + _xll.RiskBinomial(1,EC14-INT(EC14))</f>
        <v>#NAME?</v>
      </c>
      <c r="EE14" s="33" t="e">
        <f t="shared" ca="1" si="25"/>
        <v>#NAME?</v>
      </c>
      <c r="EF14" s="38" t="e">
        <f ca="1">_xll.RiskBinomial(1,EE14)</f>
        <v>#NAME?</v>
      </c>
      <c r="EG14" s="86" t="e">
        <f ca="1">IF(EF14=1,_xll.RiskBinomial(1,Prob_illness_Noro_infection),0)</f>
        <v>#NAME?</v>
      </c>
      <c r="EI14" s="85" t="e">
        <f t="shared" ca="1" si="55"/>
        <v>#NAME?</v>
      </c>
      <c r="EJ14" s="40" t="e">
        <f ca="1">INT(EI14) + _xll.RiskBinomial(1,EI14-INT(EI14))</f>
        <v>#NAME?</v>
      </c>
      <c r="EK14" s="33" t="e">
        <f t="shared" ca="1" si="26"/>
        <v>#NAME?</v>
      </c>
      <c r="EL14" s="38" t="e">
        <f ca="1">_xll.RiskBinomial(1,EK14)</f>
        <v>#NAME?</v>
      </c>
      <c r="EM14" s="86" t="e">
        <f ca="1">IF(EL14=1,_xll.RiskBinomial(1,Prob_illness_Noro_infection),0)</f>
        <v>#NAME?</v>
      </c>
      <c r="EO14" s="85" t="e">
        <f t="shared" ca="1" si="56"/>
        <v>#NAME?</v>
      </c>
      <c r="EP14" s="40" t="e">
        <f ca="1">INT(EO14) + _xll.RiskBinomial(1,EO14-INT(EO14))</f>
        <v>#NAME?</v>
      </c>
      <c r="EQ14" s="33" t="e">
        <f t="shared" ca="1" si="27"/>
        <v>#NAME?</v>
      </c>
      <c r="ER14" s="38" t="e">
        <f ca="1">_xll.RiskBinomial(1,EQ14)</f>
        <v>#NAME?</v>
      </c>
      <c r="ES14" s="86" t="e">
        <f ca="1">IF(ER14=1,_xll.RiskBinomial(1,Prob_illness_Noro_infection),0)</f>
        <v>#NAME?</v>
      </c>
      <c r="EU14" s="85" t="e">
        <f t="shared" ca="1" si="57"/>
        <v>#NAME?</v>
      </c>
      <c r="EV14" s="40" t="e">
        <f ca="1">INT(EU14) + _xll.RiskBinomial(1,EU14-INT(EU14))</f>
        <v>#NAME?</v>
      </c>
      <c r="EW14" s="33" t="e">
        <f t="shared" ca="1" si="28"/>
        <v>#NAME?</v>
      </c>
      <c r="EX14" s="38" t="e">
        <f ca="1">_xll.RiskBinomial(1,EW14)</f>
        <v>#NAME?</v>
      </c>
      <c r="EY14" s="86" t="e">
        <f ca="1">IF(EX14=1,_xll.RiskBinomial(1,Prob_illness_Noro_infection),0)</f>
        <v>#NAME?</v>
      </c>
      <c r="FA14" s="85" t="e">
        <f t="shared" ca="1" si="58"/>
        <v>#NAME?</v>
      </c>
      <c r="FB14" s="40" t="e">
        <f ca="1">INT(FA14) + _xll.RiskBinomial(1,FA14-INT(FA14))</f>
        <v>#NAME?</v>
      </c>
      <c r="FC14" s="33" t="e">
        <f t="shared" ca="1" si="29"/>
        <v>#NAME?</v>
      </c>
      <c r="FD14" s="38" t="e">
        <f ca="1">_xll.RiskBinomial(1,FC14)</f>
        <v>#NAME?</v>
      </c>
      <c r="FE14" s="86" t="e">
        <f ca="1">IF(FD14=1,_xll.RiskBinomial(1,Prob_illness_Noro_infection),0)</f>
        <v>#NAME?</v>
      </c>
      <c r="FG14" s="85" t="e">
        <f t="shared" ca="1" si="59"/>
        <v>#NAME?</v>
      </c>
      <c r="FH14" s="40" t="e">
        <f ca="1">INT(FG14) + _xll.RiskBinomial(1,FG14-INT(FG14))</f>
        <v>#NAME?</v>
      </c>
      <c r="FI14" s="33" t="e">
        <f t="shared" ca="1" si="30"/>
        <v>#NAME?</v>
      </c>
      <c r="FJ14" s="38" t="e">
        <f ca="1">_xll.RiskBinomial(1,FI14)</f>
        <v>#NAME?</v>
      </c>
      <c r="FK14" s="86" t="e">
        <f ca="1">IF(FJ14=1,_xll.RiskBinomial(1,Prob_illness_Noro_infection),0)</f>
        <v>#NAME?</v>
      </c>
      <c r="FM14" s="85" t="e">
        <f t="shared" ca="1" si="60"/>
        <v>#NAME?</v>
      </c>
      <c r="FN14" s="40" t="e">
        <f ca="1">INT(FM14) + _xll.RiskBinomial(1,FM14-INT(FM14))</f>
        <v>#NAME?</v>
      </c>
      <c r="FO14" s="33" t="e">
        <f t="shared" ca="1" si="31"/>
        <v>#NAME?</v>
      </c>
      <c r="FP14" s="38" t="e">
        <f ca="1">_xll.RiskBinomial(1,FO14)</f>
        <v>#NAME?</v>
      </c>
      <c r="FQ14" s="86" t="e">
        <f ca="1">IF(FP14=1,_xll.RiskBinomial(1,Prob_illness_Noro_infection),0)</f>
        <v>#NAME?</v>
      </c>
      <c r="FS14" s="85" t="e">
        <f t="shared" ca="1" si="61"/>
        <v>#NAME?</v>
      </c>
      <c r="FT14" s="40" t="e">
        <f ca="1">INT(FS14) + _xll.RiskBinomial(1,FS14-INT(FS14))</f>
        <v>#NAME?</v>
      </c>
      <c r="FU14" s="33" t="e">
        <f t="shared" ca="1" si="32"/>
        <v>#NAME?</v>
      </c>
      <c r="FV14" s="38" t="e">
        <f ca="1">_xll.RiskBinomial(1,FU14)</f>
        <v>#NAME?</v>
      </c>
      <c r="FW14" s="86" t="e">
        <f ca="1">IF(FV14=1,_xll.RiskBinomial(1,Prob_illness_Noro_infection),0)</f>
        <v>#NAME?</v>
      </c>
      <c r="FY14" s="85" t="e">
        <f t="shared" ca="1" si="62"/>
        <v>#NAME?</v>
      </c>
      <c r="FZ14" s="40" t="e">
        <f ca="1">INT(FY14) + _xll.RiskBinomial(1,FY14-INT(FY14))</f>
        <v>#NAME?</v>
      </c>
      <c r="GA14" s="33" t="e">
        <f t="shared" ca="1" si="33"/>
        <v>#NAME?</v>
      </c>
      <c r="GB14" s="38" t="e">
        <f ca="1">_xll.RiskBinomial(1,GA14)</f>
        <v>#NAME?</v>
      </c>
      <c r="GC14" s="86" t="e">
        <f ca="1">IF(GB14=1,_xll.RiskBinomial(1,Prob_illness_Noro_infection),0)</f>
        <v>#NAME?</v>
      </c>
      <c r="GE14" s="85" t="e">
        <f t="shared" ca="1" si="63"/>
        <v>#NAME?</v>
      </c>
      <c r="GF14" s="40" t="e">
        <f ca="1">INT(GE14) + _xll.RiskBinomial(1,GE14-INT(GE14))</f>
        <v>#NAME?</v>
      </c>
      <c r="GG14" s="33" t="e">
        <f t="shared" ca="1" si="34"/>
        <v>#NAME?</v>
      </c>
      <c r="GH14" s="38" t="e">
        <f ca="1">_xll.RiskBinomial(1,GG14)</f>
        <v>#NAME?</v>
      </c>
      <c r="GI14" s="86" t="e">
        <f ca="1">IF(GH14=1,_xll.RiskBinomial(1,Prob_illness_Noro_infection),0)</f>
        <v>#NAME?</v>
      </c>
      <c r="GK14" s="85" t="e">
        <f t="shared" ca="1" si="64"/>
        <v>#NAME?</v>
      </c>
      <c r="GL14" s="40" t="e">
        <f ca="1">INT(GK14) + _xll.RiskBinomial(1,GK14-INT(GK14))</f>
        <v>#NAME?</v>
      </c>
      <c r="GM14" s="33" t="e">
        <f t="shared" ca="1" si="35"/>
        <v>#NAME?</v>
      </c>
      <c r="GN14" s="38" t="e">
        <f ca="1">_xll.RiskBinomial(1,GM14)</f>
        <v>#NAME?</v>
      </c>
      <c r="GO14" s="86" t="e">
        <f ca="1">IF(GN14=1,_xll.RiskBinomial(1,Prob_illness_Noro_infection),0)</f>
        <v>#NAME?</v>
      </c>
    </row>
    <row r="15" spans="2:197" x14ac:dyDescent="0.25">
      <c r="B15" s="106">
        <v>7</v>
      </c>
      <c r="C15" s="109" t="e">
        <f ca="1" xml:space="preserve"> _xll.RiskPert(Dur_Swim_hours_min,Dur_Swim_hours_mode,Dur_Swim_hours_max)</f>
        <v>#NAME?</v>
      </c>
      <c r="D15" s="33" t="e">
        <f ca="1">_xll.RiskLognorm(Primary_Ing_Rate_mL_per_hour_mean,Primary_Ing_Rate_mL_per_hour_sd, _xll.RiskTruncate(Primary_Ing_Rate_mL_per_hour_min,Primary_Ing_Rate_mL_per_hour_max))</f>
        <v>#NAME?</v>
      </c>
      <c r="E15" s="41" t="e">
        <f t="shared" ca="1" si="36"/>
        <v>#NAME?</v>
      </c>
      <c r="F15" s="33"/>
      <c r="G15" s="85" t="e">
        <f t="shared" ca="1" si="37"/>
        <v>#NAME?</v>
      </c>
      <c r="H15" s="40" t="e">
        <f ca="1">INT(G15) + _xll.RiskBinomial(1,G15-INT(G15))</f>
        <v>#NAME?</v>
      </c>
      <c r="I15" s="33" t="e">
        <f t="shared" ca="1" si="0"/>
        <v>#NAME?</v>
      </c>
      <c r="J15" s="38" t="e">
        <f ca="1">_xll.RiskBinomial(1,I15)</f>
        <v>#NAME?</v>
      </c>
      <c r="K15" s="86" t="e">
        <f ca="1">IF(J15=1,_xll.RiskBinomial(1,Prob_illness_Noro_infection),0)</f>
        <v>#NAME?</v>
      </c>
      <c r="L15" s="33"/>
      <c r="M15" s="85" t="e">
        <f t="shared" ca="1" si="38"/>
        <v>#NAME?</v>
      </c>
      <c r="N15" s="40" t="e">
        <f ca="1">INT(M15) + _xll.RiskBinomial(1,M15-INT(M15))</f>
        <v>#NAME?</v>
      </c>
      <c r="O15" s="33" t="e">
        <f t="shared" ca="1" si="1"/>
        <v>#NAME?</v>
      </c>
      <c r="P15" s="38" t="e">
        <f ca="1">_xll.RiskBinomial(1,O15)</f>
        <v>#NAME?</v>
      </c>
      <c r="Q15" s="86" t="e">
        <f ca="1">IF(P15=1,_xll.RiskBinomial(1,Prob_illness_Noro_infection),0)</f>
        <v>#NAME?</v>
      </c>
      <c r="R15" s="33"/>
      <c r="S15" s="85" t="e">
        <f t="shared" ca="1" si="39"/>
        <v>#NAME?</v>
      </c>
      <c r="T15" s="40" t="e">
        <f ca="1">INT(S15) + _xll.RiskBinomial(1,S15-INT(S15))</f>
        <v>#NAME?</v>
      </c>
      <c r="U15" s="33" t="e">
        <f t="shared" ca="1" si="2"/>
        <v>#NAME?</v>
      </c>
      <c r="V15" s="38" t="e">
        <f ca="1">_xll.RiskBinomial(1,U15)</f>
        <v>#NAME?</v>
      </c>
      <c r="W15" s="86" t="e">
        <f ca="1">IF(V15=1,_xll.RiskBinomial(1,Prob_illness_Noro_infection),0)</f>
        <v>#NAME?</v>
      </c>
      <c r="X15" s="33"/>
      <c r="Y15" s="85" t="e">
        <f t="shared" ca="1" si="3"/>
        <v>#NAME?</v>
      </c>
      <c r="Z15" s="40" t="e">
        <f ca="1">INT(Y15) + _xll.RiskBinomial(1,Y15-INT(Y15))</f>
        <v>#NAME?</v>
      </c>
      <c r="AA15" s="33" t="e">
        <f t="shared" ca="1" si="4"/>
        <v>#NAME?</v>
      </c>
      <c r="AB15" s="38" t="e">
        <f ca="1">_xll.RiskBinomial(1,AA15)</f>
        <v>#NAME?</v>
      </c>
      <c r="AC15" s="86" t="e">
        <f ca="1">IF(AB15=1,_xll.RiskBinomial(1,Prob_illness_Noro_infection),0)</f>
        <v>#NAME?</v>
      </c>
      <c r="AD15" s="33"/>
      <c r="AE15" s="85" t="e">
        <f t="shared" ca="1" si="5"/>
        <v>#NAME?</v>
      </c>
      <c r="AF15" s="40" t="e">
        <f ca="1">INT(AE15) + _xll.RiskBinomial(1,AE15-INT(AE15))</f>
        <v>#NAME?</v>
      </c>
      <c r="AG15" s="33" t="e">
        <f t="shared" ca="1" si="6"/>
        <v>#NAME?</v>
      </c>
      <c r="AH15" s="38" t="e">
        <f ca="1">_xll.RiskBinomial(1,AG15)</f>
        <v>#NAME?</v>
      </c>
      <c r="AI15" s="86" t="e">
        <f ca="1">IF(AH15=1,_xll.RiskBinomial(1,Prob_illness_Noro_infection),0)</f>
        <v>#NAME?</v>
      </c>
      <c r="AJ15" s="33"/>
      <c r="AK15" s="85" t="e">
        <f t="shared" ca="1" si="7"/>
        <v>#NAME?</v>
      </c>
      <c r="AL15" s="40" t="e">
        <f ca="1">INT(AK15) + _xll.RiskBinomial(1,AK15-INT(AK15))</f>
        <v>#NAME?</v>
      </c>
      <c r="AM15" s="33" t="e">
        <f t="shared" ca="1" si="8"/>
        <v>#NAME?</v>
      </c>
      <c r="AN15" s="38" t="e">
        <f ca="1">_xll.RiskBinomial(1,AM15)</f>
        <v>#NAME?</v>
      </c>
      <c r="AO15" s="86" t="e">
        <f ca="1">IF(AN15=1,_xll.RiskBinomial(1,Prob_illness_Noro_infection),0)</f>
        <v>#NAME?</v>
      </c>
      <c r="AP15" s="33"/>
      <c r="AQ15" s="85" t="e">
        <f t="shared" ca="1" si="9"/>
        <v>#NAME?</v>
      </c>
      <c r="AR15" s="40" t="e">
        <f ca="1">INT(AQ15) + _xll.RiskBinomial(1,AQ15-INT(AQ15))</f>
        <v>#NAME?</v>
      </c>
      <c r="AS15" s="33" t="e">
        <f t="shared" ca="1" si="10"/>
        <v>#NAME?</v>
      </c>
      <c r="AT15" s="38" t="e">
        <f ca="1">_xll.RiskBinomial(1,AS15)</f>
        <v>#NAME?</v>
      </c>
      <c r="AU15" s="86" t="e">
        <f ca="1">IF(AT15=1,_xll.RiskBinomial(1,Prob_illness_Noro_infection),0)</f>
        <v>#NAME?</v>
      </c>
      <c r="AV15" s="33"/>
      <c r="AW15" s="85" t="e">
        <f t="shared" ca="1" si="40"/>
        <v>#NAME?</v>
      </c>
      <c r="AX15" s="40" t="e">
        <f ca="1">INT(AW15) + _xll.RiskBinomial(1,AW15-INT(AW15))</f>
        <v>#NAME?</v>
      </c>
      <c r="AY15" s="33" t="e">
        <f t="shared" ca="1" si="11"/>
        <v>#NAME?</v>
      </c>
      <c r="AZ15" s="38" t="e">
        <f ca="1">_xll.RiskBinomial(1,AY15)</f>
        <v>#NAME?</v>
      </c>
      <c r="BA15" s="86" t="e">
        <f ca="1">IF(AZ15=1,_xll.RiskBinomial(1,Prob_illness_Noro_infection),0)</f>
        <v>#NAME?</v>
      </c>
      <c r="BC15" s="85" t="e">
        <f t="shared" ca="1" si="41"/>
        <v>#NAME?</v>
      </c>
      <c r="BD15" s="40" t="e">
        <f ca="1">INT(BC15) + _xll.RiskBinomial(1,BC15-INT(BC15))</f>
        <v>#NAME?</v>
      </c>
      <c r="BE15" s="33" t="e">
        <f t="shared" ca="1" si="12"/>
        <v>#NAME?</v>
      </c>
      <c r="BF15" s="38" t="e">
        <f ca="1">_xll.RiskBinomial(1,BE15)</f>
        <v>#NAME?</v>
      </c>
      <c r="BG15" s="86" t="e">
        <f ca="1">IF(BF15=1,_xll.RiskBinomial(1,Prob_illness_Noro_infection),0)</f>
        <v>#NAME?</v>
      </c>
      <c r="BI15" s="85" t="e">
        <f t="shared" ca="1" si="42"/>
        <v>#NAME?</v>
      </c>
      <c r="BJ15" s="40" t="e">
        <f ca="1">INT(BI15) + _xll.RiskBinomial(1,BI15-INT(BI15))</f>
        <v>#NAME?</v>
      </c>
      <c r="BK15" s="33" t="e">
        <f t="shared" ca="1" si="13"/>
        <v>#NAME?</v>
      </c>
      <c r="BL15" s="38" t="e">
        <f ca="1">_xll.RiskBinomial(1,BK15)</f>
        <v>#NAME?</v>
      </c>
      <c r="BM15" s="86" t="e">
        <f ca="1">IF(BL15=1,_xll.RiskBinomial(1,Prob_illness_Noro_infection),0)</f>
        <v>#NAME?</v>
      </c>
      <c r="BO15" s="85" t="e">
        <f t="shared" ca="1" si="43"/>
        <v>#NAME?</v>
      </c>
      <c r="BP15" s="40" t="e">
        <f ca="1">INT(BO15) + _xll.RiskBinomial(1,BO15-INT(BO15))</f>
        <v>#NAME?</v>
      </c>
      <c r="BQ15" s="33" t="e">
        <f t="shared" ca="1" si="14"/>
        <v>#NAME?</v>
      </c>
      <c r="BR15" s="38" t="e">
        <f ca="1">_xll.RiskBinomial(1,BQ15)</f>
        <v>#NAME?</v>
      </c>
      <c r="BS15" s="86" t="e">
        <f ca="1">IF(BR15=1,_xll.RiskBinomial(1,Prob_illness_Noro_infection),0)</f>
        <v>#NAME?</v>
      </c>
      <c r="BU15" s="85" t="e">
        <f t="shared" ca="1" si="44"/>
        <v>#NAME?</v>
      </c>
      <c r="BV15" s="40" t="e">
        <f ca="1">INT(BU15) + _xll.RiskBinomial(1,BU15-INT(BU15))</f>
        <v>#NAME?</v>
      </c>
      <c r="BW15" s="33" t="e">
        <f t="shared" ca="1" si="15"/>
        <v>#NAME?</v>
      </c>
      <c r="BX15" s="38" t="e">
        <f ca="1">_xll.RiskBinomial(1,BW15)</f>
        <v>#NAME?</v>
      </c>
      <c r="BY15" s="86" t="e">
        <f ca="1">IF(BX15=1,_xll.RiskBinomial(1,Prob_illness_Noro_infection),0)</f>
        <v>#NAME?</v>
      </c>
      <c r="CA15" s="85" t="e">
        <f t="shared" ca="1" si="45"/>
        <v>#NAME?</v>
      </c>
      <c r="CB15" s="40" t="e">
        <f ca="1">INT(CA15) + _xll.RiskBinomial(1,CA15-INT(CA15))</f>
        <v>#NAME?</v>
      </c>
      <c r="CC15" s="33" t="e">
        <f t="shared" ca="1" si="16"/>
        <v>#NAME?</v>
      </c>
      <c r="CD15" s="38" t="e">
        <f ca="1">_xll.RiskBinomial(1,CC15)</f>
        <v>#NAME?</v>
      </c>
      <c r="CE15" s="86" t="e">
        <f ca="1">IF(CD15=1,_xll.RiskBinomial(1,Prob_illness_Noro_infection),0)</f>
        <v>#NAME?</v>
      </c>
      <c r="CG15" s="85" t="e">
        <f t="shared" ca="1" si="46"/>
        <v>#NAME?</v>
      </c>
      <c r="CH15" s="40" t="e">
        <f ca="1">INT(CG15) + _xll.RiskBinomial(1,CG15-INT(CG15))</f>
        <v>#NAME?</v>
      </c>
      <c r="CI15" s="33" t="e">
        <f t="shared" ca="1" si="17"/>
        <v>#NAME?</v>
      </c>
      <c r="CJ15" s="38" t="e">
        <f ca="1">_xll.RiskBinomial(1,CI15)</f>
        <v>#NAME?</v>
      </c>
      <c r="CK15" s="86" t="e">
        <f ca="1">IF(CJ15=1,_xll.RiskBinomial(1,Prob_illness_Noro_infection),0)</f>
        <v>#NAME?</v>
      </c>
      <c r="CM15" s="85" t="e">
        <f t="shared" ca="1" si="47"/>
        <v>#NAME?</v>
      </c>
      <c r="CN15" s="40" t="e">
        <f ca="1">INT(CM15) + _xll.RiskBinomial(1,CM15-INT(CM15))</f>
        <v>#NAME?</v>
      </c>
      <c r="CO15" s="33" t="e">
        <f t="shared" ca="1" si="18"/>
        <v>#NAME?</v>
      </c>
      <c r="CP15" s="38" t="e">
        <f ca="1">_xll.RiskBinomial(1,CO15)</f>
        <v>#NAME?</v>
      </c>
      <c r="CQ15" s="86" t="e">
        <f ca="1">IF(CP15=1,_xll.RiskBinomial(1,Prob_illness_Noro_infection),0)</f>
        <v>#NAME?</v>
      </c>
      <c r="CS15" s="85" t="e">
        <f t="shared" ca="1" si="48"/>
        <v>#NAME?</v>
      </c>
      <c r="CT15" s="40" t="e">
        <f ca="1">INT(CS15) + _xll.RiskBinomial(1,CS15-INT(CS15))</f>
        <v>#NAME?</v>
      </c>
      <c r="CU15" s="33" t="e">
        <f t="shared" ca="1" si="19"/>
        <v>#NAME?</v>
      </c>
      <c r="CV15" s="38" t="e">
        <f ca="1">_xll.RiskBinomial(1,CU15)</f>
        <v>#NAME?</v>
      </c>
      <c r="CW15" s="86" t="e">
        <f ca="1">IF(CV15=1,_xll.RiskBinomial(1,Prob_illness_Noro_infection),0)</f>
        <v>#NAME?</v>
      </c>
      <c r="CY15" s="85" t="e">
        <f t="shared" ca="1" si="49"/>
        <v>#NAME?</v>
      </c>
      <c r="CZ15" s="40" t="e">
        <f ca="1">INT(CY15) + _xll.RiskBinomial(1,CY15-INT(CY15))</f>
        <v>#NAME?</v>
      </c>
      <c r="DA15" s="33" t="e">
        <f t="shared" ca="1" si="20"/>
        <v>#NAME?</v>
      </c>
      <c r="DB15" s="38" t="e">
        <f ca="1">_xll.RiskBinomial(1,DA15)</f>
        <v>#NAME?</v>
      </c>
      <c r="DC15" s="86" t="e">
        <f ca="1">IF(DB15=1,_xll.RiskBinomial(1,Prob_illness_Noro_infection),0)</f>
        <v>#NAME?</v>
      </c>
      <c r="DE15" s="85" t="e">
        <f t="shared" ca="1" si="50"/>
        <v>#NAME?</v>
      </c>
      <c r="DF15" s="40" t="e">
        <f ca="1">INT(DE15) + _xll.RiskBinomial(1,DE15-INT(DE15))</f>
        <v>#NAME?</v>
      </c>
      <c r="DG15" s="33" t="e">
        <f t="shared" ca="1" si="21"/>
        <v>#NAME?</v>
      </c>
      <c r="DH15" s="38" t="e">
        <f ca="1">_xll.RiskBinomial(1,DG15)</f>
        <v>#NAME?</v>
      </c>
      <c r="DI15" s="86" t="e">
        <f ca="1">IF(DH15=1,_xll.RiskBinomial(1,Prob_illness_Noro_infection),0)</f>
        <v>#NAME?</v>
      </c>
      <c r="DK15" s="85" t="e">
        <f t="shared" ca="1" si="51"/>
        <v>#NAME?</v>
      </c>
      <c r="DL15" s="40" t="e">
        <f ca="1">INT(DK15) + _xll.RiskBinomial(1,DK15-INT(DK15))</f>
        <v>#NAME?</v>
      </c>
      <c r="DM15" s="33" t="e">
        <f t="shared" ca="1" si="22"/>
        <v>#NAME?</v>
      </c>
      <c r="DN15" s="38" t="e">
        <f ca="1">_xll.RiskBinomial(1,DM15)</f>
        <v>#NAME?</v>
      </c>
      <c r="DO15" s="86" t="e">
        <f ca="1">IF(DN15=1,_xll.RiskBinomial(1,Prob_illness_Noro_infection),0)</f>
        <v>#NAME?</v>
      </c>
      <c r="DQ15" s="85" t="e">
        <f t="shared" ca="1" si="52"/>
        <v>#NAME?</v>
      </c>
      <c r="DR15" s="40" t="e">
        <f ca="1">INT(DQ15) + _xll.RiskBinomial(1,DQ15-INT(DQ15))</f>
        <v>#NAME?</v>
      </c>
      <c r="DS15" s="33" t="e">
        <f t="shared" ca="1" si="23"/>
        <v>#NAME?</v>
      </c>
      <c r="DT15" s="38" t="e">
        <f ca="1">_xll.RiskBinomial(1,DS15)</f>
        <v>#NAME?</v>
      </c>
      <c r="DU15" s="86" t="e">
        <f ca="1">IF(DT15=1,_xll.RiskBinomial(1,Prob_illness_Noro_infection),0)</f>
        <v>#NAME?</v>
      </c>
      <c r="DW15" s="85" t="e">
        <f t="shared" ca="1" si="53"/>
        <v>#NAME?</v>
      </c>
      <c r="DX15" s="40" t="e">
        <f ca="1">INT(DW15) + _xll.RiskBinomial(1,DW15-INT(DW15))</f>
        <v>#NAME?</v>
      </c>
      <c r="DY15" s="33" t="e">
        <f t="shared" ca="1" si="24"/>
        <v>#NAME?</v>
      </c>
      <c r="DZ15" s="38" t="e">
        <f ca="1">_xll.RiskBinomial(1,DY15)</f>
        <v>#NAME?</v>
      </c>
      <c r="EA15" s="86" t="e">
        <f ca="1">IF(DZ15=1,_xll.RiskBinomial(1,Prob_illness_Noro_infection),0)</f>
        <v>#NAME?</v>
      </c>
      <c r="EC15" s="85" t="e">
        <f t="shared" ca="1" si="54"/>
        <v>#NAME?</v>
      </c>
      <c r="ED15" s="40" t="e">
        <f ca="1">INT(EC15) + _xll.RiskBinomial(1,EC15-INT(EC15))</f>
        <v>#NAME?</v>
      </c>
      <c r="EE15" s="33" t="e">
        <f t="shared" ca="1" si="25"/>
        <v>#NAME?</v>
      </c>
      <c r="EF15" s="38" t="e">
        <f ca="1">_xll.RiskBinomial(1,EE15)</f>
        <v>#NAME?</v>
      </c>
      <c r="EG15" s="86" t="e">
        <f ca="1">IF(EF15=1,_xll.RiskBinomial(1,Prob_illness_Noro_infection),0)</f>
        <v>#NAME?</v>
      </c>
      <c r="EI15" s="85" t="e">
        <f t="shared" ca="1" si="55"/>
        <v>#NAME?</v>
      </c>
      <c r="EJ15" s="40" t="e">
        <f ca="1">INT(EI15) + _xll.RiskBinomial(1,EI15-INT(EI15))</f>
        <v>#NAME?</v>
      </c>
      <c r="EK15" s="33" t="e">
        <f t="shared" ca="1" si="26"/>
        <v>#NAME?</v>
      </c>
      <c r="EL15" s="38" t="e">
        <f ca="1">_xll.RiskBinomial(1,EK15)</f>
        <v>#NAME?</v>
      </c>
      <c r="EM15" s="86" t="e">
        <f ca="1">IF(EL15=1,_xll.RiskBinomial(1,Prob_illness_Noro_infection),0)</f>
        <v>#NAME?</v>
      </c>
      <c r="EO15" s="85" t="e">
        <f t="shared" ca="1" si="56"/>
        <v>#NAME?</v>
      </c>
      <c r="EP15" s="40" t="e">
        <f ca="1">INT(EO15) + _xll.RiskBinomial(1,EO15-INT(EO15))</f>
        <v>#NAME?</v>
      </c>
      <c r="EQ15" s="33" t="e">
        <f t="shared" ca="1" si="27"/>
        <v>#NAME?</v>
      </c>
      <c r="ER15" s="38" t="e">
        <f ca="1">_xll.RiskBinomial(1,EQ15)</f>
        <v>#NAME?</v>
      </c>
      <c r="ES15" s="86" t="e">
        <f ca="1">IF(ER15=1,_xll.RiskBinomial(1,Prob_illness_Noro_infection),0)</f>
        <v>#NAME?</v>
      </c>
      <c r="EU15" s="85" t="e">
        <f t="shared" ca="1" si="57"/>
        <v>#NAME?</v>
      </c>
      <c r="EV15" s="40" t="e">
        <f ca="1">INT(EU15) + _xll.RiskBinomial(1,EU15-INT(EU15))</f>
        <v>#NAME?</v>
      </c>
      <c r="EW15" s="33" t="e">
        <f t="shared" ca="1" si="28"/>
        <v>#NAME?</v>
      </c>
      <c r="EX15" s="38" t="e">
        <f ca="1">_xll.RiskBinomial(1,EW15)</f>
        <v>#NAME?</v>
      </c>
      <c r="EY15" s="86" t="e">
        <f ca="1">IF(EX15=1,_xll.RiskBinomial(1,Prob_illness_Noro_infection),0)</f>
        <v>#NAME?</v>
      </c>
      <c r="FA15" s="85" t="e">
        <f t="shared" ca="1" si="58"/>
        <v>#NAME?</v>
      </c>
      <c r="FB15" s="40" t="e">
        <f ca="1">INT(FA15) + _xll.RiskBinomial(1,FA15-INT(FA15))</f>
        <v>#NAME?</v>
      </c>
      <c r="FC15" s="33" t="e">
        <f t="shared" ca="1" si="29"/>
        <v>#NAME?</v>
      </c>
      <c r="FD15" s="38" t="e">
        <f ca="1">_xll.RiskBinomial(1,FC15)</f>
        <v>#NAME?</v>
      </c>
      <c r="FE15" s="86" t="e">
        <f ca="1">IF(FD15=1,_xll.RiskBinomial(1,Prob_illness_Noro_infection),0)</f>
        <v>#NAME?</v>
      </c>
      <c r="FG15" s="85" t="e">
        <f t="shared" ca="1" si="59"/>
        <v>#NAME?</v>
      </c>
      <c r="FH15" s="40" t="e">
        <f ca="1">INT(FG15) + _xll.RiskBinomial(1,FG15-INT(FG15))</f>
        <v>#NAME?</v>
      </c>
      <c r="FI15" s="33" t="e">
        <f t="shared" ca="1" si="30"/>
        <v>#NAME?</v>
      </c>
      <c r="FJ15" s="38" t="e">
        <f ca="1">_xll.RiskBinomial(1,FI15)</f>
        <v>#NAME?</v>
      </c>
      <c r="FK15" s="86" t="e">
        <f ca="1">IF(FJ15=1,_xll.RiskBinomial(1,Prob_illness_Noro_infection),0)</f>
        <v>#NAME?</v>
      </c>
      <c r="FM15" s="85" t="e">
        <f t="shared" ca="1" si="60"/>
        <v>#NAME?</v>
      </c>
      <c r="FN15" s="40" t="e">
        <f ca="1">INT(FM15) + _xll.RiskBinomial(1,FM15-INT(FM15))</f>
        <v>#NAME?</v>
      </c>
      <c r="FO15" s="33" t="e">
        <f t="shared" ca="1" si="31"/>
        <v>#NAME?</v>
      </c>
      <c r="FP15" s="38" t="e">
        <f ca="1">_xll.RiskBinomial(1,FO15)</f>
        <v>#NAME?</v>
      </c>
      <c r="FQ15" s="86" t="e">
        <f ca="1">IF(FP15=1,_xll.RiskBinomial(1,Prob_illness_Noro_infection),0)</f>
        <v>#NAME?</v>
      </c>
      <c r="FS15" s="85" t="e">
        <f t="shared" ca="1" si="61"/>
        <v>#NAME?</v>
      </c>
      <c r="FT15" s="40" t="e">
        <f ca="1">INT(FS15) + _xll.RiskBinomial(1,FS15-INT(FS15))</f>
        <v>#NAME?</v>
      </c>
      <c r="FU15" s="33" t="e">
        <f t="shared" ca="1" si="32"/>
        <v>#NAME?</v>
      </c>
      <c r="FV15" s="38" t="e">
        <f ca="1">_xll.RiskBinomial(1,FU15)</f>
        <v>#NAME?</v>
      </c>
      <c r="FW15" s="86" t="e">
        <f ca="1">IF(FV15=1,_xll.RiskBinomial(1,Prob_illness_Noro_infection),0)</f>
        <v>#NAME?</v>
      </c>
      <c r="FY15" s="85" t="e">
        <f t="shared" ca="1" si="62"/>
        <v>#NAME?</v>
      </c>
      <c r="FZ15" s="40" t="e">
        <f ca="1">INT(FY15) + _xll.RiskBinomial(1,FY15-INT(FY15))</f>
        <v>#NAME?</v>
      </c>
      <c r="GA15" s="33" t="e">
        <f t="shared" ca="1" si="33"/>
        <v>#NAME?</v>
      </c>
      <c r="GB15" s="38" t="e">
        <f ca="1">_xll.RiskBinomial(1,GA15)</f>
        <v>#NAME?</v>
      </c>
      <c r="GC15" s="86" t="e">
        <f ca="1">IF(GB15=1,_xll.RiskBinomial(1,Prob_illness_Noro_infection),0)</f>
        <v>#NAME?</v>
      </c>
      <c r="GE15" s="85" t="e">
        <f t="shared" ca="1" si="63"/>
        <v>#NAME?</v>
      </c>
      <c r="GF15" s="40" t="e">
        <f ca="1">INT(GE15) + _xll.RiskBinomial(1,GE15-INT(GE15))</f>
        <v>#NAME?</v>
      </c>
      <c r="GG15" s="33" t="e">
        <f t="shared" ca="1" si="34"/>
        <v>#NAME?</v>
      </c>
      <c r="GH15" s="38" t="e">
        <f ca="1">_xll.RiskBinomial(1,GG15)</f>
        <v>#NAME?</v>
      </c>
      <c r="GI15" s="86" t="e">
        <f ca="1">IF(GH15=1,_xll.RiskBinomial(1,Prob_illness_Noro_infection),0)</f>
        <v>#NAME?</v>
      </c>
      <c r="GK15" s="85" t="e">
        <f t="shared" ca="1" si="64"/>
        <v>#NAME?</v>
      </c>
      <c r="GL15" s="40" t="e">
        <f ca="1">INT(GK15) + _xll.RiskBinomial(1,GK15-INT(GK15))</f>
        <v>#NAME?</v>
      </c>
      <c r="GM15" s="33" t="e">
        <f t="shared" ca="1" si="35"/>
        <v>#NAME?</v>
      </c>
      <c r="GN15" s="38" t="e">
        <f ca="1">_xll.RiskBinomial(1,GM15)</f>
        <v>#NAME?</v>
      </c>
      <c r="GO15" s="86" t="e">
        <f ca="1">IF(GN15=1,_xll.RiskBinomial(1,Prob_illness_Noro_infection),0)</f>
        <v>#NAME?</v>
      </c>
    </row>
    <row r="16" spans="2:197" x14ac:dyDescent="0.25">
      <c r="B16" s="106">
        <v>8</v>
      </c>
      <c r="C16" s="109" t="e">
        <f ca="1" xml:space="preserve"> _xll.RiskPert(Dur_Swim_hours_min,Dur_Swim_hours_mode,Dur_Swim_hours_max)</f>
        <v>#NAME?</v>
      </c>
      <c r="D16" s="33" t="e">
        <f ca="1">_xll.RiskLognorm(Primary_Ing_Rate_mL_per_hour_mean,Primary_Ing_Rate_mL_per_hour_sd, _xll.RiskTruncate(Primary_Ing_Rate_mL_per_hour_min,Primary_Ing_Rate_mL_per_hour_max))</f>
        <v>#NAME?</v>
      </c>
      <c r="E16" s="41" t="e">
        <f t="shared" ca="1" si="36"/>
        <v>#NAME?</v>
      </c>
      <c r="F16" s="33"/>
      <c r="G16" s="85" t="e">
        <f t="shared" ca="1" si="37"/>
        <v>#NAME?</v>
      </c>
      <c r="H16" s="40" t="e">
        <f ca="1">INT(G16) + _xll.RiskBinomial(1,G16-INT(G16))</f>
        <v>#NAME?</v>
      </c>
      <c r="I16" s="33" t="e">
        <f t="shared" ca="1" si="0"/>
        <v>#NAME?</v>
      </c>
      <c r="J16" s="38" t="e">
        <f ca="1">_xll.RiskBinomial(1,I16)</f>
        <v>#NAME?</v>
      </c>
      <c r="K16" s="86" t="e">
        <f ca="1">IF(J16=1,_xll.RiskBinomial(1,Prob_illness_Noro_infection),0)</f>
        <v>#NAME?</v>
      </c>
      <c r="L16" s="33"/>
      <c r="M16" s="85" t="e">
        <f t="shared" ca="1" si="38"/>
        <v>#NAME?</v>
      </c>
      <c r="N16" s="40" t="e">
        <f ca="1">INT(M16) + _xll.RiskBinomial(1,M16-INT(M16))</f>
        <v>#NAME?</v>
      </c>
      <c r="O16" s="33" t="e">
        <f t="shared" ca="1" si="1"/>
        <v>#NAME?</v>
      </c>
      <c r="P16" s="38" t="e">
        <f ca="1">_xll.RiskBinomial(1,O16)</f>
        <v>#NAME?</v>
      </c>
      <c r="Q16" s="86" t="e">
        <f ca="1">IF(P16=1,_xll.RiskBinomial(1,Prob_illness_Noro_infection),0)</f>
        <v>#NAME?</v>
      </c>
      <c r="R16" s="33"/>
      <c r="S16" s="85" t="e">
        <f t="shared" ca="1" si="39"/>
        <v>#NAME?</v>
      </c>
      <c r="T16" s="40" t="e">
        <f ca="1">INT(S16) + _xll.RiskBinomial(1,S16-INT(S16))</f>
        <v>#NAME?</v>
      </c>
      <c r="U16" s="33" t="e">
        <f t="shared" ca="1" si="2"/>
        <v>#NAME?</v>
      </c>
      <c r="V16" s="38" t="e">
        <f ca="1">_xll.RiskBinomial(1,U16)</f>
        <v>#NAME?</v>
      </c>
      <c r="W16" s="86" t="e">
        <f ca="1">IF(V16=1,_xll.RiskBinomial(1,Prob_illness_Noro_infection),0)</f>
        <v>#NAME?</v>
      </c>
      <c r="X16" s="33"/>
      <c r="Y16" s="85" t="e">
        <f t="shared" ca="1" si="3"/>
        <v>#NAME?</v>
      </c>
      <c r="Z16" s="40" t="e">
        <f ca="1">INT(Y16) + _xll.RiskBinomial(1,Y16-INT(Y16))</f>
        <v>#NAME?</v>
      </c>
      <c r="AA16" s="33" t="e">
        <f t="shared" ca="1" si="4"/>
        <v>#NAME?</v>
      </c>
      <c r="AB16" s="38" t="e">
        <f ca="1">_xll.RiskBinomial(1,AA16)</f>
        <v>#NAME?</v>
      </c>
      <c r="AC16" s="86" t="e">
        <f ca="1">IF(AB16=1,_xll.RiskBinomial(1,Prob_illness_Noro_infection),0)</f>
        <v>#NAME?</v>
      </c>
      <c r="AD16" s="33"/>
      <c r="AE16" s="85" t="e">
        <f t="shared" ca="1" si="5"/>
        <v>#NAME?</v>
      </c>
      <c r="AF16" s="40" t="e">
        <f ca="1">INT(AE16) + _xll.RiskBinomial(1,AE16-INT(AE16))</f>
        <v>#NAME?</v>
      </c>
      <c r="AG16" s="33" t="e">
        <f t="shared" ca="1" si="6"/>
        <v>#NAME?</v>
      </c>
      <c r="AH16" s="38" t="e">
        <f ca="1">_xll.RiskBinomial(1,AG16)</f>
        <v>#NAME?</v>
      </c>
      <c r="AI16" s="86" t="e">
        <f ca="1">IF(AH16=1,_xll.RiskBinomial(1,Prob_illness_Noro_infection),0)</f>
        <v>#NAME?</v>
      </c>
      <c r="AJ16" s="33"/>
      <c r="AK16" s="85" t="e">
        <f t="shared" ca="1" si="7"/>
        <v>#NAME?</v>
      </c>
      <c r="AL16" s="40" t="e">
        <f ca="1">INT(AK16) + _xll.RiskBinomial(1,AK16-INT(AK16))</f>
        <v>#NAME?</v>
      </c>
      <c r="AM16" s="33" t="e">
        <f t="shared" ca="1" si="8"/>
        <v>#NAME?</v>
      </c>
      <c r="AN16" s="38" t="e">
        <f ca="1">_xll.RiskBinomial(1,AM16)</f>
        <v>#NAME?</v>
      </c>
      <c r="AO16" s="86" t="e">
        <f ca="1">IF(AN16=1,_xll.RiskBinomial(1,Prob_illness_Noro_infection),0)</f>
        <v>#NAME?</v>
      </c>
      <c r="AP16" s="33"/>
      <c r="AQ16" s="85" t="e">
        <f t="shared" ca="1" si="9"/>
        <v>#NAME?</v>
      </c>
      <c r="AR16" s="40" t="e">
        <f ca="1">INT(AQ16) + _xll.RiskBinomial(1,AQ16-INT(AQ16))</f>
        <v>#NAME?</v>
      </c>
      <c r="AS16" s="33" t="e">
        <f t="shared" ca="1" si="10"/>
        <v>#NAME?</v>
      </c>
      <c r="AT16" s="38" t="e">
        <f ca="1">_xll.RiskBinomial(1,AS16)</f>
        <v>#NAME?</v>
      </c>
      <c r="AU16" s="86" t="e">
        <f ca="1">IF(AT16=1,_xll.RiskBinomial(1,Prob_illness_Noro_infection),0)</f>
        <v>#NAME?</v>
      </c>
      <c r="AV16" s="33"/>
      <c r="AW16" s="85" t="e">
        <f t="shared" ca="1" si="40"/>
        <v>#NAME?</v>
      </c>
      <c r="AX16" s="40" t="e">
        <f ca="1">INT(AW16) + _xll.RiskBinomial(1,AW16-INT(AW16))</f>
        <v>#NAME?</v>
      </c>
      <c r="AY16" s="33" t="e">
        <f t="shared" ca="1" si="11"/>
        <v>#NAME?</v>
      </c>
      <c r="AZ16" s="38" t="e">
        <f ca="1">_xll.RiskBinomial(1,AY16)</f>
        <v>#NAME?</v>
      </c>
      <c r="BA16" s="86" t="e">
        <f ca="1">IF(AZ16=1,_xll.RiskBinomial(1,Prob_illness_Noro_infection),0)</f>
        <v>#NAME?</v>
      </c>
      <c r="BC16" s="85" t="e">
        <f t="shared" ca="1" si="41"/>
        <v>#NAME?</v>
      </c>
      <c r="BD16" s="40" t="e">
        <f ca="1">INT(BC16) + _xll.RiskBinomial(1,BC16-INT(BC16))</f>
        <v>#NAME?</v>
      </c>
      <c r="BE16" s="33" t="e">
        <f t="shared" ca="1" si="12"/>
        <v>#NAME?</v>
      </c>
      <c r="BF16" s="38" t="e">
        <f ca="1">_xll.RiskBinomial(1,BE16)</f>
        <v>#NAME?</v>
      </c>
      <c r="BG16" s="86" t="e">
        <f ca="1">IF(BF16=1,_xll.RiskBinomial(1,Prob_illness_Noro_infection),0)</f>
        <v>#NAME?</v>
      </c>
      <c r="BI16" s="85" t="e">
        <f t="shared" ca="1" si="42"/>
        <v>#NAME?</v>
      </c>
      <c r="BJ16" s="40" t="e">
        <f ca="1">INT(BI16) + _xll.RiskBinomial(1,BI16-INT(BI16))</f>
        <v>#NAME?</v>
      </c>
      <c r="BK16" s="33" t="e">
        <f t="shared" ca="1" si="13"/>
        <v>#NAME?</v>
      </c>
      <c r="BL16" s="38" t="e">
        <f ca="1">_xll.RiskBinomial(1,BK16)</f>
        <v>#NAME?</v>
      </c>
      <c r="BM16" s="86" t="e">
        <f ca="1">IF(BL16=1,_xll.RiskBinomial(1,Prob_illness_Noro_infection),0)</f>
        <v>#NAME?</v>
      </c>
      <c r="BO16" s="85" t="e">
        <f t="shared" ca="1" si="43"/>
        <v>#NAME?</v>
      </c>
      <c r="BP16" s="40" t="e">
        <f ca="1">INT(BO16) + _xll.RiskBinomial(1,BO16-INT(BO16))</f>
        <v>#NAME?</v>
      </c>
      <c r="BQ16" s="33" t="e">
        <f t="shared" ca="1" si="14"/>
        <v>#NAME?</v>
      </c>
      <c r="BR16" s="38" t="e">
        <f ca="1">_xll.RiskBinomial(1,BQ16)</f>
        <v>#NAME?</v>
      </c>
      <c r="BS16" s="86" t="e">
        <f ca="1">IF(BR16=1,_xll.RiskBinomial(1,Prob_illness_Noro_infection),0)</f>
        <v>#NAME?</v>
      </c>
      <c r="BU16" s="85" t="e">
        <f t="shared" ca="1" si="44"/>
        <v>#NAME?</v>
      </c>
      <c r="BV16" s="40" t="e">
        <f ca="1">INT(BU16) + _xll.RiskBinomial(1,BU16-INT(BU16))</f>
        <v>#NAME?</v>
      </c>
      <c r="BW16" s="33" t="e">
        <f t="shared" ca="1" si="15"/>
        <v>#NAME?</v>
      </c>
      <c r="BX16" s="38" t="e">
        <f ca="1">_xll.RiskBinomial(1,BW16)</f>
        <v>#NAME?</v>
      </c>
      <c r="BY16" s="86" t="e">
        <f ca="1">IF(BX16=1,_xll.RiskBinomial(1,Prob_illness_Noro_infection),0)</f>
        <v>#NAME?</v>
      </c>
      <c r="CA16" s="85" t="e">
        <f t="shared" ca="1" si="45"/>
        <v>#NAME?</v>
      </c>
      <c r="CB16" s="40" t="e">
        <f ca="1">INT(CA16) + _xll.RiskBinomial(1,CA16-INT(CA16))</f>
        <v>#NAME?</v>
      </c>
      <c r="CC16" s="33" t="e">
        <f t="shared" ca="1" si="16"/>
        <v>#NAME?</v>
      </c>
      <c r="CD16" s="38" t="e">
        <f ca="1">_xll.RiskBinomial(1,CC16)</f>
        <v>#NAME?</v>
      </c>
      <c r="CE16" s="86" t="e">
        <f ca="1">IF(CD16=1,_xll.RiskBinomial(1,Prob_illness_Noro_infection),0)</f>
        <v>#NAME?</v>
      </c>
      <c r="CG16" s="85" t="e">
        <f t="shared" ca="1" si="46"/>
        <v>#NAME?</v>
      </c>
      <c r="CH16" s="40" t="e">
        <f ca="1">INT(CG16) + _xll.RiskBinomial(1,CG16-INT(CG16))</f>
        <v>#NAME?</v>
      </c>
      <c r="CI16" s="33" t="e">
        <f t="shared" ca="1" si="17"/>
        <v>#NAME?</v>
      </c>
      <c r="CJ16" s="38" t="e">
        <f ca="1">_xll.RiskBinomial(1,CI16)</f>
        <v>#NAME?</v>
      </c>
      <c r="CK16" s="86" t="e">
        <f ca="1">IF(CJ16=1,_xll.RiskBinomial(1,Prob_illness_Noro_infection),0)</f>
        <v>#NAME?</v>
      </c>
      <c r="CM16" s="85" t="e">
        <f t="shared" ca="1" si="47"/>
        <v>#NAME?</v>
      </c>
      <c r="CN16" s="40" t="e">
        <f ca="1">INT(CM16) + _xll.RiskBinomial(1,CM16-INT(CM16))</f>
        <v>#NAME?</v>
      </c>
      <c r="CO16" s="33" t="e">
        <f t="shared" ca="1" si="18"/>
        <v>#NAME?</v>
      </c>
      <c r="CP16" s="38" t="e">
        <f ca="1">_xll.RiskBinomial(1,CO16)</f>
        <v>#NAME?</v>
      </c>
      <c r="CQ16" s="86" t="e">
        <f ca="1">IF(CP16=1,_xll.RiskBinomial(1,Prob_illness_Noro_infection),0)</f>
        <v>#NAME?</v>
      </c>
      <c r="CS16" s="85" t="e">
        <f t="shared" ca="1" si="48"/>
        <v>#NAME?</v>
      </c>
      <c r="CT16" s="40" t="e">
        <f ca="1">INT(CS16) + _xll.RiskBinomial(1,CS16-INT(CS16))</f>
        <v>#NAME?</v>
      </c>
      <c r="CU16" s="33" t="e">
        <f t="shared" ca="1" si="19"/>
        <v>#NAME?</v>
      </c>
      <c r="CV16" s="38" t="e">
        <f ca="1">_xll.RiskBinomial(1,CU16)</f>
        <v>#NAME?</v>
      </c>
      <c r="CW16" s="86" t="e">
        <f ca="1">IF(CV16=1,_xll.RiskBinomial(1,Prob_illness_Noro_infection),0)</f>
        <v>#NAME?</v>
      </c>
      <c r="CY16" s="85" t="e">
        <f t="shared" ca="1" si="49"/>
        <v>#NAME?</v>
      </c>
      <c r="CZ16" s="40" t="e">
        <f ca="1">INT(CY16) + _xll.RiskBinomial(1,CY16-INT(CY16))</f>
        <v>#NAME?</v>
      </c>
      <c r="DA16" s="33" t="e">
        <f t="shared" ca="1" si="20"/>
        <v>#NAME?</v>
      </c>
      <c r="DB16" s="38" t="e">
        <f ca="1">_xll.RiskBinomial(1,DA16)</f>
        <v>#NAME?</v>
      </c>
      <c r="DC16" s="86" t="e">
        <f ca="1">IF(DB16=1,_xll.RiskBinomial(1,Prob_illness_Noro_infection),0)</f>
        <v>#NAME?</v>
      </c>
      <c r="DE16" s="85" t="e">
        <f t="shared" ca="1" si="50"/>
        <v>#NAME?</v>
      </c>
      <c r="DF16" s="40" t="e">
        <f ca="1">INT(DE16) + _xll.RiskBinomial(1,DE16-INT(DE16))</f>
        <v>#NAME?</v>
      </c>
      <c r="DG16" s="33" t="e">
        <f t="shared" ca="1" si="21"/>
        <v>#NAME?</v>
      </c>
      <c r="DH16" s="38" t="e">
        <f ca="1">_xll.RiskBinomial(1,DG16)</f>
        <v>#NAME?</v>
      </c>
      <c r="DI16" s="86" t="e">
        <f ca="1">IF(DH16=1,_xll.RiskBinomial(1,Prob_illness_Noro_infection),0)</f>
        <v>#NAME?</v>
      </c>
      <c r="DK16" s="85" t="e">
        <f t="shared" ca="1" si="51"/>
        <v>#NAME?</v>
      </c>
      <c r="DL16" s="40" t="e">
        <f ca="1">INT(DK16) + _xll.RiskBinomial(1,DK16-INT(DK16))</f>
        <v>#NAME?</v>
      </c>
      <c r="DM16" s="33" t="e">
        <f t="shared" ca="1" si="22"/>
        <v>#NAME?</v>
      </c>
      <c r="DN16" s="38" t="e">
        <f ca="1">_xll.RiskBinomial(1,DM16)</f>
        <v>#NAME?</v>
      </c>
      <c r="DO16" s="86" t="e">
        <f ca="1">IF(DN16=1,_xll.RiskBinomial(1,Prob_illness_Noro_infection),0)</f>
        <v>#NAME?</v>
      </c>
      <c r="DQ16" s="85" t="e">
        <f t="shared" ca="1" si="52"/>
        <v>#NAME?</v>
      </c>
      <c r="DR16" s="40" t="e">
        <f ca="1">INT(DQ16) + _xll.RiskBinomial(1,DQ16-INT(DQ16))</f>
        <v>#NAME?</v>
      </c>
      <c r="DS16" s="33" t="e">
        <f t="shared" ca="1" si="23"/>
        <v>#NAME?</v>
      </c>
      <c r="DT16" s="38" t="e">
        <f ca="1">_xll.RiskBinomial(1,DS16)</f>
        <v>#NAME?</v>
      </c>
      <c r="DU16" s="86" t="e">
        <f ca="1">IF(DT16=1,_xll.RiskBinomial(1,Prob_illness_Noro_infection),0)</f>
        <v>#NAME?</v>
      </c>
      <c r="DW16" s="85" t="e">
        <f t="shared" ca="1" si="53"/>
        <v>#NAME?</v>
      </c>
      <c r="DX16" s="40" t="e">
        <f ca="1">INT(DW16) + _xll.RiskBinomial(1,DW16-INT(DW16))</f>
        <v>#NAME?</v>
      </c>
      <c r="DY16" s="33" t="e">
        <f t="shared" ca="1" si="24"/>
        <v>#NAME?</v>
      </c>
      <c r="DZ16" s="38" t="e">
        <f ca="1">_xll.RiskBinomial(1,DY16)</f>
        <v>#NAME?</v>
      </c>
      <c r="EA16" s="86" t="e">
        <f ca="1">IF(DZ16=1,_xll.RiskBinomial(1,Prob_illness_Noro_infection),0)</f>
        <v>#NAME?</v>
      </c>
      <c r="EC16" s="85" t="e">
        <f t="shared" ca="1" si="54"/>
        <v>#NAME?</v>
      </c>
      <c r="ED16" s="40" t="e">
        <f ca="1">INT(EC16) + _xll.RiskBinomial(1,EC16-INT(EC16))</f>
        <v>#NAME?</v>
      </c>
      <c r="EE16" s="33" t="e">
        <f t="shared" ca="1" si="25"/>
        <v>#NAME?</v>
      </c>
      <c r="EF16" s="38" t="e">
        <f ca="1">_xll.RiskBinomial(1,EE16)</f>
        <v>#NAME?</v>
      </c>
      <c r="EG16" s="86" t="e">
        <f ca="1">IF(EF16=1,_xll.RiskBinomial(1,Prob_illness_Noro_infection),0)</f>
        <v>#NAME?</v>
      </c>
      <c r="EI16" s="85" t="e">
        <f t="shared" ca="1" si="55"/>
        <v>#NAME?</v>
      </c>
      <c r="EJ16" s="40" t="e">
        <f ca="1">INT(EI16) + _xll.RiskBinomial(1,EI16-INT(EI16))</f>
        <v>#NAME?</v>
      </c>
      <c r="EK16" s="33" t="e">
        <f t="shared" ca="1" si="26"/>
        <v>#NAME?</v>
      </c>
      <c r="EL16" s="38" t="e">
        <f ca="1">_xll.RiskBinomial(1,EK16)</f>
        <v>#NAME?</v>
      </c>
      <c r="EM16" s="86" t="e">
        <f ca="1">IF(EL16=1,_xll.RiskBinomial(1,Prob_illness_Noro_infection),0)</f>
        <v>#NAME?</v>
      </c>
      <c r="EO16" s="85" t="e">
        <f t="shared" ca="1" si="56"/>
        <v>#NAME?</v>
      </c>
      <c r="EP16" s="40" t="e">
        <f ca="1">INT(EO16) + _xll.RiskBinomial(1,EO16-INT(EO16))</f>
        <v>#NAME?</v>
      </c>
      <c r="EQ16" s="33" t="e">
        <f t="shared" ca="1" si="27"/>
        <v>#NAME?</v>
      </c>
      <c r="ER16" s="38" t="e">
        <f ca="1">_xll.RiskBinomial(1,EQ16)</f>
        <v>#NAME?</v>
      </c>
      <c r="ES16" s="86" t="e">
        <f ca="1">IF(ER16=1,_xll.RiskBinomial(1,Prob_illness_Noro_infection),0)</f>
        <v>#NAME?</v>
      </c>
      <c r="EU16" s="85" t="e">
        <f t="shared" ca="1" si="57"/>
        <v>#NAME?</v>
      </c>
      <c r="EV16" s="40" t="e">
        <f ca="1">INT(EU16) + _xll.RiskBinomial(1,EU16-INT(EU16))</f>
        <v>#NAME?</v>
      </c>
      <c r="EW16" s="33" t="e">
        <f t="shared" ca="1" si="28"/>
        <v>#NAME?</v>
      </c>
      <c r="EX16" s="38" t="e">
        <f ca="1">_xll.RiskBinomial(1,EW16)</f>
        <v>#NAME?</v>
      </c>
      <c r="EY16" s="86" t="e">
        <f ca="1">IF(EX16=1,_xll.RiskBinomial(1,Prob_illness_Noro_infection),0)</f>
        <v>#NAME?</v>
      </c>
      <c r="FA16" s="85" t="e">
        <f t="shared" ca="1" si="58"/>
        <v>#NAME?</v>
      </c>
      <c r="FB16" s="40" t="e">
        <f ca="1">INT(FA16) + _xll.RiskBinomial(1,FA16-INT(FA16))</f>
        <v>#NAME?</v>
      </c>
      <c r="FC16" s="33" t="e">
        <f t="shared" ca="1" si="29"/>
        <v>#NAME?</v>
      </c>
      <c r="FD16" s="38" t="e">
        <f ca="1">_xll.RiskBinomial(1,FC16)</f>
        <v>#NAME?</v>
      </c>
      <c r="FE16" s="86" t="e">
        <f ca="1">IF(FD16=1,_xll.RiskBinomial(1,Prob_illness_Noro_infection),0)</f>
        <v>#NAME?</v>
      </c>
      <c r="FG16" s="85" t="e">
        <f t="shared" ca="1" si="59"/>
        <v>#NAME?</v>
      </c>
      <c r="FH16" s="40" t="e">
        <f ca="1">INT(FG16) + _xll.RiskBinomial(1,FG16-INT(FG16))</f>
        <v>#NAME?</v>
      </c>
      <c r="FI16" s="33" t="e">
        <f t="shared" ca="1" si="30"/>
        <v>#NAME?</v>
      </c>
      <c r="FJ16" s="38" t="e">
        <f ca="1">_xll.RiskBinomial(1,FI16)</f>
        <v>#NAME?</v>
      </c>
      <c r="FK16" s="86" t="e">
        <f ca="1">IF(FJ16=1,_xll.RiskBinomial(1,Prob_illness_Noro_infection),0)</f>
        <v>#NAME?</v>
      </c>
      <c r="FM16" s="85" t="e">
        <f t="shared" ca="1" si="60"/>
        <v>#NAME?</v>
      </c>
      <c r="FN16" s="40" t="e">
        <f ca="1">INT(FM16) + _xll.RiskBinomial(1,FM16-INT(FM16))</f>
        <v>#NAME?</v>
      </c>
      <c r="FO16" s="33" t="e">
        <f t="shared" ca="1" si="31"/>
        <v>#NAME?</v>
      </c>
      <c r="FP16" s="38" t="e">
        <f ca="1">_xll.RiskBinomial(1,FO16)</f>
        <v>#NAME?</v>
      </c>
      <c r="FQ16" s="86" t="e">
        <f ca="1">IF(FP16=1,_xll.RiskBinomial(1,Prob_illness_Noro_infection),0)</f>
        <v>#NAME?</v>
      </c>
      <c r="FS16" s="85" t="e">
        <f t="shared" ca="1" si="61"/>
        <v>#NAME?</v>
      </c>
      <c r="FT16" s="40" t="e">
        <f ca="1">INT(FS16) + _xll.RiskBinomial(1,FS16-INT(FS16))</f>
        <v>#NAME?</v>
      </c>
      <c r="FU16" s="33" t="e">
        <f t="shared" ca="1" si="32"/>
        <v>#NAME?</v>
      </c>
      <c r="FV16" s="38" t="e">
        <f ca="1">_xll.RiskBinomial(1,FU16)</f>
        <v>#NAME?</v>
      </c>
      <c r="FW16" s="86" t="e">
        <f ca="1">IF(FV16=1,_xll.RiskBinomial(1,Prob_illness_Noro_infection),0)</f>
        <v>#NAME?</v>
      </c>
      <c r="FY16" s="85" t="e">
        <f t="shared" ca="1" si="62"/>
        <v>#NAME?</v>
      </c>
      <c r="FZ16" s="40" t="e">
        <f ca="1">INT(FY16) + _xll.RiskBinomial(1,FY16-INT(FY16))</f>
        <v>#NAME?</v>
      </c>
      <c r="GA16" s="33" t="e">
        <f t="shared" ca="1" si="33"/>
        <v>#NAME?</v>
      </c>
      <c r="GB16" s="38" t="e">
        <f ca="1">_xll.RiskBinomial(1,GA16)</f>
        <v>#NAME?</v>
      </c>
      <c r="GC16" s="86" t="e">
        <f ca="1">IF(GB16=1,_xll.RiskBinomial(1,Prob_illness_Noro_infection),0)</f>
        <v>#NAME?</v>
      </c>
      <c r="GE16" s="85" t="e">
        <f t="shared" ca="1" si="63"/>
        <v>#NAME?</v>
      </c>
      <c r="GF16" s="40" t="e">
        <f ca="1">INT(GE16) + _xll.RiskBinomial(1,GE16-INT(GE16))</f>
        <v>#NAME?</v>
      </c>
      <c r="GG16" s="33" t="e">
        <f t="shared" ca="1" si="34"/>
        <v>#NAME?</v>
      </c>
      <c r="GH16" s="38" t="e">
        <f ca="1">_xll.RiskBinomial(1,GG16)</f>
        <v>#NAME?</v>
      </c>
      <c r="GI16" s="86" t="e">
        <f ca="1">IF(GH16=1,_xll.RiskBinomial(1,Prob_illness_Noro_infection),0)</f>
        <v>#NAME?</v>
      </c>
      <c r="GK16" s="85" t="e">
        <f t="shared" ca="1" si="64"/>
        <v>#NAME?</v>
      </c>
      <c r="GL16" s="40" t="e">
        <f ca="1">INT(GK16) + _xll.RiskBinomial(1,GK16-INT(GK16))</f>
        <v>#NAME?</v>
      </c>
      <c r="GM16" s="33" t="e">
        <f t="shared" ca="1" si="35"/>
        <v>#NAME?</v>
      </c>
      <c r="GN16" s="38" t="e">
        <f ca="1">_xll.RiskBinomial(1,GM16)</f>
        <v>#NAME?</v>
      </c>
      <c r="GO16" s="86" t="e">
        <f ca="1">IF(GN16=1,_xll.RiskBinomial(1,Prob_illness_Noro_infection),0)</f>
        <v>#NAME?</v>
      </c>
    </row>
    <row r="17" spans="2:197" x14ac:dyDescent="0.25">
      <c r="B17" s="106">
        <v>9</v>
      </c>
      <c r="C17" s="109" t="e">
        <f ca="1" xml:space="preserve"> _xll.RiskPert(Dur_Swim_hours_min,Dur_Swim_hours_mode,Dur_Swim_hours_max)</f>
        <v>#NAME?</v>
      </c>
      <c r="D17" s="33" t="e">
        <f ca="1">_xll.RiskLognorm(Primary_Ing_Rate_mL_per_hour_mean,Primary_Ing_Rate_mL_per_hour_sd, _xll.RiskTruncate(Primary_Ing_Rate_mL_per_hour_min,Primary_Ing_Rate_mL_per_hour_max))</f>
        <v>#NAME?</v>
      </c>
      <c r="E17" s="41" t="e">
        <f t="shared" ca="1" si="36"/>
        <v>#NAME?</v>
      </c>
      <c r="F17" s="33"/>
      <c r="G17" s="85" t="e">
        <f t="shared" ca="1" si="37"/>
        <v>#NAME?</v>
      </c>
      <c r="H17" s="40" t="e">
        <f ca="1">INT(G17) + _xll.RiskBinomial(1,G17-INT(G17))</f>
        <v>#NAME?</v>
      </c>
      <c r="I17" s="33" t="e">
        <f t="shared" ca="1" si="0"/>
        <v>#NAME?</v>
      </c>
      <c r="J17" s="38" t="e">
        <f ca="1">_xll.RiskBinomial(1,I17)</f>
        <v>#NAME?</v>
      </c>
      <c r="K17" s="86" t="e">
        <f ca="1">IF(J17=1,_xll.RiskBinomial(1,Prob_illness_Noro_infection),0)</f>
        <v>#NAME?</v>
      </c>
      <c r="L17" s="33"/>
      <c r="M17" s="85" t="e">
        <f t="shared" ca="1" si="38"/>
        <v>#NAME?</v>
      </c>
      <c r="N17" s="40" t="e">
        <f ca="1">INT(M17) + _xll.RiskBinomial(1,M17-INT(M17))</f>
        <v>#NAME?</v>
      </c>
      <c r="O17" s="33" t="e">
        <f t="shared" ca="1" si="1"/>
        <v>#NAME?</v>
      </c>
      <c r="P17" s="38" t="e">
        <f ca="1">_xll.RiskBinomial(1,O17)</f>
        <v>#NAME?</v>
      </c>
      <c r="Q17" s="86" t="e">
        <f ca="1">IF(P17=1,_xll.RiskBinomial(1,Prob_illness_Noro_infection),0)</f>
        <v>#NAME?</v>
      </c>
      <c r="R17" s="33"/>
      <c r="S17" s="85" t="e">
        <f t="shared" ca="1" si="39"/>
        <v>#NAME?</v>
      </c>
      <c r="T17" s="40" t="e">
        <f ca="1">INT(S17) + _xll.RiskBinomial(1,S17-INT(S17))</f>
        <v>#NAME?</v>
      </c>
      <c r="U17" s="33" t="e">
        <f t="shared" ca="1" si="2"/>
        <v>#NAME?</v>
      </c>
      <c r="V17" s="38" t="e">
        <f ca="1">_xll.RiskBinomial(1,U17)</f>
        <v>#NAME?</v>
      </c>
      <c r="W17" s="86" t="e">
        <f ca="1">IF(V17=1,_xll.RiskBinomial(1,Prob_illness_Noro_infection),0)</f>
        <v>#NAME?</v>
      </c>
      <c r="X17" s="33"/>
      <c r="Y17" s="85" t="e">
        <f t="shared" ca="1" si="3"/>
        <v>#NAME?</v>
      </c>
      <c r="Z17" s="40" t="e">
        <f ca="1">INT(Y17) + _xll.RiskBinomial(1,Y17-INT(Y17))</f>
        <v>#NAME?</v>
      </c>
      <c r="AA17" s="33" t="e">
        <f t="shared" ca="1" si="4"/>
        <v>#NAME?</v>
      </c>
      <c r="AB17" s="38" t="e">
        <f ca="1">_xll.RiskBinomial(1,AA17)</f>
        <v>#NAME?</v>
      </c>
      <c r="AC17" s="86" t="e">
        <f ca="1">IF(AB17=1,_xll.RiskBinomial(1,Prob_illness_Noro_infection),0)</f>
        <v>#NAME?</v>
      </c>
      <c r="AD17" s="33"/>
      <c r="AE17" s="85" t="e">
        <f t="shared" ca="1" si="5"/>
        <v>#NAME?</v>
      </c>
      <c r="AF17" s="40" t="e">
        <f ca="1">INT(AE17) + _xll.RiskBinomial(1,AE17-INT(AE17))</f>
        <v>#NAME?</v>
      </c>
      <c r="AG17" s="33" t="e">
        <f t="shared" ca="1" si="6"/>
        <v>#NAME?</v>
      </c>
      <c r="AH17" s="38" t="e">
        <f ca="1">_xll.RiskBinomial(1,AG17)</f>
        <v>#NAME?</v>
      </c>
      <c r="AI17" s="86" t="e">
        <f ca="1">IF(AH17=1,_xll.RiskBinomial(1,Prob_illness_Noro_infection),0)</f>
        <v>#NAME?</v>
      </c>
      <c r="AJ17" s="33"/>
      <c r="AK17" s="85" t="e">
        <f t="shared" ca="1" si="7"/>
        <v>#NAME?</v>
      </c>
      <c r="AL17" s="40" t="e">
        <f ca="1">INT(AK17) + _xll.RiskBinomial(1,AK17-INT(AK17))</f>
        <v>#NAME?</v>
      </c>
      <c r="AM17" s="33" t="e">
        <f t="shared" ca="1" si="8"/>
        <v>#NAME?</v>
      </c>
      <c r="AN17" s="38" t="e">
        <f ca="1">_xll.RiskBinomial(1,AM17)</f>
        <v>#NAME?</v>
      </c>
      <c r="AO17" s="86" t="e">
        <f ca="1">IF(AN17=1,_xll.RiskBinomial(1,Prob_illness_Noro_infection),0)</f>
        <v>#NAME?</v>
      </c>
      <c r="AP17" s="33"/>
      <c r="AQ17" s="85" t="e">
        <f t="shared" ca="1" si="9"/>
        <v>#NAME?</v>
      </c>
      <c r="AR17" s="40" t="e">
        <f ca="1">INT(AQ17) + _xll.RiskBinomial(1,AQ17-INT(AQ17))</f>
        <v>#NAME?</v>
      </c>
      <c r="AS17" s="33" t="e">
        <f t="shared" ca="1" si="10"/>
        <v>#NAME?</v>
      </c>
      <c r="AT17" s="38" t="e">
        <f ca="1">_xll.RiskBinomial(1,AS17)</f>
        <v>#NAME?</v>
      </c>
      <c r="AU17" s="86" t="e">
        <f ca="1">IF(AT17=1,_xll.RiskBinomial(1,Prob_illness_Noro_infection),0)</f>
        <v>#NAME?</v>
      </c>
      <c r="AV17" s="33"/>
      <c r="AW17" s="85" t="e">
        <f t="shared" ca="1" si="40"/>
        <v>#NAME?</v>
      </c>
      <c r="AX17" s="40" t="e">
        <f ca="1">INT(AW17) + _xll.RiskBinomial(1,AW17-INT(AW17))</f>
        <v>#NAME?</v>
      </c>
      <c r="AY17" s="33" t="e">
        <f t="shared" ca="1" si="11"/>
        <v>#NAME?</v>
      </c>
      <c r="AZ17" s="38" t="e">
        <f ca="1">_xll.RiskBinomial(1,AY17)</f>
        <v>#NAME?</v>
      </c>
      <c r="BA17" s="86" t="e">
        <f ca="1">IF(AZ17=1,_xll.RiskBinomial(1,Prob_illness_Noro_infection),0)</f>
        <v>#NAME?</v>
      </c>
      <c r="BC17" s="85" t="e">
        <f t="shared" ca="1" si="41"/>
        <v>#NAME?</v>
      </c>
      <c r="BD17" s="40" t="e">
        <f ca="1">INT(BC17) + _xll.RiskBinomial(1,BC17-INT(BC17))</f>
        <v>#NAME?</v>
      </c>
      <c r="BE17" s="33" t="e">
        <f t="shared" ca="1" si="12"/>
        <v>#NAME?</v>
      </c>
      <c r="BF17" s="38" t="e">
        <f ca="1">_xll.RiskBinomial(1,BE17)</f>
        <v>#NAME?</v>
      </c>
      <c r="BG17" s="86" t="e">
        <f ca="1">IF(BF17=1,_xll.RiskBinomial(1,Prob_illness_Noro_infection),0)</f>
        <v>#NAME?</v>
      </c>
      <c r="BI17" s="85" t="e">
        <f t="shared" ca="1" si="42"/>
        <v>#NAME?</v>
      </c>
      <c r="BJ17" s="40" t="e">
        <f ca="1">INT(BI17) + _xll.RiskBinomial(1,BI17-INT(BI17))</f>
        <v>#NAME?</v>
      </c>
      <c r="BK17" s="33" t="e">
        <f t="shared" ca="1" si="13"/>
        <v>#NAME?</v>
      </c>
      <c r="BL17" s="38" t="e">
        <f ca="1">_xll.RiskBinomial(1,BK17)</f>
        <v>#NAME?</v>
      </c>
      <c r="BM17" s="86" t="e">
        <f ca="1">IF(BL17=1,_xll.RiskBinomial(1,Prob_illness_Noro_infection),0)</f>
        <v>#NAME?</v>
      </c>
      <c r="BO17" s="85" t="e">
        <f t="shared" ca="1" si="43"/>
        <v>#NAME?</v>
      </c>
      <c r="BP17" s="40" t="e">
        <f ca="1">INT(BO17) + _xll.RiskBinomial(1,BO17-INT(BO17))</f>
        <v>#NAME?</v>
      </c>
      <c r="BQ17" s="33" t="e">
        <f t="shared" ca="1" si="14"/>
        <v>#NAME?</v>
      </c>
      <c r="BR17" s="38" t="e">
        <f ca="1">_xll.RiskBinomial(1,BQ17)</f>
        <v>#NAME?</v>
      </c>
      <c r="BS17" s="86" t="e">
        <f ca="1">IF(BR17=1,_xll.RiskBinomial(1,Prob_illness_Noro_infection),0)</f>
        <v>#NAME?</v>
      </c>
      <c r="BU17" s="85" t="e">
        <f t="shared" ca="1" si="44"/>
        <v>#NAME?</v>
      </c>
      <c r="BV17" s="40" t="e">
        <f ca="1">INT(BU17) + _xll.RiskBinomial(1,BU17-INT(BU17))</f>
        <v>#NAME?</v>
      </c>
      <c r="BW17" s="33" t="e">
        <f t="shared" ca="1" si="15"/>
        <v>#NAME?</v>
      </c>
      <c r="BX17" s="38" t="e">
        <f ca="1">_xll.RiskBinomial(1,BW17)</f>
        <v>#NAME?</v>
      </c>
      <c r="BY17" s="86" t="e">
        <f ca="1">IF(BX17=1,_xll.RiskBinomial(1,Prob_illness_Noro_infection),0)</f>
        <v>#NAME?</v>
      </c>
      <c r="CA17" s="85" t="e">
        <f t="shared" ca="1" si="45"/>
        <v>#NAME?</v>
      </c>
      <c r="CB17" s="40" t="e">
        <f ca="1">INT(CA17) + _xll.RiskBinomial(1,CA17-INT(CA17))</f>
        <v>#NAME?</v>
      </c>
      <c r="CC17" s="33" t="e">
        <f t="shared" ca="1" si="16"/>
        <v>#NAME?</v>
      </c>
      <c r="CD17" s="38" t="e">
        <f ca="1">_xll.RiskBinomial(1,CC17)</f>
        <v>#NAME?</v>
      </c>
      <c r="CE17" s="86" t="e">
        <f ca="1">IF(CD17=1,_xll.RiskBinomial(1,Prob_illness_Noro_infection),0)</f>
        <v>#NAME?</v>
      </c>
      <c r="CG17" s="85" t="e">
        <f t="shared" ca="1" si="46"/>
        <v>#NAME?</v>
      </c>
      <c r="CH17" s="40" t="e">
        <f ca="1">INT(CG17) + _xll.RiskBinomial(1,CG17-INT(CG17))</f>
        <v>#NAME?</v>
      </c>
      <c r="CI17" s="33" t="e">
        <f t="shared" ca="1" si="17"/>
        <v>#NAME?</v>
      </c>
      <c r="CJ17" s="38" t="e">
        <f ca="1">_xll.RiskBinomial(1,CI17)</f>
        <v>#NAME?</v>
      </c>
      <c r="CK17" s="86" t="e">
        <f ca="1">IF(CJ17=1,_xll.RiskBinomial(1,Prob_illness_Noro_infection),0)</f>
        <v>#NAME?</v>
      </c>
      <c r="CM17" s="85" t="e">
        <f t="shared" ca="1" si="47"/>
        <v>#NAME?</v>
      </c>
      <c r="CN17" s="40" t="e">
        <f ca="1">INT(CM17) + _xll.RiskBinomial(1,CM17-INT(CM17))</f>
        <v>#NAME?</v>
      </c>
      <c r="CO17" s="33" t="e">
        <f t="shared" ca="1" si="18"/>
        <v>#NAME?</v>
      </c>
      <c r="CP17" s="38" t="e">
        <f ca="1">_xll.RiskBinomial(1,CO17)</f>
        <v>#NAME?</v>
      </c>
      <c r="CQ17" s="86" t="e">
        <f ca="1">IF(CP17=1,_xll.RiskBinomial(1,Prob_illness_Noro_infection),0)</f>
        <v>#NAME?</v>
      </c>
      <c r="CS17" s="85" t="e">
        <f t="shared" ca="1" si="48"/>
        <v>#NAME?</v>
      </c>
      <c r="CT17" s="40" t="e">
        <f ca="1">INT(CS17) + _xll.RiskBinomial(1,CS17-INT(CS17))</f>
        <v>#NAME?</v>
      </c>
      <c r="CU17" s="33" t="e">
        <f t="shared" ca="1" si="19"/>
        <v>#NAME?</v>
      </c>
      <c r="CV17" s="38" t="e">
        <f ca="1">_xll.RiskBinomial(1,CU17)</f>
        <v>#NAME?</v>
      </c>
      <c r="CW17" s="86" t="e">
        <f ca="1">IF(CV17=1,_xll.RiskBinomial(1,Prob_illness_Noro_infection),0)</f>
        <v>#NAME?</v>
      </c>
      <c r="CY17" s="85" t="e">
        <f t="shared" ca="1" si="49"/>
        <v>#NAME?</v>
      </c>
      <c r="CZ17" s="40" t="e">
        <f ca="1">INT(CY17) + _xll.RiskBinomial(1,CY17-INT(CY17))</f>
        <v>#NAME?</v>
      </c>
      <c r="DA17" s="33" t="e">
        <f t="shared" ca="1" si="20"/>
        <v>#NAME?</v>
      </c>
      <c r="DB17" s="38" t="e">
        <f ca="1">_xll.RiskBinomial(1,DA17)</f>
        <v>#NAME?</v>
      </c>
      <c r="DC17" s="86" t="e">
        <f ca="1">IF(DB17=1,_xll.RiskBinomial(1,Prob_illness_Noro_infection),0)</f>
        <v>#NAME?</v>
      </c>
      <c r="DE17" s="85" t="e">
        <f t="shared" ca="1" si="50"/>
        <v>#NAME?</v>
      </c>
      <c r="DF17" s="40" t="e">
        <f ca="1">INT(DE17) + _xll.RiskBinomial(1,DE17-INT(DE17))</f>
        <v>#NAME?</v>
      </c>
      <c r="DG17" s="33" t="e">
        <f t="shared" ca="1" si="21"/>
        <v>#NAME?</v>
      </c>
      <c r="DH17" s="38" t="e">
        <f ca="1">_xll.RiskBinomial(1,DG17)</f>
        <v>#NAME?</v>
      </c>
      <c r="DI17" s="86" t="e">
        <f ca="1">IF(DH17=1,_xll.RiskBinomial(1,Prob_illness_Noro_infection),0)</f>
        <v>#NAME?</v>
      </c>
      <c r="DK17" s="85" t="e">
        <f t="shared" ca="1" si="51"/>
        <v>#NAME?</v>
      </c>
      <c r="DL17" s="40" t="e">
        <f ca="1">INT(DK17) + _xll.RiskBinomial(1,DK17-INT(DK17))</f>
        <v>#NAME?</v>
      </c>
      <c r="DM17" s="33" t="e">
        <f t="shared" ca="1" si="22"/>
        <v>#NAME?</v>
      </c>
      <c r="DN17" s="38" t="e">
        <f ca="1">_xll.RiskBinomial(1,DM17)</f>
        <v>#NAME?</v>
      </c>
      <c r="DO17" s="86" t="e">
        <f ca="1">IF(DN17=1,_xll.RiskBinomial(1,Prob_illness_Noro_infection),0)</f>
        <v>#NAME?</v>
      </c>
      <c r="DQ17" s="85" t="e">
        <f t="shared" ca="1" si="52"/>
        <v>#NAME?</v>
      </c>
      <c r="DR17" s="40" t="e">
        <f ca="1">INT(DQ17) + _xll.RiskBinomial(1,DQ17-INT(DQ17))</f>
        <v>#NAME?</v>
      </c>
      <c r="DS17" s="33" t="e">
        <f t="shared" ca="1" si="23"/>
        <v>#NAME?</v>
      </c>
      <c r="DT17" s="38" t="e">
        <f ca="1">_xll.RiskBinomial(1,DS17)</f>
        <v>#NAME?</v>
      </c>
      <c r="DU17" s="86" t="e">
        <f ca="1">IF(DT17=1,_xll.RiskBinomial(1,Prob_illness_Noro_infection),0)</f>
        <v>#NAME?</v>
      </c>
      <c r="DW17" s="85" t="e">
        <f t="shared" ca="1" si="53"/>
        <v>#NAME?</v>
      </c>
      <c r="DX17" s="40" t="e">
        <f ca="1">INT(DW17) + _xll.RiskBinomial(1,DW17-INT(DW17))</f>
        <v>#NAME?</v>
      </c>
      <c r="DY17" s="33" t="e">
        <f t="shared" ca="1" si="24"/>
        <v>#NAME?</v>
      </c>
      <c r="DZ17" s="38" t="e">
        <f ca="1">_xll.RiskBinomial(1,DY17)</f>
        <v>#NAME?</v>
      </c>
      <c r="EA17" s="86" t="e">
        <f ca="1">IF(DZ17=1,_xll.RiskBinomial(1,Prob_illness_Noro_infection),0)</f>
        <v>#NAME?</v>
      </c>
      <c r="EC17" s="85" t="e">
        <f t="shared" ca="1" si="54"/>
        <v>#NAME?</v>
      </c>
      <c r="ED17" s="40" t="e">
        <f ca="1">INT(EC17) + _xll.RiskBinomial(1,EC17-INT(EC17))</f>
        <v>#NAME?</v>
      </c>
      <c r="EE17" s="33" t="e">
        <f t="shared" ca="1" si="25"/>
        <v>#NAME?</v>
      </c>
      <c r="EF17" s="38" t="e">
        <f ca="1">_xll.RiskBinomial(1,EE17)</f>
        <v>#NAME?</v>
      </c>
      <c r="EG17" s="86" t="e">
        <f ca="1">IF(EF17=1,_xll.RiskBinomial(1,Prob_illness_Noro_infection),0)</f>
        <v>#NAME?</v>
      </c>
      <c r="EI17" s="85" t="e">
        <f t="shared" ca="1" si="55"/>
        <v>#NAME?</v>
      </c>
      <c r="EJ17" s="40" t="e">
        <f ca="1">INT(EI17) + _xll.RiskBinomial(1,EI17-INT(EI17))</f>
        <v>#NAME?</v>
      </c>
      <c r="EK17" s="33" t="e">
        <f t="shared" ca="1" si="26"/>
        <v>#NAME?</v>
      </c>
      <c r="EL17" s="38" t="e">
        <f ca="1">_xll.RiskBinomial(1,EK17)</f>
        <v>#NAME?</v>
      </c>
      <c r="EM17" s="86" t="e">
        <f ca="1">IF(EL17=1,_xll.RiskBinomial(1,Prob_illness_Noro_infection),0)</f>
        <v>#NAME?</v>
      </c>
      <c r="EO17" s="85" t="e">
        <f t="shared" ca="1" si="56"/>
        <v>#NAME?</v>
      </c>
      <c r="EP17" s="40" t="e">
        <f ca="1">INT(EO17) + _xll.RiskBinomial(1,EO17-INT(EO17))</f>
        <v>#NAME?</v>
      </c>
      <c r="EQ17" s="33" t="e">
        <f t="shared" ca="1" si="27"/>
        <v>#NAME?</v>
      </c>
      <c r="ER17" s="38" t="e">
        <f ca="1">_xll.RiskBinomial(1,EQ17)</f>
        <v>#NAME?</v>
      </c>
      <c r="ES17" s="86" t="e">
        <f ca="1">IF(ER17=1,_xll.RiskBinomial(1,Prob_illness_Noro_infection),0)</f>
        <v>#NAME?</v>
      </c>
      <c r="EU17" s="85" t="e">
        <f t="shared" ca="1" si="57"/>
        <v>#NAME?</v>
      </c>
      <c r="EV17" s="40" t="e">
        <f ca="1">INT(EU17) + _xll.RiskBinomial(1,EU17-INT(EU17))</f>
        <v>#NAME?</v>
      </c>
      <c r="EW17" s="33" t="e">
        <f t="shared" ca="1" si="28"/>
        <v>#NAME?</v>
      </c>
      <c r="EX17" s="38" t="e">
        <f ca="1">_xll.RiskBinomial(1,EW17)</f>
        <v>#NAME?</v>
      </c>
      <c r="EY17" s="86" t="e">
        <f ca="1">IF(EX17=1,_xll.RiskBinomial(1,Prob_illness_Noro_infection),0)</f>
        <v>#NAME?</v>
      </c>
      <c r="FA17" s="85" t="e">
        <f t="shared" ca="1" si="58"/>
        <v>#NAME?</v>
      </c>
      <c r="FB17" s="40" t="e">
        <f ca="1">INT(FA17) + _xll.RiskBinomial(1,FA17-INT(FA17))</f>
        <v>#NAME?</v>
      </c>
      <c r="FC17" s="33" t="e">
        <f t="shared" ca="1" si="29"/>
        <v>#NAME?</v>
      </c>
      <c r="FD17" s="38" t="e">
        <f ca="1">_xll.RiskBinomial(1,FC17)</f>
        <v>#NAME?</v>
      </c>
      <c r="FE17" s="86" t="e">
        <f ca="1">IF(FD17=1,_xll.RiskBinomial(1,Prob_illness_Noro_infection),0)</f>
        <v>#NAME?</v>
      </c>
      <c r="FG17" s="85" t="e">
        <f t="shared" ca="1" si="59"/>
        <v>#NAME?</v>
      </c>
      <c r="FH17" s="40" t="e">
        <f ca="1">INT(FG17) + _xll.RiskBinomial(1,FG17-INT(FG17))</f>
        <v>#NAME?</v>
      </c>
      <c r="FI17" s="33" t="e">
        <f t="shared" ca="1" si="30"/>
        <v>#NAME?</v>
      </c>
      <c r="FJ17" s="38" t="e">
        <f ca="1">_xll.RiskBinomial(1,FI17)</f>
        <v>#NAME?</v>
      </c>
      <c r="FK17" s="86" t="e">
        <f ca="1">IF(FJ17=1,_xll.RiskBinomial(1,Prob_illness_Noro_infection),0)</f>
        <v>#NAME?</v>
      </c>
      <c r="FM17" s="85" t="e">
        <f t="shared" ca="1" si="60"/>
        <v>#NAME?</v>
      </c>
      <c r="FN17" s="40" t="e">
        <f ca="1">INT(FM17) + _xll.RiskBinomial(1,FM17-INT(FM17))</f>
        <v>#NAME?</v>
      </c>
      <c r="FO17" s="33" t="e">
        <f t="shared" ca="1" si="31"/>
        <v>#NAME?</v>
      </c>
      <c r="FP17" s="38" t="e">
        <f ca="1">_xll.RiskBinomial(1,FO17)</f>
        <v>#NAME?</v>
      </c>
      <c r="FQ17" s="86" t="e">
        <f ca="1">IF(FP17=1,_xll.RiskBinomial(1,Prob_illness_Noro_infection),0)</f>
        <v>#NAME?</v>
      </c>
      <c r="FS17" s="85" t="e">
        <f t="shared" ca="1" si="61"/>
        <v>#NAME?</v>
      </c>
      <c r="FT17" s="40" t="e">
        <f ca="1">INT(FS17) + _xll.RiskBinomial(1,FS17-INT(FS17))</f>
        <v>#NAME?</v>
      </c>
      <c r="FU17" s="33" t="e">
        <f t="shared" ca="1" si="32"/>
        <v>#NAME?</v>
      </c>
      <c r="FV17" s="38" t="e">
        <f ca="1">_xll.RiskBinomial(1,FU17)</f>
        <v>#NAME?</v>
      </c>
      <c r="FW17" s="86" t="e">
        <f ca="1">IF(FV17=1,_xll.RiskBinomial(1,Prob_illness_Noro_infection),0)</f>
        <v>#NAME?</v>
      </c>
      <c r="FY17" s="85" t="e">
        <f t="shared" ca="1" si="62"/>
        <v>#NAME?</v>
      </c>
      <c r="FZ17" s="40" t="e">
        <f ca="1">INT(FY17) + _xll.RiskBinomial(1,FY17-INT(FY17))</f>
        <v>#NAME?</v>
      </c>
      <c r="GA17" s="33" t="e">
        <f t="shared" ca="1" si="33"/>
        <v>#NAME?</v>
      </c>
      <c r="GB17" s="38" t="e">
        <f ca="1">_xll.RiskBinomial(1,GA17)</f>
        <v>#NAME?</v>
      </c>
      <c r="GC17" s="86" t="e">
        <f ca="1">IF(GB17=1,_xll.RiskBinomial(1,Prob_illness_Noro_infection),0)</f>
        <v>#NAME?</v>
      </c>
      <c r="GE17" s="85" t="e">
        <f t="shared" ca="1" si="63"/>
        <v>#NAME?</v>
      </c>
      <c r="GF17" s="40" t="e">
        <f ca="1">INT(GE17) + _xll.RiskBinomial(1,GE17-INT(GE17))</f>
        <v>#NAME?</v>
      </c>
      <c r="GG17" s="33" t="e">
        <f t="shared" ca="1" si="34"/>
        <v>#NAME?</v>
      </c>
      <c r="GH17" s="38" t="e">
        <f ca="1">_xll.RiskBinomial(1,GG17)</f>
        <v>#NAME?</v>
      </c>
      <c r="GI17" s="86" t="e">
        <f ca="1">IF(GH17=1,_xll.RiskBinomial(1,Prob_illness_Noro_infection),0)</f>
        <v>#NAME?</v>
      </c>
      <c r="GK17" s="85" t="e">
        <f t="shared" ca="1" si="64"/>
        <v>#NAME?</v>
      </c>
      <c r="GL17" s="40" t="e">
        <f ca="1">INT(GK17) + _xll.RiskBinomial(1,GK17-INT(GK17))</f>
        <v>#NAME?</v>
      </c>
      <c r="GM17" s="33" t="e">
        <f t="shared" ca="1" si="35"/>
        <v>#NAME?</v>
      </c>
      <c r="GN17" s="38" t="e">
        <f ca="1">_xll.RiskBinomial(1,GM17)</f>
        <v>#NAME?</v>
      </c>
      <c r="GO17" s="86" t="e">
        <f ca="1">IF(GN17=1,_xll.RiskBinomial(1,Prob_illness_Noro_infection),0)</f>
        <v>#NAME?</v>
      </c>
    </row>
    <row r="18" spans="2:197" x14ac:dyDescent="0.25">
      <c r="B18" s="106">
        <v>10</v>
      </c>
      <c r="C18" s="109" t="e">
        <f ca="1" xml:space="preserve"> _xll.RiskPert(Dur_Swim_hours_min,Dur_Swim_hours_mode,Dur_Swim_hours_max)</f>
        <v>#NAME?</v>
      </c>
      <c r="D18" s="33" t="e">
        <f ca="1">_xll.RiskLognorm(Primary_Ing_Rate_mL_per_hour_mean,Primary_Ing_Rate_mL_per_hour_sd, _xll.RiskTruncate(Primary_Ing_Rate_mL_per_hour_min,Primary_Ing_Rate_mL_per_hour_max))</f>
        <v>#NAME?</v>
      </c>
      <c r="E18" s="41" t="e">
        <f t="shared" ca="1" si="36"/>
        <v>#NAME?</v>
      </c>
      <c r="F18" s="33"/>
      <c r="G18" s="85" t="e">
        <f t="shared" ca="1" si="37"/>
        <v>#NAME?</v>
      </c>
      <c r="H18" s="40" t="e">
        <f ca="1">INT(G18) + _xll.RiskBinomial(1,G18-INT(G18))</f>
        <v>#NAME?</v>
      </c>
      <c r="I18" s="33" t="e">
        <f t="shared" ca="1" si="0"/>
        <v>#NAME?</v>
      </c>
      <c r="J18" s="38" t="e">
        <f ca="1">_xll.RiskBinomial(1,I18)</f>
        <v>#NAME?</v>
      </c>
      <c r="K18" s="86" t="e">
        <f ca="1">IF(J18=1,_xll.RiskBinomial(1,Prob_illness_Noro_infection),0)</f>
        <v>#NAME?</v>
      </c>
      <c r="L18" s="33"/>
      <c r="M18" s="85" t="e">
        <f t="shared" ca="1" si="38"/>
        <v>#NAME?</v>
      </c>
      <c r="N18" s="40" t="e">
        <f ca="1">INT(M18) + _xll.RiskBinomial(1,M18-INT(M18))</f>
        <v>#NAME?</v>
      </c>
      <c r="O18" s="33" t="e">
        <f t="shared" ca="1" si="1"/>
        <v>#NAME?</v>
      </c>
      <c r="P18" s="38" t="e">
        <f ca="1">_xll.RiskBinomial(1,O18)</f>
        <v>#NAME?</v>
      </c>
      <c r="Q18" s="86" t="e">
        <f ca="1">IF(P18=1,_xll.RiskBinomial(1,Prob_illness_Noro_infection),0)</f>
        <v>#NAME?</v>
      </c>
      <c r="R18" s="33"/>
      <c r="S18" s="85" t="e">
        <f t="shared" ca="1" si="39"/>
        <v>#NAME?</v>
      </c>
      <c r="T18" s="40" t="e">
        <f ca="1">INT(S18) + _xll.RiskBinomial(1,S18-INT(S18))</f>
        <v>#NAME?</v>
      </c>
      <c r="U18" s="33" t="e">
        <f t="shared" ca="1" si="2"/>
        <v>#NAME?</v>
      </c>
      <c r="V18" s="38" t="e">
        <f ca="1">_xll.RiskBinomial(1,U18)</f>
        <v>#NAME?</v>
      </c>
      <c r="W18" s="86" t="e">
        <f ca="1">IF(V18=1,_xll.RiskBinomial(1,Prob_illness_Noro_infection),0)</f>
        <v>#NAME?</v>
      </c>
      <c r="X18" s="33"/>
      <c r="Y18" s="85" t="e">
        <f t="shared" ca="1" si="3"/>
        <v>#NAME?</v>
      </c>
      <c r="Z18" s="40" t="e">
        <f ca="1">INT(Y18) + _xll.RiskBinomial(1,Y18-INT(Y18))</f>
        <v>#NAME?</v>
      </c>
      <c r="AA18" s="33" t="e">
        <f t="shared" ca="1" si="4"/>
        <v>#NAME?</v>
      </c>
      <c r="AB18" s="38" t="e">
        <f ca="1">_xll.RiskBinomial(1,AA18)</f>
        <v>#NAME?</v>
      </c>
      <c r="AC18" s="86" t="e">
        <f ca="1">IF(AB18=1,_xll.RiskBinomial(1,Prob_illness_Noro_infection),0)</f>
        <v>#NAME?</v>
      </c>
      <c r="AD18" s="33"/>
      <c r="AE18" s="85" t="e">
        <f t="shared" ca="1" si="5"/>
        <v>#NAME?</v>
      </c>
      <c r="AF18" s="40" t="e">
        <f ca="1">INT(AE18) + _xll.RiskBinomial(1,AE18-INT(AE18))</f>
        <v>#NAME?</v>
      </c>
      <c r="AG18" s="33" t="e">
        <f t="shared" ca="1" si="6"/>
        <v>#NAME?</v>
      </c>
      <c r="AH18" s="38" t="e">
        <f ca="1">_xll.RiskBinomial(1,AG18)</f>
        <v>#NAME?</v>
      </c>
      <c r="AI18" s="86" t="e">
        <f ca="1">IF(AH18=1,_xll.RiskBinomial(1,Prob_illness_Noro_infection),0)</f>
        <v>#NAME?</v>
      </c>
      <c r="AJ18" s="33"/>
      <c r="AK18" s="85" t="e">
        <f t="shared" ca="1" si="7"/>
        <v>#NAME?</v>
      </c>
      <c r="AL18" s="40" t="e">
        <f ca="1">INT(AK18) + _xll.RiskBinomial(1,AK18-INT(AK18))</f>
        <v>#NAME?</v>
      </c>
      <c r="AM18" s="33" t="e">
        <f t="shared" ca="1" si="8"/>
        <v>#NAME?</v>
      </c>
      <c r="AN18" s="38" t="e">
        <f ca="1">_xll.RiskBinomial(1,AM18)</f>
        <v>#NAME?</v>
      </c>
      <c r="AO18" s="86" t="e">
        <f ca="1">IF(AN18=1,_xll.RiskBinomial(1,Prob_illness_Noro_infection),0)</f>
        <v>#NAME?</v>
      </c>
      <c r="AP18" s="33"/>
      <c r="AQ18" s="85" t="e">
        <f t="shared" ca="1" si="9"/>
        <v>#NAME?</v>
      </c>
      <c r="AR18" s="40" t="e">
        <f ca="1">INT(AQ18) + _xll.RiskBinomial(1,AQ18-INT(AQ18))</f>
        <v>#NAME?</v>
      </c>
      <c r="AS18" s="33" t="e">
        <f t="shared" ca="1" si="10"/>
        <v>#NAME?</v>
      </c>
      <c r="AT18" s="38" t="e">
        <f ca="1">_xll.RiskBinomial(1,AS18)</f>
        <v>#NAME?</v>
      </c>
      <c r="AU18" s="86" t="e">
        <f ca="1">IF(AT18=1,_xll.RiskBinomial(1,Prob_illness_Noro_infection),0)</f>
        <v>#NAME?</v>
      </c>
      <c r="AV18" s="33"/>
      <c r="AW18" s="85" t="e">
        <f t="shared" ca="1" si="40"/>
        <v>#NAME?</v>
      </c>
      <c r="AX18" s="40" t="e">
        <f ca="1">INT(AW18) + _xll.RiskBinomial(1,AW18-INT(AW18))</f>
        <v>#NAME?</v>
      </c>
      <c r="AY18" s="33" t="e">
        <f t="shared" ca="1" si="11"/>
        <v>#NAME?</v>
      </c>
      <c r="AZ18" s="38" t="e">
        <f ca="1">_xll.RiskBinomial(1,AY18)</f>
        <v>#NAME?</v>
      </c>
      <c r="BA18" s="86" t="e">
        <f ca="1">IF(AZ18=1,_xll.RiskBinomial(1,Prob_illness_Noro_infection),0)</f>
        <v>#NAME?</v>
      </c>
      <c r="BC18" s="85" t="e">
        <f t="shared" ca="1" si="41"/>
        <v>#NAME?</v>
      </c>
      <c r="BD18" s="40" t="e">
        <f ca="1">INT(BC18) + _xll.RiskBinomial(1,BC18-INT(BC18))</f>
        <v>#NAME?</v>
      </c>
      <c r="BE18" s="33" t="e">
        <f t="shared" ca="1" si="12"/>
        <v>#NAME?</v>
      </c>
      <c r="BF18" s="38" t="e">
        <f ca="1">_xll.RiskBinomial(1,BE18)</f>
        <v>#NAME?</v>
      </c>
      <c r="BG18" s="86" t="e">
        <f ca="1">IF(BF18=1,_xll.RiskBinomial(1,Prob_illness_Noro_infection),0)</f>
        <v>#NAME?</v>
      </c>
      <c r="BI18" s="85" t="e">
        <f t="shared" ca="1" si="42"/>
        <v>#NAME?</v>
      </c>
      <c r="BJ18" s="40" t="e">
        <f ca="1">INT(BI18) + _xll.RiskBinomial(1,BI18-INT(BI18))</f>
        <v>#NAME?</v>
      </c>
      <c r="BK18" s="33" t="e">
        <f t="shared" ca="1" si="13"/>
        <v>#NAME?</v>
      </c>
      <c r="BL18" s="38" t="e">
        <f ca="1">_xll.RiskBinomial(1,BK18)</f>
        <v>#NAME?</v>
      </c>
      <c r="BM18" s="86" t="e">
        <f ca="1">IF(BL18=1,_xll.RiskBinomial(1,Prob_illness_Noro_infection),0)</f>
        <v>#NAME?</v>
      </c>
      <c r="BO18" s="85" t="e">
        <f t="shared" ca="1" si="43"/>
        <v>#NAME?</v>
      </c>
      <c r="BP18" s="40" t="e">
        <f ca="1">INT(BO18) + _xll.RiskBinomial(1,BO18-INT(BO18))</f>
        <v>#NAME?</v>
      </c>
      <c r="BQ18" s="33" t="e">
        <f t="shared" ca="1" si="14"/>
        <v>#NAME?</v>
      </c>
      <c r="BR18" s="38" t="e">
        <f ca="1">_xll.RiskBinomial(1,BQ18)</f>
        <v>#NAME?</v>
      </c>
      <c r="BS18" s="86" t="e">
        <f ca="1">IF(BR18=1,_xll.RiskBinomial(1,Prob_illness_Noro_infection),0)</f>
        <v>#NAME?</v>
      </c>
      <c r="BU18" s="85" t="e">
        <f t="shared" ca="1" si="44"/>
        <v>#NAME?</v>
      </c>
      <c r="BV18" s="40" t="e">
        <f ca="1">INT(BU18) + _xll.RiskBinomial(1,BU18-INT(BU18))</f>
        <v>#NAME?</v>
      </c>
      <c r="BW18" s="33" t="e">
        <f t="shared" ca="1" si="15"/>
        <v>#NAME?</v>
      </c>
      <c r="BX18" s="38" t="e">
        <f ca="1">_xll.RiskBinomial(1,BW18)</f>
        <v>#NAME?</v>
      </c>
      <c r="BY18" s="86" t="e">
        <f ca="1">IF(BX18=1,_xll.RiskBinomial(1,Prob_illness_Noro_infection),0)</f>
        <v>#NAME?</v>
      </c>
      <c r="CA18" s="85" t="e">
        <f t="shared" ca="1" si="45"/>
        <v>#NAME?</v>
      </c>
      <c r="CB18" s="40" t="e">
        <f ca="1">INT(CA18) + _xll.RiskBinomial(1,CA18-INT(CA18))</f>
        <v>#NAME?</v>
      </c>
      <c r="CC18" s="33" t="e">
        <f t="shared" ca="1" si="16"/>
        <v>#NAME?</v>
      </c>
      <c r="CD18" s="38" t="e">
        <f ca="1">_xll.RiskBinomial(1,CC18)</f>
        <v>#NAME?</v>
      </c>
      <c r="CE18" s="86" t="e">
        <f ca="1">IF(CD18=1,_xll.RiskBinomial(1,Prob_illness_Noro_infection),0)</f>
        <v>#NAME?</v>
      </c>
      <c r="CG18" s="85" t="e">
        <f t="shared" ca="1" si="46"/>
        <v>#NAME?</v>
      </c>
      <c r="CH18" s="40" t="e">
        <f ca="1">INT(CG18) + _xll.RiskBinomial(1,CG18-INT(CG18))</f>
        <v>#NAME?</v>
      </c>
      <c r="CI18" s="33" t="e">
        <f t="shared" ca="1" si="17"/>
        <v>#NAME?</v>
      </c>
      <c r="CJ18" s="38" t="e">
        <f ca="1">_xll.RiskBinomial(1,CI18)</f>
        <v>#NAME?</v>
      </c>
      <c r="CK18" s="86" t="e">
        <f ca="1">IF(CJ18=1,_xll.RiskBinomial(1,Prob_illness_Noro_infection),0)</f>
        <v>#NAME?</v>
      </c>
      <c r="CM18" s="85" t="e">
        <f t="shared" ca="1" si="47"/>
        <v>#NAME?</v>
      </c>
      <c r="CN18" s="40" t="e">
        <f ca="1">INT(CM18) + _xll.RiskBinomial(1,CM18-INT(CM18))</f>
        <v>#NAME?</v>
      </c>
      <c r="CO18" s="33" t="e">
        <f t="shared" ca="1" si="18"/>
        <v>#NAME?</v>
      </c>
      <c r="CP18" s="38" t="e">
        <f ca="1">_xll.RiskBinomial(1,CO18)</f>
        <v>#NAME?</v>
      </c>
      <c r="CQ18" s="86" t="e">
        <f ca="1">IF(CP18=1,_xll.RiskBinomial(1,Prob_illness_Noro_infection),0)</f>
        <v>#NAME?</v>
      </c>
      <c r="CS18" s="85" t="e">
        <f t="shared" ca="1" si="48"/>
        <v>#NAME?</v>
      </c>
      <c r="CT18" s="40" t="e">
        <f ca="1">INT(CS18) + _xll.RiskBinomial(1,CS18-INT(CS18))</f>
        <v>#NAME?</v>
      </c>
      <c r="CU18" s="33" t="e">
        <f t="shared" ca="1" si="19"/>
        <v>#NAME?</v>
      </c>
      <c r="CV18" s="38" t="e">
        <f ca="1">_xll.RiskBinomial(1,CU18)</f>
        <v>#NAME?</v>
      </c>
      <c r="CW18" s="86" t="e">
        <f ca="1">IF(CV18=1,_xll.RiskBinomial(1,Prob_illness_Noro_infection),0)</f>
        <v>#NAME?</v>
      </c>
      <c r="CY18" s="85" t="e">
        <f t="shared" ca="1" si="49"/>
        <v>#NAME?</v>
      </c>
      <c r="CZ18" s="40" t="e">
        <f ca="1">INT(CY18) + _xll.RiskBinomial(1,CY18-INT(CY18))</f>
        <v>#NAME?</v>
      </c>
      <c r="DA18" s="33" t="e">
        <f t="shared" ca="1" si="20"/>
        <v>#NAME?</v>
      </c>
      <c r="DB18" s="38" t="e">
        <f ca="1">_xll.RiskBinomial(1,DA18)</f>
        <v>#NAME?</v>
      </c>
      <c r="DC18" s="86" t="e">
        <f ca="1">IF(DB18=1,_xll.RiskBinomial(1,Prob_illness_Noro_infection),0)</f>
        <v>#NAME?</v>
      </c>
      <c r="DE18" s="85" t="e">
        <f t="shared" ca="1" si="50"/>
        <v>#NAME?</v>
      </c>
      <c r="DF18" s="40" t="e">
        <f ca="1">INT(DE18) + _xll.RiskBinomial(1,DE18-INT(DE18))</f>
        <v>#NAME?</v>
      </c>
      <c r="DG18" s="33" t="e">
        <f t="shared" ca="1" si="21"/>
        <v>#NAME?</v>
      </c>
      <c r="DH18" s="38" t="e">
        <f ca="1">_xll.RiskBinomial(1,DG18)</f>
        <v>#NAME?</v>
      </c>
      <c r="DI18" s="86" t="e">
        <f ca="1">IF(DH18=1,_xll.RiskBinomial(1,Prob_illness_Noro_infection),0)</f>
        <v>#NAME?</v>
      </c>
      <c r="DK18" s="85" t="e">
        <f t="shared" ca="1" si="51"/>
        <v>#NAME?</v>
      </c>
      <c r="DL18" s="40" t="e">
        <f ca="1">INT(DK18) + _xll.RiskBinomial(1,DK18-INT(DK18))</f>
        <v>#NAME?</v>
      </c>
      <c r="DM18" s="33" t="e">
        <f t="shared" ca="1" si="22"/>
        <v>#NAME?</v>
      </c>
      <c r="DN18" s="38" t="e">
        <f ca="1">_xll.RiskBinomial(1,DM18)</f>
        <v>#NAME?</v>
      </c>
      <c r="DO18" s="86" t="e">
        <f ca="1">IF(DN18=1,_xll.RiskBinomial(1,Prob_illness_Noro_infection),0)</f>
        <v>#NAME?</v>
      </c>
      <c r="DQ18" s="85" t="e">
        <f t="shared" ca="1" si="52"/>
        <v>#NAME?</v>
      </c>
      <c r="DR18" s="40" t="e">
        <f ca="1">INT(DQ18) + _xll.RiskBinomial(1,DQ18-INT(DQ18))</f>
        <v>#NAME?</v>
      </c>
      <c r="DS18" s="33" t="e">
        <f t="shared" ca="1" si="23"/>
        <v>#NAME?</v>
      </c>
      <c r="DT18" s="38" t="e">
        <f ca="1">_xll.RiskBinomial(1,DS18)</f>
        <v>#NAME?</v>
      </c>
      <c r="DU18" s="86" t="e">
        <f ca="1">IF(DT18=1,_xll.RiskBinomial(1,Prob_illness_Noro_infection),0)</f>
        <v>#NAME?</v>
      </c>
      <c r="DW18" s="85" t="e">
        <f t="shared" ca="1" si="53"/>
        <v>#NAME?</v>
      </c>
      <c r="DX18" s="40" t="e">
        <f ca="1">INT(DW18) + _xll.RiskBinomial(1,DW18-INT(DW18))</f>
        <v>#NAME?</v>
      </c>
      <c r="DY18" s="33" t="e">
        <f t="shared" ca="1" si="24"/>
        <v>#NAME?</v>
      </c>
      <c r="DZ18" s="38" t="e">
        <f ca="1">_xll.RiskBinomial(1,DY18)</f>
        <v>#NAME?</v>
      </c>
      <c r="EA18" s="86" t="e">
        <f ca="1">IF(DZ18=1,_xll.RiskBinomial(1,Prob_illness_Noro_infection),0)</f>
        <v>#NAME?</v>
      </c>
      <c r="EC18" s="85" t="e">
        <f t="shared" ca="1" si="54"/>
        <v>#NAME?</v>
      </c>
      <c r="ED18" s="40" t="e">
        <f ca="1">INT(EC18) + _xll.RiskBinomial(1,EC18-INT(EC18))</f>
        <v>#NAME?</v>
      </c>
      <c r="EE18" s="33" t="e">
        <f t="shared" ca="1" si="25"/>
        <v>#NAME?</v>
      </c>
      <c r="EF18" s="38" t="e">
        <f ca="1">_xll.RiskBinomial(1,EE18)</f>
        <v>#NAME?</v>
      </c>
      <c r="EG18" s="86" t="e">
        <f ca="1">IF(EF18=1,_xll.RiskBinomial(1,Prob_illness_Noro_infection),0)</f>
        <v>#NAME?</v>
      </c>
      <c r="EI18" s="85" t="e">
        <f t="shared" ca="1" si="55"/>
        <v>#NAME?</v>
      </c>
      <c r="EJ18" s="40" t="e">
        <f ca="1">INT(EI18) + _xll.RiskBinomial(1,EI18-INT(EI18))</f>
        <v>#NAME?</v>
      </c>
      <c r="EK18" s="33" t="e">
        <f t="shared" ca="1" si="26"/>
        <v>#NAME?</v>
      </c>
      <c r="EL18" s="38" t="e">
        <f ca="1">_xll.RiskBinomial(1,EK18)</f>
        <v>#NAME?</v>
      </c>
      <c r="EM18" s="86" t="e">
        <f ca="1">IF(EL18=1,_xll.RiskBinomial(1,Prob_illness_Noro_infection),0)</f>
        <v>#NAME?</v>
      </c>
      <c r="EO18" s="85" t="e">
        <f t="shared" ca="1" si="56"/>
        <v>#NAME?</v>
      </c>
      <c r="EP18" s="40" t="e">
        <f ca="1">INT(EO18) + _xll.RiskBinomial(1,EO18-INT(EO18))</f>
        <v>#NAME?</v>
      </c>
      <c r="EQ18" s="33" t="e">
        <f t="shared" ca="1" si="27"/>
        <v>#NAME?</v>
      </c>
      <c r="ER18" s="38" t="e">
        <f ca="1">_xll.RiskBinomial(1,EQ18)</f>
        <v>#NAME?</v>
      </c>
      <c r="ES18" s="86" t="e">
        <f ca="1">IF(ER18=1,_xll.RiskBinomial(1,Prob_illness_Noro_infection),0)</f>
        <v>#NAME?</v>
      </c>
      <c r="EU18" s="85" t="e">
        <f t="shared" ca="1" si="57"/>
        <v>#NAME?</v>
      </c>
      <c r="EV18" s="40" t="e">
        <f ca="1">INT(EU18) + _xll.RiskBinomial(1,EU18-INT(EU18))</f>
        <v>#NAME?</v>
      </c>
      <c r="EW18" s="33" t="e">
        <f t="shared" ca="1" si="28"/>
        <v>#NAME?</v>
      </c>
      <c r="EX18" s="38" t="e">
        <f ca="1">_xll.RiskBinomial(1,EW18)</f>
        <v>#NAME?</v>
      </c>
      <c r="EY18" s="86" t="e">
        <f ca="1">IF(EX18=1,_xll.RiskBinomial(1,Prob_illness_Noro_infection),0)</f>
        <v>#NAME?</v>
      </c>
      <c r="FA18" s="85" t="e">
        <f t="shared" ca="1" si="58"/>
        <v>#NAME?</v>
      </c>
      <c r="FB18" s="40" t="e">
        <f ca="1">INT(FA18) + _xll.RiskBinomial(1,FA18-INT(FA18))</f>
        <v>#NAME?</v>
      </c>
      <c r="FC18" s="33" t="e">
        <f t="shared" ca="1" si="29"/>
        <v>#NAME?</v>
      </c>
      <c r="FD18" s="38" t="e">
        <f ca="1">_xll.RiskBinomial(1,FC18)</f>
        <v>#NAME?</v>
      </c>
      <c r="FE18" s="86" t="e">
        <f ca="1">IF(FD18=1,_xll.RiskBinomial(1,Prob_illness_Noro_infection),0)</f>
        <v>#NAME?</v>
      </c>
      <c r="FG18" s="85" t="e">
        <f t="shared" ca="1" si="59"/>
        <v>#NAME?</v>
      </c>
      <c r="FH18" s="40" t="e">
        <f ca="1">INT(FG18) + _xll.RiskBinomial(1,FG18-INT(FG18))</f>
        <v>#NAME?</v>
      </c>
      <c r="FI18" s="33" t="e">
        <f t="shared" ca="1" si="30"/>
        <v>#NAME?</v>
      </c>
      <c r="FJ18" s="38" t="e">
        <f ca="1">_xll.RiskBinomial(1,FI18)</f>
        <v>#NAME?</v>
      </c>
      <c r="FK18" s="86" t="e">
        <f ca="1">IF(FJ18=1,_xll.RiskBinomial(1,Prob_illness_Noro_infection),0)</f>
        <v>#NAME?</v>
      </c>
      <c r="FM18" s="85" t="e">
        <f t="shared" ca="1" si="60"/>
        <v>#NAME?</v>
      </c>
      <c r="FN18" s="40" t="e">
        <f ca="1">INT(FM18) + _xll.RiskBinomial(1,FM18-INT(FM18))</f>
        <v>#NAME?</v>
      </c>
      <c r="FO18" s="33" t="e">
        <f t="shared" ca="1" si="31"/>
        <v>#NAME?</v>
      </c>
      <c r="FP18" s="38" t="e">
        <f ca="1">_xll.RiskBinomial(1,FO18)</f>
        <v>#NAME?</v>
      </c>
      <c r="FQ18" s="86" t="e">
        <f ca="1">IF(FP18=1,_xll.RiskBinomial(1,Prob_illness_Noro_infection),0)</f>
        <v>#NAME?</v>
      </c>
      <c r="FS18" s="85" t="e">
        <f t="shared" ca="1" si="61"/>
        <v>#NAME?</v>
      </c>
      <c r="FT18" s="40" t="e">
        <f ca="1">INT(FS18) + _xll.RiskBinomial(1,FS18-INT(FS18))</f>
        <v>#NAME?</v>
      </c>
      <c r="FU18" s="33" t="e">
        <f t="shared" ca="1" si="32"/>
        <v>#NAME?</v>
      </c>
      <c r="FV18" s="38" t="e">
        <f ca="1">_xll.RiskBinomial(1,FU18)</f>
        <v>#NAME?</v>
      </c>
      <c r="FW18" s="86" t="e">
        <f ca="1">IF(FV18=1,_xll.RiskBinomial(1,Prob_illness_Noro_infection),0)</f>
        <v>#NAME?</v>
      </c>
      <c r="FY18" s="85" t="e">
        <f t="shared" ca="1" si="62"/>
        <v>#NAME?</v>
      </c>
      <c r="FZ18" s="40" t="e">
        <f ca="1">INT(FY18) + _xll.RiskBinomial(1,FY18-INT(FY18))</f>
        <v>#NAME?</v>
      </c>
      <c r="GA18" s="33" t="e">
        <f t="shared" ca="1" si="33"/>
        <v>#NAME?</v>
      </c>
      <c r="GB18" s="38" t="e">
        <f ca="1">_xll.RiskBinomial(1,GA18)</f>
        <v>#NAME?</v>
      </c>
      <c r="GC18" s="86" t="e">
        <f ca="1">IF(GB18=1,_xll.RiskBinomial(1,Prob_illness_Noro_infection),0)</f>
        <v>#NAME?</v>
      </c>
      <c r="GE18" s="85" t="e">
        <f t="shared" ca="1" si="63"/>
        <v>#NAME?</v>
      </c>
      <c r="GF18" s="40" t="e">
        <f ca="1">INT(GE18) + _xll.RiskBinomial(1,GE18-INT(GE18))</f>
        <v>#NAME?</v>
      </c>
      <c r="GG18" s="33" t="e">
        <f t="shared" ca="1" si="34"/>
        <v>#NAME?</v>
      </c>
      <c r="GH18" s="38" t="e">
        <f ca="1">_xll.RiskBinomial(1,GG18)</f>
        <v>#NAME?</v>
      </c>
      <c r="GI18" s="86" t="e">
        <f ca="1">IF(GH18=1,_xll.RiskBinomial(1,Prob_illness_Noro_infection),0)</f>
        <v>#NAME?</v>
      </c>
      <c r="GK18" s="85" t="e">
        <f t="shared" ca="1" si="64"/>
        <v>#NAME?</v>
      </c>
      <c r="GL18" s="40" t="e">
        <f ca="1">INT(GK18) + _xll.RiskBinomial(1,GK18-INT(GK18))</f>
        <v>#NAME?</v>
      </c>
      <c r="GM18" s="33" t="e">
        <f t="shared" ca="1" si="35"/>
        <v>#NAME?</v>
      </c>
      <c r="GN18" s="38" t="e">
        <f ca="1">_xll.RiskBinomial(1,GM18)</f>
        <v>#NAME?</v>
      </c>
      <c r="GO18" s="86" t="e">
        <f ca="1">IF(GN18=1,_xll.RiskBinomial(1,Prob_illness_Noro_infection),0)</f>
        <v>#NAME?</v>
      </c>
    </row>
    <row r="19" spans="2:197" x14ac:dyDescent="0.25">
      <c r="B19" s="106">
        <v>11</v>
      </c>
      <c r="C19" s="109" t="e">
        <f ca="1" xml:space="preserve"> _xll.RiskPert(Dur_Swim_hours_min,Dur_Swim_hours_mode,Dur_Swim_hours_max)</f>
        <v>#NAME?</v>
      </c>
      <c r="D19" s="33" t="e">
        <f ca="1">_xll.RiskLognorm(Primary_Ing_Rate_mL_per_hour_mean,Primary_Ing_Rate_mL_per_hour_sd, _xll.RiskTruncate(Primary_Ing_Rate_mL_per_hour_min,Primary_Ing_Rate_mL_per_hour_max))</f>
        <v>#NAME?</v>
      </c>
      <c r="E19" s="41" t="e">
        <f t="shared" ca="1" si="36"/>
        <v>#NAME?</v>
      </c>
      <c r="F19" s="33"/>
      <c r="G19" s="85" t="e">
        <f t="shared" ca="1" si="37"/>
        <v>#NAME?</v>
      </c>
      <c r="H19" s="40" t="e">
        <f ca="1">INT(G19) + _xll.RiskBinomial(1,G19-INT(G19))</f>
        <v>#NAME?</v>
      </c>
      <c r="I19" s="33" t="e">
        <f t="shared" ca="1" si="0"/>
        <v>#NAME?</v>
      </c>
      <c r="J19" s="38" t="e">
        <f ca="1">_xll.RiskBinomial(1,I19)</f>
        <v>#NAME?</v>
      </c>
      <c r="K19" s="86" t="e">
        <f ca="1">IF(J19=1,_xll.RiskBinomial(1,Prob_illness_Noro_infection),0)</f>
        <v>#NAME?</v>
      </c>
      <c r="L19" s="33"/>
      <c r="M19" s="85" t="e">
        <f t="shared" ca="1" si="38"/>
        <v>#NAME?</v>
      </c>
      <c r="N19" s="40" t="e">
        <f ca="1">INT(M19) + _xll.RiskBinomial(1,M19-INT(M19))</f>
        <v>#NAME?</v>
      </c>
      <c r="O19" s="33" t="e">
        <f t="shared" ca="1" si="1"/>
        <v>#NAME?</v>
      </c>
      <c r="P19" s="38" t="e">
        <f ca="1">_xll.RiskBinomial(1,O19)</f>
        <v>#NAME?</v>
      </c>
      <c r="Q19" s="86" t="e">
        <f ca="1">IF(P19=1,_xll.RiskBinomial(1,Prob_illness_Noro_infection),0)</f>
        <v>#NAME?</v>
      </c>
      <c r="R19" s="33"/>
      <c r="S19" s="85" t="e">
        <f t="shared" ca="1" si="39"/>
        <v>#NAME?</v>
      </c>
      <c r="T19" s="40" t="e">
        <f ca="1">INT(S19) + _xll.RiskBinomial(1,S19-INT(S19))</f>
        <v>#NAME?</v>
      </c>
      <c r="U19" s="33" t="e">
        <f t="shared" ca="1" si="2"/>
        <v>#NAME?</v>
      </c>
      <c r="V19" s="38" t="e">
        <f ca="1">_xll.RiskBinomial(1,U19)</f>
        <v>#NAME?</v>
      </c>
      <c r="W19" s="86" t="e">
        <f ca="1">IF(V19=1,_xll.RiskBinomial(1,Prob_illness_Noro_infection),0)</f>
        <v>#NAME?</v>
      </c>
      <c r="X19" s="33"/>
      <c r="Y19" s="85" t="e">
        <f t="shared" ca="1" si="3"/>
        <v>#NAME?</v>
      </c>
      <c r="Z19" s="40" t="e">
        <f ca="1">INT(Y19) + _xll.RiskBinomial(1,Y19-INT(Y19))</f>
        <v>#NAME?</v>
      </c>
      <c r="AA19" s="33" t="e">
        <f t="shared" ca="1" si="4"/>
        <v>#NAME?</v>
      </c>
      <c r="AB19" s="38" t="e">
        <f ca="1">_xll.RiskBinomial(1,AA19)</f>
        <v>#NAME?</v>
      </c>
      <c r="AC19" s="86" t="e">
        <f ca="1">IF(AB19=1,_xll.RiskBinomial(1,Prob_illness_Noro_infection),0)</f>
        <v>#NAME?</v>
      </c>
      <c r="AD19" s="33"/>
      <c r="AE19" s="85" t="e">
        <f t="shared" ca="1" si="5"/>
        <v>#NAME?</v>
      </c>
      <c r="AF19" s="40" t="e">
        <f ca="1">INT(AE19) + _xll.RiskBinomial(1,AE19-INT(AE19))</f>
        <v>#NAME?</v>
      </c>
      <c r="AG19" s="33" t="e">
        <f t="shared" ca="1" si="6"/>
        <v>#NAME?</v>
      </c>
      <c r="AH19" s="38" t="e">
        <f ca="1">_xll.RiskBinomial(1,AG19)</f>
        <v>#NAME?</v>
      </c>
      <c r="AI19" s="86" t="e">
        <f ca="1">IF(AH19=1,_xll.RiskBinomial(1,Prob_illness_Noro_infection),0)</f>
        <v>#NAME?</v>
      </c>
      <c r="AJ19" s="33"/>
      <c r="AK19" s="85" t="e">
        <f t="shared" ca="1" si="7"/>
        <v>#NAME?</v>
      </c>
      <c r="AL19" s="40" t="e">
        <f ca="1">INT(AK19) + _xll.RiskBinomial(1,AK19-INT(AK19))</f>
        <v>#NAME?</v>
      </c>
      <c r="AM19" s="33" t="e">
        <f t="shared" ca="1" si="8"/>
        <v>#NAME?</v>
      </c>
      <c r="AN19" s="38" t="e">
        <f ca="1">_xll.RiskBinomial(1,AM19)</f>
        <v>#NAME?</v>
      </c>
      <c r="AO19" s="86" t="e">
        <f ca="1">IF(AN19=1,_xll.RiskBinomial(1,Prob_illness_Noro_infection),0)</f>
        <v>#NAME?</v>
      </c>
      <c r="AP19" s="33"/>
      <c r="AQ19" s="85" t="e">
        <f t="shared" ca="1" si="9"/>
        <v>#NAME?</v>
      </c>
      <c r="AR19" s="40" t="e">
        <f ca="1">INT(AQ19) + _xll.RiskBinomial(1,AQ19-INT(AQ19))</f>
        <v>#NAME?</v>
      </c>
      <c r="AS19" s="33" t="e">
        <f t="shared" ca="1" si="10"/>
        <v>#NAME?</v>
      </c>
      <c r="AT19" s="38" t="e">
        <f ca="1">_xll.RiskBinomial(1,AS19)</f>
        <v>#NAME?</v>
      </c>
      <c r="AU19" s="86" t="e">
        <f ca="1">IF(AT19=1,_xll.RiskBinomial(1,Prob_illness_Noro_infection),0)</f>
        <v>#NAME?</v>
      </c>
      <c r="AV19" s="33"/>
      <c r="AW19" s="85" t="e">
        <f t="shared" ca="1" si="40"/>
        <v>#NAME?</v>
      </c>
      <c r="AX19" s="40" t="e">
        <f ca="1">INT(AW19) + _xll.RiskBinomial(1,AW19-INT(AW19))</f>
        <v>#NAME?</v>
      </c>
      <c r="AY19" s="33" t="e">
        <f t="shared" ca="1" si="11"/>
        <v>#NAME?</v>
      </c>
      <c r="AZ19" s="38" t="e">
        <f ca="1">_xll.RiskBinomial(1,AY19)</f>
        <v>#NAME?</v>
      </c>
      <c r="BA19" s="86" t="e">
        <f ca="1">IF(AZ19=1,_xll.RiskBinomial(1,Prob_illness_Noro_infection),0)</f>
        <v>#NAME?</v>
      </c>
      <c r="BC19" s="85" t="e">
        <f t="shared" ca="1" si="41"/>
        <v>#NAME?</v>
      </c>
      <c r="BD19" s="40" t="e">
        <f ca="1">INT(BC19) + _xll.RiskBinomial(1,BC19-INT(BC19))</f>
        <v>#NAME?</v>
      </c>
      <c r="BE19" s="33" t="e">
        <f t="shared" ca="1" si="12"/>
        <v>#NAME?</v>
      </c>
      <c r="BF19" s="38" t="e">
        <f ca="1">_xll.RiskBinomial(1,BE19)</f>
        <v>#NAME?</v>
      </c>
      <c r="BG19" s="86" t="e">
        <f ca="1">IF(BF19=1,_xll.RiskBinomial(1,Prob_illness_Noro_infection),0)</f>
        <v>#NAME?</v>
      </c>
      <c r="BI19" s="85" t="e">
        <f t="shared" ca="1" si="42"/>
        <v>#NAME?</v>
      </c>
      <c r="BJ19" s="40" t="e">
        <f ca="1">INT(BI19) + _xll.RiskBinomial(1,BI19-INT(BI19))</f>
        <v>#NAME?</v>
      </c>
      <c r="BK19" s="33" t="e">
        <f t="shared" ca="1" si="13"/>
        <v>#NAME?</v>
      </c>
      <c r="BL19" s="38" t="e">
        <f ca="1">_xll.RiskBinomial(1,BK19)</f>
        <v>#NAME?</v>
      </c>
      <c r="BM19" s="86" t="e">
        <f ca="1">IF(BL19=1,_xll.RiskBinomial(1,Prob_illness_Noro_infection),0)</f>
        <v>#NAME?</v>
      </c>
      <c r="BO19" s="85" t="e">
        <f t="shared" ca="1" si="43"/>
        <v>#NAME?</v>
      </c>
      <c r="BP19" s="40" t="e">
        <f ca="1">INT(BO19) + _xll.RiskBinomial(1,BO19-INT(BO19))</f>
        <v>#NAME?</v>
      </c>
      <c r="BQ19" s="33" t="e">
        <f t="shared" ca="1" si="14"/>
        <v>#NAME?</v>
      </c>
      <c r="BR19" s="38" t="e">
        <f ca="1">_xll.RiskBinomial(1,BQ19)</f>
        <v>#NAME?</v>
      </c>
      <c r="BS19" s="86" t="e">
        <f ca="1">IF(BR19=1,_xll.RiskBinomial(1,Prob_illness_Noro_infection),0)</f>
        <v>#NAME?</v>
      </c>
      <c r="BU19" s="85" t="e">
        <f t="shared" ca="1" si="44"/>
        <v>#NAME?</v>
      </c>
      <c r="BV19" s="40" t="e">
        <f ca="1">INT(BU19) + _xll.RiskBinomial(1,BU19-INT(BU19))</f>
        <v>#NAME?</v>
      </c>
      <c r="BW19" s="33" t="e">
        <f t="shared" ca="1" si="15"/>
        <v>#NAME?</v>
      </c>
      <c r="BX19" s="38" t="e">
        <f ca="1">_xll.RiskBinomial(1,BW19)</f>
        <v>#NAME?</v>
      </c>
      <c r="BY19" s="86" t="e">
        <f ca="1">IF(BX19=1,_xll.RiskBinomial(1,Prob_illness_Noro_infection),0)</f>
        <v>#NAME?</v>
      </c>
      <c r="CA19" s="85" t="e">
        <f t="shared" ca="1" si="45"/>
        <v>#NAME?</v>
      </c>
      <c r="CB19" s="40" t="e">
        <f ca="1">INT(CA19) + _xll.RiskBinomial(1,CA19-INT(CA19))</f>
        <v>#NAME?</v>
      </c>
      <c r="CC19" s="33" t="e">
        <f t="shared" ca="1" si="16"/>
        <v>#NAME?</v>
      </c>
      <c r="CD19" s="38" t="e">
        <f ca="1">_xll.RiskBinomial(1,CC19)</f>
        <v>#NAME?</v>
      </c>
      <c r="CE19" s="86" t="e">
        <f ca="1">IF(CD19=1,_xll.RiskBinomial(1,Prob_illness_Noro_infection),0)</f>
        <v>#NAME?</v>
      </c>
      <c r="CG19" s="85" t="e">
        <f t="shared" ca="1" si="46"/>
        <v>#NAME?</v>
      </c>
      <c r="CH19" s="40" t="e">
        <f ca="1">INT(CG19) + _xll.RiskBinomial(1,CG19-INT(CG19))</f>
        <v>#NAME?</v>
      </c>
      <c r="CI19" s="33" t="e">
        <f t="shared" ca="1" si="17"/>
        <v>#NAME?</v>
      </c>
      <c r="CJ19" s="38" t="e">
        <f ca="1">_xll.RiskBinomial(1,CI19)</f>
        <v>#NAME?</v>
      </c>
      <c r="CK19" s="86" t="e">
        <f ca="1">IF(CJ19=1,_xll.RiskBinomial(1,Prob_illness_Noro_infection),0)</f>
        <v>#NAME?</v>
      </c>
      <c r="CM19" s="85" t="e">
        <f t="shared" ca="1" si="47"/>
        <v>#NAME?</v>
      </c>
      <c r="CN19" s="40" t="e">
        <f ca="1">INT(CM19) + _xll.RiskBinomial(1,CM19-INT(CM19))</f>
        <v>#NAME?</v>
      </c>
      <c r="CO19" s="33" t="e">
        <f t="shared" ca="1" si="18"/>
        <v>#NAME?</v>
      </c>
      <c r="CP19" s="38" t="e">
        <f ca="1">_xll.RiskBinomial(1,CO19)</f>
        <v>#NAME?</v>
      </c>
      <c r="CQ19" s="86" t="e">
        <f ca="1">IF(CP19=1,_xll.RiskBinomial(1,Prob_illness_Noro_infection),0)</f>
        <v>#NAME?</v>
      </c>
      <c r="CS19" s="85" t="e">
        <f t="shared" ca="1" si="48"/>
        <v>#NAME?</v>
      </c>
      <c r="CT19" s="40" t="e">
        <f ca="1">INT(CS19) + _xll.RiskBinomial(1,CS19-INT(CS19))</f>
        <v>#NAME?</v>
      </c>
      <c r="CU19" s="33" t="e">
        <f t="shared" ca="1" si="19"/>
        <v>#NAME?</v>
      </c>
      <c r="CV19" s="38" t="e">
        <f ca="1">_xll.RiskBinomial(1,CU19)</f>
        <v>#NAME?</v>
      </c>
      <c r="CW19" s="86" t="e">
        <f ca="1">IF(CV19=1,_xll.RiskBinomial(1,Prob_illness_Noro_infection),0)</f>
        <v>#NAME?</v>
      </c>
      <c r="CY19" s="85" t="e">
        <f t="shared" ca="1" si="49"/>
        <v>#NAME?</v>
      </c>
      <c r="CZ19" s="40" t="e">
        <f ca="1">INT(CY19) + _xll.RiskBinomial(1,CY19-INT(CY19))</f>
        <v>#NAME?</v>
      </c>
      <c r="DA19" s="33" t="e">
        <f t="shared" ca="1" si="20"/>
        <v>#NAME?</v>
      </c>
      <c r="DB19" s="38" t="e">
        <f ca="1">_xll.RiskBinomial(1,DA19)</f>
        <v>#NAME?</v>
      </c>
      <c r="DC19" s="86" t="e">
        <f ca="1">IF(DB19=1,_xll.RiskBinomial(1,Prob_illness_Noro_infection),0)</f>
        <v>#NAME?</v>
      </c>
      <c r="DE19" s="85" t="e">
        <f t="shared" ca="1" si="50"/>
        <v>#NAME?</v>
      </c>
      <c r="DF19" s="40" t="e">
        <f ca="1">INT(DE19) + _xll.RiskBinomial(1,DE19-INT(DE19))</f>
        <v>#NAME?</v>
      </c>
      <c r="DG19" s="33" t="e">
        <f t="shared" ca="1" si="21"/>
        <v>#NAME?</v>
      </c>
      <c r="DH19" s="38" t="e">
        <f ca="1">_xll.RiskBinomial(1,DG19)</f>
        <v>#NAME?</v>
      </c>
      <c r="DI19" s="86" t="e">
        <f ca="1">IF(DH19=1,_xll.RiskBinomial(1,Prob_illness_Noro_infection),0)</f>
        <v>#NAME?</v>
      </c>
      <c r="DK19" s="85" t="e">
        <f t="shared" ca="1" si="51"/>
        <v>#NAME?</v>
      </c>
      <c r="DL19" s="40" t="e">
        <f ca="1">INT(DK19) + _xll.RiskBinomial(1,DK19-INT(DK19))</f>
        <v>#NAME?</v>
      </c>
      <c r="DM19" s="33" t="e">
        <f t="shared" ca="1" si="22"/>
        <v>#NAME?</v>
      </c>
      <c r="DN19" s="38" t="e">
        <f ca="1">_xll.RiskBinomial(1,DM19)</f>
        <v>#NAME?</v>
      </c>
      <c r="DO19" s="86" t="e">
        <f ca="1">IF(DN19=1,_xll.RiskBinomial(1,Prob_illness_Noro_infection),0)</f>
        <v>#NAME?</v>
      </c>
      <c r="DQ19" s="85" t="e">
        <f t="shared" ca="1" si="52"/>
        <v>#NAME?</v>
      </c>
      <c r="DR19" s="40" t="e">
        <f ca="1">INT(DQ19) + _xll.RiskBinomial(1,DQ19-INT(DQ19))</f>
        <v>#NAME?</v>
      </c>
      <c r="DS19" s="33" t="e">
        <f t="shared" ca="1" si="23"/>
        <v>#NAME?</v>
      </c>
      <c r="DT19" s="38" t="e">
        <f ca="1">_xll.RiskBinomial(1,DS19)</f>
        <v>#NAME?</v>
      </c>
      <c r="DU19" s="86" t="e">
        <f ca="1">IF(DT19=1,_xll.RiskBinomial(1,Prob_illness_Noro_infection),0)</f>
        <v>#NAME?</v>
      </c>
      <c r="DW19" s="85" t="e">
        <f t="shared" ca="1" si="53"/>
        <v>#NAME?</v>
      </c>
      <c r="DX19" s="40" t="e">
        <f ca="1">INT(DW19) + _xll.RiskBinomial(1,DW19-INT(DW19))</f>
        <v>#NAME?</v>
      </c>
      <c r="DY19" s="33" t="e">
        <f t="shared" ca="1" si="24"/>
        <v>#NAME?</v>
      </c>
      <c r="DZ19" s="38" t="e">
        <f ca="1">_xll.RiskBinomial(1,DY19)</f>
        <v>#NAME?</v>
      </c>
      <c r="EA19" s="86" t="e">
        <f ca="1">IF(DZ19=1,_xll.RiskBinomial(1,Prob_illness_Noro_infection),0)</f>
        <v>#NAME?</v>
      </c>
      <c r="EC19" s="85" t="e">
        <f t="shared" ca="1" si="54"/>
        <v>#NAME?</v>
      </c>
      <c r="ED19" s="40" t="e">
        <f ca="1">INT(EC19) + _xll.RiskBinomial(1,EC19-INT(EC19))</f>
        <v>#NAME?</v>
      </c>
      <c r="EE19" s="33" t="e">
        <f t="shared" ca="1" si="25"/>
        <v>#NAME?</v>
      </c>
      <c r="EF19" s="38" t="e">
        <f ca="1">_xll.RiskBinomial(1,EE19)</f>
        <v>#NAME?</v>
      </c>
      <c r="EG19" s="86" t="e">
        <f ca="1">IF(EF19=1,_xll.RiskBinomial(1,Prob_illness_Noro_infection),0)</f>
        <v>#NAME?</v>
      </c>
      <c r="EI19" s="85" t="e">
        <f t="shared" ca="1" si="55"/>
        <v>#NAME?</v>
      </c>
      <c r="EJ19" s="40" t="e">
        <f ca="1">INT(EI19) + _xll.RiskBinomial(1,EI19-INT(EI19))</f>
        <v>#NAME?</v>
      </c>
      <c r="EK19" s="33" t="e">
        <f t="shared" ca="1" si="26"/>
        <v>#NAME?</v>
      </c>
      <c r="EL19" s="38" t="e">
        <f ca="1">_xll.RiskBinomial(1,EK19)</f>
        <v>#NAME?</v>
      </c>
      <c r="EM19" s="86" t="e">
        <f ca="1">IF(EL19=1,_xll.RiskBinomial(1,Prob_illness_Noro_infection),0)</f>
        <v>#NAME?</v>
      </c>
      <c r="EO19" s="85" t="e">
        <f t="shared" ca="1" si="56"/>
        <v>#NAME?</v>
      </c>
      <c r="EP19" s="40" t="e">
        <f ca="1">INT(EO19) + _xll.RiskBinomial(1,EO19-INT(EO19))</f>
        <v>#NAME?</v>
      </c>
      <c r="EQ19" s="33" t="e">
        <f t="shared" ca="1" si="27"/>
        <v>#NAME?</v>
      </c>
      <c r="ER19" s="38" t="e">
        <f ca="1">_xll.RiskBinomial(1,EQ19)</f>
        <v>#NAME?</v>
      </c>
      <c r="ES19" s="86" t="e">
        <f ca="1">IF(ER19=1,_xll.RiskBinomial(1,Prob_illness_Noro_infection),0)</f>
        <v>#NAME?</v>
      </c>
      <c r="EU19" s="85" t="e">
        <f t="shared" ca="1" si="57"/>
        <v>#NAME?</v>
      </c>
      <c r="EV19" s="40" t="e">
        <f ca="1">INT(EU19) + _xll.RiskBinomial(1,EU19-INT(EU19))</f>
        <v>#NAME?</v>
      </c>
      <c r="EW19" s="33" t="e">
        <f t="shared" ca="1" si="28"/>
        <v>#NAME?</v>
      </c>
      <c r="EX19" s="38" t="e">
        <f ca="1">_xll.RiskBinomial(1,EW19)</f>
        <v>#NAME?</v>
      </c>
      <c r="EY19" s="86" t="e">
        <f ca="1">IF(EX19=1,_xll.RiskBinomial(1,Prob_illness_Noro_infection),0)</f>
        <v>#NAME?</v>
      </c>
      <c r="FA19" s="85" t="e">
        <f t="shared" ca="1" si="58"/>
        <v>#NAME?</v>
      </c>
      <c r="FB19" s="40" t="e">
        <f ca="1">INT(FA19) + _xll.RiskBinomial(1,FA19-INT(FA19))</f>
        <v>#NAME?</v>
      </c>
      <c r="FC19" s="33" t="e">
        <f t="shared" ca="1" si="29"/>
        <v>#NAME?</v>
      </c>
      <c r="FD19" s="38" t="e">
        <f ca="1">_xll.RiskBinomial(1,FC19)</f>
        <v>#NAME?</v>
      </c>
      <c r="FE19" s="86" t="e">
        <f ca="1">IF(FD19=1,_xll.RiskBinomial(1,Prob_illness_Noro_infection),0)</f>
        <v>#NAME?</v>
      </c>
      <c r="FG19" s="85" t="e">
        <f t="shared" ca="1" si="59"/>
        <v>#NAME?</v>
      </c>
      <c r="FH19" s="40" t="e">
        <f ca="1">INT(FG19) + _xll.RiskBinomial(1,FG19-INT(FG19))</f>
        <v>#NAME?</v>
      </c>
      <c r="FI19" s="33" t="e">
        <f t="shared" ca="1" si="30"/>
        <v>#NAME?</v>
      </c>
      <c r="FJ19" s="38" t="e">
        <f ca="1">_xll.RiskBinomial(1,FI19)</f>
        <v>#NAME?</v>
      </c>
      <c r="FK19" s="86" t="e">
        <f ca="1">IF(FJ19=1,_xll.RiskBinomial(1,Prob_illness_Noro_infection),0)</f>
        <v>#NAME?</v>
      </c>
      <c r="FM19" s="85" t="e">
        <f t="shared" ca="1" si="60"/>
        <v>#NAME?</v>
      </c>
      <c r="FN19" s="40" t="e">
        <f ca="1">INT(FM19) + _xll.RiskBinomial(1,FM19-INT(FM19))</f>
        <v>#NAME?</v>
      </c>
      <c r="FO19" s="33" t="e">
        <f t="shared" ca="1" si="31"/>
        <v>#NAME?</v>
      </c>
      <c r="FP19" s="38" t="e">
        <f ca="1">_xll.RiskBinomial(1,FO19)</f>
        <v>#NAME?</v>
      </c>
      <c r="FQ19" s="86" t="e">
        <f ca="1">IF(FP19=1,_xll.RiskBinomial(1,Prob_illness_Noro_infection),0)</f>
        <v>#NAME?</v>
      </c>
      <c r="FS19" s="85" t="e">
        <f t="shared" ca="1" si="61"/>
        <v>#NAME?</v>
      </c>
      <c r="FT19" s="40" t="e">
        <f ca="1">INT(FS19) + _xll.RiskBinomial(1,FS19-INT(FS19))</f>
        <v>#NAME?</v>
      </c>
      <c r="FU19" s="33" t="e">
        <f t="shared" ca="1" si="32"/>
        <v>#NAME?</v>
      </c>
      <c r="FV19" s="38" t="e">
        <f ca="1">_xll.RiskBinomial(1,FU19)</f>
        <v>#NAME?</v>
      </c>
      <c r="FW19" s="86" t="e">
        <f ca="1">IF(FV19=1,_xll.RiskBinomial(1,Prob_illness_Noro_infection),0)</f>
        <v>#NAME?</v>
      </c>
      <c r="FY19" s="85" t="e">
        <f t="shared" ca="1" si="62"/>
        <v>#NAME?</v>
      </c>
      <c r="FZ19" s="40" t="e">
        <f ca="1">INT(FY19) + _xll.RiskBinomial(1,FY19-INT(FY19))</f>
        <v>#NAME?</v>
      </c>
      <c r="GA19" s="33" t="e">
        <f t="shared" ca="1" si="33"/>
        <v>#NAME?</v>
      </c>
      <c r="GB19" s="38" t="e">
        <f ca="1">_xll.RiskBinomial(1,GA19)</f>
        <v>#NAME?</v>
      </c>
      <c r="GC19" s="86" t="e">
        <f ca="1">IF(GB19=1,_xll.RiskBinomial(1,Prob_illness_Noro_infection),0)</f>
        <v>#NAME?</v>
      </c>
      <c r="GE19" s="85" t="e">
        <f t="shared" ca="1" si="63"/>
        <v>#NAME?</v>
      </c>
      <c r="GF19" s="40" t="e">
        <f ca="1">INT(GE19) + _xll.RiskBinomial(1,GE19-INT(GE19))</f>
        <v>#NAME?</v>
      </c>
      <c r="GG19" s="33" t="e">
        <f t="shared" ca="1" si="34"/>
        <v>#NAME?</v>
      </c>
      <c r="GH19" s="38" t="e">
        <f ca="1">_xll.RiskBinomial(1,GG19)</f>
        <v>#NAME?</v>
      </c>
      <c r="GI19" s="86" t="e">
        <f ca="1">IF(GH19=1,_xll.RiskBinomial(1,Prob_illness_Noro_infection),0)</f>
        <v>#NAME?</v>
      </c>
      <c r="GK19" s="85" t="e">
        <f t="shared" ca="1" si="64"/>
        <v>#NAME?</v>
      </c>
      <c r="GL19" s="40" t="e">
        <f ca="1">INT(GK19) + _xll.RiskBinomial(1,GK19-INT(GK19))</f>
        <v>#NAME?</v>
      </c>
      <c r="GM19" s="33" t="e">
        <f t="shared" ca="1" si="35"/>
        <v>#NAME?</v>
      </c>
      <c r="GN19" s="38" t="e">
        <f ca="1">_xll.RiskBinomial(1,GM19)</f>
        <v>#NAME?</v>
      </c>
      <c r="GO19" s="86" t="e">
        <f ca="1">IF(GN19=1,_xll.RiskBinomial(1,Prob_illness_Noro_infection),0)</f>
        <v>#NAME?</v>
      </c>
    </row>
    <row r="20" spans="2:197" x14ac:dyDescent="0.25">
      <c r="B20" s="106">
        <v>12</v>
      </c>
      <c r="C20" s="109" t="e">
        <f ca="1" xml:space="preserve"> _xll.RiskPert(Dur_Swim_hours_min,Dur_Swim_hours_mode,Dur_Swim_hours_max)</f>
        <v>#NAME?</v>
      </c>
      <c r="D20" s="33" t="e">
        <f ca="1">_xll.RiskLognorm(Primary_Ing_Rate_mL_per_hour_mean,Primary_Ing_Rate_mL_per_hour_sd, _xll.RiskTruncate(Primary_Ing_Rate_mL_per_hour_min,Primary_Ing_Rate_mL_per_hour_max))</f>
        <v>#NAME?</v>
      </c>
      <c r="E20" s="41" t="e">
        <f t="shared" ca="1" si="36"/>
        <v>#NAME?</v>
      </c>
      <c r="F20" s="33"/>
      <c r="G20" s="85" t="e">
        <f t="shared" ca="1" si="37"/>
        <v>#NAME?</v>
      </c>
      <c r="H20" s="40" t="e">
        <f ca="1">INT(G20) + _xll.RiskBinomial(1,G20-INT(G20))</f>
        <v>#NAME?</v>
      </c>
      <c r="I20" s="33" t="e">
        <f t="shared" ca="1" si="0"/>
        <v>#NAME?</v>
      </c>
      <c r="J20" s="38" t="e">
        <f ca="1">_xll.RiskBinomial(1,I20)</f>
        <v>#NAME?</v>
      </c>
      <c r="K20" s="86" t="e">
        <f ca="1">IF(J20=1,_xll.RiskBinomial(1,Prob_illness_Noro_infection),0)</f>
        <v>#NAME?</v>
      </c>
      <c r="L20" s="33"/>
      <c r="M20" s="85" t="e">
        <f t="shared" ca="1" si="38"/>
        <v>#NAME?</v>
      </c>
      <c r="N20" s="40" t="e">
        <f ca="1">INT(M20) + _xll.RiskBinomial(1,M20-INT(M20))</f>
        <v>#NAME?</v>
      </c>
      <c r="O20" s="33" t="e">
        <f t="shared" ca="1" si="1"/>
        <v>#NAME?</v>
      </c>
      <c r="P20" s="38" t="e">
        <f ca="1">_xll.RiskBinomial(1,O20)</f>
        <v>#NAME?</v>
      </c>
      <c r="Q20" s="86" t="e">
        <f ca="1">IF(P20=1,_xll.RiskBinomial(1,Prob_illness_Noro_infection),0)</f>
        <v>#NAME?</v>
      </c>
      <c r="R20" s="33"/>
      <c r="S20" s="85" t="e">
        <f t="shared" ca="1" si="39"/>
        <v>#NAME?</v>
      </c>
      <c r="T20" s="40" t="e">
        <f ca="1">INT(S20) + _xll.RiskBinomial(1,S20-INT(S20))</f>
        <v>#NAME?</v>
      </c>
      <c r="U20" s="33" t="e">
        <f t="shared" ca="1" si="2"/>
        <v>#NAME?</v>
      </c>
      <c r="V20" s="38" t="e">
        <f ca="1">_xll.RiskBinomial(1,U20)</f>
        <v>#NAME?</v>
      </c>
      <c r="W20" s="86" t="e">
        <f ca="1">IF(V20=1,_xll.RiskBinomial(1,Prob_illness_Noro_infection),0)</f>
        <v>#NAME?</v>
      </c>
      <c r="X20" s="33"/>
      <c r="Y20" s="85" t="e">
        <f t="shared" ca="1" si="3"/>
        <v>#NAME?</v>
      </c>
      <c r="Z20" s="40" t="e">
        <f ca="1">INT(Y20) + _xll.RiskBinomial(1,Y20-INT(Y20))</f>
        <v>#NAME?</v>
      </c>
      <c r="AA20" s="33" t="e">
        <f t="shared" ca="1" si="4"/>
        <v>#NAME?</v>
      </c>
      <c r="AB20" s="38" t="e">
        <f ca="1">_xll.RiskBinomial(1,AA20)</f>
        <v>#NAME?</v>
      </c>
      <c r="AC20" s="86" t="e">
        <f ca="1">IF(AB20=1,_xll.RiskBinomial(1,Prob_illness_Noro_infection),0)</f>
        <v>#NAME?</v>
      </c>
      <c r="AD20" s="33"/>
      <c r="AE20" s="85" t="e">
        <f t="shared" ca="1" si="5"/>
        <v>#NAME?</v>
      </c>
      <c r="AF20" s="40" t="e">
        <f ca="1">INT(AE20) + _xll.RiskBinomial(1,AE20-INT(AE20))</f>
        <v>#NAME?</v>
      </c>
      <c r="AG20" s="33" t="e">
        <f t="shared" ca="1" si="6"/>
        <v>#NAME?</v>
      </c>
      <c r="AH20" s="38" t="e">
        <f ca="1">_xll.RiskBinomial(1,AG20)</f>
        <v>#NAME?</v>
      </c>
      <c r="AI20" s="86" t="e">
        <f ca="1">IF(AH20=1,_xll.RiskBinomial(1,Prob_illness_Noro_infection),0)</f>
        <v>#NAME?</v>
      </c>
      <c r="AJ20" s="33"/>
      <c r="AK20" s="85" t="e">
        <f t="shared" ca="1" si="7"/>
        <v>#NAME?</v>
      </c>
      <c r="AL20" s="40" t="e">
        <f ca="1">INT(AK20) + _xll.RiskBinomial(1,AK20-INT(AK20))</f>
        <v>#NAME?</v>
      </c>
      <c r="AM20" s="33" t="e">
        <f t="shared" ca="1" si="8"/>
        <v>#NAME?</v>
      </c>
      <c r="AN20" s="38" t="e">
        <f ca="1">_xll.RiskBinomial(1,AM20)</f>
        <v>#NAME?</v>
      </c>
      <c r="AO20" s="86" t="e">
        <f ca="1">IF(AN20=1,_xll.RiskBinomial(1,Prob_illness_Noro_infection),0)</f>
        <v>#NAME?</v>
      </c>
      <c r="AP20" s="33"/>
      <c r="AQ20" s="85" t="e">
        <f t="shared" ca="1" si="9"/>
        <v>#NAME?</v>
      </c>
      <c r="AR20" s="40" t="e">
        <f ca="1">INT(AQ20) + _xll.RiskBinomial(1,AQ20-INT(AQ20))</f>
        <v>#NAME?</v>
      </c>
      <c r="AS20" s="33" t="e">
        <f t="shared" ca="1" si="10"/>
        <v>#NAME?</v>
      </c>
      <c r="AT20" s="38" t="e">
        <f ca="1">_xll.RiskBinomial(1,AS20)</f>
        <v>#NAME?</v>
      </c>
      <c r="AU20" s="86" t="e">
        <f ca="1">IF(AT20=1,_xll.RiskBinomial(1,Prob_illness_Noro_infection),0)</f>
        <v>#NAME?</v>
      </c>
      <c r="AV20" s="33"/>
      <c r="AW20" s="85" t="e">
        <f t="shared" ca="1" si="40"/>
        <v>#NAME?</v>
      </c>
      <c r="AX20" s="40" t="e">
        <f ca="1">INT(AW20) + _xll.RiskBinomial(1,AW20-INT(AW20))</f>
        <v>#NAME?</v>
      </c>
      <c r="AY20" s="33" t="e">
        <f t="shared" ca="1" si="11"/>
        <v>#NAME?</v>
      </c>
      <c r="AZ20" s="38" t="e">
        <f ca="1">_xll.RiskBinomial(1,AY20)</f>
        <v>#NAME?</v>
      </c>
      <c r="BA20" s="86" t="e">
        <f ca="1">IF(AZ20=1,_xll.RiskBinomial(1,Prob_illness_Noro_infection),0)</f>
        <v>#NAME?</v>
      </c>
      <c r="BC20" s="85" t="e">
        <f t="shared" ca="1" si="41"/>
        <v>#NAME?</v>
      </c>
      <c r="BD20" s="40" t="e">
        <f ca="1">INT(BC20) + _xll.RiskBinomial(1,BC20-INT(BC20))</f>
        <v>#NAME?</v>
      </c>
      <c r="BE20" s="33" t="e">
        <f t="shared" ca="1" si="12"/>
        <v>#NAME?</v>
      </c>
      <c r="BF20" s="38" t="e">
        <f ca="1">_xll.RiskBinomial(1,BE20)</f>
        <v>#NAME?</v>
      </c>
      <c r="BG20" s="86" t="e">
        <f ca="1">IF(BF20=1,_xll.RiskBinomial(1,Prob_illness_Noro_infection),0)</f>
        <v>#NAME?</v>
      </c>
      <c r="BI20" s="85" t="e">
        <f t="shared" ca="1" si="42"/>
        <v>#NAME?</v>
      </c>
      <c r="BJ20" s="40" t="e">
        <f ca="1">INT(BI20) + _xll.RiskBinomial(1,BI20-INT(BI20))</f>
        <v>#NAME?</v>
      </c>
      <c r="BK20" s="33" t="e">
        <f t="shared" ca="1" si="13"/>
        <v>#NAME?</v>
      </c>
      <c r="BL20" s="38" t="e">
        <f ca="1">_xll.RiskBinomial(1,BK20)</f>
        <v>#NAME?</v>
      </c>
      <c r="BM20" s="86" t="e">
        <f ca="1">IF(BL20=1,_xll.RiskBinomial(1,Prob_illness_Noro_infection),0)</f>
        <v>#NAME?</v>
      </c>
      <c r="BO20" s="85" t="e">
        <f t="shared" ca="1" si="43"/>
        <v>#NAME?</v>
      </c>
      <c r="BP20" s="40" t="e">
        <f ca="1">INT(BO20) + _xll.RiskBinomial(1,BO20-INT(BO20))</f>
        <v>#NAME?</v>
      </c>
      <c r="BQ20" s="33" t="e">
        <f t="shared" ca="1" si="14"/>
        <v>#NAME?</v>
      </c>
      <c r="BR20" s="38" t="e">
        <f ca="1">_xll.RiskBinomial(1,BQ20)</f>
        <v>#NAME?</v>
      </c>
      <c r="BS20" s="86" t="e">
        <f ca="1">IF(BR20=1,_xll.RiskBinomial(1,Prob_illness_Noro_infection),0)</f>
        <v>#NAME?</v>
      </c>
      <c r="BU20" s="85" t="e">
        <f t="shared" ca="1" si="44"/>
        <v>#NAME?</v>
      </c>
      <c r="BV20" s="40" t="e">
        <f ca="1">INT(BU20) + _xll.RiskBinomial(1,BU20-INT(BU20))</f>
        <v>#NAME?</v>
      </c>
      <c r="BW20" s="33" t="e">
        <f t="shared" ca="1" si="15"/>
        <v>#NAME?</v>
      </c>
      <c r="BX20" s="38" t="e">
        <f ca="1">_xll.RiskBinomial(1,BW20)</f>
        <v>#NAME?</v>
      </c>
      <c r="BY20" s="86" t="e">
        <f ca="1">IF(BX20=1,_xll.RiskBinomial(1,Prob_illness_Noro_infection),0)</f>
        <v>#NAME?</v>
      </c>
      <c r="CA20" s="85" t="e">
        <f t="shared" ca="1" si="45"/>
        <v>#NAME?</v>
      </c>
      <c r="CB20" s="40" t="e">
        <f ca="1">INT(CA20) + _xll.RiskBinomial(1,CA20-INT(CA20))</f>
        <v>#NAME?</v>
      </c>
      <c r="CC20" s="33" t="e">
        <f t="shared" ca="1" si="16"/>
        <v>#NAME?</v>
      </c>
      <c r="CD20" s="38" t="e">
        <f ca="1">_xll.RiskBinomial(1,CC20)</f>
        <v>#NAME?</v>
      </c>
      <c r="CE20" s="86" t="e">
        <f ca="1">IF(CD20=1,_xll.RiskBinomial(1,Prob_illness_Noro_infection),0)</f>
        <v>#NAME?</v>
      </c>
      <c r="CG20" s="85" t="e">
        <f t="shared" ca="1" si="46"/>
        <v>#NAME?</v>
      </c>
      <c r="CH20" s="40" t="e">
        <f ca="1">INT(CG20) + _xll.RiskBinomial(1,CG20-INT(CG20))</f>
        <v>#NAME?</v>
      </c>
      <c r="CI20" s="33" t="e">
        <f t="shared" ca="1" si="17"/>
        <v>#NAME?</v>
      </c>
      <c r="CJ20" s="38" t="e">
        <f ca="1">_xll.RiskBinomial(1,CI20)</f>
        <v>#NAME?</v>
      </c>
      <c r="CK20" s="86" t="e">
        <f ca="1">IF(CJ20=1,_xll.RiskBinomial(1,Prob_illness_Noro_infection),0)</f>
        <v>#NAME?</v>
      </c>
      <c r="CM20" s="85" t="e">
        <f t="shared" ca="1" si="47"/>
        <v>#NAME?</v>
      </c>
      <c r="CN20" s="40" t="e">
        <f ca="1">INT(CM20) + _xll.RiskBinomial(1,CM20-INT(CM20))</f>
        <v>#NAME?</v>
      </c>
      <c r="CO20" s="33" t="e">
        <f t="shared" ca="1" si="18"/>
        <v>#NAME?</v>
      </c>
      <c r="CP20" s="38" t="e">
        <f ca="1">_xll.RiskBinomial(1,CO20)</f>
        <v>#NAME?</v>
      </c>
      <c r="CQ20" s="86" t="e">
        <f ca="1">IF(CP20=1,_xll.RiskBinomial(1,Prob_illness_Noro_infection),0)</f>
        <v>#NAME?</v>
      </c>
      <c r="CS20" s="85" t="e">
        <f t="shared" ca="1" si="48"/>
        <v>#NAME?</v>
      </c>
      <c r="CT20" s="40" t="e">
        <f ca="1">INT(CS20) + _xll.RiskBinomial(1,CS20-INT(CS20))</f>
        <v>#NAME?</v>
      </c>
      <c r="CU20" s="33" t="e">
        <f t="shared" ca="1" si="19"/>
        <v>#NAME?</v>
      </c>
      <c r="CV20" s="38" t="e">
        <f ca="1">_xll.RiskBinomial(1,CU20)</f>
        <v>#NAME?</v>
      </c>
      <c r="CW20" s="86" t="e">
        <f ca="1">IF(CV20=1,_xll.RiskBinomial(1,Prob_illness_Noro_infection),0)</f>
        <v>#NAME?</v>
      </c>
      <c r="CY20" s="85" t="e">
        <f t="shared" ca="1" si="49"/>
        <v>#NAME?</v>
      </c>
      <c r="CZ20" s="40" t="e">
        <f ca="1">INT(CY20) + _xll.RiskBinomial(1,CY20-INT(CY20))</f>
        <v>#NAME?</v>
      </c>
      <c r="DA20" s="33" t="e">
        <f t="shared" ca="1" si="20"/>
        <v>#NAME?</v>
      </c>
      <c r="DB20" s="38" t="e">
        <f ca="1">_xll.RiskBinomial(1,DA20)</f>
        <v>#NAME?</v>
      </c>
      <c r="DC20" s="86" t="e">
        <f ca="1">IF(DB20=1,_xll.RiskBinomial(1,Prob_illness_Noro_infection),0)</f>
        <v>#NAME?</v>
      </c>
      <c r="DE20" s="85" t="e">
        <f t="shared" ca="1" si="50"/>
        <v>#NAME?</v>
      </c>
      <c r="DF20" s="40" t="e">
        <f ca="1">INT(DE20) + _xll.RiskBinomial(1,DE20-INT(DE20))</f>
        <v>#NAME?</v>
      </c>
      <c r="DG20" s="33" t="e">
        <f t="shared" ca="1" si="21"/>
        <v>#NAME?</v>
      </c>
      <c r="DH20" s="38" t="e">
        <f ca="1">_xll.RiskBinomial(1,DG20)</f>
        <v>#NAME?</v>
      </c>
      <c r="DI20" s="86" t="e">
        <f ca="1">IF(DH20=1,_xll.RiskBinomial(1,Prob_illness_Noro_infection),0)</f>
        <v>#NAME?</v>
      </c>
      <c r="DK20" s="85" t="e">
        <f t="shared" ca="1" si="51"/>
        <v>#NAME?</v>
      </c>
      <c r="DL20" s="40" t="e">
        <f ca="1">INT(DK20) + _xll.RiskBinomial(1,DK20-INT(DK20))</f>
        <v>#NAME?</v>
      </c>
      <c r="DM20" s="33" t="e">
        <f t="shared" ca="1" si="22"/>
        <v>#NAME?</v>
      </c>
      <c r="DN20" s="38" t="e">
        <f ca="1">_xll.RiskBinomial(1,DM20)</f>
        <v>#NAME?</v>
      </c>
      <c r="DO20" s="86" t="e">
        <f ca="1">IF(DN20=1,_xll.RiskBinomial(1,Prob_illness_Noro_infection),0)</f>
        <v>#NAME?</v>
      </c>
      <c r="DQ20" s="85" t="e">
        <f t="shared" ca="1" si="52"/>
        <v>#NAME?</v>
      </c>
      <c r="DR20" s="40" t="e">
        <f ca="1">INT(DQ20) + _xll.RiskBinomial(1,DQ20-INT(DQ20))</f>
        <v>#NAME?</v>
      </c>
      <c r="DS20" s="33" t="e">
        <f t="shared" ca="1" si="23"/>
        <v>#NAME?</v>
      </c>
      <c r="DT20" s="38" t="e">
        <f ca="1">_xll.RiskBinomial(1,DS20)</f>
        <v>#NAME?</v>
      </c>
      <c r="DU20" s="86" t="e">
        <f ca="1">IF(DT20=1,_xll.RiskBinomial(1,Prob_illness_Noro_infection),0)</f>
        <v>#NAME?</v>
      </c>
      <c r="DW20" s="85" t="e">
        <f t="shared" ca="1" si="53"/>
        <v>#NAME?</v>
      </c>
      <c r="DX20" s="40" t="e">
        <f ca="1">INT(DW20) + _xll.RiskBinomial(1,DW20-INT(DW20))</f>
        <v>#NAME?</v>
      </c>
      <c r="DY20" s="33" t="e">
        <f t="shared" ca="1" si="24"/>
        <v>#NAME?</v>
      </c>
      <c r="DZ20" s="38" t="e">
        <f ca="1">_xll.RiskBinomial(1,DY20)</f>
        <v>#NAME?</v>
      </c>
      <c r="EA20" s="86" t="e">
        <f ca="1">IF(DZ20=1,_xll.RiskBinomial(1,Prob_illness_Noro_infection),0)</f>
        <v>#NAME?</v>
      </c>
      <c r="EC20" s="85" t="e">
        <f t="shared" ca="1" si="54"/>
        <v>#NAME?</v>
      </c>
      <c r="ED20" s="40" t="e">
        <f ca="1">INT(EC20) + _xll.RiskBinomial(1,EC20-INT(EC20))</f>
        <v>#NAME?</v>
      </c>
      <c r="EE20" s="33" t="e">
        <f t="shared" ca="1" si="25"/>
        <v>#NAME?</v>
      </c>
      <c r="EF20" s="38" t="e">
        <f ca="1">_xll.RiskBinomial(1,EE20)</f>
        <v>#NAME?</v>
      </c>
      <c r="EG20" s="86" t="e">
        <f ca="1">IF(EF20=1,_xll.RiskBinomial(1,Prob_illness_Noro_infection),0)</f>
        <v>#NAME?</v>
      </c>
      <c r="EI20" s="85" t="e">
        <f t="shared" ca="1" si="55"/>
        <v>#NAME?</v>
      </c>
      <c r="EJ20" s="40" t="e">
        <f ca="1">INT(EI20) + _xll.RiskBinomial(1,EI20-INT(EI20))</f>
        <v>#NAME?</v>
      </c>
      <c r="EK20" s="33" t="e">
        <f t="shared" ca="1" si="26"/>
        <v>#NAME?</v>
      </c>
      <c r="EL20" s="38" t="e">
        <f ca="1">_xll.RiskBinomial(1,EK20)</f>
        <v>#NAME?</v>
      </c>
      <c r="EM20" s="86" t="e">
        <f ca="1">IF(EL20=1,_xll.RiskBinomial(1,Prob_illness_Noro_infection),0)</f>
        <v>#NAME?</v>
      </c>
      <c r="EO20" s="85" t="e">
        <f t="shared" ca="1" si="56"/>
        <v>#NAME?</v>
      </c>
      <c r="EP20" s="40" t="e">
        <f ca="1">INT(EO20) + _xll.RiskBinomial(1,EO20-INT(EO20))</f>
        <v>#NAME?</v>
      </c>
      <c r="EQ20" s="33" t="e">
        <f t="shared" ca="1" si="27"/>
        <v>#NAME?</v>
      </c>
      <c r="ER20" s="38" t="e">
        <f ca="1">_xll.RiskBinomial(1,EQ20)</f>
        <v>#NAME?</v>
      </c>
      <c r="ES20" s="86" t="e">
        <f ca="1">IF(ER20=1,_xll.RiskBinomial(1,Prob_illness_Noro_infection),0)</f>
        <v>#NAME?</v>
      </c>
      <c r="EU20" s="85" t="e">
        <f t="shared" ca="1" si="57"/>
        <v>#NAME?</v>
      </c>
      <c r="EV20" s="40" t="e">
        <f ca="1">INT(EU20) + _xll.RiskBinomial(1,EU20-INT(EU20))</f>
        <v>#NAME?</v>
      </c>
      <c r="EW20" s="33" t="e">
        <f t="shared" ca="1" si="28"/>
        <v>#NAME?</v>
      </c>
      <c r="EX20" s="38" t="e">
        <f ca="1">_xll.RiskBinomial(1,EW20)</f>
        <v>#NAME?</v>
      </c>
      <c r="EY20" s="86" t="e">
        <f ca="1">IF(EX20=1,_xll.RiskBinomial(1,Prob_illness_Noro_infection),0)</f>
        <v>#NAME?</v>
      </c>
      <c r="FA20" s="85" t="e">
        <f t="shared" ca="1" si="58"/>
        <v>#NAME?</v>
      </c>
      <c r="FB20" s="40" t="e">
        <f ca="1">INT(FA20) + _xll.RiskBinomial(1,FA20-INT(FA20))</f>
        <v>#NAME?</v>
      </c>
      <c r="FC20" s="33" t="e">
        <f t="shared" ca="1" si="29"/>
        <v>#NAME?</v>
      </c>
      <c r="FD20" s="38" t="e">
        <f ca="1">_xll.RiskBinomial(1,FC20)</f>
        <v>#NAME?</v>
      </c>
      <c r="FE20" s="86" t="e">
        <f ca="1">IF(FD20=1,_xll.RiskBinomial(1,Prob_illness_Noro_infection),0)</f>
        <v>#NAME?</v>
      </c>
      <c r="FG20" s="85" t="e">
        <f t="shared" ca="1" si="59"/>
        <v>#NAME?</v>
      </c>
      <c r="FH20" s="40" t="e">
        <f ca="1">INT(FG20) + _xll.RiskBinomial(1,FG20-INT(FG20))</f>
        <v>#NAME?</v>
      </c>
      <c r="FI20" s="33" t="e">
        <f t="shared" ca="1" si="30"/>
        <v>#NAME?</v>
      </c>
      <c r="FJ20" s="38" t="e">
        <f ca="1">_xll.RiskBinomial(1,FI20)</f>
        <v>#NAME?</v>
      </c>
      <c r="FK20" s="86" t="e">
        <f ca="1">IF(FJ20=1,_xll.RiskBinomial(1,Prob_illness_Noro_infection),0)</f>
        <v>#NAME?</v>
      </c>
      <c r="FM20" s="85" t="e">
        <f t="shared" ca="1" si="60"/>
        <v>#NAME?</v>
      </c>
      <c r="FN20" s="40" t="e">
        <f ca="1">INT(FM20) + _xll.RiskBinomial(1,FM20-INT(FM20))</f>
        <v>#NAME?</v>
      </c>
      <c r="FO20" s="33" t="e">
        <f t="shared" ca="1" si="31"/>
        <v>#NAME?</v>
      </c>
      <c r="FP20" s="38" t="e">
        <f ca="1">_xll.RiskBinomial(1,FO20)</f>
        <v>#NAME?</v>
      </c>
      <c r="FQ20" s="86" t="e">
        <f ca="1">IF(FP20=1,_xll.RiskBinomial(1,Prob_illness_Noro_infection),0)</f>
        <v>#NAME?</v>
      </c>
      <c r="FS20" s="85" t="e">
        <f t="shared" ca="1" si="61"/>
        <v>#NAME?</v>
      </c>
      <c r="FT20" s="40" t="e">
        <f ca="1">INT(FS20) + _xll.RiskBinomial(1,FS20-INT(FS20))</f>
        <v>#NAME?</v>
      </c>
      <c r="FU20" s="33" t="e">
        <f t="shared" ca="1" si="32"/>
        <v>#NAME?</v>
      </c>
      <c r="FV20" s="38" t="e">
        <f ca="1">_xll.RiskBinomial(1,FU20)</f>
        <v>#NAME?</v>
      </c>
      <c r="FW20" s="86" t="e">
        <f ca="1">IF(FV20=1,_xll.RiskBinomial(1,Prob_illness_Noro_infection),0)</f>
        <v>#NAME?</v>
      </c>
      <c r="FY20" s="85" t="e">
        <f t="shared" ca="1" si="62"/>
        <v>#NAME?</v>
      </c>
      <c r="FZ20" s="40" t="e">
        <f ca="1">INT(FY20) + _xll.RiskBinomial(1,FY20-INT(FY20))</f>
        <v>#NAME?</v>
      </c>
      <c r="GA20" s="33" t="e">
        <f t="shared" ca="1" si="33"/>
        <v>#NAME?</v>
      </c>
      <c r="GB20" s="38" t="e">
        <f ca="1">_xll.RiskBinomial(1,GA20)</f>
        <v>#NAME?</v>
      </c>
      <c r="GC20" s="86" t="e">
        <f ca="1">IF(GB20=1,_xll.RiskBinomial(1,Prob_illness_Noro_infection),0)</f>
        <v>#NAME?</v>
      </c>
      <c r="GE20" s="85" t="e">
        <f t="shared" ca="1" si="63"/>
        <v>#NAME?</v>
      </c>
      <c r="GF20" s="40" t="e">
        <f ca="1">INT(GE20) + _xll.RiskBinomial(1,GE20-INT(GE20))</f>
        <v>#NAME?</v>
      </c>
      <c r="GG20" s="33" t="e">
        <f t="shared" ca="1" si="34"/>
        <v>#NAME?</v>
      </c>
      <c r="GH20" s="38" t="e">
        <f ca="1">_xll.RiskBinomial(1,GG20)</f>
        <v>#NAME?</v>
      </c>
      <c r="GI20" s="86" t="e">
        <f ca="1">IF(GH20=1,_xll.RiskBinomial(1,Prob_illness_Noro_infection),0)</f>
        <v>#NAME?</v>
      </c>
      <c r="GK20" s="85" t="e">
        <f t="shared" ca="1" si="64"/>
        <v>#NAME?</v>
      </c>
      <c r="GL20" s="40" t="e">
        <f ca="1">INT(GK20) + _xll.RiskBinomial(1,GK20-INT(GK20))</f>
        <v>#NAME?</v>
      </c>
      <c r="GM20" s="33" t="e">
        <f t="shared" ca="1" si="35"/>
        <v>#NAME?</v>
      </c>
      <c r="GN20" s="38" t="e">
        <f ca="1">_xll.RiskBinomial(1,GM20)</f>
        <v>#NAME?</v>
      </c>
      <c r="GO20" s="86" t="e">
        <f ca="1">IF(GN20=1,_xll.RiskBinomial(1,Prob_illness_Noro_infection),0)</f>
        <v>#NAME?</v>
      </c>
    </row>
    <row r="21" spans="2:197" x14ac:dyDescent="0.25">
      <c r="B21" s="106">
        <v>13</v>
      </c>
      <c r="C21" s="109" t="e">
        <f ca="1" xml:space="preserve"> _xll.RiskPert(Dur_Swim_hours_min,Dur_Swim_hours_mode,Dur_Swim_hours_max)</f>
        <v>#NAME?</v>
      </c>
      <c r="D21" s="33" t="e">
        <f ca="1">_xll.RiskLognorm(Primary_Ing_Rate_mL_per_hour_mean,Primary_Ing_Rate_mL_per_hour_sd, _xll.RiskTruncate(Primary_Ing_Rate_mL_per_hour_min,Primary_Ing_Rate_mL_per_hour_max))</f>
        <v>#NAME?</v>
      </c>
      <c r="E21" s="41" t="e">
        <f t="shared" ca="1" si="36"/>
        <v>#NAME?</v>
      </c>
      <c r="F21" s="33"/>
      <c r="G21" s="85" t="e">
        <f t="shared" ca="1" si="37"/>
        <v>#NAME?</v>
      </c>
      <c r="H21" s="40" t="e">
        <f ca="1">INT(G21) + _xll.RiskBinomial(1,G21-INT(G21))</f>
        <v>#NAME?</v>
      </c>
      <c r="I21" s="33" t="e">
        <f t="shared" ca="1" si="0"/>
        <v>#NAME?</v>
      </c>
      <c r="J21" s="38" t="e">
        <f ca="1">_xll.RiskBinomial(1,I21)</f>
        <v>#NAME?</v>
      </c>
      <c r="K21" s="86" t="e">
        <f ca="1">IF(J21=1,_xll.RiskBinomial(1,Prob_illness_Noro_infection),0)</f>
        <v>#NAME?</v>
      </c>
      <c r="L21" s="33"/>
      <c r="M21" s="85" t="e">
        <f t="shared" ca="1" si="38"/>
        <v>#NAME?</v>
      </c>
      <c r="N21" s="40" t="e">
        <f ca="1">INT(M21) + _xll.RiskBinomial(1,M21-INT(M21))</f>
        <v>#NAME?</v>
      </c>
      <c r="O21" s="33" t="e">
        <f t="shared" ca="1" si="1"/>
        <v>#NAME?</v>
      </c>
      <c r="P21" s="38" t="e">
        <f ca="1">_xll.RiskBinomial(1,O21)</f>
        <v>#NAME?</v>
      </c>
      <c r="Q21" s="86" t="e">
        <f ca="1">IF(P21=1,_xll.RiskBinomial(1,Prob_illness_Noro_infection),0)</f>
        <v>#NAME?</v>
      </c>
      <c r="R21" s="33"/>
      <c r="S21" s="85" t="e">
        <f t="shared" ca="1" si="39"/>
        <v>#NAME?</v>
      </c>
      <c r="T21" s="40" t="e">
        <f ca="1">INT(S21) + _xll.RiskBinomial(1,S21-INT(S21))</f>
        <v>#NAME?</v>
      </c>
      <c r="U21" s="33" t="e">
        <f t="shared" ca="1" si="2"/>
        <v>#NAME?</v>
      </c>
      <c r="V21" s="38" t="e">
        <f ca="1">_xll.RiskBinomial(1,U21)</f>
        <v>#NAME?</v>
      </c>
      <c r="W21" s="86" t="e">
        <f ca="1">IF(V21=1,_xll.RiskBinomial(1,Prob_illness_Noro_infection),0)</f>
        <v>#NAME?</v>
      </c>
      <c r="X21" s="33"/>
      <c r="Y21" s="85" t="e">
        <f t="shared" ca="1" si="3"/>
        <v>#NAME?</v>
      </c>
      <c r="Z21" s="40" t="e">
        <f ca="1">INT(Y21) + _xll.RiskBinomial(1,Y21-INT(Y21))</f>
        <v>#NAME?</v>
      </c>
      <c r="AA21" s="33" t="e">
        <f t="shared" ca="1" si="4"/>
        <v>#NAME?</v>
      </c>
      <c r="AB21" s="38" t="e">
        <f ca="1">_xll.RiskBinomial(1,AA21)</f>
        <v>#NAME?</v>
      </c>
      <c r="AC21" s="86" t="e">
        <f ca="1">IF(AB21=1,_xll.RiskBinomial(1,Prob_illness_Noro_infection),0)</f>
        <v>#NAME?</v>
      </c>
      <c r="AD21" s="33"/>
      <c r="AE21" s="85" t="e">
        <f t="shared" ca="1" si="5"/>
        <v>#NAME?</v>
      </c>
      <c r="AF21" s="40" t="e">
        <f ca="1">INT(AE21) + _xll.RiskBinomial(1,AE21-INT(AE21))</f>
        <v>#NAME?</v>
      </c>
      <c r="AG21" s="33" t="e">
        <f t="shared" ca="1" si="6"/>
        <v>#NAME?</v>
      </c>
      <c r="AH21" s="38" t="e">
        <f ca="1">_xll.RiskBinomial(1,AG21)</f>
        <v>#NAME?</v>
      </c>
      <c r="AI21" s="86" t="e">
        <f ca="1">IF(AH21=1,_xll.RiskBinomial(1,Prob_illness_Noro_infection),0)</f>
        <v>#NAME?</v>
      </c>
      <c r="AJ21" s="33"/>
      <c r="AK21" s="85" t="e">
        <f t="shared" ca="1" si="7"/>
        <v>#NAME?</v>
      </c>
      <c r="AL21" s="40" t="e">
        <f ca="1">INT(AK21) + _xll.RiskBinomial(1,AK21-INT(AK21))</f>
        <v>#NAME?</v>
      </c>
      <c r="AM21" s="33" t="e">
        <f t="shared" ca="1" si="8"/>
        <v>#NAME?</v>
      </c>
      <c r="AN21" s="38" t="e">
        <f ca="1">_xll.RiskBinomial(1,AM21)</f>
        <v>#NAME?</v>
      </c>
      <c r="AO21" s="86" t="e">
        <f ca="1">IF(AN21=1,_xll.RiskBinomial(1,Prob_illness_Noro_infection),0)</f>
        <v>#NAME?</v>
      </c>
      <c r="AP21" s="33"/>
      <c r="AQ21" s="85" t="e">
        <f t="shared" ca="1" si="9"/>
        <v>#NAME?</v>
      </c>
      <c r="AR21" s="40" t="e">
        <f ca="1">INT(AQ21) + _xll.RiskBinomial(1,AQ21-INT(AQ21))</f>
        <v>#NAME?</v>
      </c>
      <c r="AS21" s="33" t="e">
        <f t="shared" ca="1" si="10"/>
        <v>#NAME?</v>
      </c>
      <c r="AT21" s="38" t="e">
        <f ca="1">_xll.RiskBinomial(1,AS21)</f>
        <v>#NAME?</v>
      </c>
      <c r="AU21" s="86" t="e">
        <f ca="1">IF(AT21=1,_xll.RiskBinomial(1,Prob_illness_Noro_infection),0)</f>
        <v>#NAME?</v>
      </c>
      <c r="AV21" s="33"/>
      <c r="AW21" s="85" t="e">
        <f t="shared" ca="1" si="40"/>
        <v>#NAME?</v>
      </c>
      <c r="AX21" s="40" t="e">
        <f ca="1">INT(AW21) + _xll.RiskBinomial(1,AW21-INT(AW21))</f>
        <v>#NAME?</v>
      </c>
      <c r="AY21" s="33" t="e">
        <f t="shared" ca="1" si="11"/>
        <v>#NAME?</v>
      </c>
      <c r="AZ21" s="38" t="e">
        <f ca="1">_xll.RiskBinomial(1,AY21)</f>
        <v>#NAME?</v>
      </c>
      <c r="BA21" s="86" t="e">
        <f ca="1">IF(AZ21=1,_xll.RiskBinomial(1,Prob_illness_Noro_infection),0)</f>
        <v>#NAME?</v>
      </c>
      <c r="BC21" s="85" t="e">
        <f t="shared" ca="1" si="41"/>
        <v>#NAME?</v>
      </c>
      <c r="BD21" s="40" t="e">
        <f ca="1">INT(BC21) + _xll.RiskBinomial(1,BC21-INT(BC21))</f>
        <v>#NAME?</v>
      </c>
      <c r="BE21" s="33" t="e">
        <f t="shared" ca="1" si="12"/>
        <v>#NAME?</v>
      </c>
      <c r="BF21" s="38" t="e">
        <f ca="1">_xll.RiskBinomial(1,BE21)</f>
        <v>#NAME?</v>
      </c>
      <c r="BG21" s="86" t="e">
        <f ca="1">IF(BF21=1,_xll.RiskBinomial(1,Prob_illness_Noro_infection),0)</f>
        <v>#NAME?</v>
      </c>
      <c r="BI21" s="85" t="e">
        <f t="shared" ca="1" si="42"/>
        <v>#NAME?</v>
      </c>
      <c r="BJ21" s="40" t="e">
        <f ca="1">INT(BI21) + _xll.RiskBinomial(1,BI21-INT(BI21))</f>
        <v>#NAME?</v>
      </c>
      <c r="BK21" s="33" t="e">
        <f t="shared" ca="1" si="13"/>
        <v>#NAME?</v>
      </c>
      <c r="BL21" s="38" t="e">
        <f ca="1">_xll.RiskBinomial(1,BK21)</f>
        <v>#NAME?</v>
      </c>
      <c r="BM21" s="86" t="e">
        <f ca="1">IF(BL21=1,_xll.RiskBinomial(1,Prob_illness_Noro_infection),0)</f>
        <v>#NAME?</v>
      </c>
      <c r="BO21" s="85" t="e">
        <f t="shared" ca="1" si="43"/>
        <v>#NAME?</v>
      </c>
      <c r="BP21" s="40" t="e">
        <f ca="1">INT(BO21) + _xll.RiskBinomial(1,BO21-INT(BO21))</f>
        <v>#NAME?</v>
      </c>
      <c r="BQ21" s="33" t="e">
        <f t="shared" ca="1" si="14"/>
        <v>#NAME?</v>
      </c>
      <c r="BR21" s="38" t="e">
        <f ca="1">_xll.RiskBinomial(1,BQ21)</f>
        <v>#NAME?</v>
      </c>
      <c r="BS21" s="86" t="e">
        <f ca="1">IF(BR21=1,_xll.RiskBinomial(1,Prob_illness_Noro_infection),0)</f>
        <v>#NAME?</v>
      </c>
      <c r="BU21" s="85" t="e">
        <f t="shared" ca="1" si="44"/>
        <v>#NAME?</v>
      </c>
      <c r="BV21" s="40" t="e">
        <f ca="1">INT(BU21) + _xll.RiskBinomial(1,BU21-INT(BU21))</f>
        <v>#NAME?</v>
      </c>
      <c r="BW21" s="33" t="e">
        <f t="shared" ca="1" si="15"/>
        <v>#NAME?</v>
      </c>
      <c r="BX21" s="38" t="e">
        <f ca="1">_xll.RiskBinomial(1,BW21)</f>
        <v>#NAME?</v>
      </c>
      <c r="BY21" s="86" t="e">
        <f ca="1">IF(BX21=1,_xll.RiskBinomial(1,Prob_illness_Noro_infection),0)</f>
        <v>#NAME?</v>
      </c>
      <c r="CA21" s="85" t="e">
        <f t="shared" ca="1" si="45"/>
        <v>#NAME?</v>
      </c>
      <c r="CB21" s="40" t="e">
        <f ca="1">INT(CA21) + _xll.RiskBinomial(1,CA21-INT(CA21))</f>
        <v>#NAME?</v>
      </c>
      <c r="CC21" s="33" t="e">
        <f t="shared" ca="1" si="16"/>
        <v>#NAME?</v>
      </c>
      <c r="CD21" s="38" t="e">
        <f ca="1">_xll.RiskBinomial(1,CC21)</f>
        <v>#NAME?</v>
      </c>
      <c r="CE21" s="86" t="e">
        <f ca="1">IF(CD21=1,_xll.RiskBinomial(1,Prob_illness_Noro_infection),0)</f>
        <v>#NAME?</v>
      </c>
      <c r="CG21" s="85" t="e">
        <f t="shared" ca="1" si="46"/>
        <v>#NAME?</v>
      </c>
      <c r="CH21" s="40" t="e">
        <f ca="1">INT(CG21) + _xll.RiskBinomial(1,CG21-INT(CG21))</f>
        <v>#NAME?</v>
      </c>
      <c r="CI21" s="33" t="e">
        <f t="shared" ca="1" si="17"/>
        <v>#NAME?</v>
      </c>
      <c r="CJ21" s="38" t="e">
        <f ca="1">_xll.RiskBinomial(1,CI21)</f>
        <v>#NAME?</v>
      </c>
      <c r="CK21" s="86" t="e">
        <f ca="1">IF(CJ21=1,_xll.RiskBinomial(1,Prob_illness_Noro_infection),0)</f>
        <v>#NAME?</v>
      </c>
      <c r="CM21" s="85" t="e">
        <f t="shared" ca="1" si="47"/>
        <v>#NAME?</v>
      </c>
      <c r="CN21" s="40" t="e">
        <f ca="1">INT(CM21) + _xll.RiskBinomial(1,CM21-INT(CM21))</f>
        <v>#NAME?</v>
      </c>
      <c r="CO21" s="33" t="e">
        <f t="shared" ca="1" si="18"/>
        <v>#NAME?</v>
      </c>
      <c r="CP21" s="38" t="e">
        <f ca="1">_xll.RiskBinomial(1,CO21)</f>
        <v>#NAME?</v>
      </c>
      <c r="CQ21" s="86" t="e">
        <f ca="1">IF(CP21=1,_xll.RiskBinomial(1,Prob_illness_Noro_infection),0)</f>
        <v>#NAME?</v>
      </c>
      <c r="CS21" s="85" t="e">
        <f t="shared" ca="1" si="48"/>
        <v>#NAME?</v>
      </c>
      <c r="CT21" s="40" t="e">
        <f ca="1">INT(CS21) + _xll.RiskBinomial(1,CS21-INT(CS21))</f>
        <v>#NAME?</v>
      </c>
      <c r="CU21" s="33" t="e">
        <f t="shared" ca="1" si="19"/>
        <v>#NAME?</v>
      </c>
      <c r="CV21" s="38" t="e">
        <f ca="1">_xll.RiskBinomial(1,CU21)</f>
        <v>#NAME?</v>
      </c>
      <c r="CW21" s="86" t="e">
        <f ca="1">IF(CV21=1,_xll.RiskBinomial(1,Prob_illness_Noro_infection),0)</f>
        <v>#NAME?</v>
      </c>
      <c r="CY21" s="85" t="e">
        <f t="shared" ca="1" si="49"/>
        <v>#NAME?</v>
      </c>
      <c r="CZ21" s="40" t="e">
        <f ca="1">INT(CY21) + _xll.RiskBinomial(1,CY21-INT(CY21))</f>
        <v>#NAME?</v>
      </c>
      <c r="DA21" s="33" t="e">
        <f t="shared" ca="1" si="20"/>
        <v>#NAME?</v>
      </c>
      <c r="DB21" s="38" t="e">
        <f ca="1">_xll.RiskBinomial(1,DA21)</f>
        <v>#NAME?</v>
      </c>
      <c r="DC21" s="86" t="e">
        <f ca="1">IF(DB21=1,_xll.RiskBinomial(1,Prob_illness_Noro_infection),0)</f>
        <v>#NAME?</v>
      </c>
      <c r="DE21" s="85" t="e">
        <f t="shared" ca="1" si="50"/>
        <v>#NAME?</v>
      </c>
      <c r="DF21" s="40" t="e">
        <f ca="1">INT(DE21) + _xll.RiskBinomial(1,DE21-INT(DE21))</f>
        <v>#NAME?</v>
      </c>
      <c r="DG21" s="33" t="e">
        <f t="shared" ca="1" si="21"/>
        <v>#NAME?</v>
      </c>
      <c r="DH21" s="38" t="e">
        <f ca="1">_xll.RiskBinomial(1,DG21)</f>
        <v>#NAME?</v>
      </c>
      <c r="DI21" s="86" t="e">
        <f ca="1">IF(DH21=1,_xll.RiskBinomial(1,Prob_illness_Noro_infection),0)</f>
        <v>#NAME?</v>
      </c>
      <c r="DK21" s="85" t="e">
        <f t="shared" ca="1" si="51"/>
        <v>#NAME?</v>
      </c>
      <c r="DL21" s="40" t="e">
        <f ca="1">INT(DK21) + _xll.RiskBinomial(1,DK21-INT(DK21))</f>
        <v>#NAME?</v>
      </c>
      <c r="DM21" s="33" t="e">
        <f t="shared" ca="1" si="22"/>
        <v>#NAME?</v>
      </c>
      <c r="DN21" s="38" t="e">
        <f ca="1">_xll.RiskBinomial(1,DM21)</f>
        <v>#NAME?</v>
      </c>
      <c r="DO21" s="86" t="e">
        <f ca="1">IF(DN21=1,_xll.RiskBinomial(1,Prob_illness_Noro_infection),0)</f>
        <v>#NAME?</v>
      </c>
      <c r="DQ21" s="85" t="e">
        <f t="shared" ca="1" si="52"/>
        <v>#NAME?</v>
      </c>
      <c r="DR21" s="40" t="e">
        <f ca="1">INT(DQ21) + _xll.RiskBinomial(1,DQ21-INT(DQ21))</f>
        <v>#NAME?</v>
      </c>
      <c r="DS21" s="33" t="e">
        <f t="shared" ca="1" si="23"/>
        <v>#NAME?</v>
      </c>
      <c r="DT21" s="38" t="e">
        <f ca="1">_xll.RiskBinomial(1,DS21)</f>
        <v>#NAME?</v>
      </c>
      <c r="DU21" s="86" t="e">
        <f ca="1">IF(DT21=1,_xll.RiskBinomial(1,Prob_illness_Noro_infection),0)</f>
        <v>#NAME?</v>
      </c>
      <c r="DW21" s="85" t="e">
        <f t="shared" ca="1" si="53"/>
        <v>#NAME?</v>
      </c>
      <c r="DX21" s="40" t="e">
        <f ca="1">INT(DW21) + _xll.RiskBinomial(1,DW21-INT(DW21))</f>
        <v>#NAME?</v>
      </c>
      <c r="DY21" s="33" t="e">
        <f t="shared" ca="1" si="24"/>
        <v>#NAME?</v>
      </c>
      <c r="DZ21" s="38" t="e">
        <f ca="1">_xll.RiskBinomial(1,DY21)</f>
        <v>#NAME?</v>
      </c>
      <c r="EA21" s="86" t="e">
        <f ca="1">IF(DZ21=1,_xll.RiskBinomial(1,Prob_illness_Noro_infection),0)</f>
        <v>#NAME?</v>
      </c>
      <c r="EC21" s="85" t="e">
        <f t="shared" ca="1" si="54"/>
        <v>#NAME?</v>
      </c>
      <c r="ED21" s="40" t="e">
        <f ca="1">INT(EC21) + _xll.RiskBinomial(1,EC21-INT(EC21))</f>
        <v>#NAME?</v>
      </c>
      <c r="EE21" s="33" t="e">
        <f t="shared" ca="1" si="25"/>
        <v>#NAME?</v>
      </c>
      <c r="EF21" s="38" t="e">
        <f ca="1">_xll.RiskBinomial(1,EE21)</f>
        <v>#NAME?</v>
      </c>
      <c r="EG21" s="86" t="e">
        <f ca="1">IF(EF21=1,_xll.RiskBinomial(1,Prob_illness_Noro_infection),0)</f>
        <v>#NAME?</v>
      </c>
      <c r="EI21" s="85" t="e">
        <f t="shared" ca="1" si="55"/>
        <v>#NAME?</v>
      </c>
      <c r="EJ21" s="40" t="e">
        <f ca="1">INT(EI21) + _xll.RiskBinomial(1,EI21-INT(EI21))</f>
        <v>#NAME?</v>
      </c>
      <c r="EK21" s="33" t="e">
        <f t="shared" ca="1" si="26"/>
        <v>#NAME?</v>
      </c>
      <c r="EL21" s="38" t="e">
        <f ca="1">_xll.RiskBinomial(1,EK21)</f>
        <v>#NAME?</v>
      </c>
      <c r="EM21" s="86" t="e">
        <f ca="1">IF(EL21=1,_xll.RiskBinomial(1,Prob_illness_Noro_infection),0)</f>
        <v>#NAME?</v>
      </c>
      <c r="EO21" s="85" t="e">
        <f t="shared" ca="1" si="56"/>
        <v>#NAME?</v>
      </c>
      <c r="EP21" s="40" t="e">
        <f ca="1">INT(EO21) + _xll.RiskBinomial(1,EO21-INT(EO21))</f>
        <v>#NAME?</v>
      </c>
      <c r="EQ21" s="33" t="e">
        <f t="shared" ca="1" si="27"/>
        <v>#NAME?</v>
      </c>
      <c r="ER21" s="38" t="e">
        <f ca="1">_xll.RiskBinomial(1,EQ21)</f>
        <v>#NAME?</v>
      </c>
      <c r="ES21" s="86" t="e">
        <f ca="1">IF(ER21=1,_xll.RiskBinomial(1,Prob_illness_Noro_infection),0)</f>
        <v>#NAME?</v>
      </c>
      <c r="EU21" s="85" t="e">
        <f t="shared" ca="1" si="57"/>
        <v>#NAME?</v>
      </c>
      <c r="EV21" s="40" t="e">
        <f ca="1">INT(EU21) + _xll.RiskBinomial(1,EU21-INT(EU21))</f>
        <v>#NAME?</v>
      </c>
      <c r="EW21" s="33" t="e">
        <f t="shared" ca="1" si="28"/>
        <v>#NAME?</v>
      </c>
      <c r="EX21" s="38" t="e">
        <f ca="1">_xll.RiskBinomial(1,EW21)</f>
        <v>#NAME?</v>
      </c>
      <c r="EY21" s="86" t="e">
        <f ca="1">IF(EX21=1,_xll.RiskBinomial(1,Prob_illness_Noro_infection),0)</f>
        <v>#NAME?</v>
      </c>
      <c r="FA21" s="85" t="e">
        <f t="shared" ca="1" si="58"/>
        <v>#NAME?</v>
      </c>
      <c r="FB21" s="40" t="e">
        <f ca="1">INT(FA21) + _xll.RiskBinomial(1,FA21-INT(FA21))</f>
        <v>#NAME?</v>
      </c>
      <c r="FC21" s="33" t="e">
        <f t="shared" ca="1" si="29"/>
        <v>#NAME?</v>
      </c>
      <c r="FD21" s="38" t="e">
        <f ca="1">_xll.RiskBinomial(1,FC21)</f>
        <v>#NAME?</v>
      </c>
      <c r="FE21" s="86" t="e">
        <f ca="1">IF(FD21=1,_xll.RiskBinomial(1,Prob_illness_Noro_infection),0)</f>
        <v>#NAME?</v>
      </c>
      <c r="FG21" s="85" t="e">
        <f t="shared" ca="1" si="59"/>
        <v>#NAME?</v>
      </c>
      <c r="FH21" s="40" t="e">
        <f ca="1">INT(FG21) + _xll.RiskBinomial(1,FG21-INT(FG21))</f>
        <v>#NAME?</v>
      </c>
      <c r="FI21" s="33" t="e">
        <f t="shared" ca="1" si="30"/>
        <v>#NAME?</v>
      </c>
      <c r="FJ21" s="38" t="e">
        <f ca="1">_xll.RiskBinomial(1,FI21)</f>
        <v>#NAME?</v>
      </c>
      <c r="FK21" s="86" t="e">
        <f ca="1">IF(FJ21=1,_xll.RiskBinomial(1,Prob_illness_Noro_infection),0)</f>
        <v>#NAME?</v>
      </c>
      <c r="FM21" s="85" t="e">
        <f t="shared" ca="1" si="60"/>
        <v>#NAME?</v>
      </c>
      <c r="FN21" s="40" t="e">
        <f ca="1">INT(FM21) + _xll.RiskBinomial(1,FM21-INT(FM21))</f>
        <v>#NAME?</v>
      </c>
      <c r="FO21" s="33" t="e">
        <f t="shared" ca="1" si="31"/>
        <v>#NAME?</v>
      </c>
      <c r="FP21" s="38" t="e">
        <f ca="1">_xll.RiskBinomial(1,FO21)</f>
        <v>#NAME?</v>
      </c>
      <c r="FQ21" s="86" t="e">
        <f ca="1">IF(FP21=1,_xll.RiskBinomial(1,Prob_illness_Noro_infection),0)</f>
        <v>#NAME?</v>
      </c>
      <c r="FS21" s="85" t="e">
        <f t="shared" ca="1" si="61"/>
        <v>#NAME?</v>
      </c>
      <c r="FT21" s="40" t="e">
        <f ca="1">INT(FS21) + _xll.RiskBinomial(1,FS21-INT(FS21))</f>
        <v>#NAME?</v>
      </c>
      <c r="FU21" s="33" t="e">
        <f t="shared" ca="1" si="32"/>
        <v>#NAME?</v>
      </c>
      <c r="FV21" s="38" t="e">
        <f ca="1">_xll.RiskBinomial(1,FU21)</f>
        <v>#NAME?</v>
      </c>
      <c r="FW21" s="86" t="e">
        <f ca="1">IF(FV21=1,_xll.RiskBinomial(1,Prob_illness_Noro_infection),0)</f>
        <v>#NAME?</v>
      </c>
      <c r="FY21" s="85" t="e">
        <f t="shared" ca="1" si="62"/>
        <v>#NAME?</v>
      </c>
      <c r="FZ21" s="40" t="e">
        <f ca="1">INT(FY21) + _xll.RiskBinomial(1,FY21-INT(FY21))</f>
        <v>#NAME?</v>
      </c>
      <c r="GA21" s="33" t="e">
        <f t="shared" ca="1" si="33"/>
        <v>#NAME?</v>
      </c>
      <c r="GB21" s="38" t="e">
        <f ca="1">_xll.RiskBinomial(1,GA21)</f>
        <v>#NAME?</v>
      </c>
      <c r="GC21" s="86" t="e">
        <f ca="1">IF(GB21=1,_xll.RiskBinomial(1,Prob_illness_Noro_infection),0)</f>
        <v>#NAME?</v>
      </c>
      <c r="GE21" s="85" t="e">
        <f t="shared" ca="1" si="63"/>
        <v>#NAME?</v>
      </c>
      <c r="GF21" s="40" t="e">
        <f ca="1">INT(GE21) + _xll.RiskBinomial(1,GE21-INT(GE21))</f>
        <v>#NAME?</v>
      </c>
      <c r="GG21" s="33" t="e">
        <f t="shared" ca="1" si="34"/>
        <v>#NAME?</v>
      </c>
      <c r="GH21" s="38" t="e">
        <f ca="1">_xll.RiskBinomial(1,GG21)</f>
        <v>#NAME?</v>
      </c>
      <c r="GI21" s="86" t="e">
        <f ca="1">IF(GH21=1,_xll.RiskBinomial(1,Prob_illness_Noro_infection),0)</f>
        <v>#NAME?</v>
      </c>
      <c r="GK21" s="85" t="e">
        <f t="shared" ca="1" si="64"/>
        <v>#NAME?</v>
      </c>
      <c r="GL21" s="40" t="e">
        <f ca="1">INT(GK21) + _xll.RiskBinomial(1,GK21-INT(GK21))</f>
        <v>#NAME?</v>
      </c>
      <c r="GM21" s="33" t="e">
        <f t="shared" ca="1" si="35"/>
        <v>#NAME?</v>
      </c>
      <c r="GN21" s="38" t="e">
        <f ca="1">_xll.RiskBinomial(1,GM21)</f>
        <v>#NAME?</v>
      </c>
      <c r="GO21" s="86" t="e">
        <f ca="1">IF(GN21=1,_xll.RiskBinomial(1,Prob_illness_Noro_infection),0)</f>
        <v>#NAME?</v>
      </c>
    </row>
    <row r="22" spans="2:197" x14ac:dyDescent="0.25">
      <c r="B22" s="106">
        <v>14</v>
      </c>
      <c r="C22" s="109" t="e">
        <f ca="1" xml:space="preserve"> _xll.RiskPert(Dur_Swim_hours_min,Dur_Swim_hours_mode,Dur_Swim_hours_max)</f>
        <v>#NAME?</v>
      </c>
      <c r="D22" s="33" t="e">
        <f ca="1">_xll.RiskLognorm(Primary_Ing_Rate_mL_per_hour_mean,Primary_Ing_Rate_mL_per_hour_sd, _xll.RiskTruncate(Primary_Ing_Rate_mL_per_hour_min,Primary_Ing_Rate_mL_per_hour_max))</f>
        <v>#NAME?</v>
      </c>
      <c r="E22" s="41" t="e">
        <f t="shared" ca="1" si="36"/>
        <v>#NAME?</v>
      </c>
      <c r="F22" s="33"/>
      <c r="G22" s="85" t="e">
        <f t="shared" ca="1" si="37"/>
        <v>#NAME?</v>
      </c>
      <c r="H22" s="40" t="e">
        <f ca="1">INT(G22) + _xll.RiskBinomial(1,G22-INT(G22))</f>
        <v>#NAME?</v>
      </c>
      <c r="I22" s="33" t="e">
        <f t="shared" ca="1" si="0"/>
        <v>#NAME?</v>
      </c>
      <c r="J22" s="38" t="e">
        <f ca="1">_xll.RiskBinomial(1,I22)</f>
        <v>#NAME?</v>
      </c>
      <c r="K22" s="86" t="e">
        <f ca="1">IF(J22=1,_xll.RiskBinomial(1,Prob_illness_Noro_infection),0)</f>
        <v>#NAME?</v>
      </c>
      <c r="L22" s="33"/>
      <c r="M22" s="85" t="e">
        <f t="shared" ca="1" si="38"/>
        <v>#NAME?</v>
      </c>
      <c r="N22" s="40" t="e">
        <f ca="1">INT(M22) + _xll.RiskBinomial(1,M22-INT(M22))</f>
        <v>#NAME?</v>
      </c>
      <c r="O22" s="33" t="e">
        <f t="shared" ca="1" si="1"/>
        <v>#NAME?</v>
      </c>
      <c r="P22" s="38" t="e">
        <f ca="1">_xll.RiskBinomial(1,O22)</f>
        <v>#NAME?</v>
      </c>
      <c r="Q22" s="86" t="e">
        <f ca="1">IF(P22=1,_xll.RiskBinomial(1,Prob_illness_Noro_infection),0)</f>
        <v>#NAME?</v>
      </c>
      <c r="R22" s="33"/>
      <c r="S22" s="85" t="e">
        <f t="shared" ca="1" si="39"/>
        <v>#NAME?</v>
      </c>
      <c r="T22" s="40" t="e">
        <f ca="1">INT(S22) + _xll.RiskBinomial(1,S22-INT(S22))</f>
        <v>#NAME?</v>
      </c>
      <c r="U22" s="33" t="e">
        <f t="shared" ca="1" si="2"/>
        <v>#NAME?</v>
      </c>
      <c r="V22" s="38" t="e">
        <f ca="1">_xll.RiskBinomial(1,U22)</f>
        <v>#NAME?</v>
      </c>
      <c r="W22" s="86" t="e">
        <f ca="1">IF(V22=1,_xll.RiskBinomial(1,Prob_illness_Noro_infection),0)</f>
        <v>#NAME?</v>
      </c>
      <c r="X22" s="33"/>
      <c r="Y22" s="85" t="e">
        <f t="shared" ca="1" si="3"/>
        <v>#NAME?</v>
      </c>
      <c r="Z22" s="40" t="e">
        <f ca="1">INT(Y22) + _xll.RiskBinomial(1,Y22-INT(Y22))</f>
        <v>#NAME?</v>
      </c>
      <c r="AA22" s="33" t="e">
        <f t="shared" ca="1" si="4"/>
        <v>#NAME?</v>
      </c>
      <c r="AB22" s="38" t="e">
        <f ca="1">_xll.RiskBinomial(1,AA22)</f>
        <v>#NAME?</v>
      </c>
      <c r="AC22" s="86" t="e">
        <f ca="1">IF(AB22=1,_xll.RiskBinomial(1,Prob_illness_Noro_infection),0)</f>
        <v>#NAME?</v>
      </c>
      <c r="AD22" s="33"/>
      <c r="AE22" s="85" t="e">
        <f t="shared" ca="1" si="5"/>
        <v>#NAME?</v>
      </c>
      <c r="AF22" s="40" t="e">
        <f ca="1">INT(AE22) + _xll.RiskBinomial(1,AE22-INT(AE22))</f>
        <v>#NAME?</v>
      </c>
      <c r="AG22" s="33" t="e">
        <f t="shared" ca="1" si="6"/>
        <v>#NAME?</v>
      </c>
      <c r="AH22" s="38" t="e">
        <f ca="1">_xll.RiskBinomial(1,AG22)</f>
        <v>#NAME?</v>
      </c>
      <c r="AI22" s="86" t="e">
        <f ca="1">IF(AH22=1,_xll.RiskBinomial(1,Prob_illness_Noro_infection),0)</f>
        <v>#NAME?</v>
      </c>
      <c r="AJ22" s="33"/>
      <c r="AK22" s="85" t="e">
        <f t="shared" ca="1" si="7"/>
        <v>#NAME?</v>
      </c>
      <c r="AL22" s="40" t="e">
        <f ca="1">INT(AK22) + _xll.RiskBinomial(1,AK22-INT(AK22))</f>
        <v>#NAME?</v>
      </c>
      <c r="AM22" s="33" t="e">
        <f t="shared" ca="1" si="8"/>
        <v>#NAME?</v>
      </c>
      <c r="AN22" s="38" t="e">
        <f ca="1">_xll.RiskBinomial(1,AM22)</f>
        <v>#NAME?</v>
      </c>
      <c r="AO22" s="86" t="e">
        <f ca="1">IF(AN22=1,_xll.RiskBinomial(1,Prob_illness_Noro_infection),0)</f>
        <v>#NAME?</v>
      </c>
      <c r="AP22" s="33"/>
      <c r="AQ22" s="85" t="e">
        <f t="shared" ca="1" si="9"/>
        <v>#NAME?</v>
      </c>
      <c r="AR22" s="40" t="e">
        <f ca="1">INT(AQ22) + _xll.RiskBinomial(1,AQ22-INT(AQ22))</f>
        <v>#NAME?</v>
      </c>
      <c r="AS22" s="33" t="e">
        <f t="shared" ca="1" si="10"/>
        <v>#NAME?</v>
      </c>
      <c r="AT22" s="38" t="e">
        <f ca="1">_xll.RiskBinomial(1,AS22)</f>
        <v>#NAME?</v>
      </c>
      <c r="AU22" s="86" t="e">
        <f ca="1">IF(AT22=1,_xll.RiskBinomial(1,Prob_illness_Noro_infection),0)</f>
        <v>#NAME?</v>
      </c>
      <c r="AV22" s="33"/>
      <c r="AW22" s="85" t="e">
        <f t="shared" ca="1" si="40"/>
        <v>#NAME?</v>
      </c>
      <c r="AX22" s="40" t="e">
        <f ca="1">INT(AW22) + _xll.RiskBinomial(1,AW22-INT(AW22))</f>
        <v>#NAME?</v>
      </c>
      <c r="AY22" s="33" t="e">
        <f t="shared" ca="1" si="11"/>
        <v>#NAME?</v>
      </c>
      <c r="AZ22" s="38" t="e">
        <f ca="1">_xll.RiskBinomial(1,AY22)</f>
        <v>#NAME?</v>
      </c>
      <c r="BA22" s="86" t="e">
        <f ca="1">IF(AZ22=1,_xll.RiskBinomial(1,Prob_illness_Noro_infection),0)</f>
        <v>#NAME?</v>
      </c>
      <c r="BC22" s="85" t="e">
        <f t="shared" ca="1" si="41"/>
        <v>#NAME?</v>
      </c>
      <c r="BD22" s="40" t="e">
        <f ca="1">INT(BC22) + _xll.RiskBinomial(1,BC22-INT(BC22))</f>
        <v>#NAME?</v>
      </c>
      <c r="BE22" s="33" t="e">
        <f t="shared" ca="1" si="12"/>
        <v>#NAME?</v>
      </c>
      <c r="BF22" s="38" t="e">
        <f ca="1">_xll.RiskBinomial(1,BE22)</f>
        <v>#NAME?</v>
      </c>
      <c r="BG22" s="86" t="e">
        <f ca="1">IF(BF22=1,_xll.RiskBinomial(1,Prob_illness_Noro_infection),0)</f>
        <v>#NAME?</v>
      </c>
      <c r="BI22" s="85" t="e">
        <f t="shared" ca="1" si="42"/>
        <v>#NAME?</v>
      </c>
      <c r="BJ22" s="40" t="e">
        <f ca="1">INT(BI22) + _xll.RiskBinomial(1,BI22-INT(BI22))</f>
        <v>#NAME?</v>
      </c>
      <c r="BK22" s="33" t="e">
        <f t="shared" ca="1" si="13"/>
        <v>#NAME?</v>
      </c>
      <c r="BL22" s="38" t="e">
        <f ca="1">_xll.RiskBinomial(1,BK22)</f>
        <v>#NAME?</v>
      </c>
      <c r="BM22" s="86" t="e">
        <f ca="1">IF(BL22=1,_xll.RiskBinomial(1,Prob_illness_Noro_infection),0)</f>
        <v>#NAME?</v>
      </c>
      <c r="BO22" s="85" t="e">
        <f t="shared" ca="1" si="43"/>
        <v>#NAME?</v>
      </c>
      <c r="BP22" s="40" t="e">
        <f ca="1">INT(BO22) + _xll.RiskBinomial(1,BO22-INT(BO22))</f>
        <v>#NAME?</v>
      </c>
      <c r="BQ22" s="33" t="e">
        <f t="shared" ca="1" si="14"/>
        <v>#NAME?</v>
      </c>
      <c r="BR22" s="38" t="e">
        <f ca="1">_xll.RiskBinomial(1,BQ22)</f>
        <v>#NAME?</v>
      </c>
      <c r="BS22" s="86" t="e">
        <f ca="1">IF(BR22=1,_xll.RiskBinomial(1,Prob_illness_Noro_infection),0)</f>
        <v>#NAME?</v>
      </c>
      <c r="BU22" s="85" t="e">
        <f t="shared" ca="1" si="44"/>
        <v>#NAME?</v>
      </c>
      <c r="BV22" s="40" t="e">
        <f ca="1">INT(BU22) + _xll.RiskBinomial(1,BU22-INT(BU22))</f>
        <v>#NAME?</v>
      </c>
      <c r="BW22" s="33" t="e">
        <f t="shared" ca="1" si="15"/>
        <v>#NAME?</v>
      </c>
      <c r="BX22" s="38" t="e">
        <f ca="1">_xll.RiskBinomial(1,BW22)</f>
        <v>#NAME?</v>
      </c>
      <c r="BY22" s="86" t="e">
        <f ca="1">IF(BX22=1,_xll.RiskBinomial(1,Prob_illness_Noro_infection),0)</f>
        <v>#NAME?</v>
      </c>
      <c r="CA22" s="85" t="e">
        <f t="shared" ca="1" si="45"/>
        <v>#NAME?</v>
      </c>
      <c r="CB22" s="40" t="e">
        <f ca="1">INT(CA22) + _xll.RiskBinomial(1,CA22-INT(CA22))</f>
        <v>#NAME?</v>
      </c>
      <c r="CC22" s="33" t="e">
        <f t="shared" ca="1" si="16"/>
        <v>#NAME?</v>
      </c>
      <c r="CD22" s="38" t="e">
        <f ca="1">_xll.RiskBinomial(1,CC22)</f>
        <v>#NAME?</v>
      </c>
      <c r="CE22" s="86" t="e">
        <f ca="1">IF(CD22=1,_xll.RiskBinomial(1,Prob_illness_Noro_infection),0)</f>
        <v>#NAME?</v>
      </c>
      <c r="CG22" s="85" t="e">
        <f t="shared" ca="1" si="46"/>
        <v>#NAME?</v>
      </c>
      <c r="CH22" s="40" t="e">
        <f ca="1">INT(CG22) + _xll.RiskBinomial(1,CG22-INT(CG22))</f>
        <v>#NAME?</v>
      </c>
      <c r="CI22" s="33" t="e">
        <f t="shared" ca="1" si="17"/>
        <v>#NAME?</v>
      </c>
      <c r="CJ22" s="38" t="e">
        <f ca="1">_xll.RiskBinomial(1,CI22)</f>
        <v>#NAME?</v>
      </c>
      <c r="CK22" s="86" t="e">
        <f ca="1">IF(CJ22=1,_xll.RiskBinomial(1,Prob_illness_Noro_infection),0)</f>
        <v>#NAME?</v>
      </c>
      <c r="CM22" s="85" t="e">
        <f t="shared" ca="1" si="47"/>
        <v>#NAME?</v>
      </c>
      <c r="CN22" s="40" t="e">
        <f ca="1">INT(CM22) + _xll.RiskBinomial(1,CM22-INT(CM22))</f>
        <v>#NAME?</v>
      </c>
      <c r="CO22" s="33" t="e">
        <f t="shared" ca="1" si="18"/>
        <v>#NAME?</v>
      </c>
      <c r="CP22" s="38" t="e">
        <f ca="1">_xll.RiskBinomial(1,CO22)</f>
        <v>#NAME?</v>
      </c>
      <c r="CQ22" s="86" t="e">
        <f ca="1">IF(CP22=1,_xll.RiskBinomial(1,Prob_illness_Noro_infection),0)</f>
        <v>#NAME?</v>
      </c>
      <c r="CS22" s="85" t="e">
        <f t="shared" ca="1" si="48"/>
        <v>#NAME?</v>
      </c>
      <c r="CT22" s="40" t="e">
        <f ca="1">INT(CS22) + _xll.RiskBinomial(1,CS22-INT(CS22))</f>
        <v>#NAME?</v>
      </c>
      <c r="CU22" s="33" t="e">
        <f t="shared" ca="1" si="19"/>
        <v>#NAME?</v>
      </c>
      <c r="CV22" s="38" t="e">
        <f ca="1">_xll.RiskBinomial(1,CU22)</f>
        <v>#NAME?</v>
      </c>
      <c r="CW22" s="86" t="e">
        <f ca="1">IF(CV22=1,_xll.RiskBinomial(1,Prob_illness_Noro_infection),0)</f>
        <v>#NAME?</v>
      </c>
      <c r="CY22" s="85" t="e">
        <f t="shared" ca="1" si="49"/>
        <v>#NAME?</v>
      </c>
      <c r="CZ22" s="40" t="e">
        <f ca="1">INT(CY22) + _xll.RiskBinomial(1,CY22-INT(CY22))</f>
        <v>#NAME?</v>
      </c>
      <c r="DA22" s="33" t="e">
        <f t="shared" ca="1" si="20"/>
        <v>#NAME?</v>
      </c>
      <c r="DB22" s="38" t="e">
        <f ca="1">_xll.RiskBinomial(1,DA22)</f>
        <v>#NAME?</v>
      </c>
      <c r="DC22" s="86" t="e">
        <f ca="1">IF(DB22=1,_xll.RiskBinomial(1,Prob_illness_Noro_infection),0)</f>
        <v>#NAME?</v>
      </c>
      <c r="DE22" s="85" t="e">
        <f t="shared" ca="1" si="50"/>
        <v>#NAME?</v>
      </c>
      <c r="DF22" s="40" t="e">
        <f ca="1">INT(DE22) + _xll.RiskBinomial(1,DE22-INT(DE22))</f>
        <v>#NAME?</v>
      </c>
      <c r="DG22" s="33" t="e">
        <f t="shared" ca="1" si="21"/>
        <v>#NAME?</v>
      </c>
      <c r="DH22" s="38" t="e">
        <f ca="1">_xll.RiskBinomial(1,DG22)</f>
        <v>#NAME?</v>
      </c>
      <c r="DI22" s="86" t="e">
        <f ca="1">IF(DH22=1,_xll.RiskBinomial(1,Prob_illness_Noro_infection),0)</f>
        <v>#NAME?</v>
      </c>
      <c r="DK22" s="85" t="e">
        <f t="shared" ca="1" si="51"/>
        <v>#NAME?</v>
      </c>
      <c r="DL22" s="40" t="e">
        <f ca="1">INT(DK22) + _xll.RiskBinomial(1,DK22-INT(DK22))</f>
        <v>#NAME?</v>
      </c>
      <c r="DM22" s="33" t="e">
        <f t="shared" ca="1" si="22"/>
        <v>#NAME?</v>
      </c>
      <c r="DN22" s="38" t="e">
        <f ca="1">_xll.RiskBinomial(1,DM22)</f>
        <v>#NAME?</v>
      </c>
      <c r="DO22" s="86" t="e">
        <f ca="1">IF(DN22=1,_xll.RiskBinomial(1,Prob_illness_Noro_infection),0)</f>
        <v>#NAME?</v>
      </c>
      <c r="DQ22" s="85" t="e">
        <f t="shared" ca="1" si="52"/>
        <v>#NAME?</v>
      </c>
      <c r="DR22" s="40" t="e">
        <f ca="1">INT(DQ22) + _xll.RiskBinomial(1,DQ22-INT(DQ22))</f>
        <v>#NAME?</v>
      </c>
      <c r="DS22" s="33" t="e">
        <f t="shared" ca="1" si="23"/>
        <v>#NAME?</v>
      </c>
      <c r="DT22" s="38" t="e">
        <f ca="1">_xll.RiskBinomial(1,DS22)</f>
        <v>#NAME?</v>
      </c>
      <c r="DU22" s="86" t="e">
        <f ca="1">IF(DT22=1,_xll.RiskBinomial(1,Prob_illness_Noro_infection),0)</f>
        <v>#NAME?</v>
      </c>
      <c r="DW22" s="85" t="e">
        <f t="shared" ca="1" si="53"/>
        <v>#NAME?</v>
      </c>
      <c r="DX22" s="40" t="e">
        <f ca="1">INT(DW22) + _xll.RiskBinomial(1,DW22-INT(DW22))</f>
        <v>#NAME?</v>
      </c>
      <c r="DY22" s="33" t="e">
        <f t="shared" ca="1" si="24"/>
        <v>#NAME?</v>
      </c>
      <c r="DZ22" s="38" t="e">
        <f ca="1">_xll.RiskBinomial(1,DY22)</f>
        <v>#NAME?</v>
      </c>
      <c r="EA22" s="86" t="e">
        <f ca="1">IF(DZ22=1,_xll.RiskBinomial(1,Prob_illness_Noro_infection),0)</f>
        <v>#NAME?</v>
      </c>
      <c r="EC22" s="85" t="e">
        <f t="shared" ca="1" si="54"/>
        <v>#NAME?</v>
      </c>
      <c r="ED22" s="40" t="e">
        <f ca="1">INT(EC22) + _xll.RiskBinomial(1,EC22-INT(EC22))</f>
        <v>#NAME?</v>
      </c>
      <c r="EE22" s="33" t="e">
        <f t="shared" ca="1" si="25"/>
        <v>#NAME?</v>
      </c>
      <c r="EF22" s="38" t="e">
        <f ca="1">_xll.RiskBinomial(1,EE22)</f>
        <v>#NAME?</v>
      </c>
      <c r="EG22" s="86" t="e">
        <f ca="1">IF(EF22=1,_xll.RiskBinomial(1,Prob_illness_Noro_infection),0)</f>
        <v>#NAME?</v>
      </c>
      <c r="EI22" s="85" t="e">
        <f t="shared" ca="1" si="55"/>
        <v>#NAME?</v>
      </c>
      <c r="EJ22" s="40" t="e">
        <f ca="1">INT(EI22) + _xll.RiskBinomial(1,EI22-INT(EI22))</f>
        <v>#NAME?</v>
      </c>
      <c r="EK22" s="33" t="e">
        <f t="shared" ca="1" si="26"/>
        <v>#NAME?</v>
      </c>
      <c r="EL22" s="38" t="e">
        <f ca="1">_xll.RiskBinomial(1,EK22)</f>
        <v>#NAME?</v>
      </c>
      <c r="EM22" s="86" t="e">
        <f ca="1">IF(EL22=1,_xll.RiskBinomial(1,Prob_illness_Noro_infection),0)</f>
        <v>#NAME?</v>
      </c>
      <c r="EO22" s="85" t="e">
        <f t="shared" ca="1" si="56"/>
        <v>#NAME?</v>
      </c>
      <c r="EP22" s="40" t="e">
        <f ca="1">INT(EO22) + _xll.RiskBinomial(1,EO22-INT(EO22))</f>
        <v>#NAME?</v>
      </c>
      <c r="EQ22" s="33" t="e">
        <f t="shared" ca="1" si="27"/>
        <v>#NAME?</v>
      </c>
      <c r="ER22" s="38" t="e">
        <f ca="1">_xll.RiskBinomial(1,EQ22)</f>
        <v>#NAME?</v>
      </c>
      <c r="ES22" s="86" t="e">
        <f ca="1">IF(ER22=1,_xll.RiskBinomial(1,Prob_illness_Noro_infection),0)</f>
        <v>#NAME?</v>
      </c>
      <c r="EU22" s="85" t="e">
        <f t="shared" ca="1" si="57"/>
        <v>#NAME?</v>
      </c>
      <c r="EV22" s="40" t="e">
        <f ca="1">INT(EU22) + _xll.RiskBinomial(1,EU22-INT(EU22))</f>
        <v>#NAME?</v>
      </c>
      <c r="EW22" s="33" t="e">
        <f t="shared" ca="1" si="28"/>
        <v>#NAME?</v>
      </c>
      <c r="EX22" s="38" t="e">
        <f ca="1">_xll.RiskBinomial(1,EW22)</f>
        <v>#NAME?</v>
      </c>
      <c r="EY22" s="86" t="e">
        <f ca="1">IF(EX22=1,_xll.RiskBinomial(1,Prob_illness_Noro_infection),0)</f>
        <v>#NAME?</v>
      </c>
      <c r="FA22" s="85" t="e">
        <f t="shared" ca="1" si="58"/>
        <v>#NAME?</v>
      </c>
      <c r="FB22" s="40" t="e">
        <f ca="1">INT(FA22) + _xll.RiskBinomial(1,FA22-INT(FA22))</f>
        <v>#NAME?</v>
      </c>
      <c r="FC22" s="33" t="e">
        <f t="shared" ca="1" si="29"/>
        <v>#NAME?</v>
      </c>
      <c r="FD22" s="38" t="e">
        <f ca="1">_xll.RiskBinomial(1,FC22)</f>
        <v>#NAME?</v>
      </c>
      <c r="FE22" s="86" t="e">
        <f ca="1">IF(FD22=1,_xll.RiskBinomial(1,Prob_illness_Noro_infection),0)</f>
        <v>#NAME?</v>
      </c>
      <c r="FG22" s="85" t="e">
        <f t="shared" ca="1" si="59"/>
        <v>#NAME?</v>
      </c>
      <c r="FH22" s="40" t="e">
        <f ca="1">INT(FG22) + _xll.RiskBinomial(1,FG22-INT(FG22))</f>
        <v>#NAME?</v>
      </c>
      <c r="FI22" s="33" t="e">
        <f t="shared" ca="1" si="30"/>
        <v>#NAME?</v>
      </c>
      <c r="FJ22" s="38" t="e">
        <f ca="1">_xll.RiskBinomial(1,FI22)</f>
        <v>#NAME?</v>
      </c>
      <c r="FK22" s="86" t="e">
        <f ca="1">IF(FJ22=1,_xll.RiskBinomial(1,Prob_illness_Noro_infection),0)</f>
        <v>#NAME?</v>
      </c>
      <c r="FM22" s="85" t="e">
        <f t="shared" ca="1" si="60"/>
        <v>#NAME?</v>
      </c>
      <c r="FN22" s="40" t="e">
        <f ca="1">INT(FM22) + _xll.RiskBinomial(1,FM22-INT(FM22))</f>
        <v>#NAME?</v>
      </c>
      <c r="FO22" s="33" t="e">
        <f t="shared" ca="1" si="31"/>
        <v>#NAME?</v>
      </c>
      <c r="FP22" s="38" t="e">
        <f ca="1">_xll.RiskBinomial(1,FO22)</f>
        <v>#NAME?</v>
      </c>
      <c r="FQ22" s="86" t="e">
        <f ca="1">IF(FP22=1,_xll.RiskBinomial(1,Prob_illness_Noro_infection),0)</f>
        <v>#NAME?</v>
      </c>
      <c r="FS22" s="85" t="e">
        <f t="shared" ca="1" si="61"/>
        <v>#NAME?</v>
      </c>
      <c r="FT22" s="40" t="e">
        <f ca="1">INT(FS22) + _xll.RiskBinomial(1,FS22-INT(FS22))</f>
        <v>#NAME?</v>
      </c>
      <c r="FU22" s="33" t="e">
        <f t="shared" ca="1" si="32"/>
        <v>#NAME?</v>
      </c>
      <c r="FV22" s="38" t="e">
        <f ca="1">_xll.RiskBinomial(1,FU22)</f>
        <v>#NAME?</v>
      </c>
      <c r="FW22" s="86" t="e">
        <f ca="1">IF(FV22=1,_xll.RiskBinomial(1,Prob_illness_Noro_infection),0)</f>
        <v>#NAME?</v>
      </c>
      <c r="FY22" s="85" t="e">
        <f t="shared" ca="1" si="62"/>
        <v>#NAME?</v>
      </c>
      <c r="FZ22" s="40" t="e">
        <f ca="1">INT(FY22) + _xll.RiskBinomial(1,FY22-INT(FY22))</f>
        <v>#NAME?</v>
      </c>
      <c r="GA22" s="33" t="e">
        <f t="shared" ca="1" si="33"/>
        <v>#NAME?</v>
      </c>
      <c r="GB22" s="38" t="e">
        <f ca="1">_xll.RiskBinomial(1,GA22)</f>
        <v>#NAME?</v>
      </c>
      <c r="GC22" s="86" t="e">
        <f ca="1">IF(GB22=1,_xll.RiskBinomial(1,Prob_illness_Noro_infection),0)</f>
        <v>#NAME?</v>
      </c>
      <c r="GE22" s="85" t="e">
        <f t="shared" ca="1" si="63"/>
        <v>#NAME?</v>
      </c>
      <c r="GF22" s="40" t="e">
        <f ca="1">INT(GE22) + _xll.RiskBinomial(1,GE22-INT(GE22))</f>
        <v>#NAME?</v>
      </c>
      <c r="GG22" s="33" t="e">
        <f t="shared" ca="1" si="34"/>
        <v>#NAME?</v>
      </c>
      <c r="GH22" s="38" t="e">
        <f ca="1">_xll.RiskBinomial(1,GG22)</f>
        <v>#NAME?</v>
      </c>
      <c r="GI22" s="86" t="e">
        <f ca="1">IF(GH22=1,_xll.RiskBinomial(1,Prob_illness_Noro_infection),0)</f>
        <v>#NAME?</v>
      </c>
      <c r="GK22" s="85" t="e">
        <f t="shared" ca="1" si="64"/>
        <v>#NAME?</v>
      </c>
      <c r="GL22" s="40" t="e">
        <f ca="1">INT(GK22) + _xll.RiskBinomial(1,GK22-INT(GK22))</f>
        <v>#NAME?</v>
      </c>
      <c r="GM22" s="33" t="e">
        <f t="shared" ca="1" si="35"/>
        <v>#NAME?</v>
      </c>
      <c r="GN22" s="38" t="e">
        <f ca="1">_xll.RiskBinomial(1,GM22)</f>
        <v>#NAME?</v>
      </c>
      <c r="GO22" s="86" t="e">
        <f ca="1">IF(GN22=1,_xll.RiskBinomial(1,Prob_illness_Noro_infection),0)</f>
        <v>#NAME?</v>
      </c>
    </row>
    <row r="23" spans="2:197" x14ac:dyDescent="0.25">
      <c r="B23" s="106">
        <v>15</v>
      </c>
      <c r="C23" s="109" t="e">
        <f ca="1" xml:space="preserve"> _xll.RiskPert(Dur_Swim_hours_min,Dur_Swim_hours_mode,Dur_Swim_hours_max)</f>
        <v>#NAME?</v>
      </c>
      <c r="D23" s="33" t="e">
        <f ca="1">_xll.RiskLognorm(Primary_Ing_Rate_mL_per_hour_mean,Primary_Ing_Rate_mL_per_hour_sd, _xll.RiskTruncate(Primary_Ing_Rate_mL_per_hour_min,Primary_Ing_Rate_mL_per_hour_max))</f>
        <v>#NAME?</v>
      </c>
      <c r="E23" s="41" t="e">
        <f t="shared" ca="1" si="36"/>
        <v>#NAME?</v>
      </c>
      <c r="F23" s="33"/>
      <c r="G23" s="85" t="e">
        <f t="shared" ca="1" si="37"/>
        <v>#NAME?</v>
      </c>
      <c r="H23" s="40" t="e">
        <f ca="1">INT(G23) + _xll.RiskBinomial(1,G23-INT(G23))</f>
        <v>#NAME?</v>
      </c>
      <c r="I23" s="33" t="e">
        <f t="shared" ca="1" si="0"/>
        <v>#NAME?</v>
      </c>
      <c r="J23" s="38" t="e">
        <f ca="1">_xll.RiskBinomial(1,I23)</f>
        <v>#NAME?</v>
      </c>
      <c r="K23" s="86" t="e">
        <f ca="1">IF(J23=1,_xll.RiskBinomial(1,Prob_illness_Noro_infection),0)</f>
        <v>#NAME?</v>
      </c>
      <c r="L23" s="33"/>
      <c r="M23" s="85" t="e">
        <f t="shared" ca="1" si="38"/>
        <v>#NAME?</v>
      </c>
      <c r="N23" s="40" t="e">
        <f ca="1">INT(M23) + _xll.RiskBinomial(1,M23-INT(M23))</f>
        <v>#NAME?</v>
      </c>
      <c r="O23" s="33" t="e">
        <f t="shared" ca="1" si="1"/>
        <v>#NAME?</v>
      </c>
      <c r="P23" s="38" t="e">
        <f ca="1">_xll.RiskBinomial(1,O23)</f>
        <v>#NAME?</v>
      </c>
      <c r="Q23" s="86" t="e">
        <f ca="1">IF(P23=1,_xll.RiskBinomial(1,Prob_illness_Noro_infection),0)</f>
        <v>#NAME?</v>
      </c>
      <c r="R23" s="33"/>
      <c r="S23" s="85" t="e">
        <f t="shared" ca="1" si="39"/>
        <v>#NAME?</v>
      </c>
      <c r="T23" s="40" t="e">
        <f ca="1">INT(S23) + _xll.RiskBinomial(1,S23-INT(S23))</f>
        <v>#NAME?</v>
      </c>
      <c r="U23" s="33" t="e">
        <f t="shared" ca="1" si="2"/>
        <v>#NAME?</v>
      </c>
      <c r="V23" s="38" t="e">
        <f ca="1">_xll.RiskBinomial(1,U23)</f>
        <v>#NAME?</v>
      </c>
      <c r="W23" s="86" t="e">
        <f ca="1">IF(V23=1,_xll.RiskBinomial(1,Prob_illness_Noro_infection),0)</f>
        <v>#NAME?</v>
      </c>
      <c r="X23" s="33"/>
      <c r="Y23" s="85" t="e">
        <f t="shared" ca="1" si="3"/>
        <v>#NAME?</v>
      </c>
      <c r="Z23" s="40" t="e">
        <f ca="1">INT(Y23) + _xll.RiskBinomial(1,Y23-INT(Y23))</f>
        <v>#NAME?</v>
      </c>
      <c r="AA23" s="33" t="e">
        <f t="shared" ca="1" si="4"/>
        <v>#NAME?</v>
      </c>
      <c r="AB23" s="38" t="e">
        <f ca="1">_xll.RiskBinomial(1,AA23)</f>
        <v>#NAME?</v>
      </c>
      <c r="AC23" s="86" t="e">
        <f ca="1">IF(AB23=1,_xll.RiskBinomial(1,Prob_illness_Noro_infection),0)</f>
        <v>#NAME?</v>
      </c>
      <c r="AD23" s="33"/>
      <c r="AE23" s="85" t="e">
        <f t="shared" ca="1" si="5"/>
        <v>#NAME?</v>
      </c>
      <c r="AF23" s="40" t="e">
        <f ca="1">INT(AE23) + _xll.RiskBinomial(1,AE23-INT(AE23))</f>
        <v>#NAME?</v>
      </c>
      <c r="AG23" s="33" t="e">
        <f t="shared" ca="1" si="6"/>
        <v>#NAME?</v>
      </c>
      <c r="AH23" s="38" t="e">
        <f ca="1">_xll.RiskBinomial(1,AG23)</f>
        <v>#NAME?</v>
      </c>
      <c r="AI23" s="86" t="e">
        <f ca="1">IF(AH23=1,_xll.RiskBinomial(1,Prob_illness_Noro_infection),0)</f>
        <v>#NAME?</v>
      </c>
      <c r="AJ23" s="33"/>
      <c r="AK23" s="85" t="e">
        <f t="shared" ca="1" si="7"/>
        <v>#NAME?</v>
      </c>
      <c r="AL23" s="40" t="e">
        <f ca="1">INT(AK23) + _xll.RiskBinomial(1,AK23-INT(AK23))</f>
        <v>#NAME?</v>
      </c>
      <c r="AM23" s="33" t="e">
        <f t="shared" ca="1" si="8"/>
        <v>#NAME?</v>
      </c>
      <c r="AN23" s="38" t="e">
        <f ca="1">_xll.RiskBinomial(1,AM23)</f>
        <v>#NAME?</v>
      </c>
      <c r="AO23" s="86" t="e">
        <f ca="1">IF(AN23=1,_xll.RiskBinomial(1,Prob_illness_Noro_infection),0)</f>
        <v>#NAME?</v>
      </c>
      <c r="AP23" s="33"/>
      <c r="AQ23" s="85" t="e">
        <f t="shared" ca="1" si="9"/>
        <v>#NAME?</v>
      </c>
      <c r="AR23" s="40" t="e">
        <f ca="1">INT(AQ23) + _xll.RiskBinomial(1,AQ23-INT(AQ23))</f>
        <v>#NAME?</v>
      </c>
      <c r="AS23" s="33" t="e">
        <f t="shared" ca="1" si="10"/>
        <v>#NAME?</v>
      </c>
      <c r="AT23" s="38" t="e">
        <f ca="1">_xll.RiskBinomial(1,AS23)</f>
        <v>#NAME?</v>
      </c>
      <c r="AU23" s="86" t="e">
        <f ca="1">IF(AT23=1,_xll.RiskBinomial(1,Prob_illness_Noro_infection),0)</f>
        <v>#NAME?</v>
      </c>
      <c r="AV23" s="33"/>
      <c r="AW23" s="85" t="e">
        <f t="shared" ca="1" si="40"/>
        <v>#NAME?</v>
      </c>
      <c r="AX23" s="40" t="e">
        <f ca="1">INT(AW23) + _xll.RiskBinomial(1,AW23-INT(AW23))</f>
        <v>#NAME?</v>
      </c>
      <c r="AY23" s="33" t="e">
        <f t="shared" ca="1" si="11"/>
        <v>#NAME?</v>
      </c>
      <c r="AZ23" s="38" t="e">
        <f ca="1">_xll.RiskBinomial(1,AY23)</f>
        <v>#NAME?</v>
      </c>
      <c r="BA23" s="86" t="e">
        <f ca="1">IF(AZ23=1,_xll.RiskBinomial(1,Prob_illness_Noro_infection),0)</f>
        <v>#NAME?</v>
      </c>
      <c r="BC23" s="85" t="e">
        <f t="shared" ca="1" si="41"/>
        <v>#NAME?</v>
      </c>
      <c r="BD23" s="40" t="e">
        <f ca="1">INT(BC23) + _xll.RiskBinomial(1,BC23-INT(BC23))</f>
        <v>#NAME?</v>
      </c>
      <c r="BE23" s="33" t="e">
        <f t="shared" ca="1" si="12"/>
        <v>#NAME?</v>
      </c>
      <c r="BF23" s="38" t="e">
        <f ca="1">_xll.RiskBinomial(1,BE23)</f>
        <v>#NAME?</v>
      </c>
      <c r="BG23" s="86" t="e">
        <f ca="1">IF(BF23=1,_xll.RiskBinomial(1,Prob_illness_Noro_infection),0)</f>
        <v>#NAME?</v>
      </c>
      <c r="BI23" s="85" t="e">
        <f t="shared" ca="1" si="42"/>
        <v>#NAME?</v>
      </c>
      <c r="BJ23" s="40" t="e">
        <f ca="1">INT(BI23) + _xll.RiskBinomial(1,BI23-INT(BI23))</f>
        <v>#NAME?</v>
      </c>
      <c r="BK23" s="33" t="e">
        <f t="shared" ca="1" si="13"/>
        <v>#NAME?</v>
      </c>
      <c r="BL23" s="38" t="e">
        <f ca="1">_xll.RiskBinomial(1,BK23)</f>
        <v>#NAME?</v>
      </c>
      <c r="BM23" s="86" t="e">
        <f ca="1">IF(BL23=1,_xll.RiskBinomial(1,Prob_illness_Noro_infection),0)</f>
        <v>#NAME?</v>
      </c>
      <c r="BO23" s="85" t="e">
        <f t="shared" ca="1" si="43"/>
        <v>#NAME?</v>
      </c>
      <c r="BP23" s="40" t="e">
        <f ca="1">INT(BO23) + _xll.RiskBinomial(1,BO23-INT(BO23))</f>
        <v>#NAME?</v>
      </c>
      <c r="BQ23" s="33" t="e">
        <f t="shared" ca="1" si="14"/>
        <v>#NAME?</v>
      </c>
      <c r="BR23" s="38" t="e">
        <f ca="1">_xll.RiskBinomial(1,BQ23)</f>
        <v>#NAME?</v>
      </c>
      <c r="BS23" s="86" t="e">
        <f ca="1">IF(BR23=1,_xll.RiskBinomial(1,Prob_illness_Noro_infection),0)</f>
        <v>#NAME?</v>
      </c>
      <c r="BU23" s="85" t="e">
        <f t="shared" ca="1" si="44"/>
        <v>#NAME?</v>
      </c>
      <c r="BV23" s="40" t="e">
        <f ca="1">INT(BU23) + _xll.RiskBinomial(1,BU23-INT(BU23))</f>
        <v>#NAME?</v>
      </c>
      <c r="BW23" s="33" t="e">
        <f t="shared" ca="1" si="15"/>
        <v>#NAME?</v>
      </c>
      <c r="BX23" s="38" t="e">
        <f ca="1">_xll.RiskBinomial(1,BW23)</f>
        <v>#NAME?</v>
      </c>
      <c r="BY23" s="86" t="e">
        <f ca="1">IF(BX23=1,_xll.RiskBinomial(1,Prob_illness_Noro_infection),0)</f>
        <v>#NAME?</v>
      </c>
      <c r="CA23" s="85" t="e">
        <f t="shared" ca="1" si="45"/>
        <v>#NAME?</v>
      </c>
      <c r="CB23" s="40" t="e">
        <f ca="1">INT(CA23) + _xll.RiskBinomial(1,CA23-INT(CA23))</f>
        <v>#NAME?</v>
      </c>
      <c r="CC23" s="33" t="e">
        <f t="shared" ca="1" si="16"/>
        <v>#NAME?</v>
      </c>
      <c r="CD23" s="38" t="e">
        <f ca="1">_xll.RiskBinomial(1,CC23)</f>
        <v>#NAME?</v>
      </c>
      <c r="CE23" s="86" t="e">
        <f ca="1">IF(CD23=1,_xll.RiskBinomial(1,Prob_illness_Noro_infection),0)</f>
        <v>#NAME?</v>
      </c>
      <c r="CG23" s="85" t="e">
        <f t="shared" ca="1" si="46"/>
        <v>#NAME?</v>
      </c>
      <c r="CH23" s="40" t="e">
        <f ca="1">INT(CG23) + _xll.RiskBinomial(1,CG23-INT(CG23))</f>
        <v>#NAME?</v>
      </c>
      <c r="CI23" s="33" t="e">
        <f t="shared" ca="1" si="17"/>
        <v>#NAME?</v>
      </c>
      <c r="CJ23" s="38" t="e">
        <f ca="1">_xll.RiskBinomial(1,CI23)</f>
        <v>#NAME?</v>
      </c>
      <c r="CK23" s="86" t="e">
        <f ca="1">IF(CJ23=1,_xll.RiskBinomial(1,Prob_illness_Noro_infection),0)</f>
        <v>#NAME?</v>
      </c>
      <c r="CM23" s="85" t="e">
        <f t="shared" ca="1" si="47"/>
        <v>#NAME?</v>
      </c>
      <c r="CN23" s="40" t="e">
        <f ca="1">INT(CM23) + _xll.RiskBinomial(1,CM23-INT(CM23))</f>
        <v>#NAME?</v>
      </c>
      <c r="CO23" s="33" t="e">
        <f t="shared" ca="1" si="18"/>
        <v>#NAME?</v>
      </c>
      <c r="CP23" s="38" t="e">
        <f ca="1">_xll.RiskBinomial(1,CO23)</f>
        <v>#NAME?</v>
      </c>
      <c r="CQ23" s="86" t="e">
        <f ca="1">IF(CP23=1,_xll.RiskBinomial(1,Prob_illness_Noro_infection),0)</f>
        <v>#NAME?</v>
      </c>
      <c r="CS23" s="85" t="e">
        <f t="shared" ca="1" si="48"/>
        <v>#NAME?</v>
      </c>
      <c r="CT23" s="40" t="e">
        <f ca="1">INT(CS23) + _xll.RiskBinomial(1,CS23-INT(CS23))</f>
        <v>#NAME?</v>
      </c>
      <c r="CU23" s="33" t="e">
        <f t="shared" ca="1" si="19"/>
        <v>#NAME?</v>
      </c>
      <c r="CV23" s="38" t="e">
        <f ca="1">_xll.RiskBinomial(1,CU23)</f>
        <v>#NAME?</v>
      </c>
      <c r="CW23" s="86" t="e">
        <f ca="1">IF(CV23=1,_xll.RiskBinomial(1,Prob_illness_Noro_infection),0)</f>
        <v>#NAME?</v>
      </c>
      <c r="CY23" s="85" t="e">
        <f t="shared" ca="1" si="49"/>
        <v>#NAME?</v>
      </c>
      <c r="CZ23" s="40" t="e">
        <f ca="1">INT(CY23) + _xll.RiskBinomial(1,CY23-INT(CY23))</f>
        <v>#NAME?</v>
      </c>
      <c r="DA23" s="33" t="e">
        <f t="shared" ca="1" si="20"/>
        <v>#NAME?</v>
      </c>
      <c r="DB23" s="38" t="e">
        <f ca="1">_xll.RiskBinomial(1,DA23)</f>
        <v>#NAME?</v>
      </c>
      <c r="DC23" s="86" t="e">
        <f ca="1">IF(DB23=1,_xll.RiskBinomial(1,Prob_illness_Noro_infection),0)</f>
        <v>#NAME?</v>
      </c>
      <c r="DE23" s="85" t="e">
        <f t="shared" ca="1" si="50"/>
        <v>#NAME?</v>
      </c>
      <c r="DF23" s="40" t="e">
        <f ca="1">INT(DE23) + _xll.RiskBinomial(1,DE23-INT(DE23))</f>
        <v>#NAME?</v>
      </c>
      <c r="DG23" s="33" t="e">
        <f t="shared" ca="1" si="21"/>
        <v>#NAME?</v>
      </c>
      <c r="DH23" s="38" t="e">
        <f ca="1">_xll.RiskBinomial(1,DG23)</f>
        <v>#NAME?</v>
      </c>
      <c r="DI23" s="86" t="e">
        <f ca="1">IF(DH23=1,_xll.RiskBinomial(1,Prob_illness_Noro_infection),0)</f>
        <v>#NAME?</v>
      </c>
      <c r="DK23" s="85" t="e">
        <f t="shared" ca="1" si="51"/>
        <v>#NAME?</v>
      </c>
      <c r="DL23" s="40" t="e">
        <f ca="1">INT(DK23) + _xll.RiskBinomial(1,DK23-INT(DK23))</f>
        <v>#NAME?</v>
      </c>
      <c r="DM23" s="33" t="e">
        <f t="shared" ca="1" si="22"/>
        <v>#NAME?</v>
      </c>
      <c r="DN23" s="38" t="e">
        <f ca="1">_xll.RiskBinomial(1,DM23)</f>
        <v>#NAME?</v>
      </c>
      <c r="DO23" s="86" t="e">
        <f ca="1">IF(DN23=1,_xll.RiskBinomial(1,Prob_illness_Noro_infection),0)</f>
        <v>#NAME?</v>
      </c>
      <c r="DQ23" s="85" t="e">
        <f t="shared" ca="1" si="52"/>
        <v>#NAME?</v>
      </c>
      <c r="DR23" s="40" t="e">
        <f ca="1">INT(DQ23) + _xll.RiskBinomial(1,DQ23-INT(DQ23))</f>
        <v>#NAME?</v>
      </c>
      <c r="DS23" s="33" t="e">
        <f t="shared" ca="1" si="23"/>
        <v>#NAME?</v>
      </c>
      <c r="DT23" s="38" t="e">
        <f ca="1">_xll.RiskBinomial(1,DS23)</f>
        <v>#NAME?</v>
      </c>
      <c r="DU23" s="86" t="e">
        <f ca="1">IF(DT23=1,_xll.RiskBinomial(1,Prob_illness_Noro_infection),0)</f>
        <v>#NAME?</v>
      </c>
      <c r="DW23" s="85" t="e">
        <f t="shared" ca="1" si="53"/>
        <v>#NAME?</v>
      </c>
      <c r="DX23" s="40" t="e">
        <f ca="1">INT(DW23) + _xll.RiskBinomial(1,DW23-INT(DW23))</f>
        <v>#NAME?</v>
      </c>
      <c r="DY23" s="33" t="e">
        <f t="shared" ca="1" si="24"/>
        <v>#NAME?</v>
      </c>
      <c r="DZ23" s="38" t="e">
        <f ca="1">_xll.RiskBinomial(1,DY23)</f>
        <v>#NAME?</v>
      </c>
      <c r="EA23" s="86" t="e">
        <f ca="1">IF(DZ23=1,_xll.RiskBinomial(1,Prob_illness_Noro_infection),0)</f>
        <v>#NAME?</v>
      </c>
      <c r="EC23" s="85" t="e">
        <f t="shared" ca="1" si="54"/>
        <v>#NAME?</v>
      </c>
      <c r="ED23" s="40" t="e">
        <f ca="1">INT(EC23) + _xll.RiskBinomial(1,EC23-INT(EC23))</f>
        <v>#NAME?</v>
      </c>
      <c r="EE23" s="33" t="e">
        <f t="shared" ca="1" si="25"/>
        <v>#NAME?</v>
      </c>
      <c r="EF23" s="38" t="e">
        <f ca="1">_xll.RiskBinomial(1,EE23)</f>
        <v>#NAME?</v>
      </c>
      <c r="EG23" s="86" t="e">
        <f ca="1">IF(EF23=1,_xll.RiskBinomial(1,Prob_illness_Noro_infection),0)</f>
        <v>#NAME?</v>
      </c>
      <c r="EI23" s="85" t="e">
        <f t="shared" ca="1" si="55"/>
        <v>#NAME?</v>
      </c>
      <c r="EJ23" s="40" t="e">
        <f ca="1">INT(EI23) + _xll.RiskBinomial(1,EI23-INT(EI23))</f>
        <v>#NAME?</v>
      </c>
      <c r="EK23" s="33" t="e">
        <f t="shared" ca="1" si="26"/>
        <v>#NAME?</v>
      </c>
      <c r="EL23" s="38" t="e">
        <f ca="1">_xll.RiskBinomial(1,EK23)</f>
        <v>#NAME?</v>
      </c>
      <c r="EM23" s="86" t="e">
        <f ca="1">IF(EL23=1,_xll.RiskBinomial(1,Prob_illness_Noro_infection),0)</f>
        <v>#NAME?</v>
      </c>
      <c r="EO23" s="85" t="e">
        <f t="shared" ca="1" si="56"/>
        <v>#NAME?</v>
      </c>
      <c r="EP23" s="40" t="e">
        <f ca="1">INT(EO23) + _xll.RiskBinomial(1,EO23-INT(EO23))</f>
        <v>#NAME?</v>
      </c>
      <c r="EQ23" s="33" t="e">
        <f t="shared" ca="1" si="27"/>
        <v>#NAME?</v>
      </c>
      <c r="ER23" s="38" t="e">
        <f ca="1">_xll.RiskBinomial(1,EQ23)</f>
        <v>#NAME?</v>
      </c>
      <c r="ES23" s="86" t="e">
        <f ca="1">IF(ER23=1,_xll.RiskBinomial(1,Prob_illness_Noro_infection),0)</f>
        <v>#NAME?</v>
      </c>
      <c r="EU23" s="85" t="e">
        <f t="shared" ca="1" si="57"/>
        <v>#NAME?</v>
      </c>
      <c r="EV23" s="40" t="e">
        <f ca="1">INT(EU23) + _xll.RiskBinomial(1,EU23-INT(EU23))</f>
        <v>#NAME?</v>
      </c>
      <c r="EW23" s="33" t="e">
        <f t="shared" ca="1" si="28"/>
        <v>#NAME?</v>
      </c>
      <c r="EX23" s="38" t="e">
        <f ca="1">_xll.RiskBinomial(1,EW23)</f>
        <v>#NAME?</v>
      </c>
      <c r="EY23" s="86" t="e">
        <f ca="1">IF(EX23=1,_xll.RiskBinomial(1,Prob_illness_Noro_infection),0)</f>
        <v>#NAME?</v>
      </c>
      <c r="FA23" s="85" t="e">
        <f t="shared" ca="1" si="58"/>
        <v>#NAME?</v>
      </c>
      <c r="FB23" s="40" t="e">
        <f ca="1">INT(FA23) + _xll.RiskBinomial(1,FA23-INT(FA23))</f>
        <v>#NAME?</v>
      </c>
      <c r="FC23" s="33" t="e">
        <f t="shared" ca="1" si="29"/>
        <v>#NAME?</v>
      </c>
      <c r="FD23" s="38" t="e">
        <f ca="1">_xll.RiskBinomial(1,FC23)</f>
        <v>#NAME?</v>
      </c>
      <c r="FE23" s="86" t="e">
        <f ca="1">IF(FD23=1,_xll.RiskBinomial(1,Prob_illness_Noro_infection),0)</f>
        <v>#NAME?</v>
      </c>
      <c r="FG23" s="85" t="e">
        <f t="shared" ca="1" si="59"/>
        <v>#NAME?</v>
      </c>
      <c r="FH23" s="40" t="e">
        <f ca="1">INT(FG23) + _xll.RiskBinomial(1,FG23-INT(FG23))</f>
        <v>#NAME?</v>
      </c>
      <c r="FI23" s="33" t="e">
        <f t="shared" ca="1" si="30"/>
        <v>#NAME?</v>
      </c>
      <c r="FJ23" s="38" t="e">
        <f ca="1">_xll.RiskBinomial(1,FI23)</f>
        <v>#NAME?</v>
      </c>
      <c r="FK23" s="86" t="e">
        <f ca="1">IF(FJ23=1,_xll.RiskBinomial(1,Prob_illness_Noro_infection),0)</f>
        <v>#NAME?</v>
      </c>
      <c r="FM23" s="85" t="e">
        <f t="shared" ca="1" si="60"/>
        <v>#NAME?</v>
      </c>
      <c r="FN23" s="40" t="e">
        <f ca="1">INT(FM23) + _xll.RiskBinomial(1,FM23-INT(FM23))</f>
        <v>#NAME?</v>
      </c>
      <c r="FO23" s="33" t="e">
        <f t="shared" ca="1" si="31"/>
        <v>#NAME?</v>
      </c>
      <c r="FP23" s="38" t="e">
        <f ca="1">_xll.RiskBinomial(1,FO23)</f>
        <v>#NAME?</v>
      </c>
      <c r="FQ23" s="86" t="e">
        <f ca="1">IF(FP23=1,_xll.RiskBinomial(1,Prob_illness_Noro_infection),0)</f>
        <v>#NAME?</v>
      </c>
      <c r="FS23" s="85" t="e">
        <f t="shared" ca="1" si="61"/>
        <v>#NAME?</v>
      </c>
      <c r="FT23" s="40" t="e">
        <f ca="1">INT(FS23) + _xll.RiskBinomial(1,FS23-INT(FS23))</f>
        <v>#NAME?</v>
      </c>
      <c r="FU23" s="33" t="e">
        <f t="shared" ca="1" si="32"/>
        <v>#NAME?</v>
      </c>
      <c r="FV23" s="38" t="e">
        <f ca="1">_xll.RiskBinomial(1,FU23)</f>
        <v>#NAME?</v>
      </c>
      <c r="FW23" s="86" t="e">
        <f ca="1">IF(FV23=1,_xll.RiskBinomial(1,Prob_illness_Noro_infection),0)</f>
        <v>#NAME?</v>
      </c>
      <c r="FY23" s="85" t="e">
        <f t="shared" ca="1" si="62"/>
        <v>#NAME?</v>
      </c>
      <c r="FZ23" s="40" t="e">
        <f ca="1">INT(FY23) + _xll.RiskBinomial(1,FY23-INT(FY23))</f>
        <v>#NAME?</v>
      </c>
      <c r="GA23" s="33" t="e">
        <f t="shared" ca="1" si="33"/>
        <v>#NAME?</v>
      </c>
      <c r="GB23" s="38" t="e">
        <f ca="1">_xll.RiskBinomial(1,GA23)</f>
        <v>#NAME?</v>
      </c>
      <c r="GC23" s="86" t="e">
        <f ca="1">IF(GB23=1,_xll.RiskBinomial(1,Prob_illness_Noro_infection),0)</f>
        <v>#NAME?</v>
      </c>
      <c r="GE23" s="85" t="e">
        <f t="shared" ca="1" si="63"/>
        <v>#NAME?</v>
      </c>
      <c r="GF23" s="40" t="e">
        <f ca="1">INT(GE23) + _xll.RiskBinomial(1,GE23-INT(GE23))</f>
        <v>#NAME?</v>
      </c>
      <c r="GG23" s="33" t="e">
        <f t="shared" ca="1" si="34"/>
        <v>#NAME?</v>
      </c>
      <c r="GH23" s="38" t="e">
        <f ca="1">_xll.RiskBinomial(1,GG23)</f>
        <v>#NAME?</v>
      </c>
      <c r="GI23" s="86" t="e">
        <f ca="1">IF(GH23=1,_xll.RiskBinomial(1,Prob_illness_Noro_infection),0)</f>
        <v>#NAME?</v>
      </c>
      <c r="GK23" s="85" t="e">
        <f t="shared" ca="1" si="64"/>
        <v>#NAME?</v>
      </c>
      <c r="GL23" s="40" t="e">
        <f ca="1">INT(GK23) + _xll.RiskBinomial(1,GK23-INT(GK23))</f>
        <v>#NAME?</v>
      </c>
      <c r="GM23" s="33" t="e">
        <f t="shared" ca="1" si="35"/>
        <v>#NAME?</v>
      </c>
      <c r="GN23" s="38" t="e">
        <f ca="1">_xll.RiskBinomial(1,GM23)</f>
        <v>#NAME?</v>
      </c>
      <c r="GO23" s="86" t="e">
        <f ca="1">IF(GN23=1,_xll.RiskBinomial(1,Prob_illness_Noro_infection),0)</f>
        <v>#NAME?</v>
      </c>
    </row>
    <row r="24" spans="2:197" x14ac:dyDescent="0.25">
      <c r="B24" s="106">
        <v>16</v>
      </c>
      <c r="C24" s="109" t="e">
        <f ca="1" xml:space="preserve"> _xll.RiskPert(Dur_Swim_hours_min,Dur_Swim_hours_mode,Dur_Swim_hours_max)</f>
        <v>#NAME?</v>
      </c>
      <c r="D24" s="33" t="e">
        <f ca="1">_xll.RiskLognorm(Primary_Ing_Rate_mL_per_hour_mean,Primary_Ing_Rate_mL_per_hour_sd, _xll.RiskTruncate(Primary_Ing_Rate_mL_per_hour_min,Primary_Ing_Rate_mL_per_hour_max))</f>
        <v>#NAME?</v>
      </c>
      <c r="E24" s="41" t="e">
        <f t="shared" ca="1" si="36"/>
        <v>#NAME?</v>
      </c>
      <c r="F24" s="33"/>
      <c r="G24" s="85" t="e">
        <f t="shared" ca="1" si="37"/>
        <v>#NAME?</v>
      </c>
      <c r="H24" s="40" t="e">
        <f ca="1">INT(G24) + _xll.RiskBinomial(1,G24-INT(G24))</f>
        <v>#NAME?</v>
      </c>
      <c r="I24" s="33" t="e">
        <f t="shared" ca="1" si="0"/>
        <v>#NAME?</v>
      </c>
      <c r="J24" s="38" t="e">
        <f ca="1">_xll.RiskBinomial(1,I24)</f>
        <v>#NAME?</v>
      </c>
      <c r="K24" s="86" t="e">
        <f ca="1">IF(J24=1,_xll.RiskBinomial(1,Prob_illness_Noro_infection),0)</f>
        <v>#NAME?</v>
      </c>
      <c r="L24" s="33"/>
      <c r="M24" s="85" t="e">
        <f t="shared" ca="1" si="38"/>
        <v>#NAME?</v>
      </c>
      <c r="N24" s="40" t="e">
        <f ca="1">INT(M24) + _xll.RiskBinomial(1,M24-INT(M24))</f>
        <v>#NAME?</v>
      </c>
      <c r="O24" s="33" t="e">
        <f t="shared" ca="1" si="1"/>
        <v>#NAME?</v>
      </c>
      <c r="P24" s="38" t="e">
        <f ca="1">_xll.RiskBinomial(1,O24)</f>
        <v>#NAME?</v>
      </c>
      <c r="Q24" s="86" t="e">
        <f ca="1">IF(P24=1,_xll.RiskBinomial(1,Prob_illness_Noro_infection),0)</f>
        <v>#NAME?</v>
      </c>
      <c r="R24" s="33"/>
      <c r="S24" s="85" t="e">
        <f t="shared" ca="1" si="39"/>
        <v>#NAME?</v>
      </c>
      <c r="T24" s="40" t="e">
        <f ca="1">INT(S24) + _xll.RiskBinomial(1,S24-INT(S24))</f>
        <v>#NAME?</v>
      </c>
      <c r="U24" s="33" t="e">
        <f t="shared" ca="1" si="2"/>
        <v>#NAME?</v>
      </c>
      <c r="V24" s="38" t="e">
        <f ca="1">_xll.RiskBinomial(1,U24)</f>
        <v>#NAME?</v>
      </c>
      <c r="W24" s="86" t="e">
        <f ca="1">IF(V24=1,_xll.RiskBinomial(1,Prob_illness_Noro_infection),0)</f>
        <v>#NAME?</v>
      </c>
      <c r="X24" s="33"/>
      <c r="Y24" s="85" t="e">
        <f t="shared" ca="1" si="3"/>
        <v>#NAME?</v>
      </c>
      <c r="Z24" s="40" t="e">
        <f ca="1">INT(Y24) + _xll.RiskBinomial(1,Y24-INT(Y24))</f>
        <v>#NAME?</v>
      </c>
      <c r="AA24" s="33" t="e">
        <f t="shared" ca="1" si="4"/>
        <v>#NAME?</v>
      </c>
      <c r="AB24" s="38" t="e">
        <f ca="1">_xll.RiskBinomial(1,AA24)</f>
        <v>#NAME?</v>
      </c>
      <c r="AC24" s="86" t="e">
        <f ca="1">IF(AB24=1,_xll.RiskBinomial(1,Prob_illness_Noro_infection),0)</f>
        <v>#NAME?</v>
      </c>
      <c r="AD24" s="33"/>
      <c r="AE24" s="85" t="e">
        <f t="shared" ca="1" si="5"/>
        <v>#NAME?</v>
      </c>
      <c r="AF24" s="40" t="e">
        <f ca="1">INT(AE24) + _xll.RiskBinomial(1,AE24-INT(AE24))</f>
        <v>#NAME?</v>
      </c>
      <c r="AG24" s="33" t="e">
        <f t="shared" ca="1" si="6"/>
        <v>#NAME?</v>
      </c>
      <c r="AH24" s="38" t="e">
        <f ca="1">_xll.RiskBinomial(1,AG24)</f>
        <v>#NAME?</v>
      </c>
      <c r="AI24" s="86" t="e">
        <f ca="1">IF(AH24=1,_xll.RiskBinomial(1,Prob_illness_Noro_infection),0)</f>
        <v>#NAME?</v>
      </c>
      <c r="AJ24" s="33"/>
      <c r="AK24" s="85" t="e">
        <f t="shared" ca="1" si="7"/>
        <v>#NAME?</v>
      </c>
      <c r="AL24" s="40" t="e">
        <f ca="1">INT(AK24) + _xll.RiskBinomial(1,AK24-INT(AK24))</f>
        <v>#NAME?</v>
      </c>
      <c r="AM24" s="33" t="e">
        <f t="shared" ca="1" si="8"/>
        <v>#NAME?</v>
      </c>
      <c r="AN24" s="38" t="e">
        <f ca="1">_xll.RiskBinomial(1,AM24)</f>
        <v>#NAME?</v>
      </c>
      <c r="AO24" s="86" t="e">
        <f ca="1">IF(AN24=1,_xll.RiskBinomial(1,Prob_illness_Noro_infection),0)</f>
        <v>#NAME?</v>
      </c>
      <c r="AP24" s="33"/>
      <c r="AQ24" s="85" t="e">
        <f t="shared" ca="1" si="9"/>
        <v>#NAME?</v>
      </c>
      <c r="AR24" s="40" t="e">
        <f ca="1">INT(AQ24) + _xll.RiskBinomial(1,AQ24-INT(AQ24))</f>
        <v>#NAME?</v>
      </c>
      <c r="AS24" s="33" t="e">
        <f t="shared" ca="1" si="10"/>
        <v>#NAME?</v>
      </c>
      <c r="AT24" s="38" t="e">
        <f ca="1">_xll.RiskBinomial(1,AS24)</f>
        <v>#NAME?</v>
      </c>
      <c r="AU24" s="86" t="e">
        <f ca="1">IF(AT24=1,_xll.RiskBinomial(1,Prob_illness_Noro_infection),0)</f>
        <v>#NAME?</v>
      </c>
      <c r="AV24" s="33"/>
      <c r="AW24" s="85" t="e">
        <f t="shared" ca="1" si="40"/>
        <v>#NAME?</v>
      </c>
      <c r="AX24" s="40" t="e">
        <f ca="1">INT(AW24) + _xll.RiskBinomial(1,AW24-INT(AW24))</f>
        <v>#NAME?</v>
      </c>
      <c r="AY24" s="33" t="e">
        <f t="shared" ca="1" si="11"/>
        <v>#NAME?</v>
      </c>
      <c r="AZ24" s="38" t="e">
        <f ca="1">_xll.RiskBinomial(1,AY24)</f>
        <v>#NAME?</v>
      </c>
      <c r="BA24" s="86" t="e">
        <f ca="1">IF(AZ24=1,_xll.RiskBinomial(1,Prob_illness_Noro_infection),0)</f>
        <v>#NAME?</v>
      </c>
      <c r="BC24" s="85" t="e">
        <f t="shared" ca="1" si="41"/>
        <v>#NAME?</v>
      </c>
      <c r="BD24" s="40" t="e">
        <f ca="1">INT(BC24) + _xll.RiskBinomial(1,BC24-INT(BC24))</f>
        <v>#NAME?</v>
      </c>
      <c r="BE24" s="33" t="e">
        <f t="shared" ca="1" si="12"/>
        <v>#NAME?</v>
      </c>
      <c r="BF24" s="38" t="e">
        <f ca="1">_xll.RiskBinomial(1,BE24)</f>
        <v>#NAME?</v>
      </c>
      <c r="BG24" s="86" t="e">
        <f ca="1">IF(BF24=1,_xll.RiskBinomial(1,Prob_illness_Noro_infection),0)</f>
        <v>#NAME?</v>
      </c>
      <c r="BI24" s="85" t="e">
        <f t="shared" ca="1" si="42"/>
        <v>#NAME?</v>
      </c>
      <c r="BJ24" s="40" t="e">
        <f ca="1">INT(BI24) + _xll.RiskBinomial(1,BI24-INT(BI24))</f>
        <v>#NAME?</v>
      </c>
      <c r="BK24" s="33" t="e">
        <f t="shared" ca="1" si="13"/>
        <v>#NAME?</v>
      </c>
      <c r="BL24" s="38" t="e">
        <f ca="1">_xll.RiskBinomial(1,BK24)</f>
        <v>#NAME?</v>
      </c>
      <c r="BM24" s="86" t="e">
        <f ca="1">IF(BL24=1,_xll.RiskBinomial(1,Prob_illness_Noro_infection),0)</f>
        <v>#NAME?</v>
      </c>
      <c r="BO24" s="85" t="e">
        <f t="shared" ca="1" si="43"/>
        <v>#NAME?</v>
      </c>
      <c r="BP24" s="40" t="e">
        <f ca="1">INT(BO24) + _xll.RiskBinomial(1,BO24-INT(BO24))</f>
        <v>#NAME?</v>
      </c>
      <c r="BQ24" s="33" t="e">
        <f t="shared" ca="1" si="14"/>
        <v>#NAME?</v>
      </c>
      <c r="BR24" s="38" t="e">
        <f ca="1">_xll.RiskBinomial(1,BQ24)</f>
        <v>#NAME?</v>
      </c>
      <c r="BS24" s="86" t="e">
        <f ca="1">IF(BR24=1,_xll.RiskBinomial(1,Prob_illness_Noro_infection),0)</f>
        <v>#NAME?</v>
      </c>
      <c r="BU24" s="85" t="e">
        <f t="shared" ca="1" si="44"/>
        <v>#NAME?</v>
      </c>
      <c r="BV24" s="40" t="e">
        <f ca="1">INT(BU24) + _xll.RiskBinomial(1,BU24-INT(BU24))</f>
        <v>#NAME?</v>
      </c>
      <c r="BW24" s="33" t="e">
        <f t="shared" ca="1" si="15"/>
        <v>#NAME?</v>
      </c>
      <c r="BX24" s="38" t="e">
        <f ca="1">_xll.RiskBinomial(1,BW24)</f>
        <v>#NAME?</v>
      </c>
      <c r="BY24" s="86" t="e">
        <f ca="1">IF(BX24=1,_xll.RiskBinomial(1,Prob_illness_Noro_infection),0)</f>
        <v>#NAME?</v>
      </c>
      <c r="CA24" s="85" t="e">
        <f t="shared" ca="1" si="45"/>
        <v>#NAME?</v>
      </c>
      <c r="CB24" s="40" t="e">
        <f ca="1">INT(CA24) + _xll.RiskBinomial(1,CA24-INT(CA24))</f>
        <v>#NAME?</v>
      </c>
      <c r="CC24" s="33" t="e">
        <f t="shared" ca="1" si="16"/>
        <v>#NAME?</v>
      </c>
      <c r="CD24" s="38" t="e">
        <f ca="1">_xll.RiskBinomial(1,CC24)</f>
        <v>#NAME?</v>
      </c>
      <c r="CE24" s="86" t="e">
        <f ca="1">IF(CD24=1,_xll.RiskBinomial(1,Prob_illness_Noro_infection),0)</f>
        <v>#NAME?</v>
      </c>
      <c r="CG24" s="85" t="e">
        <f t="shared" ca="1" si="46"/>
        <v>#NAME?</v>
      </c>
      <c r="CH24" s="40" t="e">
        <f ca="1">INT(CG24) + _xll.RiskBinomial(1,CG24-INT(CG24))</f>
        <v>#NAME?</v>
      </c>
      <c r="CI24" s="33" t="e">
        <f t="shared" ca="1" si="17"/>
        <v>#NAME?</v>
      </c>
      <c r="CJ24" s="38" t="e">
        <f ca="1">_xll.RiskBinomial(1,CI24)</f>
        <v>#NAME?</v>
      </c>
      <c r="CK24" s="86" t="e">
        <f ca="1">IF(CJ24=1,_xll.RiskBinomial(1,Prob_illness_Noro_infection),0)</f>
        <v>#NAME?</v>
      </c>
      <c r="CM24" s="85" t="e">
        <f t="shared" ca="1" si="47"/>
        <v>#NAME?</v>
      </c>
      <c r="CN24" s="40" t="e">
        <f ca="1">INT(CM24) + _xll.RiskBinomial(1,CM24-INT(CM24))</f>
        <v>#NAME?</v>
      </c>
      <c r="CO24" s="33" t="e">
        <f t="shared" ca="1" si="18"/>
        <v>#NAME?</v>
      </c>
      <c r="CP24" s="38" t="e">
        <f ca="1">_xll.RiskBinomial(1,CO24)</f>
        <v>#NAME?</v>
      </c>
      <c r="CQ24" s="86" t="e">
        <f ca="1">IF(CP24=1,_xll.RiskBinomial(1,Prob_illness_Noro_infection),0)</f>
        <v>#NAME?</v>
      </c>
      <c r="CS24" s="85" t="e">
        <f t="shared" ca="1" si="48"/>
        <v>#NAME?</v>
      </c>
      <c r="CT24" s="40" t="e">
        <f ca="1">INT(CS24) + _xll.RiskBinomial(1,CS24-INT(CS24))</f>
        <v>#NAME?</v>
      </c>
      <c r="CU24" s="33" t="e">
        <f t="shared" ca="1" si="19"/>
        <v>#NAME?</v>
      </c>
      <c r="CV24" s="38" t="e">
        <f ca="1">_xll.RiskBinomial(1,CU24)</f>
        <v>#NAME?</v>
      </c>
      <c r="CW24" s="86" t="e">
        <f ca="1">IF(CV24=1,_xll.RiskBinomial(1,Prob_illness_Noro_infection),0)</f>
        <v>#NAME?</v>
      </c>
      <c r="CY24" s="85" t="e">
        <f t="shared" ca="1" si="49"/>
        <v>#NAME?</v>
      </c>
      <c r="CZ24" s="40" t="e">
        <f ca="1">INT(CY24) + _xll.RiskBinomial(1,CY24-INT(CY24))</f>
        <v>#NAME?</v>
      </c>
      <c r="DA24" s="33" t="e">
        <f t="shared" ca="1" si="20"/>
        <v>#NAME?</v>
      </c>
      <c r="DB24" s="38" t="e">
        <f ca="1">_xll.RiskBinomial(1,DA24)</f>
        <v>#NAME?</v>
      </c>
      <c r="DC24" s="86" t="e">
        <f ca="1">IF(DB24=1,_xll.RiskBinomial(1,Prob_illness_Noro_infection),0)</f>
        <v>#NAME?</v>
      </c>
      <c r="DE24" s="85" t="e">
        <f t="shared" ca="1" si="50"/>
        <v>#NAME?</v>
      </c>
      <c r="DF24" s="40" t="e">
        <f ca="1">INT(DE24) + _xll.RiskBinomial(1,DE24-INT(DE24))</f>
        <v>#NAME?</v>
      </c>
      <c r="DG24" s="33" t="e">
        <f t="shared" ca="1" si="21"/>
        <v>#NAME?</v>
      </c>
      <c r="DH24" s="38" t="e">
        <f ca="1">_xll.RiskBinomial(1,DG24)</f>
        <v>#NAME?</v>
      </c>
      <c r="DI24" s="86" t="e">
        <f ca="1">IF(DH24=1,_xll.RiskBinomial(1,Prob_illness_Noro_infection),0)</f>
        <v>#NAME?</v>
      </c>
      <c r="DK24" s="85" t="e">
        <f t="shared" ca="1" si="51"/>
        <v>#NAME?</v>
      </c>
      <c r="DL24" s="40" t="e">
        <f ca="1">INT(DK24) + _xll.RiskBinomial(1,DK24-INT(DK24))</f>
        <v>#NAME?</v>
      </c>
      <c r="DM24" s="33" t="e">
        <f t="shared" ca="1" si="22"/>
        <v>#NAME?</v>
      </c>
      <c r="DN24" s="38" t="e">
        <f ca="1">_xll.RiskBinomial(1,DM24)</f>
        <v>#NAME?</v>
      </c>
      <c r="DO24" s="86" t="e">
        <f ca="1">IF(DN24=1,_xll.RiskBinomial(1,Prob_illness_Noro_infection),0)</f>
        <v>#NAME?</v>
      </c>
      <c r="DQ24" s="85" t="e">
        <f t="shared" ca="1" si="52"/>
        <v>#NAME?</v>
      </c>
      <c r="DR24" s="40" t="e">
        <f ca="1">INT(DQ24) + _xll.RiskBinomial(1,DQ24-INT(DQ24))</f>
        <v>#NAME?</v>
      </c>
      <c r="DS24" s="33" t="e">
        <f t="shared" ca="1" si="23"/>
        <v>#NAME?</v>
      </c>
      <c r="DT24" s="38" t="e">
        <f ca="1">_xll.RiskBinomial(1,DS24)</f>
        <v>#NAME?</v>
      </c>
      <c r="DU24" s="86" t="e">
        <f ca="1">IF(DT24=1,_xll.RiskBinomial(1,Prob_illness_Noro_infection),0)</f>
        <v>#NAME?</v>
      </c>
      <c r="DW24" s="85" t="e">
        <f t="shared" ca="1" si="53"/>
        <v>#NAME?</v>
      </c>
      <c r="DX24" s="40" t="e">
        <f ca="1">INT(DW24) + _xll.RiskBinomial(1,DW24-INT(DW24))</f>
        <v>#NAME?</v>
      </c>
      <c r="DY24" s="33" t="e">
        <f t="shared" ca="1" si="24"/>
        <v>#NAME?</v>
      </c>
      <c r="DZ24" s="38" t="e">
        <f ca="1">_xll.RiskBinomial(1,DY24)</f>
        <v>#NAME?</v>
      </c>
      <c r="EA24" s="86" t="e">
        <f ca="1">IF(DZ24=1,_xll.RiskBinomial(1,Prob_illness_Noro_infection),0)</f>
        <v>#NAME?</v>
      </c>
      <c r="EC24" s="85" t="e">
        <f t="shared" ca="1" si="54"/>
        <v>#NAME?</v>
      </c>
      <c r="ED24" s="40" t="e">
        <f ca="1">INT(EC24) + _xll.RiskBinomial(1,EC24-INT(EC24))</f>
        <v>#NAME?</v>
      </c>
      <c r="EE24" s="33" t="e">
        <f t="shared" ca="1" si="25"/>
        <v>#NAME?</v>
      </c>
      <c r="EF24" s="38" t="e">
        <f ca="1">_xll.RiskBinomial(1,EE24)</f>
        <v>#NAME?</v>
      </c>
      <c r="EG24" s="86" t="e">
        <f ca="1">IF(EF24=1,_xll.RiskBinomial(1,Prob_illness_Noro_infection),0)</f>
        <v>#NAME?</v>
      </c>
      <c r="EI24" s="85" t="e">
        <f t="shared" ca="1" si="55"/>
        <v>#NAME?</v>
      </c>
      <c r="EJ24" s="40" t="e">
        <f ca="1">INT(EI24) + _xll.RiskBinomial(1,EI24-INT(EI24))</f>
        <v>#NAME?</v>
      </c>
      <c r="EK24" s="33" t="e">
        <f t="shared" ca="1" si="26"/>
        <v>#NAME?</v>
      </c>
      <c r="EL24" s="38" t="e">
        <f ca="1">_xll.RiskBinomial(1,EK24)</f>
        <v>#NAME?</v>
      </c>
      <c r="EM24" s="86" t="e">
        <f ca="1">IF(EL24=1,_xll.RiskBinomial(1,Prob_illness_Noro_infection),0)</f>
        <v>#NAME?</v>
      </c>
      <c r="EO24" s="85" t="e">
        <f t="shared" ca="1" si="56"/>
        <v>#NAME?</v>
      </c>
      <c r="EP24" s="40" t="e">
        <f ca="1">INT(EO24) + _xll.RiskBinomial(1,EO24-INT(EO24))</f>
        <v>#NAME?</v>
      </c>
      <c r="EQ24" s="33" t="e">
        <f t="shared" ca="1" si="27"/>
        <v>#NAME?</v>
      </c>
      <c r="ER24" s="38" t="e">
        <f ca="1">_xll.RiskBinomial(1,EQ24)</f>
        <v>#NAME?</v>
      </c>
      <c r="ES24" s="86" t="e">
        <f ca="1">IF(ER24=1,_xll.RiskBinomial(1,Prob_illness_Noro_infection),0)</f>
        <v>#NAME?</v>
      </c>
      <c r="EU24" s="85" t="e">
        <f t="shared" ca="1" si="57"/>
        <v>#NAME?</v>
      </c>
      <c r="EV24" s="40" t="e">
        <f ca="1">INT(EU24) + _xll.RiskBinomial(1,EU24-INT(EU24))</f>
        <v>#NAME?</v>
      </c>
      <c r="EW24" s="33" t="e">
        <f t="shared" ca="1" si="28"/>
        <v>#NAME?</v>
      </c>
      <c r="EX24" s="38" t="e">
        <f ca="1">_xll.RiskBinomial(1,EW24)</f>
        <v>#NAME?</v>
      </c>
      <c r="EY24" s="86" t="e">
        <f ca="1">IF(EX24=1,_xll.RiskBinomial(1,Prob_illness_Noro_infection),0)</f>
        <v>#NAME?</v>
      </c>
      <c r="FA24" s="85" t="e">
        <f t="shared" ca="1" si="58"/>
        <v>#NAME?</v>
      </c>
      <c r="FB24" s="40" t="e">
        <f ca="1">INT(FA24) + _xll.RiskBinomial(1,FA24-INT(FA24))</f>
        <v>#NAME?</v>
      </c>
      <c r="FC24" s="33" t="e">
        <f t="shared" ca="1" si="29"/>
        <v>#NAME?</v>
      </c>
      <c r="FD24" s="38" t="e">
        <f ca="1">_xll.RiskBinomial(1,FC24)</f>
        <v>#NAME?</v>
      </c>
      <c r="FE24" s="86" t="e">
        <f ca="1">IF(FD24=1,_xll.RiskBinomial(1,Prob_illness_Noro_infection),0)</f>
        <v>#NAME?</v>
      </c>
      <c r="FG24" s="85" t="e">
        <f t="shared" ca="1" si="59"/>
        <v>#NAME?</v>
      </c>
      <c r="FH24" s="40" t="e">
        <f ca="1">INT(FG24) + _xll.RiskBinomial(1,FG24-INT(FG24))</f>
        <v>#NAME?</v>
      </c>
      <c r="FI24" s="33" t="e">
        <f t="shared" ca="1" si="30"/>
        <v>#NAME?</v>
      </c>
      <c r="FJ24" s="38" t="e">
        <f ca="1">_xll.RiskBinomial(1,FI24)</f>
        <v>#NAME?</v>
      </c>
      <c r="FK24" s="86" t="e">
        <f ca="1">IF(FJ24=1,_xll.RiskBinomial(1,Prob_illness_Noro_infection),0)</f>
        <v>#NAME?</v>
      </c>
      <c r="FM24" s="85" t="e">
        <f t="shared" ca="1" si="60"/>
        <v>#NAME?</v>
      </c>
      <c r="FN24" s="40" t="e">
        <f ca="1">INT(FM24) + _xll.RiskBinomial(1,FM24-INT(FM24))</f>
        <v>#NAME?</v>
      </c>
      <c r="FO24" s="33" t="e">
        <f t="shared" ca="1" si="31"/>
        <v>#NAME?</v>
      </c>
      <c r="FP24" s="38" t="e">
        <f ca="1">_xll.RiskBinomial(1,FO24)</f>
        <v>#NAME?</v>
      </c>
      <c r="FQ24" s="86" t="e">
        <f ca="1">IF(FP24=1,_xll.RiskBinomial(1,Prob_illness_Noro_infection),0)</f>
        <v>#NAME?</v>
      </c>
      <c r="FS24" s="85" t="e">
        <f t="shared" ca="1" si="61"/>
        <v>#NAME?</v>
      </c>
      <c r="FT24" s="40" t="e">
        <f ca="1">INT(FS24) + _xll.RiskBinomial(1,FS24-INT(FS24))</f>
        <v>#NAME?</v>
      </c>
      <c r="FU24" s="33" t="e">
        <f t="shared" ca="1" si="32"/>
        <v>#NAME?</v>
      </c>
      <c r="FV24" s="38" t="e">
        <f ca="1">_xll.RiskBinomial(1,FU24)</f>
        <v>#NAME?</v>
      </c>
      <c r="FW24" s="86" t="e">
        <f ca="1">IF(FV24=1,_xll.RiskBinomial(1,Prob_illness_Noro_infection),0)</f>
        <v>#NAME?</v>
      </c>
      <c r="FY24" s="85" t="e">
        <f t="shared" ca="1" si="62"/>
        <v>#NAME?</v>
      </c>
      <c r="FZ24" s="40" t="e">
        <f ca="1">INT(FY24) + _xll.RiskBinomial(1,FY24-INT(FY24))</f>
        <v>#NAME?</v>
      </c>
      <c r="GA24" s="33" t="e">
        <f t="shared" ca="1" si="33"/>
        <v>#NAME?</v>
      </c>
      <c r="GB24" s="38" t="e">
        <f ca="1">_xll.RiskBinomial(1,GA24)</f>
        <v>#NAME?</v>
      </c>
      <c r="GC24" s="86" t="e">
        <f ca="1">IF(GB24=1,_xll.RiskBinomial(1,Prob_illness_Noro_infection),0)</f>
        <v>#NAME?</v>
      </c>
      <c r="GE24" s="85" t="e">
        <f t="shared" ca="1" si="63"/>
        <v>#NAME?</v>
      </c>
      <c r="GF24" s="40" t="e">
        <f ca="1">INT(GE24) + _xll.RiskBinomial(1,GE24-INT(GE24))</f>
        <v>#NAME?</v>
      </c>
      <c r="GG24" s="33" t="e">
        <f t="shared" ca="1" si="34"/>
        <v>#NAME?</v>
      </c>
      <c r="GH24" s="38" t="e">
        <f ca="1">_xll.RiskBinomial(1,GG24)</f>
        <v>#NAME?</v>
      </c>
      <c r="GI24" s="86" t="e">
        <f ca="1">IF(GH24=1,_xll.RiskBinomial(1,Prob_illness_Noro_infection),0)</f>
        <v>#NAME?</v>
      </c>
      <c r="GK24" s="85" t="e">
        <f t="shared" ca="1" si="64"/>
        <v>#NAME?</v>
      </c>
      <c r="GL24" s="40" t="e">
        <f ca="1">INT(GK24) + _xll.RiskBinomial(1,GK24-INT(GK24))</f>
        <v>#NAME?</v>
      </c>
      <c r="GM24" s="33" t="e">
        <f t="shared" ca="1" si="35"/>
        <v>#NAME?</v>
      </c>
      <c r="GN24" s="38" t="e">
        <f ca="1">_xll.RiskBinomial(1,GM24)</f>
        <v>#NAME?</v>
      </c>
      <c r="GO24" s="86" t="e">
        <f ca="1">IF(GN24=1,_xll.RiskBinomial(1,Prob_illness_Noro_infection),0)</f>
        <v>#NAME?</v>
      </c>
    </row>
    <row r="25" spans="2:197" x14ac:dyDescent="0.25">
      <c r="B25" s="106">
        <v>17</v>
      </c>
      <c r="C25" s="109" t="e">
        <f ca="1" xml:space="preserve"> _xll.RiskPert(Dur_Swim_hours_min,Dur_Swim_hours_mode,Dur_Swim_hours_max)</f>
        <v>#NAME?</v>
      </c>
      <c r="D25" s="33" t="e">
        <f ca="1">_xll.RiskLognorm(Primary_Ing_Rate_mL_per_hour_mean,Primary_Ing_Rate_mL_per_hour_sd, _xll.RiskTruncate(Primary_Ing_Rate_mL_per_hour_min,Primary_Ing_Rate_mL_per_hour_max))</f>
        <v>#NAME?</v>
      </c>
      <c r="E25" s="41" t="e">
        <f t="shared" ca="1" si="36"/>
        <v>#NAME?</v>
      </c>
      <c r="F25" s="33"/>
      <c r="G25" s="85" t="e">
        <f t="shared" ca="1" si="37"/>
        <v>#NAME?</v>
      </c>
      <c r="H25" s="40" t="e">
        <f ca="1">INT(G25) + _xll.RiskBinomial(1,G25-INT(G25))</f>
        <v>#NAME?</v>
      </c>
      <c r="I25" s="33" t="e">
        <f t="shared" ca="1" si="0"/>
        <v>#NAME?</v>
      </c>
      <c r="J25" s="38" t="e">
        <f ca="1">_xll.RiskBinomial(1,I25)</f>
        <v>#NAME?</v>
      </c>
      <c r="K25" s="86" t="e">
        <f ca="1">IF(J25=1,_xll.RiskBinomial(1,Prob_illness_Noro_infection),0)</f>
        <v>#NAME?</v>
      </c>
      <c r="L25" s="33"/>
      <c r="M25" s="85" t="e">
        <f t="shared" ca="1" si="38"/>
        <v>#NAME?</v>
      </c>
      <c r="N25" s="40" t="e">
        <f ca="1">INT(M25) + _xll.RiskBinomial(1,M25-INT(M25))</f>
        <v>#NAME?</v>
      </c>
      <c r="O25" s="33" t="e">
        <f t="shared" ca="1" si="1"/>
        <v>#NAME?</v>
      </c>
      <c r="P25" s="38" t="e">
        <f ca="1">_xll.RiskBinomial(1,O25)</f>
        <v>#NAME?</v>
      </c>
      <c r="Q25" s="86" t="e">
        <f ca="1">IF(P25=1,_xll.RiskBinomial(1,Prob_illness_Noro_infection),0)</f>
        <v>#NAME?</v>
      </c>
      <c r="R25" s="33"/>
      <c r="S25" s="85" t="e">
        <f t="shared" ca="1" si="39"/>
        <v>#NAME?</v>
      </c>
      <c r="T25" s="40" t="e">
        <f ca="1">INT(S25) + _xll.RiskBinomial(1,S25-INT(S25))</f>
        <v>#NAME?</v>
      </c>
      <c r="U25" s="33" t="e">
        <f t="shared" ca="1" si="2"/>
        <v>#NAME?</v>
      </c>
      <c r="V25" s="38" t="e">
        <f ca="1">_xll.RiskBinomial(1,U25)</f>
        <v>#NAME?</v>
      </c>
      <c r="W25" s="86" t="e">
        <f ca="1">IF(V25=1,_xll.RiskBinomial(1,Prob_illness_Noro_infection),0)</f>
        <v>#NAME?</v>
      </c>
      <c r="X25" s="33"/>
      <c r="Y25" s="85" t="e">
        <f t="shared" ca="1" si="3"/>
        <v>#NAME?</v>
      </c>
      <c r="Z25" s="40" t="e">
        <f ca="1">INT(Y25) + _xll.RiskBinomial(1,Y25-INT(Y25))</f>
        <v>#NAME?</v>
      </c>
      <c r="AA25" s="33" t="e">
        <f t="shared" ca="1" si="4"/>
        <v>#NAME?</v>
      </c>
      <c r="AB25" s="38" t="e">
        <f ca="1">_xll.RiskBinomial(1,AA25)</f>
        <v>#NAME?</v>
      </c>
      <c r="AC25" s="86" t="e">
        <f ca="1">IF(AB25=1,_xll.RiskBinomial(1,Prob_illness_Noro_infection),0)</f>
        <v>#NAME?</v>
      </c>
      <c r="AD25" s="33"/>
      <c r="AE25" s="85" t="e">
        <f t="shared" ca="1" si="5"/>
        <v>#NAME?</v>
      </c>
      <c r="AF25" s="40" t="e">
        <f ca="1">INT(AE25) + _xll.RiskBinomial(1,AE25-INT(AE25))</f>
        <v>#NAME?</v>
      </c>
      <c r="AG25" s="33" t="e">
        <f t="shared" ca="1" si="6"/>
        <v>#NAME?</v>
      </c>
      <c r="AH25" s="38" t="e">
        <f ca="1">_xll.RiskBinomial(1,AG25)</f>
        <v>#NAME?</v>
      </c>
      <c r="AI25" s="86" t="e">
        <f ca="1">IF(AH25=1,_xll.RiskBinomial(1,Prob_illness_Noro_infection),0)</f>
        <v>#NAME?</v>
      </c>
      <c r="AJ25" s="33"/>
      <c r="AK25" s="85" t="e">
        <f t="shared" ca="1" si="7"/>
        <v>#NAME?</v>
      </c>
      <c r="AL25" s="40" t="e">
        <f ca="1">INT(AK25) + _xll.RiskBinomial(1,AK25-INT(AK25))</f>
        <v>#NAME?</v>
      </c>
      <c r="AM25" s="33" t="e">
        <f t="shared" ca="1" si="8"/>
        <v>#NAME?</v>
      </c>
      <c r="AN25" s="38" t="e">
        <f ca="1">_xll.RiskBinomial(1,AM25)</f>
        <v>#NAME?</v>
      </c>
      <c r="AO25" s="86" t="e">
        <f ca="1">IF(AN25=1,_xll.RiskBinomial(1,Prob_illness_Noro_infection),0)</f>
        <v>#NAME?</v>
      </c>
      <c r="AP25" s="33"/>
      <c r="AQ25" s="85" t="e">
        <f t="shared" ca="1" si="9"/>
        <v>#NAME?</v>
      </c>
      <c r="AR25" s="40" t="e">
        <f ca="1">INT(AQ25) + _xll.RiskBinomial(1,AQ25-INT(AQ25))</f>
        <v>#NAME?</v>
      </c>
      <c r="AS25" s="33" t="e">
        <f t="shared" ca="1" si="10"/>
        <v>#NAME?</v>
      </c>
      <c r="AT25" s="38" t="e">
        <f ca="1">_xll.RiskBinomial(1,AS25)</f>
        <v>#NAME?</v>
      </c>
      <c r="AU25" s="86" t="e">
        <f ca="1">IF(AT25=1,_xll.RiskBinomial(1,Prob_illness_Noro_infection),0)</f>
        <v>#NAME?</v>
      </c>
      <c r="AV25" s="33"/>
      <c r="AW25" s="85" t="e">
        <f t="shared" ca="1" si="40"/>
        <v>#NAME?</v>
      </c>
      <c r="AX25" s="40" t="e">
        <f ca="1">INT(AW25) + _xll.RiskBinomial(1,AW25-INT(AW25))</f>
        <v>#NAME?</v>
      </c>
      <c r="AY25" s="33" t="e">
        <f t="shared" ca="1" si="11"/>
        <v>#NAME?</v>
      </c>
      <c r="AZ25" s="38" t="e">
        <f ca="1">_xll.RiskBinomial(1,AY25)</f>
        <v>#NAME?</v>
      </c>
      <c r="BA25" s="86" t="e">
        <f ca="1">IF(AZ25=1,_xll.RiskBinomial(1,Prob_illness_Noro_infection),0)</f>
        <v>#NAME?</v>
      </c>
      <c r="BC25" s="85" t="e">
        <f t="shared" ca="1" si="41"/>
        <v>#NAME?</v>
      </c>
      <c r="BD25" s="40" t="e">
        <f ca="1">INT(BC25) + _xll.RiskBinomial(1,BC25-INT(BC25))</f>
        <v>#NAME?</v>
      </c>
      <c r="BE25" s="33" t="e">
        <f t="shared" ca="1" si="12"/>
        <v>#NAME?</v>
      </c>
      <c r="BF25" s="38" t="e">
        <f ca="1">_xll.RiskBinomial(1,BE25)</f>
        <v>#NAME?</v>
      </c>
      <c r="BG25" s="86" t="e">
        <f ca="1">IF(BF25=1,_xll.RiskBinomial(1,Prob_illness_Noro_infection),0)</f>
        <v>#NAME?</v>
      </c>
      <c r="BI25" s="85" t="e">
        <f t="shared" ca="1" si="42"/>
        <v>#NAME?</v>
      </c>
      <c r="BJ25" s="40" t="e">
        <f ca="1">INT(BI25) + _xll.RiskBinomial(1,BI25-INT(BI25))</f>
        <v>#NAME?</v>
      </c>
      <c r="BK25" s="33" t="e">
        <f t="shared" ca="1" si="13"/>
        <v>#NAME?</v>
      </c>
      <c r="BL25" s="38" t="e">
        <f ca="1">_xll.RiskBinomial(1,BK25)</f>
        <v>#NAME?</v>
      </c>
      <c r="BM25" s="86" t="e">
        <f ca="1">IF(BL25=1,_xll.RiskBinomial(1,Prob_illness_Noro_infection),0)</f>
        <v>#NAME?</v>
      </c>
      <c r="BO25" s="85" t="e">
        <f t="shared" ca="1" si="43"/>
        <v>#NAME?</v>
      </c>
      <c r="BP25" s="40" t="e">
        <f ca="1">INT(BO25) + _xll.RiskBinomial(1,BO25-INT(BO25))</f>
        <v>#NAME?</v>
      </c>
      <c r="BQ25" s="33" t="e">
        <f t="shared" ca="1" si="14"/>
        <v>#NAME?</v>
      </c>
      <c r="BR25" s="38" t="e">
        <f ca="1">_xll.RiskBinomial(1,BQ25)</f>
        <v>#NAME?</v>
      </c>
      <c r="BS25" s="86" t="e">
        <f ca="1">IF(BR25=1,_xll.RiskBinomial(1,Prob_illness_Noro_infection),0)</f>
        <v>#NAME?</v>
      </c>
      <c r="BU25" s="85" t="e">
        <f t="shared" ca="1" si="44"/>
        <v>#NAME?</v>
      </c>
      <c r="BV25" s="40" t="e">
        <f ca="1">INT(BU25) + _xll.RiskBinomial(1,BU25-INT(BU25))</f>
        <v>#NAME?</v>
      </c>
      <c r="BW25" s="33" t="e">
        <f t="shared" ca="1" si="15"/>
        <v>#NAME?</v>
      </c>
      <c r="BX25" s="38" t="e">
        <f ca="1">_xll.RiskBinomial(1,BW25)</f>
        <v>#NAME?</v>
      </c>
      <c r="BY25" s="86" t="e">
        <f ca="1">IF(BX25=1,_xll.RiskBinomial(1,Prob_illness_Noro_infection),0)</f>
        <v>#NAME?</v>
      </c>
      <c r="CA25" s="85" t="e">
        <f t="shared" ca="1" si="45"/>
        <v>#NAME?</v>
      </c>
      <c r="CB25" s="40" t="e">
        <f ca="1">INT(CA25) + _xll.RiskBinomial(1,CA25-INT(CA25))</f>
        <v>#NAME?</v>
      </c>
      <c r="CC25" s="33" t="e">
        <f t="shared" ca="1" si="16"/>
        <v>#NAME?</v>
      </c>
      <c r="CD25" s="38" t="e">
        <f ca="1">_xll.RiskBinomial(1,CC25)</f>
        <v>#NAME?</v>
      </c>
      <c r="CE25" s="86" t="e">
        <f ca="1">IF(CD25=1,_xll.RiskBinomial(1,Prob_illness_Noro_infection),0)</f>
        <v>#NAME?</v>
      </c>
      <c r="CG25" s="85" t="e">
        <f t="shared" ca="1" si="46"/>
        <v>#NAME?</v>
      </c>
      <c r="CH25" s="40" t="e">
        <f ca="1">INT(CG25) + _xll.RiskBinomial(1,CG25-INT(CG25))</f>
        <v>#NAME?</v>
      </c>
      <c r="CI25" s="33" t="e">
        <f t="shared" ca="1" si="17"/>
        <v>#NAME?</v>
      </c>
      <c r="CJ25" s="38" t="e">
        <f ca="1">_xll.RiskBinomial(1,CI25)</f>
        <v>#NAME?</v>
      </c>
      <c r="CK25" s="86" t="e">
        <f ca="1">IF(CJ25=1,_xll.RiskBinomial(1,Prob_illness_Noro_infection),0)</f>
        <v>#NAME?</v>
      </c>
      <c r="CM25" s="85" t="e">
        <f t="shared" ca="1" si="47"/>
        <v>#NAME?</v>
      </c>
      <c r="CN25" s="40" t="e">
        <f ca="1">INT(CM25) + _xll.RiskBinomial(1,CM25-INT(CM25))</f>
        <v>#NAME?</v>
      </c>
      <c r="CO25" s="33" t="e">
        <f t="shared" ca="1" si="18"/>
        <v>#NAME?</v>
      </c>
      <c r="CP25" s="38" t="e">
        <f ca="1">_xll.RiskBinomial(1,CO25)</f>
        <v>#NAME?</v>
      </c>
      <c r="CQ25" s="86" t="e">
        <f ca="1">IF(CP25=1,_xll.RiskBinomial(1,Prob_illness_Noro_infection),0)</f>
        <v>#NAME?</v>
      </c>
      <c r="CS25" s="85" t="e">
        <f t="shared" ca="1" si="48"/>
        <v>#NAME?</v>
      </c>
      <c r="CT25" s="40" t="e">
        <f ca="1">INT(CS25) + _xll.RiskBinomial(1,CS25-INT(CS25))</f>
        <v>#NAME?</v>
      </c>
      <c r="CU25" s="33" t="e">
        <f t="shared" ca="1" si="19"/>
        <v>#NAME?</v>
      </c>
      <c r="CV25" s="38" t="e">
        <f ca="1">_xll.RiskBinomial(1,CU25)</f>
        <v>#NAME?</v>
      </c>
      <c r="CW25" s="86" t="e">
        <f ca="1">IF(CV25=1,_xll.RiskBinomial(1,Prob_illness_Noro_infection),0)</f>
        <v>#NAME?</v>
      </c>
      <c r="CY25" s="85" t="e">
        <f t="shared" ca="1" si="49"/>
        <v>#NAME?</v>
      </c>
      <c r="CZ25" s="40" t="e">
        <f ca="1">INT(CY25) + _xll.RiskBinomial(1,CY25-INT(CY25))</f>
        <v>#NAME?</v>
      </c>
      <c r="DA25" s="33" t="e">
        <f t="shared" ca="1" si="20"/>
        <v>#NAME?</v>
      </c>
      <c r="DB25" s="38" t="e">
        <f ca="1">_xll.RiskBinomial(1,DA25)</f>
        <v>#NAME?</v>
      </c>
      <c r="DC25" s="86" t="e">
        <f ca="1">IF(DB25=1,_xll.RiskBinomial(1,Prob_illness_Noro_infection),0)</f>
        <v>#NAME?</v>
      </c>
      <c r="DE25" s="85" t="e">
        <f t="shared" ca="1" si="50"/>
        <v>#NAME?</v>
      </c>
      <c r="DF25" s="40" t="e">
        <f ca="1">INT(DE25) + _xll.RiskBinomial(1,DE25-INT(DE25))</f>
        <v>#NAME?</v>
      </c>
      <c r="DG25" s="33" t="e">
        <f t="shared" ca="1" si="21"/>
        <v>#NAME?</v>
      </c>
      <c r="DH25" s="38" t="e">
        <f ca="1">_xll.RiskBinomial(1,DG25)</f>
        <v>#NAME?</v>
      </c>
      <c r="DI25" s="86" t="e">
        <f ca="1">IF(DH25=1,_xll.RiskBinomial(1,Prob_illness_Noro_infection),0)</f>
        <v>#NAME?</v>
      </c>
      <c r="DK25" s="85" t="e">
        <f t="shared" ca="1" si="51"/>
        <v>#NAME?</v>
      </c>
      <c r="DL25" s="40" t="e">
        <f ca="1">INT(DK25) + _xll.RiskBinomial(1,DK25-INT(DK25))</f>
        <v>#NAME?</v>
      </c>
      <c r="DM25" s="33" t="e">
        <f t="shared" ca="1" si="22"/>
        <v>#NAME?</v>
      </c>
      <c r="DN25" s="38" t="e">
        <f ca="1">_xll.RiskBinomial(1,DM25)</f>
        <v>#NAME?</v>
      </c>
      <c r="DO25" s="86" t="e">
        <f ca="1">IF(DN25=1,_xll.RiskBinomial(1,Prob_illness_Noro_infection),0)</f>
        <v>#NAME?</v>
      </c>
      <c r="DQ25" s="85" t="e">
        <f t="shared" ca="1" si="52"/>
        <v>#NAME?</v>
      </c>
      <c r="DR25" s="40" t="e">
        <f ca="1">INT(DQ25) + _xll.RiskBinomial(1,DQ25-INT(DQ25))</f>
        <v>#NAME?</v>
      </c>
      <c r="DS25" s="33" t="e">
        <f t="shared" ca="1" si="23"/>
        <v>#NAME?</v>
      </c>
      <c r="DT25" s="38" t="e">
        <f ca="1">_xll.RiskBinomial(1,DS25)</f>
        <v>#NAME?</v>
      </c>
      <c r="DU25" s="86" t="e">
        <f ca="1">IF(DT25=1,_xll.RiskBinomial(1,Prob_illness_Noro_infection),0)</f>
        <v>#NAME?</v>
      </c>
      <c r="DW25" s="85" t="e">
        <f t="shared" ca="1" si="53"/>
        <v>#NAME?</v>
      </c>
      <c r="DX25" s="40" t="e">
        <f ca="1">INT(DW25) + _xll.RiskBinomial(1,DW25-INT(DW25))</f>
        <v>#NAME?</v>
      </c>
      <c r="DY25" s="33" t="e">
        <f t="shared" ca="1" si="24"/>
        <v>#NAME?</v>
      </c>
      <c r="DZ25" s="38" t="e">
        <f ca="1">_xll.RiskBinomial(1,DY25)</f>
        <v>#NAME?</v>
      </c>
      <c r="EA25" s="86" t="e">
        <f ca="1">IF(DZ25=1,_xll.RiskBinomial(1,Prob_illness_Noro_infection),0)</f>
        <v>#NAME?</v>
      </c>
      <c r="EC25" s="85" t="e">
        <f t="shared" ca="1" si="54"/>
        <v>#NAME?</v>
      </c>
      <c r="ED25" s="40" t="e">
        <f ca="1">INT(EC25) + _xll.RiskBinomial(1,EC25-INT(EC25))</f>
        <v>#NAME?</v>
      </c>
      <c r="EE25" s="33" t="e">
        <f t="shared" ca="1" si="25"/>
        <v>#NAME?</v>
      </c>
      <c r="EF25" s="38" t="e">
        <f ca="1">_xll.RiskBinomial(1,EE25)</f>
        <v>#NAME?</v>
      </c>
      <c r="EG25" s="86" t="e">
        <f ca="1">IF(EF25=1,_xll.RiskBinomial(1,Prob_illness_Noro_infection),0)</f>
        <v>#NAME?</v>
      </c>
      <c r="EI25" s="85" t="e">
        <f t="shared" ca="1" si="55"/>
        <v>#NAME?</v>
      </c>
      <c r="EJ25" s="40" t="e">
        <f ca="1">INT(EI25) + _xll.RiskBinomial(1,EI25-INT(EI25))</f>
        <v>#NAME?</v>
      </c>
      <c r="EK25" s="33" t="e">
        <f t="shared" ca="1" si="26"/>
        <v>#NAME?</v>
      </c>
      <c r="EL25" s="38" t="e">
        <f ca="1">_xll.RiskBinomial(1,EK25)</f>
        <v>#NAME?</v>
      </c>
      <c r="EM25" s="86" t="e">
        <f ca="1">IF(EL25=1,_xll.RiskBinomial(1,Prob_illness_Noro_infection),0)</f>
        <v>#NAME?</v>
      </c>
      <c r="EO25" s="85" t="e">
        <f t="shared" ca="1" si="56"/>
        <v>#NAME?</v>
      </c>
      <c r="EP25" s="40" t="e">
        <f ca="1">INT(EO25) + _xll.RiskBinomial(1,EO25-INT(EO25))</f>
        <v>#NAME?</v>
      </c>
      <c r="EQ25" s="33" t="e">
        <f t="shared" ca="1" si="27"/>
        <v>#NAME?</v>
      </c>
      <c r="ER25" s="38" t="e">
        <f ca="1">_xll.RiskBinomial(1,EQ25)</f>
        <v>#NAME?</v>
      </c>
      <c r="ES25" s="86" t="e">
        <f ca="1">IF(ER25=1,_xll.RiskBinomial(1,Prob_illness_Noro_infection),0)</f>
        <v>#NAME?</v>
      </c>
      <c r="EU25" s="85" t="e">
        <f t="shared" ca="1" si="57"/>
        <v>#NAME?</v>
      </c>
      <c r="EV25" s="40" t="e">
        <f ca="1">INT(EU25) + _xll.RiskBinomial(1,EU25-INT(EU25))</f>
        <v>#NAME?</v>
      </c>
      <c r="EW25" s="33" t="e">
        <f t="shared" ca="1" si="28"/>
        <v>#NAME?</v>
      </c>
      <c r="EX25" s="38" t="e">
        <f ca="1">_xll.RiskBinomial(1,EW25)</f>
        <v>#NAME?</v>
      </c>
      <c r="EY25" s="86" t="e">
        <f ca="1">IF(EX25=1,_xll.RiskBinomial(1,Prob_illness_Noro_infection),0)</f>
        <v>#NAME?</v>
      </c>
      <c r="FA25" s="85" t="e">
        <f t="shared" ca="1" si="58"/>
        <v>#NAME?</v>
      </c>
      <c r="FB25" s="40" t="e">
        <f ca="1">INT(FA25) + _xll.RiskBinomial(1,FA25-INT(FA25))</f>
        <v>#NAME?</v>
      </c>
      <c r="FC25" s="33" t="e">
        <f t="shared" ca="1" si="29"/>
        <v>#NAME?</v>
      </c>
      <c r="FD25" s="38" t="e">
        <f ca="1">_xll.RiskBinomial(1,FC25)</f>
        <v>#NAME?</v>
      </c>
      <c r="FE25" s="86" t="e">
        <f ca="1">IF(FD25=1,_xll.RiskBinomial(1,Prob_illness_Noro_infection),0)</f>
        <v>#NAME?</v>
      </c>
      <c r="FG25" s="85" t="e">
        <f t="shared" ca="1" si="59"/>
        <v>#NAME?</v>
      </c>
      <c r="FH25" s="40" t="e">
        <f ca="1">INT(FG25) + _xll.RiskBinomial(1,FG25-INT(FG25))</f>
        <v>#NAME?</v>
      </c>
      <c r="FI25" s="33" t="e">
        <f t="shared" ca="1" si="30"/>
        <v>#NAME?</v>
      </c>
      <c r="FJ25" s="38" t="e">
        <f ca="1">_xll.RiskBinomial(1,FI25)</f>
        <v>#NAME?</v>
      </c>
      <c r="FK25" s="86" t="e">
        <f ca="1">IF(FJ25=1,_xll.RiskBinomial(1,Prob_illness_Noro_infection),0)</f>
        <v>#NAME?</v>
      </c>
      <c r="FM25" s="85" t="e">
        <f t="shared" ca="1" si="60"/>
        <v>#NAME?</v>
      </c>
      <c r="FN25" s="40" t="e">
        <f ca="1">INT(FM25) + _xll.RiskBinomial(1,FM25-INT(FM25))</f>
        <v>#NAME?</v>
      </c>
      <c r="FO25" s="33" t="e">
        <f t="shared" ca="1" si="31"/>
        <v>#NAME?</v>
      </c>
      <c r="FP25" s="38" t="e">
        <f ca="1">_xll.RiskBinomial(1,FO25)</f>
        <v>#NAME?</v>
      </c>
      <c r="FQ25" s="86" t="e">
        <f ca="1">IF(FP25=1,_xll.RiskBinomial(1,Prob_illness_Noro_infection),0)</f>
        <v>#NAME?</v>
      </c>
      <c r="FS25" s="85" t="e">
        <f t="shared" ca="1" si="61"/>
        <v>#NAME?</v>
      </c>
      <c r="FT25" s="40" t="e">
        <f ca="1">INT(FS25) + _xll.RiskBinomial(1,FS25-INT(FS25))</f>
        <v>#NAME?</v>
      </c>
      <c r="FU25" s="33" t="e">
        <f t="shared" ca="1" si="32"/>
        <v>#NAME?</v>
      </c>
      <c r="FV25" s="38" t="e">
        <f ca="1">_xll.RiskBinomial(1,FU25)</f>
        <v>#NAME?</v>
      </c>
      <c r="FW25" s="86" t="e">
        <f ca="1">IF(FV25=1,_xll.RiskBinomial(1,Prob_illness_Noro_infection),0)</f>
        <v>#NAME?</v>
      </c>
      <c r="FY25" s="85" t="e">
        <f t="shared" ca="1" si="62"/>
        <v>#NAME?</v>
      </c>
      <c r="FZ25" s="40" t="e">
        <f ca="1">INT(FY25) + _xll.RiskBinomial(1,FY25-INT(FY25))</f>
        <v>#NAME?</v>
      </c>
      <c r="GA25" s="33" t="e">
        <f t="shared" ca="1" si="33"/>
        <v>#NAME?</v>
      </c>
      <c r="GB25" s="38" t="e">
        <f ca="1">_xll.RiskBinomial(1,GA25)</f>
        <v>#NAME?</v>
      </c>
      <c r="GC25" s="86" t="e">
        <f ca="1">IF(GB25=1,_xll.RiskBinomial(1,Prob_illness_Noro_infection),0)</f>
        <v>#NAME?</v>
      </c>
      <c r="GE25" s="85" t="e">
        <f t="shared" ca="1" si="63"/>
        <v>#NAME?</v>
      </c>
      <c r="GF25" s="40" t="e">
        <f ca="1">INT(GE25) + _xll.RiskBinomial(1,GE25-INT(GE25))</f>
        <v>#NAME?</v>
      </c>
      <c r="GG25" s="33" t="e">
        <f t="shared" ca="1" si="34"/>
        <v>#NAME?</v>
      </c>
      <c r="GH25" s="38" t="e">
        <f ca="1">_xll.RiskBinomial(1,GG25)</f>
        <v>#NAME?</v>
      </c>
      <c r="GI25" s="86" t="e">
        <f ca="1">IF(GH25=1,_xll.RiskBinomial(1,Prob_illness_Noro_infection),0)</f>
        <v>#NAME?</v>
      </c>
      <c r="GK25" s="85" t="e">
        <f t="shared" ca="1" si="64"/>
        <v>#NAME?</v>
      </c>
      <c r="GL25" s="40" t="e">
        <f ca="1">INT(GK25) + _xll.RiskBinomial(1,GK25-INT(GK25))</f>
        <v>#NAME?</v>
      </c>
      <c r="GM25" s="33" t="e">
        <f t="shared" ca="1" si="35"/>
        <v>#NAME?</v>
      </c>
      <c r="GN25" s="38" t="e">
        <f ca="1">_xll.RiskBinomial(1,GM25)</f>
        <v>#NAME?</v>
      </c>
      <c r="GO25" s="86" t="e">
        <f ca="1">IF(GN25=1,_xll.RiskBinomial(1,Prob_illness_Noro_infection),0)</f>
        <v>#NAME?</v>
      </c>
    </row>
    <row r="26" spans="2:197" x14ac:dyDescent="0.25">
      <c r="B26" s="106">
        <v>18</v>
      </c>
      <c r="C26" s="109" t="e">
        <f ca="1" xml:space="preserve"> _xll.RiskPert(Dur_Swim_hours_min,Dur_Swim_hours_mode,Dur_Swim_hours_max)</f>
        <v>#NAME?</v>
      </c>
      <c r="D26" s="33" t="e">
        <f ca="1">_xll.RiskLognorm(Primary_Ing_Rate_mL_per_hour_mean,Primary_Ing_Rate_mL_per_hour_sd, _xll.RiskTruncate(Primary_Ing_Rate_mL_per_hour_min,Primary_Ing_Rate_mL_per_hour_max))</f>
        <v>#NAME?</v>
      </c>
      <c r="E26" s="41" t="e">
        <f t="shared" ca="1" si="36"/>
        <v>#NAME?</v>
      </c>
      <c r="F26" s="33"/>
      <c r="G26" s="85" t="e">
        <f t="shared" ca="1" si="37"/>
        <v>#NAME?</v>
      </c>
      <c r="H26" s="40" t="e">
        <f ca="1">INT(G26) + _xll.RiskBinomial(1,G26-INT(G26))</f>
        <v>#NAME?</v>
      </c>
      <c r="I26" s="33" t="e">
        <f t="shared" ca="1" si="0"/>
        <v>#NAME?</v>
      </c>
      <c r="J26" s="38" t="e">
        <f ca="1">_xll.RiskBinomial(1,I26)</f>
        <v>#NAME?</v>
      </c>
      <c r="K26" s="86" t="e">
        <f ca="1">IF(J26=1,_xll.RiskBinomial(1,Prob_illness_Noro_infection),0)</f>
        <v>#NAME?</v>
      </c>
      <c r="L26" s="33"/>
      <c r="M26" s="85" t="e">
        <f t="shared" ca="1" si="38"/>
        <v>#NAME?</v>
      </c>
      <c r="N26" s="40" t="e">
        <f ca="1">INT(M26) + _xll.RiskBinomial(1,M26-INT(M26))</f>
        <v>#NAME?</v>
      </c>
      <c r="O26" s="33" t="e">
        <f t="shared" ca="1" si="1"/>
        <v>#NAME?</v>
      </c>
      <c r="P26" s="38" t="e">
        <f ca="1">_xll.RiskBinomial(1,O26)</f>
        <v>#NAME?</v>
      </c>
      <c r="Q26" s="86" t="e">
        <f ca="1">IF(P26=1,_xll.RiskBinomial(1,Prob_illness_Noro_infection),0)</f>
        <v>#NAME?</v>
      </c>
      <c r="R26" s="33"/>
      <c r="S26" s="85" t="e">
        <f t="shared" ca="1" si="39"/>
        <v>#NAME?</v>
      </c>
      <c r="T26" s="40" t="e">
        <f ca="1">INT(S26) + _xll.RiskBinomial(1,S26-INT(S26))</f>
        <v>#NAME?</v>
      </c>
      <c r="U26" s="33" t="e">
        <f t="shared" ca="1" si="2"/>
        <v>#NAME?</v>
      </c>
      <c r="V26" s="38" t="e">
        <f ca="1">_xll.RiskBinomial(1,U26)</f>
        <v>#NAME?</v>
      </c>
      <c r="W26" s="86" t="e">
        <f ca="1">IF(V26=1,_xll.RiskBinomial(1,Prob_illness_Noro_infection),0)</f>
        <v>#NAME?</v>
      </c>
      <c r="X26" s="33"/>
      <c r="Y26" s="85" t="e">
        <f t="shared" ca="1" si="3"/>
        <v>#NAME?</v>
      </c>
      <c r="Z26" s="40" t="e">
        <f ca="1">INT(Y26) + _xll.RiskBinomial(1,Y26-INT(Y26))</f>
        <v>#NAME?</v>
      </c>
      <c r="AA26" s="33" t="e">
        <f t="shared" ca="1" si="4"/>
        <v>#NAME?</v>
      </c>
      <c r="AB26" s="38" t="e">
        <f ca="1">_xll.RiskBinomial(1,AA26)</f>
        <v>#NAME?</v>
      </c>
      <c r="AC26" s="86" t="e">
        <f ca="1">IF(AB26=1,_xll.RiskBinomial(1,Prob_illness_Noro_infection),0)</f>
        <v>#NAME?</v>
      </c>
      <c r="AD26" s="33"/>
      <c r="AE26" s="85" t="e">
        <f t="shared" ca="1" si="5"/>
        <v>#NAME?</v>
      </c>
      <c r="AF26" s="40" t="e">
        <f ca="1">INT(AE26) + _xll.RiskBinomial(1,AE26-INT(AE26))</f>
        <v>#NAME?</v>
      </c>
      <c r="AG26" s="33" t="e">
        <f t="shared" ca="1" si="6"/>
        <v>#NAME?</v>
      </c>
      <c r="AH26" s="38" t="e">
        <f ca="1">_xll.RiskBinomial(1,AG26)</f>
        <v>#NAME?</v>
      </c>
      <c r="AI26" s="86" t="e">
        <f ca="1">IF(AH26=1,_xll.RiskBinomial(1,Prob_illness_Noro_infection),0)</f>
        <v>#NAME?</v>
      </c>
      <c r="AJ26" s="33"/>
      <c r="AK26" s="85" t="e">
        <f t="shared" ca="1" si="7"/>
        <v>#NAME?</v>
      </c>
      <c r="AL26" s="40" t="e">
        <f ca="1">INT(AK26) + _xll.RiskBinomial(1,AK26-INT(AK26))</f>
        <v>#NAME?</v>
      </c>
      <c r="AM26" s="33" t="e">
        <f t="shared" ca="1" si="8"/>
        <v>#NAME?</v>
      </c>
      <c r="AN26" s="38" t="e">
        <f ca="1">_xll.RiskBinomial(1,AM26)</f>
        <v>#NAME?</v>
      </c>
      <c r="AO26" s="86" t="e">
        <f ca="1">IF(AN26=1,_xll.RiskBinomial(1,Prob_illness_Noro_infection),0)</f>
        <v>#NAME?</v>
      </c>
      <c r="AP26" s="33"/>
      <c r="AQ26" s="85" t="e">
        <f t="shared" ca="1" si="9"/>
        <v>#NAME?</v>
      </c>
      <c r="AR26" s="40" t="e">
        <f ca="1">INT(AQ26) + _xll.RiskBinomial(1,AQ26-INT(AQ26))</f>
        <v>#NAME?</v>
      </c>
      <c r="AS26" s="33" t="e">
        <f t="shared" ca="1" si="10"/>
        <v>#NAME?</v>
      </c>
      <c r="AT26" s="38" t="e">
        <f ca="1">_xll.RiskBinomial(1,AS26)</f>
        <v>#NAME?</v>
      </c>
      <c r="AU26" s="86" t="e">
        <f ca="1">IF(AT26=1,_xll.RiskBinomial(1,Prob_illness_Noro_infection),0)</f>
        <v>#NAME?</v>
      </c>
      <c r="AV26" s="33"/>
      <c r="AW26" s="85" t="e">
        <f t="shared" ca="1" si="40"/>
        <v>#NAME?</v>
      </c>
      <c r="AX26" s="40" t="e">
        <f ca="1">INT(AW26) + _xll.RiskBinomial(1,AW26-INT(AW26))</f>
        <v>#NAME?</v>
      </c>
      <c r="AY26" s="33" t="e">
        <f t="shared" ca="1" si="11"/>
        <v>#NAME?</v>
      </c>
      <c r="AZ26" s="38" t="e">
        <f ca="1">_xll.RiskBinomial(1,AY26)</f>
        <v>#NAME?</v>
      </c>
      <c r="BA26" s="86" t="e">
        <f ca="1">IF(AZ26=1,_xll.RiskBinomial(1,Prob_illness_Noro_infection),0)</f>
        <v>#NAME?</v>
      </c>
      <c r="BC26" s="85" t="e">
        <f t="shared" ca="1" si="41"/>
        <v>#NAME?</v>
      </c>
      <c r="BD26" s="40" t="e">
        <f ca="1">INT(BC26) + _xll.RiskBinomial(1,BC26-INT(BC26))</f>
        <v>#NAME?</v>
      </c>
      <c r="BE26" s="33" t="e">
        <f t="shared" ca="1" si="12"/>
        <v>#NAME?</v>
      </c>
      <c r="BF26" s="38" t="e">
        <f ca="1">_xll.RiskBinomial(1,BE26)</f>
        <v>#NAME?</v>
      </c>
      <c r="BG26" s="86" t="e">
        <f ca="1">IF(BF26=1,_xll.RiskBinomial(1,Prob_illness_Noro_infection),0)</f>
        <v>#NAME?</v>
      </c>
      <c r="BI26" s="85" t="e">
        <f t="shared" ca="1" si="42"/>
        <v>#NAME?</v>
      </c>
      <c r="BJ26" s="40" t="e">
        <f ca="1">INT(BI26) + _xll.RiskBinomial(1,BI26-INT(BI26))</f>
        <v>#NAME?</v>
      </c>
      <c r="BK26" s="33" t="e">
        <f t="shared" ca="1" si="13"/>
        <v>#NAME?</v>
      </c>
      <c r="BL26" s="38" t="e">
        <f ca="1">_xll.RiskBinomial(1,BK26)</f>
        <v>#NAME?</v>
      </c>
      <c r="BM26" s="86" t="e">
        <f ca="1">IF(BL26=1,_xll.RiskBinomial(1,Prob_illness_Noro_infection),0)</f>
        <v>#NAME?</v>
      </c>
      <c r="BO26" s="85" t="e">
        <f t="shared" ca="1" si="43"/>
        <v>#NAME?</v>
      </c>
      <c r="BP26" s="40" t="e">
        <f ca="1">INT(BO26) + _xll.RiskBinomial(1,BO26-INT(BO26))</f>
        <v>#NAME?</v>
      </c>
      <c r="BQ26" s="33" t="e">
        <f t="shared" ca="1" si="14"/>
        <v>#NAME?</v>
      </c>
      <c r="BR26" s="38" t="e">
        <f ca="1">_xll.RiskBinomial(1,BQ26)</f>
        <v>#NAME?</v>
      </c>
      <c r="BS26" s="86" t="e">
        <f ca="1">IF(BR26=1,_xll.RiskBinomial(1,Prob_illness_Noro_infection),0)</f>
        <v>#NAME?</v>
      </c>
      <c r="BU26" s="85" t="e">
        <f t="shared" ca="1" si="44"/>
        <v>#NAME?</v>
      </c>
      <c r="BV26" s="40" t="e">
        <f ca="1">INT(BU26) + _xll.RiskBinomial(1,BU26-INT(BU26))</f>
        <v>#NAME?</v>
      </c>
      <c r="BW26" s="33" t="e">
        <f t="shared" ca="1" si="15"/>
        <v>#NAME?</v>
      </c>
      <c r="BX26" s="38" t="e">
        <f ca="1">_xll.RiskBinomial(1,BW26)</f>
        <v>#NAME?</v>
      </c>
      <c r="BY26" s="86" t="e">
        <f ca="1">IF(BX26=1,_xll.RiskBinomial(1,Prob_illness_Noro_infection),0)</f>
        <v>#NAME?</v>
      </c>
      <c r="CA26" s="85" t="e">
        <f t="shared" ca="1" si="45"/>
        <v>#NAME?</v>
      </c>
      <c r="CB26" s="40" t="e">
        <f ca="1">INT(CA26) + _xll.RiskBinomial(1,CA26-INT(CA26))</f>
        <v>#NAME?</v>
      </c>
      <c r="CC26" s="33" t="e">
        <f t="shared" ca="1" si="16"/>
        <v>#NAME?</v>
      </c>
      <c r="CD26" s="38" t="e">
        <f ca="1">_xll.RiskBinomial(1,CC26)</f>
        <v>#NAME?</v>
      </c>
      <c r="CE26" s="86" t="e">
        <f ca="1">IF(CD26=1,_xll.RiskBinomial(1,Prob_illness_Noro_infection),0)</f>
        <v>#NAME?</v>
      </c>
      <c r="CG26" s="85" t="e">
        <f t="shared" ca="1" si="46"/>
        <v>#NAME?</v>
      </c>
      <c r="CH26" s="40" t="e">
        <f ca="1">INT(CG26) + _xll.RiskBinomial(1,CG26-INT(CG26))</f>
        <v>#NAME?</v>
      </c>
      <c r="CI26" s="33" t="e">
        <f t="shared" ca="1" si="17"/>
        <v>#NAME?</v>
      </c>
      <c r="CJ26" s="38" t="e">
        <f ca="1">_xll.RiskBinomial(1,CI26)</f>
        <v>#NAME?</v>
      </c>
      <c r="CK26" s="86" t="e">
        <f ca="1">IF(CJ26=1,_xll.RiskBinomial(1,Prob_illness_Noro_infection),0)</f>
        <v>#NAME?</v>
      </c>
      <c r="CM26" s="85" t="e">
        <f t="shared" ca="1" si="47"/>
        <v>#NAME?</v>
      </c>
      <c r="CN26" s="40" t="e">
        <f ca="1">INT(CM26) + _xll.RiskBinomial(1,CM26-INT(CM26))</f>
        <v>#NAME?</v>
      </c>
      <c r="CO26" s="33" t="e">
        <f t="shared" ca="1" si="18"/>
        <v>#NAME?</v>
      </c>
      <c r="CP26" s="38" t="e">
        <f ca="1">_xll.RiskBinomial(1,CO26)</f>
        <v>#NAME?</v>
      </c>
      <c r="CQ26" s="86" t="e">
        <f ca="1">IF(CP26=1,_xll.RiskBinomial(1,Prob_illness_Noro_infection),0)</f>
        <v>#NAME?</v>
      </c>
      <c r="CS26" s="85" t="e">
        <f t="shared" ca="1" si="48"/>
        <v>#NAME?</v>
      </c>
      <c r="CT26" s="40" t="e">
        <f ca="1">INT(CS26) + _xll.RiskBinomial(1,CS26-INT(CS26))</f>
        <v>#NAME?</v>
      </c>
      <c r="CU26" s="33" t="e">
        <f t="shared" ca="1" si="19"/>
        <v>#NAME?</v>
      </c>
      <c r="CV26" s="38" t="e">
        <f ca="1">_xll.RiskBinomial(1,CU26)</f>
        <v>#NAME?</v>
      </c>
      <c r="CW26" s="86" t="e">
        <f ca="1">IF(CV26=1,_xll.RiskBinomial(1,Prob_illness_Noro_infection),0)</f>
        <v>#NAME?</v>
      </c>
      <c r="CY26" s="85" t="e">
        <f t="shared" ca="1" si="49"/>
        <v>#NAME?</v>
      </c>
      <c r="CZ26" s="40" t="e">
        <f ca="1">INT(CY26) + _xll.RiskBinomial(1,CY26-INT(CY26))</f>
        <v>#NAME?</v>
      </c>
      <c r="DA26" s="33" t="e">
        <f t="shared" ca="1" si="20"/>
        <v>#NAME?</v>
      </c>
      <c r="DB26" s="38" t="e">
        <f ca="1">_xll.RiskBinomial(1,DA26)</f>
        <v>#NAME?</v>
      </c>
      <c r="DC26" s="86" t="e">
        <f ca="1">IF(DB26=1,_xll.RiskBinomial(1,Prob_illness_Noro_infection),0)</f>
        <v>#NAME?</v>
      </c>
      <c r="DE26" s="85" t="e">
        <f t="shared" ca="1" si="50"/>
        <v>#NAME?</v>
      </c>
      <c r="DF26" s="40" t="e">
        <f ca="1">INT(DE26) + _xll.RiskBinomial(1,DE26-INT(DE26))</f>
        <v>#NAME?</v>
      </c>
      <c r="DG26" s="33" t="e">
        <f t="shared" ca="1" si="21"/>
        <v>#NAME?</v>
      </c>
      <c r="DH26" s="38" t="e">
        <f ca="1">_xll.RiskBinomial(1,DG26)</f>
        <v>#NAME?</v>
      </c>
      <c r="DI26" s="86" t="e">
        <f ca="1">IF(DH26=1,_xll.RiskBinomial(1,Prob_illness_Noro_infection),0)</f>
        <v>#NAME?</v>
      </c>
      <c r="DK26" s="85" t="e">
        <f t="shared" ca="1" si="51"/>
        <v>#NAME?</v>
      </c>
      <c r="DL26" s="40" t="e">
        <f ca="1">INT(DK26) + _xll.RiskBinomial(1,DK26-INT(DK26))</f>
        <v>#NAME?</v>
      </c>
      <c r="DM26" s="33" t="e">
        <f t="shared" ca="1" si="22"/>
        <v>#NAME?</v>
      </c>
      <c r="DN26" s="38" t="e">
        <f ca="1">_xll.RiskBinomial(1,DM26)</f>
        <v>#NAME?</v>
      </c>
      <c r="DO26" s="86" t="e">
        <f ca="1">IF(DN26=1,_xll.RiskBinomial(1,Prob_illness_Noro_infection),0)</f>
        <v>#NAME?</v>
      </c>
      <c r="DQ26" s="85" t="e">
        <f t="shared" ca="1" si="52"/>
        <v>#NAME?</v>
      </c>
      <c r="DR26" s="40" t="e">
        <f ca="1">INT(DQ26) + _xll.RiskBinomial(1,DQ26-INT(DQ26))</f>
        <v>#NAME?</v>
      </c>
      <c r="DS26" s="33" t="e">
        <f t="shared" ca="1" si="23"/>
        <v>#NAME?</v>
      </c>
      <c r="DT26" s="38" t="e">
        <f ca="1">_xll.RiskBinomial(1,DS26)</f>
        <v>#NAME?</v>
      </c>
      <c r="DU26" s="86" t="e">
        <f ca="1">IF(DT26=1,_xll.RiskBinomial(1,Prob_illness_Noro_infection),0)</f>
        <v>#NAME?</v>
      </c>
      <c r="DW26" s="85" t="e">
        <f t="shared" ca="1" si="53"/>
        <v>#NAME?</v>
      </c>
      <c r="DX26" s="40" t="e">
        <f ca="1">INT(DW26) + _xll.RiskBinomial(1,DW26-INT(DW26))</f>
        <v>#NAME?</v>
      </c>
      <c r="DY26" s="33" t="e">
        <f t="shared" ca="1" si="24"/>
        <v>#NAME?</v>
      </c>
      <c r="DZ26" s="38" t="e">
        <f ca="1">_xll.RiskBinomial(1,DY26)</f>
        <v>#NAME?</v>
      </c>
      <c r="EA26" s="86" t="e">
        <f ca="1">IF(DZ26=1,_xll.RiskBinomial(1,Prob_illness_Noro_infection),0)</f>
        <v>#NAME?</v>
      </c>
      <c r="EC26" s="85" t="e">
        <f t="shared" ca="1" si="54"/>
        <v>#NAME?</v>
      </c>
      <c r="ED26" s="40" t="e">
        <f ca="1">INT(EC26) + _xll.RiskBinomial(1,EC26-INT(EC26))</f>
        <v>#NAME?</v>
      </c>
      <c r="EE26" s="33" t="e">
        <f t="shared" ca="1" si="25"/>
        <v>#NAME?</v>
      </c>
      <c r="EF26" s="38" t="e">
        <f ca="1">_xll.RiskBinomial(1,EE26)</f>
        <v>#NAME?</v>
      </c>
      <c r="EG26" s="86" t="e">
        <f ca="1">IF(EF26=1,_xll.RiskBinomial(1,Prob_illness_Noro_infection),0)</f>
        <v>#NAME?</v>
      </c>
      <c r="EI26" s="85" t="e">
        <f t="shared" ca="1" si="55"/>
        <v>#NAME?</v>
      </c>
      <c r="EJ26" s="40" t="e">
        <f ca="1">INT(EI26) + _xll.RiskBinomial(1,EI26-INT(EI26))</f>
        <v>#NAME?</v>
      </c>
      <c r="EK26" s="33" t="e">
        <f t="shared" ca="1" si="26"/>
        <v>#NAME?</v>
      </c>
      <c r="EL26" s="38" t="e">
        <f ca="1">_xll.RiskBinomial(1,EK26)</f>
        <v>#NAME?</v>
      </c>
      <c r="EM26" s="86" t="e">
        <f ca="1">IF(EL26=1,_xll.RiskBinomial(1,Prob_illness_Noro_infection),0)</f>
        <v>#NAME?</v>
      </c>
      <c r="EO26" s="85" t="e">
        <f t="shared" ca="1" si="56"/>
        <v>#NAME?</v>
      </c>
      <c r="EP26" s="40" t="e">
        <f ca="1">INT(EO26) + _xll.RiskBinomial(1,EO26-INT(EO26))</f>
        <v>#NAME?</v>
      </c>
      <c r="EQ26" s="33" t="e">
        <f t="shared" ca="1" si="27"/>
        <v>#NAME?</v>
      </c>
      <c r="ER26" s="38" t="e">
        <f ca="1">_xll.RiskBinomial(1,EQ26)</f>
        <v>#NAME?</v>
      </c>
      <c r="ES26" s="86" t="e">
        <f ca="1">IF(ER26=1,_xll.RiskBinomial(1,Prob_illness_Noro_infection),0)</f>
        <v>#NAME?</v>
      </c>
      <c r="EU26" s="85" t="e">
        <f t="shared" ca="1" si="57"/>
        <v>#NAME?</v>
      </c>
      <c r="EV26" s="40" t="e">
        <f ca="1">INT(EU26) + _xll.RiskBinomial(1,EU26-INT(EU26))</f>
        <v>#NAME?</v>
      </c>
      <c r="EW26" s="33" t="e">
        <f t="shared" ca="1" si="28"/>
        <v>#NAME?</v>
      </c>
      <c r="EX26" s="38" t="e">
        <f ca="1">_xll.RiskBinomial(1,EW26)</f>
        <v>#NAME?</v>
      </c>
      <c r="EY26" s="86" t="e">
        <f ca="1">IF(EX26=1,_xll.RiskBinomial(1,Prob_illness_Noro_infection),0)</f>
        <v>#NAME?</v>
      </c>
      <c r="FA26" s="85" t="e">
        <f t="shared" ca="1" si="58"/>
        <v>#NAME?</v>
      </c>
      <c r="FB26" s="40" t="e">
        <f ca="1">INT(FA26) + _xll.RiskBinomial(1,FA26-INT(FA26))</f>
        <v>#NAME?</v>
      </c>
      <c r="FC26" s="33" t="e">
        <f t="shared" ca="1" si="29"/>
        <v>#NAME?</v>
      </c>
      <c r="FD26" s="38" t="e">
        <f ca="1">_xll.RiskBinomial(1,FC26)</f>
        <v>#NAME?</v>
      </c>
      <c r="FE26" s="86" t="e">
        <f ca="1">IF(FD26=1,_xll.RiskBinomial(1,Prob_illness_Noro_infection),0)</f>
        <v>#NAME?</v>
      </c>
      <c r="FG26" s="85" t="e">
        <f t="shared" ca="1" si="59"/>
        <v>#NAME?</v>
      </c>
      <c r="FH26" s="40" t="e">
        <f ca="1">INT(FG26) + _xll.RiskBinomial(1,FG26-INT(FG26))</f>
        <v>#NAME?</v>
      </c>
      <c r="FI26" s="33" t="e">
        <f t="shared" ca="1" si="30"/>
        <v>#NAME?</v>
      </c>
      <c r="FJ26" s="38" t="e">
        <f ca="1">_xll.RiskBinomial(1,FI26)</f>
        <v>#NAME?</v>
      </c>
      <c r="FK26" s="86" t="e">
        <f ca="1">IF(FJ26=1,_xll.RiskBinomial(1,Prob_illness_Noro_infection),0)</f>
        <v>#NAME?</v>
      </c>
      <c r="FM26" s="85" t="e">
        <f t="shared" ca="1" si="60"/>
        <v>#NAME?</v>
      </c>
      <c r="FN26" s="40" t="e">
        <f ca="1">INT(FM26) + _xll.RiskBinomial(1,FM26-INT(FM26))</f>
        <v>#NAME?</v>
      </c>
      <c r="FO26" s="33" t="e">
        <f t="shared" ca="1" si="31"/>
        <v>#NAME?</v>
      </c>
      <c r="FP26" s="38" t="e">
        <f ca="1">_xll.RiskBinomial(1,FO26)</f>
        <v>#NAME?</v>
      </c>
      <c r="FQ26" s="86" t="e">
        <f ca="1">IF(FP26=1,_xll.RiskBinomial(1,Prob_illness_Noro_infection),0)</f>
        <v>#NAME?</v>
      </c>
      <c r="FS26" s="85" t="e">
        <f t="shared" ca="1" si="61"/>
        <v>#NAME?</v>
      </c>
      <c r="FT26" s="40" t="e">
        <f ca="1">INT(FS26) + _xll.RiskBinomial(1,FS26-INT(FS26))</f>
        <v>#NAME?</v>
      </c>
      <c r="FU26" s="33" t="e">
        <f t="shared" ca="1" si="32"/>
        <v>#NAME?</v>
      </c>
      <c r="FV26" s="38" t="e">
        <f ca="1">_xll.RiskBinomial(1,FU26)</f>
        <v>#NAME?</v>
      </c>
      <c r="FW26" s="86" t="e">
        <f ca="1">IF(FV26=1,_xll.RiskBinomial(1,Prob_illness_Noro_infection),0)</f>
        <v>#NAME?</v>
      </c>
      <c r="FY26" s="85" t="e">
        <f t="shared" ca="1" si="62"/>
        <v>#NAME?</v>
      </c>
      <c r="FZ26" s="40" t="e">
        <f ca="1">INT(FY26) + _xll.RiskBinomial(1,FY26-INT(FY26))</f>
        <v>#NAME?</v>
      </c>
      <c r="GA26" s="33" t="e">
        <f t="shared" ca="1" si="33"/>
        <v>#NAME?</v>
      </c>
      <c r="GB26" s="38" t="e">
        <f ca="1">_xll.RiskBinomial(1,GA26)</f>
        <v>#NAME?</v>
      </c>
      <c r="GC26" s="86" t="e">
        <f ca="1">IF(GB26=1,_xll.RiskBinomial(1,Prob_illness_Noro_infection),0)</f>
        <v>#NAME?</v>
      </c>
      <c r="GE26" s="85" t="e">
        <f t="shared" ca="1" si="63"/>
        <v>#NAME?</v>
      </c>
      <c r="GF26" s="40" t="e">
        <f ca="1">INT(GE26) + _xll.RiskBinomial(1,GE26-INT(GE26))</f>
        <v>#NAME?</v>
      </c>
      <c r="GG26" s="33" t="e">
        <f t="shared" ca="1" si="34"/>
        <v>#NAME?</v>
      </c>
      <c r="GH26" s="38" t="e">
        <f ca="1">_xll.RiskBinomial(1,GG26)</f>
        <v>#NAME?</v>
      </c>
      <c r="GI26" s="86" t="e">
        <f ca="1">IF(GH26=1,_xll.RiskBinomial(1,Prob_illness_Noro_infection),0)</f>
        <v>#NAME?</v>
      </c>
      <c r="GK26" s="85" t="e">
        <f t="shared" ca="1" si="64"/>
        <v>#NAME?</v>
      </c>
      <c r="GL26" s="40" t="e">
        <f ca="1">INT(GK26) + _xll.RiskBinomial(1,GK26-INT(GK26))</f>
        <v>#NAME?</v>
      </c>
      <c r="GM26" s="33" t="e">
        <f t="shared" ca="1" si="35"/>
        <v>#NAME?</v>
      </c>
      <c r="GN26" s="38" t="e">
        <f ca="1">_xll.RiskBinomial(1,GM26)</f>
        <v>#NAME?</v>
      </c>
      <c r="GO26" s="86" t="e">
        <f ca="1">IF(GN26=1,_xll.RiskBinomial(1,Prob_illness_Noro_infection),0)</f>
        <v>#NAME?</v>
      </c>
    </row>
    <row r="27" spans="2:197" x14ac:dyDescent="0.25">
      <c r="B27" s="106">
        <v>19</v>
      </c>
      <c r="C27" s="109" t="e">
        <f ca="1" xml:space="preserve"> _xll.RiskPert(Dur_Swim_hours_min,Dur_Swim_hours_mode,Dur_Swim_hours_max)</f>
        <v>#NAME?</v>
      </c>
      <c r="D27" s="33" t="e">
        <f ca="1">_xll.RiskLognorm(Primary_Ing_Rate_mL_per_hour_mean,Primary_Ing_Rate_mL_per_hour_sd, _xll.RiskTruncate(Primary_Ing_Rate_mL_per_hour_min,Primary_Ing_Rate_mL_per_hour_max))</f>
        <v>#NAME?</v>
      </c>
      <c r="E27" s="41" t="e">
        <f t="shared" ca="1" si="36"/>
        <v>#NAME?</v>
      </c>
      <c r="F27" s="33"/>
      <c r="G27" s="85" t="e">
        <f t="shared" ca="1" si="37"/>
        <v>#NAME?</v>
      </c>
      <c r="H27" s="40" t="e">
        <f ca="1">INT(G27) + _xll.RiskBinomial(1,G27-INT(G27))</f>
        <v>#NAME?</v>
      </c>
      <c r="I27" s="33" t="e">
        <f t="shared" ca="1" si="0"/>
        <v>#NAME?</v>
      </c>
      <c r="J27" s="38" t="e">
        <f ca="1">_xll.RiskBinomial(1,I27)</f>
        <v>#NAME?</v>
      </c>
      <c r="K27" s="86" t="e">
        <f ca="1">IF(J27=1,_xll.RiskBinomial(1,Prob_illness_Noro_infection),0)</f>
        <v>#NAME?</v>
      </c>
      <c r="L27" s="33"/>
      <c r="M27" s="85" t="e">
        <f t="shared" ca="1" si="38"/>
        <v>#NAME?</v>
      </c>
      <c r="N27" s="40" t="e">
        <f ca="1">INT(M27) + _xll.RiskBinomial(1,M27-INT(M27))</f>
        <v>#NAME?</v>
      </c>
      <c r="O27" s="33" t="e">
        <f t="shared" ca="1" si="1"/>
        <v>#NAME?</v>
      </c>
      <c r="P27" s="38" t="e">
        <f ca="1">_xll.RiskBinomial(1,O27)</f>
        <v>#NAME?</v>
      </c>
      <c r="Q27" s="86" t="e">
        <f ca="1">IF(P27=1,_xll.RiskBinomial(1,Prob_illness_Noro_infection),0)</f>
        <v>#NAME?</v>
      </c>
      <c r="R27" s="33"/>
      <c r="S27" s="85" t="e">
        <f t="shared" ca="1" si="39"/>
        <v>#NAME?</v>
      </c>
      <c r="T27" s="40" t="e">
        <f ca="1">INT(S27) + _xll.RiskBinomial(1,S27-INT(S27))</f>
        <v>#NAME?</v>
      </c>
      <c r="U27" s="33" t="e">
        <f t="shared" ca="1" si="2"/>
        <v>#NAME?</v>
      </c>
      <c r="V27" s="38" t="e">
        <f ca="1">_xll.RiskBinomial(1,U27)</f>
        <v>#NAME?</v>
      </c>
      <c r="W27" s="86" t="e">
        <f ca="1">IF(V27=1,_xll.RiskBinomial(1,Prob_illness_Noro_infection),0)</f>
        <v>#NAME?</v>
      </c>
      <c r="X27" s="33"/>
      <c r="Y27" s="85" t="e">
        <f t="shared" ca="1" si="3"/>
        <v>#NAME?</v>
      </c>
      <c r="Z27" s="40" t="e">
        <f ca="1">INT(Y27) + _xll.RiskBinomial(1,Y27-INT(Y27))</f>
        <v>#NAME?</v>
      </c>
      <c r="AA27" s="33" t="e">
        <f t="shared" ca="1" si="4"/>
        <v>#NAME?</v>
      </c>
      <c r="AB27" s="38" t="e">
        <f ca="1">_xll.RiskBinomial(1,AA27)</f>
        <v>#NAME?</v>
      </c>
      <c r="AC27" s="86" t="e">
        <f ca="1">IF(AB27=1,_xll.RiskBinomial(1,Prob_illness_Noro_infection),0)</f>
        <v>#NAME?</v>
      </c>
      <c r="AD27" s="33"/>
      <c r="AE27" s="85" t="e">
        <f t="shared" ca="1" si="5"/>
        <v>#NAME?</v>
      </c>
      <c r="AF27" s="40" t="e">
        <f ca="1">INT(AE27) + _xll.RiskBinomial(1,AE27-INT(AE27))</f>
        <v>#NAME?</v>
      </c>
      <c r="AG27" s="33" t="e">
        <f t="shared" ca="1" si="6"/>
        <v>#NAME?</v>
      </c>
      <c r="AH27" s="38" t="e">
        <f ca="1">_xll.RiskBinomial(1,AG27)</f>
        <v>#NAME?</v>
      </c>
      <c r="AI27" s="86" t="e">
        <f ca="1">IF(AH27=1,_xll.RiskBinomial(1,Prob_illness_Noro_infection),0)</f>
        <v>#NAME?</v>
      </c>
      <c r="AJ27" s="33"/>
      <c r="AK27" s="85" t="e">
        <f t="shared" ca="1" si="7"/>
        <v>#NAME?</v>
      </c>
      <c r="AL27" s="40" t="e">
        <f ca="1">INT(AK27) + _xll.RiskBinomial(1,AK27-INT(AK27))</f>
        <v>#NAME?</v>
      </c>
      <c r="AM27" s="33" t="e">
        <f t="shared" ca="1" si="8"/>
        <v>#NAME?</v>
      </c>
      <c r="AN27" s="38" t="e">
        <f ca="1">_xll.RiskBinomial(1,AM27)</f>
        <v>#NAME?</v>
      </c>
      <c r="AO27" s="86" t="e">
        <f ca="1">IF(AN27=1,_xll.RiskBinomial(1,Prob_illness_Noro_infection),0)</f>
        <v>#NAME?</v>
      </c>
      <c r="AP27" s="33"/>
      <c r="AQ27" s="85" t="e">
        <f t="shared" ca="1" si="9"/>
        <v>#NAME?</v>
      </c>
      <c r="AR27" s="40" t="e">
        <f ca="1">INT(AQ27) + _xll.RiskBinomial(1,AQ27-INT(AQ27))</f>
        <v>#NAME?</v>
      </c>
      <c r="AS27" s="33" t="e">
        <f t="shared" ca="1" si="10"/>
        <v>#NAME?</v>
      </c>
      <c r="AT27" s="38" t="e">
        <f ca="1">_xll.RiskBinomial(1,AS27)</f>
        <v>#NAME?</v>
      </c>
      <c r="AU27" s="86" t="e">
        <f ca="1">IF(AT27=1,_xll.RiskBinomial(1,Prob_illness_Noro_infection),0)</f>
        <v>#NAME?</v>
      </c>
      <c r="AV27" s="33"/>
      <c r="AW27" s="85" t="e">
        <f t="shared" ca="1" si="40"/>
        <v>#NAME?</v>
      </c>
      <c r="AX27" s="40" t="e">
        <f ca="1">INT(AW27) + _xll.RiskBinomial(1,AW27-INT(AW27))</f>
        <v>#NAME?</v>
      </c>
      <c r="AY27" s="33" t="e">
        <f t="shared" ca="1" si="11"/>
        <v>#NAME?</v>
      </c>
      <c r="AZ27" s="38" t="e">
        <f ca="1">_xll.RiskBinomial(1,AY27)</f>
        <v>#NAME?</v>
      </c>
      <c r="BA27" s="86" t="e">
        <f ca="1">IF(AZ27=1,_xll.RiskBinomial(1,Prob_illness_Noro_infection),0)</f>
        <v>#NAME?</v>
      </c>
      <c r="BC27" s="85" t="e">
        <f t="shared" ca="1" si="41"/>
        <v>#NAME?</v>
      </c>
      <c r="BD27" s="40" t="e">
        <f ca="1">INT(BC27) + _xll.RiskBinomial(1,BC27-INT(BC27))</f>
        <v>#NAME?</v>
      </c>
      <c r="BE27" s="33" t="e">
        <f t="shared" ca="1" si="12"/>
        <v>#NAME?</v>
      </c>
      <c r="BF27" s="38" t="e">
        <f ca="1">_xll.RiskBinomial(1,BE27)</f>
        <v>#NAME?</v>
      </c>
      <c r="BG27" s="86" t="e">
        <f ca="1">IF(BF27=1,_xll.RiskBinomial(1,Prob_illness_Noro_infection),0)</f>
        <v>#NAME?</v>
      </c>
      <c r="BI27" s="85" t="e">
        <f t="shared" ca="1" si="42"/>
        <v>#NAME?</v>
      </c>
      <c r="BJ27" s="40" t="e">
        <f ca="1">INT(BI27) + _xll.RiskBinomial(1,BI27-INT(BI27))</f>
        <v>#NAME?</v>
      </c>
      <c r="BK27" s="33" t="e">
        <f t="shared" ca="1" si="13"/>
        <v>#NAME?</v>
      </c>
      <c r="BL27" s="38" t="e">
        <f ca="1">_xll.RiskBinomial(1,BK27)</f>
        <v>#NAME?</v>
      </c>
      <c r="BM27" s="86" t="e">
        <f ca="1">IF(BL27=1,_xll.RiskBinomial(1,Prob_illness_Noro_infection),0)</f>
        <v>#NAME?</v>
      </c>
      <c r="BO27" s="85" t="e">
        <f t="shared" ca="1" si="43"/>
        <v>#NAME?</v>
      </c>
      <c r="BP27" s="40" t="e">
        <f ca="1">INT(BO27) + _xll.RiskBinomial(1,BO27-INT(BO27))</f>
        <v>#NAME?</v>
      </c>
      <c r="BQ27" s="33" t="e">
        <f t="shared" ca="1" si="14"/>
        <v>#NAME?</v>
      </c>
      <c r="BR27" s="38" t="e">
        <f ca="1">_xll.RiskBinomial(1,BQ27)</f>
        <v>#NAME?</v>
      </c>
      <c r="BS27" s="86" t="e">
        <f ca="1">IF(BR27=1,_xll.RiskBinomial(1,Prob_illness_Noro_infection),0)</f>
        <v>#NAME?</v>
      </c>
      <c r="BU27" s="85" t="e">
        <f t="shared" ca="1" si="44"/>
        <v>#NAME?</v>
      </c>
      <c r="BV27" s="40" t="e">
        <f ca="1">INT(BU27) + _xll.RiskBinomial(1,BU27-INT(BU27))</f>
        <v>#NAME?</v>
      </c>
      <c r="BW27" s="33" t="e">
        <f t="shared" ca="1" si="15"/>
        <v>#NAME?</v>
      </c>
      <c r="BX27" s="38" t="e">
        <f ca="1">_xll.RiskBinomial(1,BW27)</f>
        <v>#NAME?</v>
      </c>
      <c r="BY27" s="86" t="e">
        <f ca="1">IF(BX27=1,_xll.RiskBinomial(1,Prob_illness_Noro_infection),0)</f>
        <v>#NAME?</v>
      </c>
      <c r="CA27" s="85" t="e">
        <f t="shared" ca="1" si="45"/>
        <v>#NAME?</v>
      </c>
      <c r="CB27" s="40" t="e">
        <f ca="1">INT(CA27) + _xll.RiskBinomial(1,CA27-INT(CA27))</f>
        <v>#NAME?</v>
      </c>
      <c r="CC27" s="33" t="e">
        <f t="shared" ca="1" si="16"/>
        <v>#NAME?</v>
      </c>
      <c r="CD27" s="38" t="e">
        <f ca="1">_xll.RiskBinomial(1,CC27)</f>
        <v>#NAME?</v>
      </c>
      <c r="CE27" s="86" t="e">
        <f ca="1">IF(CD27=1,_xll.RiskBinomial(1,Prob_illness_Noro_infection),0)</f>
        <v>#NAME?</v>
      </c>
      <c r="CG27" s="85" t="e">
        <f t="shared" ca="1" si="46"/>
        <v>#NAME?</v>
      </c>
      <c r="CH27" s="40" t="e">
        <f ca="1">INT(CG27) + _xll.RiskBinomial(1,CG27-INT(CG27))</f>
        <v>#NAME?</v>
      </c>
      <c r="CI27" s="33" t="e">
        <f t="shared" ca="1" si="17"/>
        <v>#NAME?</v>
      </c>
      <c r="CJ27" s="38" t="e">
        <f ca="1">_xll.RiskBinomial(1,CI27)</f>
        <v>#NAME?</v>
      </c>
      <c r="CK27" s="86" t="e">
        <f ca="1">IF(CJ27=1,_xll.RiskBinomial(1,Prob_illness_Noro_infection),0)</f>
        <v>#NAME?</v>
      </c>
      <c r="CM27" s="85" t="e">
        <f t="shared" ca="1" si="47"/>
        <v>#NAME?</v>
      </c>
      <c r="CN27" s="40" t="e">
        <f ca="1">INT(CM27) + _xll.RiskBinomial(1,CM27-INT(CM27))</f>
        <v>#NAME?</v>
      </c>
      <c r="CO27" s="33" t="e">
        <f t="shared" ca="1" si="18"/>
        <v>#NAME?</v>
      </c>
      <c r="CP27" s="38" t="e">
        <f ca="1">_xll.RiskBinomial(1,CO27)</f>
        <v>#NAME?</v>
      </c>
      <c r="CQ27" s="86" t="e">
        <f ca="1">IF(CP27=1,_xll.RiskBinomial(1,Prob_illness_Noro_infection),0)</f>
        <v>#NAME?</v>
      </c>
      <c r="CS27" s="85" t="e">
        <f t="shared" ca="1" si="48"/>
        <v>#NAME?</v>
      </c>
      <c r="CT27" s="40" t="e">
        <f ca="1">INT(CS27) + _xll.RiskBinomial(1,CS27-INT(CS27))</f>
        <v>#NAME?</v>
      </c>
      <c r="CU27" s="33" t="e">
        <f t="shared" ca="1" si="19"/>
        <v>#NAME?</v>
      </c>
      <c r="CV27" s="38" t="e">
        <f ca="1">_xll.RiskBinomial(1,CU27)</f>
        <v>#NAME?</v>
      </c>
      <c r="CW27" s="86" t="e">
        <f ca="1">IF(CV27=1,_xll.RiskBinomial(1,Prob_illness_Noro_infection),0)</f>
        <v>#NAME?</v>
      </c>
      <c r="CY27" s="85" t="e">
        <f t="shared" ca="1" si="49"/>
        <v>#NAME?</v>
      </c>
      <c r="CZ27" s="40" t="e">
        <f ca="1">INT(CY27) + _xll.RiskBinomial(1,CY27-INT(CY27))</f>
        <v>#NAME?</v>
      </c>
      <c r="DA27" s="33" t="e">
        <f t="shared" ca="1" si="20"/>
        <v>#NAME?</v>
      </c>
      <c r="DB27" s="38" t="e">
        <f ca="1">_xll.RiskBinomial(1,DA27)</f>
        <v>#NAME?</v>
      </c>
      <c r="DC27" s="86" t="e">
        <f ca="1">IF(DB27=1,_xll.RiskBinomial(1,Prob_illness_Noro_infection),0)</f>
        <v>#NAME?</v>
      </c>
      <c r="DE27" s="85" t="e">
        <f t="shared" ca="1" si="50"/>
        <v>#NAME?</v>
      </c>
      <c r="DF27" s="40" t="e">
        <f ca="1">INT(DE27) + _xll.RiskBinomial(1,DE27-INT(DE27))</f>
        <v>#NAME?</v>
      </c>
      <c r="DG27" s="33" t="e">
        <f t="shared" ca="1" si="21"/>
        <v>#NAME?</v>
      </c>
      <c r="DH27" s="38" t="e">
        <f ca="1">_xll.RiskBinomial(1,DG27)</f>
        <v>#NAME?</v>
      </c>
      <c r="DI27" s="86" t="e">
        <f ca="1">IF(DH27=1,_xll.RiskBinomial(1,Prob_illness_Noro_infection),0)</f>
        <v>#NAME?</v>
      </c>
      <c r="DK27" s="85" t="e">
        <f t="shared" ca="1" si="51"/>
        <v>#NAME?</v>
      </c>
      <c r="DL27" s="40" t="e">
        <f ca="1">INT(DK27) + _xll.RiskBinomial(1,DK27-INT(DK27))</f>
        <v>#NAME?</v>
      </c>
      <c r="DM27" s="33" t="e">
        <f t="shared" ca="1" si="22"/>
        <v>#NAME?</v>
      </c>
      <c r="DN27" s="38" t="e">
        <f ca="1">_xll.RiskBinomial(1,DM27)</f>
        <v>#NAME?</v>
      </c>
      <c r="DO27" s="86" t="e">
        <f ca="1">IF(DN27=1,_xll.RiskBinomial(1,Prob_illness_Noro_infection),0)</f>
        <v>#NAME?</v>
      </c>
      <c r="DQ27" s="85" t="e">
        <f t="shared" ca="1" si="52"/>
        <v>#NAME?</v>
      </c>
      <c r="DR27" s="40" t="e">
        <f ca="1">INT(DQ27) + _xll.RiskBinomial(1,DQ27-INT(DQ27))</f>
        <v>#NAME?</v>
      </c>
      <c r="DS27" s="33" t="e">
        <f t="shared" ca="1" si="23"/>
        <v>#NAME?</v>
      </c>
      <c r="DT27" s="38" t="e">
        <f ca="1">_xll.RiskBinomial(1,DS27)</f>
        <v>#NAME?</v>
      </c>
      <c r="DU27" s="86" t="e">
        <f ca="1">IF(DT27=1,_xll.RiskBinomial(1,Prob_illness_Noro_infection),0)</f>
        <v>#NAME?</v>
      </c>
      <c r="DW27" s="85" t="e">
        <f t="shared" ca="1" si="53"/>
        <v>#NAME?</v>
      </c>
      <c r="DX27" s="40" t="e">
        <f ca="1">INT(DW27) + _xll.RiskBinomial(1,DW27-INT(DW27))</f>
        <v>#NAME?</v>
      </c>
      <c r="DY27" s="33" t="e">
        <f t="shared" ca="1" si="24"/>
        <v>#NAME?</v>
      </c>
      <c r="DZ27" s="38" t="e">
        <f ca="1">_xll.RiskBinomial(1,DY27)</f>
        <v>#NAME?</v>
      </c>
      <c r="EA27" s="86" t="e">
        <f ca="1">IF(DZ27=1,_xll.RiskBinomial(1,Prob_illness_Noro_infection),0)</f>
        <v>#NAME?</v>
      </c>
      <c r="EC27" s="85" t="e">
        <f t="shared" ca="1" si="54"/>
        <v>#NAME?</v>
      </c>
      <c r="ED27" s="40" t="e">
        <f ca="1">INT(EC27) + _xll.RiskBinomial(1,EC27-INT(EC27))</f>
        <v>#NAME?</v>
      </c>
      <c r="EE27" s="33" t="e">
        <f t="shared" ca="1" si="25"/>
        <v>#NAME?</v>
      </c>
      <c r="EF27" s="38" t="e">
        <f ca="1">_xll.RiskBinomial(1,EE27)</f>
        <v>#NAME?</v>
      </c>
      <c r="EG27" s="86" t="e">
        <f ca="1">IF(EF27=1,_xll.RiskBinomial(1,Prob_illness_Noro_infection),0)</f>
        <v>#NAME?</v>
      </c>
      <c r="EI27" s="85" t="e">
        <f t="shared" ca="1" si="55"/>
        <v>#NAME?</v>
      </c>
      <c r="EJ27" s="40" t="e">
        <f ca="1">INT(EI27) + _xll.RiskBinomial(1,EI27-INT(EI27))</f>
        <v>#NAME?</v>
      </c>
      <c r="EK27" s="33" t="e">
        <f t="shared" ca="1" si="26"/>
        <v>#NAME?</v>
      </c>
      <c r="EL27" s="38" t="e">
        <f ca="1">_xll.RiskBinomial(1,EK27)</f>
        <v>#NAME?</v>
      </c>
      <c r="EM27" s="86" t="e">
        <f ca="1">IF(EL27=1,_xll.RiskBinomial(1,Prob_illness_Noro_infection),0)</f>
        <v>#NAME?</v>
      </c>
      <c r="EO27" s="85" t="e">
        <f t="shared" ca="1" si="56"/>
        <v>#NAME?</v>
      </c>
      <c r="EP27" s="40" t="e">
        <f ca="1">INT(EO27) + _xll.RiskBinomial(1,EO27-INT(EO27))</f>
        <v>#NAME?</v>
      </c>
      <c r="EQ27" s="33" t="e">
        <f t="shared" ca="1" si="27"/>
        <v>#NAME?</v>
      </c>
      <c r="ER27" s="38" t="e">
        <f ca="1">_xll.RiskBinomial(1,EQ27)</f>
        <v>#NAME?</v>
      </c>
      <c r="ES27" s="86" t="e">
        <f ca="1">IF(ER27=1,_xll.RiskBinomial(1,Prob_illness_Noro_infection),0)</f>
        <v>#NAME?</v>
      </c>
      <c r="EU27" s="85" t="e">
        <f t="shared" ca="1" si="57"/>
        <v>#NAME?</v>
      </c>
      <c r="EV27" s="40" t="e">
        <f ca="1">INT(EU27) + _xll.RiskBinomial(1,EU27-INT(EU27))</f>
        <v>#NAME?</v>
      </c>
      <c r="EW27" s="33" t="e">
        <f t="shared" ca="1" si="28"/>
        <v>#NAME?</v>
      </c>
      <c r="EX27" s="38" t="e">
        <f ca="1">_xll.RiskBinomial(1,EW27)</f>
        <v>#NAME?</v>
      </c>
      <c r="EY27" s="86" t="e">
        <f ca="1">IF(EX27=1,_xll.RiskBinomial(1,Prob_illness_Noro_infection),0)</f>
        <v>#NAME?</v>
      </c>
      <c r="FA27" s="85" t="e">
        <f t="shared" ca="1" si="58"/>
        <v>#NAME?</v>
      </c>
      <c r="FB27" s="40" t="e">
        <f ca="1">INT(FA27) + _xll.RiskBinomial(1,FA27-INT(FA27))</f>
        <v>#NAME?</v>
      </c>
      <c r="FC27" s="33" t="e">
        <f t="shared" ca="1" si="29"/>
        <v>#NAME?</v>
      </c>
      <c r="FD27" s="38" t="e">
        <f ca="1">_xll.RiskBinomial(1,FC27)</f>
        <v>#NAME?</v>
      </c>
      <c r="FE27" s="86" t="e">
        <f ca="1">IF(FD27=1,_xll.RiskBinomial(1,Prob_illness_Noro_infection),0)</f>
        <v>#NAME?</v>
      </c>
      <c r="FG27" s="85" t="e">
        <f t="shared" ca="1" si="59"/>
        <v>#NAME?</v>
      </c>
      <c r="FH27" s="40" t="e">
        <f ca="1">INT(FG27) + _xll.RiskBinomial(1,FG27-INT(FG27))</f>
        <v>#NAME?</v>
      </c>
      <c r="FI27" s="33" t="e">
        <f t="shared" ca="1" si="30"/>
        <v>#NAME?</v>
      </c>
      <c r="FJ27" s="38" t="e">
        <f ca="1">_xll.RiskBinomial(1,FI27)</f>
        <v>#NAME?</v>
      </c>
      <c r="FK27" s="86" t="e">
        <f ca="1">IF(FJ27=1,_xll.RiskBinomial(1,Prob_illness_Noro_infection),0)</f>
        <v>#NAME?</v>
      </c>
      <c r="FM27" s="85" t="e">
        <f t="shared" ca="1" si="60"/>
        <v>#NAME?</v>
      </c>
      <c r="FN27" s="40" t="e">
        <f ca="1">INT(FM27) + _xll.RiskBinomial(1,FM27-INT(FM27))</f>
        <v>#NAME?</v>
      </c>
      <c r="FO27" s="33" t="e">
        <f t="shared" ca="1" si="31"/>
        <v>#NAME?</v>
      </c>
      <c r="FP27" s="38" t="e">
        <f ca="1">_xll.RiskBinomial(1,FO27)</f>
        <v>#NAME?</v>
      </c>
      <c r="FQ27" s="86" t="e">
        <f ca="1">IF(FP27=1,_xll.RiskBinomial(1,Prob_illness_Noro_infection),0)</f>
        <v>#NAME?</v>
      </c>
      <c r="FS27" s="85" t="e">
        <f t="shared" ca="1" si="61"/>
        <v>#NAME?</v>
      </c>
      <c r="FT27" s="40" t="e">
        <f ca="1">INT(FS27) + _xll.RiskBinomial(1,FS27-INT(FS27))</f>
        <v>#NAME?</v>
      </c>
      <c r="FU27" s="33" t="e">
        <f t="shared" ca="1" si="32"/>
        <v>#NAME?</v>
      </c>
      <c r="FV27" s="38" t="e">
        <f ca="1">_xll.RiskBinomial(1,FU27)</f>
        <v>#NAME?</v>
      </c>
      <c r="FW27" s="86" t="e">
        <f ca="1">IF(FV27=1,_xll.RiskBinomial(1,Prob_illness_Noro_infection),0)</f>
        <v>#NAME?</v>
      </c>
      <c r="FY27" s="85" t="e">
        <f t="shared" ca="1" si="62"/>
        <v>#NAME?</v>
      </c>
      <c r="FZ27" s="40" t="e">
        <f ca="1">INT(FY27) + _xll.RiskBinomial(1,FY27-INT(FY27))</f>
        <v>#NAME?</v>
      </c>
      <c r="GA27" s="33" t="e">
        <f t="shared" ca="1" si="33"/>
        <v>#NAME?</v>
      </c>
      <c r="GB27" s="38" t="e">
        <f ca="1">_xll.RiskBinomial(1,GA27)</f>
        <v>#NAME?</v>
      </c>
      <c r="GC27" s="86" t="e">
        <f ca="1">IF(GB27=1,_xll.RiskBinomial(1,Prob_illness_Noro_infection),0)</f>
        <v>#NAME?</v>
      </c>
      <c r="GE27" s="85" t="e">
        <f t="shared" ca="1" si="63"/>
        <v>#NAME?</v>
      </c>
      <c r="GF27" s="40" t="e">
        <f ca="1">INT(GE27) + _xll.RiskBinomial(1,GE27-INT(GE27))</f>
        <v>#NAME?</v>
      </c>
      <c r="GG27" s="33" t="e">
        <f t="shared" ca="1" si="34"/>
        <v>#NAME?</v>
      </c>
      <c r="GH27" s="38" t="e">
        <f ca="1">_xll.RiskBinomial(1,GG27)</f>
        <v>#NAME?</v>
      </c>
      <c r="GI27" s="86" t="e">
        <f ca="1">IF(GH27=1,_xll.RiskBinomial(1,Prob_illness_Noro_infection),0)</f>
        <v>#NAME?</v>
      </c>
      <c r="GK27" s="85" t="e">
        <f t="shared" ca="1" si="64"/>
        <v>#NAME?</v>
      </c>
      <c r="GL27" s="40" t="e">
        <f ca="1">INT(GK27) + _xll.RiskBinomial(1,GK27-INT(GK27))</f>
        <v>#NAME?</v>
      </c>
      <c r="GM27" s="33" t="e">
        <f t="shared" ca="1" si="35"/>
        <v>#NAME?</v>
      </c>
      <c r="GN27" s="38" t="e">
        <f ca="1">_xll.RiskBinomial(1,GM27)</f>
        <v>#NAME?</v>
      </c>
      <c r="GO27" s="86" t="e">
        <f ca="1">IF(GN27=1,_xll.RiskBinomial(1,Prob_illness_Noro_infection),0)</f>
        <v>#NAME?</v>
      </c>
    </row>
    <row r="28" spans="2:197" x14ac:dyDescent="0.25">
      <c r="B28" s="106">
        <v>20</v>
      </c>
      <c r="C28" s="109" t="e">
        <f ca="1" xml:space="preserve"> _xll.RiskPert(Dur_Swim_hours_min,Dur_Swim_hours_mode,Dur_Swim_hours_max)</f>
        <v>#NAME?</v>
      </c>
      <c r="D28" s="33" t="e">
        <f ca="1">_xll.RiskLognorm(Primary_Ing_Rate_mL_per_hour_mean,Primary_Ing_Rate_mL_per_hour_sd, _xll.RiskTruncate(Primary_Ing_Rate_mL_per_hour_min,Primary_Ing_Rate_mL_per_hour_max))</f>
        <v>#NAME?</v>
      </c>
      <c r="E28" s="41" t="e">
        <f t="shared" ca="1" si="36"/>
        <v>#NAME?</v>
      </c>
      <c r="F28" s="33"/>
      <c r="G28" s="85" t="e">
        <f t="shared" ca="1" si="37"/>
        <v>#NAME?</v>
      </c>
      <c r="H28" s="40" t="e">
        <f ca="1">INT(G28) + _xll.RiskBinomial(1,G28-INT(G28))</f>
        <v>#NAME?</v>
      </c>
      <c r="I28" s="33" t="e">
        <f t="shared" ca="1" si="0"/>
        <v>#NAME?</v>
      </c>
      <c r="J28" s="38" t="e">
        <f ca="1">_xll.RiskBinomial(1,I28)</f>
        <v>#NAME?</v>
      </c>
      <c r="K28" s="86" t="e">
        <f ca="1">IF(J28=1,_xll.RiskBinomial(1,Prob_illness_Noro_infection),0)</f>
        <v>#NAME?</v>
      </c>
      <c r="L28" s="33"/>
      <c r="M28" s="85" t="e">
        <f t="shared" ca="1" si="38"/>
        <v>#NAME?</v>
      </c>
      <c r="N28" s="40" t="e">
        <f ca="1">INT(M28) + _xll.RiskBinomial(1,M28-INT(M28))</f>
        <v>#NAME?</v>
      </c>
      <c r="O28" s="33" t="e">
        <f t="shared" ca="1" si="1"/>
        <v>#NAME?</v>
      </c>
      <c r="P28" s="38" t="e">
        <f ca="1">_xll.RiskBinomial(1,O28)</f>
        <v>#NAME?</v>
      </c>
      <c r="Q28" s="86" t="e">
        <f ca="1">IF(P28=1,_xll.RiskBinomial(1,Prob_illness_Noro_infection),0)</f>
        <v>#NAME?</v>
      </c>
      <c r="R28" s="33"/>
      <c r="S28" s="85" t="e">
        <f t="shared" ca="1" si="39"/>
        <v>#NAME?</v>
      </c>
      <c r="T28" s="40" t="e">
        <f ca="1">INT(S28) + _xll.RiskBinomial(1,S28-INT(S28))</f>
        <v>#NAME?</v>
      </c>
      <c r="U28" s="33" t="e">
        <f t="shared" ca="1" si="2"/>
        <v>#NAME?</v>
      </c>
      <c r="V28" s="38" t="e">
        <f ca="1">_xll.RiskBinomial(1,U28)</f>
        <v>#NAME?</v>
      </c>
      <c r="W28" s="86" t="e">
        <f ca="1">IF(V28=1,_xll.RiskBinomial(1,Prob_illness_Noro_infection),0)</f>
        <v>#NAME?</v>
      </c>
      <c r="X28" s="33"/>
      <c r="Y28" s="85" t="e">
        <f t="shared" ca="1" si="3"/>
        <v>#NAME?</v>
      </c>
      <c r="Z28" s="40" t="e">
        <f ca="1">INT(Y28) + _xll.RiskBinomial(1,Y28-INT(Y28))</f>
        <v>#NAME?</v>
      </c>
      <c r="AA28" s="33" t="e">
        <f t="shared" ca="1" si="4"/>
        <v>#NAME?</v>
      </c>
      <c r="AB28" s="38" t="e">
        <f ca="1">_xll.RiskBinomial(1,AA28)</f>
        <v>#NAME?</v>
      </c>
      <c r="AC28" s="86" t="e">
        <f ca="1">IF(AB28=1,_xll.RiskBinomial(1,Prob_illness_Noro_infection),0)</f>
        <v>#NAME?</v>
      </c>
      <c r="AD28" s="33"/>
      <c r="AE28" s="85" t="e">
        <f t="shared" ca="1" si="5"/>
        <v>#NAME?</v>
      </c>
      <c r="AF28" s="40" t="e">
        <f ca="1">INT(AE28) + _xll.RiskBinomial(1,AE28-INT(AE28))</f>
        <v>#NAME?</v>
      </c>
      <c r="AG28" s="33" t="e">
        <f t="shared" ca="1" si="6"/>
        <v>#NAME?</v>
      </c>
      <c r="AH28" s="38" t="e">
        <f ca="1">_xll.RiskBinomial(1,AG28)</f>
        <v>#NAME?</v>
      </c>
      <c r="AI28" s="86" t="e">
        <f ca="1">IF(AH28=1,_xll.RiskBinomial(1,Prob_illness_Noro_infection),0)</f>
        <v>#NAME?</v>
      </c>
      <c r="AJ28" s="33"/>
      <c r="AK28" s="85" t="e">
        <f t="shared" ca="1" si="7"/>
        <v>#NAME?</v>
      </c>
      <c r="AL28" s="40" t="e">
        <f ca="1">INT(AK28) + _xll.RiskBinomial(1,AK28-INT(AK28))</f>
        <v>#NAME?</v>
      </c>
      <c r="AM28" s="33" t="e">
        <f t="shared" ca="1" si="8"/>
        <v>#NAME?</v>
      </c>
      <c r="AN28" s="38" t="e">
        <f ca="1">_xll.RiskBinomial(1,AM28)</f>
        <v>#NAME?</v>
      </c>
      <c r="AO28" s="86" t="e">
        <f ca="1">IF(AN28=1,_xll.RiskBinomial(1,Prob_illness_Noro_infection),0)</f>
        <v>#NAME?</v>
      </c>
      <c r="AP28" s="33"/>
      <c r="AQ28" s="85" t="e">
        <f t="shared" ca="1" si="9"/>
        <v>#NAME?</v>
      </c>
      <c r="AR28" s="40" t="e">
        <f ca="1">INT(AQ28) + _xll.RiskBinomial(1,AQ28-INT(AQ28))</f>
        <v>#NAME?</v>
      </c>
      <c r="AS28" s="33" t="e">
        <f t="shared" ca="1" si="10"/>
        <v>#NAME?</v>
      </c>
      <c r="AT28" s="38" t="e">
        <f ca="1">_xll.RiskBinomial(1,AS28)</f>
        <v>#NAME?</v>
      </c>
      <c r="AU28" s="86" t="e">
        <f ca="1">IF(AT28=1,_xll.RiskBinomial(1,Prob_illness_Noro_infection),0)</f>
        <v>#NAME?</v>
      </c>
      <c r="AV28" s="33"/>
      <c r="AW28" s="85" t="e">
        <f t="shared" ca="1" si="40"/>
        <v>#NAME?</v>
      </c>
      <c r="AX28" s="40" t="e">
        <f ca="1">INT(AW28) + _xll.RiskBinomial(1,AW28-INT(AW28))</f>
        <v>#NAME?</v>
      </c>
      <c r="AY28" s="33" t="e">
        <f t="shared" ca="1" si="11"/>
        <v>#NAME?</v>
      </c>
      <c r="AZ28" s="38" t="e">
        <f ca="1">_xll.RiskBinomial(1,AY28)</f>
        <v>#NAME?</v>
      </c>
      <c r="BA28" s="86" t="e">
        <f ca="1">IF(AZ28=1,_xll.RiskBinomial(1,Prob_illness_Noro_infection),0)</f>
        <v>#NAME?</v>
      </c>
      <c r="BC28" s="85" t="e">
        <f t="shared" ca="1" si="41"/>
        <v>#NAME?</v>
      </c>
      <c r="BD28" s="40" t="e">
        <f ca="1">INT(BC28) + _xll.RiskBinomial(1,BC28-INT(BC28))</f>
        <v>#NAME?</v>
      </c>
      <c r="BE28" s="33" t="e">
        <f t="shared" ca="1" si="12"/>
        <v>#NAME?</v>
      </c>
      <c r="BF28" s="38" t="e">
        <f ca="1">_xll.RiskBinomial(1,BE28)</f>
        <v>#NAME?</v>
      </c>
      <c r="BG28" s="86" t="e">
        <f ca="1">IF(BF28=1,_xll.RiskBinomial(1,Prob_illness_Noro_infection),0)</f>
        <v>#NAME?</v>
      </c>
      <c r="BI28" s="85" t="e">
        <f t="shared" ca="1" si="42"/>
        <v>#NAME?</v>
      </c>
      <c r="BJ28" s="40" t="e">
        <f ca="1">INT(BI28) + _xll.RiskBinomial(1,BI28-INT(BI28))</f>
        <v>#NAME?</v>
      </c>
      <c r="BK28" s="33" t="e">
        <f t="shared" ca="1" si="13"/>
        <v>#NAME?</v>
      </c>
      <c r="BL28" s="38" t="e">
        <f ca="1">_xll.RiskBinomial(1,BK28)</f>
        <v>#NAME?</v>
      </c>
      <c r="BM28" s="86" t="e">
        <f ca="1">IF(BL28=1,_xll.RiskBinomial(1,Prob_illness_Noro_infection),0)</f>
        <v>#NAME?</v>
      </c>
      <c r="BO28" s="85" t="e">
        <f t="shared" ca="1" si="43"/>
        <v>#NAME?</v>
      </c>
      <c r="BP28" s="40" t="e">
        <f ca="1">INT(BO28) + _xll.RiskBinomial(1,BO28-INT(BO28))</f>
        <v>#NAME?</v>
      </c>
      <c r="BQ28" s="33" t="e">
        <f t="shared" ca="1" si="14"/>
        <v>#NAME?</v>
      </c>
      <c r="BR28" s="38" t="e">
        <f ca="1">_xll.RiskBinomial(1,BQ28)</f>
        <v>#NAME?</v>
      </c>
      <c r="BS28" s="86" t="e">
        <f ca="1">IF(BR28=1,_xll.RiskBinomial(1,Prob_illness_Noro_infection),0)</f>
        <v>#NAME?</v>
      </c>
      <c r="BU28" s="85" t="e">
        <f t="shared" ca="1" si="44"/>
        <v>#NAME?</v>
      </c>
      <c r="BV28" s="40" t="e">
        <f ca="1">INT(BU28) + _xll.RiskBinomial(1,BU28-INT(BU28))</f>
        <v>#NAME?</v>
      </c>
      <c r="BW28" s="33" t="e">
        <f t="shared" ca="1" si="15"/>
        <v>#NAME?</v>
      </c>
      <c r="BX28" s="38" t="e">
        <f ca="1">_xll.RiskBinomial(1,BW28)</f>
        <v>#NAME?</v>
      </c>
      <c r="BY28" s="86" t="e">
        <f ca="1">IF(BX28=1,_xll.RiskBinomial(1,Prob_illness_Noro_infection),0)</f>
        <v>#NAME?</v>
      </c>
      <c r="CA28" s="85" t="e">
        <f t="shared" ca="1" si="45"/>
        <v>#NAME?</v>
      </c>
      <c r="CB28" s="40" t="e">
        <f ca="1">INT(CA28) + _xll.RiskBinomial(1,CA28-INT(CA28))</f>
        <v>#NAME?</v>
      </c>
      <c r="CC28" s="33" t="e">
        <f t="shared" ca="1" si="16"/>
        <v>#NAME?</v>
      </c>
      <c r="CD28" s="38" t="e">
        <f ca="1">_xll.RiskBinomial(1,CC28)</f>
        <v>#NAME?</v>
      </c>
      <c r="CE28" s="86" t="e">
        <f ca="1">IF(CD28=1,_xll.RiskBinomial(1,Prob_illness_Noro_infection),0)</f>
        <v>#NAME?</v>
      </c>
      <c r="CG28" s="85" t="e">
        <f t="shared" ca="1" si="46"/>
        <v>#NAME?</v>
      </c>
      <c r="CH28" s="40" t="e">
        <f ca="1">INT(CG28) + _xll.RiskBinomial(1,CG28-INT(CG28))</f>
        <v>#NAME?</v>
      </c>
      <c r="CI28" s="33" t="e">
        <f t="shared" ca="1" si="17"/>
        <v>#NAME?</v>
      </c>
      <c r="CJ28" s="38" t="e">
        <f ca="1">_xll.RiskBinomial(1,CI28)</f>
        <v>#NAME?</v>
      </c>
      <c r="CK28" s="86" t="e">
        <f ca="1">IF(CJ28=1,_xll.RiskBinomial(1,Prob_illness_Noro_infection),0)</f>
        <v>#NAME?</v>
      </c>
      <c r="CM28" s="85" t="e">
        <f t="shared" ca="1" si="47"/>
        <v>#NAME?</v>
      </c>
      <c r="CN28" s="40" t="e">
        <f ca="1">INT(CM28) + _xll.RiskBinomial(1,CM28-INT(CM28))</f>
        <v>#NAME?</v>
      </c>
      <c r="CO28" s="33" t="e">
        <f t="shared" ca="1" si="18"/>
        <v>#NAME?</v>
      </c>
      <c r="CP28" s="38" t="e">
        <f ca="1">_xll.RiskBinomial(1,CO28)</f>
        <v>#NAME?</v>
      </c>
      <c r="CQ28" s="86" t="e">
        <f ca="1">IF(CP28=1,_xll.RiskBinomial(1,Prob_illness_Noro_infection),0)</f>
        <v>#NAME?</v>
      </c>
      <c r="CS28" s="85" t="e">
        <f t="shared" ca="1" si="48"/>
        <v>#NAME?</v>
      </c>
      <c r="CT28" s="40" t="e">
        <f ca="1">INT(CS28) + _xll.RiskBinomial(1,CS28-INT(CS28))</f>
        <v>#NAME?</v>
      </c>
      <c r="CU28" s="33" t="e">
        <f t="shared" ca="1" si="19"/>
        <v>#NAME?</v>
      </c>
      <c r="CV28" s="38" t="e">
        <f ca="1">_xll.RiskBinomial(1,CU28)</f>
        <v>#NAME?</v>
      </c>
      <c r="CW28" s="86" t="e">
        <f ca="1">IF(CV28=1,_xll.RiskBinomial(1,Prob_illness_Noro_infection),0)</f>
        <v>#NAME?</v>
      </c>
      <c r="CY28" s="85" t="e">
        <f t="shared" ca="1" si="49"/>
        <v>#NAME?</v>
      </c>
      <c r="CZ28" s="40" t="e">
        <f ca="1">INT(CY28) + _xll.RiskBinomial(1,CY28-INT(CY28))</f>
        <v>#NAME?</v>
      </c>
      <c r="DA28" s="33" t="e">
        <f t="shared" ca="1" si="20"/>
        <v>#NAME?</v>
      </c>
      <c r="DB28" s="38" t="e">
        <f ca="1">_xll.RiskBinomial(1,DA28)</f>
        <v>#NAME?</v>
      </c>
      <c r="DC28" s="86" t="e">
        <f ca="1">IF(DB28=1,_xll.RiskBinomial(1,Prob_illness_Noro_infection),0)</f>
        <v>#NAME?</v>
      </c>
      <c r="DE28" s="85" t="e">
        <f t="shared" ca="1" si="50"/>
        <v>#NAME?</v>
      </c>
      <c r="DF28" s="40" t="e">
        <f ca="1">INT(DE28) + _xll.RiskBinomial(1,DE28-INT(DE28))</f>
        <v>#NAME?</v>
      </c>
      <c r="DG28" s="33" t="e">
        <f t="shared" ca="1" si="21"/>
        <v>#NAME?</v>
      </c>
      <c r="DH28" s="38" t="e">
        <f ca="1">_xll.RiskBinomial(1,DG28)</f>
        <v>#NAME?</v>
      </c>
      <c r="DI28" s="86" t="e">
        <f ca="1">IF(DH28=1,_xll.RiskBinomial(1,Prob_illness_Noro_infection),0)</f>
        <v>#NAME?</v>
      </c>
      <c r="DK28" s="85" t="e">
        <f t="shared" ca="1" si="51"/>
        <v>#NAME?</v>
      </c>
      <c r="DL28" s="40" t="e">
        <f ca="1">INT(DK28) + _xll.RiskBinomial(1,DK28-INT(DK28))</f>
        <v>#NAME?</v>
      </c>
      <c r="DM28" s="33" t="e">
        <f t="shared" ca="1" si="22"/>
        <v>#NAME?</v>
      </c>
      <c r="DN28" s="38" t="e">
        <f ca="1">_xll.RiskBinomial(1,DM28)</f>
        <v>#NAME?</v>
      </c>
      <c r="DO28" s="86" t="e">
        <f ca="1">IF(DN28=1,_xll.RiskBinomial(1,Prob_illness_Noro_infection),0)</f>
        <v>#NAME?</v>
      </c>
      <c r="DQ28" s="85" t="e">
        <f t="shared" ca="1" si="52"/>
        <v>#NAME?</v>
      </c>
      <c r="DR28" s="40" t="e">
        <f ca="1">INT(DQ28) + _xll.RiskBinomial(1,DQ28-INT(DQ28))</f>
        <v>#NAME?</v>
      </c>
      <c r="DS28" s="33" t="e">
        <f t="shared" ca="1" si="23"/>
        <v>#NAME?</v>
      </c>
      <c r="DT28" s="38" t="e">
        <f ca="1">_xll.RiskBinomial(1,DS28)</f>
        <v>#NAME?</v>
      </c>
      <c r="DU28" s="86" t="e">
        <f ca="1">IF(DT28=1,_xll.RiskBinomial(1,Prob_illness_Noro_infection),0)</f>
        <v>#NAME?</v>
      </c>
      <c r="DW28" s="85" t="e">
        <f t="shared" ca="1" si="53"/>
        <v>#NAME?</v>
      </c>
      <c r="DX28" s="40" t="e">
        <f ca="1">INT(DW28) + _xll.RiskBinomial(1,DW28-INT(DW28))</f>
        <v>#NAME?</v>
      </c>
      <c r="DY28" s="33" t="e">
        <f t="shared" ca="1" si="24"/>
        <v>#NAME?</v>
      </c>
      <c r="DZ28" s="38" t="e">
        <f ca="1">_xll.RiskBinomial(1,DY28)</f>
        <v>#NAME?</v>
      </c>
      <c r="EA28" s="86" t="e">
        <f ca="1">IF(DZ28=1,_xll.RiskBinomial(1,Prob_illness_Noro_infection),0)</f>
        <v>#NAME?</v>
      </c>
      <c r="EC28" s="85" t="e">
        <f t="shared" ca="1" si="54"/>
        <v>#NAME?</v>
      </c>
      <c r="ED28" s="40" t="e">
        <f ca="1">INT(EC28) + _xll.RiskBinomial(1,EC28-INT(EC28))</f>
        <v>#NAME?</v>
      </c>
      <c r="EE28" s="33" t="e">
        <f t="shared" ca="1" si="25"/>
        <v>#NAME?</v>
      </c>
      <c r="EF28" s="38" t="e">
        <f ca="1">_xll.RiskBinomial(1,EE28)</f>
        <v>#NAME?</v>
      </c>
      <c r="EG28" s="86" t="e">
        <f ca="1">IF(EF28=1,_xll.RiskBinomial(1,Prob_illness_Noro_infection),0)</f>
        <v>#NAME?</v>
      </c>
      <c r="EI28" s="85" t="e">
        <f t="shared" ca="1" si="55"/>
        <v>#NAME?</v>
      </c>
      <c r="EJ28" s="40" t="e">
        <f ca="1">INT(EI28) + _xll.RiskBinomial(1,EI28-INT(EI28))</f>
        <v>#NAME?</v>
      </c>
      <c r="EK28" s="33" t="e">
        <f t="shared" ca="1" si="26"/>
        <v>#NAME?</v>
      </c>
      <c r="EL28" s="38" t="e">
        <f ca="1">_xll.RiskBinomial(1,EK28)</f>
        <v>#NAME?</v>
      </c>
      <c r="EM28" s="86" t="e">
        <f ca="1">IF(EL28=1,_xll.RiskBinomial(1,Prob_illness_Noro_infection),0)</f>
        <v>#NAME?</v>
      </c>
      <c r="EO28" s="85" t="e">
        <f t="shared" ca="1" si="56"/>
        <v>#NAME?</v>
      </c>
      <c r="EP28" s="40" t="e">
        <f ca="1">INT(EO28) + _xll.RiskBinomial(1,EO28-INT(EO28))</f>
        <v>#NAME?</v>
      </c>
      <c r="EQ28" s="33" t="e">
        <f t="shared" ca="1" si="27"/>
        <v>#NAME?</v>
      </c>
      <c r="ER28" s="38" t="e">
        <f ca="1">_xll.RiskBinomial(1,EQ28)</f>
        <v>#NAME?</v>
      </c>
      <c r="ES28" s="86" t="e">
        <f ca="1">IF(ER28=1,_xll.RiskBinomial(1,Prob_illness_Noro_infection),0)</f>
        <v>#NAME?</v>
      </c>
      <c r="EU28" s="85" t="e">
        <f t="shared" ca="1" si="57"/>
        <v>#NAME?</v>
      </c>
      <c r="EV28" s="40" t="e">
        <f ca="1">INT(EU28) + _xll.RiskBinomial(1,EU28-INT(EU28))</f>
        <v>#NAME?</v>
      </c>
      <c r="EW28" s="33" t="e">
        <f t="shared" ca="1" si="28"/>
        <v>#NAME?</v>
      </c>
      <c r="EX28" s="38" t="e">
        <f ca="1">_xll.RiskBinomial(1,EW28)</f>
        <v>#NAME?</v>
      </c>
      <c r="EY28" s="86" t="e">
        <f ca="1">IF(EX28=1,_xll.RiskBinomial(1,Prob_illness_Noro_infection),0)</f>
        <v>#NAME?</v>
      </c>
      <c r="FA28" s="85" t="e">
        <f t="shared" ca="1" si="58"/>
        <v>#NAME?</v>
      </c>
      <c r="FB28" s="40" t="e">
        <f ca="1">INT(FA28) + _xll.RiskBinomial(1,FA28-INT(FA28))</f>
        <v>#NAME?</v>
      </c>
      <c r="FC28" s="33" t="e">
        <f t="shared" ca="1" si="29"/>
        <v>#NAME?</v>
      </c>
      <c r="FD28" s="38" t="e">
        <f ca="1">_xll.RiskBinomial(1,FC28)</f>
        <v>#NAME?</v>
      </c>
      <c r="FE28" s="86" t="e">
        <f ca="1">IF(FD28=1,_xll.RiskBinomial(1,Prob_illness_Noro_infection),0)</f>
        <v>#NAME?</v>
      </c>
      <c r="FG28" s="85" t="e">
        <f t="shared" ca="1" si="59"/>
        <v>#NAME?</v>
      </c>
      <c r="FH28" s="40" t="e">
        <f ca="1">INT(FG28) + _xll.RiskBinomial(1,FG28-INT(FG28))</f>
        <v>#NAME?</v>
      </c>
      <c r="FI28" s="33" t="e">
        <f t="shared" ca="1" si="30"/>
        <v>#NAME?</v>
      </c>
      <c r="FJ28" s="38" t="e">
        <f ca="1">_xll.RiskBinomial(1,FI28)</f>
        <v>#NAME?</v>
      </c>
      <c r="FK28" s="86" t="e">
        <f ca="1">IF(FJ28=1,_xll.RiskBinomial(1,Prob_illness_Noro_infection),0)</f>
        <v>#NAME?</v>
      </c>
      <c r="FM28" s="85" t="e">
        <f t="shared" ca="1" si="60"/>
        <v>#NAME?</v>
      </c>
      <c r="FN28" s="40" t="e">
        <f ca="1">INT(FM28) + _xll.RiskBinomial(1,FM28-INT(FM28))</f>
        <v>#NAME?</v>
      </c>
      <c r="FO28" s="33" t="e">
        <f t="shared" ca="1" si="31"/>
        <v>#NAME?</v>
      </c>
      <c r="FP28" s="38" t="e">
        <f ca="1">_xll.RiskBinomial(1,FO28)</f>
        <v>#NAME?</v>
      </c>
      <c r="FQ28" s="86" t="e">
        <f ca="1">IF(FP28=1,_xll.RiskBinomial(1,Prob_illness_Noro_infection),0)</f>
        <v>#NAME?</v>
      </c>
      <c r="FS28" s="85" t="e">
        <f t="shared" ca="1" si="61"/>
        <v>#NAME?</v>
      </c>
      <c r="FT28" s="40" t="e">
        <f ca="1">INT(FS28) + _xll.RiskBinomial(1,FS28-INT(FS28))</f>
        <v>#NAME?</v>
      </c>
      <c r="FU28" s="33" t="e">
        <f t="shared" ca="1" si="32"/>
        <v>#NAME?</v>
      </c>
      <c r="FV28" s="38" t="e">
        <f ca="1">_xll.RiskBinomial(1,FU28)</f>
        <v>#NAME?</v>
      </c>
      <c r="FW28" s="86" t="e">
        <f ca="1">IF(FV28=1,_xll.RiskBinomial(1,Prob_illness_Noro_infection),0)</f>
        <v>#NAME?</v>
      </c>
      <c r="FY28" s="85" t="e">
        <f t="shared" ca="1" si="62"/>
        <v>#NAME?</v>
      </c>
      <c r="FZ28" s="40" t="e">
        <f ca="1">INT(FY28) + _xll.RiskBinomial(1,FY28-INT(FY28))</f>
        <v>#NAME?</v>
      </c>
      <c r="GA28" s="33" t="e">
        <f t="shared" ca="1" si="33"/>
        <v>#NAME?</v>
      </c>
      <c r="GB28" s="38" t="e">
        <f ca="1">_xll.RiskBinomial(1,GA28)</f>
        <v>#NAME?</v>
      </c>
      <c r="GC28" s="86" t="e">
        <f ca="1">IF(GB28=1,_xll.RiskBinomial(1,Prob_illness_Noro_infection),0)</f>
        <v>#NAME?</v>
      </c>
      <c r="GE28" s="85" t="e">
        <f t="shared" ca="1" si="63"/>
        <v>#NAME?</v>
      </c>
      <c r="GF28" s="40" t="e">
        <f ca="1">INT(GE28) + _xll.RiskBinomial(1,GE28-INT(GE28))</f>
        <v>#NAME?</v>
      </c>
      <c r="GG28" s="33" t="e">
        <f t="shared" ca="1" si="34"/>
        <v>#NAME?</v>
      </c>
      <c r="GH28" s="38" t="e">
        <f ca="1">_xll.RiskBinomial(1,GG28)</f>
        <v>#NAME?</v>
      </c>
      <c r="GI28" s="86" t="e">
        <f ca="1">IF(GH28=1,_xll.RiskBinomial(1,Prob_illness_Noro_infection),0)</f>
        <v>#NAME?</v>
      </c>
      <c r="GK28" s="85" t="e">
        <f t="shared" ca="1" si="64"/>
        <v>#NAME?</v>
      </c>
      <c r="GL28" s="40" t="e">
        <f ca="1">INT(GK28) + _xll.RiskBinomial(1,GK28-INT(GK28))</f>
        <v>#NAME?</v>
      </c>
      <c r="GM28" s="33" t="e">
        <f t="shared" ca="1" si="35"/>
        <v>#NAME?</v>
      </c>
      <c r="GN28" s="38" t="e">
        <f ca="1">_xll.RiskBinomial(1,GM28)</f>
        <v>#NAME?</v>
      </c>
      <c r="GO28" s="86" t="e">
        <f ca="1">IF(GN28=1,_xll.RiskBinomial(1,Prob_illness_Noro_infection),0)</f>
        <v>#NAME?</v>
      </c>
    </row>
    <row r="29" spans="2:197" x14ac:dyDescent="0.25">
      <c r="B29" s="106">
        <v>21</v>
      </c>
      <c r="C29" s="109" t="e">
        <f ca="1" xml:space="preserve"> _xll.RiskPert(Dur_Swim_hours_min,Dur_Swim_hours_mode,Dur_Swim_hours_max)</f>
        <v>#NAME?</v>
      </c>
      <c r="D29" s="33" t="e">
        <f ca="1">_xll.RiskLognorm(Primary_Ing_Rate_mL_per_hour_mean,Primary_Ing_Rate_mL_per_hour_sd, _xll.RiskTruncate(Primary_Ing_Rate_mL_per_hour_min,Primary_Ing_Rate_mL_per_hour_max))</f>
        <v>#NAME?</v>
      </c>
      <c r="E29" s="41" t="e">
        <f t="shared" ca="1" si="36"/>
        <v>#NAME?</v>
      </c>
      <c r="F29" s="33"/>
      <c r="G29" s="85" t="e">
        <f t="shared" ca="1" si="37"/>
        <v>#NAME?</v>
      </c>
      <c r="H29" s="40" t="e">
        <f ca="1">INT(G29) + _xll.RiskBinomial(1,G29-INT(G29))</f>
        <v>#NAME?</v>
      </c>
      <c r="I29" s="33" t="e">
        <f t="shared" ca="1" si="0"/>
        <v>#NAME?</v>
      </c>
      <c r="J29" s="38" t="e">
        <f ca="1">_xll.RiskBinomial(1,I29)</f>
        <v>#NAME?</v>
      </c>
      <c r="K29" s="86" t="e">
        <f ca="1">IF(J29=1,_xll.RiskBinomial(1,Prob_illness_Noro_infection),0)</f>
        <v>#NAME?</v>
      </c>
      <c r="L29" s="33"/>
      <c r="M29" s="85" t="e">
        <f t="shared" ca="1" si="38"/>
        <v>#NAME?</v>
      </c>
      <c r="N29" s="40" t="e">
        <f ca="1">INT(M29) + _xll.RiskBinomial(1,M29-INT(M29))</f>
        <v>#NAME?</v>
      </c>
      <c r="O29" s="33" t="e">
        <f t="shared" ca="1" si="1"/>
        <v>#NAME?</v>
      </c>
      <c r="P29" s="38" t="e">
        <f ca="1">_xll.RiskBinomial(1,O29)</f>
        <v>#NAME?</v>
      </c>
      <c r="Q29" s="86" t="e">
        <f ca="1">IF(P29=1,_xll.RiskBinomial(1,Prob_illness_Noro_infection),0)</f>
        <v>#NAME?</v>
      </c>
      <c r="R29" s="33"/>
      <c r="S29" s="85" t="e">
        <f t="shared" ca="1" si="39"/>
        <v>#NAME?</v>
      </c>
      <c r="T29" s="40" t="e">
        <f ca="1">INT(S29) + _xll.RiskBinomial(1,S29-INT(S29))</f>
        <v>#NAME?</v>
      </c>
      <c r="U29" s="33" t="e">
        <f t="shared" ca="1" si="2"/>
        <v>#NAME?</v>
      </c>
      <c r="V29" s="38" t="e">
        <f ca="1">_xll.RiskBinomial(1,U29)</f>
        <v>#NAME?</v>
      </c>
      <c r="W29" s="86" t="e">
        <f ca="1">IF(V29=1,_xll.RiskBinomial(1,Prob_illness_Noro_infection),0)</f>
        <v>#NAME?</v>
      </c>
      <c r="X29" s="33"/>
      <c r="Y29" s="85" t="e">
        <f t="shared" ca="1" si="3"/>
        <v>#NAME?</v>
      </c>
      <c r="Z29" s="40" t="e">
        <f ca="1">INT(Y29) + _xll.RiskBinomial(1,Y29-INT(Y29))</f>
        <v>#NAME?</v>
      </c>
      <c r="AA29" s="33" t="e">
        <f t="shared" ca="1" si="4"/>
        <v>#NAME?</v>
      </c>
      <c r="AB29" s="38" t="e">
        <f ca="1">_xll.RiskBinomial(1,AA29)</f>
        <v>#NAME?</v>
      </c>
      <c r="AC29" s="86" t="e">
        <f ca="1">IF(AB29=1,_xll.RiskBinomial(1,Prob_illness_Noro_infection),0)</f>
        <v>#NAME?</v>
      </c>
      <c r="AD29" s="33"/>
      <c r="AE29" s="85" t="e">
        <f t="shared" ca="1" si="5"/>
        <v>#NAME?</v>
      </c>
      <c r="AF29" s="40" t="e">
        <f ca="1">INT(AE29) + _xll.RiskBinomial(1,AE29-INT(AE29))</f>
        <v>#NAME?</v>
      </c>
      <c r="AG29" s="33" t="e">
        <f t="shared" ca="1" si="6"/>
        <v>#NAME?</v>
      </c>
      <c r="AH29" s="38" t="e">
        <f ca="1">_xll.RiskBinomial(1,AG29)</f>
        <v>#NAME?</v>
      </c>
      <c r="AI29" s="86" t="e">
        <f ca="1">IF(AH29=1,_xll.RiskBinomial(1,Prob_illness_Noro_infection),0)</f>
        <v>#NAME?</v>
      </c>
      <c r="AJ29" s="33"/>
      <c r="AK29" s="85" t="e">
        <f t="shared" ca="1" si="7"/>
        <v>#NAME?</v>
      </c>
      <c r="AL29" s="40" t="e">
        <f ca="1">INT(AK29) + _xll.RiskBinomial(1,AK29-INT(AK29))</f>
        <v>#NAME?</v>
      </c>
      <c r="AM29" s="33" t="e">
        <f t="shared" ca="1" si="8"/>
        <v>#NAME?</v>
      </c>
      <c r="AN29" s="38" t="e">
        <f ca="1">_xll.RiskBinomial(1,AM29)</f>
        <v>#NAME?</v>
      </c>
      <c r="AO29" s="86" t="e">
        <f ca="1">IF(AN29=1,_xll.RiskBinomial(1,Prob_illness_Noro_infection),0)</f>
        <v>#NAME?</v>
      </c>
      <c r="AP29" s="33"/>
      <c r="AQ29" s="85" t="e">
        <f t="shared" ca="1" si="9"/>
        <v>#NAME?</v>
      </c>
      <c r="AR29" s="40" t="e">
        <f ca="1">INT(AQ29) + _xll.RiskBinomial(1,AQ29-INT(AQ29))</f>
        <v>#NAME?</v>
      </c>
      <c r="AS29" s="33" t="e">
        <f t="shared" ca="1" si="10"/>
        <v>#NAME?</v>
      </c>
      <c r="AT29" s="38" t="e">
        <f ca="1">_xll.RiskBinomial(1,AS29)</f>
        <v>#NAME?</v>
      </c>
      <c r="AU29" s="86" t="e">
        <f ca="1">IF(AT29=1,_xll.RiskBinomial(1,Prob_illness_Noro_infection),0)</f>
        <v>#NAME?</v>
      </c>
      <c r="AV29" s="33"/>
      <c r="AW29" s="85" t="e">
        <f t="shared" ca="1" si="40"/>
        <v>#NAME?</v>
      </c>
      <c r="AX29" s="40" t="e">
        <f ca="1">INT(AW29) + _xll.RiskBinomial(1,AW29-INT(AW29))</f>
        <v>#NAME?</v>
      </c>
      <c r="AY29" s="33" t="e">
        <f t="shared" ca="1" si="11"/>
        <v>#NAME?</v>
      </c>
      <c r="AZ29" s="38" t="e">
        <f ca="1">_xll.RiskBinomial(1,AY29)</f>
        <v>#NAME?</v>
      </c>
      <c r="BA29" s="86" t="e">
        <f ca="1">IF(AZ29=1,_xll.RiskBinomial(1,Prob_illness_Noro_infection),0)</f>
        <v>#NAME?</v>
      </c>
      <c r="BC29" s="85" t="e">
        <f t="shared" ca="1" si="41"/>
        <v>#NAME?</v>
      </c>
      <c r="BD29" s="40" t="e">
        <f ca="1">INT(BC29) + _xll.RiskBinomial(1,BC29-INT(BC29))</f>
        <v>#NAME?</v>
      </c>
      <c r="BE29" s="33" t="e">
        <f t="shared" ca="1" si="12"/>
        <v>#NAME?</v>
      </c>
      <c r="BF29" s="38" t="e">
        <f ca="1">_xll.RiskBinomial(1,BE29)</f>
        <v>#NAME?</v>
      </c>
      <c r="BG29" s="86" t="e">
        <f ca="1">IF(BF29=1,_xll.RiskBinomial(1,Prob_illness_Noro_infection),0)</f>
        <v>#NAME?</v>
      </c>
      <c r="BI29" s="85" t="e">
        <f t="shared" ca="1" si="42"/>
        <v>#NAME?</v>
      </c>
      <c r="BJ29" s="40" t="e">
        <f ca="1">INT(BI29) + _xll.RiskBinomial(1,BI29-INT(BI29))</f>
        <v>#NAME?</v>
      </c>
      <c r="BK29" s="33" t="e">
        <f t="shared" ca="1" si="13"/>
        <v>#NAME?</v>
      </c>
      <c r="BL29" s="38" t="e">
        <f ca="1">_xll.RiskBinomial(1,BK29)</f>
        <v>#NAME?</v>
      </c>
      <c r="BM29" s="86" t="e">
        <f ca="1">IF(BL29=1,_xll.RiskBinomial(1,Prob_illness_Noro_infection),0)</f>
        <v>#NAME?</v>
      </c>
      <c r="BO29" s="85" t="e">
        <f t="shared" ca="1" si="43"/>
        <v>#NAME?</v>
      </c>
      <c r="BP29" s="40" t="e">
        <f ca="1">INT(BO29) + _xll.RiskBinomial(1,BO29-INT(BO29))</f>
        <v>#NAME?</v>
      </c>
      <c r="BQ29" s="33" t="e">
        <f t="shared" ca="1" si="14"/>
        <v>#NAME?</v>
      </c>
      <c r="BR29" s="38" t="e">
        <f ca="1">_xll.RiskBinomial(1,BQ29)</f>
        <v>#NAME?</v>
      </c>
      <c r="BS29" s="86" t="e">
        <f ca="1">IF(BR29=1,_xll.RiskBinomial(1,Prob_illness_Noro_infection),0)</f>
        <v>#NAME?</v>
      </c>
      <c r="BU29" s="85" t="e">
        <f t="shared" ca="1" si="44"/>
        <v>#NAME?</v>
      </c>
      <c r="BV29" s="40" t="e">
        <f ca="1">INT(BU29) + _xll.RiskBinomial(1,BU29-INT(BU29))</f>
        <v>#NAME?</v>
      </c>
      <c r="BW29" s="33" t="e">
        <f t="shared" ca="1" si="15"/>
        <v>#NAME?</v>
      </c>
      <c r="BX29" s="38" t="e">
        <f ca="1">_xll.RiskBinomial(1,BW29)</f>
        <v>#NAME?</v>
      </c>
      <c r="BY29" s="86" t="e">
        <f ca="1">IF(BX29=1,_xll.RiskBinomial(1,Prob_illness_Noro_infection),0)</f>
        <v>#NAME?</v>
      </c>
      <c r="CA29" s="85" t="e">
        <f t="shared" ca="1" si="45"/>
        <v>#NAME?</v>
      </c>
      <c r="CB29" s="40" t="e">
        <f ca="1">INT(CA29) + _xll.RiskBinomial(1,CA29-INT(CA29))</f>
        <v>#NAME?</v>
      </c>
      <c r="CC29" s="33" t="e">
        <f t="shared" ca="1" si="16"/>
        <v>#NAME?</v>
      </c>
      <c r="CD29" s="38" t="e">
        <f ca="1">_xll.RiskBinomial(1,CC29)</f>
        <v>#NAME?</v>
      </c>
      <c r="CE29" s="86" t="e">
        <f ca="1">IF(CD29=1,_xll.RiskBinomial(1,Prob_illness_Noro_infection),0)</f>
        <v>#NAME?</v>
      </c>
      <c r="CG29" s="85" t="e">
        <f t="shared" ca="1" si="46"/>
        <v>#NAME?</v>
      </c>
      <c r="CH29" s="40" t="e">
        <f ca="1">INT(CG29) + _xll.RiskBinomial(1,CG29-INT(CG29))</f>
        <v>#NAME?</v>
      </c>
      <c r="CI29" s="33" t="e">
        <f t="shared" ca="1" si="17"/>
        <v>#NAME?</v>
      </c>
      <c r="CJ29" s="38" t="e">
        <f ca="1">_xll.RiskBinomial(1,CI29)</f>
        <v>#NAME?</v>
      </c>
      <c r="CK29" s="86" t="e">
        <f ca="1">IF(CJ29=1,_xll.RiskBinomial(1,Prob_illness_Noro_infection),0)</f>
        <v>#NAME?</v>
      </c>
      <c r="CM29" s="85" t="e">
        <f t="shared" ca="1" si="47"/>
        <v>#NAME?</v>
      </c>
      <c r="CN29" s="40" t="e">
        <f ca="1">INT(CM29) + _xll.RiskBinomial(1,CM29-INT(CM29))</f>
        <v>#NAME?</v>
      </c>
      <c r="CO29" s="33" t="e">
        <f t="shared" ca="1" si="18"/>
        <v>#NAME?</v>
      </c>
      <c r="CP29" s="38" t="e">
        <f ca="1">_xll.RiskBinomial(1,CO29)</f>
        <v>#NAME?</v>
      </c>
      <c r="CQ29" s="86" t="e">
        <f ca="1">IF(CP29=1,_xll.RiskBinomial(1,Prob_illness_Noro_infection),0)</f>
        <v>#NAME?</v>
      </c>
      <c r="CS29" s="85" t="e">
        <f t="shared" ca="1" si="48"/>
        <v>#NAME?</v>
      </c>
      <c r="CT29" s="40" t="e">
        <f ca="1">INT(CS29) + _xll.RiskBinomial(1,CS29-INT(CS29))</f>
        <v>#NAME?</v>
      </c>
      <c r="CU29" s="33" t="e">
        <f t="shared" ca="1" si="19"/>
        <v>#NAME?</v>
      </c>
      <c r="CV29" s="38" t="e">
        <f ca="1">_xll.RiskBinomial(1,CU29)</f>
        <v>#NAME?</v>
      </c>
      <c r="CW29" s="86" t="e">
        <f ca="1">IF(CV29=1,_xll.RiskBinomial(1,Prob_illness_Noro_infection),0)</f>
        <v>#NAME?</v>
      </c>
      <c r="CY29" s="85" t="e">
        <f t="shared" ca="1" si="49"/>
        <v>#NAME?</v>
      </c>
      <c r="CZ29" s="40" t="e">
        <f ca="1">INT(CY29) + _xll.RiskBinomial(1,CY29-INT(CY29))</f>
        <v>#NAME?</v>
      </c>
      <c r="DA29" s="33" t="e">
        <f t="shared" ca="1" si="20"/>
        <v>#NAME?</v>
      </c>
      <c r="DB29" s="38" t="e">
        <f ca="1">_xll.RiskBinomial(1,DA29)</f>
        <v>#NAME?</v>
      </c>
      <c r="DC29" s="86" t="e">
        <f ca="1">IF(DB29=1,_xll.RiskBinomial(1,Prob_illness_Noro_infection),0)</f>
        <v>#NAME?</v>
      </c>
      <c r="DE29" s="85" t="e">
        <f t="shared" ca="1" si="50"/>
        <v>#NAME?</v>
      </c>
      <c r="DF29" s="40" t="e">
        <f ca="1">INT(DE29) + _xll.RiskBinomial(1,DE29-INT(DE29))</f>
        <v>#NAME?</v>
      </c>
      <c r="DG29" s="33" t="e">
        <f t="shared" ca="1" si="21"/>
        <v>#NAME?</v>
      </c>
      <c r="DH29" s="38" t="e">
        <f ca="1">_xll.RiskBinomial(1,DG29)</f>
        <v>#NAME?</v>
      </c>
      <c r="DI29" s="86" t="e">
        <f ca="1">IF(DH29=1,_xll.RiskBinomial(1,Prob_illness_Noro_infection),0)</f>
        <v>#NAME?</v>
      </c>
      <c r="DK29" s="85" t="e">
        <f t="shared" ca="1" si="51"/>
        <v>#NAME?</v>
      </c>
      <c r="DL29" s="40" t="e">
        <f ca="1">INT(DK29) + _xll.RiskBinomial(1,DK29-INT(DK29))</f>
        <v>#NAME?</v>
      </c>
      <c r="DM29" s="33" t="e">
        <f t="shared" ca="1" si="22"/>
        <v>#NAME?</v>
      </c>
      <c r="DN29" s="38" t="e">
        <f ca="1">_xll.RiskBinomial(1,DM29)</f>
        <v>#NAME?</v>
      </c>
      <c r="DO29" s="86" t="e">
        <f ca="1">IF(DN29=1,_xll.RiskBinomial(1,Prob_illness_Noro_infection),0)</f>
        <v>#NAME?</v>
      </c>
      <c r="DQ29" s="85" t="e">
        <f t="shared" ca="1" si="52"/>
        <v>#NAME?</v>
      </c>
      <c r="DR29" s="40" t="e">
        <f ca="1">INT(DQ29) + _xll.RiskBinomial(1,DQ29-INT(DQ29))</f>
        <v>#NAME?</v>
      </c>
      <c r="DS29" s="33" t="e">
        <f t="shared" ca="1" si="23"/>
        <v>#NAME?</v>
      </c>
      <c r="DT29" s="38" t="e">
        <f ca="1">_xll.RiskBinomial(1,DS29)</f>
        <v>#NAME?</v>
      </c>
      <c r="DU29" s="86" t="e">
        <f ca="1">IF(DT29=1,_xll.RiskBinomial(1,Prob_illness_Noro_infection),0)</f>
        <v>#NAME?</v>
      </c>
      <c r="DW29" s="85" t="e">
        <f t="shared" ca="1" si="53"/>
        <v>#NAME?</v>
      </c>
      <c r="DX29" s="40" t="e">
        <f ca="1">INT(DW29) + _xll.RiskBinomial(1,DW29-INT(DW29))</f>
        <v>#NAME?</v>
      </c>
      <c r="DY29" s="33" t="e">
        <f t="shared" ca="1" si="24"/>
        <v>#NAME?</v>
      </c>
      <c r="DZ29" s="38" t="e">
        <f ca="1">_xll.RiskBinomial(1,DY29)</f>
        <v>#NAME?</v>
      </c>
      <c r="EA29" s="86" t="e">
        <f ca="1">IF(DZ29=1,_xll.RiskBinomial(1,Prob_illness_Noro_infection),0)</f>
        <v>#NAME?</v>
      </c>
      <c r="EC29" s="85" t="e">
        <f t="shared" ca="1" si="54"/>
        <v>#NAME?</v>
      </c>
      <c r="ED29" s="40" t="e">
        <f ca="1">INT(EC29) + _xll.RiskBinomial(1,EC29-INT(EC29))</f>
        <v>#NAME?</v>
      </c>
      <c r="EE29" s="33" t="e">
        <f t="shared" ca="1" si="25"/>
        <v>#NAME?</v>
      </c>
      <c r="EF29" s="38" t="e">
        <f ca="1">_xll.RiskBinomial(1,EE29)</f>
        <v>#NAME?</v>
      </c>
      <c r="EG29" s="86" t="e">
        <f ca="1">IF(EF29=1,_xll.RiskBinomial(1,Prob_illness_Noro_infection),0)</f>
        <v>#NAME?</v>
      </c>
      <c r="EI29" s="85" t="e">
        <f t="shared" ca="1" si="55"/>
        <v>#NAME?</v>
      </c>
      <c r="EJ29" s="40" t="e">
        <f ca="1">INT(EI29) + _xll.RiskBinomial(1,EI29-INT(EI29))</f>
        <v>#NAME?</v>
      </c>
      <c r="EK29" s="33" t="e">
        <f t="shared" ca="1" si="26"/>
        <v>#NAME?</v>
      </c>
      <c r="EL29" s="38" t="e">
        <f ca="1">_xll.RiskBinomial(1,EK29)</f>
        <v>#NAME?</v>
      </c>
      <c r="EM29" s="86" t="e">
        <f ca="1">IF(EL29=1,_xll.RiskBinomial(1,Prob_illness_Noro_infection),0)</f>
        <v>#NAME?</v>
      </c>
      <c r="EO29" s="85" t="e">
        <f t="shared" ca="1" si="56"/>
        <v>#NAME?</v>
      </c>
      <c r="EP29" s="40" t="e">
        <f ca="1">INT(EO29) + _xll.RiskBinomial(1,EO29-INT(EO29))</f>
        <v>#NAME?</v>
      </c>
      <c r="EQ29" s="33" t="e">
        <f t="shared" ca="1" si="27"/>
        <v>#NAME?</v>
      </c>
      <c r="ER29" s="38" t="e">
        <f ca="1">_xll.RiskBinomial(1,EQ29)</f>
        <v>#NAME?</v>
      </c>
      <c r="ES29" s="86" t="e">
        <f ca="1">IF(ER29=1,_xll.RiskBinomial(1,Prob_illness_Noro_infection),0)</f>
        <v>#NAME?</v>
      </c>
      <c r="EU29" s="85" t="e">
        <f t="shared" ca="1" si="57"/>
        <v>#NAME?</v>
      </c>
      <c r="EV29" s="40" t="e">
        <f ca="1">INT(EU29) + _xll.RiskBinomial(1,EU29-INT(EU29))</f>
        <v>#NAME?</v>
      </c>
      <c r="EW29" s="33" t="e">
        <f t="shared" ca="1" si="28"/>
        <v>#NAME?</v>
      </c>
      <c r="EX29" s="38" t="e">
        <f ca="1">_xll.RiskBinomial(1,EW29)</f>
        <v>#NAME?</v>
      </c>
      <c r="EY29" s="86" t="e">
        <f ca="1">IF(EX29=1,_xll.RiskBinomial(1,Prob_illness_Noro_infection),0)</f>
        <v>#NAME?</v>
      </c>
      <c r="FA29" s="85" t="e">
        <f t="shared" ca="1" si="58"/>
        <v>#NAME?</v>
      </c>
      <c r="FB29" s="40" t="e">
        <f ca="1">INT(FA29) + _xll.RiskBinomial(1,FA29-INT(FA29))</f>
        <v>#NAME?</v>
      </c>
      <c r="FC29" s="33" t="e">
        <f t="shared" ca="1" si="29"/>
        <v>#NAME?</v>
      </c>
      <c r="FD29" s="38" t="e">
        <f ca="1">_xll.RiskBinomial(1,FC29)</f>
        <v>#NAME?</v>
      </c>
      <c r="FE29" s="86" t="e">
        <f ca="1">IF(FD29=1,_xll.RiskBinomial(1,Prob_illness_Noro_infection),0)</f>
        <v>#NAME?</v>
      </c>
      <c r="FG29" s="85" t="e">
        <f t="shared" ca="1" si="59"/>
        <v>#NAME?</v>
      </c>
      <c r="FH29" s="40" t="e">
        <f ca="1">INT(FG29) + _xll.RiskBinomial(1,FG29-INT(FG29))</f>
        <v>#NAME?</v>
      </c>
      <c r="FI29" s="33" t="e">
        <f t="shared" ca="1" si="30"/>
        <v>#NAME?</v>
      </c>
      <c r="FJ29" s="38" t="e">
        <f ca="1">_xll.RiskBinomial(1,FI29)</f>
        <v>#NAME?</v>
      </c>
      <c r="FK29" s="86" t="e">
        <f ca="1">IF(FJ29=1,_xll.RiskBinomial(1,Prob_illness_Noro_infection),0)</f>
        <v>#NAME?</v>
      </c>
      <c r="FM29" s="85" t="e">
        <f t="shared" ca="1" si="60"/>
        <v>#NAME?</v>
      </c>
      <c r="FN29" s="40" t="e">
        <f ca="1">INT(FM29) + _xll.RiskBinomial(1,FM29-INT(FM29))</f>
        <v>#NAME?</v>
      </c>
      <c r="FO29" s="33" t="e">
        <f t="shared" ca="1" si="31"/>
        <v>#NAME?</v>
      </c>
      <c r="FP29" s="38" t="e">
        <f ca="1">_xll.RiskBinomial(1,FO29)</f>
        <v>#NAME?</v>
      </c>
      <c r="FQ29" s="86" t="e">
        <f ca="1">IF(FP29=1,_xll.RiskBinomial(1,Prob_illness_Noro_infection),0)</f>
        <v>#NAME?</v>
      </c>
      <c r="FS29" s="85" t="e">
        <f t="shared" ca="1" si="61"/>
        <v>#NAME?</v>
      </c>
      <c r="FT29" s="40" t="e">
        <f ca="1">INT(FS29) + _xll.RiskBinomial(1,FS29-INT(FS29))</f>
        <v>#NAME?</v>
      </c>
      <c r="FU29" s="33" t="e">
        <f t="shared" ca="1" si="32"/>
        <v>#NAME?</v>
      </c>
      <c r="FV29" s="38" t="e">
        <f ca="1">_xll.RiskBinomial(1,FU29)</f>
        <v>#NAME?</v>
      </c>
      <c r="FW29" s="86" t="e">
        <f ca="1">IF(FV29=1,_xll.RiskBinomial(1,Prob_illness_Noro_infection),0)</f>
        <v>#NAME?</v>
      </c>
      <c r="FY29" s="85" t="e">
        <f t="shared" ca="1" si="62"/>
        <v>#NAME?</v>
      </c>
      <c r="FZ29" s="40" t="e">
        <f ca="1">INT(FY29) + _xll.RiskBinomial(1,FY29-INT(FY29))</f>
        <v>#NAME?</v>
      </c>
      <c r="GA29" s="33" t="e">
        <f t="shared" ca="1" si="33"/>
        <v>#NAME?</v>
      </c>
      <c r="GB29" s="38" t="e">
        <f ca="1">_xll.RiskBinomial(1,GA29)</f>
        <v>#NAME?</v>
      </c>
      <c r="GC29" s="86" t="e">
        <f ca="1">IF(GB29=1,_xll.RiskBinomial(1,Prob_illness_Noro_infection),0)</f>
        <v>#NAME?</v>
      </c>
      <c r="GE29" s="85" t="e">
        <f t="shared" ca="1" si="63"/>
        <v>#NAME?</v>
      </c>
      <c r="GF29" s="40" t="e">
        <f ca="1">INT(GE29) + _xll.RiskBinomial(1,GE29-INT(GE29))</f>
        <v>#NAME?</v>
      </c>
      <c r="GG29" s="33" t="e">
        <f t="shared" ca="1" si="34"/>
        <v>#NAME?</v>
      </c>
      <c r="GH29" s="38" t="e">
        <f ca="1">_xll.RiskBinomial(1,GG29)</f>
        <v>#NAME?</v>
      </c>
      <c r="GI29" s="86" t="e">
        <f ca="1">IF(GH29=1,_xll.RiskBinomial(1,Prob_illness_Noro_infection),0)</f>
        <v>#NAME?</v>
      </c>
      <c r="GK29" s="85" t="e">
        <f t="shared" ca="1" si="64"/>
        <v>#NAME?</v>
      </c>
      <c r="GL29" s="40" t="e">
        <f ca="1">INT(GK29) + _xll.RiskBinomial(1,GK29-INT(GK29))</f>
        <v>#NAME?</v>
      </c>
      <c r="GM29" s="33" t="e">
        <f t="shared" ca="1" si="35"/>
        <v>#NAME?</v>
      </c>
      <c r="GN29" s="38" t="e">
        <f ca="1">_xll.RiskBinomial(1,GM29)</f>
        <v>#NAME?</v>
      </c>
      <c r="GO29" s="86" t="e">
        <f ca="1">IF(GN29=1,_xll.RiskBinomial(1,Prob_illness_Noro_infection),0)</f>
        <v>#NAME?</v>
      </c>
    </row>
    <row r="30" spans="2:197" x14ac:dyDescent="0.25">
      <c r="B30" s="106">
        <v>22</v>
      </c>
      <c r="C30" s="109" t="e">
        <f ca="1" xml:space="preserve"> _xll.RiskPert(Dur_Swim_hours_min,Dur_Swim_hours_mode,Dur_Swim_hours_max)</f>
        <v>#NAME?</v>
      </c>
      <c r="D30" s="33" t="e">
        <f ca="1">_xll.RiskLognorm(Primary_Ing_Rate_mL_per_hour_mean,Primary_Ing_Rate_mL_per_hour_sd, _xll.RiskTruncate(Primary_Ing_Rate_mL_per_hour_min,Primary_Ing_Rate_mL_per_hour_max))</f>
        <v>#NAME?</v>
      </c>
      <c r="E30" s="41" t="e">
        <f t="shared" ca="1" si="36"/>
        <v>#NAME?</v>
      </c>
      <c r="F30" s="33"/>
      <c r="G30" s="85" t="e">
        <f t="shared" ca="1" si="37"/>
        <v>#NAME?</v>
      </c>
      <c r="H30" s="40" t="e">
        <f ca="1">INT(G30) + _xll.RiskBinomial(1,G30-INT(G30))</f>
        <v>#NAME?</v>
      </c>
      <c r="I30" s="33" t="e">
        <f t="shared" ca="1" si="0"/>
        <v>#NAME?</v>
      </c>
      <c r="J30" s="38" t="e">
        <f ca="1">_xll.RiskBinomial(1,I30)</f>
        <v>#NAME?</v>
      </c>
      <c r="K30" s="86" t="e">
        <f ca="1">IF(J30=1,_xll.RiskBinomial(1,Prob_illness_Noro_infection),0)</f>
        <v>#NAME?</v>
      </c>
      <c r="L30" s="33"/>
      <c r="M30" s="85" t="e">
        <f t="shared" ca="1" si="38"/>
        <v>#NAME?</v>
      </c>
      <c r="N30" s="40" t="e">
        <f ca="1">INT(M30) + _xll.RiskBinomial(1,M30-INT(M30))</f>
        <v>#NAME?</v>
      </c>
      <c r="O30" s="33" t="e">
        <f t="shared" ca="1" si="1"/>
        <v>#NAME?</v>
      </c>
      <c r="P30" s="38" t="e">
        <f ca="1">_xll.RiskBinomial(1,O30)</f>
        <v>#NAME?</v>
      </c>
      <c r="Q30" s="86" t="e">
        <f ca="1">IF(P30=1,_xll.RiskBinomial(1,Prob_illness_Noro_infection),0)</f>
        <v>#NAME?</v>
      </c>
      <c r="R30" s="33"/>
      <c r="S30" s="85" t="e">
        <f t="shared" ca="1" si="39"/>
        <v>#NAME?</v>
      </c>
      <c r="T30" s="40" t="e">
        <f ca="1">INT(S30) + _xll.RiskBinomial(1,S30-INT(S30))</f>
        <v>#NAME?</v>
      </c>
      <c r="U30" s="33" t="e">
        <f t="shared" ca="1" si="2"/>
        <v>#NAME?</v>
      </c>
      <c r="V30" s="38" t="e">
        <f ca="1">_xll.RiskBinomial(1,U30)</f>
        <v>#NAME?</v>
      </c>
      <c r="W30" s="86" t="e">
        <f ca="1">IF(V30=1,_xll.RiskBinomial(1,Prob_illness_Noro_infection),0)</f>
        <v>#NAME?</v>
      </c>
      <c r="X30" s="33"/>
      <c r="Y30" s="85" t="e">
        <f t="shared" ca="1" si="3"/>
        <v>#NAME?</v>
      </c>
      <c r="Z30" s="40" t="e">
        <f ca="1">INT(Y30) + _xll.RiskBinomial(1,Y30-INT(Y30))</f>
        <v>#NAME?</v>
      </c>
      <c r="AA30" s="33" t="e">
        <f t="shared" ca="1" si="4"/>
        <v>#NAME?</v>
      </c>
      <c r="AB30" s="38" t="e">
        <f ca="1">_xll.RiskBinomial(1,AA30)</f>
        <v>#NAME?</v>
      </c>
      <c r="AC30" s="86" t="e">
        <f ca="1">IF(AB30=1,_xll.RiskBinomial(1,Prob_illness_Noro_infection),0)</f>
        <v>#NAME?</v>
      </c>
      <c r="AD30" s="33"/>
      <c r="AE30" s="85" t="e">
        <f t="shared" ca="1" si="5"/>
        <v>#NAME?</v>
      </c>
      <c r="AF30" s="40" t="e">
        <f ca="1">INT(AE30) + _xll.RiskBinomial(1,AE30-INT(AE30))</f>
        <v>#NAME?</v>
      </c>
      <c r="AG30" s="33" t="e">
        <f t="shared" ca="1" si="6"/>
        <v>#NAME?</v>
      </c>
      <c r="AH30" s="38" t="e">
        <f ca="1">_xll.RiskBinomial(1,AG30)</f>
        <v>#NAME?</v>
      </c>
      <c r="AI30" s="86" t="e">
        <f ca="1">IF(AH30=1,_xll.RiskBinomial(1,Prob_illness_Noro_infection),0)</f>
        <v>#NAME?</v>
      </c>
      <c r="AJ30" s="33"/>
      <c r="AK30" s="85" t="e">
        <f t="shared" ca="1" si="7"/>
        <v>#NAME?</v>
      </c>
      <c r="AL30" s="40" t="e">
        <f ca="1">INT(AK30) + _xll.RiskBinomial(1,AK30-INT(AK30))</f>
        <v>#NAME?</v>
      </c>
      <c r="AM30" s="33" t="e">
        <f t="shared" ca="1" si="8"/>
        <v>#NAME?</v>
      </c>
      <c r="AN30" s="38" t="e">
        <f ca="1">_xll.RiskBinomial(1,AM30)</f>
        <v>#NAME?</v>
      </c>
      <c r="AO30" s="86" t="e">
        <f ca="1">IF(AN30=1,_xll.RiskBinomial(1,Prob_illness_Noro_infection),0)</f>
        <v>#NAME?</v>
      </c>
      <c r="AP30" s="33"/>
      <c r="AQ30" s="85" t="e">
        <f t="shared" ca="1" si="9"/>
        <v>#NAME?</v>
      </c>
      <c r="AR30" s="40" t="e">
        <f ca="1">INT(AQ30) + _xll.RiskBinomial(1,AQ30-INT(AQ30))</f>
        <v>#NAME?</v>
      </c>
      <c r="AS30" s="33" t="e">
        <f t="shared" ca="1" si="10"/>
        <v>#NAME?</v>
      </c>
      <c r="AT30" s="38" t="e">
        <f ca="1">_xll.RiskBinomial(1,AS30)</f>
        <v>#NAME?</v>
      </c>
      <c r="AU30" s="86" t="e">
        <f ca="1">IF(AT30=1,_xll.RiskBinomial(1,Prob_illness_Noro_infection),0)</f>
        <v>#NAME?</v>
      </c>
      <c r="AV30" s="33"/>
      <c r="AW30" s="85" t="e">
        <f t="shared" ca="1" si="40"/>
        <v>#NAME?</v>
      </c>
      <c r="AX30" s="40" t="e">
        <f ca="1">INT(AW30) + _xll.RiskBinomial(1,AW30-INT(AW30))</f>
        <v>#NAME?</v>
      </c>
      <c r="AY30" s="33" t="e">
        <f t="shared" ca="1" si="11"/>
        <v>#NAME?</v>
      </c>
      <c r="AZ30" s="38" t="e">
        <f ca="1">_xll.RiskBinomial(1,AY30)</f>
        <v>#NAME?</v>
      </c>
      <c r="BA30" s="86" t="e">
        <f ca="1">IF(AZ30=1,_xll.RiskBinomial(1,Prob_illness_Noro_infection),0)</f>
        <v>#NAME?</v>
      </c>
      <c r="BC30" s="85" t="e">
        <f t="shared" ca="1" si="41"/>
        <v>#NAME?</v>
      </c>
      <c r="BD30" s="40" t="e">
        <f ca="1">INT(BC30) + _xll.RiskBinomial(1,BC30-INT(BC30))</f>
        <v>#NAME?</v>
      </c>
      <c r="BE30" s="33" t="e">
        <f t="shared" ca="1" si="12"/>
        <v>#NAME?</v>
      </c>
      <c r="BF30" s="38" t="e">
        <f ca="1">_xll.RiskBinomial(1,BE30)</f>
        <v>#NAME?</v>
      </c>
      <c r="BG30" s="86" t="e">
        <f ca="1">IF(BF30=1,_xll.RiskBinomial(1,Prob_illness_Noro_infection),0)</f>
        <v>#NAME?</v>
      </c>
      <c r="BI30" s="85" t="e">
        <f t="shared" ca="1" si="42"/>
        <v>#NAME?</v>
      </c>
      <c r="BJ30" s="40" t="e">
        <f ca="1">INT(BI30) + _xll.RiskBinomial(1,BI30-INT(BI30))</f>
        <v>#NAME?</v>
      </c>
      <c r="BK30" s="33" t="e">
        <f t="shared" ca="1" si="13"/>
        <v>#NAME?</v>
      </c>
      <c r="BL30" s="38" t="e">
        <f ca="1">_xll.RiskBinomial(1,BK30)</f>
        <v>#NAME?</v>
      </c>
      <c r="BM30" s="86" t="e">
        <f ca="1">IF(BL30=1,_xll.RiskBinomial(1,Prob_illness_Noro_infection),0)</f>
        <v>#NAME?</v>
      </c>
      <c r="BO30" s="85" t="e">
        <f t="shared" ca="1" si="43"/>
        <v>#NAME?</v>
      </c>
      <c r="BP30" s="40" t="e">
        <f ca="1">INT(BO30) + _xll.RiskBinomial(1,BO30-INT(BO30))</f>
        <v>#NAME?</v>
      </c>
      <c r="BQ30" s="33" t="e">
        <f t="shared" ca="1" si="14"/>
        <v>#NAME?</v>
      </c>
      <c r="BR30" s="38" t="e">
        <f ca="1">_xll.RiskBinomial(1,BQ30)</f>
        <v>#NAME?</v>
      </c>
      <c r="BS30" s="86" t="e">
        <f ca="1">IF(BR30=1,_xll.RiskBinomial(1,Prob_illness_Noro_infection),0)</f>
        <v>#NAME?</v>
      </c>
      <c r="BU30" s="85" t="e">
        <f t="shared" ca="1" si="44"/>
        <v>#NAME?</v>
      </c>
      <c r="BV30" s="40" t="e">
        <f ca="1">INT(BU30) + _xll.RiskBinomial(1,BU30-INT(BU30))</f>
        <v>#NAME?</v>
      </c>
      <c r="BW30" s="33" t="e">
        <f t="shared" ca="1" si="15"/>
        <v>#NAME?</v>
      </c>
      <c r="BX30" s="38" t="e">
        <f ca="1">_xll.RiskBinomial(1,BW30)</f>
        <v>#NAME?</v>
      </c>
      <c r="BY30" s="86" t="e">
        <f ca="1">IF(BX30=1,_xll.RiskBinomial(1,Prob_illness_Noro_infection),0)</f>
        <v>#NAME?</v>
      </c>
      <c r="CA30" s="85" t="e">
        <f t="shared" ca="1" si="45"/>
        <v>#NAME?</v>
      </c>
      <c r="CB30" s="40" t="e">
        <f ca="1">INT(CA30) + _xll.RiskBinomial(1,CA30-INT(CA30))</f>
        <v>#NAME?</v>
      </c>
      <c r="CC30" s="33" t="e">
        <f t="shared" ca="1" si="16"/>
        <v>#NAME?</v>
      </c>
      <c r="CD30" s="38" t="e">
        <f ca="1">_xll.RiskBinomial(1,CC30)</f>
        <v>#NAME?</v>
      </c>
      <c r="CE30" s="86" t="e">
        <f ca="1">IF(CD30=1,_xll.RiskBinomial(1,Prob_illness_Noro_infection),0)</f>
        <v>#NAME?</v>
      </c>
      <c r="CG30" s="85" t="e">
        <f t="shared" ca="1" si="46"/>
        <v>#NAME?</v>
      </c>
      <c r="CH30" s="40" t="e">
        <f ca="1">INT(CG30) + _xll.RiskBinomial(1,CG30-INT(CG30))</f>
        <v>#NAME?</v>
      </c>
      <c r="CI30" s="33" t="e">
        <f t="shared" ca="1" si="17"/>
        <v>#NAME?</v>
      </c>
      <c r="CJ30" s="38" t="e">
        <f ca="1">_xll.RiskBinomial(1,CI30)</f>
        <v>#NAME?</v>
      </c>
      <c r="CK30" s="86" t="e">
        <f ca="1">IF(CJ30=1,_xll.RiskBinomial(1,Prob_illness_Noro_infection),0)</f>
        <v>#NAME?</v>
      </c>
      <c r="CM30" s="85" t="e">
        <f t="shared" ca="1" si="47"/>
        <v>#NAME?</v>
      </c>
      <c r="CN30" s="40" t="e">
        <f ca="1">INT(CM30) + _xll.RiskBinomial(1,CM30-INT(CM30))</f>
        <v>#NAME?</v>
      </c>
      <c r="CO30" s="33" t="e">
        <f t="shared" ca="1" si="18"/>
        <v>#NAME?</v>
      </c>
      <c r="CP30" s="38" t="e">
        <f ca="1">_xll.RiskBinomial(1,CO30)</f>
        <v>#NAME?</v>
      </c>
      <c r="CQ30" s="86" t="e">
        <f ca="1">IF(CP30=1,_xll.RiskBinomial(1,Prob_illness_Noro_infection),0)</f>
        <v>#NAME?</v>
      </c>
      <c r="CS30" s="85" t="e">
        <f t="shared" ca="1" si="48"/>
        <v>#NAME?</v>
      </c>
      <c r="CT30" s="40" t="e">
        <f ca="1">INT(CS30) + _xll.RiskBinomial(1,CS30-INT(CS30))</f>
        <v>#NAME?</v>
      </c>
      <c r="CU30" s="33" t="e">
        <f t="shared" ca="1" si="19"/>
        <v>#NAME?</v>
      </c>
      <c r="CV30" s="38" t="e">
        <f ca="1">_xll.RiskBinomial(1,CU30)</f>
        <v>#NAME?</v>
      </c>
      <c r="CW30" s="86" t="e">
        <f ca="1">IF(CV30=1,_xll.RiskBinomial(1,Prob_illness_Noro_infection),0)</f>
        <v>#NAME?</v>
      </c>
      <c r="CY30" s="85" t="e">
        <f t="shared" ca="1" si="49"/>
        <v>#NAME?</v>
      </c>
      <c r="CZ30" s="40" t="e">
        <f ca="1">INT(CY30) + _xll.RiskBinomial(1,CY30-INT(CY30))</f>
        <v>#NAME?</v>
      </c>
      <c r="DA30" s="33" t="e">
        <f t="shared" ca="1" si="20"/>
        <v>#NAME?</v>
      </c>
      <c r="DB30" s="38" t="e">
        <f ca="1">_xll.RiskBinomial(1,DA30)</f>
        <v>#NAME?</v>
      </c>
      <c r="DC30" s="86" t="e">
        <f ca="1">IF(DB30=1,_xll.RiskBinomial(1,Prob_illness_Noro_infection),0)</f>
        <v>#NAME?</v>
      </c>
      <c r="DE30" s="85" t="e">
        <f t="shared" ca="1" si="50"/>
        <v>#NAME?</v>
      </c>
      <c r="DF30" s="40" t="e">
        <f ca="1">INT(DE30) + _xll.RiskBinomial(1,DE30-INT(DE30))</f>
        <v>#NAME?</v>
      </c>
      <c r="DG30" s="33" t="e">
        <f t="shared" ca="1" si="21"/>
        <v>#NAME?</v>
      </c>
      <c r="DH30" s="38" t="e">
        <f ca="1">_xll.RiskBinomial(1,DG30)</f>
        <v>#NAME?</v>
      </c>
      <c r="DI30" s="86" t="e">
        <f ca="1">IF(DH30=1,_xll.RiskBinomial(1,Prob_illness_Noro_infection),0)</f>
        <v>#NAME?</v>
      </c>
      <c r="DK30" s="85" t="e">
        <f t="shared" ca="1" si="51"/>
        <v>#NAME?</v>
      </c>
      <c r="DL30" s="40" t="e">
        <f ca="1">INT(DK30) + _xll.RiskBinomial(1,DK30-INT(DK30))</f>
        <v>#NAME?</v>
      </c>
      <c r="DM30" s="33" t="e">
        <f t="shared" ca="1" si="22"/>
        <v>#NAME?</v>
      </c>
      <c r="DN30" s="38" t="e">
        <f ca="1">_xll.RiskBinomial(1,DM30)</f>
        <v>#NAME?</v>
      </c>
      <c r="DO30" s="86" t="e">
        <f ca="1">IF(DN30=1,_xll.RiskBinomial(1,Prob_illness_Noro_infection),0)</f>
        <v>#NAME?</v>
      </c>
      <c r="DQ30" s="85" t="e">
        <f t="shared" ca="1" si="52"/>
        <v>#NAME?</v>
      </c>
      <c r="DR30" s="40" t="e">
        <f ca="1">INT(DQ30) + _xll.RiskBinomial(1,DQ30-INT(DQ30))</f>
        <v>#NAME?</v>
      </c>
      <c r="DS30" s="33" t="e">
        <f t="shared" ca="1" si="23"/>
        <v>#NAME?</v>
      </c>
      <c r="DT30" s="38" t="e">
        <f ca="1">_xll.RiskBinomial(1,DS30)</f>
        <v>#NAME?</v>
      </c>
      <c r="DU30" s="86" t="e">
        <f ca="1">IF(DT30=1,_xll.RiskBinomial(1,Prob_illness_Noro_infection),0)</f>
        <v>#NAME?</v>
      </c>
      <c r="DW30" s="85" t="e">
        <f t="shared" ca="1" si="53"/>
        <v>#NAME?</v>
      </c>
      <c r="DX30" s="40" t="e">
        <f ca="1">INT(DW30) + _xll.RiskBinomial(1,DW30-INT(DW30))</f>
        <v>#NAME?</v>
      </c>
      <c r="DY30" s="33" t="e">
        <f t="shared" ca="1" si="24"/>
        <v>#NAME?</v>
      </c>
      <c r="DZ30" s="38" t="e">
        <f ca="1">_xll.RiskBinomial(1,DY30)</f>
        <v>#NAME?</v>
      </c>
      <c r="EA30" s="86" t="e">
        <f ca="1">IF(DZ30=1,_xll.RiskBinomial(1,Prob_illness_Noro_infection),0)</f>
        <v>#NAME?</v>
      </c>
      <c r="EC30" s="85" t="e">
        <f t="shared" ca="1" si="54"/>
        <v>#NAME?</v>
      </c>
      <c r="ED30" s="40" t="e">
        <f ca="1">INT(EC30) + _xll.RiskBinomial(1,EC30-INT(EC30))</f>
        <v>#NAME?</v>
      </c>
      <c r="EE30" s="33" t="e">
        <f t="shared" ca="1" si="25"/>
        <v>#NAME?</v>
      </c>
      <c r="EF30" s="38" t="e">
        <f ca="1">_xll.RiskBinomial(1,EE30)</f>
        <v>#NAME?</v>
      </c>
      <c r="EG30" s="86" t="e">
        <f ca="1">IF(EF30=1,_xll.RiskBinomial(1,Prob_illness_Noro_infection),0)</f>
        <v>#NAME?</v>
      </c>
      <c r="EI30" s="85" t="e">
        <f t="shared" ca="1" si="55"/>
        <v>#NAME?</v>
      </c>
      <c r="EJ30" s="40" t="e">
        <f ca="1">INT(EI30) + _xll.RiskBinomial(1,EI30-INT(EI30))</f>
        <v>#NAME?</v>
      </c>
      <c r="EK30" s="33" t="e">
        <f t="shared" ca="1" si="26"/>
        <v>#NAME?</v>
      </c>
      <c r="EL30" s="38" t="e">
        <f ca="1">_xll.RiskBinomial(1,EK30)</f>
        <v>#NAME?</v>
      </c>
      <c r="EM30" s="86" t="e">
        <f ca="1">IF(EL30=1,_xll.RiskBinomial(1,Prob_illness_Noro_infection),0)</f>
        <v>#NAME?</v>
      </c>
      <c r="EO30" s="85" t="e">
        <f t="shared" ca="1" si="56"/>
        <v>#NAME?</v>
      </c>
      <c r="EP30" s="40" t="e">
        <f ca="1">INT(EO30) + _xll.RiskBinomial(1,EO30-INT(EO30))</f>
        <v>#NAME?</v>
      </c>
      <c r="EQ30" s="33" t="e">
        <f t="shared" ca="1" si="27"/>
        <v>#NAME?</v>
      </c>
      <c r="ER30" s="38" t="e">
        <f ca="1">_xll.RiskBinomial(1,EQ30)</f>
        <v>#NAME?</v>
      </c>
      <c r="ES30" s="86" t="e">
        <f ca="1">IF(ER30=1,_xll.RiskBinomial(1,Prob_illness_Noro_infection),0)</f>
        <v>#NAME?</v>
      </c>
      <c r="EU30" s="85" t="e">
        <f t="shared" ca="1" si="57"/>
        <v>#NAME?</v>
      </c>
      <c r="EV30" s="40" t="e">
        <f ca="1">INT(EU30) + _xll.RiskBinomial(1,EU30-INT(EU30))</f>
        <v>#NAME?</v>
      </c>
      <c r="EW30" s="33" t="e">
        <f t="shared" ca="1" si="28"/>
        <v>#NAME?</v>
      </c>
      <c r="EX30" s="38" t="e">
        <f ca="1">_xll.RiskBinomial(1,EW30)</f>
        <v>#NAME?</v>
      </c>
      <c r="EY30" s="86" t="e">
        <f ca="1">IF(EX30=1,_xll.RiskBinomial(1,Prob_illness_Noro_infection),0)</f>
        <v>#NAME?</v>
      </c>
      <c r="FA30" s="85" t="e">
        <f t="shared" ca="1" si="58"/>
        <v>#NAME?</v>
      </c>
      <c r="FB30" s="40" t="e">
        <f ca="1">INT(FA30) + _xll.RiskBinomial(1,FA30-INT(FA30))</f>
        <v>#NAME?</v>
      </c>
      <c r="FC30" s="33" t="e">
        <f t="shared" ca="1" si="29"/>
        <v>#NAME?</v>
      </c>
      <c r="FD30" s="38" t="e">
        <f ca="1">_xll.RiskBinomial(1,FC30)</f>
        <v>#NAME?</v>
      </c>
      <c r="FE30" s="86" t="e">
        <f ca="1">IF(FD30=1,_xll.RiskBinomial(1,Prob_illness_Noro_infection),0)</f>
        <v>#NAME?</v>
      </c>
      <c r="FG30" s="85" t="e">
        <f t="shared" ca="1" si="59"/>
        <v>#NAME?</v>
      </c>
      <c r="FH30" s="40" t="e">
        <f ca="1">INT(FG30) + _xll.RiskBinomial(1,FG30-INT(FG30))</f>
        <v>#NAME?</v>
      </c>
      <c r="FI30" s="33" t="e">
        <f t="shared" ca="1" si="30"/>
        <v>#NAME?</v>
      </c>
      <c r="FJ30" s="38" t="e">
        <f ca="1">_xll.RiskBinomial(1,FI30)</f>
        <v>#NAME?</v>
      </c>
      <c r="FK30" s="86" t="e">
        <f ca="1">IF(FJ30=1,_xll.RiskBinomial(1,Prob_illness_Noro_infection),0)</f>
        <v>#NAME?</v>
      </c>
      <c r="FM30" s="85" t="e">
        <f t="shared" ca="1" si="60"/>
        <v>#NAME?</v>
      </c>
      <c r="FN30" s="40" t="e">
        <f ca="1">INT(FM30) + _xll.RiskBinomial(1,FM30-INT(FM30))</f>
        <v>#NAME?</v>
      </c>
      <c r="FO30" s="33" t="e">
        <f t="shared" ca="1" si="31"/>
        <v>#NAME?</v>
      </c>
      <c r="FP30" s="38" t="e">
        <f ca="1">_xll.RiskBinomial(1,FO30)</f>
        <v>#NAME?</v>
      </c>
      <c r="FQ30" s="86" t="e">
        <f ca="1">IF(FP30=1,_xll.RiskBinomial(1,Prob_illness_Noro_infection),0)</f>
        <v>#NAME?</v>
      </c>
      <c r="FS30" s="85" t="e">
        <f t="shared" ca="1" si="61"/>
        <v>#NAME?</v>
      </c>
      <c r="FT30" s="40" t="e">
        <f ca="1">INT(FS30) + _xll.RiskBinomial(1,FS30-INT(FS30))</f>
        <v>#NAME?</v>
      </c>
      <c r="FU30" s="33" t="e">
        <f t="shared" ca="1" si="32"/>
        <v>#NAME?</v>
      </c>
      <c r="FV30" s="38" t="e">
        <f ca="1">_xll.RiskBinomial(1,FU30)</f>
        <v>#NAME?</v>
      </c>
      <c r="FW30" s="86" t="e">
        <f ca="1">IF(FV30=1,_xll.RiskBinomial(1,Prob_illness_Noro_infection),0)</f>
        <v>#NAME?</v>
      </c>
      <c r="FY30" s="85" t="e">
        <f t="shared" ca="1" si="62"/>
        <v>#NAME?</v>
      </c>
      <c r="FZ30" s="40" t="e">
        <f ca="1">INT(FY30) + _xll.RiskBinomial(1,FY30-INT(FY30))</f>
        <v>#NAME?</v>
      </c>
      <c r="GA30" s="33" t="e">
        <f t="shared" ca="1" si="33"/>
        <v>#NAME?</v>
      </c>
      <c r="GB30" s="38" t="e">
        <f ca="1">_xll.RiskBinomial(1,GA30)</f>
        <v>#NAME?</v>
      </c>
      <c r="GC30" s="86" t="e">
        <f ca="1">IF(GB30=1,_xll.RiskBinomial(1,Prob_illness_Noro_infection),0)</f>
        <v>#NAME?</v>
      </c>
      <c r="GE30" s="85" t="e">
        <f t="shared" ca="1" si="63"/>
        <v>#NAME?</v>
      </c>
      <c r="GF30" s="40" t="e">
        <f ca="1">INT(GE30) + _xll.RiskBinomial(1,GE30-INT(GE30))</f>
        <v>#NAME?</v>
      </c>
      <c r="GG30" s="33" t="e">
        <f t="shared" ca="1" si="34"/>
        <v>#NAME?</v>
      </c>
      <c r="GH30" s="38" t="e">
        <f ca="1">_xll.RiskBinomial(1,GG30)</f>
        <v>#NAME?</v>
      </c>
      <c r="GI30" s="86" t="e">
        <f ca="1">IF(GH30=1,_xll.RiskBinomial(1,Prob_illness_Noro_infection),0)</f>
        <v>#NAME?</v>
      </c>
      <c r="GK30" s="85" t="e">
        <f t="shared" ca="1" si="64"/>
        <v>#NAME?</v>
      </c>
      <c r="GL30" s="40" t="e">
        <f ca="1">INT(GK30) + _xll.RiskBinomial(1,GK30-INT(GK30))</f>
        <v>#NAME?</v>
      </c>
      <c r="GM30" s="33" t="e">
        <f t="shared" ca="1" si="35"/>
        <v>#NAME?</v>
      </c>
      <c r="GN30" s="38" t="e">
        <f ca="1">_xll.RiskBinomial(1,GM30)</f>
        <v>#NAME?</v>
      </c>
      <c r="GO30" s="86" t="e">
        <f ca="1">IF(GN30=1,_xll.RiskBinomial(1,Prob_illness_Noro_infection),0)</f>
        <v>#NAME?</v>
      </c>
    </row>
    <row r="31" spans="2:197" x14ac:dyDescent="0.25">
      <c r="B31" s="106">
        <v>23</v>
      </c>
      <c r="C31" s="109" t="e">
        <f ca="1" xml:space="preserve"> _xll.RiskPert(Dur_Swim_hours_min,Dur_Swim_hours_mode,Dur_Swim_hours_max)</f>
        <v>#NAME?</v>
      </c>
      <c r="D31" s="33" t="e">
        <f ca="1">_xll.RiskLognorm(Primary_Ing_Rate_mL_per_hour_mean,Primary_Ing_Rate_mL_per_hour_sd, _xll.RiskTruncate(Primary_Ing_Rate_mL_per_hour_min,Primary_Ing_Rate_mL_per_hour_max))</f>
        <v>#NAME?</v>
      </c>
      <c r="E31" s="41" t="e">
        <f t="shared" ca="1" si="36"/>
        <v>#NAME?</v>
      </c>
      <c r="F31" s="33"/>
      <c r="G31" s="85" t="e">
        <f t="shared" ca="1" si="37"/>
        <v>#NAME?</v>
      </c>
      <c r="H31" s="40" t="e">
        <f ca="1">INT(G31) + _xll.RiskBinomial(1,G31-INT(G31))</f>
        <v>#NAME?</v>
      </c>
      <c r="I31" s="33" t="e">
        <f t="shared" ca="1" si="0"/>
        <v>#NAME?</v>
      </c>
      <c r="J31" s="38" t="e">
        <f ca="1">_xll.RiskBinomial(1,I31)</f>
        <v>#NAME?</v>
      </c>
      <c r="K31" s="86" t="e">
        <f ca="1">IF(J31=1,_xll.RiskBinomial(1,Prob_illness_Noro_infection),0)</f>
        <v>#NAME?</v>
      </c>
      <c r="L31" s="33"/>
      <c r="M31" s="85" t="e">
        <f t="shared" ca="1" si="38"/>
        <v>#NAME?</v>
      </c>
      <c r="N31" s="40" t="e">
        <f ca="1">INT(M31) + _xll.RiskBinomial(1,M31-INT(M31))</f>
        <v>#NAME?</v>
      </c>
      <c r="O31" s="33" t="e">
        <f t="shared" ca="1" si="1"/>
        <v>#NAME?</v>
      </c>
      <c r="P31" s="38" t="e">
        <f ca="1">_xll.RiskBinomial(1,O31)</f>
        <v>#NAME?</v>
      </c>
      <c r="Q31" s="86" t="e">
        <f ca="1">IF(P31=1,_xll.RiskBinomial(1,Prob_illness_Noro_infection),0)</f>
        <v>#NAME?</v>
      </c>
      <c r="R31" s="33"/>
      <c r="S31" s="85" t="e">
        <f t="shared" ca="1" si="39"/>
        <v>#NAME?</v>
      </c>
      <c r="T31" s="40" t="e">
        <f ca="1">INT(S31) + _xll.RiskBinomial(1,S31-INT(S31))</f>
        <v>#NAME?</v>
      </c>
      <c r="U31" s="33" t="e">
        <f t="shared" ca="1" si="2"/>
        <v>#NAME?</v>
      </c>
      <c r="V31" s="38" t="e">
        <f ca="1">_xll.RiskBinomial(1,U31)</f>
        <v>#NAME?</v>
      </c>
      <c r="W31" s="86" t="e">
        <f ca="1">IF(V31=1,_xll.RiskBinomial(1,Prob_illness_Noro_infection),0)</f>
        <v>#NAME?</v>
      </c>
      <c r="X31" s="33"/>
      <c r="Y31" s="85" t="e">
        <f t="shared" ca="1" si="3"/>
        <v>#NAME?</v>
      </c>
      <c r="Z31" s="40" t="e">
        <f ca="1">INT(Y31) + _xll.RiskBinomial(1,Y31-INT(Y31))</f>
        <v>#NAME?</v>
      </c>
      <c r="AA31" s="33" t="e">
        <f t="shared" ca="1" si="4"/>
        <v>#NAME?</v>
      </c>
      <c r="AB31" s="38" t="e">
        <f ca="1">_xll.RiskBinomial(1,AA31)</f>
        <v>#NAME?</v>
      </c>
      <c r="AC31" s="86" t="e">
        <f ca="1">IF(AB31=1,_xll.RiskBinomial(1,Prob_illness_Noro_infection),0)</f>
        <v>#NAME?</v>
      </c>
      <c r="AD31" s="33"/>
      <c r="AE31" s="85" t="e">
        <f t="shared" ca="1" si="5"/>
        <v>#NAME?</v>
      </c>
      <c r="AF31" s="40" t="e">
        <f ca="1">INT(AE31) + _xll.RiskBinomial(1,AE31-INT(AE31))</f>
        <v>#NAME?</v>
      </c>
      <c r="AG31" s="33" t="e">
        <f t="shared" ca="1" si="6"/>
        <v>#NAME?</v>
      </c>
      <c r="AH31" s="38" t="e">
        <f ca="1">_xll.RiskBinomial(1,AG31)</f>
        <v>#NAME?</v>
      </c>
      <c r="AI31" s="86" t="e">
        <f ca="1">IF(AH31=1,_xll.RiskBinomial(1,Prob_illness_Noro_infection),0)</f>
        <v>#NAME?</v>
      </c>
      <c r="AJ31" s="33"/>
      <c r="AK31" s="85" t="e">
        <f t="shared" ca="1" si="7"/>
        <v>#NAME?</v>
      </c>
      <c r="AL31" s="40" t="e">
        <f ca="1">INT(AK31) + _xll.RiskBinomial(1,AK31-INT(AK31))</f>
        <v>#NAME?</v>
      </c>
      <c r="AM31" s="33" t="e">
        <f t="shared" ca="1" si="8"/>
        <v>#NAME?</v>
      </c>
      <c r="AN31" s="38" t="e">
        <f ca="1">_xll.RiskBinomial(1,AM31)</f>
        <v>#NAME?</v>
      </c>
      <c r="AO31" s="86" t="e">
        <f ca="1">IF(AN31=1,_xll.RiskBinomial(1,Prob_illness_Noro_infection),0)</f>
        <v>#NAME?</v>
      </c>
      <c r="AP31" s="33"/>
      <c r="AQ31" s="85" t="e">
        <f t="shared" ca="1" si="9"/>
        <v>#NAME?</v>
      </c>
      <c r="AR31" s="40" t="e">
        <f ca="1">INT(AQ31) + _xll.RiskBinomial(1,AQ31-INT(AQ31))</f>
        <v>#NAME?</v>
      </c>
      <c r="AS31" s="33" t="e">
        <f t="shared" ca="1" si="10"/>
        <v>#NAME?</v>
      </c>
      <c r="AT31" s="38" t="e">
        <f ca="1">_xll.RiskBinomial(1,AS31)</f>
        <v>#NAME?</v>
      </c>
      <c r="AU31" s="86" t="e">
        <f ca="1">IF(AT31=1,_xll.RiskBinomial(1,Prob_illness_Noro_infection),0)</f>
        <v>#NAME?</v>
      </c>
      <c r="AV31" s="33"/>
      <c r="AW31" s="85" t="e">
        <f t="shared" ca="1" si="40"/>
        <v>#NAME?</v>
      </c>
      <c r="AX31" s="40" t="e">
        <f ca="1">INT(AW31) + _xll.RiskBinomial(1,AW31-INT(AW31))</f>
        <v>#NAME?</v>
      </c>
      <c r="AY31" s="33" t="e">
        <f t="shared" ca="1" si="11"/>
        <v>#NAME?</v>
      </c>
      <c r="AZ31" s="38" t="e">
        <f ca="1">_xll.RiskBinomial(1,AY31)</f>
        <v>#NAME?</v>
      </c>
      <c r="BA31" s="86" t="e">
        <f ca="1">IF(AZ31=1,_xll.RiskBinomial(1,Prob_illness_Noro_infection),0)</f>
        <v>#NAME?</v>
      </c>
      <c r="BC31" s="85" t="e">
        <f t="shared" ca="1" si="41"/>
        <v>#NAME?</v>
      </c>
      <c r="BD31" s="40" t="e">
        <f ca="1">INT(BC31) + _xll.RiskBinomial(1,BC31-INT(BC31))</f>
        <v>#NAME?</v>
      </c>
      <c r="BE31" s="33" t="e">
        <f t="shared" ca="1" si="12"/>
        <v>#NAME?</v>
      </c>
      <c r="BF31" s="38" t="e">
        <f ca="1">_xll.RiskBinomial(1,BE31)</f>
        <v>#NAME?</v>
      </c>
      <c r="BG31" s="86" t="e">
        <f ca="1">IF(BF31=1,_xll.RiskBinomial(1,Prob_illness_Noro_infection),0)</f>
        <v>#NAME?</v>
      </c>
      <c r="BI31" s="85" t="e">
        <f t="shared" ca="1" si="42"/>
        <v>#NAME?</v>
      </c>
      <c r="BJ31" s="40" t="e">
        <f ca="1">INT(BI31) + _xll.RiskBinomial(1,BI31-INT(BI31))</f>
        <v>#NAME?</v>
      </c>
      <c r="BK31" s="33" t="e">
        <f t="shared" ca="1" si="13"/>
        <v>#NAME?</v>
      </c>
      <c r="BL31" s="38" t="e">
        <f ca="1">_xll.RiskBinomial(1,BK31)</f>
        <v>#NAME?</v>
      </c>
      <c r="BM31" s="86" t="e">
        <f ca="1">IF(BL31=1,_xll.RiskBinomial(1,Prob_illness_Noro_infection),0)</f>
        <v>#NAME?</v>
      </c>
      <c r="BO31" s="85" t="e">
        <f t="shared" ca="1" si="43"/>
        <v>#NAME?</v>
      </c>
      <c r="BP31" s="40" t="e">
        <f ca="1">INT(BO31) + _xll.RiskBinomial(1,BO31-INT(BO31))</f>
        <v>#NAME?</v>
      </c>
      <c r="BQ31" s="33" t="e">
        <f t="shared" ca="1" si="14"/>
        <v>#NAME?</v>
      </c>
      <c r="BR31" s="38" t="e">
        <f ca="1">_xll.RiskBinomial(1,BQ31)</f>
        <v>#NAME?</v>
      </c>
      <c r="BS31" s="86" t="e">
        <f ca="1">IF(BR31=1,_xll.RiskBinomial(1,Prob_illness_Noro_infection),0)</f>
        <v>#NAME?</v>
      </c>
      <c r="BU31" s="85" t="e">
        <f t="shared" ca="1" si="44"/>
        <v>#NAME?</v>
      </c>
      <c r="BV31" s="40" t="e">
        <f ca="1">INT(BU31) + _xll.RiskBinomial(1,BU31-INT(BU31))</f>
        <v>#NAME?</v>
      </c>
      <c r="BW31" s="33" t="e">
        <f t="shared" ca="1" si="15"/>
        <v>#NAME?</v>
      </c>
      <c r="BX31" s="38" t="e">
        <f ca="1">_xll.RiskBinomial(1,BW31)</f>
        <v>#NAME?</v>
      </c>
      <c r="BY31" s="86" t="e">
        <f ca="1">IF(BX31=1,_xll.RiskBinomial(1,Prob_illness_Noro_infection),0)</f>
        <v>#NAME?</v>
      </c>
      <c r="CA31" s="85" t="e">
        <f t="shared" ca="1" si="45"/>
        <v>#NAME?</v>
      </c>
      <c r="CB31" s="40" t="e">
        <f ca="1">INT(CA31) + _xll.RiskBinomial(1,CA31-INT(CA31))</f>
        <v>#NAME?</v>
      </c>
      <c r="CC31" s="33" t="e">
        <f t="shared" ca="1" si="16"/>
        <v>#NAME?</v>
      </c>
      <c r="CD31" s="38" t="e">
        <f ca="1">_xll.RiskBinomial(1,CC31)</f>
        <v>#NAME?</v>
      </c>
      <c r="CE31" s="86" t="e">
        <f ca="1">IF(CD31=1,_xll.RiskBinomial(1,Prob_illness_Noro_infection),0)</f>
        <v>#NAME?</v>
      </c>
      <c r="CG31" s="85" t="e">
        <f t="shared" ca="1" si="46"/>
        <v>#NAME?</v>
      </c>
      <c r="CH31" s="40" t="e">
        <f ca="1">INT(CG31) + _xll.RiskBinomial(1,CG31-INT(CG31))</f>
        <v>#NAME?</v>
      </c>
      <c r="CI31" s="33" t="e">
        <f t="shared" ca="1" si="17"/>
        <v>#NAME?</v>
      </c>
      <c r="CJ31" s="38" t="e">
        <f ca="1">_xll.RiskBinomial(1,CI31)</f>
        <v>#NAME?</v>
      </c>
      <c r="CK31" s="86" t="e">
        <f ca="1">IF(CJ31=1,_xll.RiskBinomial(1,Prob_illness_Noro_infection),0)</f>
        <v>#NAME?</v>
      </c>
      <c r="CM31" s="85" t="e">
        <f t="shared" ca="1" si="47"/>
        <v>#NAME?</v>
      </c>
      <c r="CN31" s="40" t="e">
        <f ca="1">INT(CM31) + _xll.RiskBinomial(1,CM31-INT(CM31))</f>
        <v>#NAME?</v>
      </c>
      <c r="CO31" s="33" t="e">
        <f t="shared" ca="1" si="18"/>
        <v>#NAME?</v>
      </c>
      <c r="CP31" s="38" t="e">
        <f ca="1">_xll.RiskBinomial(1,CO31)</f>
        <v>#NAME?</v>
      </c>
      <c r="CQ31" s="86" t="e">
        <f ca="1">IF(CP31=1,_xll.RiskBinomial(1,Prob_illness_Noro_infection),0)</f>
        <v>#NAME?</v>
      </c>
      <c r="CS31" s="85" t="e">
        <f t="shared" ca="1" si="48"/>
        <v>#NAME?</v>
      </c>
      <c r="CT31" s="40" t="e">
        <f ca="1">INT(CS31) + _xll.RiskBinomial(1,CS31-INT(CS31))</f>
        <v>#NAME?</v>
      </c>
      <c r="CU31" s="33" t="e">
        <f t="shared" ca="1" si="19"/>
        <v>#NAME?</v>
      </c>
      <c r="CV31" s="38" t="e">
        <f ca="1">_xll.RiskBinomial(1,CU31)</f>
        <v>#NAME?</v>
      </c>
      <c r="CW31" s="86" t="e">
        <f ca="1">IF(CV31=1,_xll.RiskBinomial(1,Prob_illness_Noro_infection),0)</f>
        <v>#NAME?</v>
      </c>
      <c r="CY31" s="85" t="e">
        <f t="shared" ca="1" si="49"/>
        <v>#NAME?</v>
      </c>
      <c r="CZ31" s="40" t="e">
        <f ca="1">INT(CY31) + _xll.RiskBinomial(1,CY31-INT(CY31))</f>
        <v>#NAME?</v>
      </c>
      <c r="DA31" s="33" t="e">
        <f t="shared" ca="1" si="20"/>
        <v>#NAME?</v>
      </c>
      <c r="DB31" s="38" t="e">
        <f ca="1">_xll.RiskBinomial(1,DA31)</f>
        <v>#NAME?</v>
      </c>
      <c r="DC31" s="86" t="e">
        <f ca="1">IF(DB31=1,_xll.RiskBinomial(1,Prob_illness_Noro_infection),0)</f>
        <v>#NAME?</v>
      </c>
      <c r="DE31" s="85" t="e">
        <f t="shared" ca="1" si="50"/>
        <v>#NAME?</v>
      </c>
      <c r="DF31" s="40" t="e">
        <f ca="1">INT(DE31) + _xll.RiskBinomial(1,DE31-INT(DE31))</f>
        <v>#NAME?</v>
      </c>
      <c r="DG31" s="33" t="e">
        <f t="shared" ca="1" si="21"/>
        <v>#NAME?</v>
      </c>
      <c r="DH31" s="38" t="e">
        <f ca="1">_xll.RiskBinomial(1,DG31)</f>
        <v>#NAME?</v>
      </c>
      <c r="DI31" s="86" t="e">
        <f ca="1">IF(DH31=1,_xll.RiskBinomial(1,Prob_illness_Noro_infection),0)</f>
        <v>#NAME?</v>
      </c>
      <c r="DK31" s="85" t="e">
        <f t="shared" ca="1" si="51"/>
        <v>#NAME?</v>
      </c>
      <c r="DL31" s="40" t="e">
        <f ca="1">INT(DK31) + _xll.RiskBinomial(1,DK31-INT(DK31))</f>
        <v>#NAME?</v>
      </c>
      <c r="DM31" s="33" t="e">
        <f t="shared" ca="1" si="22"/>
        <v>#NAME?</v>
      </c>
      <c r="DN31" s="38" t="e">
        <f ca="1">_xll.RiskBinomial(1,DM31)</f>
        <v>#NAME?</v>
      </c>
      <c r="DO31" s="86" t="e">
        <f ca="1">IF(DN31=1,_xll.RiskBinomial(1,Prob_illness_Noro_infection),0)</f>
        <v>#NAME?</v>
      </c>
      <c r="DQ31" s="85" t="e">
        <f t="shared" ca="1" si="52"/>
        <v>#NAME?</v>
      </c>
      <c r="DR31" s="40" t="e">
        <f ca="1">INT(DQ31) + _xll.RiskBinomial(1,DQ31-INT(DQ31))</f>
        <v>#NAME?</v>
      </c>
      <c r="DS31" s="33" t="e">
        <f t="shared" ca="1" si="23"/>
        <v>#NAME?</v>
      </c>
      <c r="DT31" s="38" t="e">
        <f ca="1">_xll.RiskBinomial(1,DS31)</f>
        <v>#NAME?</v>
      </c>
      <c r="DU31" s="86" t="e">
        <f ca="1">IF(DT31=1,_xll.RiskBinomial(1,Prob_illness_Noro_infection),0)</f>
        <v>#NAME?</v>
      </c>
      <c r="DW31" s="85" t="e">
        <f t="shared" ca="1" si="53"/>
        <v>#NAME?</v>
      </c>
      <c r="DX31" s="40" t="e">
        <f ca="1">INT(DW31) + _xll.RiskBinomial(1,DW31-INT(DW31))</f>
        <v>#NAME?</v>
      </c>
      <c r="DY31" s="33" t="e">
        <f t="shared" ca="1" si="24"/>
        <v>#NAME?</v>
      </c>
      <c r="DZ31" s="38" t="e">
        <f ca="1">_xll.RiskBinomial(1,DY31)</f>
        <v>#NAME?</v>
      </c>
      <c r="EA31" s="86" t="e">
        <f ca="1">IF(DZ31=1,_xll.RiskBinomial(1,Prob_illness_Noro_infection),0)</f>
        <v>#NAME?</v>
      </c>
      <c r="EC31" s="85" t="e">
        <f t="shared" ca="1" si="54"/>
        <v>#NAME?</v>
      </c>
      <c r="ED31" s="40" t="e">
        <f ca="1">INT(EC31) + _xll.RiskBinomial(1,EC31-INT(EC31))</f>
        <v>#NAME?</v>
      </c>
      <c r="EE31" s="33" t="e">
        <f t="shared" ca="1" si="25"/>
        <v>#NAME?</v>
      </c>
      <c r="EF31" s="38" t="e">
        <f ca="1">_xll.RiskBinomial(1,EE31)</f>
        <v>#NAME?</v>
      </c>
      <c r="EG31" s="86" t="e">
        <f ca="1">IF(EF31=1,_xll.RiskBinomial(1,Prob_illness_Noro_infection),0)</f>
        <v>#NAME?</v>
      </c>
      <c r="EI31" s="85" t="e">
        <f t="shared" ca="1" si="55"/>
        <v>#NAME?</v>
      </c>
      <c r="EJ31" s="40" t="e">
        <f ca="1">INT(EI31) + _xll.RiskBinomial(1,EI31-INT(EI31))</f>
        <v>#NAME?</v>
      </c>
      <c r="EK31" s="33" t="e">
        <f t="shared" ca="1" si="26"/>
        <v>#NAME?</v>
      </c>
      <c r="EL31" s="38" t="e">
        <f ca="1">_xll.RiskBinomial(1,EK31)</f>
        <v>#NAME?</v>
      </c>
      <c r="EM31" s="86" t="e">
        <f ca="1">IF(EL31=1,_xll.RiskBinomial(1,Prob_illness_Noro_infection),0)</f>
        <v>#NAME?</v>
      </c>
      <c r="EO31" s="85" t="e">
        <f t="shared" ca="1" si="56"/>
        <v>#NAME?</v>
      </c>
      <c r="EP31" s="40" t="e">
        <f ca="1">INT(EO31) + _xll.RiskBinomial(1,EO31-INT(EO31))</f>
        <v>#NAME?</v>
      </c>
      <c r="EQ31" s="33" t="e">
        <f t="shared" ca="1" si="27"/>
        <v>#NAME?</v>
      </c>
      <c r="ER31" s="38" t="e">
        <f ca="1">_xll.RiskBinomial(1,EQ31)</f>
        <v>#NAME?</v>
      </c>
      <c r="ES31" s="86" t="e">
        <f ca="1">IF(ER31=1,_xll.RiskBinomial(1,Prob_illness_Noro_infection),0)</f>
        <v>#NAME?</v>
      </c>
      <c r="EU31" s="85" t="e">
        <f t="shared" ca="1" si="57"/>
        <v>#NAME?</v>
      </c>
      <c r="EV31" s="40" t="e">
        <f ca="1">INT(EU31) + _xll.RiskBinomial(1,EU31-INT(EU31))</f>
        <v>#NAME?</v>
      </c>
      <c r="EW31" s="33" t="e">
        <f t="shared" ca="1" si="28"/>
        <v>#NAME?</v>
      </c>
      <c r="EX31" s="38" t="e">
        <f ca="1">_xll.RiskBinomial(1,EW31)</f>
        <v>#NAME?</v>
      </c>
      <c r="EY31" s="86" t="e">
        <f ca="1">IF(EX31=1,_xll.RiskBinomial(1,Prob_illness_Noro_infection),0)</f>
        <v>#NAME?</v>
      </c>
      <c r="FA31" s="85" t="e">
        <f t="shared" ca="1" si="58"/>
        <v>#NAME?</v>
      </c>
      <c r="FB31" s="40" t="e">
        <f ca="1">INT(FA31) + _xll.RiskBinomial(1,FA31-INT(FA31))</f>
        <v>#NAME?</v>
      </c>
      <c r="FC31" s="33" t="e">
        <f t="shared" ca="1" si="29"/>
        <v>#NAME?</v>
      </c>
      <c r="FD31" s="38" t="e">
        <f ca="1">_xll.RiskBinomial(1,FC31)</f>
        <v>#NAME?</v>
      </c>
      <c r="FE31" s="86" t="e">
        <f ca="1">IF(FD31=1,_xll.RiskBinomial(1,Prob_illness_Noro_infection),0)</f>
        <v>#NAME?</v>
      </c>
      <c r="FG31" s="85" t="e">
        <f t="shared" ca="1" si="59"/>
        <v>#NAME?</v>
      </c>
      <c r="FH31" s="40" t="e">
        <f ca="1">INT(FG31) + _xll.RiskBinomial(1,FG31-INT(FG31))</f>
        <v>#NAME?</v>
      </c>
      <c r="FI31" s="33" t="e">
        <f t="shared" ca="1" si="30"/>
        <v>#NAME?</v>
      </c>
      <c r="FJ31" s="38" t="e">
        <f ca="1">_xll.RiskBinomial(1,FI31)</f>
        <v>#NAME?</v>
      </c>
      <c r="FK31" s="86" t="e">
        <f ca="1">IF(FJ31=1,_xll.RiskBinomial(1,Prob_illness_Noro_infection),0)</f>
        <v>#NAME?</v>
      </c>
      <c r="FM31" s="85" t="e">
        <f t="shared" ca="1" si="60"/>
        <v>#NAME?</v>
      </c>
      <c r="FN31" s="40" t="e">
        <f ca="1">INT(FM31) + _xll.RiskBinomial(1,FM31-INT(FM31))</f>
        <v>#NAME?</v>
      </c>
      <c r="FO31" s="33" t="e">
        <f t="shared" ca="1" si="31"/>
        <v>#NAME?</v>
      </c>
      <c r="FP31" s="38" t="e">
        <f ca="1">_xll.RiskBinomial(1,FO31)</f>
        <v>#NAME?</v>
      </c>
      <c r="FQ31" s="86" t="e">
        <f ca="1">IF(FP31=1,_xll.RiskBinomial(1,Prob_illness_Noro_infection),0)</f>
        <v>#NAME?</v>
      </c>
      <c r="FS31" s="85" t="e">
        <f t="shared" ca="1" si="61"/>
        <v>#NAME?</v>
      </c>
      <c r="FT31" s="40" t="e">
        <f ca="1">INT(FS31) + _xll.RiskBinomial(1,FS31-INT(FS31))</f>
        <v>#NAME?</v>
      </c>
      <c r="FU31" s="33" t="e">
        <f t="shared" ca="1" si="32"/>
        <v>#NAME?</v>
      </c>
      <c r="FV31" s="38" t="e">
        <f ca="1">_xll.RiskBinomial(1,FU31)</f>
        <v>#NAME?</v>
      </c>
      <c r="FW31" s="86" t="e">
        <f ca="1">IF(FV31=1,_xll.RiskBinomial(1,Prob_illness_Noro_infection),0)</f>
        <v>#NAME?</v>
      </c>
      <c r="FY31" s="85" t="e">
        <f t="shared" ca="1" si="62"/>
        <v>#NAME?</v>
      </c>
      <c r="FZ31" s="40" t="e">
        <f ca="1">INT(FY31) + _xll.RiskBinomial(1,FY31-INT(FY31))</f>
        <v>#NAME?</v>
      </c>
      <c r="GA31" s="33" t="e">
        <f t="shared" ca="1" si="33"/>
        <v>#NAME?</v>
      </c>
      <c r="GB31" s="38" t="e">
        <f ca="1">_xll.RiskBinomial(1,GA31)</f>
        <v>#NAME?</v>
      </c>
      <c r="GC31" s="86" t="e">
        <f ca="1">IF(GB31=1,_xll.RiskBinomial(1,Prob_illness_Noro_infection),0)</f>
        <v>#NAME?</v>
      </c>
      <c r="GE31" s="85" t="e">
        <f t="shared" ca="1" si="63"/>
        <v>#NAME?</v>
      </c>
      <c r="GF31" s="40" t="e">
        <f ca="1">INT(GE31) + _xll.RiskBinomial(1,GE31-INT(GE31))</f>
        <v>#NAME?</v>
      </c>
      <c r="GG31" s="33" t="e">
        <f t="shared" ca="1" si="34"/>
        <v>#NAME?</v>
      </c>
      <c r="GH31" s="38" t="e">
        <f ca="1">_xll.RiskBinomial(1,GG31)</f>
        <v>#NAME?</v>
      </c>
      <c r="GI31" s="86" t="e">
        <f ca="1">IF(GH31=1,_xll.RiskBinomial(1,Prob_illness_Noro_infection),0)</f>
        <v>#NAME?</v>
      </c>
      <c r="GK31" s="85" t="e">
        <f t="shared" ca="1" si="64"/>
        <v>#NAME?</v>
      </c>
      <c r="GL31" s="40" t="e">
        <f ca="1">INT(GK31) + _xll.RiskBinomial(1,GK31-INT(GK31))</f>
        <v>#NAME?</v>
      </c>
      <c r="GM31" s="33" t="e">
        <f t="shared" ca="1" si="35"/>
        <v>#NAME?</v>
      </c>
      <c r="GN31" s="38" t="e">
        <f ca="1">_xll.RiskBinomial(1,GM31)</f>
        <v>#NAME?</v>
      </c>
      <c r="GO31" s="86" t="e">
        <f ca="1">IF(GN31=1,_xll.RiskBinomial(1,Prob_illness_Noro_infection),0)</f>
        <v>#NAME?</v>
      </c>
    </row>
    <row r="32" spans="2:197" x14ac:dyDescent="0.25">
      <c r="B32" s="106">
        <v>24</v>
      </c>
      <c r="C32" s="109" t="e">
        <f ca="1" xml:space="preserve"> _xll.RiskPert(Dur_Swim_hours_min,Dur_Swim_hours_mode,Dur_Swim_hours_max)</f>
        <v>#NAME?</v>
      </c>
      <c r="D32" s="33" t="e">
        <f ca="1">_xll.RiskLognorm(Primary_Ing_Rate_mL_per_hour_mean,Primary_Ing_Rate_mL_per_hour_sd, _xll.RiskTruncate(Primary_Ing_Rate_mL_per_hour_min,Primary_Ing_Rate_mL_per_hour_max))</f>
        <v>#NAME?</v>
      </c>
      <c r="E32" s="41" t="e">
        <f t="shared" ca="1" si="36"/>
        <v>#NAME?</v>
      </c>
      <c r="F32" s="33"/>
      <c r="G32" s="85" t="e">
        <f t="shared" ca="1" si="37"/>
        <v>#NAME?</v>
      </c>
      <c r="H32" s="40" t="e">
        <f ca="1">INT(G32) + _xll.RiskBinomial(1,G32-INT(G32))</f>
        <v>#NAME?</v>
      </c>
      <c r="I32" s="33" t="e">
        <f t="shared" ca="1" si="0"/>
        <v>#NAME?</v>
      </c>
      <c r="J32" s="38" t="e">
        <f ca="1">_xll.RiskBinomial(1,I32)</f>
        <v>#NAME?</v>
      </c>
      <c r="K32" s="86" t="e">
        <f ca="1">IF(J32=1,_xll.RiskBinomial(1,Prob_illness_Noro_infection),0)</f>
        <v>#NAME?</v>
      </c>
      <c r="L32" s="33"/>
      <c r="M32" s="85" t="e">
        <f t="shared" ca="1" si="38"/>
        <v>#NAME?</v>
      </c>
      <c r="N32" s="40" t="e">
        <f ca="1">INT(M32) + _xll.RiskBinomial(1,M32-INT(M32))</f>
        <v>#NAME?</v>
      </c>
      <c r="O32" s="33" t="e">
        <f t="shared" ca="1" si="1"/>
        <v>#NAME?</v>
      </c>
      <c r="P32" s="38" t="e">
        <f ca="1">_xll.RiskBinomial(1,O32)</f>
        <v>#NAME?</v>
      </c>
      <c r="Q32" s="86" t="e">
        <f ca="1">IF(P32=1,_xll.RiskBinomial(1,Prob_illness_Noro_infection),0)</f>
        <v>#NAME?</v>
      </c>
      <c r="R32" s="33"/>
      <c r="S32" s="85" t="e">
        <f t="shared" ca="1" si="39"/>
        <v>#NAME?</v>
      </c>
      <c r="T32" s="40" t="e">
        <f ca="1">INT(S32) + _xll.RiskBinomial(1,S32-INT(S32))</f>
        <v>#NAME?</v>
      </c>
      <c r="U32" s="33" t="e">
        <f t="shared" ca="1" si="2"/>
        <v>#NAME?</v>
      </c>
      <c r="V32" s="38" t="e">
        <f ca="1">_xll.RiskBinomial(1,U32)</f>
        <v>#NAME?</v>
      </c>
      <c r="W32" s="86" t="e">
        <f ca="1">IF(V32=1,_xll.RiskBinomial(1,Prob_illness_Noro_infection),0)</f>
        <v>#NAME?</v>
      </c>
      <c r="X32" s="33"/>
      <c r="Y32" s="85" t="e">
        <f t="shared" ca="1" si="3"/>
        <v>#NAME?</v>
      </c>
      <c r="Z32" s="40" t="e">
        <f ca="1">INT(Y32) + _xll.RiskBinomial(1,Y32-INT(Y32))</f>
        <v>#NAME?</v>
      </c>
      <c r="AA32" s="33" t="e">
        <f t="shared" ca="1" si="4"/>
        <v>#NAME?</v>
      </c>
      <c r="AB32" s="38" t="e">
        <f ca="1">_xll.RiskBinomial(1,AA32)</f>
        <v>#NAME?</v>
      </c>
      <c r="AC32" s="86" t="e">
        <f ca="1">IF(AB32=1,_xll.RiskBinomial(1,Prob_illness_Noro_infection),0)</f>
        <v>#NAME?</v>
      </c>
      <c r="AD32" s="33"/>
      <c r="AE32" s="85" t="e">
        <f t="shared" ca="1" si="5"/>
        <v>#NAME?</v>
      </c>
      <c r="AF32" s="40" t="e">
        <f ca="1">INT(AE32) + _xll.RiskBinomial(1,AE32-INT(AE32))</f>
        <v>#NAME?</v>
      </c>
      <c r="AG32" s="33" t="e">
        <f t="shared" ca="1" si="6"/>
        <v>#NAME?</v>
      </c>
      <c r="AH32" s="38" t="e">
        <f ca="1">_xll.RiskBinomial(1,AG32)</f>
        <v>#NAME?</v>
      </c>
      <c r="AI32" s="86" t="e">
        <f ca="1">IF(AH32=1,_xll.RiskBinomial(1,Prob_illness_Noro_infection),0)</f>
        <v>#NAME?</v>
      </c>
      <c r="AJ32" s="33"/>
      <c r="AK32" s="85" t="e">
        <f t="shared" ca="1" si="7"/>
        <v>#NAME?</v>
      </c>
      <c r="AL32" s="40" t="e">
        <f ca="1">INT(AK32) + _xll.RiskBinomial(1,AK32-INT(AK32))</f>
        <v>#NAME?</v>
      </c>
      <c r="AM32" s="33" t="e">
        <f t="shared" ca="1" si="8"/>
        <v>#NAME?</v>
      </c>
      <c r="AN32" s="38" t="e">
        <f ca="1">_xll.RiskBinomial(1,AM32)</f>
        <v>#NAME?</v>
      </c>
      <c r="AO32" s="86" t="e">
        <f ca="1">IF(AN32=1,_xll.RiskBinomial(1,Prob_illness_Noro_infection),0)</f>
        <v>#NAME?</v>
      </c>
      <c r="AP32" s="33"/>
      <c r="AQ32" s="85" t="e">
        <f t="shared" ca="1" si="9"/>
        <v>#NAME?</v>
      </c>
      <c r="AR32" s="40" t="e">
        <f ca="1">INT(AQ32) + _xll.RiskBinomial(1,AQ32-INT(AQ32))</f>
        <v>#NAME?</v>
      </c>
      <c r="AS32" s="33" t="e">
        <f t="shared" ca="1" si="10"/>
        <v>#NAME?</v>
      </c>
      <c r="AT32" s="38" t="e">
        <f ca="1">_xll.RiskBinomial(1,AS32)</f>
        <v>#NAME?</v>
      </c>
      <c r="AU32" s="86" t="e">
        <f ca="1">IF(AT32=1,_xll.RiskBinomial(1,Prob_illness_Noro_infection),0)</f>
        <v>#NAME?</v>
      </c>
      <c r="AV32" s="33"/>
      <c r="AW32" s="85" t="e">
        <f t="shared" ca="1" si="40"/>
        <v>#NAME?</v>
      </c>
      <c r="AX32" s="40" t="e">
        <f ca="1">INT(AW32) + _xll.RiskBinomial(1,AW32-INT(AW32))</f>
        <v>#NAME?</v>
      </c>
      <c r="AY32" s="33" t="e">
        <f t="shared" ca="1" si="11"/>
        <v>#NAME?</v>
      </c>
      <c r="AZ32" s="38" t="e">
        <f ca="1">_xll.RiskBinomial(1,AY32)</f>
        <v>#NAME?</v>
      </c>
      <c r="BA32" s="86" t="e">
        <f ca="1">IF(AZ32=1,_xll.RiskBinomial(1,Prob_illness_Noro_infection),0)</f>
        <v>#NAME?</v>
      </c>
      <c r="BC32" s="85" t="e">
        <f t="shared" ca="1" si="41"/>
        <v>#NAME?</v>
      </c>
      <c r="BD32" s="40" t="e">
        <f ca="1">INT(BC32) + _xll.RiskBinomial(1,BC32-INT(BC32))</f>
        <v>#NAME?</v>
      </c>
      <c r="BE32" s="33" t="e">
        <f t="shared" ca="1" si="12"/>
        <v>#NAME?</v>
      </c>
      <c r="BF32" s="38" t="e">
        <f ca="1">_xll.RiskBinomial(1,BE32)</f>
        <v>#NAME?</v>
      </c>
      <c r="BG32" s="86" t="e">
        <f ca="1">IF(BF32=1,_xll.RiskBinomial(1,Prob_illness_Noro_infection),0)</f>
        <v>#NAME?</v>
      </c>
      <c r="BI32" s="85" t="e">
        <f t="shared" ca="1" si="42"/>
        <v>#NAME?</v>
      </c>
      <c r="BJ32" s="40" t="e">
        <f ca="1">INT(BI32) + _xll.RiskBinomial(1,BI32-INT(BI32))</f>
        <v>#NAME?</v>
      </c>
      <c r="BK32" s="33" t="e">
        <f t="shared" ca="1" si="13"/>
        <v>#NAME?</v>
      </c>
      <c r="BL32" s="38" t="e">
        <f ca="1">_xll.RiskBinomial(1,BK32)</f>
        <v>#NAME?</v>
      </c>
      <c r="BM32" s="86" t="e">
        <f ca="1">IF(BL32=1,_xll.RiskBinomial(1,Prob_illness_Noro_infection),0)</f>
        <v>#NAME?</v>
      </c>
      <c r="BO32" s="85" t="e">
        <f t="shared" ca="1" si="43"/>
        <v>#NAME?</v>
      </c>
      <c r="BP32" s="40" t="e">
        <f ca="1">INT(BO32) + _xll.RiskBinomial(1,BO32-INT(BO32))</f>
        <v>#NAME?</v>
      </c>
      <c r="BQ32" s="33" t="e">
        <f t="shared" ca="1" si="14"/>
        <v>#NAME?</v>
      </c>
      <c r="BR32" s="38" t="e">
        <f ca="1">_xll.RiskBinomial(1,BQ32)</f>
        <v>#NAME?</v>
      </c>
      <c r="BS32" s="86" t="e">
        <f ca="1">IF(BR32=1,_xll.RiskBinomial(1,Prob_illness_Noro_infection),0)</f>
        <v>#NAME?</v>
      </c>
      <c r="BU32" s="85" t="e">
        <f t="shared" ca="1" si="44"/>
        <v>#NAME?</v>
      </c>
      <c r="BV32" s="40" t="e">
        <f ca="1">INT(BU32) + _xll.RiskBinomial(1,BU32-INT(BU32))</f>
        <v>#NAME?</v>
      </c>
      <c r="BW32" s="33" t="e">
        <f t="shared" ca="1" si="15"/>
        <v>#NAME?</v>
      </c>
      <c r="BX32" s="38" t="e">
        <f ca="1">_xll.RiskBinomial(1,BW32)</f>
        <v>#NAME?</v>
      </c>
      <c r="BY32" s="86" t="e">
        <f ca="1">IF(BX32=1,_xll.RiskBinomial(1,Prob_illness_Noro_infection),0)</f>
        <v>#NAME?</v>
      </c>
      <c r="CA32" s="85" t="e">
        <f t="shared" ca="1" si="45"/>
        <v>#NAME?</v>
      </c>
      <c r="CB32" s="40" t="e">
        <f ca="1">INT(CA32) + _xll.RiskBinomial(1,CA32-INT(CA32))</f>
        <v>#NAME?</v>
      </c>
      <c r="CC32" s="33" t="e">
        <f t="shared" ca="1" si="16"/>
        <v>#NAME?</v>
      </c>
      <c r="CD32" s="38" t="e">
        <f ca="1">_xll.RiskBinomial(1,CC32)</f>
        <v>#NAME?</v>
      </c>
      <c r="CE32" s="86" t="e">
        <f ca="1">IF(CD32=1,_xll.RiskBinomial(1,Prob_illness_Noro_infection),0)</f>
        <v>#NAME?</v>
      </c>
      <c r="CG32" s="85" t="e">
        <f t="shared" ca="1" si="46"/>
        <v>#NAME?</v>
      </c>
      <c r="CH32" s="40" t="e">
        <f ca="1">INT(CG32) + _xll.RiskBinomial(1,CG32-INT(CG32))</f>
        <v>#NAME?</v>
      </c>
      <c r="CI32" s="33" t="e">
        <f t="shared" ca="1" si="17"/>
        <v>#NAME?</v>
      </c>
      <c r="CJ32" s="38" t="e">
        <f ca="1">_xll.RiskBinomial(1,CI32)</f>
        <v>#NAME?</v>
      </c>
      <c r="CK32" s="86" t="e">
        <f ca="1">IF(CJ32=1,_xll.RiskBinomial(1,Prob_illness_Noro_infection),0)</f>
        <v>#NAME?</v>
      </c>
      <c r="CM32" s="85" t="e">
        <f t="shared" ca="1" si="47"/>
        <v>#NAME?</v>
      </c>
      <c r="CN32" s="40" t="e">
        <f ca="1">INT(CM32) + _xll.RiskBinomial(1,CM32-INT(CM32))</f>
        <v>#NAME?</v>
      </c>
      <c r="CO32" s="33" t="e">
        <f t="shared" ca="1" si="18"/>
        <v>#NAME?</v>
      </c>
      <c r="CP32" s="38" t="e">
        <f ca="1">_xll.RiskBinomial(1,CO32)</f>
        <v>#NAME?</v>
      </c>
      <c r="CQ32" s="86" t="e">
        <f ca="1">IF(CP32=1,_xll.RiskBinomial(1,Prob_illness_Noro_infection),0)</f>
        <v>#NAME?</v>
      </c>
      <c r="CS32" s="85" t="e">
        <f t="shared" ca="1" si="48"/>
        <v>#NAME?</v>
      </c>
      <c r="CT32" s="40" t="e">
        <f ca="1">INT(CS32) + _xll.RiskBinomial(1,CS32-INT(CS32))</f>
        <v>#NAME?</v>
      </c>
      <c r="CU32" s="33" t="e">
        <f t="shared" ca="1" si="19"/>
        <v>#NAME?</v>
      </c>
      <c r="CV32" s="38" t="e">
        <f ca="1">_xll.RiskBinomial(1,CU32)</f>
        <v>#NAME?</v>
      </c>
      <c r="CW32" s="86" t="e">
        <f ca="1">IF(CV32=1,_xll.RiskBinomial(1,Prob_illness_Noro_infection),0)</f>
        <v>#NAME?</v>
      </c>
      <c r="CY32" s="85" t="e">
        <f t="shared" ca="1" si="49"/>
        <v>#NAME?</v>
      </c>
      <c r="CZ32" s="40" t="e">
        <f ca="1">INT(CY32) + _xll.RiskBinomial(1,CY32-INT(CY32))</f>
        <v>#NAME?</v>
      </c>
      <c r="DA32" s="33" t="e">
        <f t="shared" ca="1" si="20"/>
        <v>#NAME?</v>
      </c>
      <c r="DB32" s="38" t="e">
        <f ca="1">_xll.RiskBinomial(1,DA32)</f>
        <v>#NAME?</v>
      </c>
      <c r="DC32" s="86" t="e">
        <f ca="1">IF(DB32=1,_xll.RiskBinomial(1,Prob_illness_Noro_infection),0)</f>
        <v>#NAME?</v>
      </c>
      <c r="DE32" s="85" t="e">
        <f t="shared" ca="1" si="50"/>
        <v>#NAME?</v>
      </c>
      <c r="DF32" s="40" t="e">
        <f ca="1">INT(DE32) + _xll.RiskBinomial(1,DE32-INT(DE32))</f>
        <v>#NAME?</v>
      </c>
      <c r="DG32" s="33" t="e">
        <f t="shared" ca="1" si="21"/>
        <v>#NAME?</v>
      </c>
      <c r="DH32" s="38" t="e">
        <f ca="1">_xll.RiskBinomial(1,DG32)</f>
        <v>#NAME?</v>
      </c>
      <c r="DI32" s="86" t="e">
        <f ca="1">IF(DH32=1,_xll.RiskBinomial(1,Prob_illness_Noro_infection),0)</f>
        <v>#NAME?</v>
      </c>
      <c r="DK32" s="85" t="e">
        <f t="shared" ca="1" si="51"/>
        <v>#NAME?</v>
      </c>
      <c r="DL32" s="40" t="e">
        <f ca="1">INT(DK32) + _xll.RiskBinomial(1,DK32-INT(DK32))</f>
        <v>#NAME?</v>
      </c>
      <c r="DM32" s="33" t="e">
        <f t="shared" ca="1" si="22"/>
        <v>#NAME?</v>
      </c>
      <c r="DN32" s="38" t="e">
        <f ca="1">_xll.RiskBinomial(1,DM32)</f>
        <v>#NAME?</v>
      </c>
      <c r="DO32" s="86" t="e">
        <f ca="1">IF(DN32=1,_xll.RiskBinomial(1,Prob_illness_Noro_infection),0)</f>
        <v>#NAME?</v>
      </c>
      <c r="DQ32" s="85" t="e">
        <f t="shared" ca="1" si="52"/>
        <v>#NAME?</v>
      </c>
      <c r="DR32" s="40" t="e">
        <f ca="1">INT(DQ32) + _xll.RiskBinomial(1,DQ32-INT(DQ32))</f>
        <v>#NAME?</v>
      </c>
      <c r="DS32" s="33" t="e">
        <f t="shared" ca="1" si="23"/>
        <v>#NAME?</v>
      </c>
      <c r="DT32" s="38" t="e">
        <f ca="1">_xll.RiskBinomial(1,DS32)</f>
        <v>#NAME?</v>
      </c>
      <c r="DU32" s="86" t="e">
        <f ca="1">IF(DT32=1,_xll.RiskBinomial(1,Prob_illness_Noro_infection),0)</f>
        <v>#NAME?</v>
      </c>
      <c r="DW32" s="85" t="e">
        <f t="shared" ca="1" si="53"/>
        <v>#NAME?</v>
      </c>
      <c r="DX32" s="40" t="e">
        <f ca="1">INT(DW32) + _xll.RiskBinomial(1,DW32-INT(DW32))</f>
        <v>#NAME?</v>
      </c>
      <c r="DY32" s="33" t="e">
        <f t="shared" ca="1" si="24"/>
        <v>#NAME?</v>
      </c>
      <c r="DZ32" s="38" t="e">
        <f ca="1">_xll.RiskBinomial(1,DY32)</f>
        <v>#NAME?</v>
      </c>
      <c r="EA32" s="86" t="e">
        <f ca="1">IF(DZ32=1,_xll.RiskBinomial(1,Prob_illness_Noro_infection),0)</f>
        <v>#NAME?</v>
      </c>
      <c r="EC32" s="85" t="e">
        <f t="shared" ca="1" si="54"/>
        <v>#NAME?</v>
      </c>
      <c r="ED32" s="40" t="e">
        <f ca="1">INT(EC32) + _xll.RiskBinomial(1,EC32-INT(EC32))</f>
        <v>#NAME?</v>
      </c>
      <c r="EE32" s="33" t="e">
        <f t="shared" ca="1" si="25"/>
        <v>#NAME?</v>
      </c>
      <c r="EF32" s="38" t="e">
        <f ca="1">_xll.RiskBinomial(1,EE32)</f>
        <v>#NAME?</v>
      </c>
      <c r="EG32" s="86" t="e">
        <f ca="1">IF(EF32=1,_xll.RiskBinomial(1,Prob_illness_Noro_infection),0)</f>
        <v>#NAME?</v>
      </c>
      <c r="EI32" s="85" t="e">
        <f t="shared" ca="1" si="55"/>
        <v>#NAME?</v>
      </c>
      <c r="EJ32" s="40" t="e">
        <f ca="1">INT(EI32) + _xll.RiskBinomial(1,EI32-INT(EI32))</f>
        <v>#NAME?</v>
      </c>
      <c r="EK32" s="33" t="e">
        <f t="shared" ca="1" si="26"/>
        <v>#NAME?</v>
      </c>
      <c r="EL32" s="38" t="e">
        <f ca="1">_xll.RiskBinomial(1,EK32)</f>
        <v>#NAME?</v>
      </c>
      <c r="EM32" s="86" t="e">
        <f ca="1">IF(EL32=1,_xll.RiskBinomial(1,Prob_illness_Noro_infection),0)</f>
        <v>#NAME?</v>
      </c>
      <c r="EO32" s="85" t="e">
        <f t="shared" ca="1" si="56"/>
        <v>#NAME?</v>
      </c>
      <c r="EP32" s="40" t="e">
        <f ca="1">INT(EO32) + _xll.RiskBinomial(1,EO32-INT(EO32))</f>
        <v>#NAME?</v>
      </c>
      <c r="EQ32" s="33" t="e">
        <f t="shared" ca="1" si="27"/>
        <v>#NAME?</v>
      </c>
      <c r="ER32" s="38" t="e">
        <f ca="1">_xll.RiskBinomial(1,EQ32)</f>
        <v>#NAME?</v>
      </c>
      <c r="ES32" s="86" t="e">
        <f ca="1">IF(ER32=1,_xll.RiskBinomial(1,Prob_illness_Noro_infection),0)</f>
        <v>#NAME?</v>
      </c>
      <c r="EU32" s="85" t="e">
        <f t="shared" ca="1" si="57"/>
        <v>#NAME?</v>
      </c>
      <c r="EV32" s="40" t="e">
        <f ca="1">INT(EU32) + _xll.RiskBinomial(1,EU32-INT(EU32))</f>
        <v>#NAME?</v>
      </c>
      <c r="EW32" s="33" t="e">
        <f t="shared" ca="1" si="28"/>
        <v>#NAME?</v>
      </c>
      <c r="EX32" s="38" t="e">
        <f ca="1">_xll.RiskBinomial(1,EW32)</f>
        <v>#NAME?</v>
      </c>
      <c r="EY32" s="86" t="e">
        <f ca="1">IF(EX32=1,_xll.RiskBinomial(1,Prob_illness_Noro_infection),0)</f>
        <v>#NAME?</v>
      </c>
      <c r="FA32" s="85" t="e">
        <f t="shared" ca="1" si="58"/>
        <v>#NAME?</v>
      </c>
      <c r="FB32" s="40" t="e">
        <f ca="1">INT(FA32) + _xll.RiskBinomial(1,FA32-INT(FA32))</f>
        <v>#NAME?</v>
      </c>
      <c r="FC32" s="33" t="e">
        <f t="shared" ca="1" si="29"/>
        <v>#NAME?</v>
      </c>
      <c r="FD32" s="38" t="e">
        <f ca="1">_xll.RiskBinomial(1,FC32)</f>
        <v>#NAME?</v>
      </c>
      <c r="FE32" s="86" t="e">
        <f ca="1">IF(FD32=1,_xll.RiskBinomial(1,Prob_illness_Noro_infection),0)</f>
        <v>#NAME?</v>
      </c>
      <c r="FG32" s="85" t="e">
        <f t="shared" ca="1" si="59"/>
        <v>#NAME?</v>
      </c>
      <c r="FH32" s="40" t="e">
        <f ca="1">INT(FG32) + _xll.RiskBinomial(1,FG32-INT(FG32))</f>
        <v>#NAME?</v>
      </c>
      <c r="FI32" s="33" t="e">
        <f t="shared" ca="1" si="30"/>
        <v>#NAME?</v>
      </c>
      <c r="FJ32" s="38" t="e">
        <f ca="1">_xll.RiskBinomial(1,FI32)</f>
        <v>#NAME?</v>
      </c>
      <c r="FK32" s="86" t="e">
        <f ca="1">IF(FJ32=1,_xll.RiskBinomial(1,Prob_illness_Noro_infection),0)</f>
        <v>#NAME?</v>
      </c>
      <c r="FM32" s="85" t="e">
        <f t="shared" ca="1" si="60"/>
        <v>#NAME?</v>
      </c>
      <c r="FN32" s="40" t="e">
        <f ca="1">INT(FM32) + _xll.RiskBinomial(1,FM32-INT(FM32))</f>
        <v>#NAME?</v>
      </c>
      <c r="FO32" s="33" t="e">
        <f t="shared" ca="1" si="31"/>
        <v>#NAME?</v>
      </c>
      <c r="FP32" s="38" t="e">
        <f ca="1">_xll.RiskBinomial(1,FO32)</f>
        <v>#NAME?</v>
      </c>
      <c r="FQ32" s="86" t="e">
        <f ca="1">IF(FP32=1,_xll.RiskBinomial(1,Prob_illness_Noro_infection),0)</f>
        <v>#NAME?</v>
      </c>
      <c r="FS32" s="85" t="e">
        <f t="shared" ca="1" si="61"/>
        <v>#NAME?</v>
      </c>
      <c r="FT32" s="40" t="e">
        <f ca="1">INT(FS32) + _xll.RiskBinomial(1,FS32-INT(FS32))</f>
        <v>#NAME?</v>
      </c>
      <c r="FU32" s="33" t="e">
        <f t="shared" ca="1" si="32"/>
        <v>#NAME?</v>
      </c>
      <c r="FV32" s="38" t="e">
        <f ca="1">_xll.RiskBinomial(1,FU32)</f>
        <v>#NAME?</v>
      </c>
      <c r="FW32" s="86" t="e">
        <f ca="1">IF(FV32=1,_xll.RiskBinomial(1,Prob_illness_Noro_infection),0)</f>
        <v>#NAME?</v>
      </c>
      <c r="FY32" s="85" t="e">
        <f t="shared" ca="1" si="62"/>
        <v>#NAME?</v>
      </c>
      <c r="FZ32" s="40" t="e">
        <f ca="1">INT(FY32) + _xll.RiskBinomial(1,FY32-INT(FY32))</f>
        <v>#NAME?</v>
      </c>
      <c r="GA32" s="33" t="e">
        <f t="shared" ca="1" si="33"/>
        <v>#NAME?</v>
      </c>
      <c r="GB32" s="38" t="e">
        <f ca="1">_xll.RiskBinomial(1,GA32)</f>
        <v>#NAME?</v>
      </c>
      <c r="GC32" s="86" t="e">
        <f ca="1">IF(GB32=1,_xll.RiskBinomial(1,Prob_illness_Noro_infection),0)</f>
        <v>#NAME?</v>
      </c>
      <c r="GE32" s="85" t="e">
        <f t="shared" ca="1" si="63"/>
        <v>#NAME?</v>
      </c>
      <c r="GF32" s="40" t="e">
        <f ca="1">INT(GE32) + _xll.RiskBinomial(1,GE32-INT(GE32))</f>
        <v>#NAME?</v>
      </c>
      <c r="GG32" s="33" t="e">
        <f t="shared" ca="1" si="34"/>
        <v>#NAME?</v>
      </c>
      <c r="GH32" s="38" t="e">
        <f ca="1">_xll.RiskBinomial(1,GG32)</f>
        <v>#NAME?</v>
      </c>
      <c r="GI32" s="86" t="e">
        <f ca="1">IF(GH32=1,_xll.RiskBinomial(1,Prob_illness_Noro_infection),0)</f>
        <v>#NAME?</v>
      </c>
      <c r="GK32" s="85" t="e">
        <f t="shared" ca="1" si="64"/>
        <v>#NAME?</v>
      </c>
      <c r="GL32" s="40" t="e">
        <f ca="1">INT(GK32) + _xll.RiskBinomial(1,GK32-INT(GK32))</f>
        <v>#NAME?</v>
      </c>
      <c r="GM32" s="33" t="e">
        <f t="shared" ca="1" si="35"/>
        <v>#NAME?</v>
      </c>
      <c r="GN32" s="38" t="e">
        <f ca="1">_xll.RiskBinomial(1,GM32)</f>
        <v>#NAME?</v>
      </c>
      <c r="GO32" s="86" t="e">
        <f ca="1">IF(GN32=1,_xll.RiskBinomial(1,Prob_illness_Noro_infection),0)</f>
        <v>#NAME?</v>
      </c>
    </row>
    <row r="33" spans="2:197" x14ac:dyDescent="0.25">
      <c r="B33" s="106">
        <v>25</v>
      </c>
      <c r="C33" s="109" t="e">
        <f ca="1" xml:space="preserve"> _xll.RiskPert(Dur_Swim_hours_min,Dur_Swim_hours_mode,Dur_Swim_hours_max)</f>
        <v>#NAME?</v>
      </c>
      <c r="D33" s="33" t="e">
        <f ca="1">_xll.RiskLognorm(Primary_Ing_Rate_mL_per_hour_mean,Primary_Ing_Rate_mL_per_hour_sd, _xll.RiskTruncate(Primary_Ing_Rate_mL_per_hour_min,Primary_Ing_Rate_mL_per_hour_max))</f>
        <v>#NAME?</v>
      </c>
      <c r="E33" s="41" t="e">
        <f t="shared" ca="1" si="36"/>
        <v>#NAME?</v>
      </c>
      <c r="F33" s="33"/>
      <c r="G33" s="85" t="e">
        <f t="shared" ca="1" si="37"/>
        <v>#NAME?</v>
      </c>
      <c r="H33" s="40" t="e">
        <f ca="1">INT(G33) + _xll.RiskBinomial(1,G33-INT(G33))</f>
        <v>#NAME?</v>
      </c>
      <c r="I33" s="33" t="e">
        <f t="shared" ca="1" si="0"/>
        <v>#NAME?</v>
      </c>
      <c r="J33" s="38" t="e">
        <f ca="1">_xll.RiskBinomial(1,I33)</f>
        <v>#NAME?</v>
      </c>
      <c r="K33" s="86" t="e">
        <f ca="1">IF(J33=1,_xll.RiskBinomial(1,Prob_illness_Noro_infection),0)</f>
        <v>#NAME?</v>
      </c>
      <c r="L33" s="33"/>
      <c r="M33" s="85" t="e">
        <f t="shared" ca="1" si="38"/>
        <v>#NAME?</v>
      </c>
      <c r="N33" s="40" t="e">
        <f ca="1">INT(M33) + _xll.RiskBinomial(1,M33-INT(M33))</f>
        <v>#NAME?</v>
      </c>
      <c r="O33" s="33" t="e">
        <f t="shared" ca="1" si="1"/>
        <v>#NAME?</v>
      </c>
      <c r="P33" s="38" t="e">
        <f ca="1">_xll.RiskBinomial(1,O33)</f>
        <v>#NAME?</v>
      </c>
      <c r="Q33" s="86" t="e">
        <f ca="1">IF(P33=1,_xll.RiskBinomial(1,Prob_illness_Noro_infection),0)</f>
        <v>#NAME?</v>
      </c>
      <c r="R33" s="33"/>
      <c r="S33" s="85" t="e">
        <f t="shared" ca="1" si="39"/>
        <v>#NAME?</v>
      </c>
      <c r="T33" s="40" t="e">
        <f ca="1">INT(S33) + _xll.RiskBinomial(1,S33-INT(S33))</f>
        <v>#NAME?</v>
      </c>
      <c r="U33" s="33" t="e">
        <f t="shared" ca="1" si="2"/>
        <v>#NAME?</v>
      </c>
      <c r="V33" s="38" t="e">
        <f ca="1">_xll.RiskBinomial(1,U33)</f>
        <v>#NAME?</v>
      </c>
      <c r="W33" s="86" t="e">
        <f ca="1">IF(V33=1,_xll.RiskBinomial(1,Prob_illness_Noro_infection),0)</f>
        <v>#NAME?</v>
      </c>
      <c r="X33" s="33"/>
      <c r="Y33" s="85" t="e">
        <f t="shared" ca="1" si="3"/>
        <v>#NAME?</v>
      </c>
      <c r="Z33" s="40" t="e">
        <f ca="1">INT(Y33) + _xll.RiskBinomial(1,Y33-INT(Y33))</f>
        <v>#NAME?</v>
      </c>
      <c r="AA33" s="33" t="e">
        <f t="shared" ca="1" si="4"/>
        <v>#NAME?</v>
      </c>
      <c r="AB33" s="38" t="e">
        <f ca="1">_xll.RiskBinomial(1,AA33)</f>
        <v>#NAME?</v>
      </c>
      <c r="AC33" s="86" t="e">
        <f ca="1">IF(AB33=1,_xll.RiskBinomial(1,Prob_illness_Noro_infection),0)</f>
        <v>#NAME?</v>
      </c>
      <c r="AD33" s="33"/>
      <c r="AE33" s="85" t="e">
        <f t="shared" ca="1" si="5"/>
        <v>#NAME?</v>
      </c>
      <c r="AF33" s="40" t="e">
        <f ca="1">INT(AE33) + _xll.RiskBinomial(1,AE33-INT(AE33))</f>
        <v>#NAME?</v>
      </c>
      <c r="AG33" s="33" t="e">
        <f t="shared" ca="1" si="6"/>
        <v>#NAME?</v>
      </c>
      <c r="AH33" s="38" t="e">
        <f ca="1">_xll.RiskBinomial(1,AG33)</f>
        <v>#NAME?</v>
      </c>
      <c r="AI33" s="86" t="e">
        <f ca="1">IF(AH33=1,_xll.RiskBinomial(1,Prob_illness_Noro_infection),0)</f>
        <v>#NAME?</v>
      </c>
      <c r="AJ33" s="33"/>
      <c r="AK33" s="85" t="e">
        <f t="shared" ca="1" si="7"/>
        <v>#NAME?</v>
      </c>
      <c r="AL33" s="40" t="e">
        <f ca="1">INT(AK33) + _xll.RiskBinomial(1,AK33-INT(AK33))</f>
        <v>#NAME?</v>
      </c>
      <c r="AM33" s="33" t="e">
        <f t="shared" ca="1" si="8"/>
        <v>#NAME?</v>
      </c>
      <c r="AN33" s="38" t="e">
        <f ca="1">_xll.RiskBinomial(1,AM33)</f>
        <v>#NAME?</v>
      </c>
      <c r="AO33" s="86" t="e">
        <f ca="1">IF(AN33=1,_xll.RiskBinomial(1,Prob_illness_Noro_infection),0)</f>
        <v>#NAME?</v>
      </c>
      <c r="AP33" s="33"/>
      <c r="AQ33" s="85" t="e">
        <f t="shared" ca="1" si="9"/>
        <v>#NAME?</v>
      </c>
      <c r="AR33" s="40" t="e">
        <f ca="1">INT(AQ33) + _xll.RiskBinomial(1,AQ33-INT(AQ33))</f>
        <v>#NAME?</v>
      </c>
      <c r="AS33" s="33" t="e">
        <f t="shared" ca="1" si="10"/>
        <v>#NAME?</v>
      </c>
      <c r="AT33" s="38" t="e">
        <f ca="1">_xll.RiskBinomial(1,AS33)</f>
        <v>#NAME?</v>
      </c>
      <c r="AU33" s="86" t="e">
        <f ca="1">IF(AT33=1,_xll.RiskBinomial(1,Prob_illness_Noro_infection),0)</f>
        <v>#NAME?</v>
      </c>
      <c r="AV33" s="33"/>
      <c r="AW33" s="85" t="e">
        <f t="shared" ca="1" si="40"/>
        <v>#NAME?</v>
      </c>
      <c r="AX33" s="40" t="e">
        <f ca="1">INT(AW33) + _xll.RiskBinomial(1,AW33-INT(AW33))</f>
        <v>#NAME?</v>
      </c>
      <c r="AY33" s="33" t="e">
        <f t="shared" ca="1" si="11"/>
        <v>#NAME?</v>
      </c>
      <c r="AZ33" s="38" t="e">
        <f ca="1">_xll.RiskBinomial(1,AY33)</f>
        <v>#NAME?</v>
      </c>
      <c r="BA33" s="86" t="e">
        <f ca="1">IF(AZ33=1,_xll.RiskBinomial(1,Prob_illness_Noro_infection),0)</f>
        <v>#NAME?</v>
      </c>
      <c r="BC33" s="85" t="e">
        <f t="shared" ca="1" si="41"/>
        <v>#NAME?</v>
      </c>
      <c r="BD33" s="40" t="e">
        <f ca="1">INT(BC33) + _xll.RiskBinomial(1,BC33-INT(BC33))</f>
        <v>#NAME?</v>
      </c>
      <c r="BE33" s="33" t="e">
        <f t="shared" ca="1" si="12"/>
        <v>#NAME?</v>
      </c>
      <c r="BF33" s="38" t="e">
        <f ca="1">_xll.RiskBinomial(1,BE33)</f>
        <v>#NAME?</v>
      </c>
      <c r="BG33" s="86" t="e">
        <f ca="1">IF(BF33=1,_xll.RiskBinomial(1,Prob_illness_Noro_infection),0)</f>
        <v>#NAME?</v>
      </c>
      <c r="BI33" s="85" t="e">
        <f t="shared" ca="1" si="42"/>
        <v>#NAME?</v>
      </c>
      <c r="BJ33" s="40" t="e">
        <f ca="1">INT(BI33) + _xll.RiskBinomial(1,BI33-INT(BI33))</f>
        <v>#NAME?</v>
      </c>
      <c r="BK33" s="33" t="e">
        <f t="shared" ca="1" si="13"/>
        <v>#NAME?</v>
      </c>
      <c r="BL33" s="38" t="e">
        <f ca="1">_xll.RiskBinomial(1,BK33)</f>
        <v>#NAME?</v>
      </c>
      <c r="BM33" s="86" t="e">
        <f ca="1">IF(BL33=1,_xll.RiskBinomial(1,Prob_illness_Noro_infection),0)</f>
        <v>#NAME?</v>
      </c>
      <c r="BO33" s="85" t="e">
        <f t="shared" ca="1" si="43"/>
        <v>#NAME?</v>
      </c>
      <c r="BP33" s="40" t="e">
        <f ca="1">INT(BO33) + _xll.RiskBinomial(1,BO33-INT(BO33))</f>
        <v>#NAME?</v>
      </c>
      <c r="BQ33" s="33" t="e">
        <f t="shared" ca="1" si="14"/>
        <v>#NAME?</v>
      </c>
      <c r="BR33" s="38" t="e">
        <f ca="1">_xll.RiskBinomial(1,BQ33)</f>
        <v>#NAME?</v>
      </c>
      <c r="BS33" s="86" t="e">
        <f ca="1">IF(BR33=1,_xll.RiskBinomial(1,Prob_illness_Noro_infection),0)</f>
        <v>#NAME?</v>
      </c>
      <c r="BU33" s="85" t="e">
        <f t="shared" ca="1" si="44"/>
        <v>#NAME?</v>
      </c>
      <c r="BV33" s="40" t="e">
        <f ca="1">INT(BU33) + _xll.RiskBinomial(1,BU33-INT(BU33))</f>
        <v>#NAME?</v>
      </c>
      <c r="BW33" s="33" t="e">
        <f t="shared" ca="1" si="15"/>
        <v>#NAME?</v>
      </c>
      <c r="BX33" s="38" t="e">
        <f ca="1">_xll.RiskBinomial(1,BW33)</f>
        <v>#NAME?</v>
      </c>
      <c r="BY33" s="86" t="e">
        <f ca="1">IF(BX33=1,_xll.RiskBinomial(1,Prob_illness_Noro_infection),0)</f>
        <v>#NAME?</v>
      </c>
      <c r="CA33" s="85" t="e">
        <f t="shared" ca="1" si="45"/>
        <v>#NAME?</v>
      </c>
      <c r="CB33" s="40" t="e">
        <f ca="1">INT(CA33) + _xll.RiskBinomial(1,CA33-INT(CA33))</f>
        <v>#NAME?</v>
      </c>
      <c r="CC33" s="33" t="e">
        <f t="shared" ca="1" si="16"/>
        <v>#NAME?</v>
      </c>
      <c r="CD33" s="38" t="e">
        <f ca="1">_xll.RiskBinomial(1,CC33)</f>
        <v>#NAME?</v>
      </c>
      <c r="CE33" s="86" t="e">
        <f ca="1">IF(CD33=1,_xll.RiskBinomial(1,Prob_illness_Noro_infection),0)</f>
        <v>#NAME?</v>
      </c>
      <c r="CG33" s="85" t="e">
        <f t="shared" ca="1" si="46"/>
        <v>#NAME?</v>
      </c>
      <c r="CH33" s="40" t="e">
        <f ca="1">INT(CG33) + _xll.RiskBinomial(1,CG33-INT(CG33))</f>
        <v>#NAME?</v>
      </c>
      <c r="CI33" s="33" t="e">
        <f t="shared" ca="1" si="17"/>
        <v>#NAME?</v>
      </c>
      <c r="CJ33" s="38" t="e">
        <f ca="1">_xll.RiskBinomial(1,CI33)</f>
        <v>#NAME?</v>
      </c>
      <c r="CK33" s="86" t="e">
        <f ca="1">IF(CJ33=1,_xll.RiskBinomial(1,Prob_illness_Noro_infection),0)</f>
        <v>#NAME?</v>
      </c>
      <c r="CM33" s="85" t="e">
        <f t="shared" ca="1" si="47"/>
        <v>#NAME?</v>
      </c>
      <c r="CN33" s="40" t="e">
        <f ca="1">INT(CM33) + _xll.RiskBinomial(1,CM33-INT(CM33))</f>
        <v>#NAME?</v>
      </c>
      <c r="CO33" s="33" t="e">
        <f t="shared" ca="1" si="18"/>
        <v>#NAME?</v>
      </c>
      <c r="CP33" s="38" t="e">
        <f ca="1">_xll.RiskBinomial(1,CO33)</f>
        <v>#NAME?</v>
      </c>
      <c r="CQ33" s="86" t="e">
        <f ca="1">IF(CP33=1,_xll.RiskBinomial(1,Prob_illness_Noro_infection),0)</f>
        <v>#NAME?</v>
      </c>
      <c r="CS33" s="85" t="e">
        <f t="shared" ca="1" si="48"/>
        <v>#NAME?</v>
      </c>
      <c r="CT33" s="40" t="e">
        <f ca="1">INT(CS33) + _xll.RiskBinomial(1,CS33-INT(CS33))</f>
        <v>#NAME?</v>
      </c>
      <c r="CU33" s="33" t="e">
        <f t="shared" ca="1" si="19"/>
        <v>#NAME?</v>
      </c>
      <c r="CV33" s="38" t="e">
        <f ca="1">_xll.RiskBinomial(1,CU33)</f>
        <v>#NAME?</v>
      </c>
      <c r="CW33" s="86" t="e">
        <f ca="1">IF(CV33=1,_xll.RiskBinomial(1,Prob_illness_Noro_infection),0)</f>
        <v>#NAME?</v>
      </c>
      <c r="CY33" s="85" t="e">
        <f t="shared" ca="1" si="49"/>
        <v>#NAME?</v>
      </c>
      <c r="CZ33" s="40" t="e">
        <f ca="1">INT(CY33) + _xll.RiskBinomial(1,CY33-INT(CY33))</f>
        <v>#NAME?</v>
      </c>
      <c r="DA33" s="33" t="e">
        <f t="shared" ca="1" si="20"/>
        <v>#NAME?</v>
      </c>
      <c r="DB33" s="38" t="e">
        <f ca="1">_xll.RiskBinomial(1,DA33)</f>
        <v>#NAME?</v>
      </c>
      <c r="DC33" s="86" t="e">
        <f ca="1">IF(DB33=1,_xll.RiskBinomial(1,Prob_illness_Noro_infection),0)</f>
        <v>#NAME?</v>
      </c>
      <c r="DE33" s="85" t="e">
        <f t="shared" ca="1" si="50"/>
        <v>#NAME?</v>
      </c>
      <c r="DF33" s="40" t="e">
        <f ca="1">INT(DE33) + _xll.RiskBinomial(1,DE33-INT(DE33))</f>
        <v>#NAME?</v>
      </c>
      <c r="DG33" s="33" t="e">
        <f t="shared" ca="1" si="21"/>
        <v>#NAME?</v>
      </c>
      <c r="DH33" s="38" t="e">
        <f ca="1">_xll.RiskBinomial(1,DG33)</f>
        <v>#NAME?</v>
      </c>
      <c r="DI33" s="86" t="e">
        <f ca="1">IF(DH33=1,_xll.RiskBinomial(1,Prob_illness_Noro_infection),0)</f>
        <v>#NAME?</v>
      </c>
      <c r="DK33" s="85" t="e">
        <f t="shared" ca="1" si="51"/>
        <v>#NAME?</v>
      </c>
      <c r="DL33" s="40" t="e">
        <f ca="1">INT(DK33) + _xll.RiskBinomial(1,DK33-INT(DK33))</f>
        <v>#NAME?</v>
      </c>
      <c r="DM33" s="33" t="e">
        <f t="shared" ca="1" si="22"/>
        <v>#NAME?</v>
      </c>
      <c r="DN33" s="38" t="e">
        <f ca="1">_xll.RiskBinomial(1,DM33)</f>
        <v>#NAME?</v>
      </c>
      <c r="DO33" s="86" t="e">
        <f ca="1">IF(DN33=1,_xll.RiskBinomial(1,Prob_illness_Noro_infection),0)</f>
        <v>#NAME?</v>
      </c>
      <c r="DQ33" s="85" t="e">
        <f t="shared" ca="1" si="52"/>
        <v>#NAME?</v>
      </c>
      <c r="DR33" s="40" t="e">
        <f ca="1">INT(DQ33) + _xll.RiskBinomial(1,DQ33-INT(DQ33))</f>
        <v>#NAME?</v>
      </c>
      <c r="DS33" s="33" t="e">
        <f t="shared" ca="1" si="23"/>
        <v>#NAME?</v>
      </c>
      <c r="DT33" s="38" t="e">
        <f ca="1">_xll.RiskBinomial(1,DS33)</f>
        <v>#NAME?</v>
      </c>
      <c r="DU33" s="86" t="e">
        <f ca="1">IF(DT33=1,_xll.RiskBinomial(1,Prob_illness_Noro_infection),0)</f>
        <v>#NAME?</v>
      </c>
      <c r="DW33" s="85" t="e">
        <f t="shared" ca="1" si="53"/>
        <v>#NAME?</v>
      </c>
      <c r="DX33" s="40" t="e">
        <f ca="1">INT(DW33) + _xll.RiskBinomial(1,DW33-INT(DW33))</f>
        <v>#NAME?</v>
      </c>
      <c r="DY33" s="33" t="e">
        <f t="shared" ca="1" si="24"/>
        <v>#NAME?</v>
      </c>
      <c r="DZ33" s="38" t="e">
        <f ca="1">_xll.RiskBinomial(1,DY33)</f>
        <v>#NAME?</v>
      </c>
      <c r="EA33" s="86" t="e">
        <f ca="1">IF(DZ33=1,_xll.RiskBinomial(1,Prob_illness_Noro_infection),0)</f>
        <v>#NAME?</v>
      </c>
      <c r="EC33" s="85" t="e">
        <f t="shared" ca="1" si="54"/>
        <v>#NAME?</v>
      </c>
      <c r="ED33" s="40" t="e">
        <f ca="1">INT(EC33) + _xll.RiskBinomial(1,EC33-INT(EC33))</f>
        <v>#NAME?</v>
      </c>
      <c r="EE33" s="33" t="e">
        <f t="shared" ca="1" si="25"/>
        <v>#NAME?</v>
      </c>
      <c r="EF33" s="38" t="e">
        <f ca="1">_xll.RiskBinomial(1,EE33)</f>
        <v>#NAME?</v>
      </c>
      <c r="EG33" s="86" t="e">
        <f ca="1">IF(EF33=1,_xll.RiskBinomial(1,Prob_illness_Noro_infection),0)</f>
        <v>#NAME?</v>
      </c>
      <c r="EI33" s="85" t="e">
        <f t="shared" ca="1" si="55"/>
        <v>#NAME?</v>
      </c>
      <c r="EJ33" s="40" t="e">
        <f ca="1">INT(EI33) + _xll.RiskBinomial(1,EI33-INT(EI33))</f>
        <v>#NAME?</v>
      </c>
      <c r="EK33" s="33" t="e">
        <f t="shared" ca="1" si="26"/>
        <v>#NAME?</v>
      </c>
      <c r="EL33" s="38" t="e">
        <f ca="1">_xll.RiskBinomial(1,EK33)</f>
        <v>#NAME?</v>
      </c>
      <c r="EM33" s="86" t="e">
        <f ca="1">IF(EL33=1,_xll.RiskBinomial(1,Prob_illness_Noro_infection),0)</f>
        <v>#NAME?</v>
      </c>
      <c r="EO33" s="85" t="e">
        <f t="shared" ca="1" si="56"/>
        <v>#NAME?</v>
      </c>
      <c r="EP33" s="40" t="e">
        <f ca="1">INT(EO33) + _xll.RiskBinomial(1,EO33-INT(EO33))</f>
        <v>#NAME?</v>
      </c>
      <c r="EQ33" s="33" t="e">
        <f t="shared" ca="1" si="27"/>
        <v>#NAME?</v>
      </c>
      <c r="ER33" s="38" t="e">
        <f ca="1">_xll.RiskBinomial(1,EQ33)</f>
        <v>#NAME?</v>
      </c>
      <c r="ES33" s="86" t="e">
        <f ca="1">IF(ER33=1,_xll.RiskBinomial(1,Prob_illness_Noro_infection),0)</f>
        <v>#NAME?</v>
      </c>
      <c r="EU33" s="85" t="e">
        <f t="shared" ca="1" si="57"/>
        <v>#NAME?</v>
      </c>
      <c r="EV33" s="40" t="e">
        <f ca="1">INT(EU33) + _xll.RiskBinomial(1,EU33-INT(EU33))</f>
        <v>#NAME?</v>
      </c>
      <c r="EW33" s="33" t="e">
        <f t="shared" ca="1" si="28"/>
        <v>#NAME?</v>
      </c>
      <c r="EX33" s="38" t="e">
        <f ca="1">_xll.RiskBinomial(1,EW33)</f>
        <v>#NAME?</v>
      </c>
      <c r="EY33" s="86" t="e">
        <f ca="1">IF(EX33=1,_xll.RiskBinomial(1,Prob_illness_Noro_infection),0)</f>
        <v>#NAME?</v>
      </c>
      <c r="FA33" s="85" t="e">
        <f t="shared" ca="1" si="58"/>
        <v>#NAME?</v>
      </c>
      <c r="FB33" s="40" t="e">
        <f ca="1">INT(FA33) + _xll.RiskBinomial(1,FA33-INT(FA33))</f>
        <v>#NAME?</v>
      </c>
      <c r="FC33" s="33" t="e">
        <f t="shared" ca="1" si="29"/>
        <v>#NAME?</v>
      </c>
      <c r="FD33" s="38" t="e">
        <f ca="1">_xll.RiskBinomial(1,FC33)</f>
        <v>#NAME?</v>
      </c>
      <c r="FE33" s="86" t="e">
        <f ca="1">IF(FD33=1,_xll.RiskBinomial(1,Prob_illness_Noro_infection),0)</f>
        <v>#NAME?</v>
      </c>
      <c r="FG33" s="85" t="e">
        <f t="shared" ca="1" si="59"/>
        <v>#NAME?</v>
      </c>
      <c r="FH33" s="40" t="e">
        <f ca="1">INT(FG33) + _xll.RiskBinomial(1,FG33-INT(FG33))</f>
        <v>#NAME?</v>
      </c>
      <c r="FI33" s="33" t="e">
        <f t="shared" ca="1" si="30"/>
        <v>#NAME?</v>
      </c>
      <c r="FJ33" s="38" t="e">
        <f ca="1">_xll.RiskBinomial(1,FI33)</f>
        <v>#NAME?</v>
      </c>
      <c r="FK33" s="86" t="e">
        <f ca="1">IF(FJ33=1,_xll.RiskBinomial(1,Prob_illness_Noro_infection),0)</f>
        <v>#NAME?</v>
      </c>
      <c r="FM33" s="85" t="e">
        <f t="shared" ca="1" si="60"/>
        <v>#NAME?</v>
      </c>
      <c r="FN33" s="40" t="e">
        <f ca="1">INT(FM33) + _xll.RiskBinomial(1,FM33-INT(FM33))</f>
        <v>#NAME?</v>
      </c>
      <c r="FO33" s="33" t="e">
        <f t="shared" ca="1" si="31"/>
        <v>#NAME?</v>
      </c>
      <c r="FP33" s="38" t="e">
        <f ca="1">_xll.RiskBinomial(1,FO33)</f>
        <v>#NAME?</v>
      </c>
      <c r="FQ33" s="86" t="e">
        <f ca="1">IF(FP33=1,_xll.RiskBinomial(1,Prob_illness_Noro_infection),0)</f>
        <v>#NAME?</v>
      </c>
      <c r="FS33" s="85" t="e">
        <f t="shared" ca="1" si="61"/>
        <v>#NAME?</v>
      </c>
      <c r="FT33" s="40" t="e">
        <f ca="1">INT(FS33) + _xll.RiskBinomial(1,FS33-INT(FS33))</f>
        <v>#NAME?</v>
      </c>
      <c r="FU33" s="33" t="e">
        <f t="shared" ca="1" si="32"/>
        <v>#NAME?</v>
      </c>
      <c r="FV33" s="38" t="e">
        <f ca="1">_xll.RiskBinomial(1,FU33)</f>
        <v>#NAME?</v>
      </c>
      <c r="FW33" s="86" t="e">
        <f ca="1">IF(FV33=1,_xll.RiskBinomial(1,Prob_illness_Noro_infection),0)</f>
        <v>#NAME?</v>
      </c>
      <c r="FY33" s="85" t="e">
        <f t="shared" ca="1" si="62"/>
        <v>#NAME?</v>
      </c>
      <c r="FZ33" s="40" t="e">
        <f ca="1">INT(FY33) + _xll.RiskBinomial(1,FY33-INT(FY33))</f>
        <v>#NAME?</v>
      </c>
      <c r="GA33" s="33" t="e">
        <f t="shared" ca="1" si="33"/>
        <v>#NAME?</v>
      </c>
      <c r="GB33" s="38" t="e">
        <f ca="1">_xll.RiskBinomial(1,GA33)</f>
        <v>#NAME?</v>
      </c>
      <c r="GC33" s="86" t="e">
        <f ca="1">IF(GB33=1,_xll.RiskBinomial(1,Prob_illness_Noro_infection),0)</f>
        <v>#NAME?</v>
      </c>
      <c r="GE33" s="85" t="e">
        <f t="shared" ca="1" si="63"/>
        <v>#NAME?</v>
      </c>
      <c r="GF33" s="40" t="e">
        <f ca="1">INT(GE33) + _xll.RiskBinomial(1,GE33-INT(GE33))</f>
        <v>#NAME?</v>
      </c>
      <c r="GG33" s="33" t="e">
        <f t="shared" ca="1" si="34"/>
        <v>#NAME?</v>
      </c>
      <c r="GH33" s="38" t="e">
        <f ca="1">_xll.RiskBinomial(1,GG33)</f>
        <v>#NAME?</v>
      </c>
      <c r="GI33" s="86" t="e">
        <f ca="1">IF(GH33=1,_xll.RiskBinomial(1,Prob_illness_Noro_infection),0)</f>
        <v>#NAME?</v>
      </c>
      <c r="GK33" s="85" t="e">
        <f t="shared" ca="1" si="64"/>
        <v>#NAME?</v>
      </c>
      <c r="GL33" s="40" t="e">
        <f ca="1">INT(GK33) + _xll.RiskBinomial(1,GK33-INT(GK33))</f>
        <v>#NAME?</v>
      </c>
      <c r="GM33" s="33" t="e">
        <f t="shared" ca="1" si="35"/>
        <v>#NAME?</v>
      </c>
      <c r="GN33" s="38" t="e">
        <f ca="1">_xll.RiskBinomial(1,GM33)</f>
        <v>#NAME?</v>
      </c>
      <c r="GO33" s="86" t="e">
        <f ca="1">IF(GN33=1,_xll.RiskBinomial(1,Prob_illness_Noro_infection),0)</f>
        <v>#NAME?</v>
      </c>
    </row>
    <row r="34" spans="2:197" x14ac:dyDescent="0.25">
      <c r="B34" s="106">
        <v>26</v>
      </c>
      <c r="C34" s="109" t="e">
        <f ca="1" xml:space="preserve"> _xll.RiskPert(Dur_Swim_hours_min,Dur_Swim_hours_mode,Dur_Swim_hours_max)</f>
        <v>#NAME?</v>
      </c>
      <c r="D34" s="33" t="e">
        <f ca="1">_xll.RiskLognorm(Primary_Ing_Rate_mL_per_hour_mean,Primary_Ing_Rate_mL_per_hour_sd, _xll.RiskTruncate(Primary_Ing_Rate_mL_per_hour_min,Primary_Ing_Rate_mL_per_hour_max))</f>
        <v>#NAME?</v>
      </c>
      <c r="E34" s="41" t="e">
        <f t="shared" ca="1" si="36"/>
        <v>#NAME?</v>
      </c>
      <c r="F34" s="33"/>
      <c r="G34" s="85" t="e">
        <f t="shared" ca="1" si="37"/>
        <v>#NAME?</v>
      </c>
      <c r="H34" s="40" t="e">
        <f ca="1">INT(G34) + _xll.RiskBinomial(1,G34-INT(G34))</f>
        <v>#NAME?</v>
      </c>
      <c r="I34" s="33" t="e">
        <f t="shared" ca="1" si="0"/>
        <v>#NAME?</v>
      </c>
      <c r="J34" s="38" t="e">
        <f ca="1">_xll.RiskBinomial(1,I34)</f>
        <v>#NAME?</v>
      </c>
      <c r="K34" s="86" t="e">
        <f ca="1">IF(J34=1,_xll.RiskBinomial(1,Prob_illness_Noro_infection),0)</f>
        <v>#NAME?</v>
      </c>
      <c r="L34" s="33"/>
      <c r="M34" s="85" t="e">
        <f t="shared" ca="1" si="38"/>
        <v>#NAME?</v>
      </c>
      <c r="N34" s="40" t="e">
        <f ca="1">INT(M34) + _xll.RiskBinomial(1,M34-INT(M34))</f>
        <v>#NAME?</v>
      </c>
      <c r="O34" s="33" t="e">
        <f t="shared" ca="1" si="1"/>
        <v>#NAME?</v>
      </c>
      <c r="P34" s="38" t="e">
        <f ca="1">_xll.RiskBinomial(1,O34)</f>
        <v>#NAME?</v>
      </c>
      <c r="Q34" s="86" t="e">
        <f ca="1">IF(P34=1,_xll.RiskBinomial(1,Prob_illness_Noro_infection),0)</f>
        <v>#NAME?</v>
      </c>
      <c r="R34" s="33"/>
      <c r="S34" s="85" t="e">
        <f t="shared" ca="1" si="39"/>
        <v>#NAME?</v>
      </c>
      <c r="T34" s="40" t="e">
        <f ca="1">INT(S34) + _xll.RiskBinomial(1,S34-INT(S34))</f>
        <v>#NAME?</v>
      </c>
      <c r="U34" s="33" t="e">
        <f t="shared" ca="1" si="2"/>
        <v>#NAME?</v>
      </c>
      <c r="V34" s="38" t="e">
        <f ca="1">_xll.RiskBinomial(1,U34)</f>
        <v>#NAME?</v>
      </c>
      <c r="W34" s="86" t="e">
        <f ca="1">IF(V34=1,_xll.RiskBinomial(1,Prob_illness_Noro_infection),0)</f>
        <v>#NAME?</v>
      </c>
      <c r="X34" s="33"/>
      <c r="Y34" s="85" t="e">
        <f t="shared" ca="1" si="3"/>
        <v>#NAME?</v>
      </c>
      <c r="Z34" s="40" t="e">
        <f ca="1">INT(Y34) + _xll.RiskBinomial(1,Y34-INT(Y34))</f>
        <v>#NAME?</v>
      </c>
      <c r="AA34" s="33" t="e">
        <f t="shared" ca="1" si="4"/>
        <v>#NAME?</v>
      </c>
      <c r="AB34" s="38" t="e">
        <f ca="1">_xll.RiskBinomial(1,AA34)</f>
        <v>#NAME?</v>
      </c>
      <c r="AC34" s="86" t="e">
        <f ca="1">IF(AB34=1,_xll.RiskBinomial(1,Prob_illness_Noro_infection),0)</f>
        <v>#NAME?</v>
      </c>
      <c r="AD34" s="33"/>
      <c r="AE34" s="85" t="e">
        <f t="shared" ca="1" si="5"/>
        <v>#NAME?</v>
      </c>
      <c r="AF34" s="40" t="e">
        <f ca="1">INT(AE34) + _xll.RiskBinomial(1,AE34-INT(AE34))</f>
        <v>#NAME?</v>
      </c>
      <c r="AG34" s="33" t="e">
        <f t="shared" ca="1" si="6"/>
        <v>#NAME?</v>
      </c>
      <c r="AH34" s="38" t="e">
        <f ca="1">_xll.RiskBinomial(1,AG34)</f>
        <v>#NAME?</v>
      </c>
      <c r="AI34" s="86" t="e">
        <f ca="1">IF(AH34=1,_xll.RiskBinomial(1,Prob_illness_Noro_infection),0)</f>
        <v>#NAME?</v>
      </c>
      <c r="AJ34" s="33"/>
      <c r="AK34" s="85" t="e">
        <f t="shared" ca="1" si="7"/>
        <v>#NAME?</v>
      </c>
      <c r="AL34" s="40" t="e">
        <f ca="1">INT(AK34) + _xll.RiskBinomial(1,AK34-INT(AK34))</f>
        <v>#NAME?</v>
      </c>
      <c r="AM34" s="33" t="e">
        <f t="shared" ca="1" si="8"/>
        <v>#NAME?</v>
      </c>
      <c r="AN34" s="38" t="e">
        <f ca="1">_xll.RiskBinomial(1,AM34)</f>
        <v>#NAME?</v>
      </c>
      <c r="AO34" s="86" t="e">
        <f ca="1">IF(AN34=1,_xll.RiskBinomial(1,Prob_illness_Noro_infection),0)</f>
        <v>#NAME?</v>
      </c>
      <c r="AP34" s="33"/>
      <c r="AQ34" s="85" t="e">
        <f t="shared" ca="1" si="9"/>
        <v>#NAME?</v>
      </c>
      <c r="AR34" s="40" t="e">
        <f ca="1">INT(AQ34) + _xll.RiskBinomial(1,AQ34-INT(AQ34))</f>
        <v>#NAME?</v>
      </c>
      <c r="AS34" s="33" t="e">
        <f t="shared" ca="1" si="10"/>
        <v>#NAME?</v>
      </c>
      <c r="AT34" s="38" t="e">
        <f ca="1">_xll.RiskBinomial(1,AS34)</f>
        <v>#NAME?</v>
      </c>
      <c r="AU34" s="86" t="e">
        <f ca="1">IF(AT34=1,_xll.RiskBinomial(1,Prob_illness_Noro_infection),0)</f>
        <v>#NAME?</v>
      </c>
      <c r="AV34" s="33"/>
      <c r="AW34" s="85" t="e">
        <f t="shared" ca="1" si="40"/>
        <v>#NAME?</v>
      </c>
      <c r="AX34" s="40" t="e">
        <f ca="1">INT(AW34) + _xll.RiskBinomial(1,AW34-INT(AW34))</f>
        <v>#NAME?</v>
      </c>
      <c r="AY34" s="33" t="e">
        <f t="shared" ca="1" si="11"/>
        <v>#NAME?</v>
      </c>
      <c r="AZ34" s="38" t="e">
        <f ca="1">_xll.RiskBinomial(1,AY34)</f>
        <v>#NAME?</v>
      </c>
      <c r="BA34" s="86" t="e">
        <f ca="1">IF(AZ34=1,_xll.RiskBinomial(1,Prob_illness_Noro_infection),0)</f>
        <v>#NAME?</v>
      </c>
      <c r="BC34" s="85" t="e">
        <f t="shared" ca="1" si="41"/>
        <v>#NAME?</v>
      </c>
      <c r="BD34" s="40" t="e">
        <f ca="1">INT(BC34) + _xll.RiskBinomial(1,BC34-INT(BC34))</f>
        <v>#NAME?</v>
      </c>
      <c r="BE34" s="33" t="e">
        <f t="shared" ca="1" si="12"/>
        <v>#NAME?</v>
      </c>
      <c r="BF34" s="38" t="e">
        <f ca="1">_xll.RiskBinomial(1,BE34)</f>
        <v>#NAME?</v>
      </c>
      <c r="BG34" s="86" t="e">
        <f ca="1">IF(BF34=1,_xll.RiskBinomial(1,Prob_illness_Noro_infection),0)</f>
        <v>#NAME?</v>
      </c>
      <c r="BI34" s="85" t="e">
        <f t="shared" ca="1" si="42"/>
        <v>#NAME?</v>
      </c>
      <c r="BJ34" s="40" t="e">
        <f ca="1">INT(BI34) + _xll.RiskBinomial(1,BI34-INT(BI34))</f>
        <v>#NAME?</v>
      </c>
      <c r="BK34" s="33" t="e">
        <f t="shared" ca="1" si="13"/>
        <v>#NAME?</v>
      </c>
      <c r="BL34" s="38" t="e">
        <f ca="1">_xll.RiskBinomial(1,BK34)</f>
        <v>#NAME?</v>
      </c>
      <c r="BM34" s="86" t="e">
        <f ca="1">IF(BL34=1,_xll.RiskBinomial(1,Prob_illness_Noro_infection),0)</f>
        <v>#NAME?</v>
      </c>
      <c r="BO34" s="85" t="e">
        <f t="shared" ca="1" si="43"/>
        <v>#NAME?</v>
      </c>
      <c r="BP34" s="40" t="e">
        <f ca="1">INT(BO34) + _xll.RiskBinomial(1,BO34-INT(BO34))</f>
        <v>#NAME?</v>
      </c>
      <c r="BQ34" s="33" t="e">
        <f t="shared" ca="1" si="14"/>
        <v>#NAME?</v>
      </c>
      <c r="BR34" s="38" t="e">
        <f ca="1">_xll.RiskBinomial(1,BQ34)</f>
        <v>#NAME?</v>
      </c>
      <c r="BS34" s="86" t="e">
        <f ca="1">IF(BR34=1,_xll.RiskBinomial(1,Prob_illness_Noro_infection),0)</f>
        <v>#NAME?</v>
      </c>
      <c r="BU34" s="85" t="e">
        <f t="shared" ca="1" si="44"/>
        <v>#NAME?</v>
      </c>
      <c r="BV34" s="40" t="e">
        <f ca="1">INT(BU34) + _xll.RiskBinomial(1,BU34-INT(BU34))</f>
        <v>#NAME?</v>
      </c>
      <c r="BW34" s="33" t="e">
        <f t="shared" ca="1" si="15"/>
        <v>#NAME?</v>
      </c>
      <c r="BX34" s="38" t="e">
        <f ca="1">_xll.RiskBinomial(1,BW34)</f>
        <v>#NAME?</v>
      </c>
      <c r="BY34" s="86" t="e">
        <f ca="1">IF(BX34=1,_xll.RiskBinomial(1,Prob_illness_Noro_infection),0)</f>
        <v>#NAME?</v>
      </c>
      <c r="CA34" s="85" t="e">
        <f t="shared" ca="1" si="45"/>
        <v>#NAME?</v>
      </c>
      <c r="CB34" s="40" t="e">
        <f ca="1">INT(CA34) + _xll.RiskBinomial(1,CA34-INT(CA34))</f>
        <v>#NAME?</v>
      </c>
      <c r="CC34" s="33" t="e">
        <f t="shared" ca="1" si="16"/>
        <v>#NAME?</v>
      </c>
      <c r="CD34" s="38" t="e">
        <f ca="1">_xll.RiskBinomial(1,CC34)</f>
        <v>#NAME?</v>
      </c>
      <c r="CE34" s="86" t="e">
        <f ca="1">IF(CD34=1,_xll.RiskBinomial(1,Prob_illness_Noro_infection),0)</f>
        <v>#NAME?</v>
      </c>
      <c r="CG34" s="85" t="e">
        <f t="shared" ca="1" si="46"/>
        <v>#NAME?</v>
      </c>
      <c r="CH34" s="40" t="e">
        <f ca="1">INT(CG34) + _xll.RiskBinomial(1,CG34-INT(CG34))</f>
        <v>#NAME?</v>
      </c>
      <c r="CI34" s="33" t="e">
        <f t="shared" ca="1" si="17"/>
        <v>#NAME?</v>
      </c>
      <c r="CJ34" s="38" t="e">
        <f ca="1">_xll.RiskBinomial(1,CI34)</f>
        <v>#NAME?</v>
      </c>
      <c r="CK34" s="86" t="e">
        <f ca="1">IF(CJ34=1,_xll.RiskBinomial(1,Prob_illness_Noro_infection),0)</f>
        <v>#NAME?</v>
      </c>
      <c r="CM34" s="85" t="e">
        <f t="shared" ca="1" si="47"/>
        <v>#NAME?</v>
      </c>
      <c r="CN34" s="40" t="e">
        <f ca="1">INT(CM34) + _xll.RiskBinomial(1,CM34-INT(CM34))</f>
        <v>#NAME?</v>
      </c>
      <c r="CO34" s="33" t="e">
        <f t="shared" ca="1" si="18"/>
        <v>#NAME?</v>
      </c>
      <c r="CP34" s="38" t="e">
        <f ca="1">_xll.RiskBinomial(1,CO34)</f>
        <v>#NAME?</v>
      </c>
      <c r="CQ34" s="86" t="e">
        <f ca="1">IF(CP34=1,_xll.RiskBinomial(1,Prob_illness_Noro_infection),0)</f>
        <v>#NAME?</v>
      </c>
      <c r="CS34" s="85" t="e">
        <f t="shared" ca="1" si="48"/>
        <v>#NAME?</v>
      </c>
      <c r="CT34" s="40" t="e">
        <f ca="1">INT(CS34) + _xll.RiskBinomial(1,CS34-INT(CS34))</f>
        <v>#NAME?</v>
      </c>
      <c r="CU34" s="33" t="e">
        <f t="shared" ca="1" si="19"/>
        <v>#NAME?</v>
      </c>
      <c r="CV34" s="38" t="e">
        <f ca="1">_xll.RiskBinomial(1,CU34)</f>
        <v>#NAME?</v>
      </c>
      <c r="CW34" s="86" t="e">
        <f ca="1">IF(CV34=1,_xll.RiskBinomial(1,Prob_illness_Noro_infection),0)</f>
        <v>#NAME?</v>
      </c>
      <c r="CY34" s="85" t="e">
        <f t="shared" ca="1" si="49"/>
        <v>#NAME?</v>
      </c>
      <c r="CZ34" s="40" t="e">
        <f ca="1">INT(CY34) + _xll.RiskBinomial(1,CY34-INT(CY34))</f>
        <v>#NAME?</v>
      </c>
      <c r="DA34" s="33" t="e">
        <f t="shared" ca="1" si="20"/>
        <v>#NAME?</v>
      </c>
      <c r="DB34" s="38" t="e">
        <f ca="1">_xll.RiskBinomial(1,DA34)</f>
        <v>#NAME?</v>
      </c>
      <c r="DC34" s="86" t="e">
        <f ca="1">IF(DB34=1,_xll.RiskBinomial(1,Prob_illness_Noro_infection),0)</f>
        <v>#NAME?</v>
      </c>
      <c r="DE34" s="85" t="e">
        <f t="shared" ca="1" si="50"/>
        <v>#NAME?</v>
      </c>
      <c r="DF34" s="40" t="e">
        <f ca="1">INT(DE34) + _xll.RiskBinomial(1,DE34-INT(DE34))</f>
        <v>#NAME?</v>
      </c>
      <c r="DG34" s="33" t="e">
        <f t="shared" ca="1" si="21"/>
        <v>#NAME?</v>
      </c>
      <c r="DH34" s="38" t="e">
        <f ca="1">_xll.RiskBinomial(1,DG34)</f>
        <v>#NAME?</v>
      </c>
      <c r="DI34" s="86" t="e">
        <f ca="1">IF(DH34=1,_xll.RiskBinomial(1,Prob_illness_Noro_infection),0)</f>
        <v>#NAME?</v>
      </c>
      <c r="DK34" s="85" t="e">
        <f t="shared" ca="1" si="51"/>
        <v>#NAME?</v>
      </c>
      <c r="DL34" s="40" t="e">
        <f ca="1">INT(DK34) + _xll.RiskBinomial(1,DK34-INT(DK34))</f>
        <v>#NAME?</v>
      </c>
      <c r="DM34" s="33" t="e">
        <f t="shared" ca="1" si="22"/>
        <v>#NAME?</v>
      </c>
      <c r="DN34" s="38" t="e">
        <f ca="1">_xll.RiskBinomial(1,DM34)</f>
        <v>#NAME?</v>
      </c>
      <c r="DO34" s="86" t="e">
        <f ca="1">IF(DN34=1,_xll.RiskBinomial(1,Prob_illness_Noro_infection),0)</f>
        <v>#NAME?</v>
      </c>
      <c r="DQ34" s="85" t="e">
        <f t="shared" ca="1" si="52"/>
        <v>#NAME?</v>
      </c>
      <c r="DR34" s="40" t="e">
        <f ca="1">INT(DQ34) + _xll.RiskBinomial(1,DQ34-INT(DQ34))</f>
        <v>#NAME?</v>
      </c>
      <c r="DS34" s="33" t="e">
        <f t="shared" ca="1" si="23"/>
        <v>#NAME?</v>
      </c>
      <c r="DT34" s="38" t="e">
        <f ca="1">_xll.RiskBinomial(1,DS34)</f>
        <v>#NAME?</v>
      </c>
      <c r="DU34" s="86" t="e">
        <f ca="1">IF(DT34=1,_xll.RiskBinomial(1,Prob_illness_Noro_infection),0)</f>
        <v>#NAME?</v>
      </c>
      <c r="DW34" s="85" t="e">
        <f t="shared" ca="1" si="53"/>
        <v>#NAME?</v>
      </c>
      <c r="DX34" s="40" t="e">
        <f ca="1">INT(DW34) + _xll.RiskBinomial(1,DW34-INT(DW34))</f>
        <v>#NAME?</v>
      </c>
      <c r="DY34" s="33" t="e">
        <f t="shared" ca="1" si="24"/>
        <v>#NAME?</v>
      </c>
      <c r="DZ34" s="38" t="e">
        <f ca="1">_xll.RiskBinomial(1,DY34)</f>
        <v>#NAME?</v>
      </c>
      <c r="EA34" s="86" t="e">
        <f ca="1">IF(DZ34=1,_xll.RiskBinomial(1,Prob_illness_Noro_infection),0)</f>
        <v>#NAME?</v>
      </c>
      <c r="EC34" s="85" t="e">
        <f t="shared" ca="1" si="54"/>
        <v>#NAME?</v>
      </c>
      <c r="ED34" s="40" t="e">
        <f ca="1">INT(EC34) + _xll.RiskBinomial(1,EC34-INT(EC34))</f>
        <v>#NAME?</v>
      </c>
      <c r="EE34" s="33" t="e">
        <f t="shared" ca="1" si="25"/>
        <v>#NAME?</v>
      </c>
      <c r="EF34" s="38" t="e">
        <f ca="1">_xll.RiskBinomial(1,EE34)</f>
        <v>#NAME?</v>
      </c>
      <c r="EG34" s="86" t="e">
        <f ca="1">IF(EF34=1,_xll.RiskBinomial(1,Prob_illness_Noro_infection),0)</f>
        <v>#NAME?</v>
      </c>
      <c r="EI34" s="85" t="e">
        <f t="shared" ca="1" si="55"/>
        <v>#NAME?</v>
      </c>
      <c r="EJ34" s="40" t="e">
        <f ca="1">INT(EI34) + _xll.RiskBinomial(1,EI34-INT(EI34))</f>
        <v>#NAME?</v>
      </c>
      <c r="EK34" s="33" t="e">
        <f t="shared" ca="1" si="26"/>
        <v>#NAME?</v>
      </c>
      <c r="EL34" s="38" t="e">
        <f ca="1">_xll.RiskBinomial(1,EK34)</f>
        <v>#NAME?</v>
      </c>
      <c r="EM34" s="86" t="e">
        <f ca="1">IF(EL34=1,_xll.RiskBinomial(1,Prob_illness_Noro_infection),0)</f>
        <v>#NAME?</v>
      </c>
      <c r="EO34" s="85" t="e">
        <f t="shared" ca="1" si="56"/>
        <v>#NAME?</v>
      </c>
      <c r="EP34" s="40" t="e">
        <f ca="1">INT(EO34) + _xll.RiskBinomial(1,EO34-INT(EO34))</f>
        <v>#NAME?</v>
      </c>
      <c r="EQ34" s="33" t="e">
        <f t="shared" ca="1" si="27"/>
        <v>#NAME?</v>
      </c>
      <c r="ER34" s="38" t="e">
        <f ca="1">_xll.RiskBinomial(1,EQ34)</f>
        <v>#NAME?</v>
      </c>
      <c r="ES34" s="86" t="e">
        <f ca="1">IF(ER34=1,_xll.RiskBinomial(1,Prob_illness_Noro_infection),0)</f>
        <v>#NAME?</v>
      </c>
      <c r="EU34" s="85" t="e">
        <f t="shared" ca="1" si="57"/>
        <v>#NAME?</v>
      </c>
      <c r="EV34" s="40" t="e">
        <f ca="1">INT(EU34) + _xll.RiskBinomial(1,EU34-INT(EU34))</f>
        <v>#NAME?</v>
      </c>
      <c r="EW34" s="33" t="e">
        <f t="shared" ca="1" si="28"/>
        <v>#NAME?</v>
      </c>
      <c r="EX34" s="38" t="e">
        <f ca="1">_xll.RiskBinomial(1,EW34)</f>
        <v>#NAME?</v>
      </c>
      <c r="EY34" s="86" t="e">
        <f ca="1">IF(EX34=1,_xll.RiskBinomial(1,Prob_illness_Noro_infection),0)</f>
        <v>#NAME?</v>
      </c>
      <c r="FA34" s="85" t="e">
        <f t="shared" ca="1" si="58"/>
        <v>#NAME?</v>
      </c>
      <c r="FB34" s="40" t="e">
        <f ca="1">INT(FA34) + _xll.RiskBinomial(1,FA34-INT(FA34))</f>
        <v>#NAME?</v>
      </c>
      <c r="FC34" s="33" t="e">
        <f t="shared" ca="1" si="29"/>
        <v>#NAME?</v>
      </c>
      <c r="FD34" s="38" t="e">
        <f ca="1">_xll.RiskBinomial(1,FC34)</f>
        <v>#NAME?</v>
      </c>
      <c r="FE34" s="86" t="e">
        <f ca="1">IF(FD34=1,_xll.RiskBinomial(1,Prob_illness_Noro_infection),0)</f>
        <v>#NAME?</v>
      </c>
      <c r="FG34" s="85" t="e">
        <f t="shared" ca="1" si="59"/>
        <v>#NAME?</v>
      </c>
      <c r="FH34" s="40" t="e">
        <f ca="1">INT(FG34) + _xll.RiskBinomial(1,FG34-INT(FG34))</f>
        <v>#NAME?</v>
      </c>
      <c r="FI34" s="33" t="e">
        <f t="shared" ca="1" si="30"/>
        <v>#NAME?</v>
      </c>
      <c r="FJ34" s="38" t="e">
        <f ca="1">_xll.RiskBinomial(1,FI34)</f>
        <v>#NAME?</v>
      </c>
      <c r="FK34" s="86" t="e">
        <f ca="1">IF(FJ34=1,_xll.RiskBinomial(1,Prob_illness_Noro_infection),0)</f>
        <v>#NAME?</v>
      </c>
      <c r="FM34" s="85" t="e">
        <f t="shared" ca="1" si="60"/>
        <v>#NAME?</v>
      </c>
      <c r="FN34" s="40" t="e">
        <f ca="1">INT(FM34) + _xll.RiskBinomial(1,FM34-INT(FM34))</f>
        <v>#NAME?</v>
      </c>
      <c r="FO34" s="33" t="e">
        <f t="shared" ca="1" si="31"/>
        <v>#NAME?</v>
      </c>
      <c r="FP34" s="38" t="e">
        <f ca="1">_xll.RiskBinomial(1,FO34)</f>
        <v>#NAME?</v>
      </c>
      <c r="FQ34" s="86" t="e">
        <f ca="1">IF(FP34=1,_xll.RiskBinomial(1,Prob_illness_Noro_infection),0)</f>
        <v>#NAME?</v>
      </c>
      <c r="FS34" s="85" t="e">
        <f t="shared" ca="1" si="61"/>
        <v>#NAME?</v>
      </c>
      <c r="FT34" s="40" t="e">
        <f ca="1">INT(FS34) + _xll.RiskBinomial(1,FS34-INT(FS34))</f>
        <v>#NAME?</v>
      </c>
      <c r="FU34" s="33" t="e">
        <f t="shared" ca="1" si="32"/>
        <v>#NAME?</v>
      </c>
      <c r="FV34" s="38" t="e">
        <f ca="1">_xll.RiskBinomial(1,FU34)</f>
        <v>#NAME?</v>
      </c>
      <c r="FW34" s="86" t="e">
        <f ca="1">IF(FV34=1,_xll.RiskBinomial(1,Prob_illness_Noro_infection),0)</f>
        <v>#NAME?</v>
      </c>
      <c r="FY34" s="85" t="e">
        <f t="shared" ca="1" si="62"/>
        <v>#NAME?</v>
      </c>
      <c r="FZ34" s="40" t="e">
        <f ca="1">INT(FY34) + _xll.RiskBinomial(1,FY34-INT(FY34))</f>
        <v>#NAME?</v>
      </c>
      <c r="GA34" s="33" t="e">
        <f t="shared" ca="1" si="33"/>
        <v>#NAME?</v>
      </c>
      <c r="GB34" s="38" t="e">
        <f ca="1">_xll.RiskBinomial(1,GA34)</f>
        <v>#NAME?</v>
      </c>
      <c r="GC34" s="86" t="e">
        <f ca="1">IF(GB34=1,_xll.RiskBinomial(1,Prob_illness_Noro_infection),0)</f>
        <v>#NAME?</v>
      </c>
      <c r="GE34" s="85" t="e">
        <f t="shared" ca="1" si="63"/>
        <v>#NAME?</v>
      </c>
      <c r="GF34" s="40" t="e">
        <f ca="1">INT(GE34) + _xll.RiskBinomial(1,GE34-INT(GE34))</f>
        <v>#NAME?</v>
      </c>
      <c r="GG34" s="33" t="e">
        <f t="shared" ca="1" si="34"/>
        <v>#NAME?</v>
      </c>
      <c r="GH34" s="38" t="e">
        <f ca="1">_xll.RiskBinomial(1,GG34)</f>
        <v>#NAME?</v>
      </c>
      <c r="GI34" s="86" t="e">
        <f ca="1">IF(GH34=1,_xll.RiskBinomial(1,Prob_illness_Noro_infection),0)</f>
        <v>#NAME?</v>
      </c>
      <c r="GK34" s="85" t="e">
        <f t="shared" ca="1" si="64"/>
        <v>#NAME?</v>
      </c>
      <c r="GL34" s="40" t="e">
        <f ca="1">INT(GK34) + _xll.RiskBinomial(1,GK34-INT(GK34))</f>
        <v>#NAME?</v>
      </c>
      <c r="GM34" s="33" t="e">
        <f t="shared" ca="1" si="35"/>
        <v>#NAME?</v>
      </c>
      <c r="GN34" s="38" t="e">
        <f ca="1">_xll.RiskBinomial(1,GM34)</f>
        <v>#NAME?</v>
      </c>
      <c r="GO34" s="86" t="e">
        <f ca="1">IF(GN34=1,_xll.RiskBinomial(1,Prob_illness_Noro_infection),0)</f>
        <v>#NAME?</v>
      </c>
    </row>
    <row r="35" spans="2:197" x14ac:dyDescent="0.25">
      <c r="B35" s="106">
        <v>27</v>
      </c>
      <c r="C35" s="109" t="e">
        <f ca="1" xml:space="preserve"> _xll.RiskPert(Dur_Swim_hours_min,Dur_Swim_hours_mode,Dur_Swim_hours_max)</f>
        <v>#NAME?</v>
      </c>
      <c r="D35" s="33" t="e">
        <f ca="1">_xll.RiskLognorm(Primary_Ing_Rate_mL_per_hour_mean,Primary_Ing_Rate_mL_per_hour_sd, _xll.RiskTruncate(Primary_Ing_Rate_mL_per_hour_min,Primary_Ing_Rate_mL_per_hour_max))</f>
        <v>#NAME?</v>
      </c>
      <c r="E35" s="41" t="e">
        <f t="shared" ca="1" si="36"/>
        <v>#NAME?</v>
      </c>
      <c r="F35" s="33"/>
      <c r="G35" s="85" t="e">
        <f t="shared" ca="1" si="37"/>
        <v>#NAME?</v>
      </c>
      <c r="H35" s="40" t="e">
        <f ca="1">INT(G35) + _xll.RiskBinomial(1,G35-INT(G35))</f>
        <v>#NAME?</v>
      </c>
      <c r="I35" s="33" t="e">
        <f t="shared" ca="1" si="0"/>
        <v>#NAME?</v>
      </c>
      <c r="J35" s="38" t="e">
        <f ca="1">_xll.RiskBinomial(1,I35)</f>
        <v>#NAME?</v>
      </c>
      <c r="K35" s="86" t="e">
        <f ca="1">IF(J35=1,_xll.RiskBinomial(1,Prob_illness_Noro_infection),0)</f>
        <v>#NAME?</v>
      </c>
      <c r="L35" s="33"/>
      <c r="M35" s="85" t="e">
        <f t="shared" ca="1" si="38"/>
        <v>#NAME?</v>
      </c>
      <c r="N35" s="40" t="e">
        <f ca="1">INT(M35) + _xll.RiskBinomial(1,M35-INT(M35))</f>
        <v>#NAME?</v>
      </c>
      <c r="O35" s="33" t="e">
        <f t="shared" ca="1" si="1"/>
        <v>#NAME?</v>
      </c>
      <c r="P35" s="38" t="e">
        <f ca="1">_xll.RiskBinomial(1,O35)</f>
        <v>#NAME?</v>
      </c>
      <c r="Q35" s="86" t="e">
        <f ca="1">IF(P35=1,_xll.RiskBinomial(1,Prob_illness_Noro_infection),0)</f>
        <v>#NAME?</v>
      </c>
      <c r="R35" s="33"/>
      <c r="S35" s="85" t="e">
        <f t="shared" ca="1" si="39"/>
        <v>#NAME?</v>
      </c>
      <c r="T35" s="40" t="e">
        <f ca="1">INT(S35) + _xll.RiskBinomial(1,S35-INT(S35))</f>
        <v>#NAME?</v>
      </c>
      <c r="U35" s="33" t="e">
        <f t="shared" ca="1" si="2"/>
        <v>#NAME?</v>
      </c>
      <c r="V35" s="38" t="e">
        <f ca="1">_xll.RiskBinomial(1,U35)</f>
        <v>#NAME?</v>
      </c>
      <c r="W35" s="86" t="e">
        <f ca="1">IF(V35=1,_xll.RiskBinomial(1,Prob_illness_Noro_infection),0)</f>
        <v>#NAME?</v>
      </c>
      <c r="X35" s="33"/>
      <c r="Y35" s="85" t="e">
        <f t="shared" ca="1" si="3"/>
        <v>#NAME?</v>
      </c>
      <c r="Z35" s="40" t="e">
        <f ca="1">INT(Y35) + _xll.RiskBinomial(1,Y35-INT(Y35))</f>
        <v>#NAME?</v>
      </c>
      <c r="AA35" s="33" t="e">
        <f t="shared" ca="1" si="4"/>
        <v>#NAME?</v>
      </c>
      <c r="AB35" s="38" t="e">
        <f ca="1">_xll.RiskBinomial(1,AA35)</f>
        <v>#NAME?</v>
      </c>
      <c r="AC35" s="86" t="e">
        <f ca="1">IF(AB35=1,_xll.RiskBinomial(1,Prob_illness_Noro_infection),0)</f>
        <v>#NAME?</v>
      </c>
      <c r="AD35" s="33"/>
      <c r="AE35" s="85" t="e">
        <f t="shared" ca="1" si="5"/>
        <v>#NAME?</v>
      </c>
      <c r="AF35" s="40" t="e">
        <f ca="1">INT(AE35) + _xll.RiskBinomial(1,AE35-INT(AE35))</f>
        <v>#NAME?</v>
      </c>
      <c r="AG35" s="33" t="e">
        <f t="shared" ca="1" si="6"/>
        <v>#NAME?</v>
      </c>
      <c r="AH35" s="38" t="e">
        <f ca="1">_xll.RiskBinomial(1,AG35)</f>
        <v>#NAME?</v>
      </c>
      <c r="AI35" s="86" t="e">
        <f ca="1">IF(AH35=1,_xll.RiskBinomial(1,Prob_illness_Noro_infection),0)</f>
        <v>#NAME?</v>
      </c>
      <c r="AJ35" s="33"/>
      <c r="AK35" s="85" t="e">
        <f t="shared" ca="1" si="7"/>
        <v>#NAME?</v>
      </c>
      <c r="AL35" s="40" t="e">
        <f ca="1">INT(AK35) + _xll.RiskBinomial(1,AK35-INT(AK35))</f>
        <v>#NAME?</v>
      </c>
      <c r="AM35" s="33" t="e">
        <f t="shared" ca="1" si="8"/>
        <v>#NAME?</v>
      </c>
      <c r="AN35" s="38" t="e">
        <f ca="1">_xll.RiskBinomial(1,AM35)</f>
        <v>#NAME?</v>
      </c>
      <c r="AO35" s="86" t="e">
        <f ca="1">IF(AN35=1,_xll.RiskBinomial(1,Prob_illness_Noro_infection),0)</f>
        <v>#NAME?</v>
      </c>
      <c r="AP35" s="33"/>
      <c r="AQ35" s="85" t="e">
        <f t="shared" ca="1" si="9"/>
        <v>#NAME?</v>
      </c>
      <c r="AR35" s="40" t="e">
        <f ca="1">INT(AQ35) + _xll.RiskBinomial(1,AQ35-INT(AQ35))</f>
        <v>#NAME?</v>
      </c>
      <c r="AS35" s="33" t="e">
        <f t="shared" ca="1" si="10"/>
        <v>#NAME?</v>
      </c>
      <c r="AT35" s="38" t="e">
        <f ca="1">_xll.RiskBinomial(1,AS35)</f>
        <v>#NAME?</v>
      </c>
      <c r="AU35" s="86" t="e">
        <f ca="1">IF(AT35=1,_xll.RiskBinomial(1,Prob_illness_Noro_infection),0)</f>
        <v>#NAME?</v>
      </c>
      <c r="AV35" s="33"/>
      <c r="AW35" s="85" t="e">
        <f t="shared" ca="1" si="40"/>
        <v>#NAME?</v>
      </c>
      <c r="AX35" s="40" t="e">
        <f ca="1">INT(AW35) + _xll.RiskBinomial(1,AW35-INT(AW35))</f>
        <v>#NAME?</v>
      </c>
      <c r="AY35" s="33" t="e">
        <f t="shared" ca="1" si="11"/>
        <v>#NAME?</v>
      </c>
      <c r="AZ35" s="38" t="e">
        <f ca="1">_xll.RiskBinomial(1,AY35)</f>
        <v>#NAME?</v>
      </c>
      <c r="BA35" s="86" t="e">
        <f ca="1">IF(AZ35=1,_xll.RiskBinomial(1,Prob_illness_Noro_infection),0)</f>
        <v>#NAME?</v>
      </c>
      <c r="BC35" s="85" t="e">
        <f t="shared" ca="1" si="41"/>
        <v>#NAME?</v>
      </c>
      <c r="BD35" s="40" t="e">
        <f ca="1">INT(BC35) + _xll.RiskBinomial(1,BC35-INT(BC35))</f>
        <v>#NAME?</v>
      </c>
      <c r="BE35" s="33" t="e">
        <f t="shared" ca="1" si="12"/>
        <v>#NAME?</v>
      </c>
      <c r="BF35" s="38" t="e">
        <f ca="1">_xll.RiskBinomial(1,BE35)</f>
        <v>#NAME?</v>
      </c>
      <c r="BG35" s="86" t="e">
        <f ca="1">IF(BF35=1,_xll.RiskBinomial(1,Prob_illness_Noro_infection),0)</f>
        <v>#NAME?</v>
      </c>
      <c r="BI35" s="85" t="e">
        <f t="shared" ca="1" si="42"/>
        <v>#NAME?</v>
      </c>
      <c r="BJ35" s="40" t="e">
        <f ca="1">INT(BI35) + _xll.RiskBinomial(1,BI35-INT(BI35))</f>
        <v>#NAME?</v>
      </c>
      <c r="BK35" s="33" t="e">
        <f t="shared" ca="1" si="13"/>
        <v>#NAME?</v>
      </c>
      <c r="BL35" s="38" t="e">
        <f ca="1">_xll.RiskBinomial(1,BK35)</f>
        <v>#NAME?</v>
      </c>
      <c r="BM35" s="86" t="e">
        <f ca="1">IF(BL35=1,_xll.RiskBinomial(1,Prob_illness_Noro_infection),0)</f>
        <v>#NAME?</v>
      </c>
      <c r="BO35" s="85" t="e">
        <f t="shared" ca="1" si="43"/>
        <v>#NAME?</v>
      </c>
      <c r="BP35" s="40" t="e">
        <f ca="1">INT(BO35) + _xll.RiskBinomial(1,BO35-INT(BO35))</f>
        <v>#NAME?</v>
      </c>
      <c r="BQ35" s="33" t="e">
        <f t="shared" ca="1" si="14"/>
        <v>#NAME?</v>
      </c>
      <c r="BR35" s="38" t="e">
        <f ca="1">_xll.RiskBinomial(1,BQ35)</f>
        <v>#NAME?</v>
      </c>
      <c r="BS35" s="86" t="e">
        <f ca="1">IF(BR35=1,_xll.RiskBinomial(1,Prob_illness_Noro_infection),0)</f>
        <v>#NAME?</v>
      </c>
      <c r="BU35" s="85" t="e">
        <f t="shared" ca="1" si="44"/>
        <v>#NAME?</v>
      </c>
      <c r="BV35" s="40" t="e">
        <f ca="1">INT(BU35) + _xll.RiskBinomial(1,BU35-INT(BU35))</f>
        <v>#NAME?</v>
      </c>
      <c r="BW35" s="33" t="e">
        <f t="shared" ca="1" si="15"/>
        <v>#NAME?</v>
      </c>
      <c r="BX35" s="38" t="e">
        <f ca="1">_xll.RiskBinomial(1,BW35)</f>
        <v>#NAME?</v>
      </c>
      <c r="BY35" s="86" t="e">
        <f ca="1">IF(BX35=1,_xll.RiskBinomial(1,Prob_illness_Noro_infection),0)</f>
        <v>#NAME?</v>
      </c>
      <c r="CA35" s="85" t="e">
        <f t="shared" ca="1" si="45"/>
        <v>#NAME?</v>
      </c>
      <c r="CB35" s="40" t="e">
        <f ca="1">INT(CA35) + _xll.RiskBinomial(1,CA35-INT(CA35))</f>
        <v>#NAME?</v>
      </c>
      <c r="CC35" s="33" t="e">
        <f t="shared" ca="1" si="16"/>
        <v>#NAME?</v>
      </c>
      <c r="CD35" s="38" t="e">
        <f ca="1">_xll.RiskBinomial(1,CC35)</f>
        <v>#NAME?</v>
      </c>
      <c r="CE35" s="86" t="e">
        <f ca="1">IF(CD35=1,_xll.RiskBinomial(1,Prob_illness_Noro_infection),0)</f>
        <v>#NAME?</v>
      </c>
      <c r="CG35" s="85" t="e">
        <f t="shared" ca="1" si="46"/>
        <v>#NAME?</v>
      </c>
      <c r="CH35" s="40" t="e">
        <f ca="1">INT(CG35) + _xll.RiskBinomial(1,CG35-INT(CG35))</f>
        <v>#NAME?</v>
      </c>
      <c r="CI35" s="33" t="e">
        <f t="shared" ca="1" si="17"/>
        <v>#NAME?</v>
      </c>
      <c r="CJ35" s="38" t="e">
        <f ca="1">_xll.RiskBinomial(1,CI35)</f>
        <v>#NAME?</v>
      </c>
      <c r="CK35" s="86" t="e">
        <f ca="1">IF(CJ35=1,_xll.RiskBinomial(1,Prob_illness_Noro_infection),0)</f>
        <v>#NAME?</v>
      </c>
      <c r="CM35" s="85" t="e">
        <f t="shared" ca="1" si="47"/>
        <v>#NAME?</v>
      </c>
      <c r="CN35" s="40" t="e">
        <f ca="1">INT(CM35) + _xll.RiskBinomial(1,CM35-INT(CM35))</f>
        <v>#NAME?</v>
      </c>
      <c r="CO35" s="33" t="e">
        <f t="shared" ca="1" si="18"/>
        <v>#NAME?</v>
      </c>
      <c r="CP35" s="38" t="e">
        <f ca="1">_xll.RiskBinomial(1,CO35)</f>
        <v>#NAME?</v>
      </c>
      <c r="CQ35" s="86" t="e">
        <f ca="1">IF(CP35=1,_xll.RiskBinomial(1,Prob_illness_Noro_infection),0)</f>
        <v>#NAME?</v>
      </c>
      <c r="CS35" s="85" t="e">
        <f t="shared" ca="1" si="48"/>
        <v>#NAME?</v>
      </c>
      <c r="CT35" s="40" t="e">
        <f ca="1">INT(CS35) + _xll.RiskBinomial(1,CS35-INT(CS35))</f>
        <v>#NAME?</v>
      </c>
      <c r="CU35" s="33" t="e">
        <f t="shared" ca="1" si="19"/>
        <v>#NAME?</v>
      </c>
      <c r="CV35" s="38" t="e">
        <f ca="1">_xll.RiskBinomial(1,CU35)</f>
        <v>#NAME?</v>
      </c>
      <c r="CW35" s="86" t="e">
        <f ca="1">IF(CV35=1,_xll.RiskBinomial(1,Prob_illness_Noro_infection),0)</f>
        <v>#NAME?</v>
      </c>
      <c r="CY35" s="85" t="e">
        <f t="shared" ca="1" si="49"/>
        <v>#NAME?</v>
      </c>
      <c r="CZ35" s="40" t="e">
        <f ca="1">INT(CY35) + _xll.RiskBinomial(1,CY35-INT(CY35))</f>
        <v>#NAME?</v>
      </c>
      <c r="DA35" s="33" t="e">
        <f t="shared" ca="1" si="20"/>
        <v>#NAME?</v>
      </c>
      <c r="DB35" s="38" t="e">
        <f ca="1">_xll.RiskBinomial(1,DA35)</f>
        <v>#NAME?</v>
      </c>
      <c r="DC35" s="86" t="e">
        <f ca="1">IF(DB35=1,_xll.RiskBinomial(1,Prob_illness_Noro_infection),0)</f>
        <v>#NAME?</v>
      </c>
      <c r="DE35" s="85" t="e">
        <f t="shared" ca="1" si="50"/>
        <v>#NAME?</v>
      </c>
      <c r="DF35" s="40" t="e">
        <f ca="1">INT(DE35) + _xll.RiskBinomial(1,DE35-INT(DE35))</f>
        <v>#NAME?</v>
      </c>
      <c r="DG35" s="33" t="e">
        <f t="shared" ca="1" si="21"/>
        <v>#NAME?</v>
      </c>
      <c r="DH35" s="38" t="e">
        <f ca="1">_xll.RiskBinomial(1,DG35)</f>
        <v>#NAME?</v>
      </c>
      <c r="DI35" s="86" t="e">
        <f ca="1">IF(DH35=1,_xll.RiskBinomial(1,Prob_illness_Noro_infection),0)</f>
        <v>#NAME?</v>
      </c>
      <c r="DK35" s="85" t="e">
        <f t="shared" ca="1" si="51"/>
        <v>#NAME?</v>
      </c>
      <c r="DL35" s="40" t="e">
        <f ca="1">INT(DK35) + _xll.RiskBinomial(1,DK35-INT(DK35))</f>
        <v>#NAME?</v>
      </c>
      <c r="DM35" s="33" t="e">
        <f t="shared" ca="1" si="22"/>
        <v>#NAME?</v>
      </c>
      <c r="DN35" s="38" t="e">
        <f ca="1">_xll.RiskBinomial(1,DM35)</f>
        <v>#NAME?</v>
      </c>
      <c r="DO35" s="86" t="e">
        <f ca="1">IF(DN35=1,_xll.RiskBinomial(1,Prob_illness_Noro_infection),0)</f>
        <v>#NAME?</v>
      </c>
      <c r="DQ35" s="85" t="e">
        <f t="shared" ca="1" si="52"/>
        <v>#NAME?</v>
      </c>
      <c r="DR35" s="40" t="e">
        <f ca="1">INT(DQ35) + _xll.RiskBinomial(1,DQ35-INT(DQ35))</f>
        <v>#NAME?</v>
      </c>
      <c r="DS35" s="33" t="e">
        <f t="shared" ca="1" si="23"/>
        <v>#NAME?</v>
      </c>
      <c r="DT35" s="38" t="e">
        <f ca="1">_xll.RiskBinomial(1,DS35)</f>
        <v>#NAME?</v>
      </c>
      <c r="DU35" s="86" t="e">
        <f ca="1">IF(DT35=1,_xll.RiskBinomial(1,Prob_illness_Noro_infection),0)</f>
        <v>#NAME?</v>
      </c>
      <c r="DW35" s="85" t="e">
        <f t="shared" ca="1" si="53"/>
        <v>#NAME?</v>
      </c>
      <c r="DX35" s="40" t="e">
        <f ca="1">INT(DW35) + _xll.RiskBinomial(1,DW35-INT(DW35))</f>
        <v>#NAME?</v>
      </c>
      <c r="DY35" s="33" t="e">
        <f t="shared" ca="1" si="24"/>
        <v>#NAME?</v>
      </c>
      <c r="DZ35" s="38" t="e">
        <f ca="1">_xll.RiskBinomial(1,DY35)</f>
        <v>#NAME?</v>
      </c>
      <c r="EA35" s="86" t="e">
        <f ca="1">IF(DZ35=1,_xll.RiskBinomial(1,Prob_illness_Noro_infection),0)</f>
        <v>#NAME?</v>
      </c>
      <c r="EC35" s="85" t="e">
        <f t="shared" ca="1" si="54"/>
        <v>#NAME?</v>
      </c>
      <c r="ED35" s="40" t="e">
        <f ca="1">INT(EC35) + _xll.RiskBinomial(1,EC35-INT(EC35))</f>
        <v>#NAME?</v>
      </c>
      <c r="EE35" s="33" t="e">
        <f t="shared" ca="1" si="25"/>
        <v>#NAME?</v>
      </c>
      <c r="EF35" s="38" t="e">
        <f ca="1">_xll.RiskBinomial(1,EE35)</f>
        <v>#NAME?</v>
      </c>
      <c r="EG35" s="86" t="e">
        <f ca="1">IF(EF35=1,_xll.RiskBinomial(1,Prob_illness_Noro_infection),0)</f>
        <v>#NAME?</v>
      </c>
      <c r="EI35" s="85" t="e">
        <f t="shared" ca="1" si="55"/>
        <v>#NAME?</v>
      </c>
      <c r="EJ35" s="40" t="e">
        <f ca="1">INT(EI35) + _xll.RiskBinomial(1,EI35-INT(EI35))</f>
        <v>#NAME?</v>
      </c>
      <c r="EK35" s="33" t="e">
        <f t="shared" ca="1" si="26"/>
        <v>#NAME?</v>
      </c>
      <c r="EL35" s="38" t="e">
        <f ca="1">_xll.RiskBinomial(1,EK35)</f>
        <v>#NAME?</v>
      </c>
      <c r="EM35" s="86" t="e">
        <f ca="1">IF(EL35=1,_xll.RiskBinomial(1,Prob_illness_Noro_infection),0)</f>
        <v>#NAME?</v>
      </c>
      <c r="EO35" s="85" t="e">
        <f t="shared" ca="1" si="56"/>
        <v>#NAME?</v>
      </c>
      <c r="EP35" s="40" t="e">
        <f ca="1">INT(EO35) + _xll.RiskBinomial(1,EO35-INT(EO35))</f>
        <v>#NAME?</v>
      </c>
      <c r="EQ35" s="33" t="e">
        <f t="shared" ca="1" si="27"/>
        <v>#NAME?</v>
      </c>
      <c r="ER35" s="38" t="e">
        <f ca="1">_xll.RiskBinomial(1,EQ35)</f>
        <v>#NAME?</v>
      </c>
      <c r="ES35" s="86" t="e">
        <f ca="1">IF(ER35=1,_xll.RiskBinomial(1,Prob_illness_Noro_infection),0)</f>
        <v>#NAME?</v>
      </c>
      <c r="EU35" s="85" t="e">
        <f t="shared" ca="1" si="57"/>
        <v>#NAME?</v>
      </c>
      <c r="EV35" s="40" t="e">
        <f ca="1">INT(EU35) + _xll.RiskBinomial(1,EU35-INT(EU35))</f>
        <v>#NAME?</v>
      </c>
      <c r="EW35" s="33" t="e">
        <f t="shared" ca="1" si="28"/>
        <v>#NAME?</v>
      </c>
      <c r="EX35" s="38" t="e">
        <f ca="1">_xll.RiskBinomial(1,EW35)</f>
        <v>#NAME?</v>
      </c>
      <c r="EY35" s="86" t="e">
        <f ca="1">IF(EX35=1,_xll.RiskBinomial(1,Prob_illness_Noro_infection),0)</f>
        <v>#NAME?</v>
      </c>
      <c r="FA35" s="85" t="e">
        <f t="shared" ca="1" si="58"/>
        <v>#NAME?</v>
      </c>
      <c r="FB35" s="40" t="e">
        <f ca="1">INT(FA35) + _xll.RiskBinomial(1,FA35-INT(FA35))</f>
        <v>#NAME?</v>
      </c>
      <c r="FC35" s="33" t="e">
        <f t="shared" ca="1" si="29"/>
        <v>#NAME?</v>
      </c>
      <c r="FD35" s="38" t="e">
        <f ca="1">_xll.RiskBinomial(1,FC35)</f>
        <v>#NAME?</v>
      </c>
      <c r="FE35" s="86" t="e">
        <f ca="1">IF(FD35=1,_xll.RiskBinomial(1,Prob_illness_Noro_infection),0)</f>
        <v>#NAME?</v>
      </c>
      <c r="FG35" s="85" t="e">
        <f t="shared" ca="1" si="59"/>
        <v>#NAME?</v>
      </c>
      <c r="FH35" s="40" t="e">
        <f ca="1">INT(FG35) + _xll.RiskBinomial(1,FG35-INT(FG35))</f>
        <v>#NAME?</v>
      </c>
      <c r="FI35" s="33" t="e">
        <f t="shared" ca="1" si="30"/>
        <v>#NAME?</v>
      </c>
      <c r="FJ35" s="38" t="e">
        <f ca="1">_xll.RiskBinomial(1,FI35)</f>
        <v>#NAME?</v>
      </c>
      <c r="FK35" s="86" t="e">
        <f ca="1">IF(FJ35=1,_xll.RiskBinomial(1,Prob_illness_Noro_infection),0)</f>
        <v>#NAME?</v>
      </c>
      <c r="FM35" s="85" t="e">
        <f t="shared" ca="1" si="60"/>
        <v>#NAME?</v>
      </c>
      <c r="FN35" s="40" t="e">
        <f ca="1">INT(FM35) + _xll.RiskBinomial(1,FM35-INT(FM35))</f>
        <v>#NAME?</v>
      </c>
      <c r="FO35" s="33" t="e">
        <f t="shared" ca="1" si="31"/>
        <v>#NAME?</v>
      </c>
      <c r="FP35" s="38" t="e">
        <f ca="1">_xll.RiskBinomial(1,FO35)</f>
        <v>#NAME?</v>
      </c>
      <c r="FQ35" s="86" t="e">
        <f ca="1">IF(FP35=1,_xll.RiskBinomial(1,Prob_illness_Noro_infection),0)</f>
        <v>#NAME?</v>
      </c>
      <c r="FS35" s="85" t="e">
        <f t="shared" ca="1" si="61"/>
        <v>#NAME?</v>
      </c>
      <c r="FT35" s="40" t="e">
        <f ca="1">INT(FS35) + _xll.RiskBinomial(1,FS35-INT(FS35))</f>
        <v>#NAME?</v>
      </c>
      <c r="FU35" s="33" t="e">
        <f t="shared" ca="1" si="32"/>
        <v>#NAME?</v>
      </c>
      <c r="FV35" s="38" t="e">
        <f ca="1">_xll.RiskBinomial(1,FU35)</f>
        <v>#NAME?</v>
      </c>
      <c r="FW35" s="86" t="e">
        <f ca="1">IF(FV35=1,_xll.RiskBinomial(1,Prob_illness_Noro_infection),0)</f>
        <v>#NAME?</v>
      </c>
      <c r="FY35" s="85" t="e">
        <f t="shared" ca="1" si="62"/>
        <v>#NAME?</v>
      </c>
      <c r="FZ35" s="40" t="e">
        <f ca="1">INT(FY35) + _xll.RiskBinomial(1,FY35-INT(FY35))</f>
        <v>#NAME?</v>
      </c>
      <c r="GA35" s="33" t="e">
        <f t="shared" ca="1" si="33"/>
        <v>#NAME?</v>
      </c>
      <c r="GB35" s="38" t="e">
        <f ca="1">_xll.RiskBinomial(1,GA35)</f>
        <v>#NAME?</v>
      </c>
      <c r="GC35" s="86" t="e">
        <f ca="1">IF(GB35=1,_xll.RiskBinomial(1,Prob_illness_Noro_infection),0)</f>
        <v>#NAME?</v>
      </c>
      <c r="GE35" s="85" t="e">
        <f t="shared" ca="1" si="63"/>
        <v>#NAME?</v>
      </c>
      <c r="GF35" s="40" t="e">
        <f ca="1">INT(GE35) + _xll.RiskBinomial(1,GE35-INT(GE35))</f>
        <v>#NAME?</v>
      </c>
      <c r="GG35" s="33" t="e">
        <f t="shared" ca="1" si="34"/>
        <v>#NAME?</v>
      </c>
      <c r="GH35" s="38" t="e">
        <f ca="1">_xll.RiskBinomial(1,GG35)</f>
        <v>#NAME?</v>
      </c>
      <c r="GI35" s="86" t="e">
        <f ca="1">IF(GH35=1,_xll.RiskBinomial(1,Prob_illness_Noro_infection),0)</f>
        <v>#NAME?</v>
      </c>
      <c r="GK35" s="85" t="e">
        <f t="shared" ca="1" si="64"/>
        <v>#NAME?</v>
      </c>
      <c r="GL35" s="40" t="e">
        <f ca="1">INT(GK35) + _xll.RiskBinomial(1,GK35-INT(GK35))</f>
        <v>#NAME?</v>
      </c>
      <c r="GM35" s="33" t="e">
        <f t="shared" ca="1" si="35"/>
        <v>#NAME?</v>
      </c>
      <c r="GN35" s="38" t="e">
        <f ca="1">_xll.RiskBinomial(1,GM35)</f>
        <v>#NAME?</v>
      </c>
      <c r="GO35" s="86" t="e">
        <f ca="1">IF(GN35=1,_xll.RiskBinomial(1,Prob_illness_Noro_infection),0)</f>
        <v>#NAME?</v>
      </c>
    </row>
    <row r="36" spans="2:197" x14ac:dyDescent="0.25">
      <c r="B36" s="106">
        <v>28</v>
      </c>
      <c r="C36" s="109" t="e">
        <f ca="1" xml:space="preserve"> _xll.RiskPert(Dur_Swim_hours_min,Dur_Swim_hours_mode,Dur_Swim_hours_max)</f>
        <v>#NAME?</v>
      </c>
      <c r="D36" s="33" t="e">
        <f ca="1">_xll.RiskLognorm(Primary_Ing_Rate_mL_per_hour_mean,Primary_Ing_Rate_mL_per_hour_sd, _xll.RiskTruncate(Primary_Ing_Rate_mL_per_hour_min,Primary_Ing_Rate_mL_per_hour_max))</f>
        <v>#NAME?</v>
      </c>
      <c r="E36" s="41" t="e">
        <f t="shared" ca="1" si="36"/>
        <v>#NAME?</v>
      </c>
      <c r="F36" s="33"/>
      <c r="G36" s="85" t="e">
        <f t="shared" ca="1" si="37"/>
        <v>#NAME?</v>
      </c>
      <c r="H36" s="40" t="e">
        <f ca="1">INT(G36) + _xll.RiskBinomial(1,G36-INT(G36))</f>
        <v>#NAME?</v>
      </c>
      <c r="I36" s="33" t="e">
        <f t="shared" ca="1" si="0"/>
        <v>#NAME?</v>
      </c>
      <c r="J36" s="38" t="e">
        <f ca="1">_xll.RiskBinomial(1,I36)</f>
        <v>#NAME?</v>
      </c>
      <c r="K36" s="86" t="e">
        <f ca="1">IF(J36=1,_xll.RiskBinomial(1,Prob_illness_Noro_infection),0)</f>
        <v>#NAME?</v>
      </c>
      <c r="L36" s="33"/>
      <c r="M36" s="85" t="e">
        <f t="shared" ca="1" si="38"/>
        <v>#NAME?</v>
      </c>
      <c r="N36" s="40" t="e">
        <f ca="1">INT(M36) + _xll.RiskBinomial(1,M36-INT(M36))</f>
        <v>#NAME?</v>
      </c>
      <c r="O36" s="33" t="e">
        <f t="shared" ca="1" si="1"/>
        <v>#NAME?</v>
      </c>
      <c r="P36" s="38" t="e">
        <f ca="1">_xll.RiskBinomial(1,O36)</f>
        <v>#NAME?</v>
      </c>
      <c r="Q36" s="86" t="e">
        <f ca="1">IF(P36=1,_xll.RiskBinomial(1,Prob_illness_Noro_infection),0)</f>
        <v>#NAME?</v>
      </c>
      <c r="R36" s="33"/>
      <c r="S36" s="85" t="e">
        <f t="shared" ca="1" si="39"/>
        <v>#NAME?</v>
      </c>
      <c r="T36" s="40" t="e">
        <f ca="1">INT(S36) + _xll.RiskBinomial(1,S36-INT(S36))</f>
        <v>#NAME?</v>
      </c>
      <c r="U36" s="33" t="e">
        <f t="shared" ca="1" si="2"/>
        <v>#NAME?</v>
      </c>
      <c r="V36" s="38" t="e">
        <f ca="1">_xll.RiskBinomial(1,U36)</f>
        <v>#NAME?</v>
      </c>
      <c r="W36" s="86" t="e">
        <f ca="1">IF(V36=1,_xll.RiskBinomial(1,Prob_illness_Noro_infection),0)</f>
        <v>#NAME?</v>
      </c>
      <c r="X36" s="33"/>
      <c r="Y36" s="85" t="e">
        <f t="shared" ca="1" si="3"/>
        <v>#NAME?</v>
      </c>
      <c r="Z36" s="40" t="e">
        <f ca="1">INT(Y36) + _xll.RiskBinomial(1,Y36-INT(Y36))</f>
        <v>#NAME?</v>
      </c>
      <c r="AA36" s="33" t="e">
        <f t="shared" ca="1" si="4"/>
        <v>#NAME?</v>
      </c>
      <c r="AB36" s="38" t="e">
        <f ca="1">_xll.RiskBinomial(1,AA36)</f>
        <v>#NAME?</v>
      </c>
      <c r="AC36" s="86" t="e">
        <f ca="1">IF(AB36=1,_xll.RiskBinomial(1,Prob_illness_Noro_infection),0)</f>
        <v>#NAME?</v>
      </c>
      <c r="AD36" s="33"/>
      <c r="AE36" s="85" t="e">
        <f t="shared" ca="1" si="5"/>
        <v>#NAME?</v>
      </c>
      <c r="AF36" s="40" t="e">
        <f ca="1">INT(AE36) + _xll.RiskBinomial(1,AE36-INT(AE36))</f>
        <v>#NAME?</v>
      </c>
      <c r="AG36" s="33" t="e">
        <f t="shared" ca="1" si="6"/>
        <v>#NAME?</v>
      </c>
      <c r="AH36" s="38" t="e">
        <f ca="1">_xll.RiskBinomial(1,AG36)</f>
        <v>#NAME?</v>
      </c>
      <c r="AI36" s="86" t="e">
        <f ca="1">IF(AH36=1,_xll.RiskBinomial(1,Prob_illness_Noro_infection),0)</f>
        <v>#NAME?</v>
      </c>
      <c r="AJ36" s="33"/>
      <c r="AK36" s="85" t="e">
        <f t="shared" ca="1" si="7"/>
        <v>#NAME?</v>
      </c>
      <c r="AL36" s="40" t="e">
        <f ca="1">INT(AK36) + _xll.RiskBinomial(1,AK36-INT(AK36))</f>
        <v>#NAME?</v>
      </c>
      <c r="AM36" s="33" t="e">
        <f t="shared" ca="1" si="8"/>
        <v>#NAME?</v>
      </c>
      <c r="AN36" s="38" t="e">
        <f ca="1">_xll.RiskBinomial(1,AM36)</f>
        <v>#NAME?</v>
      </c>
      <c r="AO36" s="86" t="e">
        <f ca="1">IF(AN36=1,_xll.RiskBinomial(1,Prob_illness_Noro_infection),0)</f>
        <v>#NAME?</v>
      </c>
      <c r="AP36" s="33"/>
      <c r="AQ36" s="85" t="e">
        <f t="shared" ca="1" si="9"/>
        <v>#NAME?</v>
      </c>
      <c r="AR36" s="40" t="e">
        <f ca="1">INT(AQ36) + _xll.RiskBinomial(1,AQ36-INT(AQ36))</f>
        <v>#NAME?</v>
      </c>
      <c r="AS36" s="33" t="e">
        <f t="shared" ca="1" si="10"/>
        <v>#NAME?</v>
      </c>
      <c r="AT36" s="38" t="e">
        <f ca="1">_xll.RiskBinomial(1,AS36)</f>
        <v>#NAME?</v>
      </c>
      <c r="AU36" s="86" t="e">
        <f ca="1">IF(AT36=1,_xll.RiskBinomial(1,Prob_illness_Noro_infection),0)</f>
        <v>#NAME?</v>
      </c>
      <c r="AV36" s="33"/>
      <c r="AW36" s="85" t="e">
        <f t="shared" ca="1" si="40"/>
        <v>#NAME?</v>
      </c>
      <c r="AX36" s="40" t="e">
        <f ca="1">INT(AW36) + _xll.RiskBinomial(1,AW36-INT(AW36))</f>
        <v>#NAME?</v>
      </c>
      <c r="AY36" s="33" t="e">
        <f t="shared" ca="1" si="11"/>
        <v>#NAME?</v>
      </c>
      <c r="AZ36" s="38" t="e">
        <f ca="1">_xll.RiskBinomial(1,AY36)</f>
        <v>#NAME?</v>
      </c>
      <c r="BA36" s="86" t="e">
        <f ca="1">IF(AZ36=1,_xll.RiskBinomial(1,Prob_illness_Noro_infection),0)</f>
        <v>#NAME?</v>
      </c>
      <c r="BC36" s="85" t="e">
        <f t="shared" ca="1" si="41"/>
        <v>#NAME?</v>
      </c>
      <c r="BD36" s="40" t="e">
        <f ca="1">INT(BC36) + _xll.RiskBinomial(1,BC36-INT(BC36))</f>
        <v>#NAME?</v>
      </c>
      <c r="BE36" s="33" t="e">
        <f t="shared" ca="1" si="12"/>
        <v>#NAME?</v>
      </c>
      <c r="BF36" s="38" t="e">
        <f ca="1">_xll.RiskBinomial(1,BE36)</f>
        <v>#NAME?</v>
      </c>
      <c r="BG36" s="86" t="e">
        <f ca="1">IF(BF36=1,_xll.RiskBinomial(1,Prob_illness_Noro_infection),0)</f>
        <v>#NAME?</v>
      </c>
      <c r="BI36" s="85" t="e">
        <f t="shared" ca="1" si="42"/>
        <v>#NAME?</v>
      </c>
      <c r="BJ36" s="40" t="e">
        <f ca="1">INT(BI36) + _xll.RiskBinomial(1,BI36-INT(BI36))</f>
        <v>#NAME?</v>
      </c>
      <c r="BK36" s="33" t="e">
        <f t="shared" ca="1" si="13"/>
        <v>#NAME?</v>
      </c>
      <c r="BL36" s="38" t="e">
        <f ca="1">_xll.RiskBinomial(1,BK36)</f>
        <v>#NAME?</v>
      </c>
      <c r="BM36" s="86" t="e">
        <f ca="1">IF(BL36=1,_xll.RiskBinomial(1,Prob_illness_Noro_infection),0)</f>
        <v>#NAME?</v>
      </c>
      <c r="BO36" s="85" t="e">
        <f t="shared" ca="1" si="43"/>
        <v>#NAME?</v>
      </c>
      <c r="BP36" s="40" t="e">
        <f ca="1">INT(BO36) + _xll.RiskBinomial(1,BO36-INT(BO36))</f>
        <v>#NAME?</v>
      </c>
      <c r="BQ36" s="33" t="e">
        <f t="shared" ca="1" si="14"/>
        <v>#NAME?</v>
      </c>
      <c r="BR36" s="38" t="e">
        <f ca="1">_xll.RiskBinomial(1,BQ36)</f>
        <v>#NAME?</v>
      </c>
      <c r="BS36" s="86" t="e">
        <f ca="1">IF(BR36=1,_xll.RiskBinomial(1,Prob_illness_Noro_infection),0)</f>
        <v>#NAME?</v>
      </c>
      <c r="BU36" s="85" t="e">
        <f t="shared" ca="1" si="44"/>
        <v>#NAME?</v>
      </c>
      <c r="BV36" s="40" t="e">
        <f ca="1">INT(BU36) + _xll.RiskBinomial(1,BU36-INT(BU36))</f>
        <v>#NAME?</v>
      </c>
      <c r="BW36" s="33" t="e">
        <f t="shared" ca="1" si="15"/>
        <v>#NAME?</v>
      </c>
      <c r="BX36" s="38" t="e">
        <f ca="1">_xll.RiskBinomial(1,BW36)</f>
        <v>#NAME?</v>
      </c>
      <c r="BY36" s="86" t="e">
        <f ca="1">IF(BX36=1,_xll.RiskBinomial(1,Prob_illness_Noro_infection),0)</f>
        <v>#NAME?</v>
      </c>
      <c r="CA36" s="85" t="e">
        <f t="shared" ca="1" si="45"/>
        <v>#NAME?</v>
      </c>
      <c r="CB36" s="40" t="e">
        <f ca="1">INT(CA36) + _xll.RiskBinomial(1,CA36-INT(CA36))</f>
        <v>#NAME?</v>
      </c>
      <c r="CC36" s="33" t="e">
        <f t="shared" ca="1" si="16"/>
        <v>#NAME?</v>
      </c>
      <c r="CD36" s="38" t="e">
        <f ca="1">_xll.RiskBinomial(1,CC36)</f>
        <v>#NAME?</v>
      </c>
      <c r="CE36" s="86" t="e">
        <f ca="1">IF(CD36=1,_xll.RiskBinomial(1,Prob_illness_Noro_infection),0)</f>
        <v>#NAME?</v>
      </c>
      <c r="CG36" s="85" t="e">
        <f t="shared" ca="1" si="46"/>
        <v>#NAME?</v>
      </c>
      <c r="CH36" s="40" t="e">
        <f ca="1">INT(CG36) + _xll.RiskBinomial(1,CG36-INT(CG36))</f>
        <v>#NAME?</v>
      </c>
      <c r="CI36" s="33" t="e">
        <f t="shared" ca="1" si="17"/>
        <v>#NAME?</v>
      </c>
      <c r="CJ36" s="38" t="e">
        <f ca="1">_xll.RiskBinomial(1,CI36)</f>
        <v>#NAME?</v>
      </c>
      <c r="CK36" s="86" t="e">
        <f ca="1">IF(CJ36=1,_xll.RiskBinomial(1,Prob_illness_Noro_infection),0)</f>
        <v>#NAME?</v>
      </c>
      <c r="CM36" s="85" t="e">
        <f t="shared" ca="1" si="47"/>
        <v>#NAME?</v>
      </c>
      <c r="CN36" s="40" t="e">
        <f ca="1">INT(CM36) + _xll.RiskBinomial(1,CM36-INT(CM36))</f>
        <v>#NAME?</v>
      </c>
      <c r="CO36" s="33" t="e">
        <f t="shared" ca="1" si="18"/>
        <v>#NAME?</v>
      </c>
      <c r="CP36" s="38" t="e">
        <f ca="1">_xll.RiskBinomial(1,CO36)</f>
        <v>#NAME?</v>
      </c>
      <c r="CQ36" s="86" t="e">
        <f ca="1">IF(CP36=1,_xll.RiskBinomial(1,Prob_illness_Noro_infection),0)</f>
        <v>#NAME?</v>
      </c>
      <c r="CS36" s="85" t="e">
        <f t="shared" ca="1" si="48"/>
        <v>#NAME?</v>
      </c>
      <c r="CT36" s="40" t="e">
        <f ca="1">INT(CS36) + _xll.RiskBinomial(1,CS36-INT(CS36))</f>
        <v>#NAME?</v>
      </c>
      <c r="CU36" s="33" t="e">
        <f t="shared" ca="1" si="19"/>
        <v>#NAME?</v>
      </c>
      <c r="CV36" s="38" t="e">
        <f ca="1">_xll.RiskBinomial(1,CU36)</f>
        <v>#NAME?</v>
      </c>
      <c r="CW36" s="86" t="e">
        <f ca="1">IF(CV36=1,_xll.RiskBinomial(1,Prob_illness_Noro_infection),0)</f>
        <v>#NAME?</v>
      </c>
      <c r="CY36" s="85" t="e">
        <f t="shared" ca="1" si="49"/>
        <v>#NAME?</v>
      </c>
      <c r="CZ36" s="40" t="e">
        <f ca="1">INT(CY36) + _xll.RiskBinomial(1,CY36-INT(CY36))</f>
        <v>#NAME?</v>
      </c>
      <c r="DA36" s="33" t="e">
        <f t="shared" ca="1" si="20"/>
        <v>#NAME?</v>
      </c>
      <c r="DB36" s="38" t="e">
        <f ca="1">_xll.RiskBinomial(1,DA36)</f>
        <v>#NAME?</v>
      </c>
      <c r="DC36" s="86" t="e">
        <f ca="1">IF(DB36=1,_xll.RiskBinomial(1,Prob_illness_Noro_infection),0)</f>
        <v>#NAME?</v>
      </c>
      <c r="DE36" s="85" t="e">
        <f t="shared" ca="1" si="50"/>
        <v>#NAME?</v>
      </c>
      <c r="DF36" s="40" t="e">
        <f ca="1">INT(DE36) + _xll.RiskBinomial(1,DE36-INT(DE36))</f>
        <v>#NAME?</v>
      </c>
      <c r="DG36" s="33" t="e">
        <f t="shared" ca="1" si="21"/>
        <v>#NAME?</v>
      </c>
      <c r="DH36" s="38" t="e">
        <f ca="1">_xll.RiskBinomial(1,DG36)</f>
        <v>#NAME?</v>
      </c>
      <c r="DI36" s="86" t="e">
        <f ca="1">IF(DH36=1,_xll.RiskBinomial(1,Prob_illness_Noro_infection),0)</f>
        <v>#NAME?</v>
      </c>
      <c r="DK36" s="85" t="e">
        <f t="shared" ca="1" si="51"/>
        <v>#NAME?</v>
      </c>
      <c r="DL36" s="40" t="e">
        <f ca="1">INT(DK36) + _xll.RiskBinomial(1,DK36-INT(DK36))</f>
        <v>#NAME?</v>
      </c>
      <c r="DM36" s="33" t="e">
        <f t="shared" ca="1" si="22"/>
        <v>#NAME?</v>
      </c>
      <c r="DN36" s="38" t="e">
        <f ca="1">_xll.RiskBinomial(1,DM36)</f>
        <v>#NAME?</v>
      </c>
      <c r="DO36" s="86" t="e">
        <f ca="1">IF(DN36=1,_xll.RiskBinomial(1,Prob_illness_Noro_infection),0)</f>
        <v>#NAME?</v>
      </c>
      <c r="DQ36" s="85" t="e">
        <f t="shared" ca="1" si="52"/>
        <v>#NAME?</v>
      </c>
      <c r="DR36" s="40" t="e">
        <f ca="1">INT(DQ36) + _xll.RiskBinomial(1,DQ36-INT(DQ36))</f>
        <v>#NAME?</v>
      </c>
      <c r="DS36" s="33" t="e">
        <f t="shared" ca="1" si="23"/>
        <v>#NAME?</v>
      </c>
      <c r="DT36" s="38" t="e">
        <f ca="1">_xll.RiskBinomial(1,DS36)</f>
        <v>#NAME?</v>
      </c>
      <c r="DU36" s="86" t="e">
        <f ca="1">IF(DT36=1,_xll.RiskBinomial(1,Prob_illness_Noro_infection),0)</f>
        <v>#NAME?</v>
      </c>
      <c r="DW36" s="85" t="e">
        <f t="shared" ca="1" si="53"/>
        <v>#NAME?</v>
      </c>
      <c r="DX36" s="40" t="e">
        <f ca="1">INT(DW36) + _xll.RiskBinomial(1,DW36-INT(DW36))</f>
        <v>#NAME?</v>
      </c>
      <c r="DY36" s="33" t="e">
        <f t="shared" ca="1" si="24"/>
        <v>#NAME?</v>
      </c>
      <c r="DZ36" s="38" t="e">
        <f ca="1">_xll.RiskBinomial(1,DY36)</f>
        <v>#NAME?</v>
      </c>
      <c r="EA36" s="86" t="e">
        <f ca="1">IF(DZ36=1,_xll.RiskBinomial(1,Prob_illness_Noro_infection),0)</f>
        <v>#NAME?</v>
      </c>
      <c r="EC36" s="85" t="e">
        <f t="shared" ca="1" si="54"/>
        <v>#NAME?</v>
      </c>
      <c r="ED36" s="40" t="e">
        <f ca="1">INT(EC36) + _xll.RiskBinomial(1,EC36-INT(EC36))</f>
        <v>#NAME?</v>
      </c>
      <c r="EE36" s="33" t="e">
        <f t="shared" ca="1" si="25"/>
        <v>#NAME?</v>
      </c>
      <c r="EF36" s="38" t="e">
        <f ca="1">_xll.RiskBinomial(1,EE36)</f>
        <v>#NAME?</v>
      </c>
      <c r="EG36" s="86" t="e">
        <f ca="1">IF(EF36=1,_xll.RiskBinomial(1,Prob_illness_Noro_infection),0)</f>
        <v>#NAME?</v>
      </c>
      <c r="EI36" s="85" t="e">
        <f t="shared" ca="1" si="55"/>
        <v>#NAME?</v>
      </c>
      <c r="EJ36" s="40" t="e">
        <f ca="1">INT(EI36) + _xll.RiskBinomial(1,EI36-INT(EI36))</f>
        <v>#NAME?</v>
      </c>
      <c r="EK36" s="33" t="e">
        <f t="shared" ca="1" si="26"/>
        <v>#NAME?</v>
      </c>
      <c r="EL36" s="38" t="e">
        <f ca="1">_xll.RiskBinomial(1,EK36)</f>
        <v>#NAME?</v>
      </c>
      <c r="EM36" s="86" t="e">
        <f ca="1">IF(EL36=1,_xll.RiskBinomial(1,Prob_illness_Noro_infection),0)</f>
        <v>#NAME?</v>
      </c>
      <c r="EO36" s="85" t="e">
        <f t="shared" ca="1" si="56"/>
        <v>#NAME?</v>
      </c>
      <c r="EP36" s="40" t="e">
        <f ca="1">INT(EO36) + _xll.RiskBinomial(1,EO36-INT(EO36))</f>
        <v>#NAME?</v>
      </c>
      <c r="EQ36" s="33" t="e">
        <f t="shared" ca="1" si="27"/>
        <v>#NAME?</v>
      </c>
      <c r="ER36" s="38" t="e">
        <f ca="1">_xll.RiskBinomial(1,EQ36)</f>
        <v>#NAME?</v>
      </c>
      <c r="ES36" s="86" t="e">
        <f ca="1">IF(ER36=1,_xll.RiskBinomial(1,Prob_illness_Noro_infection),0)</f>
        <v>#NAME?</v>
      </c>
      <c r="EU36" s="85" t="e">
        <f t="shared" ca="1" si="57"/>
        <v>#NAME?</v>
      </c>
      <c r="EV36" s="40" t="e">
        <f ca="1">INT(EU36) + _xll.RiskBinomial(1,EU36-INT(EU36))</f>
        <v>#NAME?</v>
      </c>
      <c r="EW36" s="33" t="e">
        <f t="shared" ca="1" si="28"/>
        <v>#NAME?</v>
      </c>
      <c r="EX36" s="38" t="e">
        <f ca="1">_xll.RiskBinomial(1,EW36)</f>
        <v>#NAME?</v>
      </c>
      <c r="EY36" s="86" t="e">
        <f ca="1">IF(EX36=1,_xll.RiskBinomial(1,Prob_illness_Noro_infection),0)</f>
        <v>#NAME?</v>
      </c>
      <c r="FA36" s="85" t="e">
        <f t="shared" ca="1" si="58"/>
        <v>#NAME?</v>
      </c>
      <c r="FB36" s="40" t="e">
        <f ca="1">INT(FA36) + _xll.RiskBinomial(1,FA36-INT(FA36))</f>
        <v>#NAME?</v>
      </c>
      <c r="FC36" s="33" t="e">
        <f t="shared" ca="1" si="29"/>
        <v>#NAME?</v>
      </c>
      <c r="FD36" s="38" t="e">
        <f ca="1">_xll.RiskBinomial(1,FC36)</f>
        <v>#NAME?</v>
      </c>
      <c r="FE36" s="86" t="e">
        <f ca="1">IF(FD36=1,_xll.RiskBinomial(1,Prob_illness_Noro_infection),0)</f>
        <v>#NAME?</v>
      </c>
      <c r="FG36" s="85" t="e">
        <f t="shared" ca="1" si="59"/>
        <v>#NAME?</v>
      </c>
      <c r="FH36" s="40" t="e">
        <f ca="1">INT(FG36) + _xll.RiskBinomial(1,FG36-INT(FG36))</f>
        <v>#NAME?</v>
      </c>
      <c r="FI36" s="33" t="e">
        <f t="shared" ca="1" si="30"/>
        <v>#NAME?</v>
      </c>
      <c r="FJ36" s="38" t="e">
        <f ca="1">_xll.RiskBinomial(1,FI36)</f>
        <v>#NAME?</v>
      </c>
      <c r="FK36" s="86" t="e">
        <f ca="1">IF(FJ36=1,_xll.RiskBinomial(1,Prob_illness_Noro_infection),0)</f>
        <v>#NAME?</v>
      </c>
      <c r="FM36" s="85" t="e">
        <f t="shared" ca="1" si="60"/>
        <v>#NAME?</v>
      </c>
      <c r="FN36" s="40" t="e">
        <f ca="1">INT(FM36) + _xll.RiskBinomial(1,FM36-INT(FM36))</f>
        <v>#NAME?</v>
      </c>
      <c r="FO36" s="33" t="e">
        <f t="shared" ca="1" si="31"/>
        <v>#NAME?</v>
      </c>
      <c r="FP36" s="38" t="e">
        <f ca="1">_xll.RiskBinomial(1,FO36)</f>
        <v>#NAME?</v>
      </c>
      <c r="FQ36" s="86" t="e">
        <f ca="1">IF(FP36=1,_xll.RiskBinomial(1,Prob_illness_Noro_infection),0)</f>
        <v>#NAME?</v>
      </c>
      <c r="FS36" s="85" t="e">
        <f t="shared" ca="1" si="61"/>
        <v>#NAME?</v>
      </c>
      <c r="FT36" s="40" t="e">
        <f ca="1">INT(FS36) + _xll.RiskBinomial(1,FS36-INT(FS36))</f>
        <v>#NAME?</v>
      </c>
      <c r="FU36" s="33" t="e">
        <f t="shared" ca="1" si="32"/>
        <v>#NAME?</v>
      </c>
      <c r="FV36" s="38" t="e">
        <f ca="1">_xll.RiskBinomial(1,FU36)</f>
        <v>#NAME?</v>
      </c>
      <c r="FW36" s="86" t="e">
        <f ca="1">IF(FV36=1,_xll.RiskBinomial(1,Prob_illness_Noro_infection),0)</f>
        <v>#NAME?</v>
      </c>
      <c r="FY36" s="85" t="e">
        <f t="shared" ca="1" si="62"/>
        <v>#NAME?</v>
      </c>
      <c r="FZ36" s="40" t="e">
        <f ca="1">INT(FY36) + _xll.RiskBinomial(1,FY36-INT(FY36))</f>
        <v>#NAME?</v>
      </c>
      <c r="GA36" s="33" t="e">
        <f t="shared" ca="1" si="33"/>
        <v>#NAME?</v>
      </c>
      <c r="GB36" s="38" t="e">
        <f ca="1">_xll.RiskBinomial(1,GA36)</f>
        <v>#NAME?</v>
      </c>
      <c r="GC36" s="86" t="e">
        <f ca="1">IF(GB36=1,_xll.RiskBinomial(1,Prob_illness_Noro_infection),0)</f>
        <v>#NAME?</v>
      </c>
      <c r="GE36" s="85" t="e">
        <f t="shared" ca="1" si="63"/>
        <v>#NAME?</v>
      </c>
      <c r="GF36" s="40" t="e">
        <f ca="1">INT(GE36) + _xll.RiskBinomial(1,GE36-INT(GE36))</f>
        <v>#NAME?</v>
      </c>
      <c r="GG36" s="33" t="e">
        <f t="shared" ca="1" si="34"/>
        <v>#NAME?</v>
      </c>
      <c r="GH36" s="38" t="e">
        <f ca="1">_xll.RiskBinomial(1,GG36)</f>
        <v>#NAME?</v>
      </c>
      <c r="GI36" s="86" t="e">
        <f ca="1">IF(GH36=1,_xll.RiskBinomial(1,Prob_illness_Noro_infection),0)</f>
        <v>#NAME?</v>
      </c>
      <c r="GK36" s="85" t="e">
        <f t="shared" ca="1" si="64"/>
        <v>#NAME?</v>
      </c>
      <c r="GL36" s="40" t="e">
        <f ca="1">INT(GK36) + _xll.RiskBinomial(1,GK36-INT(GK36))</f>
        <v>#NAME?</v>
      </c>
      <c r="GM36" s="33" t="e">
        <f t="shared" ca="1" si="35"/>
        <v>#NAME?</v>
      </c>
      <c r="GN36" s="38" t="e">
        <f ca="1">_xll.RiskBinomial(1,GM36)</f>
        <v>#NAME?</v>
      </c>
      <c r="GO36" s="86" t="e">
        <f ca="1">IF(GN36=1,_xll.RiskBinomial(1,Prob_illness_Noro_infection),0)</f>
        <v>#NAME?</v>
      </c>
    </row>
    <row r="37" spans="2:197" x14ac:dyDescent="0.25">
      <c r="B37" s="106">
        <v>29</v>
      </c>
      <c r="C37" s="109" t="e">
        <f ca="1" xml:space="preserve"> _xll.RiskPert(Dur_Swim_hours_min,Dur_Swim_hours_mode,Dur_Swim_hours_max)</f>
        <v>#NAME?</v>
      </c>
      <c r="D37" s="33" t="e">
        <f ca="1">_xll.RiskLognorm(Primary_Ing_Rate_mL_per_hour_mean,Primary_Ing_Rate_mL_per_hour_sd, _xll.RiskTruncate(Primary_Ing_Rate_mL_per_hour_min,Primary_Ing_Rate_mL_per_hour_max))</f>
        <v>#NAME?</v>
      </c>
      <c r="E37" s="41" t="e">
        <f t="shared" ca="1" si="36"/>
        <v>#NAME?</v>
      </c>
      <c r="F37" s="33"/>
      <c r="G37" s="85" t="e">
        <f t="shared" ca="1" si="37"/>
        <v>#NAME?</v>
      </c>
      <c r="H37" s="40" t="e">
        <f ca="1">INT(G37) + _xll.RiskBinomial(1,G37-INT(G37))</f>
        <v>#NAME?</v>
      </c>
      <c r="I37" s="33" t="e">
        <f t="shared" ca="1" si="0"/>
        <v>#NAME?</v>
      </c>
      <c r="J37" s="38" t="e">
        <f ca="1">_xll.RiskBinomial(1,I37)</f>
        <v>#NAME?</v>
      </c>
      <c r="K37" s="86" t="e">
        <f ca="1">IF(J37=1,_xll.RiskBinomial(1,Prob_illness_Noro_infection),0)</f>
        <v>#NAME?</v>
      </c>
      <c r="L37" s="33"/>
      <c r="M37" s="85" t="e">
        <f t="shared" ca="1" si="38"/>
        <v>#NAME?</v>
      </c>
      <c r="N37" s="40" t="e">
        <f ca="1">INT(M37) + _xll.RiskBinomial(1,M37-INT(M37))</f>
        <v>#NAME?</v>
      </c>
      <c r="O37" s="33" t="e">
        <f t="shared" ca="1" si="1"/>
        <v>#NAME?</v>
      </c>
      <c r="P37" s="38" t="e">
        <f ca="1">_xll.RiskBinomial(1,O37)</f>
        <v>#NAME?</v>
      </c>
      <c r="Q37" s="86" t="e">
        <f ca="1">IF(P37=1,_xll.RiskBinomial(1,Prob_illness_Noro_infection),0)</f>
        <v>#NAME?</v>
      </c>
      <c r="R37" s="33"/>
      <c r="S37" s="85" t="e">
        <f t="shared" ca="1" si="39"/>
        <v>#NAME?</v>
      </c>
      <c r="T37" s="40" t="e">
        <f ca="1">INT(S37) + _xll.RiskBinomial(1,S37-INT(S37))</f>
        <v>#NAME?</v>
      </c>
      <c r="U37" s="33" t="e">
        <f t="shared" ca="1" si="2"/>
        <v>#NAME?</v>
      </c>
      <c r="V37" s="38" t="e">
        <f ca="1">_xll.RiskBinomial(1,U37)</f>
        <v>#NAME?</v>
      </c>
      <c r="W37" s="86" t="e">
        <f ca="1">IF(V37=1,_xll.RiskBinomial(1,Prob_illness_Noro_infection),0)</f>
        <v>#NAME?</v>
      </c>
      <c r="X37" s="33"/>
      <c r="Y37" s="85" t="e">
        <f t="shared" ca="1" si="3"/>
        <v>#NAME?</v>
      </c>
      <c r="Z37" s="40" t="e">
        <f ca="1">INT(Y37) + _xll.RiskBinomial(1,Y37-INT(Y37))</f>
        <v>#NAME?</v>
      </c>
      <c r="AA37" s="33" t="e">
        <f t="shared" ca="1" si="4"/>
        <v>#NAME?</v>
      </c>
      <c r="AB37" s="38" t="e">
        <f ca="1">_xll.RiskBinomial(1,AA37)</f>
        <v>#NAME?</v>
      </c>
      <c r="AC37" s="86" t="e">
        <f ca="1">IF(AB37=1,_xll.RiskBinomial(1,Prob_illness_Noro_infection),0)</f>
        <v>#NAME?</v>
      </c>
      <c r="AD37" s="33"/>
      <c r="AE37" s="85" t="e">
        <f t="shared" ca="1" si="5"/>
        <v>#NAME?</v>
      </c>
      <c r="AF37" s="40" t="e">
        <f ca="1">INT(AE37) + _xll.RiskBinomial(1,AE37-INT(AE37))</f>
        <v>#NAME?</v>
      </c>
      <c r="AG37" s="33" t="e">
        <f t="shared" ca="1" si="6"/>
        <v>#NAME?</v>
      </c>
      <c r="AH37" s="38" t="e">
        <f ca="1">_xll.RiskBinomial(1,AG37)</f>
        <v>#NAME?</v>
      </c>
      <c r="AI37" s="86" t="e">
        <f ca="1">IF(AH37=1,_xll.RiskBinomial(1,Prob_illness_Noro_infection),0)</f>
        <v>#NAME?</v>
      </c>
      <c r="AJ37" s="33"/>
      <c r="AK37" s="85" t="e">
        <f t="shared" ca="1" si="7"/>
        <v>#NAME?</v>
      </c>
      <c r="AL37" s="40" t="e">
        <f ca="1">INT(AK37) + _xll.RiskBinomial(1,AK37-INT(AK37))</f>
        <v>#NAME?</v>
      </c>
      <c r="AM37" s="33" t="e">
        <f t="shared" ca="1" si="8"/>
        <v>#NAME?</v>
      </c>
      <c r="AN37" s="38" t="e">
        <f ca="1">_xll.RiskBinomial(1,AM37)</f>
        <v>#NAME?</v>
      </c>
      <c r="AO37" s="86" t="e">
        <f ca="1">IF(AN37=1,_xll.RiskBinomial(1,Prob_illness_Noro_infection),0)</f>
        <v>#NAME?</v>
      </c>
      <c r="AP37" s="33"/>
      <c r="AQ37" s="85" t="e">
        <f t="shared" ca="1" si="9"/>
        <v>#NAME?</v>
      </c>
      <c r="AR37" s="40" t="e">
        <f ca="1">INT(AQ37) + _xll.RiskBinomial(1,AQ37-INT(AQ37))</f>
        <v>#NAME?</v>
      </c>
      <c r="AS37" s="33" t="e">
        <f t="shared" ca="1" si="10"/>
        <v>#NAME?</v>
      </c>
      <c r="AT37" s="38" t="e">
        <f ca="1">_xll.RiskBinomial(1,AS37)</f>
        <v>#NAME?</v>
      </c>
      <c r="AU37" s="86" t="e">
        <f ca="1">IF(AT37=1,_xll.RiskBinomial(1,Prob_illness_Noro_infection),0)</f>
        <v>#NAME?</v>
      </c>
      <c r="AV37" s="33"/>
      <c r="AW37" s="85" t="e">
        <f t="shared" ca="1" si="40"/>
        <v>#NAME?</v>
      </c>
      <c r="AX37" s="40" t="e">
        <f ca="1">INT(AW37) + _xll.RiskBinomial(1,AW37-INT(AW37))</f>
        <v>#NAME?</v>
      </c>
      <c r="AY37" s="33" t="e">
        <f t="shared" ca="1" si="11"/>
        <v>#NAME?</v>
      </c>
      <c r="AZ37" s="38" t="e">
        <f ca="1">_xll.RiskBinomial(1,AY37)</f>
        <v>#NAME?</v>
      </c>
      <c r="BA37" s="86" t="e">
        <f ca="1">IF(AZ37=1,_xll.RiskBinomial(1,Prob_illness_Noro_infection),0)</f>
        <v>#NAME?</v>
      </c>
      <c r="BC37" s="85" t="e">
        <f t="shared" ca="1" si="41"/>
        <v>#NAME?</v>
      </c>
      <c r="BD37" s="40" t="e">
        <f ca="1">INT(BC37) + _xll.RiskBinomial(1,BC37-INT(BC37))</f>
        <v>#NAME?</v>
      </c>
      <c r="BE37" s="33" t="e">
        <f t="shared" ca="1" si="12"/>
        <v>#NAME?</v>
      </c>
      <c r="BF37" s="38" t="e">
        <f ca="1">_xll.RiskBinomial(1,BE37)</f>
        <v>#NAME?</v>
      </c>
      <c r="BG37" s="86" t="e">
        <f ca="1">IF(BF37=1,_xll.RiskBinomial(1,Prob_illness_Noro_infection),0)</f>
        <v>#NAME?</v>
      </c>
      <c r="BI37" s="85" t="e">
        <f t="shared" ca="1" si="42"/>
        <v>#NAME?</v>
      </c>
      <c r="BJ37" s="40" t="e">
        <f ca="1">INT(BI37) + _xll.RiskBinomial(1,BI37-INT(BI37))</f>
        <v>#NAME?</v>
      </c>
      <c r="BK37" s="33" t="e">
        <f t="shared" ca="1" si="13"/>
        <v>#NAME?</v>
      </c>
      <c r="BL37" s="38" t="e">
        <f ca="1">_xll.RiskBinomial(1,BK37)</f>
        <v>#NAME?</v>
      </c>
      <c r="BM37" s="86" t="e">
        <f ca="1">IF(BL37=1,_xll.RiskBinomial(1,Prob_illness_Noro_infection),0)</f>
        <v>#NAME?</v>
      </c>
      <c r="BO37" s="85" t="e">
        <f t="shared" ca="1" si="43"/>
        <v>#NAME?</v>
      </c>
      <c r="BP37" s="40" t="e">
        <f ca="1">INT(BO37) + _xll.RiskBinomial(1,BO37-INT(BO37))</f>
        <v>#NAME?</v>
      </c>
      <c r="BQ37" s="33" t="e">
        <f t="shared" ca="1" si="14"/>
        <v>#NAME?</v>
      </c>
      <c r="BR37" s="38" t="e">
        <f ca="1">_xll.RiskBinomial(1,BQ37)</f>
        <v>#NAME?</v>
      </c>
      <c r="BS37" s="86" t="e">
        <f ca="1">IF(BR37=1,_xll.RiskBinomial(1,Prob_illness_Noro_infection),0)</f>
        <v>#NAME?</v>
      </c>
      <c r="BU37" s="85" t="e">
        <f t="shared" ca="1" si="44"/>
        <v>#NAME?</v>
      </c>
      <c r="BV37" s="40" t="e">
        <f ca="1">INT(BU37) + _xll.RiskBinomial(1,BU37-INT(BU37))</f>
        <v>#NAME?</v>
      </c>
      <c r="BW37" s="33" t="e">
        <f t="shared" ca="1" si="15"/>
        <v>#NAME?</v>
      </c>
      <c r="BX37" s="38" t="e">
        <f ca="1">_xll.RiskBinomial(1,BW37)</f>
        <v>#NAME?</v>
      </c>
      <c r="BY37" s="86" t="e">
        <f ca="1">IF(BX37=1,_xll.RiskBinomial(1,Prob_illness_Noro_infection),0)</f>
        <v>#NAME?</v>
      </c>
      <c r="CA37" s="85" t="e">
        <f t="shared" ca="1" si="45"/>
        <v>#NAME?</v>
      </c>
      <c r="CB37" s="40" t="e">
        <f ca="1">INT(CA37) + _xll.RiskBinomial(1,CA37-INT(CA37))</f>
        <v>#NAME?</v>
      </c>
      <c r="CC37" s="33" t="e">
        <f t="shared" ca="1" si="16"/>
        <v>#NAME?</v>
      </c>
      <c r="CD37" s="38" t="e">
        <f ca="1">_xll.RiskBinomial(1,CC37)</f>
        <v>#NAME?</v>
      </c>
      <c r="CE37" s="86" t="e">
        <f ca="1">IF(CD37=1,_xll.RiskBinomial(1,Prob_illness_Noro_infection),0)</f>
        <v>#NAME?</v>
      </c>
      <c r="CG37" s="85" t="e">
        <f t="shared" ca="1" si="46"/>
        <v>#NAME?</v>
      </c>
      <c r="CH37" s="40" t="e">
        <f ca="1">INT(CG37) + _xll.RiskBinomial(1,CG37-INT(CG37))</f>
        <v>#NAME?</v>
      </c>
      <c r="CI37" s="33" t="e">
        <f t="shared" ca="1" si="17"/>
        <v>#NAME?</v>
      </c>
      <c r="CJ37" s="38" t="e">
        <f ca="1">_xll.RiskBinomial(1,CI37)</f>
        <v>#NAME?</v>
      </c>
      <c r="CK37" s="86" t="e">
        <f ca="1">IF(CJ37=1,_xll.RiskBinomial(1,Prob_illness_Noro_infection),0)</f>
        <v>#NAME?</v>
      </c>
      <c r="CM37" s="85" t="e">
        <f t="shared" ca="1" si="47"/>
        <v>#NAME?</v>
      </c>
      <c r="CN37" s="40" t="e">
        <f ca="1">INT(CM37) + _xll.RiskBinomial(1,CM37-INT(CM37))</f>
        <v>#NAME?</v>
      </c>
      <c r="CO37" s="33" t="e">
        <f t="shared" ca="1" si="18"/>
        <v>#NAME?</v>
      </c>
      <c r="CP37" s="38" t="e">
        <f ca="1">_xll.RiskBinomial(1,CO37)</f>
        <v>#NAME?</v>
      </c>
      <c r="CQ37" s="86" t="e">
        <f ca="1">IF(CP37=1,_xll.RiskBinomial(1,Prob_illness_Noro_infection),0)</f>
        <v>#NAME?</v>
      </c>
      <c r="CS37" s="85" t="e">
        <f t="shared" ca="1" si="48"/>
        <v>#NAME?</v>
      </c>
      <c r="CT37" s="40" t="e">
        <f ca="1">INT(CS37) + _xll.RiskBinomial(1,CS37-INT(CS37))</f>
        <v>#NAME?</v>
      </c>
      <c r="CU37" s="33" t="e">
        <f t="shared" ca="1" si="19"/>
        <v>#NAME?</v>
      </c>
      <c r="CV37" s="38" t="e">
        <f ca="1">_xll.RiskBinomial(1,CU37)</f>
        <v>#NAME?</v>
      </c>
      <c r="CW37" s="86" t="e">
        <f ca="1">IF(CV37=1,_xll.RiskBinomial(1,Prob_illness_Noro_infection),0)</f>
        <v>#NAME?</v>
      </c>
      <c r="CY37" s="85" t="e">
        <f t="shared" ca="1" si="49"/>
        <v>#NAME?</v>
      </c>
      <c r="CZ37" s="40" t="e">
        <f ca="1">INT(CY37) + _xll.RiskBinomial(1,CY37-INT(CY37))</f>
        <v>#NAME?</v>
      </c>
      <c r="DA37" s="33" t="e">
        <f t="shared" ca="1" si="20"/>
        <v>#NAME?</v>
      </c>
      <c r="DB37" s="38" t="e">
        <f ca="1">_xll.RiskBinomial(1,DA37)</f>
        <v>#NAME?</v>
      </c>
      <c r="DC37" s="86" t="e">
        <f ca="1">IF(DB37=1,_xll.RiskBinomial(1,Prob_illness_Noro_infection),0)</f>
        <v>#NAME?</v>
      </c>
      <c r="DE37" s="85" t="e">
        <f t="shared" ca="1" si="50"/>
        <v>#NAME?</v>
      </c>
      <c r="DF37" s="40" t="e">
        <f ca="1">INT(DE37) + _xll.RiskBinomial(1,DE37-INT(DE37))</f>
        <v>#NAME?</v>
      </c>
      <c r="DG37" s="33" t="e">
        <f t="shared" ca="1" si="21"/>
        <v>#NAME?</v>
      </c>
      <c r="DH37" s="38" t="e">
        <f ca="1">_xll.RiskBinomial(1,DG37)</f>
        <v>#NAME?</v>
      </c>
      <c r="DI37" s="86" t="e">
        <f ca="1">IF(DH37=1,_xll.RiskBinomial(1,Prob_illness_Noro_infection),0)</f>
        <v>#NAME?</v>
      </c>
      <c r="DK37" s="85" t="e">
        <f t="shared" ca="1" si="51"/>
        <v>#NAME?</v>
      </c>
      <c r="DL37" s="40" t="e">
        <f ca="1">INT(DK37) + _xll.RiskBinomial(1,DK37-INT(DK37))</f>
        <v>#NAME?</v>
      </c>
      <c r="DM37" s="33" t="e">
        <f t="shared" ca="1" si="22"/>
        <v>#NAME?</v>
      </c>
      <c r="DN37" s="38" t="e">
        <f ca="1">_xll.RiskBinomial(1,DM37)</f>
        <v>#NAME?</v>
      </c>
      <c r="DO37" s="86" t="e">
        <f ca="1">IF(DN37=1,_xll.RiskBinomial(1,Prob_illness_Noro_infection),0)</f>
        <v>#NAME?</v>
      </c>
      <c r="DQ37" s="85" t="e">
        <f t="shared" ca="1" si="52"/>
        <v>#NAME?</v>
      </c>
      <c r="DR37" s="40" t="e">
        <f ca="1">INT(DQ37) + _xll.RiskBinomial(1,DQ37-INT(DQ37))</f>
        <v>#NAME?</v>
      </c>
      <c r="DS37" s="33" t="e">
        <f t="shared" ca="1" si="23"/>
        <v>#NAME?</v>
      </c>
      <c r="DT37" s="38" t="e">
        <f ca="1">_xll.RiskBinomial(1,DS37)</f>
        <v>#NAME?</v>
      </c>
      <c r="DU37" s="86" t="e">
        <f ca="1">IF(DT37=1,_xll.RiskBinomial(1,Prob_illness_Noro_infection),0)</f>
        <v>#NAME?</v>
      </c>
      <c r="DW37" s="85" t="e">
        <f t="shared" ca="1" si="53"/>
        <v>#NAME?</v>
      </c>
      <c r="DX37" s="40" t="e">
        <f ca="1">INT(DW37) + _xll.RiskBinomial(1,DW37-INT(DW37))</f>
        <v>#NAME?</v>
      </c>
      <c r="DY37" s="33" t="e">
        <f t="shared" ca="1" si="24"/>
        <v>#NAME?</v>
      </c>
      <c r="DZ37" s="38" t="e">
        <f ca="1">_xll.RiskBinomial(1,DY37)</f>
        <v>#NAME?</v>
      </c>
      <c r="EA37" s="86" t="e">
        <f ca="1">IF(DZ37=1,_xll.RiskBinomial(1,Prob_illness_Noro_infection),0)</f>
        <v>#NAME?</v>
      </c>
      <c r="EC37" s="85" t="e">
        <f t="shared" ca="1" si="54"/>
        <v>#NAME?</v>
      </c>
      <c r="ED37" s="40" t="e">
        <f ca="1">INT(EC37) + _xll.RiskBinomial(1,EC37-INT(EC37))</f>
        <v>#NAME?</v>
      </c>
      <c r="EE37" s="33" t="e">
        <f t="shared" ca="1" si="25"/>
        <v>#NAME?</v>
      </c>
      <c r="EF37" s="38" t="e">
        <f ca="1">_xll.RiskBinomial(1,EE37)</f>
        <v>#NAME?</v>
      </c>
      <c r="EG37" s="86" t="e">
        <f ca="1">IF(EF37=1,_xll.RiskBinomial(1,Prob_illness_Noro_infection),0)</f>
        <v>#NAME?</v>
      </c>
      <c r="EI37" s="85" t="e">
        <f t="shared" ca="1" si="55"/>
        <v>#NAME?</v>
      </c>
      <c r="EJ37" s="40" t="e">
        <f ca="1">INT(EI37) + _xll.RiskBinomial(1,EI37-INT(EI37))</f>
        <v>#NAME?</v>
      </c>
      <c r="EK37" s="33" t="e">
        <f t="shared" ca="1" si="26"/>
        <v>#NAME?</v>
      </c>
      <c r="EL37" s="38" t="e">
        <f ca="1">_xll.RiskBinomial(1,EK37)</f>
        <v>#NAME?</v>
      </c>
      <c r="EM37" s="86" t="e">
        <f ca="1">IF(EL37=1,_xll.RiskBinomial(1,Prob_illness_Noro_infection),0)</f>
        <v>#NAME?</v>
      </c>
      <c r="EO37" s="85" t="e">
        <f t="shared" ca="1" si="56"/>
        <v>#NAME?</v>
      </c>
      <c r="EP37" s="40" t="e">
        <f ca="1">INT(EO37) + _xll.RiskBinomial(1,EO37-INT(EO37))</f>
        <v>#NAME?</v>
      </c>
      <c r="EQ37" s="33" t="e">
        <f t="shared" ca="1" si="27"/>
        <v>#NAME?</v>
      </c>
      <c r="ER37" s="38" t="e">
        <f ca="1">_xll.RiskBinomial(1,EQ37)</f>
        <v>#NAME?</v>
      </c>
      <c r="ES37" s="86" t="e">
        <f ca="1">IF(ER37=1,_xll.RiskBinomial(1,Prob_illness_Noro_infection),0)</f>
        <v>#NAME?</v>
      </c>
      <c r="EU37" s="85" t="e">
        <f t="shared" ca="1" si="57"/>
        <v>#NAME?</v>
      </c>
      <c r="EV37" s="40" t="e">
        <f ca="1">INT(EU37) + _xll.RiskBinomial(1,EU37-INT(EU37))</f>
        <v>#NAME?</v>
      </c>
      <c r="EW37" s="33" t="e">
        <f t="shared" ca="1" si="28"/>
        <v>#NAME?</v>
      </c>
      <c r="EX37" s="38" t="e">
        <f ca="1">_xll.RiskBinomial(1,EW37)</f>
        <v>#NAME?</v>
      </c>
      <c r="EY37" s="86" t="e">
        <f ca="1">IF(EX37=1,_xll.RiskBinomial(1,Prob_illness_Noro_infection),0)</f>
        <v>#NAME?</v>
      </c>
      <c r="FA37" s="85" t="e">
        <f t="shared" ca="1" si="58"/>
        <v>#NAME?</v>
      </c>
      <c r="FB37" s="40" t="e">
        <f ca="1">INT(FA37) + _xll.RiskBinomial(1,FA37-INT(FA37))</f>
        <v>#NAME?</v>
      </c>
      <c r="FC37" s="33" t="e">
        <f t="shared" ca="1" si="29"/>
        <v>#NAME?</v>
      </c>
      <c r="FD37" s="38" t="e">
        <f ca="1">_xll.RiskBinomial(1,FC37)</f>
        <v>#NAME?</v>
      </c>
      <c r="FE37" s="86" t="e">
        <f ca="1">IF(FD37=1,_xll.RiskBinomial(1,Prob_illness_Noro_infection),0)</f>
        <v>#NAME?</v>
      </c>
      <c r="FG37" s="85" t="e">
        <f t="shared" ca="1" si="59"/>
        <v>#NAME?</v>
      </c>
      <c r="FH37" s="40" t="e">
        <f ca="1">INT(FG37) + _xll.RiskBinomial(1,FG37-INT(FG37))</f>
        <v>#NAME?</v>
      </c>
      <c r="FI37" s="33" t="e">
        <f t="shared" ca="1" si="30"/>
        <v>#NAME?</v>
      </c>
      <c r="FJ37" s="38" t="e">
        <f ca="1">_xll.RiskBinomial(1,FI37)</f>
        <v>#NAME?</v>
      </c>
      <c r="FK37" s="86" t="e">
        <f ca="1">IF(FJ37=1,_xll.RiskBinomial(1,Prob_illness_Noro_infection),0)</f>
        <v>#NAME?</v>
      </c>
      <c r="FM37" s="85" t="e">
        <f t="shared" ca="1" si="60"/>
        <v>#NAME?</v>
      </c>
      <c r="FN37" s="40" t="e">
        <f ca="1">INT(FM37) + _xll.RiskBinomial(1,FM37-INT(FM37))</f>
        <v>#NAME?</v>
      </c>
      <c r="FO37" s="33" t="e">
        <f t="shared" ca="1" si="31"/>
        <v>#NAME?</v>
      </c>
      <c r="FP37" s="38" t="e">
        <f ca="1">_xll.RiskBinomial(1,FO37)</f>
        <v>#NAME?</v>
      </c>
      <c r="FQ37" s="86" t="e">
        <f ca="1">IF(FP37=1,_xll.RiskBinomial(1,Prob_illness_Noro_infection),0)</f>
        <v>#NAME?</v>
      </c>
      <c r="FS37" s="85" t="e">
        <f t="shared" ca="1" si="61"/>
        <v>#NAME?</v>
      </c>
      <c r="FT37" s="40" t="e">
        <f ca="1">INT(FS37) + _xll.RiskBinomial(1,FS37-INT(FS37))</f>
        <v>#NAME?</v>
      </c>
      <c r="FU37" s="33" t="e">
        <f t="shared" ca="1" si="32"/>
        <v>#NAME?</v>
      </c>
      <c r="FV37" s="38" t="e">
        <f ca="1">_xll.RiskBinomial(1,FU37)</f>
        <v>#NAME?</v>
      </c>
      <c r="FW37" s="86" t="e">
        <f ca="1">IF(FV37=1,_xll.RiskBinomial(1,Prob_illness_Noro_infection),0)</f>
        <v>#NAME?</v>
      </c>
      <c r="FY37" s="85" t="e">
        <f t="shared" ca="1" si="62"/>
        <v>#NAME?</v>
      </c>
      <c r="FZ37" s="40" t="e">
        <f ca="1">INT(FY37) + _xll.RiskBinomial(1,FY37-INT(FY37))</f>
        <v>#NAME?</v>
      </c>
      <c r="GA37" s="33" t="e">
        <f t="shared" ca="1" si="33"/>
        <v>#NAME?</v>
      </c>
      <c r="GB37" s="38" t="e">
        <f ca="1">_xll.RiskBinomial(1,GA37)</f>
        <v>#NAME?</v>
      </c>
      <c r="GC37" s="86" t="e">
        <f ca="1">IF(GB37=1,_xll.RiskBinomial(1,Prob_illness_Noro_infection),0)</f>
        <v>#NAME?</v>
      </c>
      <c r="GE37" s="85" t="e">
        <f t="shared" ca="1" si="63"/>
        <v>#NAME?</v>
      </c>
      <c r="GF37" s="40" t="e">
        <f ca="1">INT(GE37) + _xll.RiskBinomial(1,GE37-INT(GE37))</f>
        <v>#NAME?</v>
      </c>
      <c r="GG37" s="33" t="e">
        <f t="shared" ca="1" si="34"/>
        <v>#NAME?</v>
      </c>
      <c r="GH37" s="38" t="e">
        <f ca="1">_xll.RiskBinomial(1,GG37)</f>
        <v>#NAME?</v>
      </c>
      <c r="GI37" s="86" t="e">
        <f ca="1">IF(GH37=1,_xll.RiskBinomial(1,Prob_illness_Noro_infection),0)</f>
        <v>#NAME?</v>
      </c>
      <c r="GK37" s="85" t="e">
        <f t="shared" ca="1" si="64"/>
        <v>#NAME?</v>
      </c>
      <c r="GL37" s="40" t="e">
        <f ca="1">INT(GK37) + _xll.RiskBinomial(1,GK37-INT(GK37))</f>
        <v>#NAME?</v>
      </c>
      <c r="GM37" s="33" t="e">
        <f t="shared" ca="1" si="35"/>
        <v>#NAME?</v>
      </c>
      <c r="GN37" s="38" t="e">
        <f ca="1">_xll.RiskBinomial(1,GM37)</f>
        <v>#NAME?</v>
      </c>
      <c r="GO37" s="86" t="e">
        <f ca="1">IF(GN37=1,_xll.RiskBinomial(1,Prob_illness_Noro_infection),0)</f>
        <v>#NAME?</v>
      </c>
    </row>
    <row r="38" spans="2:197" x14ac:dyDescent="0.25">
      <c r="B38" s="106">
        <v>30</v>
      </c>
      <c r="C38" s="109" t="e">
        <f ca="1" xml:space="preserve"> _xll.RiskPert(Dur_Swim_hours_min,Dur_Swim_hours_mode,Dur_Swim_hours_max)</f>
        <v>#NAME?</v>
      </c>
      <c r="D38" s="33" t="e">
        <f ca="1">_xll.RiskLognorm(Primary_Ing_Rate_mL_per_hour_mean,Primary_Ing_Rate_mL_per_hour_sd, _xll.RiskTruncate(Primary_Ing_Rate_mL_per_hour_min,Primary_Ing_Rate_mL_per_hour_max))</f>
        <v>#NAME?</v>
      </c>
      <c r="E38" s="41" t="e">
        <f t="shared" ca="1" si="36"/>
        <v>#NAME?</v>
      </c>
      <c r="F38" s="33"/>
      <c r="G38" s="85" t="e">
        <f t="shared" ca="1" si="37"/>
        <v>#NAME?</v>
      </c>
      <c r="H38" s="40" t="e">
        <f ca="1">INT(G38) + _xll.RiskBinomial(1,G38-INT(G38))</f>
        <v>#NAME?</v>
      </c>
      <c r="I38" s="33" t="e">
        <f t="shared" ca="1" si="0"/>
        <v>#NAME?</v>
      </c>
      <c r="J38" s="38" t="e">
        <f ca="1">_xll.RiskBinomial(1,I38)</f>
        <v>#NAME?</v>
      </c>
      <c r="K38" s="86" t="e">
        <f ca="1">IF(J38=1,_xll.RiskBinomial(1,Prob_illness_Noro_infection),0)</f>
        <v>#NAME?</v>
      </c>
      <c r="L38" s="33"/>
      <c r="M38" s="85" t="e">
        <f t="shared" ca="1" si="38"/>
        <v>#NAME?</v>
      </c>
      <c r="N38" s="40" t="e">
        <f ca="1">INT(M38) + _xll.RiskBinomial(1,M38-INT(M38))</f>
        <v>#NAME?</v>
      </c>
      <c r="O38" s="33" t="e">
        <f t="shared" ca="1" si="1"/>
        <v>#NAME?</v>
      </c>
      <c r="P38" s="38" t="e">
        <f ca="1">_xll.RiskBinomial(1,O38)</f>
        <v>#NAME?</v>
      </c>
      <c r="Q38" s="86" t="e">
        <f ca="1">IF(P38=1,_xll.RiskBinomial(1,Prob_illness_Noro_infection),0)</f>
        <v>#NAME?</v>
      </c>
      <c r="R38" s="33"/>
      <c r="S38" s="85" t="e">
        <f t="shared" ca="1" si="39"/>
        <v>#NAME?</v>
      </c>
      <c r="T38" s="40" t="e">
        <f ca="1">INT(S38) + _xll.RiskBinomial(1,S38-INT(S38))</f>
        <v>#NAME?</v>
      </c>
      <c r="U38" s="33" t="e">
        <f t="shared" ca="1" si="2"/>
        <v>#NAME?</v>
      </c>
      <c r="V38" s="38" t="e">
        <f ca="1">_xll.RiskBinomial(1,U38)</f>
        <v>#NAME?</v>
      </c>
      <c r="W38" s="86" t="e">
        <f ca="1">IF(V38=1,_xll.RiskBinomial(1,Prob_illness_Noro_infection),0)</f>
        <v>#NAME?</v>
      </c>
      <c r="X38" s="33"/>
      <c r="Y38" s="85" t="e">
        <f t="shared" ca="1" si="3"/>
        <v>#NAME?</v>
      </c>
      <c r="Z38" s="40" t="e">
        <f ca="1">INT(Y38) + _xll.RiskBinomial(1,Y38-INT(Y38))</f>
        <v>#NAME?</v>
      </c>
      <c r="AA38" s="33" t="e">
        <f t="shared" ca="1" si="4"/>
        <v>#NAME?</v>
      </c>
      <c r="AB38" s="38" t="e">
        <f ca="1">_xll.RiskBinomial(1,AA38)</f>
        <v>#NAME?</v>
      </c>
      <c r="AC38" s="86" t="e">
        <f ca="1">IF(AB38=1,_xll.RiskBinomial(1,Prob_illness_Noro_infection),0)</f>
        <v>#NAME?</v>
      </c>
      <c r="AD38" s="33"/>
      <c r="AE38" s="85" t="e">
        <f t="shared" ca="1" si="5"/>
        <v>#NAME?</v>
      </c>
      <c r="AF38" s="40" t="e">
        <f ca="1">INT(AE38) + _xll.RiskBinomial(1,AE38-INT(AE38))</f>
        <v>#NAME?</v>
      </c>
      <c r="AG38" s="33" t="e">
        <f t="shared" ca="1" si="6"/>
        <v>#NAME?</v>
      </c>
      <c r="AH38" s="38" t="e">
        <f ca="1">_xll.RiskBinomial(1,AG38)</f>
        <v>#NAME?</v>
      </c>
      <c r="AI38" s="86" t="e">
        <f ca="1">IF(AH38=1,_xll.RiskBinomial(1,Prob_illness_Noro_infection),0)</f>
        <v>#NAME?</v>
      </c>
      <c r="AJ38" s="33"/>
      <c r="AK38" s="85" t="e">
        <f t="shared" ca="1" si="7"/>
        <v>#NAME?</v>
      </c>
      <c r="AL38" s="40" t="e">
        <f ca="1">INT(AK38) + _xll.RiskBinomial(1,AK38-INT(AK38))</f>
        <v>#NAME?</v>
      </c>
      <c r="AM38" s="33" t="e">
        <f t="shared" ca="1" si="8"/>
        <v>#NAME?</v>
      </c>
      <c r="AN38" s="38" t="e">
        <f ca="1">_xll.RiskBinomial(1,AM38)</f>
        <v>#NAME?</v>
      </c>
      <c r="AO38" s="86" t="e">
        <f ca="1">IF(AN38=1,_xll.RiskBinomial(1,Prob_illness_Noro_infection),0)</f>
        <v>#NAME?</v>
      </c>
      <c r="AP38" s="33"/>
      <c r="AQ38" s="85" t="e">
        <f t="shared" ca="1" si="9"/>
        <v>#NAME?</v>
      </c>
      <c r="AR38" s="40" t="e">
        <f ca="1">INT(AQ38) + _xll.RiskBinomial(1,AQ38-INT(AQ38))</f>
        <v>#NAME?</v>
      </c>
      <c r="AS38" s="33" t="e">
        <f t="shared" ca="1" si="10"/>
        <v>#NAME?</v>
      </c>
      <c r="AT38" s="38" t="e">
        <f ca="1">_xll.RiskBinomial(1,AS38)</f>
        <v>#NAME?</v>
      </c>
      <c r="AU38" s="86" t="e">
        <f ca="1">IF(AT38=1,_xll.RiskBinomial(1,Prob_illness_Noro_infection),0)</f>
        <v>#NAME?</v>
      </c>
      <c r="AV38" s="33"/>
      <c r="AW38" s="85" t="e">
        <f t="shared" ca="1" si="40"/>
        <v>#NAME?</v>
      </c>
      <c r="AX38" s="40" t="e">
        <f ca="1">INT(AW38) + _xll.RiskBinomial(1,AW38-INT(AW38))</f>
        <v>#NAME?</v>
      </c>
      <c r="AY38" s="33" t="e">
        <f t="shared" ca="1" si="11"/>
        <v>#NAME?</v>
      </c>
      <c r="AZ38" s="38" t="e">
        <f ca="1">_xll.RiskBinomial(1,AY38)</f>
        <v>#NAME?</v>
      </c>
      <c r="BA38" s="86" t="e">
        <f ca="1">IF(AZ38=1,_xll.RiskBinomial(1,Prob_illness_Noro_infection),0)</f>
        <v>#NAME?</v>
      </c>
      <c r="BC38" s="85" t="e">
        <f t="shared" ca="1" si="41"/>
        <v>#NAME?</v>
      </c>
      <c r="BD38" s="40" t="e">
        <f ca="1">INT(BC38) + _xll.RiskBinomial(1,BC38-INT(BC38))</f>
        <v>#NAME?</v>
      </c>
      <c r="BE38" s="33" t="e">
        <f t="shared" ca="1" si="12"/>
        <v>#NAME?</v>
      </c>
      <c r="BF38" s="38" t="e">
        <f ca="1">_xll.RiskBinomial(1,BE38)</f>
        <v>#NAME?</v>
      </c>
      <c r="BG38" s="86" t="e">
        <f ca="1">IF(BF38=1,_xll.RiskBinomial(1,Prob_illness_Noro_infection),0)</f>
        <v>#NAME?</v>
      </c>
      <c r="BI38" s="85" t="e">
        <f t="shared" ca="1" si="42"/>
        <v>#NAME?</v>
      </c>
      <c r="BJ38" s="40" t="e">
        <f ca="1">INT(BI38) + _xll.RiskBinomial(1,BI38-INT(BI38))</f>
        <v>#NAME?</v>
      </c>
      <c r="BK38" s="33" t="e">
        <f t="shared" ca="1" si="13"/>
        <v>#NAME?</v>
      </c>
      <c r="BL38" s="38" t="e">
        <f ca="1">_xll.RiskBinomial(1,BK38)</f>
        <v>#NAME?</v>
      </c>
      <c r="BM38" s="86" t="e">
        <f ca="1">IF(BL38=1,_xll.RiskBinomial(1,Prob_illness_Noro_infection),0)</f>
        <v>#NAME?</v>
      </c>
      <c r="BO38" s="85" t="e">
        <f t="shared" ca="1" si="43"/>
        <v>#NAME?</v>
      </c>
      <c r="BP38" s="40" t="e">
        <f ca="1">INT(BO38) + _xll.RiskBinomial(1,BO38-INT(BO38))</f>
        <v>#NAME?</v>
      </c>
      <c r="BQ38" s="33" t="e">
        <f t="shared" ca="1" si="14"/>
        <v>#NAME?</v>
      </c>
      <c r="BR38" s="38" t="e">
        <f ca="1">_xll.RiskBinomial(1,BQ38)</f>
        <v>#NAME?</v>
      </c>
      <c r="BS38" s="86" t="e">
        <f ca="1">IF(BR38=1,_xll.RiskBinomial(1,Prob_illness_Noro_infection),0)</f>
        <v>#NAME?</v>
      </c>
      <c r="BU38" s="85" t="e">
        <f t="shared" ca="1" si="44"/>
        <v>#NAME?</v>
      </c>
      <c r="BV38" s="40" t="e">
        <f ca="1">INT(BU38) + _xll.RiskBinomial(1,BU38-INT(BU38))</f>
        <v>#NAME?</v>
      </c>
      <c r="BW38" s="33" t="e">
        <f t="shared" ca="1" si="15"/>
        <v>#NAME?</v>
      </c>
      <c r="BX38" s="38" t="e">
        <f ca="1">_xll.RiskBinomial(1,BW38)</f>
        <v>#NAME?</v>
      </c>
      <c r="BY38" s="86" t="e">
        <f ca="1">IF(BX38=1,_xll.RiskBinomial(1,Prob_illness_Noro_infection),0)</f>
        <v>#NAME?</v>
      </c>
      <c r="CA38" s="85" t="e">
        <f t="shared" ca="1" si="45"/>
        <v>#NAME?</v>
      </c>
      <c r="CB38" s="40" t="e">
        <f ca="1">INT(CA38) + _xll.RiskBinomial(1,CA38-INT(CA38))</f>
        <v>#NAME?</v>
      </c>
      <c r="CC38" s="33" t="e">
        <f t="shared" ca="1" si="16"/>
        <v>#NAME?</v>
      </c>
      <c r="CD38" s="38" t="e">
        <f ca="1">_xll.RiskBinomial(1,CC38)</f>
        <v>#NAME?</v>
      </c>
      <c r="CE38" s="86" t="e">
        <f ca="1">IF(CD38=1,_xll.RiskBinomial(1,Prob_illness_Noro_infection),0)</f>
        <v>#NAME?</v>
      </c>
      <c r="CG38" s="85" t="e">
        <f t="shared" ca="1" si="46"/>
        <v>#NAME?</v>
      </c>
      <c r="CH38" s="40" t="e">
        <f ca="1">INT(CG38) + _xll.RiskBinomial(1,CG38-INT(CG38))</f>
        <v>#NAME?</v>
      </c>
      <c r="CI38" s="33" t="e">
        <f t="shared" ca="1" si="17"/>
        <v>#NAME?</v>
      </c>
      <c r="CJ38" s="38" t="e">
        <f ca="1">_xll.RiskBinomial(1,CI38)</f>
        <v>#NAME?</v>
      </c>
      <c r="CK38" s="86" t="e">
        <f ca="1">IF(CJ38=1,_xll.RiskBinomial(1,Prob_illness_Noro_infection),0)</f>
        <v>#NAME?</v>
      </c>
      <c r="CM38" s="85" t="e">
        <f t="shared" ca="1" si="47"/>
        <v>#NAME?</v>
      </c>
      <c r="CN38" s="40" t="e">
        <f ca="1">INT(CM38) + _xll.RiskBinomial(1,CM38-INT(CM38))</f>
        <v>#NAME?</v>
      </c>
      <c r="CO38" s="33" t="e">
        <f t="shared" ca="1" si="18"/>
        <v>#NAME?</v>
      </c>
      <c r="CP38" s="38" t="e">
        <f ca="1">_xll.RiskBinomial(1,CO38)</f>
        <v>#NAME?</v>
      </c>
      <c r="CQ38" s="86" t="e">
        <f ca="1">IF(CP38=1,_xll.RiskBinomial(1,Prob_illness_Noro_infection),0)</f>
        <v>#NAME?</v>
      </c>
      <c r="CS38" s="85" t="e">
        <f t="shared" ca="1" si="48"/>
        <v>#NAME?</v>
      </c>
      <c r="CT38" s="40" t="e">
        <f ca="1">INT(CS38) + _xll.RiskBinomial(1,CS38-INT(CS38))</f>
        <v>#NAME?</v>
      </c>
      <c r="CU38" s="33" t="e">
        <f t="shared" ca="1" si="19"/>
        <v>#NAME?</v>
      </c>
      <c r="CV38" s="38" t="e">
        <f ca="1">_xll.RiskBinomial(1,CU38)</f>
        <v>#NAME?</v>
      </c>
      <c r="CW38" s="86" t="e">
        <f ca="1">IF(CV38=1,_xll.RiskBinomial(1,Prob_illness_Noro_infection),0)</f>
        <v>#NAME?</v>
      </c>
      <c r="CY38" s="85" t="e">
        <f t="shared" ca="1" si="49"/>
        <v>#NAME?</v>
      </c>
      <c r="CZ38" s="40" t="e">
        <f ca="1">INT(CY38) + _xll.RiskBinomial(1,CY38-INT(CY38))</f>
        <v>#NAME?</v>
      </c>
      <c r="DA38" s="33" t="e">
        <f t="shared" ca="1" si="20"/>
        <v>#NAME?</v>
      </c>
      <c r="DB38" s="38" t="e">
        <f ca="1">_xll.RiskBinomial(1,DA38)</f>
        <v>#NAME?</v>
      </c>
      <c r="DC38" s="86" t="e">
        <f ca="1">IF(DB38=1,_xll.RiskBinomial(1,Prob_illness_Noro_infection),0)</f>
        <v>#NAME?</v>
      </c>
      <c r="DE38" s="85" t="e">
        <f t="shared" ca="1" si="50"/>
        <v>#NAME?</v>
      </c>
      <c r="DF38" s="40" t="e">
        <f ca="1">INT(DE38) + _xll.RiskBinomial(1,DE38-INT(DE38))</f>
        <v>#NAME?</v>
      </c>
      <c r="DG38" s="33" t="e">
        <f t="shared" ca="1" si="21"/>
        <v>#NAME?</v>
      </c>
      <c r="DH38" s="38" t="e">
        <f ca="1">_xll.RiskBinomial(1,DG38)</f>
        <v>#NAME?</v>
      </c>
      <c r="DI38" s="86" t="e">
        <f ca="1">IF(DH38=1,_xll.RiskBinomial(1,Prob_illness_Noro_infection),0)</f>
        <v>#NAME?</v>
      </c>
      <c r="DK38" s="85" t="e">
        <f t="shared" ca="1" si="51"/>
        <v>#NAME?</v>
      </c>
      <c r="DL38" s="40" t="e">
        <f ca="1">INT(DK38) + _xll.RiskBinomial(1,DK38-INT(DK38))</f>
        <v>#NAME?</v>
      </c>
      <c r="DM38" s="33" t="e">
        <f t="shared" ca="1" si="22"/>
        <v>#NAME?</v>
      </c>
      <c r="DN38" s="38" t="e">
        <f ca="1">_xll.RiskBinomial(1,DM38)</f>
        <v>#NAME?</v>
      </c>
      <c r="DO38" s="86" t="e">
        <f ca="1">IF(DN38=1,_xll.RiskBinomial(1,Prob_illness_Noro_infection),0)</f>
        <v>#NAME?</v>
      </c>
      <c r="DQ38" s="85" t="e">
        <f t="shared" ca="1" si="52"/>
        <v>#NAME?</v>
      </c>
      <c r="DR38" s="40" t="e">
        <f ca="1">INT(DQ38) + _xll.RiskBinomial(1,DQ38-INT(DQ38))</f>
        <v>#NAME?</v>
      </c>
      <c r="DS38" s="33" t="e">
        <f t="shared" ca="1" si="23"/>
        <v>#NAME?</v>
      </c>
      <c r="DT38" s="38" t="e">
        <f ca="1">_xll.RiskBinomial(1,DS38)</f>
        <v>#NAME?</v>
      </c>
      <c r="DU38" s="86" t="e">
        <f ca="1">IF(DT38=1,_xll.RiskBinomial(1,Prob_illness_Noro_infection),0)</f>
        <v>#NAME?</v>
      </c>
      <c r="DW38" s="85" t="e">
        <f t="shared" ca="1" si="53"/>
        <v>#NAME?</v>
      </c>
      <c r="DX38" s="40" t="e">
        <f ca="1">INT(DW38) + _xll.RiskBinomial(1,DW38-INT(DW38))</f>
        <v>#NAME?</v>
      </c>
      <c r="DY38" s="33" t="e">
        <f t="shared" ca="1" si="24"/>
        <v>#NAME?</v>
      </c>
      <c r="DZ38" s="38" t="e">
        <f ca="1">_xll.RiskBinomial(1,DY38)</f>
        <v>#NAME?</v>
      </c>
      <c r="EA38" s="86" t="e">
        <f ca="1">IF(DZ38=1,_xll.RiskBinomial(1,Prob_illness_Noro_infection),0)</f>
        <v>#NAME?</v>
      </c>
      <c r="EC38" s="85" t="e">
        <f t="shared" ca="1" si="54"/>
        <v>#NAME?</v>
      </c>
      <c r="ED38" s="40" t="e">
        <f ca="1">INT(EC38) + _xll.RiskBinomial(1,EC38-INT(EC38))</f>
        <v>#NAME?</v>
      </c>
      <c r="EE38" s="33" t="e">
        <f t="shared" ca="1" si="25"/>
        <v>#NAME?</v>
      </c>
      <c r="EF38" s="38" t="e">
        <f ca="1">_xll.RiskBinomial(1,EE38)</f>
        <v>#NAME?</v>
      </c>
      <c r="EG38" s="86" t="e">
        <f ca="1">IF(EF38=1,_xll.RiskBinomial(1,Prob_illness_Noro_infection),0)</f>
        <v>#NAME?</v>
      </c>
      <c r="EI38" s="85" t="e">
        <f t="shared" ca="1" si="55"/>
        <v>#NAME?</v>
      </c>
      <c r="EJ38" s="40" t="e">
        <f ca="1">INT(EI38) + _xll.RiskBinomial(1,EI38-INT(EI38))</f>
        <v>#NAME?</v>
      </c>
      <c r="EK38" s="33" t="e">
        <f t="shared" ca="1" si="26"/>
        <v>#NAME?</v>
      </c>
      <c r="EL38" s="38" t="e">
        <f ca="1">_xll.RiskBinomial(1,EK38)</f>
        <v>#NAME?</v>
      </c>
      <c r="EM38" s="86" t="e">
        <f ca="1">IF(EL38=1,_xll.RiskBinomial(1,Prob_illness_Noro_infection),0)</f>
        <v>#NAME?</v>
      </c>
      <c r="EO38" s="85" t="e">
        <f t="shared" ca="1" si="56"/>
        <v>#NAME?</v>
      </c>
      <c r="EP38" s="40" t="e">
        <f ca="1">INT(EO38) + _xll.RiskBinomial(1,EO38-INT(EO38))</f>
        <v>#NAME?</v>
      </c>
      <c r="EQ38" s="33" t="e">
        <f t="shared" ca="1" si="27"/>
        <v>#NAME?</v>
      </c>
      <c r="ER38" s="38" t="e">
        <f ca="1">_xll.RiskBinomial(1,EQ38)</f>
        <v>#NAME?</v>
      </c>
      <c r="ES38" s="86" t="e">
        <f ca="1">IF(ER38=1,_xll.RiskBinomial(1,Prob_illness_Noro_infection),0)</f>
        <v>#NAME?</v>
      </c>
      <c r="EU38" s="85" t="e">
        <f t="shared" ca="1" si="57"/>
        <v>#NAME?</v>
      </c>
      <c r="EV38" s="40" t="e">
        <f ca="1">INT(EU38) + _xll.RiskBinomial(1,EU38-INT(EU38))</f>
        <v>#NAME?</v>
      </c>
      <c r="EW38" s="33" t="e">
        <f t="shared" ca="1" si="28"/>
        <v>#NAME?</v>
      </c>
      <c r="EX38" s="38" t="e">
        <f ca="1">_xll.RiskBinomial(1,EW38)</f>
        <v>#NAME?</v>
      </c>
      <c r="EY38" s="86" t="e">
        <f ca="1">IF(EX38=1,_xll.RiskBinomial(1,Prob_illness_Noro_infection),0)</f>
        <v>#NAME?</v>
      </c>
      <c r="FA38" s="85" t="e">
        <f t="shared" ca="1" si="58"/>
        <v>#NAME?</v>
      </c>
      <c r="FB38" s="40" t="e">
        <f ca="1">INT(FA38) + _xll.RiskBinomial(1,FA38-INT(FA38))</f>
        <v>#NAME?</v>
      </c>
      <c r="FC38" s="33" t="e">
        <f t="shared" ca="1" si="29"/>
        <v>#NAME?</v>
      </c>
      <c r="FD38" s="38" t="e">
        <f ca="1">_xll.RiskBinomial(1,FC38)</f>
        <v>#NAME?</v>
      </c>
      <c r="FE38" s="86" t="e">
        <f ca="1">IF(FD38=1,_xll.RiskBinomial(1,Prob_illness_Noro_infection),0)</f>
        <v>#NAME?</v>
      </c>
      <c r="FG38" s="85" t="e">
        <f t="shared" ca="1" si="59"/>
        <v>#NAME?</v>
      </c>
      <c r="FH38" s="40" t="e">
        <f ca="1">INT(FG38) + _xll.RiskBinomial(1,FG38-INT(FG38))</f>
        <v>#NAME?</v>
      </c>
      <c r="FI38" s="33" t="e">
        <f t="shared" ca="1" si="30"/>
        <v>#NAME?</v>
      </c>
      <c r="FJ38" s="38" t="e">
        <f ca="1">_xll.RiskBinomial(1,FI38)</f>
        <v>#NAME?</v>
      </c>
      <c r="FK38" s="86" t="e">
        <f ca="1">IF(FJ38=1,_xll.RiskBinomial(1,Prob_illness_Noro_infection),0)</f>
        <v>#NAME?</v>
      </c>
      <c r="FM38" s="85" t="e">
        <f t="shared" ca="1" si="60"/>
        <v>#NAME?</v>
      </c>
      <c r="FN38" s="40" t="e">
        <f ca="1">INT(FM38) + _xll.RiskBinomial(1,FM38-INT(FM38))</f>
        <v>#NAME?</v>
      </c>
      <c r="FO38" s="33" t="e">
        <f t="shared" ca="1" si="31"/>
        <v>#NAME?</v>
      </c>
      <c r="FP38" s="38" t="e">
        <f ca="1">_xll.RiskBinomial(1,FO38)</f>
        <v>#NAME?</v>
      </c>
      <c r="FQ38" s="86" t="e">
        <f ca="1">IF(FP38=1,_xll.RiskBinomial(1,Prob_illness_Noro_infection),0)</f>
        <v>#NAME?</v>
      </c>
      <c r="FS38" s="85" t="e">
        <f t="shared" ca="1" si="61"/>
        <v>#NAME?</v>
      </c>
      <c r="FT38" s="40" t="e">
        <f ca="1">INT(FS38) + _xll.RiskBinomial(1,FS38-INT(FS38))</f>
        <v>#NAME?</v>
      </c>
      <c r="FU38" s="33" t="e">
        <f t="shared" ca="1" si="32"/>
        <v>#NAME?</v>
      </c>
      <c r="FV38" s="38" t="e">
        <f ca="1">_xll.RiskBinomial(1,FU38)</f>
        <v>#NAME?</v>
      </c>
      <c r="FW38" s="86" t="e">
        <f ca="1">IF(FV38=1,_xll.RiskBinomial(1,Prob_illness_Noro_infection),0)</f>
        <v>#NAME?</v>
      </c>
      <c r="FY38" s="85" t="e">
        <f t="shared" ca="1" si="62"/>
        <v>#NAME?</v>
      </c>
      <c r="FZ38" s="40" t="e">
        <f ca="1">INT(FY38) + _xll.RiskBinomial(1,FY38-INT(FY38))</f>
        <v>#NAME?</v>
      </c>
      <c r="GA38" s="33" t="e">
        <f t="shared" ca="1" si="33"/>
        <v>#NAME?</v>
      </c>
      <c r="GB38" s="38" t="e">
        <f ca="1">_xll.RiskBinomial(1,GA38)</f>
        <v>#NAME?</v>
      </c>
      <c r="GC38" s="86" t="e">
        <f ca="1">IF(GB38=1,_xll.RiskBinomial(1,Prob_illness_Noro_infection),0)</f>
        <v>#NAME?</v>
      </c>
      <c r="GE38" s="85" t="e">
        <f t="shared" ca="1" si="63"/>
        <v>#NAME?</v>
      </c>
      <c r="GF38" s="40" t="e">
        <f ca="1">INT(GE38) + _xll.RiskBinomial(1,GE38-INT(GE38))</f>
        <v>#NAME?</v>
      </c>
      <c r="GG38" s="33" t="e">
        <f t="shared" ca="1" si="34"/>
        <v>#NAME?</v>
      </c>
      <c r="GH38" s="38" t="e">
        <f ca="1">_xll.RiskBinomial(1,GG38)</f>
        <v>#NAME?</v>
      </c>
      <c r="GI38" s="86" t="e">
        <f ca="1">IF(GH38=1,_xll.RiskBinomial(1,Prob_illness_Noro_infection),0)</f>
        <v>#NAME?</v>
      </c>
      <c r="GK38" s="85" t="e">
        <f t="shared" ca="1" si="64"/>
        <v>#NAME?</v>
      </c>
      <c r="GL38" s="40" t="e">
        <f ca="1">INT(GK38) + _xll.RiskBinomial(1,GK38-INT(GK38))</f>
        <v>#NAME?</v>
      </c>
      <c r="GM38" s="33" t="e">
        <f t="shared" ca="1" si="35"/>
        <v>#NAME?</v>
      </c>
      <c r="GN38" s="38" t="e">
        <f ca="1">_xll.RiskBinomial(1,GM38)</f>
        <v>#NAME?</v>
      </c>
      <c r="GO38" s="86" t="e">
        <f ca="1">IF(GN38=1,_xll.RiskBinomial(1,Prob_illness_Noro_infection),0)</f>
        <v>#NAME?</v>
      </c>
    </row>
    <row r="39" spans="2:197" x14ac:dyDescent="0.25">
      <c r="B39" s="106">
        <v>31</v>
      </c>
      <c r="C39" s="109" t="e">
        <f ca="1" xml:space="preserve"> _xll.RiskPert(Dur_Swim_hours_min,Dur_Swim_hours_mode,Dur_Swim_hours_max)</f>
        <v>#NAME?</v>
      </c>
      <c r="D39" s="33" t="e">
        <f ca="1">_xll.RiskLognorm(Primary_Ing_Rate_mL_per_hour_mean,Primary_Ing_Rate_mL_per_hour_sd, _xll.RiskTruncate(Primary_Ing_Rate_mL_per_hour_min,Primary_Ing_Rate_mL_per_hour_max))</f>
        <v>#NAME?</v>
      </c>
      <c r="E39" s="41" t="e">
        <f t="shared" ca="1" si="36"/>
        <v>#NAME?</v>
      </c>
      <c r="F39" s="33"/>
      <c r="G39" s="85" t="e">
        <f t="shared" ca="1" si="37"/>
        <v>#NAME?</v>
      </c>
      <c r="H39" s="40" t="e">
        <f ca="1">INT(G39) + _xll.RiskBinomial(1,G39-INT(G39))</f>
        <v>#NAME?</v>
      </c>
      <c r="I39" s="33" t="e">
        <f t="shared" ca="1" si="0"/>
        <v>#NAME?</v>
      </c>
      <c r="J39" s="38" t="e">
        <f ca="1">_xll.RiskBinomial(1,I39)</f>
        <v>#NAME?</v>
      </c>
      <c r="K39" s="86" t="e">
        <f ca="1">IF(J39=1,_xll.RiskBinomial(1,Prob_illness_Noro_infection),0)</f>
        <v>#NAME?</v>
      </c>
      <c r="L39" s="33"/>
      <c r="M39" s="85" t="e">
        <f t="shared" ca="1" si="38"/>
        <v>#NAME?</v>
      </c>
      <c r="N39" s="40" t="e">
        <f ca="1">INT(M39) + _xll.RiskBinomial(1,M39-INT(M39))</f>
        <v>#NAME?</v>
      </c>
      <c r="O39" s="33" t="e">
        <f t="shared" ca="1" si="1"/>
        <v>#NAME?</v>
      </c>
      <c r="P39" s="38" t="e">
        <f ca="1">_xll.RiskBinomial(1,O39)</f>
        <v>#NAME?</v>
      </c>
      <c r="Q39" s="86" t="e">
        <f ca="1">IF(P39=1,_xll.RiskBinomial(1,Prob_illness_Noro_infection),0)</f>
        <v>#NAME?</v>
      </c>
      <c r="R39" s="33"/>
      <c r="S39" s="85" t="e">
        <f t="shared" ca="1" si="39"/>
        <v>#NAME?</v>
      </c>
      <c r="T39" s="40" t="e">
        <f ca="1">INT(S39) + _xll.RiskBinomial(1,S39-INT(S39))</f>
        <v>#NAME?</v>
      </c>
      <c r="U39" s="33" t="e">
        <f t="shared" ca="1" si="2"/>
        <v>#NAME?</v>
      </c>
      <c r="V39" s="38" t="e">
        <f ca="1">_xll.RiskBinomial(1,U39)</f>
        <v>#NAME?</v>
      </c>
      <c r="W39" s="86" t="e">
        <f ca="1">IF(V39=1,_xll.RiskBinomial(1,Prob_illness_Noro_infection),0)</f>
        <v>#NAME?</v>
      </c>
      <c r="X39" s="33"/>
      <c r="Y39" s="85" t="e">
        <f t="shared" ca="1" si="3"/>
        <v>#NAME?</v>
      </c>
      <c r="Z39" s="40" t="e">
        <f ca="1">INT(Y39) + _xll.RiskBinomial(1,Y39-INT(Y39))</f>
        <v>#NAME?</v>
      </c>
      <c r="AA39" s="33" t="e">
        <f t="shared" ca="1" si="4"/>
        <v>#NAME?</v>
      </c>
      <c r="AB39" s="38" t="e">
        <f ca="1">_xll.RiskBinomial(1,AA39)</f>
        <v>#NAME?</v>
      </c>
      <c r="AC39" s="86" t="e">
        <f ca="1">IF(AB39=1,_xll.RiskBinomial(1,Prob_illness_Noro_infection),0)</f>
        <v>#NAME?</v>
      </c>
      <c r="AD39" s="33"/>
      <c r="AE39" s="85" t="e">
        <f t="shared" ca="1" si="5"/>
        <v>#NAME?</v>
      </c>
      <c r="AF39" s="40" t="e">
        <f ca="1">INT(AE39) + _xll.RiskBinomial(1,AE39-INT(AE39))</f>
        <v>#NAME?</v>
      </c>
      <c r="AG39" s="33" t="e">
        <f t="shared" ca="1" si="6"/>
        <v>#NAME?</v>
      </c>
      <c r="AH39" s="38" t="e">
        <f ca="1">_xll.RiskBinomial(1,AG39)</f>
        <v>#NAME?</v>
      </c>
      <c r="AI39" s="86" t="e">
        <f ca="1">IF(AH39=1,_xll.RiskBinomial(1,Prob_illness_Noro_infection),0)</f>
        <v>#NAME?</v>
      </c>
      <c r="AJ39" s="33"/>
      <c r="AK39" s="85" t="e">
        <f t="shared" ca="1" si="7"/>
        <v>#NAME?</v>
      </c>
      <c r="AL39" s="40" t="e">
        <f ca="1">INT(AK39) + _xll.RiskBinomial(1,AK39-INT(AK39))</f>
        <v>#NAME?</v>
      </c>
      <c r="AM39" s="33" t="e">
        <f t="shared" ca="1" si="8"/>
        <v>#NAME?</v>
      </c>
      <c r="AN39" s="38" t="e">
        <f ca="1">_xll.RiskBinomial(1,AM39)</f>
        <v>#NAME?</v>
      </c>
      <c r="AO39" s="86" t="e">
        <f ca="1">IF(AN39=1,_xll.RiskBinomial(1,Prob_illness_Noro_infection),0)</f>
        <v>#NAME?</v>
      </c>
      <c r="AP39" s="33"/>
      <c r="AQ39" s="85" t="e">
        <f t="shared" ca="1" si="9"/>
        <v>#NAME?</v>
      </c>
      <c r="AR39" s="40" t="e">
        <f ca="1">INT(AQ39) + _xll.RiskBinomial(1,AQ39-INT(AQ39))</f>
        <v>#NAME?</v>
      </c>
      <c r="AS39" s="33" t="e">
        <f t="shared" ca="1" si="10"/>
        <v>#NAME?</v>
      </c>
      <c r="AT39" s="38" t="e">
        <f ca="1">_xll.RiskBinomial(1,AS39)</f>
        <v>#NAME?</v>
      </c>
      <c r="AU39" s="86" t="e">
        <f ca="1">IF(AT39=1,_xll.RiskBinomial(1,Prob_illness_Noro_infection),0)</f>
        <v>#NAME?</v>
      </c>
      <c r="AV39" s="33"/>
      <c r="AW39" s="85" t="e">
        <f t="shared" ca="1" si="40"/>
        <v>#NAME?</v>
      </c>
      <c r="AX39" s="40" t="e">
        <f ca="1">INT(AW39) + _xll.RiskBinomial(1,AW39-INT(AW39))</f>
        <v>#NAME?</v>
      </c>
      <c r="AY39" s="33" t="e">
        <f t="shared" ca="1" si="11"/>
        <v>#NAME?</v>
      </c>
      <c r="AZ39" s="38" t="e">
        <f ca="1">_xll.RiskBinomial(1,AY39)</f>
        <v>#NAME?</v>
      </c>
      <c r="BA39" s="86" t="e">
        <f ca="1">IF(AZ39=1,_xll.RiskBinomial(1,Prob_illness_Noro_infection),0)</f>
        <v>#NAME?</v>
      </c>
      <c r="BC39" s="85" t="e">
        <f t="shared" ca="1" si="41"/>
        <v>#NAME?</v>
      </c>
      <c r="BD39" s="40" t="e">
        <f ca="1">INT(BC39) + _xll.RiskBinomial(1,BC39-INT(BC39))</f>
        <v>#NAME?</v>
      </c>
      <c r="BE39" s="33" t="e">
        <f t="shared" ca="1" si="12"/>
        <v>#NAME?</v>
      </c>
      <c r="BF39" s="38" t="e">
        <f ca="1">_xll.RiskBinomial(1,BE39)</f>
        <v>#NAME?</v>
      </c>
      <c r="BG39" s="86" t="e">
        <f ca="1">IF(BF39=1,_xll.RiskBinomial(1,Prob_illness_Noro_infection),0)</f>
        <v>#NAME?</v>
      </c>
      <c r="BI39" s="85" t="e">
        <f t="shared" ca="1" si="42"/>
        <v>#NAME?</v>
      </c>
      <c r="BJ39" s="40" t="e">
        <f ca="1">INT(BI39) + _xll.RiskBinomial(1,BI39-INT(BI39))</f>
        <v>#NAME?</v>
      </c>
      <c r="BK39" s="33" t="e">
        <f t="shared" ca="1" si="13"/>
        <v>#NAME?</v>
      </c>
      <c r="BL39" s="38" t="e">
        <f ca="1">_xll.RiskBinomial(1,BK39)</f>
        <v>#NAME?</v>
      </c>
      <c r="BM39" s="86" t="e">
        <f ca="1">IF(BL39=1,_xll.RiskBinomial(1,Prob_illness_Noro_infection),0)</f>
        <v>#NAME?</v>
      </c>
      <c r="BO39" s="85" t="e">
        <f t="shared" ca="1" si="43"/>
        <v>#NAME?</v>
      </c>
      <c r="BP39" s="40" t="e">
        <f ca="1">INT(BO39) + _xll.RiskBinomial(1,BO39-INT(BO39))</f>
        <v>#NAME?</v>
      </c>
      <c r="BQ39" s="33" t="e">
        <f t="shared" ca="1" si="14"/>
        <v>#NAME?</v>
      </c>
      <c r="BR39" s="38" t="e">
        <f ca="1">_xll.RiskBinomial(1,BQ39)</f>
        <v>#NAME?</v>
      </c>
      <c r="BS39" s="86" t="e">
        <f ca="1">IF(BR39=1,_xll.RiskBinomial(1,Prob_illness_Noro_infection),0)</f>
        <v>#NAME?</v>
      </c>
      <c r="BU39" s="85" t="e">
        <f t="shared" ca="1" si="44"/>
        <v>#NAME?</v>
      </c>
      <c r="BV39" s="40" t="e">
        <f ca="1">INT(BU39) + _xll.RiskBinomial(1,BU39-INT(BU39))</f>
        <v>#NAME?</v>
      </c>
      <c r="BW39" s="33" t="e">
        <f t="shared" ca="1" si="15"/>
        <v>#NAME?</v>
      </c>
      <c r="BX39" s="38" t="e">
        <f ca="1">_xll.RiskBinomial(1,BW39)</f>
        <v>#NAME?</v>
      </c>
      <c r="BY39" s="86" t="e">
        <f ca="1">IF(BX39=1,_xll.RiskBinomial(1,Prob_illness_Noro_infection),0)</f>
        <v>#NAME?</v>
      </c>
      <c r="CA39" s="85" t="e">
        <f t="shared" ca="1" si="45"/>
        <v>#NAME?</v>
      </c>
      <c r="CB39" s="40" t="e">
        <f ca="1">INT(CA39) + _xll.RiskBinomial(1,CA39-INT(CA39))</f>
        <v>#NAME?</v>
      </c>
      <c r="CC39" s="33" t="e">
        <f t="shared" ca="1" si="16"/>
        <v>#NAME?</v>
      </c>
      <c r="CD39" s="38" t="e">
        <f ca="1">_xll.RiskBinomial(1,CC39)</f>
        <v>#NAME?</v>
      </c>
      <c r="CE39" s="86" t="e">
        <f ca="1">IF(CD39=1,_xll.RiskBinomial(1,Prob_illness_Noro_infection),0)</f>
        <v>#NAME?</v>
      </c>
      <c r="CG39" s="85" t="e">
        <f t="shared" ca="1" si="46"/>
        <v>#NAME?</v>
      </c>
      <c r="CH39" s="40" t="e">
        <f ca="1">INT(CG39) + _xll.RiskBinomial(1,CG39-INT(CG39))</f>
        <v>#NAME?</v>
      </c>
      <c r="CI39" s="33" t="e">
        <f t="shared" ca="1" si="17"/>
        <v>#NAME?</v>
      </c>
      <c r="CJ39" s="38" t="e">
        <f ca="1">_xll.RiskBinomial(1,CI39)</f>
        <v>#NAME?</v>
      </c>
      <c r="CK39" s="86" t="e">
        <f ca="1">IF(CJ39=1,_xll.RiskBinomial(1,Prob_illness_Noro_infection),0)</f>
        <v>#NAME?</v>
      </c>
      <c r="CM39" s="85" t="e">
        <f t="shared" ca="1" si="47"/>
        <v>#NAME?</v>
      </c>
      <c r="CN39" s="40" t="e">
        <f ca="1">INT(CM39) + _xll.RiskBinomial(1,CM39-INT(CM39))</f>
        <v>#NAME?</v>
      </c>
      <c r="CO39" s="33" t="e">
        <f t="shared" ca="1" si="18"/>
        <v>#NAME?</v>
      </c>
      <c r="CP39" s="38" t="e">
        <f ca="1">_xll.RiskBinomial(1,CO39)</f>
        <v>#NAME?</v>
      </c>
      <c r="CQ39" s="86" t="e">
        <f ca="1">IF(CP39=1,_xll.RiskBinomial(1,Prob_illness_Noro_infection),0)</f>
        <v>#NAME?</v>
      </c>
      <c r="CS39" s="85" t="e">
        <f t="shared" ca="1" si="48"/>
        <v>#NAME?</v>
      </c>
      <c r="CT39" s="40" t="e">
        <f ca="1">INT(CS39) + _xll.RiskBinomial(1,CS39-INT(CS39))</f>
        <v>#NAME?</v>
      </c>
      <c r="CU39" s="33" t="e">
        <f t="shared" ca="1" si="19"/>
        <v>#NAME?</v>
      </c>
      <c r="CV39" s="38" t="e">
        <f ca="1">_xll.RiskBinomial(1,CU39)</f>
        <v>#NAME?</v>
      </c>
      <c r="CW39" s="86" t="e">
        <f ca="1">IF(CV39=1,_xll.RiskBinomial(1,Prob_illness_Noro_infection),0)</f>
        <v>#NAME?</v>
      </c>
      <c r="CY39" s="85" t="e">
        <f t="shared" ca="1" si="49"/>
        <v>#NAME?</v>
      </c>
      <c r="CZ39" s="40" t="e">
        <f ca="1">INT(CY39) + _xll.RiskBinomial(1,CY39-INT(CY39))</f>
        <v>#NAME?</v>
      </c>
      <c r="DA39" s="33" t="e">
        <f t="shared" ca="1" si="20"/>
        <v>#NAME?</v>
      </c>
      <c r="DB39" s="38" t="e">
        <f ca="1">_xll.RiskBinomial(1,DA39)</f>
        <v>#NAME?</v>
      </c>
      <c r="DC39" s="86" t="e">
        <f ca="1">IF(DB39=1,_xll.RiskBinomial(1,Prob_illness_Noro_infection),0)</f>
        <v>#NAME?</v>
      </c>
      <c r="DE39" s="85" t="e">
        <f t="shared" ca="1" si="50"/>
        <v>#NAME?</v>
      </c>
      <c r="DF39" s="40" t="e">
        <f ca="1">INT(DE39) + _xll.RiskBinomial(1,DE39-INT(DE39))</f>
        <v>#NAME?</v>
      </c>
      <c r="DG39" s="33" t="e">
        <f t="shared" ca="1" si="21"/>
        <v>#NAME?</v>
      </c>
      <c r="DH39" s="38" t="e">
        <f ca="1">_xll.RiskBinomial(1,DG39)</f>
        <v>#NAME?</v>
      </c>
      <c r="DI39" s="86" t="e">
        <f ca="1">IF(DH39=1,_xll.RiskBinomial(1,Prob_illness_Noro_infection),0)</f>
        <v>#NAME?</v>
      </c>
      <c r="DK39" s="85" t="e">
        <f t="shared" ca="1" si="51"/>
        <v>#NAME?</v>
      </c>
      <c r="DL39" s="40" t="e">
        <f ca="1">INT(DK39) + _xll.RiskBinomial(1,DK39-INT(DK39))</f>
        <v>#NAME?</v>
      </c>
      <c r="DM39" s="33" t="e">
        <f t="shared" ca="1" si="22"/>
        <v>#NAME?</v>
      </c>
      <c r="DN39" s="38" t="e">
        <f ca="1">_xll.RiskBinomial(1,DM39)</f>
        <v>#NAME?</v>
      </c>
      <c r="DO39" s="86" t="e">
        <f ca="1">IF(DN39=1,_xll.RiskBinomial(1,Prob_illness_Noro_infection),0)</f>
        <v>#NAME?</v>
      </c>
      <c r="DQ39" s="85" t="e">
        <f t="shared" ca="1" si="52"/>
        <v>#NAME?</v>
      </c>
      <c r="DR39" s="40" t="e">
        <f ca="1">INT(DQ39) + _xll.RiskBinomial(1,DQ39-INT(DQ39))</f>
        <v>#NAME?</v>
      </c>
      <c r="DS39" s="33" t="e">
        <f t="shared" ca="1" si="23"/>
        <v>#NAME?</v>
      </c>
      <c r="DT39" s="38" t="e">
        <f ca="1">_xll.RiskBinomial(1,DS39)</f>
        <v>#NAME?</v>
      </c>
      <c r="DU39" s="86" t="e">
        <f ca="1">IF(DT39=1,_xll.RiskBinomial(1,Prob_illness_Noro_infection),0)</f>
        <v>#NAME?</v>
      </c>
      <c r="DW39" s="85" t="e">
        <f t="shared" ca="1" si="53"/>
        <v>#NAME?</v>
      </c>
      <c r="DX39" s="40" t="e">
        <f ca="1">INT(DW39) + _xll.RiskBinomial(1,DW39-INT(DW39))</f>
        <v>#NAME?</v>
      </c>
      <c r="DY39" s="33" t="e">
        <f t="shared" ca="1" si="24"/>
        <v>#NAME?</v>
      </c>
      <c r="DZ39" s="38" t="e">
        <f ca="1">_xll.RiskBinomial(1,DY39)</f>
        <v>#NAME?</v>
      </c>
      <c r="EA39" s="86" t="e">
        <f ca="1">IF(DZ39=1,_xll.RiskBinomial(1,Prob_illness_Noro_infection),0)</f>
        <v>#NAME?</v>
      </c>
      <c r="EC39" s="85" t="e">
        <f t="shared" ca="1" si="54"/>
        <v>#NAME?</v>
      </c>
      <c r="ED39" s="40" t="e">
        <f ca="1">INT(EC39) + _xll.RiskBinomial(1,EC39-INT(EC39))</f>
        <v>#NAME?</v>
      </c>
      <c r="EE39" s="33" t="e">
        <f t="shared" ca="1" si="25"/>
        <v>#NAME?</v>
      </c>
      <c r="EF39" s="38" t="e">
        <f ca="1">_xll.RiskBinomial(1,EE39)</f>
        <v>#NAME?</v>
      </c>
      <c r="EG39" s="86" t="e">
        <f ca="1">IF(EF39=1,_xll.RiskBinomial(1,Prob_illness_Noro_infection),0)</f>
        <v>#NAME?</v>
      </c>
      <c r="EI39" s="85" t="e">
        <f t="shared" ca="1" si="55"/>
        <v>#NAME?</v>
      </c>
      <c r="EJ39" s="40" t="e">
        <f ca="1">INT(EI39) + _xll.RiskBinomial(1,EI39-INT(EI39))</f>
        <v>#NAME?</v>
      </c>
      <c r="EK39" s="33" t="e">
        <f t="shared" ca="1" si="26"/>
        <v>#NAME?</v>
      </c>
      <c r="EL39" s="38" t="e">
        <f ca="1">_xll.RiskBinomial(1,EK39)</f>
        <v>#NAME?</v>
      </c>
      <c r="EM39" s="86" t="e">
        <f ca="1">IF(EL39=1,_xll.RiskBinomial(1,Prob_illness_Noro_infection),0)</f>
        <v>#NAME?</v>
      </c>
      <c r="EO39" s="85" t="e">
        <f t="shared" ca="1" si="56"/>
        <v>#NAME?</v>
      </c>
      <c r="EP39" s="40" t="e">
        <f ca="1">INT(EO39) + _xll.RiskBinomial(1,EO39-INT(EO39))</f>
        <v>#NAME?</v>
      </c>
      <c r="EQ39" s="33" t="e">
        <f t="shared" ca="1" si="27"/>
        <v>#NAME?</v>
      </c>
      <c r="ER39" s="38" t="e">
        <f ca="1">_xll.RiskBinomial(1,EQ39)</f>
        <v>#NAME?</v>
      </c>
      <c r="ES39" s="86" t="e">
        <f ca="1">IF(ER39=1,_xll.RiskBinomial(1,Prob_illness_Noro_infection),0)</f>
        <v>#NAME?</v>
      </c>
      <c r="EU39" s="85" t="e">
        <f t="shared" ca="1" si="57"/>
        <v>#NAME?</v>
      </c>
      <c r="EV39" s="40" t="e">
        <f ca="1">INT(EU39) + _xll.RiskBinomial(1,EU39-INT(EU39))</f>
        <v>#NAME?</v>
      </c>
      <c r="EW39" s="33" t="e">
        <f t="shared" ca="1" si="28"/>
        <v>#NAME?</v>
      </c>
      <c r="EX39" s="38" t="e">
        <f ca="1">_xll.RiskBinomial(1,EW39)</f>
        <v>#NAME?</v>
      </c>
      <c r="EY39" s="86" t="e">
        <f ca="1">IF(EX39=1,_xll.RiskBinomial(1,Prob_illness_Noro_infection),0)</f>
        <v>#NAME?</v>
      </c>
      <c r="FA39" s="85" t="e">
        <f t="shared" ca="1" si="58"/>
        <v>#NAME?</v>
      </c>
      <c r="FB39" s="40" t="e">
        <f ca="1">INT(FA39) + _xll.RiskBinomial(1,FA39-INT(FA39))</f>
        <v>#NAME?</v>
      </c>
      <c r="FC39" s="33" t="e">
        <f t="shared" ca="1" si="29"/>
        <v>#NAME?</v>
      </c>
      <c r="FD39" s="38" t="e">
        <f ca="1">_xll.RiskBinomial(1,FC39)</f>
        <v>#NAME?</v>
      </c>
      <c r="FE39" s="86" t="e">
        <f ca="1">IF(FD39=1,_xll.RiskBinomial(1,Prob_illness_Noro_infection),0)</f>
        <v>#NAME?</v>
      </c>
      <c r="FG39" s="85" t="e">
        <f t="shared" ca="1" si="59"/>
        <v>#NAME?</v>
      </c>
      <c r="FH39" s="40" t="e">
        <f ca="1">INT(FG39) + _xll.RiskBinomial(1,FG39-INT(FG39))</f>
        <v>#NAME?</v>
      </c>
      <c r="FI39" s="33" t="e">
        <f t="shared" ca="1" si="30"/>
        <v>#NAME?</v>
      </c>
      <c r="FJ39" s="38" t="e">
        <f ca="1">_xll.RiskBinomial(1,FI39)</f>
        <v>#NAME?</v>
      </c>
      <c r="FK39" s="86" t="e">
        <f ca="1">IF(FJ39=1,_xll.RiskBinomial(1,Prob_illness_Noro_infection),0)</f>
        <v>#NAME?</v>
      </c>
      <c r="FM39" s="85" t="e">
        <f t="shared" ca="1" si="60"/>
        <v>#NAME?</v>
      </c>
      <c r="FN39" s="40" t="e">
        <f ca="1">INT(FM39) + _xll.RiskBinomial(1,FM39-INT(FM39))</f>
        <v>#NAME?</v>
      </c>
      <c r="FO39" s="33" t="e">
        <f t="shared" ca="1" si="31"/>
        <v>#NAME?</v>
      </c>
      <c r="FP39" s="38" t="e">
        <f ca="1">_xll.RiskBinomial(1,FO39)</f>
        <v>#NAME?</v>
      </c>
      <c r="FQ39" s="86" t="e">
        <f ca="1">IF(FP39=1,_xll.RiskBinomial(1,Prob_illness_Noro_infection),0)</f>
        <v>#NAME?</v>
      </c>
      <c r="FS39" s="85" t="e">
        <f t="shared" ca="1" si="61"/>
        <v>#NAME?</v>
      </c>
      <c r="FT39" s="40" t="e">
        <f ca="1">INT(FS39) + _xll.RiskBinomial(1,FS39-INT(FS39))</f>
        <v>#NAME?</v>
      </c>
      <c r="FU39" s="33" t="e">
        <f t="shared" ca="1" si="32"/>
        <v>#NAME?</v>
      </c>
      <c r="FV39" s="38" t="e">
        <f ca="1">_xll.RiskBinomial(1,FU39)</f>
        <v>#NAME?</v>
      </c>
      <c r="FW39" s="86" t="e">
        <f ca="1">IF(FV39=1,_xll.RiskBinomial(1,Prob_illness_Noro_infection),0)</f>
        <v>#NAME?</v>
      </c>
      <c r="FY39" s="85" t="e">
        <f t="shared" ca="1" si="62"/>
        <v>#NAME?</v>
      </c>
      <c r="FZ39" s="40" t="e">
        <f ca="1">INT(FY39) + _xll.RiskBinomial(1,FY39-INT(FY39))</f>
        <v>#NAME?</v>
      </c>
      <c r="GA39" s="33" t="e">
        <f t="shared" ca="1" si="33"/>
        <v>#NAME?</v>
      </c>
      <c r="GB39" s="38" t="e">
        <f ca="1">_xll.RiskBinomial(1,GA39)</f>
        <v>#NAME?</v>
      </c>
      <c r="GC39" s="86" t="e">
        <f ca="1">IF(GB39=1,_xll.RiskBinomial(1,Prob_illness_Noro_infection),0)</f>
        <v>#NAME?</v>
      </c>
      <c r="GE39" s="85" t="e">
        <f t="shared" ca="1" si="63"/>
        <v>#NAME?</v>
      </c>
      <c r="GF39" s="40" t="e">
        <f ca="1">INT(GE39) + _xll.RiskBinomial(1,GE39-INT(GE39))</f>
        <v>#NAME?</v>
      </c>
      <c r="GG39" s="33" t="e">
        <f t="shared" ca="1" si="34"/>
        <v>#NAME?</v>
      </c>
      <c r="GH39" s="38" t="e">
        <f ca="1">_xll.RiskBinomial(1,GG39)</f>
        <v>#NAME?</v>
      </c>
      <c r="GI39" s="86" t="e">
        <f ca="1">IF(GH39=1,_xll.RiskBinomial(1,Prob_illness_Noro_infection),0)</f>
        <v>#NAME?</v>
      </c>
      <c r="GK39" s="85" t="e">
        <f t="shared" ca="1" si="64"/>
        <v>#NAME?</v>
      </c>
      <c r="GL39" s="40" t="e">
        <f ca="1">INT(GK39) + _xll.RiskBinomial(1,GK39-INT(GK39))</f>
        <v>#NAME?</v>
      </c>
      <c r="GM39" s="33" t="e">
        <f t="shared" ca="1" si="35"/>
        <v>#NAME?</v>
      </c>
      <c r="GN39" s="38" t="e">
        <f ca="1">_xll.RiskBinomial(1,GM39)</f>
        <v>#NAME?</v>
      </c>
      <c r="GO39" s="86" t="e">
        <f ca="1">IF(GN39=1,_xll.RiskBinomial(1,Prob_illness_Noro_infection),0)</f>
        <v>#NAME?</v>
      </c>
    </row>
    <row r="40" spans="2:197" x14ac:dyDescent="0.25">
      <c r="B40" s="106">
        <v>32</v>
      </c>
      <c r="C40" s="109" t="e">
        <f ca="1" xml:space="preserve"> _xll.RiskPert(Dur_Swim_hours_min,Dur_Swim_hours_mode,Dur_Swim_hours_max)</f>
        <v>#NAME?</v>
      </c>
      <c r="D40" s="33" t="e">
        <f ca="1">_xll.RiskLognorm(Primary_Ing_Rate_mL_per_hour_mean,Primary_Ing_Rate_mL_per_hour_sd, _xll.RiskTruncate(Primary_Ing_Rate_mL_per_hour_min,Primary_Ing_Rate_mL_per_hour_max))</f>
        <v>#NAME?</v>
      </c>
      <c r="E40" s="41" t="e">
        <f t="shared" ca="1" si="36"/>
        <v>#NAME?</v>
      </c>
      <c r="F40" s="33"/>
      <c r="G40" s="85" t="e">
        <f t="shared" ca="1" si="37"/>
        <v>#NAME?</v>
      </c>
      <c r="H40" s="40" t="e">
        <f ca="1">INT(G40) + _xll.RiskBinomial(1,G40-INT(G40))</f>
        <v>#NAME?</v>
      </c>
      <c r="I40" s="33" t="e">
        <f t="shared" ca="1" si="0"/>
        <v>#NAME?</v>
      </c>
      <c r="J40" s="38" t="e">
        <f ca="1">_xll.RiskBinomial(1,I40)</f>
        <v>#NAME?</v>
      </c>
      <c r="K40" s="86" t="e">
        <f ca="1">IF(J40=1,_xll.RiskBinomial(1,Prob_illness_Noro_infection),0)</f>
        <v>#NAME?</v>
      </c>
      <c r="L40" s="33"/>
      <c r="M40" s="85" t="e">
        <f t="shared" ca="1" si="38"/>
        <v>#NAME?</v>
      </c>
      <c r="N40" s="40" t="e">
        <f ca="1">INT(M40) + _xll.RiskBinomial(1,M40-INT(M40))</f>
        <v>#NAME?</v>
      </c>
      <c r="O40" s="33" t="e">
        <f t="shared" ca="1" si="1"/>
        <v>#NAME?</v>
      </c>
      <c r="P40" s="38" t="e">
        <f ca="1">_xll.RiskBinomial(1,O40)</f>
        <v>#NAME?</v>
      </c>
      <c r="Q40" s="86" t="e">
        <f ca="1">IF(P40=1,_xll.RiskBinomial(1,Prob_illness_Noro_infection),0)</f>
        <v>#NAME?</v>
      </c>
      <c r="R40" s="33"/>
      <c r="S40" s="85" t="e">
        <f t="shared" ca="1" si="39"/>
        <v>#NAME?</v>
      </c>
      <c r="T40" s="40" t="e">
        <f ca="1">INT(S40) + _xll.RiskBinomial(1,S40-INT(S40))</f>
        <v>#NAME?</v>
      </c>
      <c r="U40" s="33" t="e">
        <f t="shared" ca="1" si="2"/>
        <v>#NAME?</v>
      </c>
      <c r="V40" s="38" t="e">
        <f ca="1">_xll.RiskBinomial(1,U40)</f>
        <v>#NAME?</v>
      </c>
      <c r="W40" s="86" t="e">
        <f ca="1">IF(V40=1,_xll.RiskBinomial(1,Prob_illness_Noro_infection),0)</f>
        <v>#NAME?</v>
      </c>
      <c r="X40" s="33"/>
      <c r="Y40" s="85" t="e">
        <f t="shared" ca="1" si="3"/>
        <v>#NAME?</v>
      </c>
      <c r="Z40" s="40" t="e">
        <f ca="1">INT(Y40) + _xll.RiskBinomial(1,Y40-INT(Y40))</f>
        <v>#NAME?</v>
      </c>
      <c r="AA40" s="33" t="e">
        <f t="shared" ca="1" si="4"/>
        <v>#NAME?</v>
      </c>
      <c r="AB40" s="38" t="e">
        <f ca="1">_xll.RiskBinomial(1,AA40)</f>
        <v>#NAME?</v>
      </c>
      <c r="AC40" s="86" t="e">
        <f ca="1">IF(AB40=1,_xll.RiskBinomial(1,Prob_illness_Noro_infection),0)</f>
        <v>#NAME?</v>
      </c>
      <c r="AD40" s="33"/>
      <c r="AE40" s="85" t="e">
        <f t="shared" ca="1" si="5"/>
        <v>#NAME?</v>
      </c>
      <c r="AF40" s="40" t="e">
        <f ca="1">INT(AE40) + _xll.RiskBinomial(1,AE40-INT(AE40))</f>
        <v>#NAME?</v>
      </c>
      <c r="AG40" s="33" t="e">
        <f t="shared" ca="1" si="6"/>
        <v>#NAME?</v>
      </c>
      <c r="AH40" s="38" t="e">
        <f ca="1">_xll.RiskBinomial(1,AG40)</f>
        <v>#NAME?</v>
      </c>
      <c r="AI40" s="86" t="e">
        <f ca="1">IF(AH40=1,_xll.RiskBinomial(1,Prob_illness_Noro_infection),0)</f>
        <v>#NAME?</v>
      </c>
      <c r="AJ40" s="33"/>
      <c r="AK40" s="85" t="e">
        <f t="shared" ca="1" si="7"/>
        <v>#NAME?</v>
      </c>
      <c r="AL40" s="40" t="e">
        <f ca="1">INT(AK40) + _xll.RiskBinomial(1,AK40-INT(AK40))</f>
        <v>#NAME?</v>
      </c>
      <c r="AM40" s="33" t="e">
        <f t="shared" ca="1" si="8"/>
        <v>#NAME?</v>
      </c>
      <c r="AN40" s="38" t="e">
        <f ca="1">_xll.RiskBinomial(1,AM40)</f>
        <v>#NAME?</v>
      </c>
      <c r="AO40" s="86" t="e">
        <f ca="1">IF(AN40=1,_xll.RiskBinomial(1,Prob_illness_Noro_infection),0)</f>
        <v>#NAME?</v>
      </c>
      <c r="AP40" s="33"/>
      <c r="AQ40" s="85" t="e">
        <f t="shared" ca="1" si="9"/>
        <v>#NAME?</v>
      </c>
      <c r="AR40" s="40" t="e">
        <f ca="1">INT(AQ40) + _xll.RiskBinomial(1,AQ40-INT(AQ40))</f>
        <v>#NAME?</v>
      </c>
      <c r="AS40" s="33" t="e">
        <f t="shared" ca="1" si="10"/>
        <v>#NAME?</v>
      </c>
      <c r="AT40" s="38" t="e">
        <f ca="1">_xll.RiskBinomial(1,AS40)</f>
        <v>#NAME?</v>
      </c>
      <c r="AU40" s="86" t="e">
        <f ca="1">IF(AT40=1,_xll.RiskBinomial(1,Prob_illness_Noro_infection),0)</f>
        <v>#NAME?</v>
      </c>
      <c r="AV40" s="33"/>
      <c r="AW40" s="85" t="e">
        <f t="shared" ca="1" si="40"/>
        <v>#NAME?</v>
      </c>
      <c r="AX40" s="40" t="e">
        <f ca="1">INT(AW40) + _xll.RiskBinomial(1,AW40-INT(AW40))</f>
        <v>#NAME?</v>
      </c>
      <c r="AY40" s="33" t="e">
        <f t="shared" ca="1" si="11"/>
        <v>#NAME?</v>
      </c>
      <c r="AZ40" s="38" t="e">
        <f ca="1">_xll.RiskBinomial(1,AY40)</f>
        <v>#NAME?</v>
      </c>
      <c r="BA40" s="86" t="e">
        <f ca="1">IF(AZ40=1,_xll.RiskBinomial(1,Prob_illness_Noro_infection),0)</f>
        <v>#NAME?</v>
      </c>
      <c r="BC40" s="85" t="e">
        <f t="shared" ca="1" si="41"/>
        <v>#NAME?</v>
      </c>
      <c r="BD40" s="40" t="e">
        <f ca="1">INT(BC40) + _xll.RiskBinomial(1,BC40-INT(BC40))</f>
        <v>#NAME?</v>
      </c>
      <c r="BE40" s="33" t="e">
        <f t="shared" ca="1" si="12"/>
        <v>#NAME?</v>
      </c>
      <c r="BF40" s="38" t="e">
        <f ca="1">_xll.RiskBinomial(1,BE40)</f>
        <v>#NAME?</v>
      </c>
      <c r="BG40" s="86" t="e">
        <f ca="1">IF(BF40=1,_xll.RiskBinomial(1,Prob_illness_Noro_infection),0)</f>
        <v>#NAME?</v>
      </c>
      <c r="BI40" s="85" t="e">
        <f t="shared" ca="1" si="42"/>
        <v>#NAME?</v>
      </c>
      <c r="BJ40" s="40" t="e">
        <f ca="1">INT(BI40) + _xll.RiskBinomial(1,BI40-INT(BI40))</f>
        <v>#NAME?</v>
      </c>
      <c r="BK40" s="33" t="e">
        <f t="shared" ca="1" si="13"/>
        <v>#NAME?</v>
      </c>
      <c r="BL40" s="38" t="e">
        <f ca="1">_xll.RiskBinomial(1,BK40)</f>
        <v>#NAME?</v>
      </c>
      <c r="BM40" s="86" t="e">
        <f ca="1">IF(BL40=1,_xll.RiskBinomial(1,Prob_illness_Noro_infection),0)</f>
        <v>#NAME?</v>
      </c>
      <c r="BO40" s="85" t="e">
        <f t="shared" ca="1" si="43"/>
        <v>#NAME?</v>
      </c>
      <c r="BP40" s="40" t="e">
        <f ca="1">INT(BO40) + _xll.RiskBinomial(1,BO40-INT(BO40))</f>
        <v>#NAME?</v>
      </c>
      <c r="BQ40" s="33" t="e">
        <f t="shared" ca="1" si="14"/>
        <v>#NAME?</v>
      </c>
      <c r="BR40" s="38" t="e">
        <f ca="1">_xll.RiskBinomial(1,BQ40)</f>
        <v>#NAME?</v>
      </c>
      <c r="BS40" s="86" t="e">
        <f ca="1">IF(BR40=1,_xll.RiskBinomial(1,Prob_illness_Noro_infection),0)</f>
        <v>#NAME?</v>
      </c>
      <c r="BU40" s="85" t="e">
        <f t="shared" ca="1" si="44"/>
        <v>#NAME?</v>
      </c>
      <c r="BV40" s="40" t="e">
        <f ca="1">INT(BU40) + _xll.RiskBinomial(1,BU40-INT(BU40))</f>
        <v>#NAME?</v>
      </c>
      <c r="BW40" s="33" t="e">
        <f t="shared" ca="1" si="15"/>
        <v>#NAME?</v>
      </c>
      <c r="BX40" s="38" t="e">
        <f ca="1">_xll.RiskBinomial(1,BW40)</f>
        <v>#NAME?</v>
      </c>
      <c r="BY40" s="86" t="e">
        <f ca="1">IF(BX40=1,_xll.RiskBinomial(1,Prob_illness_Noro_infection),0)</f>
        <v>#NAME?</v>
      </c>
      <c r="CA40" s="85" t="e">
        <f t="shared" ca="1" si="45"/>
        <v>#NAME?</v>
      </c>
      <c r="CB40" s="40" t="e">
        <f ca="1">INT(CA40) + _xll.RiskBinomial(1,CA40-INT(CA40))</f>
        <v>#NAME?</v>
      </c>
      <c r="CC40" s="33" t="e">
        <f t="shared" ca="1" si="16"/>
        <v>#NAME?</v>
      </c>
      <c r="CD40" s="38" t="e">
        <f ca="1">_xll.RiskBinomial(1,CC40)</f>
        <v>#NAME?</v>
      </c>
      <c r="CE40" s="86" t="e">
        <f ca="1">IF(CD40=1,_xll.RiskBinomial(1,Prob_illness_Noro_infection),0)</f>
        <v>#NAME?</v>
      </c>
      <c r="CG40" s="85" t="e">
        <f t="shared" ca="1" si="46"/>
        <v>#NAME?</v>
      </c>
      <c r="CH40" s="40" t="e">
        <f ca="1">INT(CG40) + _xll.RiskBinomial(1,CG40-INT(CG40))</f>
        <v>#NAME?</v>
      </c>
      <c r="CI40" s="33" t="e">
        <f t="shared" ca="1" si="17"/>
        <v>#NAME?</v>
      </c>
      <c r="CJ40" s="38" t="e">
        <f ca="1">_xll.RiskBinomial(1,CI40)</f>
        <v>#NAME?</v>
      </c>
      <c r="CK40" s="86" t="e">
        <f ca="1">IF(CJ40=1,_xll.RiskBinomial(1,Prob_illness_Noro_infection),0)</f>
        <v>#NAME?</v>
      </c>
      <c r="CM40" s="85" t="e">
        <f t="shared" ca="1" si="47"/>
        <v>#NAME?</v>
      </c>
      <c r="CN40" s="40" t="e">
        <f ca="1">INT(CM40) + _xll.RiskBinomial(1,CM40-INT(CM40))</f>
        <v>#NAME?</v>
      </c>
      <c r="CO40" s="33" t="e">
        <f t="shared" ca="1" si="18"/>
        <v>#NAME?</v>
      </c>
      <c r="CP40" s="38" t="e">
        <f ca="1">_xll.RiskBinomial(1,CO40)</f>
        <v>#NAME?</v>
      </c>
      <c r="CQ40" s="86" t="e">
        <f ca="1">IF(CP40=1,_xll.RiskBinomial(1,Prob_illness_Noro_infection),0)</f>
        <v>#NAME?</v>
      </c>
      <c r="CS40" s="85" t="e">
        <f t="shared" ca="1" si="48"/>
        <v>#NAME?</v>
      </c>
      <c r="CT40" s="40" t="e">
        <f ca="1">INT(CS40) + _xll.RiskBinomial(1,CS40-INT(CS40))</f>
        <v>#NAME?</v>
      </c>
      <c r="CU40" s="33" t="e">
        <f t="shared" ca="1" si="19"/>
        <v>#NAME?</v>
      </c>
      <c r="CV40" s="38" t="e">
        <f ca="1">_xll.RiskBinomial(1,CU40)</f>
        <v>#NAME?</v>
      </c>
      <c r="CW40" s="86" t="e">
        <f ca="1">IF(CV40=1,_xll.RiskBinomial(1,Prob_illness_Noro_infection),0)</f>
        <v>#NAME?</v>
      </c>
      <c r="CY40" s="85" t="e">
        <f t="shared" ca="1" si="49"/>
        <v>#NAME?</v>
      </c>
      <c r="CZ40" s="40" t="e">
        <f ca="1">INT(CY40) + _xll.RiskBinomial(1,CY40-INT(CY40))</f>
        <v>#NAME?</v>
      </c>
      <c r="DA40" s="33" t="e">
        <f t="shared" ca="1" si="20"/>
        <v>#NAME?</v>
      </c>
      <c r="DB40" s="38" t="e">
        <f ca="1">_xll.RiskBinomial(1,DA40)</f>
        <v>#NAME?</v>
      </c>
      <c r="DC40" s="86" t="e">
        <f ca="1">IF(DB40=1,_xll.RiskBinomial(1,Prob_illness_Noro_infection),0)</f>
        <v>#NAME?</v>
      </c>
      <c r="DE40" s="85" t="e">
        <f t="shared" ca="1" si="50"/>
        <v>#NAME?</v>
      </c>
      <c r="DF40" s="40" t="e">
        <f ca="1">INT(DE40) + _xll.RiskBinomial(1,DE40-INT(DE40))</f>
        <v>#NAME?</v>
      </c>
      <c r="DG40" s="33" t="e">
        <f t="shared" ca="1" si="21"/>
        <v>#NAME?</v>
      </c>
      <c r="DH40" s="38" t="e">
        <f ca="1">_xll.RiskBinomial(1,DG40)</f>
        <v>#NAME?</v>
      </c>
      <c r="DI40" s="86" t="e">
        <f ca="1">IF(DH40=1,_xll.RiskBinomial(1,Prob_illness_Noro_infection),0)</f>
        <v>#NAME?</v>
      </c>
      <c r="DK40" s="85" t="e">
        <f t="shared" ca="1" si="51"/>
        <v>#NAME?</v>
      </c>
      <c r="DL40" s="40" t="e">
        <f ca="1">INT(DK40) + _xll.RiskBinomial(1,DK40-INT(DK40))</f>
        <v>#NAME?</v>
      </c>
      <c r="DM40" s="33" t="e">
        <f t="shared" ca="1" si="22"/>
        <v>#NAME?</v>
      </c>
      <c r="DN40" s="38" t="e">
        <f ca="1">_xll.RiskBinomial(1,DM40)</f>
        <v>#NAME?</v>
      </c>
      <c r="DO40" s="86" t="e">
        <f ca="1">IF(DN40=1,_xll.RiskBinomial(1,Prob_illness_Noro_infection),0)</f>
        <v>#NAME?</v>
      </c>
      <c r="DQ40" s="85" t="e">
        <f t="shared" ca="1" si="52"/>
        <v>#NAME?</v>
      </c>
      <c r="DR40" s="40" t="e">
        <f ca="1">INT(DQ40) + _xll.RiskBinomial(1,DQ40-INT(DQ40))</f>
        <v>#NAME?</v>
      </c>
      <c r="DS40" s="33" t="e">
        <f t="shared" ca="1" si="23"/>
        <v>#NAME?</v>
      </c>
      <c r="DT40" s="38" t="e">
        <f ca="1">_xll.RiskBinomial(1,DS40)</f>
        <v>#NAME?</v>
      </c>
      <c r="DU40" s="86" t="e">
        <f ca="1">IF(DT40=1,_xll.RiskBinomial(1,Prob_illness_Noro_infection),0)</f>
        <v>#NAME?</v>
      </c>
      <c r="DW40" s="85" t="e">
        <f t="shared" ca="1" si="53"/>
        <v>#NAME?</v>
      </c>
      <c r="DX40" s="40" t="e">
        <f ca="1">INT(DW40) + _xll.RiskBinomial(1,DW40-INT(DW40))</f>
        <v>#NAME?</v>
      </c>
      <c r="DY40" s="33" t="e">
        <f t="shared" ca="1" si="24"/>
        <v>#NAME?</v>
      </c>
      <c r="DZ40" s="38" t="e">
        <f ca="1">_xll.RiskBinomial(1,DY40)</f>
        <v>#NAME?</v>
      </c>
      <c r="EA40" s="86" t="e">
        <f ca="1">IF(DZ40=1,_xll.RiskBinomial(1,Prob_illness_Noro_infection),0)</f>
        <v>#NAME?</v>
      </c>
      <c r="EC40" s="85" t="e">
        <f t="shared" ca="1" si="54"/>
        <v>#NAME?</v>
      </c>
      <c r="ED40" s="40" t="e">
        <f ca="1">INT(EC40) + _xll.RiskBinomial(1,EC40-INT(EC40))</f>
        <v>#NAME?</v>
      </c>
      <c r="EE40" s="33" t="e">
        <f t="shared" ca="1" si="25"/>
        <v>#NAME?</v>
      </c>
      <c r="EF40" s="38" t="e">
        <f ca="1">_xll.RiskBinomial(1,EE40)</f>
        <v>#NAME?</v>
      </c>
      <c r="EG40" s="86" t="e">
        <f ca="1">IF(EF40=1,_xll.RiskBinomial(1,Prob_illness_Noro_infection),0)</f>
        <v>#NAME?</v>
      </c>
      <c r="EI40" s="85" t="e">
        <f t="shared" ca="1" si="55"/>
        <v>#NAME?</v>
      </c>
      <c r="EJ40" s="40" t="e">
        <f ca="1">INT(EI40) + _xll.RiskBinomial(1,EI40-INT(EI40))</f>
        <v>#NAME?</v>
      </c>
      <c r="EK40" s="33" t="e">
        <f t="shared" ca="1" si="26"/>
        <v>#NAME?</v>
      </c>
      <c r="EL40" s="38" t="e">
        <f ca="1">_xll.RiskBinomial(1,EK40)</f>
        <v>#NAME?</v>
      </c>
      <c r="EM40" s="86" t="e">
        <f ca="1">IF(EL40=1,_xll.RiskBinomial(1,Prob_illness_Noro_infection),0)</f>
        <v>#NAME?</v>
      </c>
      <c r="EO40" s="85" t="e">
        <f t="shared" ca="1" si="56"/>
        <v>#NAME?</v>
      </c>
      <c r="EP40" s="40" t="e">
        <f ca="1">INT(EO40) + _xll.RiskBinomial(1,EO40-INT(EO40))</f>
        <v>#NAME?</v>
      </c>
      <c r="EQ40" s="33" t="e">
        <f t="shared" ca="1" si="27"/>
        <v>#NAME?</v>
      </c>
      <c r="ER40" s="38" t="e">
        <f ca="1">_xll.RiskBinomial(1,EQ40)</f>
        <v>#NAME?</v>
      </c>
      <c r="ES40" s="86" t="e">
        <f ca="1">IF(ER40=1,_xll.RiskBinomial(1,Prob_illness_Noro_infection),0)</f>
        <v>#NAME?</v>
      </c>
      <c r="EU40" s="85" t="e">
        <f t="shared" ca="1" si="57"/>
        <v>#NAME?</v>
      </c>
      <c r="EV40" s="40" t="e">
        <f ca="1">INT(EU40) + _xll.RiskBinomial(1,EU40-INT(EU40))</f>
        <v>#NAME?</v>
      </c>
      <c r="EW40" s="33" t="e">
        <f t="shared" ca="1" si="28"/>
        <v>#NAME?</v>
      </c>
      <c r="EX40" s="38" t="e">
        <f ca="1">_xll.RiskBinomial(1,EW40)</f>
        <v>#NAME?</v>
      </c>
      <c r="EY40" s="86" t="e">
        <f ca="1">IF(EX40=1,_xll.RiskBinomial(1,Prob_illness_Noro_infection),0)</f>
        <v>#NAME?</v>
      </c>
      <c r="FA40" s="85" t="e">
        <f t="shared" ca="1" si="58"/>
        <v>#NAME?</v>
      </c>
      <c r="FB40" s="40" t="e">
        <f ca="1">INT(FA40) + _xll.RiskBinomial(1,FA40-INT(FA40))</f>
        <v>#NAME?</v>
      </c>
      <c r="FC40" s="33" t="e">
        <f t="shared" ca="1" si="29"/>
        <v>#NAME?</v>
      </c>
      <c r="FD40" s="38" t="e">
        <f ca="1">_xll.RiskBinomial(1,FC40)</f>
        <v>#NAME?</v>
      </c>
      <c r="FE40" s="86" t="e">
        <f ca="1">IF(FD40=1,_xll.RiskBinomial(1,Prob_illness_Noro_infection),0)</f>
        <v>#NAME?</v>
      </c>
      <c r="FG40" s="85" t="e">
        <f t="shared" ca="1" si="59"/>
        <v>#NAME?</v>
      </c>
      <c r="FH40" s="40" t="e">
        <f ca="1">INT(FG40) + _xll.RiskBinomial(1,FG40-INT(FG40))</f>
        <v>#NAME?</v>
      </c>
      <c r="FI40" s="33" t="e">
        <f t="shared" ca="1" si="30"/>
        <v>#NAME?</v>
      </c>
      <c r="FJ40" s="38" t="e">
        <f ca="1">_xll.RiskBinomial(1,FI40)</f>
        <v>#NAME?</v>
      </c>
      <c r="FK40" s="86" t="e">
        <f ca="1">IF(FJ40=1,_xll.RiskBinomial(1,Prob_illness_Noro_infection),0)</f>
        <v>#NAME?</v>
      </c>
      <c r="FM40" s="85" t="e">
        <f t="shared" ca="1" si="60"/>
        <v>#NAME?</v>
      </c>
      <c r="FN40" s="40" t="e">
        <f ca="1">INT(FM40) + _xll.RiskBinomial(1,FM40-INT(FM40))</f>
        <v>#NAME?</v>
      </c>
      <c r="FO40" s="33" t="e">
        <f t="shared" ca="1" si="31"/>
        <v>#NAME?</v>
      </c>
      <c r="FP40" s="38" t="e">
        <f ca="1">_xll.RiskBinomial(1,FO40)</f>
        <v>#NAME?</v>
      </c>
      <c r="FQ40" s="86" t="e">
        <f ca="1">IF(FP40=1,_xll.RiskBinomial(1,Prob_illness_Noro_infection),0)</f>
        <v>#NAME?</v>
      </c>
      <c r="FS40" s="85" t="e">
        <f t="shared" ca="1" si="61"/>
        <v>#NAME?</v>
      </c>
      <c r="FT40" s="40" t="e">
        <f ca="1">INT(FS40) + _xll.RiskBinomial(1,FS40-INT(FS40))</f>
        <v>#NAME?</v>
      </c>
      <c r="FU40" s="33" t="e">
        <f t="shared" ca="1" si="32"/>
        <v>#NAME?</v>
      </c>
      <c r="FV40" s="38" t="e">
        <f ca="1">_xll.RiskBinomial(1,FU40)</f>
        <v>#NAME?</v>
      </c>
      <c r="FW40" s="86" t="e">
        <f ca="1">IF(FV40=1,_xll.RiskBinomial(1,Prob_illness_Noro_infection),0)</f>
        <v>#NAME?</v>
      </c>
      <c r="FY40" s="85" t="e">
        <f t="shared" ca="1" si="62"/>
        <v>#NAME?</v>
      </c>
      <c r="FZ40" s="40" t="e">
        <f ca="1">INT(FY40) + _xll.RiskBinomial(1,FY40-INT(FY40))</f>
        <v>#NAME?</v>
      </c>
      <c r="GA40" s="33" t="e">
        <f t="shared" ca="1" si="33"/>
        <v>#NAME?</v>
      </c>
      <c r="GB40" s="38" t="e">
        <f ca="1">_xll.RiskBinomial(1,GA40)</f>
        <v>#NAME?</v>
      </c>
      <c r="GC40" s="86" t="e">
        <f ca="1">IF(GB40=1,_xll.RiskBinomial(1,Prob_illness_Noro_infection),0)</f>
        <v>#NAME?</v>
      </c>
      <c r="GE40" s="85" t="e">
        <f t="shared" ca="1" si="63"/>
        <v>#NAME?</v>
      </c>
      <c r="GF40" s="40" t="e">
        <f ca="1">INT(GE40) + _xll.RiskBinomial(1,GE40-INT(GE40))</f>
        <v>#NAME?</v>
      </c>
      <c r="GG40" s="33" t="e">
        <f t="shared" ca="1" si="34"/>
        <v>#NAME?</v>
      </c>
      <c r="GH40" s="38" t="e">
        <f ca="1">_xll.RiskBinomial(1,GG40)</f>
        <v>#NAME?</v>
      </c>
      <c r="GI40" s="86" t="e">
        <f ca="1">IF(GH40=1,_xll.RiskBinomial(1,Prob_illness_Noro_infection),0)</f>
        <v>#NAME?</v>
      </c>
      <c r="GK40" s="85" t="e">
        <f t="shared" ca="1" si="64"/>
        <v>#NAME?</v>
      </c>
      <c r="GL40" s="40" t="e">
        <f ca="1">INT(GK40) + _xll.RiskBinomial(1,GK40-INT(GK40))</f>
        <v>#NAME?</v>
      </c>
      <c r="GM40" s="33" t="e">
        <f t="shared" ca="1" si="35"/>
        <v>#NAME?</v>
      </c>
      <c r="GN40" s="38" t="e">
        <f ca="1">_xll.RiskBinomial(1,GM40)</f>
        <v>#NAME?</v>
      </c>
      <c r="GO40" s="86" t="e">
        <f ca="1">IF(GN40=1,_xll.RiskBinomial(1,Prob_illness_Noro_infection),0)</f>
        <v>#NAME?</v>
      </c>
    </row>
    <row r="41" spans="2:197" x14ac:dyDescent="0.25">
      <c r="B41" s="106">
        <v>33</v>
      </c>
      <c r="C41" s="109" t="e">
        <f ca="1" xml:space="preserve"> _xll.RiskPert(Dur_Swim_hours_min,Dur_Swim_hours_mode,Dur_Swim_hours_max)</f>
        <v>#NAME?</v>
      </c>
      <c r="D41" s="33" t="e">
        <f ca="1">_xll.RiskLognorm(Primary_Ing_Rate_mL_per_hour_mean,Primary_Ing_Rate_mL_per_hour_sd, _xll.RiskTruncate(Primary_Ing_Rate_mL_per_hour_min,Primary_Ing_Rate_mL_per_hour_max))</f>
        <v>#NAME?</v>
      </c>
      <c r="E41" s="41" t="e">
        <f t="shared" ca="1" si="36"/>
        <v>#NAME?</v>
      </c>
      <c r="F41" s="33"/>
      <c r="G41" s="85" t="e">
        <f t="shared" ca="1" si="37"/>
        <v>#NAME?</v>
      </c>
      <c r="H41" s="40" t="e">
        <f ca="1">INT(G41) + _xll.RiskBinomial(1,G41-INT(G41))</f>
        <v>#NAME?</v>
      </c>
      <c r="I41" s="33" t="e">
        <f t="shared" ca="1" si="0"/>
        <v>#NAME?</v>
      </c>
      <c r="J41" s="38" t="e">
        <f ca="1">_xll.RiskBinomial(1,I41)</f>
        <v>#NAME?</v>
      </c>
      <c r="K41" s="86" t="e">
        <f ca="1">IF(J41=1,_xll.RiskBinomial(1,Prob_illness_Noro_infection),0)</f>
        <v>#NAME?</v>
      </c>
      <c r="L41" s="33"/>
      <c r="M41" s="85" t="e">
        <f t="shared" ca="1" si="38"/>
        <v>#NAME?</v>
      </c>
      <c r="N41" s="40" t="e">
        <f ca="1">INT(M41) + _xll.RiskBinomial(1,M41-INT(M41))</f>
        <v>#NAME?</v>
      </c>
      <c r="O41" s="33" t="e">
        <f t="shared" ca="1" si="1"/>
        <v>#NAME?</v>
      </c>
      <c r="P41" s="38" t="e">
        <f ca="1">_xll.RiskBinomial(1,O41)</f>
        <v>#NAME?</v>
      </c>
      <c r="Q41" s="86" t="e">
        <f ca="1">IF(P41=1,_xll.RiskBinomial(1,Prob_illness_Noro_infection),0)</f>
        <v>#NAME?</v>
      </c>
      <c r="R41" s="33"/>
      <c r="S41" s="85" t="e">
        <f t="shared" ca="1" si="39"/>
        <v>#NAME?</v>
      </c>
      <c r="T41" s="40" t="e">
        <f ca="1">INT(S41) + _xll.RiskBinomial(1,S41-INT(S41))</f>
        <v>#NAME?</v>
      </c>
      <c r="U41" s="33" t="e">
        <f t="shared" ca="1" si="2"/>
        <v>#NAME?</v>
      </c>
      <c r="V41" s="38" t="e">
        <f ca="1">_xll.RiskBinomial(1,U41)</f>
        <v>#NAME?</v>
      </c>
      <c r="W41" s="86" t="e">
        <f ca="1">IF(V41=1,_xll.RiskBinomial(1,Prob_illness_Noro_infection),0)</f>
        <v>#NAME?</v>
      </c>
      <c r="X41" s="33"/>
      <c r="Y41" s="85" t="e">
        <f t="shared" ca="1" si="3"/>
        <v>#NAME?</v>
      </c>
      <c r="Z41" s="40" t="e">
        <f ca="1">INT(Y41) + _xll.RiskBinomial(1,Y41-INT(Y41))</f>
        <v>#NAME?</v>
      </c>
      <c r="AA41" s="33" t="e">
        <f t="shared" ca="1" si="4"/>
        <v>#NAME?</v>
      </c>
      <c r="AB41" s="38" t="e">
        <f ca="1">_xll.RiskBinomial(1,AA41)</f>
        <v>#NAME?</v>
      </c>
      <c r="AC41" s="86" t="e">
        <f ca="1">IF(AB41=1,_xll.RiskBinomial(1,Prob_illness_Noro_infection),0)</f>
        <v>#NAME?</v>
      </c>
      <c r="AD41" s="33"/>
      <c r="AE41" s="85" t="e">
        <f t="shared" ca="1" si="5"/>
        <v>#NAME?</v>
      </c>
      <c r="AF41" s="40" t="e">
        <f ca="1">INT(AE41) + _xll.RiskBinomial(1,AE41-INT(AE41))</f>
        <v>#NAME?</v>
      </c>
      <c r="AG41" s="33" t="e">
        <f t="shared" ca="1" si="6"/>
        <v>#NAME?</v>
      </c>
      <c r="AH41" s="38" t="e">
        <f ca="1">_xll.RiskBinomial(1,AG41)</f>
        <v>#NAME?</v>
      </c>
      <c r="AI41" s="86" t="e">
        <f ca="1">IF(AH41=1,_xll.RiskBinomial(1,Prob_illness_Noro_infection),0)</f>
        <v>#NAME?</v>
      </c>
      <c r="AJ41" s="33"/>
      <c r="AK41" s="85" t="e">
        <f t="shared" ca="1" si="7"/>
        <v>#NAME?</v>
      </c>
      <c r="AL41" s="40" t="e">
        <f ca="1">INT(AK41) + _xll.RiskBinomial(1,AK41-INT(AK41))</f>
        <v>#NAME?</v>
      </c>
      <c r="AM41" s="33" t="e">
        <f t="shared" ca="1" si="8"/>
        <v>#NAME?</v>
      </c>
      <c r="AN41" s="38" t="e">
        <f ca="1">_xll.RiskBinomial(1,AM41)</f>
        <v>#NAME?</v>
      </c>
      <c r="AO41" s="86" t="e">
        <f ca="1">IF(AN41=1,_xll.RiskBinomial(1,Prob_illness_Noro_infection),0)</f>
        <v>#NAME?</v>
      </c>
      <c r="AP41" s="33"/>
      <c r="AQ41" s="85" t="e">
        <f t="shared" ref="AQ41:AQ72" ca="1" si="65">$E41*AT$3/V</f>
        <v>#NAME?</v>
      </c>
      <c r="AR41" s="40" t="e">
        <f ca="1">INT(AQ41) + _xll.RiskBinomial(1,AQ41-INT(AQ41))</f>
        <v>#NAME?</v>
      </c>
      <c r="AS41" s="33" t="e">
        <f t="shared" ca="1" si="10"/>
        <v>#NAME?</v>
      </c>
      <c r="AT41" s="38" t="e">
        <f ca="1">_xll.RiskBinomial(1,AS41)</f>
        <v>#NAME?</v>
      </c>
      <c r="AU41" s="86" t="e">
        <f ca="1">IF(AT41=1,_xll.RiskBinomial(1,Prob_illness_Noro_infection),0)</f>
        <v>#NAME?</v>
      </c>
      <c r="AV41" s="33"/>
      <c r="AW41" s="85" t="e">
        <f t="shared" ca="1" si="40"/>
        <v>#NAME?</v>
      </c>
      <c r="AX41" s="40" t="e">
        <f ca="1">INT(AW41) + _xll.RiskBinomial(1,AW41-INT(AW41))</f>
        <v>#NAME?</v>
      </c>
      <c r="AY41" s="33" t="e">
        <f t="shared" ca="1" si="11"/>
        <v>#NAME?</v>
      </c>
      <c r="AZ41" s="38" t="e">
        <f ca="1">_xll.RiskBinomial(1,AY41)</f>
        <v>#NAME?</v>
      </c>
      <c r="BA41" s="86" t="e">
        <f ca="1">IF(AZ41=1,_xll.RiskBinomial(1,Prob_illness_Noro_infection),0)</f>
        <v>#NAME?</v>
      </c>
      <c r="BC41" s="85" t="e">
        <f t="shared" ca="1" si="41"/>
        <v>#NAME?</v>
      </c>
      <c r="BD41" s="40" t="e">
        <f ca="1">INT(BC41) + _xll.RiskBinomial(1,BC41-INT(BC41))</f>
        <v>#NAME?</v>
      </c>
      <c r="BE41" s="33" t="e">
        <f t="shared" ca="1" si="12"/>
        <v>#NAME?</v>
      </c>
      <c r="BF41" s="38" t="e">
        <f ca="1">_xll.RiskBinomial(1,BE41)</f>
        <v>#NAME?</v>
      </c>
      <c r="BG41" s="86" t="e">
        <f ca="1">IF(BF41=1,_xll.RiskBinomial(1,Prob_illness_Noro_infection),0)</f>
        <v>#NAME?</v>
      </c>
      <c r="BI41" s="85" t="e">
        <f t="shared" ca="1" si="42"/>
        <v>#NAME?</v>
      </c>
      <c r="BJ41" s="40" t="e">
        <f ca="1">INT(BI41) + _xll.RiskBinomial(1,BI41-INT(BI41))</f>
        <v>#NAME?</v>
      </c>
      <c r="BK41" s="33" t="e">
        <f t="shared" ca="1" si="13"/>
        <v>#NAME?</v>
      </c>
      <c r="BL41" s="38" t="e">
        <f ca="1">_xll.RiskBinomial(1,BK41)</f>
        <v>#NAME?</v>
      </c>
      <c r="BM41" s="86" t="e">
        <f ca="1">IF(BL41=1,_xll.RiskBinomial(1,Prob_illness_Noro_infection),0)</f>
        <v>#NAME?</v>
      </c>
      <c r="BO41" s="85" t="e">
        <f t="shared" ca="1" si="43"/>
        <v>#NAME?</v>
      </c>
      <c r="BP41" s="40" t="e">
        <f ca="1">INT(BO41) + _xll.RiskBinomial(1,BO41-INT(BO41))</f>
        <v>#NAME?</v>
      </c>
      <c r="BQ41" s="33" t="e">
        <f t="shared" ca="1" si="14"/>
        <v>#NAME?</v>
      </c>
      <c r="BR41" s="38" t="e">
        <f ca="1">_xll.RiskBinomial(1,BQ41)</f>
        <v>#NAME?</v>
      </c>
      <c r="BS41" s="86" t="e">
        <f ca="1">IF(BR41=1,_xll.RiskBinomial(1,Prob_illness_Noro_infection),0)</f>
        <v>#NAME?</v>
      </c>
      <c r="BU41" s="85" t="e">
        <f t="shared" ca="1" si="44"/>
        <v>#NAME?</v>
      </c>
      <c r="BV41" s="40" t="e">
        <f ca="1">INT(BU41) + _xll.RiskBinomial(1,BU41-INT(BU41))</f>
        <v>#NAME?</v>
      </c>
      <c r="BW41" s="33" t="e">
        <f t="shared" ca="1" si="15"/>
        <v>#NAME?</v>
      </c>
      <c r="BX41" s="38" t="e">
        <f ca="1">_xll.RiskBinomial(1,BW41)</f>
        <v>#NAME?</v>
      </c>
      <c r="BY41" s="86" t="e">
        <f ca="1">IF(BX41=1,_xll.RiskBinomial(1,Prob_illness_Noro_infection),0)</f>
        <v>#NAME?</v>
      </c>
      <c r="CA41" s="85" t="e">
        <f t="shared" ca="1" si="45"/>
        <v>#NAME?</v>
      </c>
      <c r="CB41" s="40" t="e">
        <f ca="1">INT(CA41) + _xll.RiskBinomial(1,CA41-INT(CA41))</f>
        <v>#NAME?</v>
      </c>
      <c r="CC41" s="33" t="e">
        <f t="shared" ca="1" si="16"/>
        <v>#NAME?</v>
      </c>
      <c r="CD41" s="38" t="e">
        <f ca="1">_xll.RiskBinomial(1,CC41)</f>
        <v>#NAME?</v>
      </c>
      <c r="CE41" s="86" t="e">
        <f ca="1">IF(CD41=1,_xll.RiskBinomial(1,Prob_illness_Noro_infection),0)</f>
        <v>#NAME?</v>
      </c>
      <c r="CG41" s="85" t="e">
        <f t="shared" ca="1" si="46"/>
        <v>#NAME?</v>
      </c>
      <c r="CH41" s="40" t="e">
        <f ca="1">INT(CG41) + _xll.RiskBinomial(1,CG41-INT(CG41))</f>
        <v>#NAME?</v>
      </c>
      <c r="CI41" s="33" t="e">
        <f t="shared" ca="1" si="17"/>
        <v>#NAME?</v>
      </c>
      <c r="CJ41" s="38" t="e">
        <f ca="1">_xll.RiskBinomial(1,CI41)</f>
        <v>#NAME?</v>
      </c>
      <c r="CK41" s="86" t="e">
        <f ca="1">IF(CJ41=1,_xll.RiskBinomial(1,Prob_illness_Noro_infection),0)</f>
        <v>#NAME?</v>
      </c>
      <c r="CM41" s="85" t="e">
        <f t="shared" ca="1" si="47"/>
        <v>#NAME?</v>
      </c>
      <c r="CN41" s="40" t="e">
        <f ca="1">INT(CM41) + _xll.RiskBinomial(1,CM41-INT(CM41))</f>
        <v>#NAME?</v>
      </c>
      <c r="CO41" s="33" t="e">
        <f t="shared" ca="1" si="18"/>
        <v>#NAME?</v>
      </c>
      <c r="CP41" s="38" t="e">
        <f ca="1">_xll.RiskBinomial(1,CO41)</f>
        <v>#NAME?</v>
      </c>
      <c r="CQ41" s="86" t="e">
        <f ca="1">IF(CP41=1,_xll.RiskBinomial(1,Prob_illness_Noro_infection),0)</f>
        <v>#NAME?</v>
      </c>
      <c r="CS41" s="85" t="e">
        <f t="shared" ca="1" si="48"/>
        <v>#NAME?</v>
      </c>
      <c r="CT41" s="40" t="e">
        <f ca="1">INT(CS41) + _xll.RiskBinomial(1,CS41-INT(CS41))</f>
        <v>#NAME?</v>
      </c>
      <c r="CU41" s="33" t="e">
        <f t="shared" ca="1" si="19"/>
        <v>#NAME?</v>
      </c>
      <c r="CV41" s="38" t="e">
        <f ca="1">_xll.RiskBinomial(1,CU41)</f>
        <v>#NAME?</v>
      </c>
      <c r="CW41" s="86" t="e">
        <f ca="1">IF(CV41=1,_xll.RiskBinomial(1,Prob_illness_Noro_infection),0)</f>
        <v>#NAME?</v>
      </c>
      <c r="CY41" s="85" t="e">
        <f t="shared" ca="1" si="49"/>
        <v>#NAME?</v>
      </c>
      <c r="CZ41" s="40" t="e">
        <f ca="1">INT(CY41) + _xll.RiskBinomial(1,CY41-INT(CY41))</f>
        <v>#NAME?</v>
      </c>
      <c r="DA41" s="33" t="e">
        <f t="shared" ca="1" si="20"/>
        <v>#NAME?</v>
      </c>
      <c r="DB41" s="38" t="e">
        <f ca="1">_xll.RiskBinomial(1,DA41)</f>
        <v>#NAME?</v>
      </c>
      <c r="DC41" s="86" t="e">
        <f ca="1">IF(DB41=1,_xll.RiskBinomial(1,Prob_illness_Noro_infection),0)</f>
        <v>#NAME?</v>
      </c>
      <c r="DE41" s="85" t="e">
        <f t="shared" ca="1" si="50"/>
        <v>#NAME?</v>
      </c>
      <c r="DF41" s="40" t="e">
        <f ca="1">INT(DE41) + _xll.RiskBinomial(1,DE41-INT(DE41))</f>
        <v>#NAME?</v>
      </c>
      <c r="DG41" s="33" t="e">
        <f t="shared" ca="1" si="21"/>
        <v>#NAME?</v>
      </c>
      <c r="DH41" s="38" t="e">
        <f ca="1">_xll.RiskBinomial(1,DG41)</f>
        <v>#NAME?</v>
      </c>
      <c r="DI41" s="86" t="e">
        <f ca="1">IF(DH41=1,_xll.RiskBinomial(1,Prob_illness_Noro_infection),0)</f>
        <v>#NAME?</v>
      </c>
      <c r="DK41" s="85" t="e">
        <f t="shared" ca="1" si="51"/>
        <v>#NAME?</v>
      </c>
      <c r="DL41" s="40" t="e">
        <f ca="1">INT(DK41) + _xll.RiskBinomial(1,DK41-INT(DK41))</f>
        <v>#NAME?</v>
      </c>
      <c r="DM41" s="33" t="e">
        <f t="shared" ca="1" si="22"/>
        <v>#NAME?</v>
      </c>
      <c r="DN41" s="38" t="e">
        <f ca="1">_xll.RiskBinomial(1,DM41)</f>
        <v>#NAME?</v>
      </c>
      <c r="DO41" s="86" t="e">
        <f ca="1">IF(DN41=1,_xll.RiskBinomial(1,Prob_illness_Noro_infection),0)</f>
        <v>#NAME?</v>
      </c>
      <c r="DQ41" s="85" t="e">
        <f t="shared" ca="1" si="52"/>
        <v>#NAME?</v>
      </c>
      <c r="DR41" s="40" t="e">
        <f ca="1">INT(DQ41) + _xll.RiskBinomial(1,DQ41-INT(DQ41))</f>
        <v>#NAME?</v>
      </c>
      <c r="DS41" s="33" t="e">
        <f t="shared" ca="1" si="23"/>
        <v>#NAME?</v>
      </c>
      <c r="DT41" s="38" t="e">
        <f ca="1">_xll.RiskBinomial(1,DS41)</f>
        <v>#NAME?</v>
      </c>
      <c r="DU41" s="86" t="e">
        <f ca="1">IF(DT41=1,_xll.RiskBinomial(1,Prob_illness_Noro_infection),0)</f>
        <v>#NAME?</v>
      </c>
      <c r="DW41" s="85" t="e">
        <f t="shared" ca="1" si="53"/>
        <v>#NAME?</v>
      </c>
      <c r="DX41" s="40" t="e">
        <f ca="1">INT(DW41) + _xll.RiskBinomial(1,DW41-INT(DW41))</f>
        <v>#NAME?</v>
      </c>
      <c r="DY41" s="33" t="e">
        <f t="shared" ca="1" si="24"/>
        <v>#NAME?</v>
      </c>
      <c r="DZ41" s="38" t="e">
        <f ca="1">_xll.RiskBinomial(1,DY41)</f>
        <v>#NAME?</v>
      </c>
      <c r="EA41" s="86" t="e">
        <f ca="1">IF(DZ41=1,_xll.RiskBinomial(1,Prob_illness_Noro_infection),0)</f>
        <v>#NAME?</v>
      </c>
      <c r="EC41" s="85" t="e">
        <f t="shared" ca="1" si="54"/>
        <v>#NAME?</v>
      </c>
      <c r="ED41" s="40" t="e">
        <f ca="1">INT(EC41) + _xll.RiskBinomial(1,EC41-INT(EC41))</f>
        <v>#NAME?</v>
      </c>
      <c r="EE41" s="33" t="e">
        <f t="shared" ca="1" si="25"/>
        <v>#NAME?</v>
      </c>
      <c r="EF41" s="38" t="e">
        <f ca="1">_xll.RiskBinomial(1,EE41)</f>
        <v>#NAME?</v>
      </c>
      <c r="EG41" s="86" t="e">
        <f ca="1">IF(EF41=1,_xll.RiskBinomial(1,Prob_illness_Noro_infection),0)</f>
        <v>#NAME?</v>
      </c>
      <c r="EI41" s="85" t="e">
        <f t="shared" ca="1" si="55"/>
        <v>#NAME?</v>
      </c>
      <c r="EJ41" s="40" t="e">
        <f ca="1">INT(EI41) + _xll.RiskBinomial(1,EI41-INT(EI41))</f>
        <v>#NAME?</v>
      </c>
      <c r="EK41" s="33" t="e">
        <f t="shared" ca="1" si="26"/>
        <v>#NAME?</v>
      </c>
      <c r="EL41" s="38" t="e">
        <f ca="1">_xll.RiskBinomial(1,EK41)</f>
        <v>#NAME?</v>
      </c>
      <c r="EM41" s="86" t="e">
        <f ca="1">IF(EL41=1,_xll.RiskBinomial(1,Prob_illness_Noro_infection),0)</f>
        <v>#NAME?</v>
      </c>
      <c r="EO41" s="85" t="e">
        <f t="shared" ca="1" si="56"/>
        <v>#NAME?</v>
      </c>
      <c r="EP41" s="40" t="e">
        <f ca="1">INT(EO41) + _xll.RiskBinomial(1,EO41-INT(EO41))</f>
        <v>#NAME?</v>
      </c>
      <c r="EQ41" s="33" t="e">
        <f t="shared" ca="1" si="27"/>
        <v>#NAME?</v>
      </c>
      <c r="ER41" s="38" t="e">
        <f ca="1">_xll.RiskBinomial(1,EQ41)</f>
        <v>#NAME?</v>
      </c>
      <c r="ES41" s="86" t="e">
        <f ca="1">IF(ER41=1,_xll.RiskBinomial(1,Prob_illness_Noro_infection),0)</f>
        <v>#NAME?</v>
      </c>
      <c r="EU41" s="85" t="e">
        <f t="shared" ca="1" si="57"/>
        <v>#NAME?</v>
      </c>
      <c r="EV41" s="40" t="e">
        <f ca="1">INT(EU41) + _xll.RiskBinomial(1,EU41-INT(EU41))</f>
        <v>#NAME?</v>
      </c>
      <c r="EW41" s="33" t="e">
        <f t="shared" ca="1" si="28"/>
        <v>#NAME?</v>
      </c>
      <c r="EX41" s="38" t="e">
        <f ca="1">_xll.RiskBinomial(1,EW41)</f>
        <v>#NAME?</v>
      </c>
      <c r="EY41" s="86" t="e">
        <f ca="1">IF(EX41=1,_xll.RiskBinomial(1,Prob_illness_Noro_infection),0)</f>
        <v>#NAME?</v>
      </c>
      <c r="FA41" s="85" t="e">
        <f t="shared" ca="1" si="58"/>
        <v>#NAME?</v>
      </c>
      <c r="FB41" s="40" t="e">
        <f ca="1">INT(FA41) + _xll.RiskBinomial(1,FA41-INT(FA41))</f>
        <v>#NAME?</v>
      </c>
      <c r="FC41" s="33" t="e">
        <f t="shared" ca="1" si="29"/>
        <v>#NAME?</v>
      </c>
      <c r="FD41" s="38" t="e">
        <f ca="1">_xll.RiskBinomial(1,FC41)</f>
        <v>#NAME?</v>
      </c>
      <c r="FE41" s="86" t="e">
        <f ca="1">IF(FD41=1,_xll.RiskBinomial(1,Prob_illness_Noro_infection),0)</f>
        <v>#NAME?</v>
      </c>
      <c r="FG41" s="85" t="e">
        <f t="shared" ca="1" si="59"/>
        <v>#NAME?</v>
      </c>
      <c r="FH41" s="40" t="e">
        <f ca="1">INT(FG41) + _xll.RiskBinomial(1,FG41-INT(FG41))</f>
        <v>#NAME?</v>
      </c>
      <c r="FI41" s="33" t="e">
        <f t="shared" ca="1" si="30"/>
        <v>#NAME?</v>
      </c>
      <c r="FJ41" s="38" t="e">
        <f ca="1">_xll.RiskBinomial(1,FI41)</f>
        <v>#NAME?</v>
      </c>
      <c r="FK41" s="86" t="e">
        <f ca="1">IF(FJ41=1,_xll.RiskBinomial(1,Prob_illness_Noro_infection),0)</f>
        <v>#NAME?</v>
      </c>
      <c r="FM41" s="85" t="e">
        <f t="shared" ca="1" si="60"/>
        <v>#NAME?</v>
      </c>
      <c r="FN41" s="40" t="e">
        <f ca="1">INT(FM41) + _xll.RiskBinomial(1,FM41-INT(FM41))</f>
        <v>#NAME?</v>
      </c>
      <c r="FO41" s="33" t="e">
        <f t="shared" ca="1" si="31"/>
        <v>#NAME?</v>
      </c>
      <c r="FP41" s="38" t="e">
        <f ca="1">_xll.RiskBinomial(1,FO41)</f>
        <v>#NAME?</v>
      </c>
      <c r="FQ41" s="86" t="e">
        <f ca="1">IF(FP41=1,_xll.RiskBinomial(1,Prob_illness_Noro_infection),0)</f>
        <v>#NAME?</v>
      </c>
      <c r="FS41" s="85" t="e">
        <f t="shared" ca="1" si="61"/>
        <v>#NAME?</v>
      </c>
      <c r="FT41" s="40" t="e">
        <f ca="1">INT(FS41) + _xll.RiskBinomial(1,FS41-INT(FS41))</f>
        <v>#NAME?</v>
      </c>
      <c r="FU41" s="33" t="e">
        <f t="shared" ca="1" si="32"/>
        <v>#NAME?</v>
      </c>
      <c r="FV41" s="38" t="e">
        <f ca="1">_xll.RiskBinomial(1,FU41)</f>
        <v>#NAME?</v>
      </c>
      <c r="FW41" s="86" t="e">
        <f ca="1">IF(FV41=1,_xll.RiskBinomial(1,Prob_illness_Noro_infection),0)</f>
        <v>#NAME?</v>
      </c>
      <c r="FY41" s="85" t="e">
        <f t="shared" ca="1" si="62"/>
        <v>#NAME?</v>
      </c>
      <c r="FZ41" s="40" t="e">
        <f ca="1">INT(FY41) + _xll.RiskBinomial(1,FY41-INT(FY41))</f>
        <v>#NAME?</v>
      </c>
      <c r="GA41" s="33" t="e">
        <f t="shared" ca="1" si="33"/>
        <v>#NAME?</v>
      </c>
      <c r="GB41" s="38" t="e">
        <f ca="1">_xll.RiskBinomial(1,GA41)</f>
        <v>#NAME?</v>
      </c>
      <c r="GC41" s="86" t="e">
        <f ca="1">IF(GB41=1,_xll.RiskBinomial(1,Prob_illness_Noro_infection),0)</f>
        <v>#NAME?</v>
      </c>
      <c r="GE41" s="85" t="e">
        <f t="shared" ca="1" si="63"/>
        <v>#NAME?</v>
      </c>
      <c r="GF41" s="40" t="e">
        <f ca="1">INT(GE41) + _xll.RiskBinomial(1,GE41-INT(GE41))</f>
        <v>#NAME?</v>
      </c>
      <c r="GG41" s="33" t="e">
        <f t="shared" ca="1" si="34"/>
        <v>#NAME?</v>
      </c>
      <c r="GH41" s="38" t="e">
        <f ca="1">_xll.RiskBinomial(1,GG41)</f>
        <v>#NAME?</v>
      </c>
      <c r="GI41" s="86" t="e">
        <f ca="1">IF(GH41=1,_xll.RiskBinomial(1,Prob_illness_Noro_infection),0)</f>
        <v>#NAME?</v>
      </c>
      <c r="GK41" s="85" t="e">
        <f t="shared" ca="1" si="64"/>
        <v>#NAME?</v>
      </c>
      <c r="GL41" s="40" t="e">
        <f ca="1">INT(GK41) + _xll.RiskBinomial(1,GK41-INT(GK41))</f>
        <v>#NAME?</v>
      </c>
      <c r="GM41" s="33" t="e">
        <f t="shared" ca="1" si="35"/>
        <v>#NAME?</v>
      </c>
      <c r="GN41" s="38" t="e">
        <f ca="1">_xll.RiskBinomial(1,GM41)</f>
        <v>#NAME?</v>
      </c>
      <c r="GO41" s="86" t="e">
        <f ca="1">IF(GN41=1,_xll.RiskBinomial(1,Prob_illness_Noro_infection),0)</f>
        <v>#NAME?</v>
      </c>
    </row>
    <row r="42" spans="2:197" x14ac:dyDescent="0.25">
      <c r="B42" s="106">
        <v>34</v>
      </c>
      <c r="C42" s="109" t="e">
        <f ca="1" xml:space="preserve"> _xll.RiskPert(Dur_Swim_hours_min,Dur_Swim_hours_mode,Dur_Swim_hours_max)</f>
        <v>#NAME?</v>
      </c>
      <c r="D42" s="33" t="e">
        <f ca="1">_xll.RiskLognorm(Primary_Ing_Rate_mL_per_hour_mean,Primary_Ing_Rate_mL_per_hour_sd, _xll.RiskTruncate(Primary_Ing_Rate_mL_per_hour_min,Primary_Ing_Rate_mL_per_hour_max))</f>
        <v>#NAME?</v>
      </c>
      <c r="E42" s="41" t="e">
        <f t="shared" ca="1" si="36"/>
        <v>#NAME?</v>
      </c>
      <c r="F42" s="33"/>
      <c r="G42" s="85" t="e">
        <f t="shared" ca="1" si="37"/>
        <v>#NAME?</v>
      </c>
      <c r="H42" s="40" t="e">
        <f ca="1">INT(G42) + _xll.RiskBinomial(1,G42-INT(G42))</f>
        <v>#NAME?</v>
      </c>
      <c r="I42" s="33" t="e">
        <f t="shared" ca="1" si="0"/>
        <v>#NAME?</v>
      </c>
      <c r="J42" s="38" t="e">
        <f ca="1">_xll.RiskBinomial(1,I42)</f>
        <v>#NAME?</v>
      </c>
      <c r="K42" s="86" t="e">
        <f ca="1">IF(J42=1,_xll.RiskBinomial(1,Prob_illness_Noro_infection),0)</f>
        <v>#NAME?</v>
      </c>
      <c r="L42" s="33"/>
      <c r="M42" s="85" t="e">
        <f t="shared" ca="1" si="38"/>
        <v>#NAME?</v>
      </c>
      <c r="N42" s="40" t="e">
        <f ca="1">INT(M42) + _xll.RiskBinomial(1,M42-INT(M42))</f>
        <v>#NAME?</v>
      </c>
      <c r="O42" s="33" t="e">
        <f t="shared" ca="1" si="1"/>
        <v>#NAME?</v>
      </c>
      <c r="P42" s="38" t="e">
        <f ca="1">_xll.RiskBinomial(1,O42)</f>
        <v>#NAME?</v>
      </c>
      <c r="Q42" s="86" t="e">
        <f ca="1">IF(P42=1,_xll.RiskBinomial(1,Prob_illness_Noro_infection),0)</f>
        <v>#NAME?</v>
      </c>
      <c r="R42" s="33"/>
      <c r="S42" s="85" t="e">
        <f t="shared" ca="1" si="39"/>
        <v>#NAME?</v>
      </c>
      <c r="T42" s="40" t="e">
        <f ca="1">INT(S42) + _xll.RiskBinomial(1,S42-INT(S42))</f>
        <v>#NAME?</v>
      </c>
      <c r="U42" s="33" t="e">
        <f t="shared" ca="1" si="2"/>
        <v>#NAME?</v>
      </c>
      <c r="V42" s="38" t="e">
        <f ca="1">_xll.RiskBinomial(1,U42)</f>
        <v>#NAME?</v>
      </c>
      <c r="W42" s="86" t="e">
        <f ca="1">IF(V42=1,_xll.RiskBinomial(1,Prob_illness_Noro_infection),0)</f>
        <v>#NAME?</v>
      </c>
      <c r="X42" s="33"/>
      <c r="Y42" s="85" t="e">
        <f t="shared" ca="1" si="3"/>
        <v>#NAME?</v>
      </c>
      <c r="Z42" s="40" t="e">
        <f ca="1">INT(Y42) + _xll.RiskBinomial(1,Y42-INT(Y42))</f>
        <v>#NAME?</v>
      </c>
      <c r="AA42" s="33" t="e">
        <f t="shared" ca="1" si="4"/>
        <v>#NAME?</v>
      </c>
      <c r="AB42" s="38" t="e">
        <f ca="1">_xll.RiskBinomial(1,AA42)</f>
        <v>#NAME?</v>
      </c>
      <c r="AC42" s="86" t="e">
        <f ca="1">IF(AB42=1,_xll.RiskBinomial(1,Prob_illness_Noro_infection),0)</f>
        <v>#NAME?</v>
      </c>
      <c r="AD42" s="33"/>
      <c r="AE42" s="85" t="e">
        <f t="shared" ca="1" si="5"/>
        <v>#NAME?</v>
      </c>
      <c r="AF42" s="40" t="e">
        <f ca="1">INT(AE42) + _xll.RiskBinomial(1,AE42-INT(AE42))</f>
        <v>#NAME?</v>
      </c>
      <c r="AG42" s="33" t="e">
        <f t="shared" ca="1" si="6"/>
        <v>#NAME?</v>
      </c>
      <c r="AH42" s="38" t="e">
        <f ca="1">_xll.RiskBinomial(1,AG42)</f>
        <v>#NAME?</v>
      </c>
      <c r="AI42" s="86" t="e">
        <f ca="1">IF(AH42=1,_xll.RiskBinomial(1,Prob_illness_Noro_infection),0)</f>
        <v>#NAME?</v>
      </c>
      <c r="AJ42" s="33"/>
      <c r="AK42" s="85" t="e">
        <f t="shared" ca="1" si="7"/>
        <v>#NAME?</v>
      </c>
      <c r="AL42" s="40" t="e">
        <f ca="1">INT(AK42) + _xll.RiskBinomial(1,AK42-INT(AK42))</f>
        <v>#NAME?</v>
      </c>
      <c r="AM42" s="33" t="e">
        <f t="shared" ca="1" si="8"/>
        <v>#NAME?</v>
      </c>
      <c r="AN42" s="38" t="e">
        <f ca="1">_xll.RiskBinomial(1,AM42)</f>
        <v>#NAME?</v>
      </c>
      <c r="AO42" s="86" t="e">
        <f ca="1">IF(AN42=1,_xll.RiskBinomial(1,Prob_illness_Noro_infection),0)</f>
        <v>#NAME?</v>
      </c>
      <c r="AP42" s="33"/>
      <c r="AQ42" s="85" t="e">
        <f t="shared" ca="1" si="65"/>
        <v>#NAME?</v>
      </c>
      <c r="AR42" s="40" t="e">
        <f ca="1">INT(AQ42) + _xll.RiskBinomial(1,AQ42-INT(AQ42))</f>
        <v>#NAME?</v>
      </c>
      <c r="AS42" s="33" t="e">
        <f t="shared" ca="1" si="10"/>
        <v>#NAME?</v>
      </c>
      <c r="AT42" s="38" t="e">
        <f ca="1">_xll.RiskBinomial(1,AS42)</f>
        <v>#NAME?</v>
      </c>
      <c r="AU42" s="86" t="e">
        <f ca="1">IF(AT42=1,_xll.RiskBinomial(1,Prob_illness_Noro_infection),0)</f>
        <v>#NAME?</v>
      </c>
      <c r="AV42" s="33"/>
      <c r="AW42" s="85" t="e">
        <f t="shared" ca="1" si="40"/>
        <v>#NAME?</v>
      </c>
      <c r="AX42" s="40" t="e">
        <f ca="1">INT(AW42) + _xll.RiskBinomial(1,AW42-INT(AW42))</f>
        <v>#NAME?</v>
      </c>
      <c r="AY42" s="33" t="e">
        <f t="shared" ca="1" si="11"/>
        <v>#NAME?</v>
      </c>
      <c r="AZ42" s="38" t="e">
        <f ca="1">_xll.RiskBinomial(1,AY42)</f>
        <v>#NAME?</v>
      </c>
      <c r="BA42" s="86" t="e">
        <f ca="1">IF(AZ42=1,_xll.RiskBinomial(1,Prob_illness_Noro_infection),0)</f>
        <v>#NAME?</v>
      </c>
      <c r="BC42" s="85" t="e">
        <f t="shared" ca="1" si="41"/>
        <v>#NAME?</v>
      </c>
      <c r="BD42" s="40" t="e">
        <f ca="1">INT(BC42) + _xll.RiskBinomial(1,BC42-INT(BC42))</f>
        <v>#NAME?</v>
      </c>
      <c r="BE42" s="33" t="e">
        <f t="shared" ca="1" si="12"/>
        <v>#NAME?</v>
      </c>
      <c r="BF42" s="38" t="e">
        <f ca="1">_xll.RiskBinomial(1,BE42)</f>
        <v>#NAME?</v>
      </c>
      <c r="BG42" s="86" t="e">
        <f ca="1">IF(BF42=1,_xll.RiskBinomial(1,Prob_illness_Noro_infection),0)</f>
        <v>#NAME?</v>
      </c>
      <c r="BI42" s="85" t="e">
        <f t="shared" ca="1" si="42"/>
        <v>#NAME?</v>
      </c>
      <c r="BJ42" s="40" t="e">
        <f ca="1">INT(BI42) + _xll.RiskBinomial(1,BI42-INT(BI42))</f>
        <v>#NAME?</v>
      </c>
      <c r="BK42" s="33" t="e">
        <f t="shared" ca="1" si="13"/>
        <v>#NAME?</v>
      </c>
      <c r="BL42" s="38" t="e">
        <f ca="1">_xll.RiskBinomial(1,BK42)</f>
        <v>#NAME?</v>
      </c>
      <c r="BM42" s="86" t="e">
        <f ca="1">IF(BL42=1,_xll.RiskBinomial(1,Prob_illness_Noro_infection),0)</f>
        <v>#NAME?</v>
      </c>
      <c r="BO42" s="85" t="e">
        <f t="shared" ca="1" si="43"/>
        <v>#NAME?</v>
      </c>
      <c r="BP42" s="40" t="e">
        <f ca="1">INT(BO42) + _xll.RiskBinomial(1,BO42-INT(BO42))</f>
        <v>#NAME?</v>
      </c>
      <c r="BQ42" s="33" t="e">
        <f t="shared" ca="1" si="14"/>
        <v>#NAME?</v>
      </c>
      <c r="BR42" s="38" t="e">
        <f ca="1">_xll.RiskBinomial(1,BQ42)</f>
        <v>#NAME?</v>
      </c>
      <c r="BS42" s="86" t="e">
        <f ca="1">IF(BR42=1,_xll.RiskBinomial(1,Prob_illness_Noro_infection),0)</f>
        <v>#NAME?</v>
      </c>
      <c r="BU42" s="85" t="e">
        <f t="shared" ca="1" si="44"/>
        <v>#NAME?</v>
      </c>
      <c r="BV42" s="40" t="e">
        <f ca="1">INT(BU42) + _xll.RiskBinomial(1,BU42-INT(BU42))</f>
        <v>#NAME?</v>
      </c>
      <c r="BW42" s="33" t="e">
        <f t="shared" ca="1" si="15"/>
        <v>#NAME?</v>
      </c>
      <c r="BX42" s="38" t="e">
        <f ca="1">_xll.RiskBinomial(1,BW42)</f>
        <v>#NAME?</v>
      </c>
      <c r="BY42" s="86" t="e">
        <f ca="1">IF(BX42=1,_xll.RiskBinomial(1,Prob_illness_Noro_infection),0)</f>
        <v>#NAME?</v>
      </c>
      <c r="CA42" s="85" t="e">
        <f t="shared" ca="1" si="45"/>
        <v>#NAME?</v>
      </c>
      <c r="CB42" s="40" t="e">
        <f ca="1">INT(CA42) + _xll.RiskBinomial(1,CA42-INT(CA42))</f>
        <v>#NAME?</v>
      </c>
      <c r="CC42" s="33" t="e">
        <f t="shared" ca="1" si="16"/>
        <v>#NAME?</v>
      </c>
      <c r="CD42" s="38" t="e">
        <f ca="1">_xll.RiskBinomial(1,CC42)</f>
        <v>#NAME?</v>
      </c>
      <c r="CE42" s="86" t="e">
        <f ca="1">IF(CD42=1,_xll.RiskBinomial(1,Prob_illness_Noro_infection),0)</f>
        <v>#NAME?</v>
      </c>
      <c r="CG42" s="85" t="e">
        <f t="shared" ca="1" si="46"/>
        <v>#NAME?</v>
      </c>
      <c r="CH42" s="40" t="e">
        <f ca="1">INT(CG42) + _xll.RiskBinomial(1,CG42-INT(CG42))</f>
        <v>#NAME?</v>
      </c>
      <c r="CI42" s="33" t="e">
        <f t="shared" ca="1" si="17"/>
        <v>#NAME?</v>
      </c>
      <c r="CJ42" s="38" t="e">
        <f ca="1">_xll.RiskBinomial(1,CI42)</f>
        <v>#NAME?</v>
      </c>
      <c r="CK42" s="86" t="e">
        <f ca="1">IF(CJ42=1,_xll.RiskBinomial(1,Prob_illness_Noro_infection),0)</f>
        <v>#NAME?</v>
      </c>
      <c r="CM42" s="85" t="e">
        <f t="shared" ca="1" si="47"/>
        <v>#NAME?</v>
      </c>
      <c r="CN42" s="40" t="e">
        <f ca="1">INT(CM42) + _xll.RiskBinomial(1,CM42-INT(CM42))</f>
        <v>#NAME?</v>
      </c>
      <c r="CO42" s="33" t="e">
        <f t="shared" ca="1" si="18"/>
        <v>#NAME?</v>
      </c>
      <c r="CP42" s="38" t="e">
        <f ca="1">_xll.RiskBinomial(1,CO42)</f>
        <v>#NAME?</v>
      </c>
      <c r="CQ42" s="86" t="e">
        <f ca="1">IF(CP42=1,_xll.RiskBinomial(1,Prob_illness_Noro_infection),0)</f>
        <v>#NAME?</v>
      </c>
      <c r="CS42" s="85" t="e">
        <f t="shared" ca="1" si="48"/>
        <v>#NAME?</v>
      </c>
      <c r="CT42" s="40" t="e">
        <f ca="1">INT(CS42) + _xll.RiskBinomial(1,CS42-INT(CS42))</f>
        <v>#NAME?</v>
      </c>
      <c r="CU42" s="33" t="e">
        <f t="shared" ca="1" si="19"/>
        <v>#NAME?</v>
      </c>
      <c r="CV42" s="38" t="e">
        <f ca="1">_xll.RiskBinomial(1,CU42)</f>
        <v>#NAME?</v>
      </c>
      <c r="CW42" s="86" t="e">
        <f ca="1">IF(CV42=1,_xll.RiskBinomial(1,Prob_illness_Noro_infection),0)</f>
        <v>#NAME?</v>
      </c>
      <c r="CY42" s="85" t="e">
        <f t="shared" ca="1" si="49"/>
        <v>#NAME?</v>
      </c>
      <c r="CZ42" s="40" t="e">
        <f ca="1">INT(CY42) + _xll.RiskBinomial(1,CY42-INT(CY42))</f>
        <v>#NAME?</v>
      </c>
      <c r="DA42" s="33" t="e">
        <f t="shared" ca="1" si="20"/>
        <v>#NAME?</v>
      </c>
      <c r="DB42" s="38" t="e">
        <f ca="1">_xll.RiskBinomial(1,DA42)</f>
        <v>#NAME?</v>
      </c>
      <c r="DC42" s="86" t="e">
        <f ca="1">IF(DB42=1,_xll.RiskBinomial(1,Prob_illness_Noro_infection),0)</f>
        <v>#NAME?</v>
      </c>
      <c r="DE42" s="85" t="e">
        <f t="shared" ca="1" si="50"/>
        <v>#NAME?</v>
      </c>
      <c r="DF42" s="40" t="e">
        <f ca="1">INT(DE42) + _xll.RiskBinomial(1,DE42-INT(DE42))</f>
        <v>#NAME?</v>
      </c>
      <c r="DG42" s="33" t="e">
        <f t="shared" ca="1" si="21"/>
        <v>#NAME?</v>
      </c>
      <c r="DH42" s="38" t="e">
        <f ca="1">_xll.RiskBinomial(1,DG42)</f>
        <v>#NAME?</v>
      </c>
      <c r="DI42" s="86" t="e">
        <f ca="1">IF(DH42=1,_xll.RiskBinomial(1,Prob_illness_Noro_infection),0)</f>
        <v>#NAME?</v>
      </c>
      <c r="DK42" s="85" t="e">
        <f t="shared" ca="1" si="51"/>
        <v>#NAME?</v>
      </c>
      <c r="DL42" s="40" t="e">
        <f ca="1">INT(DK42) + _xll.RiskBinomial(1,DK42-INT(DK42))</f>
        <v>#NAME?</v>
      </c>
      <c r="DM42" s="33" t="e">
        <f t="shared" ca="1" si="22"/>
        <v>#NAME?</v>
      </c>
      <c r="DN42" s="38" t="e">
        <f ca="1">_xll.RiskBinomial(1,DM42)</f>
        <v>#NAME?</v>
      </c>
      <c r="DO42" s="86" t="e">
        <f ca="1">IF(DN42=1,_xll.RiskBinomial(1,Prob_illness_Noro_infection),0)</f>
        <v>#NAME?</v>
      </c>
      <c r="DQ42" s="85" t="e">
        <f t="shared" ca="1" si="52"/>
        <v>#NAME?</v>
      </c>
      <c r="DR42" s="40" t="e">
        <f ca="1">INT(DQ42) + _xll.RiskBinomial(1,DQ42-INT(DQ42))</f>
        <v>#NAME?</v>
      </c>
      <c r="DS42" s="33" t="e">
        <f t="shared" ca="1" si="23"/>
        <v>#NAME?</v>
      </c>
      <c r="DT42" s="38" t="e">
        <f ca="1">_xll.RiskBinomial(1,DS42)</f>
        <v>#NAME?</v>
      </c>
      <c r="DU42" s="86" t="e">
        <f ca="1">IF(DT42=1,_xll.RiskBinomial(1,Prob_illness_Noro_infection),0)</f>
        <v>#NAME?</v>
      </c>
      <c r="DW42" s="85" t="e">
        <f t="shared" ca="1" si="53"/>
        <v>#NAME?</v>
      </c>
      <c r="DX42" s="40" t="e">
        <f ca="1">INT(DW42) + _xll.RiskBinomial(1,DW42-INT(DW42))</f>
        <v>#NAME?</v>
      </c>
      <c r="DY42" s="33" t="e">
        <f t="shared" ca="1" si="24"/>
        <v>#NAME?</v>
      </c>
      <c r="DZ42" s="38" t="e">
        <f ca="1">_xll.RiskBinomial(1,DY42)</f>
        <v>#NAME?</v>
      </c>
      <c r="EA42" s="86" t="e">
        <f ca="1">IF(DZ42=1,_xll.RiskBinomial(1,Prob_illness_Noro_infection),0)</f>
        <v>#NAME?</v>
      </c>
      <c r="EC42" s="85" t="e">
        <f t="shared" ca="1" si="54"/>
        <v>#NAME?</v>
      </c>
      <c r="ED42" s="40" t="e">
        <f ca="1">INT(EC42) + _xll.RiskBinomial(1,EC42-INT(EC42))</f>
        <v>#NAME?</v>
      </c>
      <c r="EE42" s="33" t="e">
        <f t="shared" ca="1" si="25"/>
        <v>#NAME?</v>
      </c>
      <c r="EF42" s="38" t="e">
        <f ca="1">_xll.RiskBinomial(1,EE42)</f>
        <v>#NAME?</v>
      </c>
      <c r="EG42" s="86" t="e">
        <f ca="1">IF(EF42=1,_xll.RiskBinomial(1,Prob_illness_Noro_infection),0)</f>
        <v>#NAME?</v>
      </c>
      <c r="EI42" s="85" t="e">
        <f t="shared" ca="1" si="55"/>
        <v>#NAME?</v>
      </c>
      <c r="EJ42" s="40" t="e">
        <f ca="1">INT(EI42) + _xll.RiskBinomial(1,EI42-INT(EI42))</f>
        <v>#NAME?</v>
      </c>
      <c r="EK42" s="33" t="e">
        <f t="shared" ca="1" si="26"/>
        <v>#NAME?</v>
      </c>
      <c r="EL42" s="38" t="e">
        <f ca="1">_xll.RiskBinomial(1,EK42)</f>
        <v>#NAME?</v>
      </c>
      <c r="EM42" s="86" t="e">
        <f ca="1">IF(EL42=1,_xll.RiskBinomial(1,Prob_illness_Noro_infection),0)</f>
        <v>#NAME?</v>
      </c>
      <c r="EO42" s="85" t="e">
        <f t="shared" ca="1" si="56"/>
        <v>#NAME?</v>
      </c>
      <c r="EP42" s="40" t="e">
        <f ca="1">INT(EO42) + _xll.RiskBinomial(1,EO42-INT(EO42))</f>
        <v>#NAME?</v>
      </c>
      <c r="EQ42" s="33" t="e">
        <f t="shared" ca="1" si="27"/>
        <v>#NAME?</v>
      </c>
      <c r="ER42" s="38" t="e">
        <f ca="1">_xll.RiskBinomial(1,EQ42)</f>
        <v>#NAME?</v>
      </c>
      <c r="ES42" s="86" t="e">
        <f ca="1">IF(ER42=1,_xll.RiskBinomial(1,Prob_illness_Noro_infection),0)</f>
        <v>#NAME?</v>
      </c>
      <c r="EU42" s="85" t="e">
        <f t="shared" ca="1" si="57"/>
        <v>#NAME?</v>
      </c>
      <c r="EV42" s="40" t="e">
        <f ca="1">INT(EU42) + _xll.RiskBinomial(1,EU42-INT(EU42))</f>
        <v>#NAME?</v>
      </c>
      <c r="EW42" s="33" t="e">
        <f t="shared" ca="1" si="28"/>
        <v>#NAME?</v>
      </c>
      <c r="EX42" s="38" t="e">
        <f ca="1">_xll.RiskBinomial(1,EW42)</f>
        <v>#NAME?</v>
      </c>
      <c r="EY42" s="86" t="e">
        <f ca="1">IF(EX42=1,_xll.RiskBinomial(1,Prob_illness_Noro_infection),0)</f>
        <v>#NAME?</v>
      </c>
      <c r="FA42" s="85" t="e">
        <f t="shared" ca="1" si="58"/>
        <v>#NAME?</v>
      </c>
      <c r="FB42" s="40" t="e">
        <f ca="1">INT(FA42) + _xll.RiskBinomial(1,FA42-INT(FA42))</f>
        <v>#NAME?</v>
      </c>
      <c r="FC42" s="33" t="e">
        <f t="shared" ca="1" si="29"/>
        <v>#NAME?</v>
      </c>
      <c r="FD42" s="38" t="e">
        <f ca="1">_xll.RiskBinomial(1,FC42)</f>
        <v>#NAME?</v>
      </c>
      <c r="FE42" s="86" t="e">
        <f ca="1">IF(FD42=1,_xll.RiskBinomial(1,Prob_illness_Noro_infection),0)</f>
        <v>#NAME?</v>
      </c>
      <c r="FG42" s="85" t="e">
        <f t="shared" ca="1" si="59"/>
        <v>#NAME?</v>
      </c>
      <c r="FH42" s="40" t="e">
        <f ca="1">INT(FG42) + _xll.RiskBinomial(1,FG42-INT(FG42))</f>
        <v>#NAME?</v>
      </c>
      <c r="FI42" s="33" t="e">
        <f t="shared" ca="1" si="30"/>
        <v>#NAME?</v>
      </c>
      <c r="FJ42" s="38" t="e">
        <f ca="1">_xll.RiskBinomial(1,FI42)</f>
        <v>#NAME?</v>
      </c>
      <c r="FK42" s="86" t="e">
        <f ca="1">IF(FJ42=1,_xll.RiskBinomial(1,Prob_illness_Noro_infection),0)</f>
        <v>#NAME?</v>
      </c>
      <c r="FM42" s="85" t="e">
        <f t="shared" ca="1" si="60"/>
        <v>#NAME?</v>
      </c>
      <c r="FN42" s="40" t="e">
        <f ca="1">INT(FM42) + _xll.RiskBinomial(1,FM42-INT(FM42))</f>
        <v>#NAME?</v>
      </c>
      <c r="FO42" s="33" t="e">
        <f t="shared" ca="1" si="31"/>
        <v>#NAME?</v>
      </c>
      <c r="FP42" s="38" t="e">
        <f ca="1">_xll.RiskBinomial(1,FO42)</f>
        <v>#NAME?</v>
      </c>
      <c r="FQ42" s="86" t="e">
        <f ca="1">IF(FP42=1,_xll.RiskBinomial(1,Prob_illness_Noro_infection),0)</f>
        <v>#NAME?</v>
      </c>
      <c r="FS42" s="85" t="e">
        <f t="shared" ca="1" si="61"/>
        <v>#NAME?</v>
      </c>
      <c r="FT42" s="40" t="e">
        <f ca="1">INT(FS42) + _xll.RiskBinomial(1,FS42-INT(FS42))</f>
        <v>#NAME?</v>
      </c>
      <c r="FU42" s="33" t="e">
        <f t="shared" ca="1" si="32"/>
        <v>#NAME?</v>
      </c>
      <c r="FV42" s="38" t="e">
        <f ca="1">_xll.RiskBinomial(1,FU42)</f>
        <v>#NAME?</v>
      </c>
      <c r="FW42" s="86" t="e">
        <f ca="1">IF(FV42=1,_xll.RiskBinomial(1,Prob_illness_Noro_infection),0)</f>
        <v>#NAME?</v>
      </c>
      <c r="FY42" s="85" t="e">
        <f t="shared" ca="1" si="62"/>
        <v>#NAME?</v>
      </c>
      <c r="FZ42" s="40" t="e">
        <f ca="1">INT(FY42) + _xll.RiskBinomial(1,FY42-INT(FY42))</f>
        <v>#NAME?</v>
      </c>
      <c r="GA42" s="33" t="e">
        <f t="shared" ca="1" si="33"/>
        <v>#NAME?</v>
      </c>
      <c r="GB42" s="38" t="e">
        <f ca="1">_xll.RiskBinomial(1,GA42)</f>
        <v>#NAME?</v>
      </c>
      <c r="GC42" s="86" t="e">
        <f ca="1">IF(GB42=1,_xll.RiskBinomial(1,Prob_illness_Noro_infection),0)</f>
        <v>#NAME?</v>
      </c>
      <c r="GE42" s="85" t="e">
        <f t="shared" ca="1" si="63"/>
        <v>#NAME?</v>
      </c>
      <c r="GF42" s="40" t="e">
        <f ca="1">INT(GE42) + _xll.RiskBinomial(1,GE42-INT(GE42))</f>
        <v>#NAME?</v>
      </c>
      <c r="GG42" s="33" t="e">
        <f t="shared" ca="1" si="34"/>
        <v>#NAME?</v>
      </c>
      <c r="GH42" s="38" t="e">
        <f ca="1">_xll.RiskBinomial(1,GG42)</f>
        <v>#NAME?</v>
      </c>
      <c r="GI42" s="86" t="e">
        <f ca="1">IF(GH42=1,_xll.RiskBinomial(1,Prob_illness_Noro_infection),0)</f>
        <v>#NAME?</v>
      </c>
      <c r="GK42" s="85" t="e">
        <f t="shared" ca="1" si="64"/>
        <v>#NAME?</v>
      </c>
      <c r="GL42" s="40" t="e">
        <f ca="1">INT(GK42) + _xll.RiskBinomial(1,GK42-INT(GK42))</f>
        <v>#NAME?</v>
      </c>
      <c r="GM42" s="33" t="e">
        <f t="shared" ca="1" si="35"/>
        <v>#NAME?</v>
      </c>
      <c r="GN42" s="38" t="e">
        <f ca="1">_xll.RiskBinomial(1,GM42)</f>
        <v>#NAME?</v>
      </c>
      <c r="GO42" s="86" t="e">
        <f ca="1">IF(GN42=1,_xll.RiskBinomial(1,Prob_illness_Noro_infection),0)</f>
        <v>#NAME?</v>
      </c>
    </row>
    <row r="43" spans="2:197" x14ac:dyDescent="0.25">
      <c r="B43" s="106">
        <v>35</v>
      </c>
      <c r="C43" s="109" t="e">
        <f ca="1" xml:space="preserve"> _xll.RiskPert(Dur_Swim_hours_min,Dur_Swim_hours_mode,Dur_Swim_hours_max)</f>
        <v>#NAME?</v>
      </c>
      <c r="D43" s="33" t="e">
        <f ca="1">_xll.RiskLognorm(Primary_Ing_Rate_mL_per_hour_mean,Primary_Ing_Rate_mL_per_hour_sd, _xll.RiskTruncate(Primary_Ing_Rate_mL_per_hour_min,Primary_Ing_Rate_mL_per_hour_max))</f>
        <v>#NAME?</v>
      </c>
      <c r="E43" s="41" t="e">
        <f t="shared" ca="1" si="36"/>
        <v>#NAME?</v>
      </c>
      <c r="F43" s="33"/>
      <c r="G43" s="85" t="e">
        <f t="shared" ca="1" si="37"/>
        <v>#NAME?</v>
      </c>
      <c r="H43" s="40" t="e">
        <f ca="1">INT(G43) + _xll.RiskBinomial(1,G43-INT(G43))</f>
        <v>#NAME?</v>
      </c>
      <c r="I43" s="33" t="e">
        <f t="shared" ca="1" si="0"/>
        <v>#NAME?</v>
      </c>
      <c r="J43" s="38" t="e">
        <f ca="1">_xll.RiskBinomial(1,I43)</f>
        <v>#NAME?</v>
      </c>
      <c r="K43" s="86" t="e">
        <f ca="1">IF(J43=1,_xll.RiskBinomial(1,Prob_illness_Noro_infection),0)</f>
        <v>#NAME?</v>
      </c>
      <c r="L43" s="33"/>
      <c r="M43" s="85" t="e">
        <f t="shared" ca="1" si="38"/>
        <v>#NAME?</v>
      </c>
      <c r="N43" s="40" t="e">
        <f ca="1">INT(M43) + _xll.RiskBinomial(1,M43-INT(M43))</f>
        <v>#NAME?</v>
      </c>
      <c r="O43" s="33" t="e">
        <f t="shared" ca="1" si="1"/>
        <v>#NAME?</v>
      </c>
      <c r="P43" s="38" t="e">
        <f ca="1">_xll.RiskBinomial(1,O43)</f>
        <v>#NAME?</v>
      </c>
      <c r="Q43" s="86" t="e">
        <f ca="1">IF(P43=1,_xll.RiskBinomial(1,Prob_illness_Noro_infection),0)</f>
        <v>#NAME?</v>
      </c>
      <c r="R43" s="33"/>
      <c r="S43" s="85" t="e">
        <f t="shared" ca="1" si="39"/>
        <v>#NAME?</v>
      </c>
      <c r="T43" s="40" t="e">
        <f ca="1">INT(S43) + _xll.RiskBinomial(1,S43-INT(S43))</f>
        <v>#NAME?</v>
      </c>
      <c r="U43" s="33" t="e">
        <f t="shared" ca="1" si="2"/>
        <v>#NAME?</v>
      </c>
      <c r="V43" s="38" t="e">
        <f ca="1">_xll.RiskBinomial(1,U43)</f>
        <v>#NAME?</v>
      </c>
      <c r="W43" s="86" t="e">
        <f ca="1">IF(V43=1,_xll.RiskBinomial(1,Prob_illness_Noro_infection),0)</f>
        <v>#NAME?</v>
      </c>
      <c r="X43" s="33"/>
      <c r="Y43" s="85" t="e">
        <f t="shared" ca="1" si="3"/>
        <v>#NAME?</v>
      </c>
      <c r="Z43" s="40" t="e">
        <f ca="1">INT(Y43) + _xll.RiskBinomial(1,Y43-INT(Y43))</f>
        <v>#NAME?</v>
      </c>
      <c r="AA43" s="33" t="e">
        <f t="shared" ca="1" si="4"/>
        <v>#NAME?</v>
      </c>
      <c r="AB43" s="38" t="e">
        <f ca="1">_xll.RiskBinomial(1,AA43)</f>
        <v>#NAME?</v>
      </c>
      <c r="AC43" s="86" t="e">
        <f ca="1">IF(AB43=1,_xll.RiskBinomial(1,Prob_illness_Noro_infection),0)</f>
        <v>#NAME?</v>
      </c>
      <c r="AD43" s="33"/>
      <c r="AE43" s="85" t="e">
        <f t="shared" ca="1" si="5"/>
        <v>#NAME?</v>
      </c>
      <c r="AF43" s="40" t="e">
        <f ca="1">INT(AE43) + _xll.RiskBinomial(1,AE43-INT(AE43))</f>
        <v>#NAME?</v>
      </c>
      <c r="AG43" s="33" t="e">
        <f t="shared" ca="1" si="6"/>
        <v>#NAME?</v>
      </c>
      <c r="AH43" s="38" t="e">
        <f ca="1">_xll.RiskBinomial(1,AG43)</f>
        <v>#NAME?</v>
      </c>
      <c r="AI43" s="86" t="e">
        <f ca="1">IF(AH43=1,_xll.RiskBinomial(1,Prob_illness_Noro_infection),0)</f>
        <v>#NAME?</v>
      </c>
      <c r="AJ43" s="33"/>
      <c r="AK43" s="85" t="e">
        <f t="shared" ca="1" si="7"/>
        <v>#NAME?</v>
      </c>
      <c r="AL43" s="40" t="e">
        <f ca="1">INT(AK43) + _xll.RiskBinomial(1,AK43-INT(AK43))</f>
        <v>#NAME?</v>
      </c>
      <c r="AM43" s="33" t="e">
        <f t="shared" ca="1" si="8"/>
        <v>#NAME?</v>
      </c>
      <c r="AN43" s="38" t="e">
        <f ca="1">_xll.RiskBinomial(1,AM43)</f>
        <v>#NAME?</v>
      </c>
      <c r="AO43" s="86" t="e">
        <f ca="1">IF(AN43=1,_xll.RiskBinomial(1,Prob_illness_Noro_infection),0)</f>
        <v>#NAME?</v>
      </c>
      <c r="AP43" s="33"/>
      <c r="AQ43" s="85" t="e">
        <f t="shared" ca="1" si="65"/>
        <v>#NAME?</v>
      </c>
      <c r="AR43" s="40" t="e">
        <f ca="1">INT(AQ43) + _xll.RiskBinomial(1,AQ43-INT(AQ43))</f>
        <v>#NAME?</v>
      </c>
      <c r="AS43" s="33" t="e">
        <f t="shared" ca="1" si="10"/>
        <v>#NAME?</v>
      </c>
      <c r="AT43" s="38" t="e">
        <f ca="1">_xll.RiskBinomial(1,AS43)</f>
        <v>#NAME?</v>
      </c>
      <c r="AU43" s="86" t="e">
        <f ca="1">IF(AT43=1,_xll.RiskBinomial(1,Prob_illness_Noro_infection),0)</f>
        <v>#NAME?</v>
      </c>
      <c r="AV43" s="33"/>
      <c r="AW43" s="85" t="e">
        <f t="shared" ca="1" si="40"/>
        <v>#NAME?</v>
      </c>
      <c r="AX43" s="40" t="e">
        <f ca="1">INT(AW43) + _xll.RiskBinomial(1,AW43-INT(AW43))</f>
        <v>#NAME?</v>
      </c>
      <c r="AY43" s="33" t="e">
        <f t="shared" ca="1" si="11"/>
        <v>#NAME?</v>
      </c>
      <c r="AZ43" s="38" t="e">
        <f ca="1">_xll.RiskBinomial(1,AY43)</f>
        <v>#NAME?</v>
      </c>
      <c r="BA43" s="86" t="e">
        <f ca="1">IF(AZ43=1,_xll.RiskBinomial(1,Prob_illness_Noro_infection),0)</f>
        <v>#NAME?</v>
      </c>
      <c r="BC43" s="85" t="e">
        <f t="shared" ca="1" si="41"/>
        <v>#NAME?</v>
      </c>
      <c r="BD43" s="40" t="e">
        <f ca="1">INT(BC43) + _xll.RiskBinomial(1,BC43-INT(BC43))</f>
        <v>#NAME?</v>
      </c>
      <c r="BE43" s="33" t="e">
        <f t="shared" ca="1" si="12"/>
        <v>#NAME?</v>
      </c>
      <c r="BF43" s="38" t="e">
        <f ca="1">_xll.RiskBinomial(1,BE43)</f>
        <v>#NAME?</v>
      </c>
      <c r="BG43" s="86" t="e">
        <f ca="1">IF(BF43=1,_xll.RiskBinomial(1,Prob_illness_Noro_infection),0)</f>
        <v>#NAME?</v>
      </c>
      <c r="BI43" s="85" t="e">
        <f t="shared" ca="1" si="42"/>
        <v>#NAME?</v>
      </c>
      <c r="BJ43" s="40" t="e">
        <f ca="1">INT(BI43) + _xll.RiskBinomial(1,BI43-INT(BI43))</f>
        <v>#NAME?</v>
      </c>
      <c r="BK43" s="33" t="e">
        <f t="shared" ca="1" si="13"/>
        <v>#NAME?</v>
      </c>
      <c r="BL43" s="38" t="e">
        <f ca="1">_xll.RiskBinomial(1,BK43)</f>
        <v>#NAME?</v>
      </c>
      <c r="BM43" s="86" t="e">
        <f ca="1">IF(BL43=1,_xll.RiskBinomial(1,Prob_illness_Noro_infection),0)</f>
        <v>#NAME?</v>
      </c>
      <c r="BO43" s="85" t="e">
        <f t="shared" ca="1" si="43"/>
        <v>#NAME?</v>
      </c>
      <c r="BP43" s="40" t="e">
        <f ca="1">INT(BO43) + _xll.RiskBinomial(1,BO43-INT(BO43))</f>
        <v>#NAME?</v>
      </c>
      <c r="BQ43" s="33" t="e">
        <f t="shared" ca="1" si="14"/>
        <v>#NAME?</v>
      </c>
      <c r="BR43" s="38" t="e">
        <f ca="1">_xll.RiskBinomial(1,BQ43)</f>
        <v>#NAME?</v>
      </c>
      <c r="BS43" s="86" t="e">
        <f ca="1">IF(BR43=1,_xll.RiskBinomial(1,Prob_illness_Noro_infection),0)</f>
        <v>#NAME?</v>
      </c>
      <c r="BU43" s="85" t="e">
        <f t="shared" ca="1" si="44"/>
        <v>#NAME?</v>
      </c>
      <c r="BV43" s="40" t="e">
        <f ca="1">INT(BU43) + _xll.RiskBinomial(1,BU43-INT(BU43))</f>
        <v>#NAME?</v>
      </c>
      <c r="BW43" s="33" t="e">
        <f t="shared" ca="1" si="15"/>
        <v>#NAME?</v>
      </c>
      <c r="BX43" s="38" t="e">
        <f ca="1">_xll.RiskBinomial(1,BW43)</f>
        <v>#NAME?</v>
      </c>
      <c r="BY43" s="86" t="e">
        <f ca="1">IF(BX43=1,_xll.RiskBinomial(1,Prob_illness_Noro_infection),0)</f>
        <v>#NAME?</v>
      </c>
      <c r="CA43" s="85" t="e">
        <f t="shared" ca="1" si="45"/>
        <v>#NAME?</v>
      </c>
      <c r="CB43" s="40" t="e">
        <f ca="1">INT(CA43) + _xll.RiskBinomial(1,CA43-INT(CA43))</f>
        <v>#NAME?</v>
      </c>
      <c r="CC43" s="33" t="e">
        <f t="shared" ca="1" si="16"/>
        <v>#NAME?</v>
      </c>
      <c r="CD43" s="38" t="e">
        <f ca="1">_xll.RiskBinomial(1,CC43)</f>
        <v>#NAME?</v>
      </c>
      <c r="CE43" s="86" t="e">
        <f ca="1">IF(CD43=1,_xll.RiskBinomial(1,Prob_illness_Noro_infection),0)</f>
        <v>#NAME?</v>
      </c>
      <c r="CG43" s="85" t="e">
        <f t="shared" ca="1" si="46"/>
        <v>#NAME?</v>
      </c>
      <c r="CH43" s="40" t="e">
        <f ca="1">INT(CG43) + _xll.RiskBinomial(1,CG43-INT(CG43))</f>
        <v>#NAME?</v>
      </c>
      <c r="CI43" s="33" t="e">
        <f t="shared" ca="1" si="17"/>
        <v>#NAME?</v>
      </c>
      <c r="CJ43" s="38" t="e">
        <f ca="1">_xll.RiskBinomial(1,CI43)</f>
        <v>#NAME?</v>
      </c>
      <c r="CK43" s="86" t="e">
        <f ca="1">IF(CJ43=1,_xll.RiskBinomial(1,Prob_illness_Noro_infection),0)</f>
        <v>#NAME?</v>
      </c>
      <c r="CM43" s="85" t="e">
        <f t="shared" ca="1" si="47"/>
        <v>#NAME?</v>
      </c>
      <c r="CN43" s="40" t="e">
        <f ca="1">INT(CM43) + _xll.RiskBinomial(1,CM43-INT(CM43))</f>
        <v>#NAME?</v>
      </c>
      <c r="CO43" s="33" t="e">
        <f t="shared" ca="1" si="18"/>
        <v>#NAME?</v>
      </c>
      <c r="CP43" s="38" t="e">
        <f ca="1">_xll.RiskBinomial(1,CO43)</f>
        <v>#NAME?</v>
      </c>
      <c r="CQ43" s="86" t="e">
        <f ca="1">IF(CP43=1,_xll.RiskBinomial(1,Prob_illness_Noro_infection),0)</f>
        <v>#NAME?</v>
      </c>
      <c r="CS43" s="85" t="e">
        <f t="shared" ca="1" si="48"/>
        <v>#NAME?</v>
      </c>
      <c r="CT43" s="40" t="e">
        <f ca="1">INT(CS43) + _xll.RiskBinomial(1,CS43-INT(CS43))</f>
        <v>#NAME?</v>
      </c>
      <c r="CU43" s="33" t="e">
        <f t="shared" ca="1" si="19"/>
        <v>#NAME?</v>
      </c>
      <c r="CV43" s="38" t="e">
        <f ca="1">_xll.RiskBinomial(1,CU43)</f>
        <v>#NAME?</v>
      </c>
      <c r="CW43" s="86" t="e">
        <f ca="1">IF(CV43=1,_xll.RiskBinomial(1,Prob_illness_Noro_infection),0)</f>
        <v>#NAME?</v>
      </c>
      <c r="CY43" s="85" t="e">
        <f t="shared" ca="1" si="49"/>
        <v>#NAME?</v>
      </c>
      <c r="CZ43" s="40" t="e">
        <f ca="1">INT(CY43) + _xll.RiskBinomial(1,CY43-INT(CY43))</f>
        <v>#NAME?</v>
      </c>
      <c r="DA43" s="33" t="e">
        <f t="shared" ca="1" si="20"/>
        <v>#NAME?</v>
      </c>
      <c r="DB43" s="38" t="e">
        <f ca="1">_xll.RiskBinomial(1,DA43)</f>
        <v>#NAME?</v>
      </c>
      <c r="DC43" s="86" t="e">
        <f ca="1">IF(DB43=1,_xll.RiskBinomial(1,Prob_illness_Noro_infection),0)</f>
        <v>#NAME?</v>
      </c>
      <c r="DE43" s="85" t="e">
        <f t="shared" ca="1" si="50"/>
        <v>#NAME?</v>
      </c>
      <c r="DF43" s="40" t="e">
        <f ca="1">INT(DE43) + _xll.RiskBinomial(1,DE43-INT(DE43))</f>
        <v>#NAME?</v>
      </c>
      <c r="DG43" s="33" t="e">
        <f t="shared" ca="1" si="21"/>
        <v>#NAME?</v>
      </c>
      <c r="DH43" s="38" t="e">
        <f ca="1">_xll.RiskBinomial(1,DG43)</f>
        <v>#NAME?</v>
      </c>
      <c r="DI43" s="86" t="e">
        <f ca="1">IF(DH43=1,_xll.RiskBinomial(1,Prob_illness_Noro_infection),0)</f>
        <v>#NAME?</v>
      </c>
      <c r="DK43" s="85" t="e">
        <f t="shared" ca="1" si="51"/>
        <v>#NAME?</v>
      </c>
      <c r="DL43" s="40" t="e">
        <f ca="1">INT(DK43) + _xll.RiskBinomial(1,DK43-INT(DK43))</f>
        <v>#NAME?</v>
      </c>
      <c r="DM43" s="33" t="e">
        <f t="shared" ca="1" si="22"/>
        <v>#NAME?</v>
      </c>
      <c r="DN43" s="38" t="e">
        <f ca="1">_xll.RiskBinomial(1,DM43)</f>
        <v>#NAME?</v>
      </c>
      <c r="DO43" s="86" t="e">
        <f ca="1">IF(DN43=1,_xll.RiskBinomial(1,Prob_illness_Noro_infection),0)</f>
        <v>#NAME?</v>
      </c>
      <c r="DQ43" s="85" t="e">
        <f t="shared" ca="1" si="52"/>
        <v>#NAME?</v>
      </c>
      <c r="DR43" s="40" t="e">
        <f ca="1">INT(DQ43) + _xll.RiskBinomial(1,DQ43-INT(DQ43))</f>
        <v>#NAME?</v>
      </c>
      <c r="DS43" s="33" t="e">
        <f t="shared" ca="1" si="23"/>
        <v>#NAME?</v>
      </c>
      <c r="DT43" s="38" t="e">
        <f ca="1">_xll.RiskBinomial(1,DS43)</f>
        <v>#NAME?</v>
      </c>
      <c r="DU43" s="86" t="e">
        <f ca="1">IF(DT43=1,_xll.RiskBinomial(1,Prob_illness_Noro_infection),0)</f>
        <v>#NAME?</v>
      </c>
      <c r="DW43" s="85" t="e">
        <f t="shared" ca="1" si="53"/>
        <v>#NAME?</v>
      </c>
      <c r="DX43" s="40" t="e">
        <f ca="1">INT(DW43) + _xll.RiskBinomial(1,DW43-INT(DW43))</f>
        <v>#NAME?</v>
      </c>
      <c r="DY43" s="33" t="e">
        <f t="shared" ca="1" si="24"/>
        <v>#NAME?</v>
      </c>
      <c r="DZ43" s="38" t="e">
        <f ca="1">_xll.RiskBinomial(1,DY43)</f>
        <v>#NAME?</v>
      </c>
      <c r="EA43" s="86" t="e">
        <f ca="1">IF(DZ43=1,_xll.RiskBinomial(1,Prob_illness_Noro_infection),0)</f>
        <v>#NAME?</v>
      </c>
      <c r="EC43" s="85" t="e">
        <f t="shared" ca="1" si="54"/>
        <v>#NAME?</v>
      </c>
      <c r="ED43" s="40" t="e">
        <f ca="1">INT(EC43) + _xll.RiskBinomial(1,EC43-INT(EC43))</f>
        <v>#NAME?</v>
      </c>
      <c r="EE43" s="33" t="e">
        <f t="shared" ca="1" si="25"/>
        <v>#NAME?</v>
      </c>
      <c r="EF43" s="38" t="e">
        <f ca="1">_xll.RiskBinomial(1,EE43)</f>
        <v>#NAME?</v>
      </c>
      <c r="EG43" s="86" t="e">
        <f ca="1">IF(EF43=1,_xll.RiskBinomial(1,Prob_illness_Noro_infection),0)</f>
        <v>#NAME?</v>
      </c>
      <c r="EI43" s="85" t="e">
        <f t="shared" ca="1" si="55"/>
        <v>#NAME?</v>
      </c>
      <c r="EJ43" s="40" t="e">
        <f ca="1">INT(EI43) + _xll.RiskBinomial(1,EI43-INT(EI43))</f>
        <v>#NAME?</v>
      </c>
      <c r="EK43" s="33" t="e">
        <f t="shared" ca="1" si="26"/>
        <v>#NAME?</v>
      </c>
      <c r="EL43" s="38" t="e">
        <f ca="1">_xll.RiskBinomial(1,EK43)</f>
        <v>#NAME?</v>
      </c>
      <c r="EM43" s="86" t="e">
        <f ca="1">IF(EL43=1,_xll.RiskBinomial(1,Prob_illness_Noro_infection),0)</f>
        <v>#NAME?</v>
      </c>
      <c r="EO43" s="85" t="e">
        <f t="shared" ca="1" si="56"/>
        <v>#NAME?</v>
      </c>
      <c r="EP43" s="40" t="e">
        <f ca="1">INT(EO43) + _xll.RiskBinomial(1,EO43-INT(EO43))</f>
        <v>#NAME?</v>
      </c>
      <c r="EQ43" s="33" t="e">
        <f t="shared" ca="1" si="27"/>
        <v>#NAME?</v>
      </c>
      <c r="ER43" s="38" t="e">
        <f ca="1">_xll.RiskBinomial(1,EQ43)</f>
        <v>#NAME?</v>
      </c>
      <c r="ES43" s="86" t="e">
        <f ca="1">IF(ER43=1,_xll.RiskBinomial(1,Prob_illness_Noro_infection),0)</f>
        <v>#NAME?</v>
      </c>
      <c r="EU43" s="85" t="e">
        <f t="shared" ca="1" si="57"/>
        <v>#NAME?</v>
      </c>
      <c r="EV43" s="40" t="e">
        <f ca="1">INT(EU43) + _xll.RiskBinomial(1,EU43-INT(EU43))</f>
        <v>#NAME?</v>
      </c>
      <c r="EW43" s="33" t="e">
        <f t="shared" ca="1" si="28"/>
        <v>#NAME?</v>
      </c>
      <c r="EX43" s="38" t="e">
        <f ca="1">_xll.RiskBinomial(1,EW43)</f>
        <v>#NAME?</v>
      </c>
      <c r="EY43" s="86" t="e">
        <f ca="1">IF(EX43=1,_xll.RiskBinomial(1,Prob_illness_Noro_infection),0)</f>
        <v>#NAME?</v>
      </c>
      <c r="FA43" s="85" t="e">
        <f t="shared" ca="1" si="58"/>
        <v>#NAME?</v>
      </c>
      <c r="FB43" s="40" t="e">
        <f ca="1">INT(FA43) + _xll.RiskBinomial(1,FA43-INT(FA43))</f>
        <v>#NAME?</v>
      </c>
      <c r="FC43" s="33" t="e">
        <f t="shared" ca="1" si="29"/>
        <v>#NAME?</v>
      </c>
      <c r="FD43" s="38" t="e">
        <f ca="1">_xll.RiskBinomial(1,FC43)</f>
        <v>#NAME?</v>
      </c>
      <c r="FE43" s="86" t="e">
        <f ca="1">IF(FD43=1,_xll.RiskBinomial(1,Prob_illness_Noro_infection),0)</f>
        <v>#NAME?</v>
      </c>
      <c r="FG43" s="85" t="e">
        <f t="shared" ca="1" si="59"/>
        <v>#NAME?</v>
      </c>
      <c r="FH43" s="40" t="e">
        <f ca="1">INT(FG43) + _xll.RiskBinomial(1,FG43-INT(FG43))</f>
        <v>#NAME?</v>
      </c>
      <c r="FI43" s="33" t="e">
        <f t="shared" ca="1" si="30"/>
        <v>#NAME?</v>
      </c>
      <c r="FJ43" s="38" t="e">
        <f ca="1">_xll.RiskBinomial(1,FI43)</f>
        <v>#NAME?</v>
      </c>
      <c r="FK43" s="86" t="e">
        <f ca="1">IF(FJ43=1,_xll.RiskBinomial(1,Prob_illness_Noro_infection),0)</f>
        <v>#NAME?</v>
      </c>
      <c r="FM43" s="85" t="e">
        <f t="shared" ca="1" si="60"/>
        <v>#NAME?</v>
      </c>
      <c r="FN43" s="40" t="e">
        <f ca="1">INT(FM43) + _xll.RiskBinomial(1,FM43-INT(FM43))</f>
        <v>#NAME?</v>
      </c>
      <c r="FO43" s="33" t="e">
        <f t="shared" ca="1" si="31"/>
        <v>#NAME?</v>
      </c>
      <c r="FP43" s="38" t="e">
        <f ca="1">_xll.RiskBinomial(1,FO43)</f>
        <v>#NAME?</v>
      </c>
      <c r="FQ43" s="86" t="e">
        <f ca="1">IF(FP43=1,_xll.RiskBinomial(1,Prob_illness_Noro_infection),0)</f>
        <v>#NAME?</v>
      </c>
      <c r="FS43" s="85" t="e">
        <f t="shared" ca="1" si="61"/>
        <v>#NAME?</v>
      </c>
      <c r="FT43" s="40" t="e">
        <f ca="1">INT(FS43) + _xll.RiskBinomial(1,FS43-INT(FS43))</f>
        <v>#NAME?</v>
      </c>
      <c r="FU43" s="33" t="e">
        <f t="shared" ca="1" si="32"/>
        <v>#NAME?</v>
      </c>
      <c r="FV43" s="38" t="e">
        <f ca="1">_xll.RiskBinomial(1,FU43)</f>
        <v>#NAME?</v>
      </c>
      <c r="FW43" s="86" t="e">
        <f ca="1">IF(FV43=1,_xll.RiskBinomial(1,Prob_illness_Noro_infection),0)</f>
        <v>#NAME?</v>
      </c>
      <c r="FY43" s="85" t="e">
        <f t="shared" ca="1" si="62"/>
        <v>#NAME?</v>
      </c>
      <c r="FZ43" s="40" t="e">
        <f ca="1">INT(FY43) + _xll.RiskBinomial(1,FY43-INT(FY43))</f>
        <v>#NAME?</v>
      </c>
      <c r="GA43" s="33" t="e">
        <f t="shared" ca="1" si="33"/>
        <v>#NAME?</v>
      </c>
      <c r="GB43" s="38" t="e">
        <f ca="1">_xll.RiskBinomial(1,GA43)</f>
        <v>#NAME?</v>
      </c>
      <c r="GC43" s="86" t="e">
        <f ca="1">IF(GB43=1,_xll.RiskBinomial(1,Prob_illness_Noro_infection),0)</f>
        <v>#NAME?</v>
      </c>
      <c r="GE43" s="85" t="e">
        <f t="shared" ca="1" si="63"/>
        <v>#NAME?</v>
      </c>
      <c r="GF43" s="40" t="e">
        <f ca="1">INT(GE43) + _xll.RiskBinomial(1,GE43-INT(GE43))</f>
        <v>#NAME?</v>
      </c>
      <c r="GG43" s="33" t="e">
        <f t="shared" ca="1" si="34"/>
        <v>#NAME?</v>
      </c>
      <c r="GH43" s="38" t="e">
        <f ca="1">_xll.RiskBinomial(1,GG43)</f>
        <v>#NAME?</v>
      </c>
      <c r="GI43" s="86" t="e">
        <f ca="1">IF(GH43=1,_xll.RiskBinomial(1,Prob_illness_Noro_infection),0)</f>
        <v>#NAME?</v>
      </c>
      <c r="GK43" s="85" t="e">
        <f t="shared" ca="1" si="64"/>
        <v>#NAME?</v>
      </c>
      <c r="GL43" s="40" t="e">
        <f ca="1">INT(GK43) + _xll.RiskBinomial(1,GK43-INT(GK43))</f>
        <v>#NAME?</v>
      </c>
      <c r="GM43" s="33" t="e">
        <f t="shared" ca="1" si="35"/>
        <v>#NAME?</v>
      </c>
      <c r="GN43" s="38" t="e">
        <f ca="1">_xll.RiskBinomial(1,GM43)</f>
        <v>#NAME?</v>
      </c>
      <c r="GO43" s="86" t="e">
        <f ca="1">IF(GN43=1,_xll.RiskBinomial(1,Prob_illness_Noro_infection),0)</f>
        <v>#NAME?</v>
      </c>
    </row>
    <row r="44" spans="2:197" x14ac:dyDescent="0.25">
      <c r="B44" s="106">
        <v>36</v>
      </c>
      <c r="C44" s="109" t="e">
        <f ca="1" xml:space="preserve"> _xll.RiskPert(Dur_Swim_hours_min,Dur_Swim_hours_mode,Dur_Swim_hours_max)</f>
        <v>#NAME?</v>
      </c>
      <c r="D44" s="33" t="e">
        <f ca="1">_xll.RiskLognorm(Primary_Ing_Rate_mL_per_hour_mean,Primary_Ing_Rate_mL_per_hour_sd, _xll.RiskTruncate(Primary_Ing_Rate_mL_per_hour_min,Primary_Ing_Rate_mL_per_hour_max))</f>
        <v>#NAME?</v>
      </c>
      <c r="E44" s="41" t="e">
        <f t="shared" ca="1" si="36"/>
        <v>#NAME?</v>
      </c>
      <c r="F44" s="33"/>
      <c r="G44" s="85" t="e">
        <f t="shared" ca="1" si="37"/>
        <v>#NAME?</v>
      </c>
      <c r="H44" s="40" t="e">
        <f ca="1">INT(G44) + _xll.RiskBinomial(1,G44-INT(G44))</f>
        <v>#NAME?</v>
      </c>
      <c r="I44" s="33" t="e">
        <f t="shared" ca="1" si="0"/>
        <v>#NAME?</v>
      </c>
      <c r="J44" s="38" t="e">
        <f ca="1">_xll.RiskBinomial(1,I44)</f>
        <v>#NAME?</v>
      </c>
      <c r="K44" s="86" t="e">
        <f ca="1">IF(J44=1,_xll.RiskBinomial(1,Prob_illness_Noro_infection),0)</f>
        <v>#NAME?</v>
      </c>
      <c r="L44" s="33"/>
      <c r="M44" s="85" t="e">
        <f t="shared" ca="1" si="38"/>
        <v>#NAME?</v>
      </c>
      <c r="N44" s="40" t="e">
        <f ca="1">INT(M44) + _xll.RiskBinomial(1,M44-INT(M44))</f>
        <v>#NAME?</v>
      </c>
      <c r="O44" s="33" t="e">
        <f t="shared" ca="1" si="1"/>
        <v>#NAME?</v>
      </c>
      <c r="P44" s="38" t="e">
        <f ca="1">_xll.RiskBinomial(1,O44)</f>
        <v>#NAME?</v>
      </c>
      <c r="Q44" s="86" t="e">
        <f ca="1">IF(P44=1,_xll.RiskBinomial(1,Prob_illness_Noro_infection),0)</f>
        <v>#NAME?</v>
      </c>
      <c r="R44" s="33"/>
      <c r="S44" s="85" t="e">
        <f t="shared" ca="1" si="39"/>
        <v>#NAME?</v>
      </c>
      <c r="T44" s="40" t="e">
        <f ca="1">INT(S44) + _xll.RiskBinomial(1,S44-INT(S44))</f>
        <v>#NAME?</v>
      </c>
      <c r="U44" s="33" t="e">
        <f t="shared" ca="1" si="2"/>
        <v>#NAME?</v>
      </c>
      <c r="V44" s="38" t="e">
        <f ca="1">_xll.RiskBinomial(1,U44)</f>
        <v>#NAME?</v>
      </c>
      <c r="W44" s="86" t="e">
        <f ca="1">IF(V44=1,_xll.RiskBinomial(1,Prob_illness_Noro_infection),0)</f>
        <v>#NAME?</v>
      </c>
      <c r="X44" s="33"/>
      <c r="Y44" s="85" t="e">
        <f t="shared" ca="1" si="3"/>
        <v>#NAME?</v>
      </c>
      <c r="Z44" s="40" t="e">
        <f ca="1">INT(Y44) + _xll.RiskBinomial(1,Y44-INT(Y44))</f>
        <v>#NAME?</v>
      </c>
      <c r="AA44" s="33" t="e">
        <f t="shared" ca="1" si="4"/>
        <v>#NAME?</v>
      </c>
      <c r="AB44" s="38" t="e">
        <f ca="1">_xll.RiskBinomial(1,AA44)</f>
        <v>#NAME?</v>
      </c>
      <c r="AC44" s="86" t="e">
        <f ca="1">IF(AB44=1,_xll.RiskBinomial(1,Prob_illness_Noro_infection),0)</f>
        <v>#NAME?</v>
      </c>
      <c r="AD44" s="33"/>
      <c r="AE44" s="85" t="e">
        <f t="shared" ca="1" si="5"/>
        <v>#NAME?</v>
      </c>
      <c r="AF44" s="40" t="e">
        <f ca="1">INT(AE44) + _xll.RiskBinomial(1,AE44-INT(AE44))</f>
        <v>#NAME?</v>
      </c>
      <c r="AG44" s="33" t="e">
        <f t="shared" ca="1" si="6"/>
        <v>#NAME?</v>
      </c>
      <c r="AH44" s="38" t="e">
        <f ca="1">_xll.RiskBinomial(1,AG44)</f>
        <v>#NAME?</v>
      </c>
      <c r="AI44" s="86" t="e">
        <f ca="1">IF(AH44=1,_xll.RiskBinomial(1,Prob_illness_Noro_infection),0)</f>
        <v>#NAME?</v>
      </c>
      <c r="AJ44" s="33"/>
      <c r="AK44" s="85" t="e">
        <f t="shared" ca="1" si="7"/>
        <v>#NAME?</v>
      </c>
      <c r="AL44" s="40" t="e">
        <f ca="1">INT(AK44) + _xll.RiskBinomial(1,AK44-INT(AK44))</f>
        <v>#NAME?</v>
      </c>
      <c r="AM44" s="33" t="e">
        <f t="shared" ca="1" si="8"/>
        <v>#NAME?</v>
      </c>
      <c r="AN44" s="38" t="e">
        <f ca="1">_xll.RiskBinomial(1,AM44)</f>
        <v>#NAME?</v>
      </c>
      <c r="AO44" s="86" t="e">
        <f ca="1">IF(AN44=1,_xll.RiskBinomial(1,Prob_illness_Noro_infection),0)</f>
        <v>#NAME?</v>
      </c>
      <c r="AP44" s="33"/>
      <c r="AQ44" s="85" t="e">
        <f t="shared" ca="1" si="65"/>
        <v>#NAME?</v>
      </c>
      <c r="AR44" s="40" t="e">
        <f ca="1">INT(AQ44) + _xll.RiskBinomial(1,AQ44-INT(AQ44))</f>
        <v>#NAME?</v>
      </c>
      <c r="AS44" s="33" t="e">
        <f t="shared" ca="1" si="10"/>
        <v>#NAME?</v>
      </c>
      <c r="AT44" s="38" t="e">
        <f ca="1">_xll.RiskBinomial(1,AS44)</f>
        <v>#NAME?</v>
      </c>
      <c r="AU44" s="86" t="e">
        <f ca="1">IF(AT44=1,_xll.RiskBinomial(1,Prob_illness_Noro_infection),0)</f>
        <v>#NAME?</v>
      </c>
      <c r="AV44" s="33"/>
      <c r="AW44" s="85" t="e">
        <f t="shared" ca="1" si="40"/>
        <v>#NAME?</v>
      </c>
      <c r="AX44" s="40" t="e">
        <f ca="1">INT(AW44) + _xll.RiskBinomial(1,AW44-INT(AW44))</f>
        <v>#NAME?</v>
      </c>
      <c r="AY44" s="33" t="e">
        <f t="shared" ca="1" si="11"/>
        <v>#NAME?</v>
      </c>
      <c r="AZ44" s="38" t="e">
        <f ca="1">_xll.RiskBinomial(1,AY44)</f>
        <v>#NAME?</v>
      </c>
      <c r="BA44" s="86" t="e">
        <f ca="1">IF(AZ44=1,_xll.RiskBinomial(1,Prob_illness_Noro_infection),0)</f>
        <v>#NAME?</v>
      </c>
      <c r="BC44" s="85" t="e">
        <f t="shared" ca="1" si="41"/>
        <v>#NAME?</v>
      </c>
      <c r="BD44" s="40" t="e">
        <f ca="1">INT(BC44) + _xll.RiskBinomial(1,BC44-INT(BC44))</f>
        <v>#NAME?</v>
      </c>
      <c r="BE44" s="33" t="e">
        <f t="shared" ca="1" si="12"/>
        <v>#NAME?</v>
      </c>
      <c r="BF44" s="38" t="e">
        <f ca="1">_xll.RiskBinomial(1,BE44)</f>
        <v>#NAME?</v>
      </c>
      <c r="BG44" s="86" t="e">
        <f ca="1">IF(BF44=1,_xll.RiskBinomial(1,Prob_illness_Noro_infection),0)</f>
        <v>#NAME?</v>
      </c>
      <c r="BI44" s="85" t="e">
        <f t="shared" ca="1" si="42"/>
        <v>#NAME?</v>
      </c>
      <c r="BJ44" s="40" t="e">
        <f ca="1">INT(BI44) + _xll.RiskBinomial(1,BI44-INT(BI44))</f>
        <v>#NAME?</v>
      </c>
      <c r="BK44" s="33" t="e">
        <f t="shared" ca="1" si="13"/>
        <v>#NAME?</v>
      </c>
      <c r="BL44" s="38" t="e">
        <f ca="1">_xll.RiskBinomial(1,BK44)</f>
        <v>#NAME?</v>
      </c>
      <c r="BM44" s="86" t="e">
        <f ca="1">IF(BL44=1,_xll.RiskBinomial(1,Prob_illness_Noro_infection),0)</f>
        <v>#NAME?</v>
      </c>
      <c r="BO44" s="85" t="e">
        <f t="shared" ca="1" si="43"/>
        <v>#NAME?</v>
      </c>
      <c r="BP44" s="40" t="e">
        <f ca="1">INT(BO44) + _xll.RiskBinomial(1,BO44-INT(BO44))</f>
        <v>#NAME?</v>
      </c>
      <c r="BQ44" s="33" t="e">
        <f t="shared" ca="1" si="14"/>
        <v>#NAME?</v>
      </c>
      <c r="BR44" s="38" t="e">
        <f ca="1">_xll.RiskBinomial(1,BQ44)</f>
        <v>#NAME?</v>
      </c>
      <c r="BS44" s="86" t="e">
        <f ca="1">IF(BR44=1,_xll.RiskBinomial(1,Prob_illness_Noro_infection),0)</f>
        <v>#NAME?</v>
      </c>
      <c r="BU44" s="85" t="e">
        <f t="shared" ca="1" si="44"/>
        <v>#NAME?</v>
      </c>
      <c r="BV44" s="40" t="e">
        <f ca="1">INT(BU44) + _xll.RiskBinomial(1,BU44-INT(BU44))</f>
        <v>#NAME?</v>
      </c>
      <c r="BW44" s="33" t="e">
        <f t="shared" ca="1" si="15"/>
        <v>#NAME?</v>
      </c>
      <c r="BX44" s="38" t="e">
        <f ca="1">_xll.RiskBinomial(1,BW44)</f>
        <v>#NAME?</v>
      </c>
      <c r="BY44" s="86" t="e">
        <f ca="1">IF(BX44=1,_xll.RiskBinomial(1,Prob_illness_Noro_infection),0)</f>
        <v>#NAME?</v>
      </c>
      <c r="CA44" s="85" t="e">
        <f t="shared" ca="1" si="45"/>
        <v>#NAME?</v>
      </c>
      <c r="CB44" s="40" t="e">
        <f ca="1">INT(CA44) + _xll.RiskBinomial(1,CA44-INT(CA44))</f>
        <v>#NAME?</v>
      </c>
      <c r="CC44" s="33" t="e">
        <f t="shared" ca="1" si="16"/>
        <v>#NAME?</v>
      </c>
      <c r="CD44" s="38" t="e">
        <f ca="1">_xll.RiskBinomial(1,CC44)</f>
        <v>#NAME?</v>
      </c>
      <c r="CE44" s="86" t="e">
        <f ca="1">IF(CD44=1,_xll.RiskBinomial(1,Prob_illness_Noro_infection),0)</f>
        <v>#NAME?</v>
      </c>
      <c r="CG44" s="85" t="e">
        <f t="shared" ca="1" si="46"/>
        <v>#NAME?</v>
      </c>
      <c r="CH44" s="40" t="e">
        <f ca="1">INT(CG44) + _xll.RiskBinomial(1,CG44-INT(CG44))</f>
        <v>#NAME?</v>
      </c>
      <c r="CI44" s="33" t="e">
        <f t="shared" ca="1" si="17"/>
        <v>#NAME?</v>
      </c>
      <c r="CJ44" s="38" t="e">
        <f ca="1">_xll.RiskBinomial(1,CI44)</f>
        <v>#NAME?</v>
      </c>
      <c r="CK44" s="86" t="e">
        <f ca="1">IF(CJ44=1,_xll.RiskBinomial(1,Prob_illness_Noro_infection),0)</f>
        <v>#NAME?</v>
      </c>
      <c r="CM44" s="85" t="e">
        <f t="shared" ca="1" si="47"/>
        <v>#NAME?</v>
      </c>
      <c r="CN44" s="40" t="e">
        <f ca="1">INT(CM44) + _xll.RiskBinomial(1,CM44-INT(CM44))</f>
        <v>#NAME?</v>
      </c>
      <c r="CO44" s="33" t="e">
        <f t="shared" ca="1" si="18"/>
        <v>#NAME?</v>
      </c>
      <c r="CP44" s="38" t="e">
        <f ca="1">_xll.RiskBinomial(1,CO44)</f>
        <v>#NAME?</v>
      </c>
      <c r="CQ44" s="86" t="e">
        <f ca="1">IF(CP44=1,_xll.RiskBinomial(1,Prob_illness_Noro_infection),0)</f>
        <v>#NAME?</v>
      </c>
      <c r="CS44" s="85" t="e">
        <f t="shared" ca="1" si="48"/>
        <v>#NAME?</v>
      </c>
      <c r="CT44" s="40" t="e">
        <f ca="1">INT(CS44) + _xll.RiskBinomial(1,CS44-INT(CS44))</f>
        <v>#NAME?</v>
      </c>
      <c r="CU44" s="33" t="e">
        <f t="shared" ca="1" si="19"/>
        <v>#NAME?</v>
      </c>
      <c r="CV44" s="38" t="e">
        <f ca="1">_xll.RiskBinomial(1,CU44)</f>
        <v>#NAME?</v>
      </c>
      <c r="CW44" s="86" t="e">
        <f ca="1">IF(CV44=1,_xll.RiskBinomial(1,Prob_illness_Noro_infection),0)</f>
        <v>#NAME?</v>
      </c>
      <c r="CY44" s="85" t="e">
        <f t="shared" ca="1" si="49"/>
        <v>#NAME?</v>
      </c>
      <c r="CZ44" s="40" t="e">
        <f ca="1">INT(CY44) + _xll.RiskBinomial(1,CY44-INT(CY44))</f>
        <v>#NAME?</v>
      </c>
      <c r="DA44" s="33" t="e">
        <f t="shared" ca="1" si="20"/>
        <v>#NAME?</v>
      </c>
      <c r="DB44" s="38" t="e">
        <f ca="1">_xll.RiskBinomial(1,DA44)</f>
        <v>#NAME?</v>
      </c>
      <c r="DC44" s="86" t="e">
        <f ca="1">IF(DB44=1,_xll.RiskBinomial(1,Prob_illness_Noro_infection),0)</f>
        <v>#NAME?</v>
      </c>
      <c r="DE44" s="85" t="e">
        <f t="shared" ca="1" si="50"/>
        <v>#NAME?</v>
      </c>
      <c r="DF44" s="40" t="e">
        <f ca="1">INT(DE44) + _xll.RiskBinomial(1,DE44-INT(DE44))</f>
        <v>#NAME?</v>
      </c>
      <c r="DG44" s="33" t="e">
        <f t="shared" ca="1" si="21"/>
        <v>#NAME?</v>
      </c>
      <c r="DH44" s="38" t="e">
        <f ca="1">_xll.RiskBinomial(1,DG44)</f>
        <v>#NAME?</v>
      </c>
      <c r="DI44" s="86" t="e">
        <f ca="1">IF(DH44=1,_xll.RiskBinomial(1,Prob_illness_Noro_infection),0)</f>
        <v>#NAME?</v>
      </c>
      <c r="DK44" s="85" t="e">
        <f t="shared" ca="1" si="51"/>
        <v>#NAME?</v>
      </c>
      <c r="DL44" s="40" t="e">
        <f ca="1">INT(DK44) + _xll.RiskBinomial(1,DK44-INT(DK44))</f>
        <v>#NAME?</v>
      </c>
      <c r="DM44" s="33" t="e">
        <f t="shared" ca="1" si="22"/>
        <v>#NAME?</v>
      </c>
      <c r="DN44" s="38" t="e">
        <f ca="1">_xll.RiskBinomial(1,DM44)</f>
        <v>#NAME?</v>
      </c>
      <c r="DO44" s="86" t="e">
        <f ca="1">IF(DN44=1,_xll.RiskBinomial(1,Prob_illness_Noro_infection),0)</f>
        <v>#NAME?</v>
      </c>
      <c r="DQ44" s="85" t="e">
        <f t="shared" ca="1" si="52"/>
        <v>#NAME?</v>
      </c>
      <c r="DR44" s="40" t="e">
        <f ca="1">INT(DQ44) + _xll.RiskBinomial(1,DQ44-INT(DQ44))</f>
        <v>#NAME?</v>
      </c>
      <c r="DS44" s="33" t="e">
        <f t="shared" ca="1" si="23"/>
        <v>#NAME?</v>
      </c>
      <c r="DT44" s="38" t="e">
        <f ca="1">_xll.RiskBinomial(1,DS44)</f>
        <v>#NAME?</v>
      </c>
      <c r="DU44" s="86" t="e">
        <f ca="1">IF(DT44=1,_xll.RiskBinomial(1,Prob_illness_Noro_infection),0)</f>
        <v>#NAME?</v>
      </c>
      <c r="DW44" s="85" t="e">
        <f t="shared" ca="1" si="53"/>
        <v>#NAME?</v>
      </c>
      <c r="DX44" s="40" t="e">
        <f ca="1">INT(DW44) + _xll.RiskBinomial(1,DW44-INT(DW44))</f>
        <v>#NAME?</v>
      </c>
      <c r="DY44" s="33" t="e">
        <f t="shared" ca="1" si="24"/>
        <v>#NAME?</v>
      </c>
      <c r="DZ44" s="38" t="e">
        <f ca="1">_xll.RiskBinomial(1,DY44)</f>
        <v>#NAME?</v>
      </c>
      <c r="EA44" s="86" t="e">
        <f ca="1">IF(DZ44=1,_xll.RiskBinomial(1,Prob_illness_Noro_infection),0)</f>
        <v>#NAME?</v>
      </c>
      <c r="EC44" s="85" t="e">
        <f t="shared" ca="1" si="54"/>
        <v>#NAME?</v>
      </c>
      <c r="ED44" s="40" t="e">
        <f ca="1">INT(EC44) + _xll.RiskBinomial(1,EC44-INT(EC44))</f>
        <v>#NAME?</v>
      </c>
      <c r="EE44" s="33" t="e">
        <f t="shared" ca="1" si="25"/>
        <v>#NAME?</v>
      </c>
      <c r="EF44" s="38" t="e">
        <f ca="1">_xll.RiskBinomial(1,EE44)</f>
        <v>#NAME?</v>
      </c>
      <c r="EG44" s="86" t="e">
        <f ca="1">IF(EF44=1,_xll.RiskBinomial(1,Prob_illness_Noro_infection),0)</f>
        <v>#NAME?</v>
      </c>
      <c r="EI44" s="85" t="e">
        <f t="shared" ca="1" si="55"/>
        <v>#NAME?</v>
      </c>
      <c r="EJ44" s="40" t="e">
        <f ca="1">INT(EI44) + _xll.RiskBinomial(1,EI44-INT(EI44))</f>
        <v>#NAME?</v>
      </c>
      <c r="EK44" s="33" t="e">
        <f t="shared" ca="1" si="26"/>
        <v>#NAME?</v>
      </c>
      <c r="EL44" s="38" t="e">
        <f ca="1">_xll.RiskBinomial(1,EK44)</f>
        <v>#NAME?</v>
      </c>
      <c r="EM44" s="86" t="e">
        <f ca="1">IF(EL44=1,_xll.RiskBinomial(1,Prob_illness_Noro_infection),0)</f>
        <v>#NAME?</v>
      </c>
      <c r="EO44" s="85" t="e">
        <f t="shared" ca="1" si="56"/>
        <v>#NAME?</v>
      </c>
      <c r="EP44" s="40" t="e">
        <f ca="1">INT(EO44) + _xll.RiskBinomial(1,EO44-INT(EO44))</f>
        <v>#NAME?</v>
      </c>
      <c r="EQ44" s="33" t="e">
        <f t="shared" ca="1" si="27"/>
        <v>#NAME?</v>
      </c>
      <c r="ER44" s="38" t="e">
        <f ca="1">_xll.RiskBinomial(1,EQ44)</f>
        <v>#NAME?</v>
      </c>
      <c r="ES44" s="86" t="e">
        <f ca="1">IF(ER44=1,_xll.RiskBinomial(1,Prob_illness_Noro_infection),0)</f>
        <v>#NAME?</v>
      </c>
      <c r="EU44" s="85" t="e">
        <f t="shared" ca="1" si="57"/>
        <v>#NAME?</v>
      </c>
      <c r="EV44" s="40" t="e">
        <f ca="1">INT(EU44) + _xll.RiskBinomial(1,EU44-INT(EU44))</f>
        <v>#NAME?</v>
      </c>
      <c r="EW44" s="33" t="e">
        <f t="shared" ca="1" si="28"/>
        <v>#NAME?</v>
      </c>
      <c r="EX44" s="38" t="e">
        <f ca="1">_xll.RiskBinomial(1,EW44)</f>
        <v>#NAME?</v>
      </c>
      <c r="EY44" s="86" t="e">
        <f ca="1">IF(EX44=1,_xll.RiskBinomial(1,Prob_illness_Noro_infection),0)</f>
        <v>#NAME?</v>
      </c>
      <c r="FA44" s="85" t="e">
        <f t="shared" ca="1" si="58"/>
        <v>#NAME?</v>
      </c>
      <c r="FB44" s="40" t="e">
        <f ca="1">INT(FA44) + _xll.RiskBinomial(1,FA44-INT(FA44))</f>
        <v>#NAME?</v>
      </c>
      <c r="FC44" s="33" t="e">
        <f t="shared" ca="1" si="29"/>
        <v>#NAME?</v>
      </c>
      <c r="FD44" s="38" t="e">
        <f ca="1">_xll.RiskBinomial(1,FC44)</f>
        <v>#NAME?</v>
      </c>
      <c r="FE44" s="86" t="e">
        <f ca="1">IF(FD44=1,_xll.RiskBinomial(1,Prob_illness_Noro_infection),0)</f>
        <v>#NAME?</v>
      </c>
      <c r="FG44" s="85" t="e">
        <f t="shared" ca="1" si="59"/>
        <v>#NAME?</v>
      </c>
      <c r="FH44" s="40" t="e">
        <f ca="1">INT(FG44) + _xll.RiskBinomial(1,FG44-INT(FG44))</f>
        <v>#NAME?</v>
      </c>
      <c r="FI44" s="33" t="e">
        <f t="shared" ca="1" si="30"/>
        <v>#NAME?</v>
      </c>
      <c r="FJ44" s="38" t="e">
        <f ca="1">_xll.RiskBinomial(1,FI44)</f>
        <v>#NAME?</v>
      </c>
      <c r="FK44" s="86" t="e">
        <f ca="1">IF(FJ44=1,_xll.RiskBinomial(1,Prob_illness_Noro_infection),0)</f>
        <v>#NAME?</v>
      </c>
      <c r="FM44" s="85" t="e">
        <f t="shared" ca="1" si="60"/>
        <v>#NAME?</v>
      </c>
      <c r="FN44" s="40" t="e">
        <f ca="1">INT(FM44) + _xll.RiskBinomial(1,FM44-INT(FM44))</f>
        <v>#NAME?</v>
      </c>
      <c r="FO44" s="33" t="e">
        <f t="shared" ca="1" si="31"/>
        <v>#NAME?</v>
      </c>
      <c r="FP44" s="38" t="e">
        <f ca="1">_xll.RiskBinomial(1,FO44)</f>
        <v>#NAME?</v>
      </c>
      <c r="FQ44" s="86" t="e">
        <f ca="1">IF(FP44=1,_xll.RiskBinomial(1,Prob_illness_Noro_infection),0)</f>
        <v>#NAME?</v>
      </c>
      <c r="FS44" s="85" t="e">
        <f t="shared" ca="1" si="61"/>
        <v>#NAME?</v>
      </c>
      <c r="FT44" s="40" t="e">
        <f ca="1">INT(FS44) + _xll.RiskBinomial(1,FS44-INT(FS44))</f>
        <v>#NAME?</v>
      </c>
      <c r="FU44" s="33" t="e">
        <f t="shared" ca="1" si="32"/>
        <v>#NAME?</v>
      </c>
      <c r="FV44" s="38" t="e">
        <f ca="1">_xll.RiskBinomial(1,FU44)</f>
        <v>#NAME?</v>
      </c>
      <c r="FW44" s="86" t="e">
        <f ca="1">IF(FV44=1,_xll.RiskBinomial(1,Prob_illness_Noro_infection),0)</f>
        <v>#NAME?</v>
      </c>
      <c r="FY44" s="85" t="e">
        <f t="shared" ca="1" si="62"/>
        <v>#NAME?</v>
      </c>
      <c r="FZ44" s="40" t="e">
        <f ca="1">INT(FY44) + _xll.RiskBinomial(1,FY44-INT(FY44))</f>
        <v>#NAME?</v>
      </c>
      <c r="GA44" s="33" t="e">
        <f t="shared" ca="1" si="33"/>
        <v>#NAME?</v>
      </c>
      <c r="GB44" s="38" t="e">
        <f ca="1">_xll.RiskBinomial(1,GA44)</f>
        <v>#NAME?</v>
      </c>
      <c r="GC44" s="86" t="e">
        <f ca="1">IF(GB44=1,_xll.RiskBinomial(1,Prob_illness_Noro_infection),0)</f>
        <v>#NAME?</v>
      </c>
      <c r="GE44" s="85" t="e">
        <f t="shared" ca="1" si="63"/>
        <v>#NAME?</v>
      </c>
      <c r="GF44" s="40" t="e">
        <f ca="1">INT(GE44) + _xll.RiskBinomial(1,GE44-INT(GE44))</f>
        <v>#NAME?</v>
      </c>
      <c r="GG44" s="33" t="e">
        <f t="shared" ca="1" si="34"/>
        <v>#NAME?</v>
      </c>
      <c r="GH44" s="38" t="e">
        <f ca="1">_xll.RiskBinomial(1,GG44)</f>
        <v>#NAME?</v>
      </c>
      <c r="GI44" s="86" t="e">
        <f ca="1">IF(GH44=1,_xll.RiskBinomial(1,Prob_illness_Noro_infection),0)</f>
        <v>#NAME?</v>
      </c>
      <c r="GK44" s="85" t="e">
        <f t="shared" ca="1" si="64"/>
        <v>#NAME?</v>
      </c>
      <c r="GL44" s="40" t="e">
        <f ca="1">INT(GK44) + _xll.RiskBinomial(1,GK44-INT(GK44))</f>
        <v>#NAME?</v>
      </c>
      <c r="GM44" s="33" t="e">
        <f t="shared" ca="1" si="35"/>
        <v>#NAME?</v>
      </c>
      <c r="GN44" s="38" t="e">
        <f ca="1">_xll.RiskBinomial(1,GM44)</f>
        <v>#NAME?</v>
      </c>
      <c r="GO44" s="86" t="e">
        <f ca="1">IF(GN44=1,_xll.RiskBinomial(1,Prob_illness_Noro_infection),0)</f>
        <v>#NAME?</v>
      </c>
    </row>
    <row r="45" spans="2:197" x14ac:dyDescent="0.25">
      <c r="B45" s="106">
        <v>37</v>
      </c>
      <c r="C45" s="109" t="e">
        <f ca="1" xml:space="preserve"> _xll.RiskPert(Dur_Swim_hours_min,Dur_Swim_hours_mode,Dur_Swim_hours_max)</f>
        <v>#NAME?</v>
      </c>
      <c r="D45" s="33" t="e">
        <f ca="1">_xll.RiskLognorm(Primary_Ing_Rate_mL_per_hour_mean,Primary_Ing_Rate_mL_per_hour_sd, _xll.RiskTruncate(Primary_Ing_Rate_mL_per_hour_min,Primary_Ing_Rate_mL_per_hour_max))</f>
        <v>#NAME?</v>
      </c>
      <c r="E45" s="41" t="e">
        <f t="shared" ca="1" si="36"/>
        <v>#NAME?</v>
      </c>
      <c r="F45" s="33"/>
      <c r="G45" s="85" t="e">
        <f t="shared" ca="1" si="37"/>
        <v>#NAME?</v>
      </c>
      <c r="H45" s="40" t="e">
        <f ca="1">INT(G45) + _xll.RiskBinomial(1,G45-INT(G45))</f>
        <v>#NAME?</v>
      </c>
      <c r="I45" s="33" t="e">
        <f t="shared" ca="1" si="0"/>
        <v>#NAME?</v>
      </c>
      <c r="J45" s="38" t="e">
        <f ca="1">_xll.RiskBinomial(1,I45)</f>
        <v>#NAME?</v>
      </c>
      <c r="K45" s="86" t="e">
        <f ca="1">IF(J45=1,_xll.RiskBinomial(1,Prob_illness_Noro_infection),0)</f>
        <v>#NAME?</v>
      </c>
      <c r="L45" s="33"/>
      <c r="M45" s="85" t="e">
        <f t="shared" ca="1" si="38"/>
        <v>#NAME?</v>
      </c>
      <c r="N45" s="40" t="e">
        <f ca="1">INT(M45) + _xll.RiskBinomial(1,M45-INT(M45))</f>
        <v>#NAME?</v>
      </c>
      <c r="O45" s="33" t="e">
        <f t="shared" ca="1" si="1"/>
        <v>#NAME?</v>
      </c>
      <c r="P45" s="38" t="e">
        <f ca="1">_xll.RiskBinomial(1,O45)</f>
        <v>#NAME?</v>
      </c>
      <c r="Q45" s="86" t="e">
        <f ca="1">IF(P45=1,_xll.RiskBinomial(1,Prob_illness_Noro_infection),0)</f>
        <v>#NAME?</v>
      </c>
      <c r="R45" s="33"/>
      <c r="S45" s="85" t="e">
        <f t="shared" ca="1" si="39"/>
        <v>#NAME?</v>
      </c>
      <c r="T45" s="40" t="e">
        <f ca="1">INT(S45) + _xll.RiskBinomial(1,S45-INT(S45))</f>
        <v>#NAME?</v>
      </c>
      <c r="U45" s="33" t="e">
        <f t="shared" ca="1" si="2"/>
        <v>#NAME?</v>
      </c>
      <c r="V45" s="38" t="e">
        <f ca="1">_xll.RiskBinomial(1,U45)</f>
        <v>#NAME?</v>
      </c>
      <c r="W45" s="86" t="e">
        <f ca="1">IF(V45=1,_xll.RiskBinomial(1,Prob_illness_Noro_infection),0)</f>
        <v>#NAME?</v>
      </c>
      <c r="X45" s="33"/>
      <c r="Y45" s="85" t="e">
        <f t="shared" ca="1" si="3"/>
        <v>#NAME?</v>
      </c>
      <c r="Z45" s="40" t="e">
        <f ca="1">INT(Y45) + _xll.RiskBinomial(1,Y45-INT(Y45))</f>
        <v>#NAME?</v>
      </c>
      <c r="AA45" s="33" t="e">
        <f t="shared" ca="1" si="4"/>
        <v>#NAME?</v>
      </c>
      <c r="AB45" s="38" t="e">
        <f ca="1">_xll.RiskBinomial(1,AA45)</f>
        <v>#NAME?</v>
      </c>
      <c r="AC45" s="86" t="e">
        <f ca="1">IF(AB45=1,_xll.RiskBinomial(1,Prob_illness_Noro_infection),0)</f>
        <v>#NAME?</v>
      </c>
      <c r="AD45" s="33"/>
      <c r="AE45" s="85" t="e">
        <f t="shared" ca="1" si="5"/>
        <v>#NAME?</v>
      </c>
      <c r="AF45" s="40" t="e">
        <f ca="1">INT(AE45) + _xll.RiskBinomial(1,AE45-INT(AE45))</f>
        <v>#NAME?</v>
      </c>
      <c r="AG45" s="33" t="e">
        <f t="shared" ca="1" si="6"/>
        <v>#NAME?</v>
      </c>
      <c r="AH45" s="38" t="e">
        <f ca="1">_xll.RiskBinomial(1,AG45)</f>
        <v>#NAME?</v>
      </c>
      <c r="AI45" s="86" t="e">
        <f ca="1">IF(AH45=1,_xll.RiskBinomial(1,Prob_illness_Noro_infection),0)</f>
        <v>#NAME?</v>
      </c>
      <c r="AJ45" s="33"/>
      <c r="AK45" s="85" t="e">
        <f t="shared" ca="1" si="7"/>
        <v>#NAME?</v>
      </c>
      <c r="AL45" s="40" t="e">
        <f ca="1">INT(AK45) + _xll.RiskBinomial(1,AK45-INT(AK45))</f>
        <v>#NAME?</v>
      </c>
      <c r="AM45" s="33" t="e">
        <f t="shared" ca="1" si="8"/>
        <v>#NAME?</v>
      </c>
      <c r="AN45" s="38" t="e">
        <f ca="1">_xll.RiskBinomial(1,AM45)</f>
        <v>#NAME?</v>
      </c>
      <c r="AO45" s="86" t="e">
        <f ca="1">IF(AN45=1,_xll.RiskBinomial(1,Prob_illness_Noro_infection),0)</f>
        <v>#NAME?</v>
      </c>
      <c r="AP45" s="33"/>
      <c r="AQ45" s="85" t="e">
        <f t="shared" ca="1" si="65"/>
        <v>#NAME?</v>
      </c>
      <c r="AR45" s="40" t="e">
        <f ca="1">INT(AQ45) + _xll.RiskBinomial(1,AQ45-INT(AQ45))</f>
        <v>#NAME?</v>
      </c>
      <c r="AS45" s="33" t="e">
        <f t="shared" ca="1" si="10"/>
        <v>#NAME?</v>
      </c>
      <c r="AT45" s="38" t="e">
        <f ca="1">_xll.RiskBinomial(1,AS45)</f>
        <v>#NAME?</v>
      </c>
      <c r="AU45" s="86" t="e">
        <f ca="1">IF(AT45=1,_xll.RiskBinomial(1,Prob_illness_Noro_infection),0)</f>
        <v>#NAME?</v>
      </c>
      <c r="AV45" s="33"/>
      <c r="AW45" s="85" t="e">
        <f t="shared" ca="1" si="40"/>
        <v>#NAME?</v>
      </c>
      <c r="AX45" s="40" t="e">
        <f ca="1">INT(AW45) + _xll.RiskBinomial(1,AW45-INT(AW45))</f>
        <v>#NAME?</v>
      </c>
      <c r="AY45" s="33" t="e">
        <f t="shared" ca="1" si="11"/>
        <v>#NAME?</v>
      </c>
      <c r="AZ45" s="38" t="e">
        <f ca="1">_xll.RiskBinomial(1,AY45)</f>
        <v>#NAME?</v>
      </c>
      <c r="BA45" s="86" t="e">
        <f ca="1">IF(AZ45=1,_xll.RiskBinomial(1,Prob_illness_Noro_infection),0)</f>
        <v>#NAME?</v>
      </c>
      <c r="BC45" s="85" t="e">
        <f t="shared" ca="1" si="41"/>
        <v>#NAME?</v>
      </c>
      <c r="BD45" s="40" t="e">
        <f ca="1">INT(BC45) + _xll.RiskBinomial(1,BC45-INT(BC45))</f>
        <v>#NAME?</v>
      </c>
      <c r="BE45" s="33" t="e">
        <f t="shared" ca="1" si="12"/>
        <v>#NAME?</v>
      </c>
      <c r="BF45" s="38" t="e">
        <f ca="1">_xll.RiskBinomial(1,BE45)</f>
        <v>#NAME?</v>
      </c>
      <c r="BG45" s="86" t="e">
        <f ca="1">IF(BF45=1,_xll.RiskBinomial(1,Prob_illness_Noro_infection),0)</f>
        <v>#NAME?</v>
      </c>
      <c r="BI45" s="85" t="e">
        <f t="shared" ca="1" si="42"/>
        <v>#NAME?</v>
      </c>
      <c r="BJ45" s="40" t="e">
        <f ca="1">INT(BI45) + _xll.RiskBinomial(1,BI45-INT(BI45))</f>
        <v>#NAME?</v>
      </c>
      <c r="BK45" s="33" t="e">
        <f t="shared" ca="1" si="13"/>
        <v>#NAME?</v>
      </c>
      <c r="BL45" s="38" t="e">
        <f ca="1">_xll.RiskBinomial(1,BK45)</f>
        <v>#NAME?</v>
      </c>
      <c r="BM45" s="86" t="e">
        <f ca="1">IF(BL45=1,_xll.RiskBinomial(1,Prob_illness_Noro_infection),0)</f>
        <v>#NAME?</v>
      </c>
      <c r="BO45" s="85" t="e">
        <f t="shared" ca="1" si="43"/>
        <v>#NAME?</v>
      </c>
      <c r="BP45" s="40" t="e">
        <f ca="1">INT(BO45) + _xll.RiskBinomial(1,BO45-INT(BO45))</f>
        <v>#NAME?</v>
      </c>
      <c r="BQ45" s="33" t="e">
        <f t="shared" ca="1" si="14"/>
        <v>#NAME?</v>
      </c>
      <c r="BR45" s="38" t="e">
        <f ca="1">_xll.RiskBinomial(1,BQ45)</f>
        <v>#NAME?</v>
      </c>
      <c r="BS45" s="86" t="e">
        <f ca="1">IF(BR45=1,_xll.RiskBinomial(1,Prob_illness_Noro_infection),0)</f>
        <v>#NAME?</v>
      </c>
      <c r="BU45" s="85" t="e">
        <f t="shared" ca="1" si="44"/>
        <v>#NAME?</v>
      </c>
      <c r="BV45" s="40" t="e">
        <f ca="1">INT(BU45) + _xll.RiskBinomial(1,BU45-INT(BU45))</f>
        <v>#NAME?</v>
      </c>
      <c r="BW45" s="33" t="e">
        <f t="shared" ca="1" si="15"/>
        <v>#NAME?</v>
      </c>
      <c r="BX45" s="38" t="e">
        <f ca="1">_xll.RiskBinomial(1,BW45)</f>
        <v>#NAME?</v>
      </c>
      <c r="BY45" s="86" t="e">
        <f ca="1">IF(BX45=1,_xll.RiskBinomial(1,Prob_illness_Noro_infection),0)</f>
        <v>#NAME?</v>
      </c>
      <c r="CA45" s="85" t="e">
        <f t="shared" ca="1" si="45"/>
        <v>#NAME?</v>
      </c>
      <c r="CB45" s="40" t="e">
        <f ca="1">INT(CA45) + _xll.RiskBinomial(1,CA45-INT(CA45))</f>
        <v>#NAME?</v>
      </c>
      <c r="CC45" s="33" t="e">
        <f t="shared" ca="1" si="16"/>
        <v>#NAME?</v>
      </c>
      <c r="CD45" s="38" t="e">
        <f ca="1">_xll.RiskBinomial(1,CC45)</f>
        <v>#NAME?</v>
      </c>
      <c r="CE45" s="86" t="e">
        <f ca="1">IF(CD45=1,_xll.RiskBinomial(1,Prob_illness_Noro_infection),0)</f>
        <v>#NAME?</v>
      </c>
      <c r="CG45" s="85" t="e">
        <f t="shared" ca="1" si="46"/>
        <v>#NAME?</v>
      </c>
      <c r="CH45" s="40" t="e">
        <f ca="1">INT(CG45) + _xll.RiskBinomial(1,CG45-INT(CG45))</f>
        <v>#NAME?</v>
      </c>
      <c r="CI45" s="33" t="e">
        <f t="shared" ca="1" si="17"/>
        <v>#NAME?</v>
      </c>
      <c r="CJ45" s="38" t="e">
        <f ca="1">_xll.RiskBinomial(1,CI45)</f>
        <v>#NAME?</v>
      </c>
      <c r="CK45" s="86" t="e">
        <f ca="1">IF(CJ45=1,_xll.RiskBinomial(1,Prob_illness_Noro_infection),0)</f>
        <v>#NAME?</v>
      </c>
      <c r="CM45" s="85" t="e">
        <f t="shared" ca="1" si="47"/>
        <v>#NAME?</v>
      </c>
      <c r="CN45" s="40" t="e">
        <f ca="1">INT(CM45) + _xll.RiskBinomial(1,CM45-INT(CM45))</f>
        <v>#NAME?</v>
      </c>
      <c r="CO45" s="33" t="e">
        <f t="shared" ca="1" si="18"/>
        <v>#NAME?</v>
      </c>
      <c r="CP45" s="38" t="e">
        <f ca="1">_xll.RiskBinomial(1,CO45)</f>
        <v>#NAME?</v>
      </c>
      <c r="CQ45" s="86" t="e">
        <f ca="1">IF(CP45=1,_xll.RiskBinomial(1,Prob_illness_Noro_infection),0)</f>
        <v>#NAME?</v>
      </c>
      <c r="CS45" s="85" t="e">
        <f t="shared" ca="1" si="48"/>
        <v>#NAME?</v>
      </c>
      <c r="CT45" s="40" t="e">
        <f ca="1">INT(CS45) + _xll.RiskBinomial(1,CS45-INT(CS45))</f>
        <v>#NAME?</v>
      </c>
      <c r="CU45" s="33" t="e">
        <f t="shared" ca="1" si="19"/>
        <v>#NAME?</v>
      </c>
      <c r="CV45" s="38" t="e">
        <f ca="1">_xll.RiskBinomial(1,CU45)</f>
        <v>#NAME?</v>
      </c>
      <c r="CW45" s="86" t="e">
        <f ca="1">IF(CV45=1,_xll.RiskBinomial(1,Prob_illness_Noro_infection),0)</f>
        <v>#NAME?</v>
      </c>
      <c r="CY45" s="85" t="e">
        <f t="shared" ca="1" si="49"/>
        <v>#NAME?</v>
      </c>
      <c r="CZ45" s="40" t="e">
        <f ca="1">INT(CY45) + _xll.RiskBinomial(1,CY45-INT(CY45))</f>
        <v>#NAME?</v>
      </c>
      <c r="DA45" s="33" t="e">
        <f t="shared" ca="1" si="20"/>
        <v>#NAME?</v>
      </c>
      <c r="DB45" s="38" t="e">
        <f ca="1">_xll.RiskBinomial(1,DA45)</f>
        <v>#NAME?</v>
      </c>
      <c r="DC45" s="86" t="e">
        <f ca="1">IF(DB45=1,_xll.RiskBinomial(1,Prob_illness_Noro_infection),0)</f>
        <v>#NAME?</v>
      </c>
      <c r="DE45" s="85" t="e">
        <f t="shared" ca="1" si="50"/>
        <v>#NAME?</v>
      </c>
      <c r="DF45" s="40" t="e">
        <f ca="1">INT(DE45) + _xll.RiskBinomial(1,DE45-INT(DE45))</f>
        <v>#NAME?</v>
      </c>
      <c r="DG45" s="33" t="e">
        <f t="shared" ca="1" si="21"/>
        <v>#NAME?</v>
      </c>
      <c r="DH45" s="38" t="e">
        <f ca="1">_xll.RiskBinomial(1,DG45)</f>
        <v>#NAME?</v>
      </c>
      <c r="DI45" s="86" t="e">
        <f ca="1">IF(DH45=1,_xll.RiskBinomial(1,Prob_illness_Noro_infection),0)</f>
        <v>#NAME?</v>
      </c>
      <c r="DK45" s="85" t="e">
        <f t="shared" ca="1" si="51"/>
        <v>#NAME?</v>
      </c>
      <c r="DL45" s="40" t="e">
        <f ca="1">INT(DK45) + _xll.RiskBinomial(1,DK45-INT(DK45))</f>
        <v>#NAME?</v>
      </c>
      <c r="DM45" s="33" t="e">
        <f t="shared" ca="1" si="22"/>
        <v>#NAME?</v>
      </c>
      <c r="DN45" s="38" t="e">
        <f ca="1">_xll.RiskBinomial(1,DM45)</f>
        <v>#NAME?</v>
      </c>
      <c r="DO45" s="86" t="e">
        <f ca="1">IF(DN45=1,_xll.RiskBinomial(1,Prob_illness_Noro_infection),0)</f>
        <v>#NAME?</v>
      </c>
      <c r="DQ45" s="85" t="e">
        <f t="shared" ca="1" si="52"/>
        <v>#NAME?</v>
      </c>
      <c r="DR45" s="40" t="e">
        <f ca="1">INT(DQ45) + _xll.RiskBinomial(1,DQ45-INT(DQ45))</f>
        <v>#NAME?</v>
      </c>
      <c r="DS45" s="33" t="e">
        <f t="shared" ca="1" si="23"/>
        <v>#NAME?</v>
      </c>
      <c r="DT45" s="38" t="e">
        <f ca="1">_xll.RiskBinomial(1,DS45)</f>
        <v>#NAME?</v>
      </c>
      <c r="DU45" s="86" t="e">
        <f ca="1">IF(DT45=1,_xll.RiskBinomial(1,Prob_illness_Noro_infection),0)</f>
        <v>#NAME?</v>
      </c>
      <c r="DW45" s="85" t="e">
        <f t="shared" ca="1" si="53"/>
        <v>#NAME?</v>
      </c>
      <c r="DX45" s="40" t="e">
        <f ca="1">INT(DW45) + _xll.RiskBinomial(1,DW45-INT(DW45))</f>
        <v>#NAME?</v>
      </c>
      <c r="DY45" s="33" t="e">
        <f t="shared" ca="1" si="24"/>
        <v>#NAME?</v>
      </c>
      <c r="DZ45" s="38" t="e">
        <f ca="1">_xll.RiskBinomial(1,DY45)</f>
        <v>#NAME?</v>
      </c>
      <c r="EA45" s="86" t="e">
        <f ca="1">IF(DZ45=1,_xll.RiskBinomial(1,Prob_illness_Noro_infection),0)</f>
        <v>#NAME?</v>
      </c>
      <c r="EC45" s="85" t="e">
        <f t="shared" ca="1" si="54"/>
        <v>#NAME?</v>
      </c>
      <c r="ED45" s="40" t="e">
        <f ca="1">INT(EC45) + _xll.RiskBinomial(1,EC45-INT(EC45))</f>
        <v>#NAME?</v>
      </c>
      <c r="EE45" s="33" t="e">
        <f t="shared" ca="1" si="25"/>
        <v>#NAME?</v>
      </c>
      <c r="EF45" s="38" t="e">
        <f ca="1">_xll.RiskBinomial(1,EE45)</f>
        <v>#NAME?</v>
      </c>
      <c r="EG45" s="86" t="e">
        <f ca="1">IF(EF45=1,_xll.RiskBinomial(1,Prob_illness_Noro_infection),0)</f>
        <v>#NAME?</v>
      </c>
      <c r="EI45" s="85" t="e">
        <f t="shared" ca="1" si="55"/>
        <v>#NAME?</v>
      </c>
      <c r="EJ45" s="40" t="e">
        <f ca="1">INT(EI45) + _xll.RiskBinomial(1,EI45-INT(EI45))</f>
        <v>#NAME?</v>
      </c>
      <c r="EK45" s="33" t="e">
        <f t="shared" ca="1" si="26"/>
        <v>#NAME?</v>
      </c>
      <c r="EL45" s="38" t="e">
        <f ca="1">_xll.RiskBinomial(1,EK45)</f>
        <v>#NAME?</v>
      </c>
      <c r="EM45" s="86" t="e">
        <f ca="1">IF(EL45=1,_xll.RiskBinomial(1,Prob_illness_Noro_infection),0)</f>
        <v>#NAME?</v>
      </c>
      <c r="EO45" s="85" t="e">
        <f t="shared" ca="1" si="56"/>
        <v>#NAME?</v>
      </c>
      <c r="EP45" s="40" t="e">
        <f ca="1">INT(EO45) + _xll.RiskBinomial(1,EO45-INT(EO45))</f>
        <v>#NAME?</v>
      </c>
      <c r="EQ45" s="33" t="e">
        <f t="shared" ca="1" si="27"/>
        <v>#NAME?</v>
      </c>
      <c r="ER45" s="38" t="e">
        <f ca="1">_xll.RiskBinomial(1,EQ45)</f>
        <v>#NAME?</v>
      </c>
      <c r="ES45" s="86" t="e">
        <f ca="1">IF(ER45=1,_xll.RiskBinomial(1,Prob_illness_Noro_infection),0)</f>
        <v>#NAME?</v>
      </c>
      <c r="EU45" s="85" t="e">
        <f t="shared" ca="1" si="57"/>
        <v>#NAME?</v>
      </c>
      <c r="EV45" s="40" t="e">
        <f ca="1">INT(EU45) + _xll.RiskBinomial(1,EU45-INT(EU45))</f>
        <v>#NAME?</v>
      </c>
      <c r="EW45" s="33" t="e">
        <f t="shared" ca="1" si="28"/>
        <v>#NAME?</v>
      </c>
      <c r="EX45" s="38" t="e">
        <f ca="1">_xll.RiskBinomial(1,EW45)</f>
        <v>#NAME?</v>
      </c>
      <c r="EY45" s="86" t="e">
        <f ca="1">IF(EX45=1,_xll.RiskBinomial(1,Prob_illness_Noro_infection),0)</f>
        <v>#NAME?</v>
      </c>
      <c r="FA45" s="85" t="e">
        <f t="shared" ca="1" si="58"/>
        <v>#NAME?</v>
      </c>
      <c r="FB45" s="40" t="e">
        <f ca="1">INT(FA45) + _xll.RiskBinomial(1,FA45-INT(FA45))</f>
        <v>#NAME?</v>
      </c>
      <c r="FC45" s="33" t="e">
        <f t="shared" ca="1" si="29"/>
        <v>#NAME?</v>
      </c>
      <c r="FD45" s="38" t="e">
        <f ca="1">_xll.RiskBinomial(1,FC45)</f>
        <v>#NAME?</v>
      </c>
      <c r="FE45" s="86" t="e">
        <f ca="1">IF(FD45=1,_xll.RiskBinomial(1,Prob_illness_Noro_infection),0)</f>
        <v>#NAME?</v>
      </c>
      <c r="FG45" s="85" t="e">
        <f t="shared" ca="1" si="59"/>
        <v>#NAME?</v>
      </c>
      <c r="FH45" s="40" t="e">
        <f ca="1">INT(FG45) + _xll.RiskBinomial(1,FG45-INT(FG45))</f>
        <v>#NAME?</v>
      </c>
      <c r="FI45" s="33" t="e">
        <f t="shared" ca="1" si="30"/>
        <v>#NAME?</v>
      </c>
      <c r="FJ45" s="38" t="e">
        <f ca="1">_xll.RiskBinomial(1,FI45)</f>
        <v>#NAME?</v>
      </c>
      <c r="FK45" s="86" t="e">
        <f ca="1">IF(FJ45=1,_xll.RiskBinomial(1,Prob_illness_Noro_infection),0)</f>
        <v>#NAME?</v>
      </c>
      <c r="FM45" s="85" t="e">
        <f t="shared" ca="1" si="60"/>
        <v>#NAME?</v>
      </c>
      <c r="FN45" s="40" t="e">
        <f ca="1">INT(FM45) + _xll.RiskBinomial(1,FM45-INT(FM45))</f>
        <v>#NAME?</v>
      </c>
      <c r="FO45" s="33" t="e">
        <f t="shared" ca="1" si="31"/>
        <v>#NAME?</v>
      </c>
      <c r="FP45" s="38" t="e">
        <f ca="1">_xll.RiskBinomial(1,FO45)</f>
        <v>#NAME?</v>
      </c>
      <c r="FQ45" s="86" t="e">
        <f ca="1">IF(FP45=1,_xll.RiskBinomial(1,Prob_illness_Noro_infection),0)</f>
        <v>#NAME?</v>
      </c>
      <c r="FS45" s="85" t="e">
        <f t="shared" ca="1" si="61"/>
        <v>#NAME?</v>
      </c>
      <c r="FT45" s="40" t="e">
        <f ca="1">INT(FS45) + _xll.RiskBinomial(1,FS45-INT(FS45))</f>
        <v>#NAME?</v>
      </c>
      <c r="FU45" s="33" t="e">
        <f t="shared" ca="1" si="32"/>
        <v>#NAME?</v>
      </c>
      <c r="FV45" s="38" t="e">
        <f ca="1">_xll.RiskBinomial(1,FU45)</f>
        <v>#NAME?</v>
      </c>
      <c r="FW45" s="86" t="e">
        <f ca="1">IF(FV45=1,_xll.RiskBinomial(1,Prob_illness_Noro_infection),0)</f>
        <v>#NAME?</v>
      </c>
      <c r="FY45" s="85" t="e">
        <f t="shared" ca="1" si="62"/>
        <v>#NAME?</v>
      </c>
      <c r="FZ45" s="40" t="e">
        <f ca="1">INT(FY45) + _xll.RiskBinomial(1,FY45-INT(FY45))</f>
        <v>#NAME?</v>
      </c>
      <c r="GA45" s="33" t="e">
        <f t="shared" ca="1" si="33"/>
        <v>#NAME?</v>
      </c>
      <c r="GB45" s="38" t="e">
        <f ca="1">_xll.RiskBinomial(1,GA45)</f>
        <v>#NAME?</v>
      </c>
      <c r="GC45" s="86" t="e">
        <f ca="1">IF(GB45=1,_xll.RiskBinomial(1,Prob_illness_Noro_infection),0)</f>
        <v>#NAME?</v>
      </c>
      <c r="GE45" s="85" t="e">
        <f t="shared" ca="1" si="63"/>
        <v>#NAME?</v>
      </c>
      <c r="GF45" s="40" t="e">
        <f ca="1">INT(GE45) + _xll.RiskBinomial(1,GE45-INT(GE45))</f>
        <v>#NAME?</v>
      </c>
      <c r="GG45" s="33" t="e">
        <f t="shared" ca="1" si="34"/>
        <v>#NAME?</v>
      </c>
      <c r="GH45" s="38" t="e">
        <f ca="1">_xll.RiskBinomial(1,GG45)</f>
        <v>#NAME?</v>
      </c>
      <c r="GI45" s="86" t="e">
        <f ca="1">IF(GH45=1,_xll.RiskBinomial(1,Prob_illness_Noro_infection),0)</f>
        <v>#NAME?</v>
      </c>
      <c r="GK45" s="85" t="e">
        <f t="shared" ca="1" si="64"/>
        <v>#NAME?</v>
      </c>
      <c r="GL45" s="40" t="e">
        <f ca="1">INT(GK45) + _xll.RiskBinomial(1,GK45-INT(GK45))</f>
        <v>#NAME?</v>
      </c>
      <c r="GM45" s="33" t="e">
        <f t="shared" ca="1" si="35"/>
        <v>#NAME?</v>
      </c>
      <c r="GN45" s="38" t="e">
        <f ca="1">_xll.RiskBinomial(1,GM45)</f>
        <v>#NAME?</v>
      </c>
      <c r="GO45" s="86" t="e">
        <f ca="1">IF(GN45=1,_xll.RiskBinomial(1,Prob_illness_Noro_infection),0)</f>
        <v>#NAME?</v>
      </c>
    </row>
    <row r="46" spans="2:197" x14ac:dyDescent="0.25">
      <c r="B46" s="106">
        <v>38</v>
      </c>
      <c r="C46" s="109" t="e">
        <f ca="1" xml:space="preserve"> _xll.RiskPert(Dur_Swim_hours_min,Dur_Swim_hours_mode,Dur_Swim_hours_max)</f>
        <v>#NAME?</v>
      </c>
      <c r="D46" s="33" t="e">
        <f ca="1">_xll.RiskLognorm(Primary_Ing_Rate_mL_per_hour_mean,Primary_Ing_Rate_mL_per_hour_sd, _xll.RiskTruncate(Primary_Ing_Rate_mL_per_hour_min,Primary_Ing_Rate_mL_per_hour_max))</f>
        <v>#NAME?</v>
      </c>
      <c r="E46" s="41" t="e">
        <f t="shared" ca="1" si="36"/>
        <v>#NAME?</v>
      </c>
      <c r="F46" s="33"/>
      <c r="G46" s="85" t="e">
        <f t="shared" ca="1" si="37"/>
        <v>#NAME?</v>
      </c>
      <c r="H46" s="40" t="e">
        <f ca="1">INT(G46) + _xll.RiskBinomial(1,G46-INT(G46))</f>
        <v>#NAME?</v>
      </c>
      <c r="I46" s="33" t="e">
        <f t="shared" ca="1" si="0"/>
        <v>#NAME?</v>
      </c>
      <c r="J46" s="38" t="e">
        <f ca="1">_xll.RiskBinomial(1,I46)</f>
        <v>#NAME?</v>
      </c>
      <c r="K46" s="86" t="e">
        <f ca="1">IF(J46=1,_xll.RiskBinomial(1,Prob_illness_Noro_infection),0)</f>
        <v>#NAME?</v>
      </c>
      <c r="L46" s="33"/>
      <c r="M46" s="85" t="e">
        <f t="shared" ca="1" si="38"/>
        <v>#NAME?</v>
      </c>
      <c r="N46" s="40" t="e">
        <f ca="1">INT(M46) + _xll.RiskBinomial(1,M46-INT(M46))</f>
        <v>#NAME?</v>
      </c>
      <c r="O46" s="33" t="e">
        <f t="shared" ca="1" si="1"/>
        <v>#NAME?</v>
      </c>
      <c r="P46" s="38" t="e">
        <f ca="1">_xll.RiskBinomial(1,O46)</f>
        <v>#NAME?</v>
      </c>
      <c r="Q46" s="86" t="e">
        <f ca="1">IF(P46=1,_xll.RiskBinomial(1,Prob_illness_Noro_infection),0)</f>
        <v>#NAME?</v>
      </c>
      <c r="R46" s="33"/>
      <c r="S46" s="85" t="e">
        <f t="shared" ca="1" si="39"/>
        <v>#NAME?</v>
      </c>
      <c r="T46" s="40" t="e">
        <f ca="1">INT(S46) + _xll.RiskBinomial(1,S46-INT(S46))</f>
        <v>#NAME?</v>
      </c>
      <c r="U46" s="33" t="e">
        <f t="shared" ca="1" si="2"/>
        <v>#NAME?</v>
      </c>
      <c r="V46" s="38" t="e">
        <f ca="1">_xll.RiskBinomial(1,U46)</f>
        <v>#NAME?</v>
      </c>
      <c r="W46" s="86" t="e">
        <f ca="1">IF(V46=1,_xll.RiskBinomial(1,Prob_illness_Noro_infection),0)</f>
        <v>#NAME?</v>
      </c>
      <c r="X46" s="33"/>
      <c r="Y46" s="85" t="e">
        <f t="shared" ca="1" si="3"/>
        <v>#NAME?</v>
      </c>
      <c r="Z46" s="40" t="e">
        <f ca="1">INT(Y46) + _xll.RiskBinomial(1,Y46-INT(Y46))</f>
        <v>#NAME?</v>
      </c>
      <c r="AA46" s="33" t="e">
        <f t="shared" ca="1" si="4"/>
        <v>#NAME?</v>
      </c>
      <c r="AB46" s="38" t="e">
        <f ca="1">_xll.RiskBinomial(1,AA46)</f>
        <v>#NAME?</v>
      </c>
      <c r="AC46" s="86" t="e">
        <f ca="1">IF(AB46=1,_xll.RiskBinomial(1,Prob_illness_Noro_infection),0)</f>
        <v>#NAME?</v>
      </c>
      <c r="AD46" s="33"/>
      <c r="AE46" s="85" t="e">
        <f t="shared" ca="1" si="5"/>
        <v>#NAME?</v>
      </c>
      <c r="AF46" s="40" t="e">
        <f ca="1">INT(AE46) + _xll.RiskBinomial(1,AE46-INT(AE46))</f>
        <v>#NAME?</v>
      </c>
      <c r="AG46" s="33" t="e">
        <f t="shared" ca="1" si="6"/>
        <v>#NAME?</v>
      </c>
      <c r="AH46" s="38" t="e">
        <f ca="1">_xll.RiskBinomial(1,AG46)</f>
        <v>#NAME?</v>
      </c>
      <c r="AI46" s="86" t="e">
        <f ca="1">IF(AH46=1,_xll.RiskBinomial(1,Prob_illness_Noro_infection),0)</f>
        <v>#NAME?</v>
      </c>
      <c r="AJ46" s="33"/>
      <c r="AK46" s="85" t="e">
        <f t="shared" ca="1" si="7"/>
        <v>#NAME?</v>
      </c>
      <c r="AL46" s="40" t="e">
        <f ca="1">INT(AK46) + _xll.RiskBinomial(1,AK46-INT(AK46))</f>
        <v>#NAME?</v>
      </c>
      <c r="AM46" s="33" t="e">
        <f t="shared" ca="1" si="8"/>
        <v>#NAME?</v>
      </c>
      <c r="AN46" s="38" t="e">
        <f ca="1">_xll.RiskBinomial(1,AM46)</f>
        <v>#NAME?</v>
      </c>
      <c r="AO46" s="86" t="e">
        <f ca="1">IF(AN46=1,_xll.RiskBinomial(1,Prob_illness_Noro_infection),0)</f>
        <v>#NAME?</v>
      </c>
      <c r="AP46" s="33"/>
      <c r="AQ46" s="85" t="e">
        <f t="shared" ca="1" si="65"/>
        <v>#NAME?</v>
      </c>
      <c r="AR46" s="40" t="e">
        <f ca="1">INT(AQ46) + _xll.RiskBinomial(1,AQ46-INT(AQ46))</f>
        <v>#NAME?</v>
      </c>
      <c r="AS46" s="33" t="e">
        <f t="shared" ca="1" si="10"/>
        <v>#NAME?</v>
      </c>
      <c r="AT46" s="38" t="e">
        <f ca="1">_xll.RiskBinomial(1,AS46)</f>
        <v>#NAME?</v>
      </c>
      <c r="AU46" s="86" t="e">
        <f ca="1">IF(AT46=1,_xll.RiskBinomial(1,Prob_illness_Noro_infection),0)</f>
        <v>#NAME?</v>
      </c>
      <c r="AV46" s="33"/>
      <c r="AW46" s="85" t="e">
        <f t="shared" ca="1" si="40"/>
        <v>#NAME?</v>
      </c>
      <c r="AX46" s="40" t="e">
        <f ca="1">INT(AW46) + _xll.RiskBinomial(1,AW46-INT(AW46))</f>
        <v>#NAME?</v>
      </c>
      <c r="AY46" s="33" t="e">
        <f t="shared" ca="1" si="11"/>
        <v>#NAME?</v>
      </c>
      <c r="AZ46" s="38" t="e">
        <f ca="1">_xll.RiskBinomial(1,AY46)</f>
        <v>#NAME?</v>
      </c>
      <c r="BA46" s="86" t="e">
        <f ca="1">IF(AZ46=1,_xll.RiskBinomial(1,Prob_illness_Noro_infection),0)</f>
        <v>#NAME?</v>
      </c>
      <c r="BC46" s="85" t="e">
        <f t="shared" ca="1" si="41"/>
        <v>#NAME?</v>
      </c>
      <c r="BD46" s="40" t="e">
        <f ca="1">INT(BC46) + _xll.RiskBinomial(1,BC46-INT(BC46))</f>
        <v>#NAME?</v>
      </c>
      <c r="BE46" s="33" t="e">
        <f t="shared" ca="1" si="12"/>
        <v>#NAME?</v>
      </c>
      <c r="BF46" s="38" t="e">
        <f ca="1">_xll.RiskBinomial(1,BE46)</f>
        <v>#NAME?</v>
      </c>
      <c r="BG46" s="86" t="e">
        <f ca="1">IF(BF46=1,_xll.RiskBinomial(1,Prob_illness_Noro_infection),0)</f>
        <v>#NAME?</v>
      </c>
      <c r="BI46" s="85" t="e">
        <f t="shared" ca="1" si="42"/>
        <v>#NAME?</v>
      </c>
      <c r="BJ46" s="40" t="e">
        <f ca="1">INT(BI46) + _xll.RiskBinomial(1,BI46-INT(BI46))</f>
        <v>#NAME?</v>
      </c>
      <c r="BK46" s="33" t="e">
        <f t="shared" ca="1" si="13"/>
        <v>#NAME?</v>
      </c>
      <c r="BL46" s="38" t="e">
        <f ca="1">_xll.RiskBinomial(1,BK46)</f>
        <v>#NAME?</v>
      </c>
      <c r="BM46" s="86" t="e">
        <f ca="1">IF(BL46=1,_xll.RiskBinomial(1,Prob_illness_Noro_infection),0)</f>
        <v>#NAME?</v>
      </c>
      <c r="BO46" s="85" t="e">
        <f t="shared" ca="1" si="43"/>
        <v>#NAME?</v>
      </c>
      <c r="BP46" s="40" t="e">
        <f ca="1">INT(BO46) + _xll.RiskBinomial(1,BO46-INT(BO46))</f>
        <v>#NAME?</v>
      </c>
      <c r="BQ46" s="33" t="e">
        <f t="shared" ca="1" si="14"/>
        <v>#NAME?</v>
      </c>
      <c r="BR46" s="38" t="e">
        <f ca="1">_xll.RiskBinomial(1,BQ46)</f>
        <v>#NAME?</v>
      </c>
      <c r="BS46" s="86" t="e">
        <f ca="1">IF(BR46=1,_xll.RiskBinomial(1,Prob_illness_Noro_infection),0)</f>
        <v>#NAME?</v>
      </c>
      <c r="BU46" s="85" t="e">
        <f t="shared" ca="1" si="44"/>
        <v>#NAME?</v>
      </c>
      <c r="BV46" s="40" t="e">
        <f ca="1">INT(BU46) + _xll.RiskBinomial(1,BU46-INT(BU46))</f>
        <v>#NAME?</v>
      </c>
      <c r="BW46" s="33" t="e">
        <f t="shared" ca="1" si="15"/>
        <v>#NAME?</v>
      </c>
      <c r="BX46" s="38" t="e">
        <f ca="1">_xll.RiskBinomial(1,BW46)</f>
        <v>#NAME?</v>
      </c>
      <c r="BY46" s="86" t="e">
        <f ca="1">IF(BX46=1,_xll.RiskBinomial(1,Prob_illness_Noro_infection),0)</f>
        <v>#NAME?</v>
      </c>
      <c r="CA46" s="85" t="e">
        <f t="shared" ca="1" si="45"/>
        <v>#NAME?</v>
      </c>
      <c r="CB46" s="40" t="e">
        <f ca="1">INT(CA46) + _xll.RiskBinomial(1,CA46-INT(CA46))</f>
        <v>#NAME?</v>
      </c>
      <c r="CC46" s="33" t="e">
        <f t="shared" ca="1" si="16"/>
        <v>#NAME?</v>
      </c>
      <c r="CD46" s="38" t="e">
        <f ca="1">_xll.RiskBinomial(1,CC46)</f>
        <v>#NAME?</v>
      </c>
      <c r="CE46" s="86" t="e">
        <f ca="1">IF(CD46=1,_xll.RiskBinomial(1,Prob_illness_Noro_infection),0)</f>
        <v>#NAME?</v>
      </c>
      <c r="CG46" s="85" t="e">
        <f t="shared" ca="1" si="46"/>
        <v>#NAME?</v>
      </c>
      <c r="CH46" s="40" t="e">
        <f ca="1">INT(CG46) + _xll.RiskBinomial(1,CG46-INT(CG46))</f>
        <v>#NAME?</v>
      </c>
      <c r="CI46" s="33" t="e">
        <f t="shared" ca="1" si="17"/>
        <v>#NAME?</v>
      </c>
      <c r="CJ46" s="38" t="e">
        <f ca="1">_xll.RiskBinomial(1,CI46)</f>
        <v>#NAME?</v>
      </c>
      <c r="CK46" s="86" t="e">
        <f ca="1">IF(CJ46=1,_xll.RiskBinomial(1,Prob_illness_Noro_infection),0)</f>
        <v>#NAME?</v>
      </c>
      <c r="CM46" s="85" t="e">
        <f t="shared" ca="1" si="47"/>
        <v>#NAME?</v>
      </c>
      <c r="CN46" s="40" t="e">
        <f ca="1">INT(CM46) + _xll.RiskBinomial(1,CM46-INT(CM46))</f>
        <v>#NAME?</v>
      </c>
      <c r="CO46" s="33" t="e">
        <f t="shared" ca="1" si="18"/>
        <v>#NAME?</v>
      </c>
      <c r="CP46" s="38" t="e">
        <f ca="1">_xll.RiskBinomial(1,CO46)</f>
        <v>#NAME?</v>
      </c>
      <c r="CQ46" s="86" t="e">
        <f ca="1">IF(CP46=1,_xll.RiskBinomial(1,Prob_illness_Noro_infection),0)</f>
        <v>#NAME?</v>
      </c>
      <c r="CS46" s="85" t="e">
        <f t="shared" ca="1" si="48"/>
        <v>#NAME?</v>
      </c>
      <c r="CT46" s="40" t="e">
        <f ca="1">INT(CS46) + _xll.RiskBinomial(1,CS46-INT(CS46))</f>
        <v>#NAME?</v>
      </c>
      <c r="CU46" s="33" t="e">
        <f t="shared" ca="1" si="19"/>
        <v>#NAME?</v>
      </c>
      <c r="CV46" s="38" t="e">
        <f ca="1">_xll.RiskBinomial(1,CU46)</f>
        <v>#NAME?</v>
      </c>
      <c r="CW46" s="86" t="e">
        <f ca="1">IF(CV46=1,_xll.RiskBinomial(1,Prob_illness_Noro_infection),0)</f>
        <v>#NAME?</v>
      </c>
      <c r="CY46" s="85" t="e">
        <f t="shared" ca="1" si="49"/>
        <v>#NAME?</v>
      </c>
      <c r="CZ46" s="40" t="e">
        <f ca="1">INT(CY46) + _xll.RiskBinomial(1,CY46-INT(CY46))</f>
        <v>#NAME?</v>
      </c>
      <c r="DA46" s="33" t="e">
        <f t="shared" ca="1" si="20"/>
        <v>#NAME?</v>
      </c>
      <c r="DB46" s="38" t="e">
        <f ca="1">_xll.RiskBinomial(1,DA46)</f>
        <v>#NAME?</v>
      </c>
      <c r="DC46" s="86" t="e">
        <f ca="1">IF(DB46=1,_xll.RiskBinomial(1,Prob_illness_Noro_infection),0)</f>
        <v>#NAME?</v>
      </c>
      <c r="DE46" s="85" t="e">
        <f t="shared" ca="1" si="50"/>
        <v>#NAME?</v>
      </c>
      <c r="DF46" s="40" t="e">
        <f ca="1">INT(DE46) + _xll.RiskBinomial(1,DE46-INT(DE46))</f>
        <v>#NAME?</v>
      </c>
      <c r="DG46" s="33" t="e">
        <f t="shared" ca="1" si="21"/>
        <v>#NAME?</v>
      </c>
      <c r="DH46" s="38" t="e">
        <f ca="1">_xll.RiskBinomial(1,DG46)</f>
        <v>#NAME?</v>
      </c>
      <c r="DI46" s="86" t="e">
        <f ca="1">IF(DH46=1,_xll.RiskBinomial(1,Prob_illness_Noro_infection),0)</f>
        <v>#NAME?</v>
      </c>
      <c r="DK46" s="85" t="e">
        <f t="shared" ca="1" si="51"/>
        <v>#NAME?</v>
      </c>
      <c r="DL46" s="40" t="e">
        <f ca="1">INT(DK46) + _xll.RiskBinomial(1,DK46-INT(DK46))</f>
        <v>#NAME?</v>
      </c>
      <c r="DM46" s="33" t="e">
        <f t="shared" ca="1" si="22"/>
        <v>#NAME?</v>
      </c>
      <c r="DN46" s="38" t="e">
        <f ca="1">_xll.RiskBinomial(1,DM46)</f>
        <v>#NAME?</v>
      </c>
      <c r="DO46" s="86" t="e">
        <f ca="1">IF(DN46=1,_xll.RiskBinomial(1,Prob_illness_Noro_infection),0)</f>
        <v>#NAME?</v>
      </c>
      <c r="DQ46" s="85" t="e">
        <f t="shared" ca="1" si="52"/>
        <v>#NAME?</v>
      </c>
      <c r="DR46" s="40" t="e">
        <f ca="1">INT(DQ46) + _xll.RiskBinomial(1,DQ46-INT(DQ46))</f>
        <v>#NAME?</v>
      </c>
      <c r="DS46" s="33" t="e">
        <f t="shared" ca="1" si="23"/>
        <v>#NAME?</v>
      </c>
      <c r="DT46" s="38" t="e">
        <f ca="1">_xll.RiskBinomial(1,DS46)</f>
        <v>#NAME?</v>
      </c>
      <c r="DU46" s="86" t="e">
        <f ca="1">IF(DT46=1,_xll.RiskBinomial(1,Prob_illness_Noro_infection),0)</f>
        <v>#NAME?</v>
      </c>
      <c r="DW46" s="85" t="e">
        <f t="shared" ca="1" si="53"/>
        <v>#NAME?</v>
      </c>
      <c r="DX46" s="40" t="e">
        <f ca="1">INT(DW46) + _xll.RiskBinomial(1,DW46-INT(DW46))</f>
        <v>#NAME?</v>
      </c>
      <c r="DY46" s="33" t="e">
        <f t="shared" ca="1" si="24"/>
        <v>#NAME?</v>
      </c>
      <c r="DZ46" s="38" t="e">
        <f ca="1">_xll.RiskBinomial(1,DY46)</f>
        <v>#NAME?</v>
      </c>
      <c r="EA46" s="86" t="e">
        <f ca="1">IF(DZ46=1,_xll.RiskBinomial(1,Prob_illness_Noro_infection),0)</f>
        <v>#NAME?</v>
      </c>
      <c r="EC46" s="85" t="e">
        <f t="shared" ca="1" si="54"/>
        <v>#NAME?</v>
      </c>
      <c r="ED46" s="40" t="e">
        <f ca="1">INT(EC46) + _xll.RiskBinomial(1,EC46-INT(EC46))</f>
        <v>#NAME?</v>
      </c>
      <c r="EE46" s="33" t="e">
        <f t="shared" ca="1" si="25"/>
        <v>#NAME?</v>
      </c>
      <c r="EF46" s="38" t="e">
        <f ca="1">_xll.RiskBinomial(1,EE46)</f>
        <v>#NAME?</v>
      </c>
      <c r="EG46" s="86" t="e">
        <f ca="1">IF(EF46=1,_xll.RiskBinomial(1,Prob_illness_Noro_infection),0)</f>
        <v>#NAME?</v>
      </c>
      <c r="EI46" s="85" t="e">
        <f t="shared" ca="1" si="55"/>
        <v>#NAME?</v>
      </c>
      <c r="EJ46" s="40" t="e">
        <f ca="1">INT(EI46) + _xll.RiskBinomial(1,EI46-INT(EI46))</f>
        <v>#NAME?</v>
      </c>
      <c r="EK46" s="33" t="e">
        <f t="shared" ca="1" si="26"/>
        <v>#NAME?</v>
      </c>
      <c r="EL46" s="38" t="e">
        <f ca="1">_xll.RiskBinomial(1,EK46)</f>
        <v>#NAME?</v>
      </c>
      <c r="EM46" s="86" t="e">
        <f ca="1">IF(EL46=1,_xll.RiskBinomial(1,Prob_illness_Noro_infection),0)</f>
        <v>#NAME?</v>
      </c>
      <c r="EO46" s="85" t="e">
        <f t="shared" ca="1" si="56"/>
        <v>#NAME?</v>
      </c>
      <c r="EP46" s="40" t="e">
        <f ca="1">INT(EO46) + _xll.RiskBinomial(1,EO46-INT(EO46))</f>
        <v>#NAME?</v>
      </c>
      <c r="EQ46" s="33" t="e">
        <f t="shared" ca="1" si="27"/>
        <v>#NAME?</v>
      </c>
      <c r="ER46" s="38" t="e">
        <f ca="1">_xll.RiskBinomial(1,EQ46)</f>
        <v>#NAME?</v>
      </c>
      <c r="ES46" s="86" t="e">
        <f ca="1">IF(ER46=1,_xll.RiskBinomial(1,Prob_illness_Noro_infection),0)</f>
        <v>#NAME?</v>
      </c>
      <c r="EU46" s="85" t="e">
        <f t="shared" ca="1" si="57"/>
        <v>#NAME?</v>
      </c>
      <c r="EV46" s="40" t="e">
        <f ca="1">INT(EU46) + _xll.RiskBinomial(1,EU46-INT(EU46))</f>
        <v>#NAME?</v>
      </c>
      <c r="EW46" s="33" t="e">
        <f t="shared" ca="1" si="28"/>
        <v>#NAME?</v>
      </c>
      <c r="EX46" s="38" t="e">
        <f ca="1">_xll.RiskBinomial(1,EW46)</f>
        <v>#NAME?</v>
      </c>
      <c r="EY46" s="86" t="e">
        <f ca="1">IF(EX46=1,_xll.RiskBinomial(1,Prob_illness_Noro_infection),0)</f>
        <v>#NAME?</v>
      </c>
      <c r="FA46" s="85" t="e">
        <f t="shared" ca="1" si="58"/>
        <v>#NAME?</v>
      </c>
      <c r="FB46" s="40" t="e">
        <f ca="1">INT(FA46) + _xll.RiskBinomial(1,FA46-INT(FA46))</f>
        <v>#NAME?</v>
      </c>
      <c r="FC46" s="33" t="e">
        <f t="shared" ca="1" si="29"/>
        <v>#NAME?</v>
      </c>
      <c r="FD46" s="38" t="e">
        <f ca="1">_xll.RiskBinomial(1,FC46)</f>
        <v>#NAME?</v>
      </c>
      <c r="FE46" s="86" t="e">
        <f ca="1">IF(FD46=1,_xll.RiskBinomial(1,Prob_illness_Noro_infection),0)</f>
        <v>#NAME?</v>
      </c>
      <c r="FG46" s="85" t="e">
        <f t="shared" ca="1" si="59"/>
        <v>#NAME?</v>
      </c>
      <c r="FH46" s="40" t="e">
        <f ca="1">INT(FG46) + _xll.RiskBinomial(1,FG46-INT(FG46))</f>
        <v>#NAME?</v>
      </c>
      <c r="FI46" s="33" t="e">
        <f t="shared" ca="1" si="30"/>
        <v>#NAME?</v>
      </c>
      <c r="FJ46" s="38" t="e">
        <f ca="1">_xll.RiskBinomial(1,FI46)</f>
        <v>#NAME?</v>
      </c>
      <c r="FK46" s="86" t="e">
        <f ca="1">IF(FJ46=1,_xll.RiskBinomial(1,Prob_illness_Noro_infection),0)</f>
        <v>#NAME?</v>
      </c>
      <c r="FM46" s="85" t="e">
        <f t="shared" ca="1" si="60"/>
        <v>#NAME?</v>
      </c>
      <c r="FN46" s="40" t="e">
        <f ca="1">INT(FM46) + _xll.RiskBinomial(1,FM46-INT(FM46))</f>
        <v>#NAME?</v>
      </c>
      <c r="FO46" s="33" t="e">
        <f t="shared" ca="1" si="31"/>
        <v>#NAME?</v>
      </c>
      <c r="FP46" s="38" t="e">
        <f ca="1">_xll.RiskBinomial(1,FO46)</f>
        <v>#NAME?</v>
      </c>
      <c r="FQ46" s="86" t="e">
        <f ca="1">IF(FP46=1,_xll.RiskBinomial(1,Prob_illness_Noro_infection),0)</f>
        <v>#NAME?</v>
      </c>
      <c r="FS46" s="85" t="e">
        <f t="shared" ca="1" si="61"/>
        <v>#NAME?</v>
      </c>
      <c r="FT46" s="40" t="e">
        <f ca="1">INT(FS46) + _xll.RiskBinomial(1,FS46-INT(FS46))</f>
        <v>#NAME?</v>
      </c>
      <c r="FU46" s="33" t="e">
        <f t="shared" ca="1" si="32"/>
        <v>#NAME?</v>
      </c>
      <c r="FV46" s="38" t="e">
        <f ca="1">_xll.RiskBinomial(1,FU46)</f>
        <v>#NAME?</v>
      </c>
      <c r="FW46" s="86" t="e">
        <f ca="1">IF(FV46=1,_xll.RiskBinomial(1,Prob_illness_Noro_infection),0)</f>
        <v>#NAME?</v>
      </c>
      <c r="FY46" s="85" t="e">
        <f t="shared" ca="1" si="62"/>
        <v>#NAME?</v>
      </c>
      <c r="FZ46" s="40" t="e">
        <f ca="1">INT(FY46) + _xll.RiskBinomial(1,FY46-INT(FY46))</f>
        <v>#NAME?</v>
      </c>
      <c r="GA46" s="33" t="e">
        <f t="shared" ca="1" si="33"/>
        <v>#NAME?</v>
      </c>
      <c r="GB46" s="38" t="e">
        <f ca="1">_xll.RiskBinomial(1,GA46)</f>
        <v>#NAME?</v>
      </c>
      <c r="GC46" s="86" t="e">
        <f ca="1">IF(GB46=1,_xll.RiskBinomial(1,Prob_illness_Noro_infection),0)</f>
        <v>#NAME?</v>
      </c>
      <c r="GE46" s="85" t="e">
        <f t="shared" ca="1" si="63"/>
        <v>#NAME?</v>
      </c>
      <c r="GF46" s="40" t="e">
        <f ca="1">INT(GE46) + _xll.RiskBinomial(1,GE46-INT(GE46))</f>
        <v>#NAME?</v>
      </c>
      <c r="GG46" s="33" t="e">
        <f t="shared" ca="1" si="34"/>
        <v>#NAME?</v>
      </c>
      <c r="GH46" s="38" t="e">
        <f ca="1">_xll.RiskBinomial(1,GG46)</f>
        <v>#NAME?</v>
      </c>
      <c r="GI46" s="86" t="e">
        <f ca="1">IF(GH46=1,_xll.RiskBinomial(1,Prob_illness_Noro_infection),0)</f>
        <v>#NAME?</v>
      </c>
      <c r="GK46" s="85" t="e">
        <f t="shared" ca="1" si="64"/>
        <v>#NAME?</v>
      </c>
      <c r="GL46" s="40" t="e">
        <f ca="1">INT(GK46) + _xll.RiskBinomial(1,GK46-INT(GK46))</f>
        <v>#NAME?</v>
      </c>
      <c r="GM46" s="33" t="e">
        <f t="shared" ca="1" si="35"/>
        <v>#NAME?</v>
      </c>
      <c r="GN46" s="38" t="e">
        <f ca="1">_xll.RiskBinomial(1,GM46)</f>
        <v>#NAME?</v>
      </c>
      <c r="GO46" s="86" t="e">
        <f ca="1">IF(GN46=1,_xll.RiskBinomial(1,Prob_illness_Noro_infection),0)</f>
        <v>#NAME?</v>
      </c>
    </row>
    <row r="47" spans="2:197" x14ac:dyDescent="0.25">
      <c r="B47" s="106">
        <v>39</v>
      </c>
      <c r="C47" s="109" t="e">
        <f ca="1" xml:space="preserve"> _xll.RiskPert(Dur_Swim_hours_min,Dur_Swim_hours_mode,Dur_Swim_hours_max)</f>
        <v>#NAME?</v>
      </c>
      <c r="D47" s="33" t="e">
        <f ca="1">_xll.RiskLognorm(Primary_Ing_Rate_mL_per_hour_mean,Primary_Ing_Rate_mL_per_hour_sd, _xll.RiskTruncate(Primary_Ing_Rate_mL_per_hour_min,Primary_Ing_Rate_mL_per_hour_max))</f>
        <v>#NAME?</v>
      </c>
      <c r="E47" s="41" t="e">
        <f t="shared" ca="1" si="36"/>
        <v>#NAME?</v>
      </c>
      <c r="F47" s="33"/>
      <c r="G47" s="85" t="e">
        <f t="shared" ca="1" si="37"/>
        <v>#NAME?</v>
      </c>
      <c r="H47" s="40" t="e">
        <f ca="1">INT(G47) + _xll.RiskBinomial(1,G47-INT(G47))</f>
        <v>#NAME?</v>
      </c>
      <c r="I47" s="33" t="e">
        <f t="shared" ca="1" si="0"/>
        <v>#NAME?</v>
      </c>
      <c r="J47" s="38" t="e">
        <f ca="1">_xll.RiskBinomial(1,I47)</f>
        <v>#NAME?</v>
      </c>
      <c r="K47" s="86" t="e">
        <f ca="1">IF(J47=1,_xll.RiskBinomial(1,Prob_illness_Noro_infection),0)</f>
        <v>#NAME?</v>
      </c>
      <c r="L47" s="33"/>
      <c r="M47" s="85" t="e">
        <f t="shared" ca="1" si="38"/>
        <v>#NAME?</v>
      </c>
      <c r="N47" s="40" t="e">
        <f ca="1">INT(M47) + _xll.RiskBinomial(1,M47-INT(M47))</f>
        <v>#NAME?</v>
      </c>
      <c r="O47" s="33" t="e">
        <f t="shared" ca="1" si="1"/>
        <v>#NAME?</v>
      </c>
      <c r="P47" s="38" t="e">
        <f ca="1">_xll.RiskBinomial(1,O47)</f>
        <v>#NAME?</v>
      </c>
      <c r="Q47" s="86" t="e">
        <f ca="1">IF(P47=1,_xll.RiskBinomial(1,Prob_illness_Noro_infection),0)</f>
        <v>#NAME?</v>
      </c>
      <c r="R47" s="33"/>
      <c r="S47" s="85" t="e">
        <f t="shared" ca="1" si="39"/>
        <v>#NAME?</v>
      </c>
      <c r="T47" s="40" t="e">
        <f ca="1">INT(S47) + _xll.RiskBinomial(1,S47-INT(S47))</f>
        <v>#NAME?</v>
      </c>
      <c r="U47" s="33" t="e">
        <f t="shared" ca="1" si="2"/>
        <v>#NAME?</v>
      </c>
      <c r="V47" s="38" t="e">
        <f ca="1">_xll.RiskBinomial(1,U47)</f>
        <v>#NAME?</v>
      </c>
      <c r="W47" s="86" t="e">
        <f ca="1">IF(V47=1,_xll.RiskBinomial(1,Prob_illness_Noro_infection),0)</f>
        <v>#NAME?</v>
      </c>
      <c r="X47" s="33"/>
      <c r="Y47" s="85" t="e">
        <f t="shared" ca="1" si="3"/>
        <v>#NAME?</v>
      </c>
      <c r="Z47" s="40" t="e">
        <f ca="1">INT(Y47) + _xll.RiskBinomial(1,Y47-INT(Y47))</f>
        <v>#NAME?</v>
      </c>
      <c r="AA47" s="33" t="e">
        <f t="shared" ca="1" si="4"/>
        <v>#NAME?</v>
      </c>
      <c r="AB47" s="38" t="e">
        <f ca="1">_xll.RiskBinomial(1,AA47)</f>
        <v>#NAME?</v>
      </c>
      <c r="AC47" s="86" t="e">
        <f ca="1">IF(AB47=1,_xll.RiskBinomial(1,Prob_illness_Noro_infection),0)</f>
        <v>#NAME?</v>
      </c>
      <c r="AD47" s="33"/>
      <c r="AE47" s="85" t="e">
        <f t="shared" ca="1" si="5"/>
        <v>#NAME?</v>
      </c>
      <c r="AF47" s="40" t="e">
        <f ca="1">INT(AE47) + _xll.RiskBinomial(1,AE47-INT(AE47))</f>
        <v>#NAME?</v>
      </c>
      <c r="AG47" s="33" t="e">
        <f t="shared" ca="1" si="6"/>
        <v>#NAME?</v>
      </c>
      <c r="AH47" s="38" t="e">
        <f ca="1">_xll.RiskBinomial(1,AG47)</f>
        <v>#NAME?</v>
      </c>
      <c r="AI47" s="86" t="e">
        <f ca="1">IF(AH47=1,_xll.RiskBinomial(1,Prob_illness_Noro_infection),0)</f>
        <v>#NAME?</v>
      </c>
      <c r="AJ47" s="33"/>
      <c r="AK47" s="85" t="e">
        <f t="shared" ca="1" si="7"/>
        <v>#NAME?</v>
      </c>
      <c r="AL47" s="40" t="e">
        <f ca="1">INT(AK47) + _xll.RiskBinomial(1,AK47-INT(AK47))</f>
        <v>#NAME?</v>
      </c>
      <c r="AM47" s="33" t="e">
        <f t="shared" ca="1" si="8"/>
        <v>#NAME?</v>
      </c>
      <c r="AN47" s="38" t="e">
        <f ca="1">_xll.RiskBinomial(1,AM47)</f>
        <v>#NAME?</v>
      </c>
      <c r="AO47" s="86" t="e">
        <f ca="1">IF(AN47=1,_xll.RiskBinomial(1,Prob_illness_Noro_infection),0)</f>
        <v>#NAME?</v>
      </c>
      <c r="AP47" s="33"/>
      <c r="AQ47" s="85" t="e">
        <f t="shared" ca="1" si="65"/>
        <v>#NAME?</v>
      </c>
      <c r="AR47" s="40" t="e">
        <f ca="1">INT(AQ47) + _xll.RiskBinomial(1,AQ47-INT(AQ47))</f>
        <v>#NAME?</v>
      </c>
      <c r="AS47" s="33" t="e">
        <f t="shared" ca="1" si="10"/>
        <v>#NAME?</v>
      </c>
      <c r="AT47" s="38" t="e">
        <f ca="1">_xll.RiskBinomial(1,AS47)</f>
        <v>#NAME?</v>
      </c>
      <c r="AU47" s="86" t="e">
        <f ca="1">IF(AT47=1,_xll.RiskBinomial(1,Prob_illness_Noro_infection),0)</f>
        <v>#NAME?</v>
      </c>
      <c r="AV47" s="33"/>
      <c r="AW47" s="85" t="e">
        <f t="shared" ca="1" si="40"/>
        <v>#NAME?</v>
      </c>
      <c r="AX47" s="40" t="e">
        <f ca="1">INT(AW47) + _xll.RiskBinomial(1,AW47-INT(AW47))</f>
        <v>#NAME?</v>
      </c>
      <c r="AY47" s="33" t="e">
        <f t="shared" ca="1" si="11"/>
        <v>#NAME?</v>
      </c>
      <c r="AZ47" s="38" t="e">
        <f ca="1">_xll.RiskBinomial(1,AY47)</f>
        <v>#NAME?</v>
      </c>
      <c r="BA47" s="86" t="e">
        <f ca="1">IF(AZ47=1,_xll.RiskBinomial(1,Prob_illness_Noro_infection),0)</f>
        <v>#NAME?</v>
      </c>
      <c r="BC47" s="85" t="e">
        <f t="shared" ca="1" si="41"/>
        <v>#NAME?</v>
      </c>
      <c r="BD47" s="40" t="e">
        <f ca="1">INT(BC47) + _xll.RiskBinomial(1,BC47-INT(BC47))</f>
        <v>#NAME?</v>
      </c>
      <c r="BE47" s="33" t="e">
        <f t="shared" ca="1" si="12"/>
        <v>#NAME?</v>
      </c>
      <c r="BF47" s="38" t="e">
        <f ca="1">_xll.RiskBinomial(1,BE47)</f>
        <v>#NAME?</v>
      </c>
      <c r="BG47" s="86" t="e">
        <f ca="1">IF(BF47=1,_xll.RiskBinomial(1,Prob_illness_Noro_infection),0)</f>
        <v>#NAME?</v>
      </c>
      <c r="BI47" s="85" t="e">
        <f t="shared" ca="1" si="42"/>
        <v>#NAME?</v>
      </c>
      <c r="BJ47" s="40" t="e">
        <f ca="1">INT(BI47) + _xll.RiskBinomial(1,BI47-INT(BI47))</f>
        <v>#NAME?</v>
      </c>
      <c r="BK47" s="33" t="e">
        <f t="shared" ca="1" si="13"/>
        <v>#NAME?</v>
      </c>
      <c r="BL47" s="38" t="e">
        <f ca="1">_xll.RiskBinomial(1,BK47)</f>
        <v>#NAME?</v>
      </c>
      <c r="BM47" s="86" t="e">
        <f ca="1">IF(BL47=1,_xll.RiskBinomial(1,Prob_illness_Noro_infection),0)</f>
        <v>#NAME?</v>
      </c>
      <c r="BO47" s="85" t="e">
        <f t="shared" ca="1" si="43"/>
        <v>#NAME?</v>
      </c>
      <c r="BP47" s="40" t="e">
        <f ca="1">INT(BO47) + _xll.RiskBinomial(1,BO47-INT(BO47))</f>
        <v>#NAME?</v>
      </c>
      <c r="BQ47" s="33" t="e">
        <f t="shared" ca="1" si="14"/>
        <v>#NAME?</v>
      </c>
      <c r="BR47" s="38" t="e">
        <f ca="1">_xll.RiskBinomial(1,BQ47)</f>
        <v>#NAME?</v>
      </c>
      <c r="BS47" s="86" t="e">
        <f ca="1">IF(BR47=1,_xll.RiskBinomial(1,Prob_illness_Noro_infection),0)</f>
        <v>#NAME?</v>
      </c>
      <c r="BU47" s="85" t="e">
        <f t="shared" ca="1" si="44"/>
        <v>#NAME?</v>
      </c>
      <c r="BV47" s="40" t="e">
        <f ca="1">INT(BU47) + _xll.RiskBinomial(1,BU47-INT(BU47))</f>
        <v>#NAME?</v>
      </c>
      <c r="BW47" s="33" t="e">
        <f t="shared" ca="1" si="15"/>
        <v>#NAME?</v>
      </c>
      <c r="BX47" s="38" t="e">
        <f ca="1">_xll.RiskBinomial(1,BW47)</f>
        <v>#NAME?</v>
      </c>
      <c r="BY47" s="86" t="e">
        <f ca="1">IF(BX47=1,_xll.RiskBinomial(1,Prob_illness_Noro_infection),0)</f>
        <v>#NAME?</v>
      </c>
      <c r="CA47" s="85" t="e">
        <f t="shared" ca="1" si="45"/>
        <v>#NAME?</v>
      </c>
      <c r="CB47" s="40" t="e">
        <f ca="1">INT(CA47) + _xll.RiskBinomial(1,CA47-INT(CA47))</f>
        <v>#NAME?</v>
      </c>
      <c r="CC47" s="33" t="e">
        <f t="shared" ca="1" si="16"/>
        <v>#NAME?</v>
      </c>
      <c r="CD47" s="38" t="e">
        <f ca="1">_xll.RiskBinomial(1,CC47)</f>
        <v>#NAME?</v>
      </c>
      <c r="CE47" s="86" t="e">
        <f ca="1">IF(CD47=1,_xll.RiskBinomial(1,Prob_illness_Noro_infection),0)</f>
        <v>#NAME?</v>
      </c>
      <c r="CG47" s="85" t="e">
        <f t="shared" ca="1" si="46"/>
        <v>#NAME?</v>
      </c>
      <c r="CH47" s="40" t="e">
        <f ca="1">INT(CG47) + _xll.RiskBinomial(1,CG47-INT(CG47))</f>
        <v>#NAME?</v>
      </c>
      <c r="CI47" s="33" t="e">
        <f t="shared" ca="1" si="17"/>
        <v>#NAME?</v>
      </c>
      <c r="CJ47" s="38" t="e">
        <f ca="1">_xll.RiskBinomial(1,CI47)</f>
        <v>#NAME?</v>
      </c>
      <c r="CK47" s="86" t="e">
        <f ca="1">IF(CJ47=1,_xll.RiskBinomial(1,Prob_illness_Noro_infection),0)</f>
        <v>#NAME?</v>
      </c>
      <c r="CM47" s="85" t="e">
        <f t="shared" ca="1" si="47"/>
        <v>#NAME?</v>
      </c>
      <c r="CN47" s="40" t="e">
        <f ca="1">INT(CM47) + _xll.RiskBinomial(1,CM47-INT(CM47))</f>
        <v>#NAME?</v>
      </c>
      <c r="CO47" s="33" t="e">
        <f t="shared" ca="1" si="18"/>
        <v>#NAME?</v>
      </c>
      <c r="CP47" s="38" t="e">
        <f ca="1">_xll.RiskBinomial(1,CO47)</f>
        <v>#NAME?</v>
      </c>
      <c r="CQ47" s="86" t="e">
        <f ca="1">IF(CP47=1,_xll.RiskBinomial(1,Prob_illness_Noro_infection),0)</f>
        <v>#NAME?</v>
      </c>
      <c r="CS47" s="85" t="e">
        <f t="shared" ca="1" si="48"/>
        <v>#NAME?</v>
      </c>
      <c r="CT47" s="40" t="e">
        <f ca="1">INT(CS47) + _xll.RiskBinomial(1,CS47-INT(CS47))</f>
        <v>#NAME?</v>
      </c>
      <c r="CU47" s="33" t="e">
        <f t="shared" ca="1" si="19"/>
        <v>#NAME?</v>
      </c>
      <c r="CV47" s="38" t="e">
        <f ca="1">_xll.RiskBinomial(1,CU47)</f>
        <v>#NAME?</v>
      </c>
      <c r="CW47" s="86" t="e">
        <f ca="1">IF(CV47=1,_xll.RiskBinomial(1,Prob_illness_Noro_infection),0)</f>
        <v>#NAME?</v>
      </c>
      <c r="CY47" s="85" t="e">
        <f t="shared" ca="1" si="49"/>
        <v>#NAME?</v>
      </c>
      <c r="CZ47" s="40" t="e">
        <f ca="1">INT(CY47) + _xll.RiskBinomial(1,CY47-INT(CY47))</f>
        <v>#NAME?</v>
      </c>
      <c r="DA47" s="33" t="e">
        <f t="shared" ca="1" si="20"/>
        <v>#NAME?</v>
      </c>
      <c r="DB47" s="38" t="e">
        <f ca="1">_xll.RiskBinomial(1,DA47)</f>
        <v>#NAME?</v>
      </c>
      <c r="DC47" s="86" t="e">
        <f ca="1">IF(DB47=1,_xll.RiskBinomial(1,Prob_illness_Noro_infection),0)</f>
        <v>#NAME?</v>
      </c>
      <c r="DE47" s="85" t="e">
        <f t="shared" ca="1" si="50"/>
        <v>#NAME?</v>
      </c>
      <c r="DF47" s="40" t="e">
        <f ca="1">INT(DE47) + _xll.RiskBinomial(1,DE47-INT(DE47))</f>
        <v>#NAME?</v>
      </c>
      <c r="DG47" s="33" t="e">
        <f t="shared" ca="1" si="21"/>
        <v>#NAME?</v>
      </c>
      <c r="DH47" s="38" t="e">
        <f ca="1">_xll.RiskBinomial(1,DG47)</f>
        <v>#NAME?</v>
      </c>
      <c r="DI47" s="86" t="e">
        <f ca="1">IF(DH47=1,_xll.RiskBinomial(1,Prob_illness_Noro_infection),0)</f>
        <v>#NAME?</v>
      </c>
      <c r="DK47" s="85" t="e">
        <f t="shared" ca="1" si="51"/>
        <v>#NAME?</v>
      </c>
      <c r="DL47" s="40" t="e">
        <f ca="1">INT(DK47) + _xll.RiskBinomial(1,DK47-INT(DK47))</f>
        <v>#NAME?</v>
      </c>
      <c r="DM47" s="33" t="e">
        <f t="shared" ca="1" si="22"/>
        <v>#NAME?</v>
      </c>
      <c r="DN47" s="38" t="e">
        <f ca="1">_xll.RiskBinomial(1,DM47)</f>
        <v>#NAME?</v>
      </c>
      <c r="DO47" s="86" t="e">
        <f ca="1">IF(DN47=1,_xll.RiskBinomial(1,Prob_illness_Noro_infection),0)</f>
        <v>#NAME?</v>
      </c>
      <c r="DQ47" s="85" t="e">
        <f t="shared" ca="1" si="52"/>
        <v>#NAME?</v>
      </c>
      <c r="DR47" s="40" t="e">
        <f ca="1">INT(DQ47) + _xll.RiskBinomial(1,DQ47-INT(DQ47))</f>
        <v>#NAME?</v>
      </c>
      <c r="DS47" s="33" t="e">
        <f t="shared" ca="1" si="23"/>
        <v>#NAME?</v>
      </c>
      <c r="DT47" s="38" t="e">
        <f ca="1">_xll.RiskBinomial(1,DS47)</f>
        <v>#NAME?</v>
      </c>
      <c r="DU47" s="86" t="e">
        <f ca="1">IF(DT47=1,_xll.RiskBinomial(1,Prob_illness_Noro_infection),0)</f>
        <v>#NAME?</v>
      </c>
      <c r="DW47" s="85" t="e">
        <f t="shared" ca="1" si="53"/>
        <v>#NAME?</v>
      </c>
      <c r="DX47" s="40" t="e">
        <f ca="1">INT(DW47) + _xll.RiskBinomial(1,DW47-INT(DW47))</f>
        <v>#NAME?</v>
      </c>
      <c r="DY47" s="33" t="e">
        <f t="shared" ca="1" si="24"/>
        <v>#NAME?</v>
      </c>
      <c r="DZ47" s="38" t="e">
        <f ca="1">_xll.RiskBinomial(1,DY47)</f>
        <v>#NAME?</v>
      </c>
      <c r="EA47" s="86" t="e">
        <f ca="1">IF(DZ47=1,_xll.RiskBinomial(1,Prob_illness_Noro_infection),0)</f>
        <v>#NAME?</v>
      </c>
      <c r="EC47" s="85" t="e">
        <f t="shared" ca="1" si="54"/>
        <v>#NAME?</v>
      </c>
      <c r="ED47" s="40" t="e">
        <f ca="1">INT(EC47) + _xll.RiskBinomial(1,EC47-INT(EC47))</f>
        <v>#NAME?</v>
      </c>
      <c r="EE47" s="33" t="e">
        <f t="shared" ca="1" si="25"/>
        <v>#NAME?</v>
      </c>
      <c r="EF47" s="38" t="e">
        <f ca="1">_xll.RiskBinomial(1,EE47)</f>
        <v>#NAME?</v>
      </c>
      <c r="EG47" s="86" t="e">
        <f ca="1">IF(EF47=1,_xll.RiskBinomial(1,Prob_illness_Noro_infection),0)</f>
        <v>#NAME?</v>
      </c>
      <c r="EI47" s="85" t="e">
        <f t="shared" ca="1" si="55"/>
        <v>#NAME?</v>
      </c>
      <c r="EJ47" s="40" t="e">
        <f ca="1">INT(EI47) + _xll.RiskBinomial(1,EI47-INT(EI47))</f>
        <v>#NAME?</v>
      </c>
      <c r="EK47" s="33" t="e">
        <f t="shared" ca="1" si="26"/>
        <v>#NAME?</v>
      </c>
      <c r="EL47" s="38" t="e">
        <f ca="1">_xll.RiskBinomial(1,EK47)</f>
        <v>#NAME?</v>
      </c>
      <c r="EM47" s="86" t="e">
        <f ca="1">IF(EL47=1,_xll.RiskBinomial(1,Prob_illness_Noro_infection),0)</f>
        <v>#NAME?</v>
      </c>
      <c r="EO47" s="85" t="e">
        <f t="shared" ca="1" si="56"/>
        <v>#NAME?</v>
      </c>
      <c r="EP47" s="40" t="e">
        <f ca="1">INT(EO47) + _xll.RiskBinomial(1,EO47-INT(EO47))</f>
        <v>#NAME?</v>
      </c>
      <c r="EQ47" s="33" t="e">
        <f t="shared" ca="1" si="27"/>
        <v>#NAME?</v>
      </c>
      <c r="ER47" s="38" t="e">
        <f ca="1">_xll.RiskBinomial(1,EQ47)</f>
        <v>#NAME?</v>
      </c>
      <c r="ES47" s="86" t="e">
        <f ca="1">IF(ER47=1,_xll.RiskBinomial(1,Prob_illness_Noro_infection),0)</f>
        <v>#NAME?</v>
      </c>
      <c r="EU47" s="85" t="e">
        <f t="shared" ca="1" si="57"/>
        <v>#NAME?</v>
      </c>
      <c r="EV47" s="40" t="e">
        <f ca="1">INT(EU47) + _xll.RiskBinomial(1,EU47-INT(EU47))</f>
        <v>#NAME?</v>
      </c>
      <c r="EW47" s="33" t="e">
        <f t="shared" ca="1" si="28"/>
        <v>#NAME?</v>
      </c>
      <c r="EX47" s="38" t="e">
        <f ca="1">_xll.RiskBinomial(1,EW47)</f>
        <v>#NAME?</v>
      </c>
      <c r="EY47" s="86" t="e">
        <f ca="1">IF(EX47=1,_xll.RiskBinomial(1,Prob_illness_Noro_infection),0)</f>
        <v>#NAME?</v>
      </c>
      <c r="FA47" s="85" t="e">
        <f t="shared" ca="1" si="58"/>
        <v>#NAME?</v>
      </c>
      <c r="FB47" s="40" t="e">
        <f ca="1">INT(FA47) + _xll.RiskBinomial(1,FA47-INT(FA47))</f>
        <v>#NAME?</v>
      </c>
      <c r="FC47" s="33" t="e">
        <f t="shared" ca="1" si="29"/>
        <v>#NAME?</v>
      </c>
      <c r="FD47" s="38" t="e">
        <f ca="1">_xll.RiskBinomial(1,FC47)</f>
        <v>#NAME?</v>
      </c>
      <c r="FE47" s="86" t="e">
        <f ca="1">IF(FD47=1,_xll.RiskBinomial(1,Prob_illness_Noro_infection),0)</f>
        <v>#NAME?</v>
      </c>
      <c r="FG47" s="85" t="e">
        <f t="shared" ca="1" si="59"/>
        <v>#NAME?</v>
      </c>
      <c r="FH47" s="40" t="e">
        <f ca="1">INT(FG47) + _xll.RiskBinomial(1,FG47-INT(FG47))</f>
        <v>#NAME?</v>
      </c>
      <c r="FI47" s="33" t="e">
        <f t="shared" ca="1" si="30"/>
        <v>#NAME?</v>
      </c>
      <c r="FJ47" s="38" t="e">
        <f ca="1">_xll.RiskBinomial(1,FI47)</f>
        <v>#NAME?</v>
      </c>
      <c r="FK47" s="86" t="e">
        <f ca="1">IF(FJ47=1,_xll.RiskBinomial(1,Prob_illness_Noro_infection),0)</f>
        <v>#NAME?</v>
      </c>
      <c r="FM47" s="85" t="e">
        <f t="shared" ca="1" si="60"/>
        <v>#NAME?</v>
      </c>
      <c r="FN47" s="40" t="e">
        <f ca="1">INT(FM47) + _xll.RiskBinomial(1,FM47-INT(FM47))</f>
        <v>#NAME?</v>
      </c>
      <c r="FO47" s="33" t="e">
        <f t="shared" ca="1" si="31"/>
        <v>#NAME?</v>
      </c>
      <c r="FP47" s="38" t="e">
        <f ca="1">_xll.RiskBinomial(1,FO47)</f>
        <v>#NAME?</v>
      </c>
      <c r="FQ47" s="86" t="e">
        <f ca="1">IF(FP47=1,_xll.RiskBinomial(1,Prob_illness_Noro_infection),0)</f>
        <v>#NAME?</v>
      </c>
      <c r="FS47" s="85" t="e">
        <f t="shared" ca="1" si="61"/>
        <v>#NAME?</v>
      </c>
      <c r="FT47" s="40" t="e">
        <f ca="1">INT(FS47) + _xll.RiskBinomial(1,FS47-INT(FS47))</f>
        <v>#NAME?</v>
      </c>
      <c r="FU47" s="33" t="e">
        <f t="shared" ca="1" si="32"/>
        <v>#NAME?</v>
      </c>
      <c r="FV47" s="38" t="e">
        <f ca="1">_xll.RiskBinomial(1,FU47)</f>
        <v>#NAME?</v>
      </c>
      <c r="FW47" s="86" t="e">
        <f ca="1">IF(FV47=1,_xll.RiskBinomial(1,Prob_illness_Noro_infection),0)</f>
        <v>#NAME?</v>
      </c>
      <c r="FY47" s="85" t="e">
        <f t="shared" ca="1" si="62"/>
        <v>#NAME?</v>
      </c>
      <c r="FZ47" s="40" t="e">
        <f ca="1">INT(FY47) + _xll.RiskBinomial(1,FY47-INT(FY47))</f>
        <v>#NAME?</v>
      </c>
      <c r="GA47" s="33" t="e">
        <f t="shared" ca="1" si="33"/>
        <v>#NAME?</v>
      </c>
      <c r="GB47" s="38" t="e">
        <f ca="1">_xll.RiskBinomial(1,GA47)</f>
        <v>#NAME?</v>
      </c>
      <c r="GC47" s="86" t="e">
        <f ca="1">IF(GB47=1,_xll.RiskBinomial(1,Prob_illness_Noro_infection),0)</f>
        <v>#NAME?</v>
      </c>
      <c r="GE47" s="85" t="e">
        <f t="shared" ca="1" si="63"/>
        <v>#NAME?</v>
      </c>
      <c r="GF47" s="40" t="e">
        <f ca="1">INT(GE47) + _xll.RiskBinomial(1,GE47-INT(GE47))</f>
        <v>#NAME?</v>
      </c>
      <c r="GG47" s="33" t="e">
        <f t="shared" ca="1" si="34"/>
        <v>#NAME?</v>
      </c>
      <c r="GH47" s="38" t="e">
        <f ca="1">_xll.RiskBinomial(1,GG47)</f>
        <v>#NAME?</v>
      </c>
      <c r="GI47" s="86" t="e">
        <f ca="1">IF(GH47=1,_xll.RiskBinomial(1,Prob_illness_Noro_infection),0)</f>
        <v>#NAME?</v>
      </c>
      <c r="GK47" s="85" t="e">
        <f t="shared" ca="1" si="64"/>
        <v>#NAME?</v>
      </c>
      <c r="GL47" s="40" t="e">
        <f ca="1">INT(GK47) + _xll.RiskBinomial(1,GK47-INT(GK47))</f>
        <v>#NAME?</v>
      </c>
      <c r="GM47" s="33" t="e">
        <f t="shared" ca="1" si="35"/>
        <v>#NAME?</v>
      </c>
      <c r="GN47" s="38" t="e">
        <f ca="1">_xll.RiskBinomial(1,GM47)</f>
        <v>#NAME?</v>
      </c>
      <c r="GO47" s="86" t="e">
        <f ca="1">IF(GN47=1,_xll.RiskBinomial(1,Prob_illness_Noro_infection),0)</f>
        <v>#NAME?</v>
      </c>
    </row>
    <row r="48" spans="2:197" x14ac:dyDescent="0.25">
      <c r="B48" s="106">
        <v>40</v>
      </c>
      <c r="C48" s="109" t="e">
        <f ca="1" xml:space="preserve"> _xll.RiskPert(Dur_Swim_hours_min,Dur_Swim_hours_mode,Dur_Swim_hours_max)</f>
        <v>#NAME?</v>
      </c>
      <c r="D48" s="33" t="e">
        <f ca="1">_xll.RiskLognorm(Primary_Ing_Rate_mL_per_hour_mean,Primary_Ing_Rate_mL_per_hour_sd, _xll.RiskTruncate(Primary_Ing_Rate_mL_per_hour_min,Primary_Ing_Rate_mL_per_hour_max))</f>
        <v>#NAME?</v>
      </c>
      <c r="E48" s="41" t="e">
        <f t="shared" ca="1" si="36"/>
        <v>#NAME?</v>
      </c>
      <c r="F48" s="33"/>
      <c r="G48" s="85" t="e">
        <f t="shared" ca="1" si="37"/>
        <v>#NAME?</v>
      </c>
      <c r="H48" s="40" t="e">
        <f ca="1">INT(G48) + _xll.RiskBinomial(1,G48-INT(G48))</f>
        <v>#NAME?</v>
      </c>
      <c r="I48" s="33" t="e">
        <f t="shared" ca="1" si="0"/>
        <v>#NAME?</v>
      </c>
      <c r="J48" s="38" t="e">
        <f ca="1">_xll.RiskBinomial(1,I48)</f>
        <v>#NAME?</v>
      </c>
      <c r="K48" s="86" t="e">
        <f ca="1">IF(J48=1,_xll.RiskBinomial(1,Prob_illness_Noro_infection),0)</f>
        <v>#NAME?</v>
      </c>
      <c r="L48" s="33"/>
      <c r="M48" s="85" t="e">
        <f t="shared" ca="1" si="38"/>
        <v>#NAME?</v>
      </c>
      <c r="N48" s="40" t="e">
        <f ca="1">INT(M48) + _xll.RiskBinomial(1,M48-INT(M48))</f>
        <v>#NAME?</v>
      </c>
      <c r="O48" s="33" t="e">
        <f t="shared" ca="1" si="1"/>
        <v>#NAME?</v>
      </c>
      <c r="P48" s="38" t="e">
        <f ca="1">_xll.RiskBinomial(1,O48)</f>
        <v>#NAME?</v>
      </c>
      <c r="Q48" s="86" t="e">
        <f ca="1">IF(P48=1,_xll.RiskBinomial(1,Prob_illness_Noro_infection),0)</f>
        <v>#NAME?</v>
      </c>
      <c r="R48" s="33"/>
      <c r="S48" s="85" t="e">
        <f t="shared" ca="1" si="39"/>
        <v>#NAME?</v>
      </c>
      <c r="T48" s="40" t="e">
        <f ca="1">INT(S48) + _xll.RiskBinomial(1,S48-INT(S48))</f>
        <v>#NAME?</v>
      </c>
      <c r="U48" s="33" t="e">
        <f t="shared" ca="1" si="2"/>
        <v>#NAME?</v>
      </c>
      <c r="V48" s="38" t="e">
        <f ca="1">_xll.RiskBinomial(1,U48)</f>
        <v>#NAME?</v>
      </c>
      <c r="W48" s="86" t="e">
        <f ca="1">IF(V48=1,_xll.RiskBinomial(1,Prob_illness_Noro_infection),0)</f>
        <v>#NAME?</v>
      </c>
      <c r="X48" s="33"/>
      <c r="Y48" s="85" t="e">
        <f t="shared" ca="1" si="3"/>
        <v>#NAME?</v>
      </c>
      <c r="Z48" s="40" t="e">
        <f ca="1">INT(Y48) + _xll.RiskBinomial(1,Y48-INT(Y48))</f>
        <v>#NAME?</v>
      </c>
      <c r="AA48" s="33" t="e">
        <f t="shared" ca="1" si="4"/>
        <v>#NAME?</v>
      </c>
      <c r="AB48" s="38" t="e">
        <f ca="1">_xll.RiskBinomial(1,AA48)</f>
        <v>#NAME?</v>
      </c>
      <c r="AC48" s="86" t="e">
        <f ca="1">IF(AB48=1,_xll.RiskBinomial(1,Prob_illness_Noro_infection),0)</f>
        <v>#NAME?</v>
      </c>
      <c r="AD48" s="33"/>
      <c r="AE48" s="85" t="e">
        <f t="shared" ca="1" si="5"/>
        <v>#NAME?</v>
      </c>
      <c r="AF48" s="40" t="e">
        <f ca="1">INT(AE48) + _xll.RiskBinomial(1,AE48-INT(AE48))</f>
        <v>#NAME?</v>
      </c>
      <c r="AG48" s="33" t="e">
        <f t="shared" ca="1" si="6"/>
        <v>#NAME?</v>
      </c>
      <c r="AH48" s="38" t="e">
        <f ca="1">_xll.RiskBinomial(1,AG48)</f>
        <v>#NAME?</v>
      </c>
      <c r="AI48" s="86" t="e">
        <f ca="1">IF(AH48=1,_xll.RiskBinomial(1,Prob_illness_Noro_infection),0)</f>
        <v>#NAME?</v>
      </c>
      <c r="AJ48" s="33"/>
      <c r="AK48" s="85" t="e">
        <f t="shared" ca="1" si="7"/>
        <v>#NAME?</v>
      </c>
      <c r="AL48" s="40" t="e">
        <f ca="1">INT(AK48) + _xll.RiskBinomial(1,AK48-INT(AK48))</f>
        <v>#NAME?</v>
      </c>
      <c r="AM48" s="33" t="e">
        <f t="shared" ca="1" si="8"/>
        <v>#NAME?</v>
      </c>
      <c r="AN48" s="38" t="e">
        <f ca="1">_xll.RiskBinomial(1,AM48)</f>
        <v>#NAME?</v>
      </c>
      <c r="AO48" s="86" t="e">
        <f ca="1">IF(AN48=1,_xll.RiskBinomial(1,Prob_illness_Noro_infection),0)</f>
        <v>#NAME?</v>
      </c>
      <c r="AP48" s="33"/>
      <c r="AQ48" s="85" t="e">
        <f t="shared" ca="1" si="65"/>
        <v>#NAME?</v>
      </c>
      <c r="AR48" s="40" t="e">
        <f ca="1">INT(AQ48) + _xll.RiskBinomial(1,AQ48-INT(AQ48))</f>
        <v>#NAME?</v>
      </c>
      <c r="AS48" s="33" t="e">
        <f t="shared" ca="1" si="10"/>
        <v>#NAME?</v>
      </c>
      <c r="AT48" s="38" t="e">
        <f ca="1">_xll.RiskBinomial(1,AS48)</f>
        <v>#NAME?</v>
      </c>
      <c r="AU48" s="86" t="e">
        <f ca="1">IF(AT48=1,_xll.RiskBinomial(1,Prob_illness_Noro_infection),0)</f>
        <v>#NAME?</v>
      </c>
      <c r="AV48" s="33"/>
      <c r="AW48" s="85" t="e">
        <f t="shared" ca="1" si="40"/>
        <v>#NAME?</v>
      </c>
      <c r="AX48" s="40" t="e">
        <f ca="1">INT(AW48) + _xll.RiskBinomial(1,AW48-INT(AW48))</f>
        <v>#NAME?</v>
      </c>
      <c r="AY48" s="33" t="e">
        <f t="shared" ca="1" si="11"/>
        <v>#NAME?</v>
      </c>
      <c r="AZ48" s="38" t="e">
        <f ca="1">_xll.RiskBinomial(1,AY48)</f>
        <v>#NAME?</v>
      </c>
      <c r="BA48" s="86" t="e">
        <f ca="1">IF(AZ48=1,_xll.RiskBinomial(1,Prob_illness_Noro_infection),0)</f>
        <v>#NAME?</v>
      </c>
      <c r="BC48" s="85" t="e">
        <f t="shared" ca="1" si="41"/>
        <v>#NAME?</v>
      </c>
      <c r="BD48" s="40" t="e">
        <f ca="1">INT(BC48) + _xll.RiskBinomial(1,BC48-INT(BC48))</f>
        <v>#NAME?</v>
      </c>
      <c r="BE48" s="33" t="e">
        <f t="shared" ca="1" si="12"/>
        <v>#NAME?</v>
      </c>
      <c r="BF48" s="38" t="e">
        <f ca="1">_xll.RiskBinomial(1,BE48)</f>
        <v>#NAME?</v>
      </c>
      <c r="BG48" s="86" t="e">
        <f ca="1">IF(BF48=1,_xll.RiskBinomial(1,Prob_illness_Noro_infection),0)</f>
        <v>#NAME?</v>
      </c>
      <c r="BI48" s="85" t="e">
        <f t="shared" ca="1" si="42"/>
        <v>#NAME?</v>
      </c>
      <c r="BJ48" s="40" t="e">
        <f ca="1">INT(BI48) + _xll.RiskBinomial(1,BI48-INT(BI48))</f>
        <v>#NAME?</v>
      </c>
      <c r="BK48" s="33" t="e">
        <f t="shared" ca="1" si="13"/>
        <v>#NAME?</v>
      </c>
      <c r="BL48" s="38" t="e">
        <f ca="1">_xll.RiskBinomial(1,BK48)</f>
        <v>#NAME?</v>
      </c>
      <c r="BM48" s="86" t="e">
        <f ca="1">IF(BL48=1,_xll.RiskBinomial(1,Prob_illness_Noro_infection),0)</f>
        <v>#NAME?</v>
      </c>
      <c r="BO48" s="85" t="e">
        <f t="shared" ca="1" si="43"/>
        <v>#NAME?</v>
      </c>
      <c r="BP48" s="40" t="e">
        <f ca="1">INT(BO48) + _xll.RiskBinomial(1,BO48-INT(BO48))</f>
        <v>#NAME?</v>
      </c>
      <c r="BQ48" s="33" t="e">
        <f t="shared" ca="1" si="14"/>
        <v>#NAME?</v>
      </c>
      <c r="BR48" s="38" t="e">
        <f ca="1">_xll.RiskBinomial(1,BQ48)</f>
        <v>#NAME?</v>
      </c>
      <c r="BS48" s="86" t="e">
        <f ca="1">IF(BR48=1,_xll.RiskBinomial(1,Prob_illness_Noro_infection),0)</f>
        <v>#NAME?</v>
      </c>
      <c r="BU48" s="85" t="e">
        <f t="shared" ca="1" si="44"/>
        <v>#NAME?</v>
      </c>
      <c r="BV48" s="40" t="e">
        <f ca="1">INT(BU48) + _xll.RiskBinomial(1,BU48-INT(BU48))</f>
        <v>#NAME?</v>
      </c>
      <c r="BW48" s="33" t="e">
        <f t="shared" ca="1" si="15"/>
        <v>#NAME?</v>
      </c>
      <c r="BX48" s="38" t="e">
        <f ca="1">_xll.RiskBinomial(1,BW48)</f>
        <v>#NAME?</v>
      </c>
      <c r="BY48" s="86" t="e">
        <f ca="1">IF(BX48=1,_xll.RiskBinomial(1,Prob_illness_Noro_infection),0)</f>
        <v>#NAME?</v>
      </c>
      <c r="CA48" s="85" t="e">
        <f t="shared" ca="1" si="45"/>
        <v>#NAME?</v>
      </c>
      <c r="CB48" s="40" t="e">
        <f ca="1">INT(CA48) + _xll.RiskBinomial(1,CA48-INT(CA48))</f>
        <v>#NAME?</v>
      </c>
      <c r="CC48" s="33" t="e">
        <f t="shared" ca="1" si="16"/>
        <v>#NAME?</v>
      </c>
      <c r="CD48" s="38" t="e">
        <f ca="1">_xll.RiskBinomial(1,CC48)</f>
        <v>#NAME?</v>
      </c>
      <c r="CE48" s="86" t="e">
        <f ca="1">IF(CD48=1,_xll.RiskBinomial(1,Prob_illness_Noro_infection),0)</f>
        <v>#NAME?</v>
      </c>
      <c r="CG48" s="85" t="e">
        <f t="shared" ca="1" si="46"/>
        <v>#NAME?</v>
      </c>
      <c r="CH48" s="40" t="e">
        <f ca="1">INT(CG48) + _xll.RiskBinomial(1,CG48-INT(CG48))</f>
        <v>#NAME?</v>
      </c>
      <c r="CI48" s="33" t="e">
        <f t="shared" ca="1" si="17"/>
        <v>#NAME?</v>
      </c>
      <c r="CJ48" s="38" t="e">
        <f ca="1">_xll.RiskBinomial(1,CI48)</f>
        <v>#NAME?</v>
      </c>
      <c r="CK48" s="86" t="e">
        <f ca="1">IF(CJ48=1,_xll.RiskBinomial(1,Prob_illness_Noro_infection),0)</f>
        <v>#NAME?</v>
      </c>
      <c r="CM48" s="85" t="e">
        <f t="shared" ca="1" si="47"/>
        <v>#NAME?</v>
      </c>
      <c r="CN48" s="40" t="e">
        <f ca="1">INT(CM48) + _xll.RiskBinomial(1,CM48-INT(CM48))</f>
        <v>#NAME?</v>
      </c>
      <c r="CO48" s="33" t="e">
        <f t="shared" ca="1" si="18"/>
        <v>#NAME?</v>
      </c>
      <c r="CP48" s="38" t="e">
        <f ca="1">_xll.RiskBinomial(1,CO48)</f>
        <v>#NAME?</v>
      </c>
      <c r="CQ48" s="86" t="e">
        <f ca="1">IF(CP48=1,_xll.RiskBinomial(1,Prob_illness_Noro_infection),0)</f>
        <v>#NAME?</v>
      </c>
      <c r="CS48" s="85" t="e">
        <f t="shared" ca="1" si="48"/>
        <v>#NAME?</v>
      </c>
      <c r="CT48" s="40" t="e">
        <f ca="1">INT(CS48) + _xll.RiskBinomial(1,CS48-INT(CS48))</f>
        <v>#NAME?</v>
      </c>
      <c r="CU48" s="33" t="e">
        <f t="shared" ca="1" si="19"/>
        <v>#NAME?</v>
      </c>
      <c r="CV48" s="38" t="e">
        <f ca="1">_xll.RiskBinomial(1,CU48)</f>
        <v>#NAME?</v>
      </c>
      <c r="CW48" s="86" t="e">
        <f ca="1">IF(CV48=1,_xll.RiskBinomial(1,Prob_illness_Noro_infection),0)</f>
        <v>#NAME?</v>
      </c>
      <c r="CY48" s="85" t="e">
        <f t="shared" ca="1" si="49"/>
        <v>#NAME?</v>
      </c>
      <c r="CZ48" s="40" t="e">
        <f ca="1">INT(CY48) + _xll.RiskBinomial(1,CY48-INT(CY48))</f>
        <v>#NAME?</v>
      </c>
      <c r="DA48" s="33" t="e">
        <f t="shared" ca="1" si="20"/>
        <v>#NAME?</v>
      </c>
      <c r="DB48" s="38" t="e">
        <f ca="1">_xll.RiskBinomial(1,DA48)</f>
        <v>#NAME?</v>
      </c>
      <c r="DC48" s="86" t="e">
        <f ca="1">IF(DB48=1,_xll.RiskBinomial(1,Prob_illness_Noro_infection),0)</f>
        <v>#NAME?</v>
      </c>
      <c r="DE48" s="85" t="e">
        <f t="shared" ca="1" si="50"/>
        <v>#NAME?</v>
      </c>
      <c r="DF48" s="40" t="e">
        <f ca="1">INT(DE48) + _xll.RiskBinomial(1,DE48-INT(DE48))</f>
        <v>#NAME?</v>
      </c>
      <c r="DG48" s="33" t="e">
        <f t="shared" ca="1" si="21"/>
        <v>#NAME?</v>
      </c>
      <c r="DH48" s="38" t="e">
        <f ca="1">_xll.RiskBinomial(1,DG48)</f>
        <v>#NAME?</v>
      </c>
      <c r="DI48" s="86" t="e">
        <f ca="1">IF(DH48=1,_xll.RiskBinomial(1,Prob_illness_Noro_infection),0)</f>
        <v>#NAME?</v>
      </c>
      <c r="DK48" s="85" t="e">
        <f t="shared" ca="1" si="51"/>
        <v>#NAME?</v>
      </c>
      <c r="DL48" s="40" t="e">
        <f ca="1">INT(DK48) + _xll.RiskBinomial(1,DK48-INT(DK48))</f>
        <v>#NAME?</v>
      </c>
      <c r="DM48" s="33" t="e">
        <f t="shared" ca="1" si="22"/>
        <v>#NAME?</v>
      </c>
      <c r="DN48" s="38" t="e">
        <f ca="1">_xll.RiskBinomial(1,DM48)</f>
        <v>#NAME?</v>
      </c>
      <c r="DO48" s="86" t="e">
        <f ca="1">IF(DN48=1,_xll.RiskBinomial(1,Prob_illness_Noro_infection),0)</f>
        <v>#NAME?</v>
      </c>
      <c r="DQ48" s="85" t="e">
        <f t="shared" ca="1" si="52"/>
        <v>#NAME?</v>
      </c>
      <c r="DR48" s="40" t="e">
        <f ca="1">INT(DQ48) + _xll.RiskBinomial(1,DQ48-INT(DQ48))</f>
        <v>#NAME?</v>
      </c>
      <c r="DS48" s="33" t="e">
        <f t="shared" ca="1" si="23"/>
        <v>#NAME?</v>
      </c>
      <c r="DT48" s="38" t="e">
        <f ca="1">_xll.RiskBinomial(1,DS48)</f>
        <v>#NAME?</v>
      </c>
      <c r="DU48" s="86" t="e">
        <f ca="1">IF(DT48=1,_xll.RiskBinomial(1,Prob_illness_Noro_infection),0)</f>
        <v>#NAME?</v>
      </c>
      <c r="DW48" s="85" t="e">
        <f t="shared" ca="1" si="53"/>
        <v>#NAME?</v>
      </c>
      <c r="DX48" s="40" t="e">
        <f ca="1">INT(DW48) + _xll.RiskBinomial(1,DW48-INT(DW48))</f>
        <v>#NAME?</v>
      </c>
      <c r="DY48" s="33" t="e">
        <f t="shared" ca="1" si="24"/>
        <v>#NAME?</v>
      </c>
      <c r="DZ48" s="38" t="e">
        <f ca="1">_xll.RiskBinomial(1,DY48)</f>
        <v>#NAME?</v>
      </c>
      <c r="EA48" s="86" t="e">
        <f ca="1">IF(DZ48=1,_xll.RiskBinomial(1,Prob_illness_Noro_infection),0)</f>
        <v>#NAME?</v>
      </c>
      <c r="EC48" s="85" t="e">
        <f t="shared" ca="1" si="54"/>
        <v>#NAME?</v>
      </c>
      <c r="ED48" s="40" t="e">
        <f ca="1">INT(EC48) + _xll.RiskBinomial(1,EC48-INT(EC48))</f>
        <v>#NAME?</v>
      </c>
      <c r="EE48" s="33" t="e">
        <f t="shared" ca="1" si="25"/>
        <v>#NAME?</v>
      </c>
      <c r="EF48" s="38" t="e">
        <f ca="1">_xll.RiskBinomial(1,EE48)</f>
        <v>#NAME?</v>
      </c>
      <c r="EG48" s="86" t="e">
        <f ca="1">IF(EF48=1,_xll.RiskBinomial(1,Prob_illness_Noro_infection),0)</f>
        <v>#NAME?</v>
      </c>
      <c r="EI48" s="85" t="e">
        <f t="shared" ca="1" si="55"/>
        <v>#NAME?</v>
      </c>
      <c r="EJ48" s="40" t="e">
        <f ca="1">INT(EI48) + _xll.RiskBinomial(1,EI48-INT(EI48))</f>
        <v>#NAME?</v>
      </c>
      <c r="EK48" s="33" t="e">
        <f t="shared" ca="1" si="26"/>
        <v>#NAME?</v>
      </c>
      <c r="EL48" s="38" t="e">
        <f ca="1">_xll.RiskBinomial(1,EK48)</f>
        <v>#NAME?</v>
      </c>
      <c r="EM48" s="86" t="e">
        <f ca="1">IF(EL48=1,_xll.RiskBinomial(1,Prob_illness_Noro_infection),0)</f>
        <v>#NAME?</v>
      </c>
      <c r="EO48" s="85" t="e">
        <f t="shared" ca="1" si="56"/>
        <v>#NAME?</v>
      </c>
      <c r="EP48" s="40" t="e">
        <f ca="1">INT(EO48) + _xll.RiskBinomial(1,EO48-INT(EO48))</f>
        <v>#NAME?</v>
      </c>
      <c r="EQ48" s="33" t="e">
        <f t="shared" ca="1" si="27"/>
        <v>#NAME?</v>
      </c>
      <c r="ER48" s="38" t="e">
        <f ca="1">_xll.RiskBinomial(1,EQ48)</f>
        <v>#NAME?</v>
      </c>
      <c r="ES48" s="86" t="e">
        <f ca="1">IF(ER48=1,_xll.RiskBinomial(1,Prob_illness_Noro_infection),0)</f>
        <v>#NAME?</v>
      </c>
      <c r="EU48" s="85" t="e">
        <f t="shared" ca="1" si="57"/>
        <v>#NAME?</v>
      </c>
      <c r="EV48" s="40" t="e">
        <f ca="1">INT(EU48) + _xll.RiskBinomial(1,EU48-INT(EU48))</f>
        <v>#NAME?</v>
      </c>
      <c r="EW48" s="33" t="e">
        <f t="shared" ca="1" si="28"/>
        <v>#NAME?</v>
      </c>
      <c r="EX48" s="38" t="e">
        <f ca="1">_xll.RiskBinomial(1,EW48)</f>
        <v>#NAME?</v>
      </c>
      <c r="EY48" s="86" t="e">
        <f ca="1">IF(EX48=1,_xll.RiskBinomial(1,Prob_illness_Noro_infection),0)</f>
        <v>#NAME?</v>
      </c>
      <c r="FA48" s="85" t="e">
        <f t="shared" ca="1" si="58"/>
        <v>#NAME?</v>
      </c>
      <c r="FB48" s="40" t="e">
        <f ca="1">INT(FA48) + _xll.RiskBinomial(1,FA48-INT(FA48))</f>
        <v>#NAME?</v>
      </c>
      <c r="FC48" s="33" t="e">
        <f t="shared" ca="1" si="29"/>
        <v>#NAME?</v>
      </c>
      <c r="FD48" s="38" t="e">
        <f ca="1">_xll.RiskBinomial(1,FC48)</f>
        <v>#NAME?</v>
      </c>
      <c r="FE48" s="86" t="e">
        <f ca="1">IF(FD48=1,_xll.RiskBinomial(1,Prob_illness_Noro_infection),0)</f>
        <v>#NAME?</v>
      </c>
      <c r="FG48" s="85" t="e">
        <f t="shared" ca="1" si="59"/>
        <v>#NAME?</v>
      </c>
      <c r="FH48" s="40" t="e">
        <f ca="1">INT(FG48) + _xll.RiskBinomial(1,FG48-INT(FG48))</f>
        <v>#NAME?</v>
      </c>
      <c r="FI48" s="33" t="e">
        <f t="shared" ca="1" si="30"/>
        <v>#NAME?</v>
      </c>
      <c r="FJ48" s="38" t="e">
        <f ca="1">_xll.RiskBinomial(1,FI48)</f>
        <v>#NAME?</v>
      </c>
      <c r="FK48" s="86" t="e">
        <f ca="1">IF(FJ48=1,_xll.RiskBinomial(1,Prob_illness_Noro_infection),0)</f>
        <v>#NAME?</v>
      </c>
      <c r="FM48" s="85" t="e">
        <f t="shared" ca="1" si="60"/>
        <v>#NAME?</v>
      </c>
      <c r="FN48" s="40" t="e">
        <f ca="1">INT(FM48) + _xll.RiskBinomial(1,FM48-INT(FM48))</f>
        <v>#NAME?</v>
      </c>
      <c r="FO48" s="33" t="e">
        <f t="shared" ca="1" si="31"/>
        <v>#NAME?</v>
      </c>
      <c r="FP48" s="38" t="e">
        <f ca="1">_xll.RiskBinomial(1,FO48)</f>
        <v>#NAME?</v>
      </c>
      <c r="FQ48" s="86" t="e">
        <f ca="1">IF(FP48=1,_xll.RiskBinomial(1,Prob_illness_Noro_infection),0)</f>
        <v>#NAME?</v>
      </c>
      <c r="FS48" s="85" t="e">
        <f t="shared" ca="1" si="61"/>
        <v>#NAME?</v>
      </c>
      <c r="FT48" s="40" t="e">
        <f ca="1">INT(FS48) + _xll.RiskBinomial(1,FS48-INT(FS48))</f>
        <v>#NAME?</v>
      </c>
      <c r="FU48" s="33" t="e">
        <f t="shared" ca="1" si="32"/>
        <v>#NAME?</v>
      </c>
      <c r="FV48" s="38" t="e">
        <f ca="1">_xll.RiskBinomial(1,FU48)</f>
        <v>#NAME?</v>
      </c>
      <c r="FW48" s="86" t="e">
        <f ca="1">IF(FV48=1,_xll.RiskBinomial(1,Prob_illness_Noro_infection),0)</f>
        <v>#NAME?</v>
      </c>
      <c r="FY48" s="85" t="e">
        <f t="shared" ca="1" si="62"/>
        <v>#NAME?</v>
      </c>
      <c r="FZ48" s="40" t="e">
        <f ca="1">INT(FY48) + _xll.RiskBinomial(1,FY48-INT(FY48))</f>
        <v>#NAME?</v>
      </c>
      <c r="GA48" s="33" t="e">
        <f t="shared" ca="1" si="33"/>
        <v>#NAME?</v>
      </c>
      <c r="GB48" s="38" t="e">
        <f ca="1">_xll.RiskBinomial(1,GA48)</f>
        <v>#NAME?</v>
      </c>
      <c r="GC48" s="86" t="e">
        <f ca="1">IF(GB48=1,_xll.RiskBinomial(1,Prob_illness_Noro_infection),0)</f>
        <v>#NAME?</v>
      </c>
      <c r="GE48" s="85" t="e">
        <f t="shared" ca="1" si="63"/>
        <v>#NAME?</v>
      </c>
      <c r="GF48" s="40" t="e">
        <f ca="1">INT(GE48) + _xll.RiskBinomial(1,GE48-INT(GE48))</f>
        <v>#NAME?</v>
      </c>
      <c r="GG48" s="33" t="e">
        <f t="shared" ca="1" si="34"/>
        <v>#NAME?</v>
      </c>
      <c r="GH48" s="38" t="e">
        <f ca="1">_xll.RiskBinomial(1,GG48)</f>
        <v>#NAME?</v>
      </c>
      <c r="GI48" s="86" t="e">
        <f ca="1">IF(GH48=1,_xll.RiskBinomial(1,Prob_illness_Noro_infection),0)</f>
        <v>#NAME?</v>
      </c>
      <c r="GK48" s="85" t="e">
        <f t="shared" ca="1" si="64"/>
        <v>#NAME?</v>
      </c>
      <c r="GL48" s="40" t="e">
        <f ca="1">INT(GK48) + _xll.RiskBinomial(1,GK48-INT(GK48))</f>
        <v>#NAME?</v>
      </c>
      <c r="GM48" s="33" t="e">
        <f t="shared" ca="1" si="35"/>
        <v>#NAME?</v>
      </c>
      <c r="GN48" s="38" t="e">
        <f ca="1">_xll.RiskBinomial(1,GM48)</f>
        <v>#NAME?</v>
      </c>
      <c r="GO48" s="86" t="e">
        <f ca="1">IF(GN48=1,_xll.RiskBinomial(1,Prob_illness_Noro_infection),0)</f>
        <v>#NAME?</v>
      </c>
    </row>
    <row r="49" spans="2:197" x14ac:dyDescent="0.25">
      <c r="B49" s="106">
        <v>41</v>
      </c>
      <c r="C49" s="109" t="e">
        <f ca="1" xml:space="preserve"> _xll.RiskPert(Dur_Swim_hours_min,Dur_Swim_hours_mode,Dur_Swim_hours_max)</f>
        <v>#NAME?</v>
      </c>
      <c r="D49" s="33" t="e">
        <f ca="1">_xll.RiskLognorm(Primary_Ing_Rate_mL_per_hour_mean,Primary_Ing_Rate_mL_per_hour_sd, _xll.RiskTruncate(Primary_Ing_Rate_mL_per_hour_min,Primary_Ing_Rate_mL_per_hour_max))</f>
        <v>#NAME?</v>
      </c>
      <c r="E49" s="41" t="e">
        <f t="shared" ca="1" si="36"/>
        <v>#NAME?</v>
      </c>
      <c r="F49" s="33"/>
      <c r="G49" s="85" t="e">
        <f t="shared" ca="1" si="37"/>
        <v>#NAME?</v>
      </c>
      <c r="H49" s="40" t="e">
        <f ca="1">INT(G49) + _xll.RiskBinomial(1,G49-INT(G49))</f>
        <v>#NAME?</v>
      </c>
      <c r="I49" s="33" t="e">
        <f t="shared" ca="1" si="0"/>
        <v>#NAME?</v>
      </c>
      <c r="J49" s="38" t="e">
        <f ca="1">_xll.RiskBinomial(1,I49)</f>
        <v>#NAME?</v>
      </c>
      <c r="K49" s="86" t="e">
        <f ca="1">IF(J49=1,_xll.RiskBinomial(1,Prob_illness_Noro_infection),0)</f>
        <v>#NAME?</v>
      </c>
      <c r="L49" s="33"/>
      <c r="M49" s="85" t="e">
        <f t="shared" ca="1" si="38"/>
        <v>#NAME?</v>
      </c>
      <c r="N49" s="40" t="e">
        <f ca="1">INT(M49) + _xll.RiskBinomial(1,M49-INT(M49))</f>
        <v>#NAME?</v>
      </c>
      <c r="O49" s="33" t="e">
        <f t="shared" ca="1" si="1"/>
        <v>#NAME?</v>
      </c>
      <c r="P49" s="38" t="e">
        <f ca="1">_xll.RiskBinomial(1,O49)</f>
        <v>#NAME?</v>
      </c>
      <c r="Q49" s="86" t="e">
        <f ca="1">IF(P49=1,_xll.RiskBinomial(1,Prob_illness_Noro_infection),0)</f>
        <v>#NAME?</v>
      </c>
      <c r="R49" s="33"/>
      <c r="S49" s="85" t="e">
        <f t="shared" ca="1" si="39"/>
        <v>#NAME?</v>
      </c>
      <c r="T49" s="40" t="e">
        <f ca="1">INT(S49) + _xll.RiskBinomial(1,S49-INT(S49))</f>
        <v>#NAME?</v>
      </c>
      <c r="U49" s="33" t="e">
        <f t="shared" ca="1" si="2"/>
        <v>#NAME?</v>
      </c>
      <c r="V49" s="38" t="e">
        <f ca="1">_xll.RiskBinomial(1,U49)</f>
        <v>#NAME?</v>
      </c>
      <c r="W49" s="86" t="e">
        <f ca="1">IF(V49=1,_xll.RiskBinomial(1,Prob_illness_Noro_infection),0)</f>
        <v>#NAME?</v>
      </c>
      <c r="X49" s="33"/>
      <c r="Y49" s="85" t="e">
        <f t="shared" ca="1" si="3"/>
        <v>#NAME?</v>
      </c>
      <c r="Z49" s="40" t="e">
        <f ca="1">INT(Y49) + _xll.RiskBinomial(1,Y49-INT(Y49))</f>
        <v>#NAME?</v>
      </c>
      <c r="AA49" s="33" t="e">
        <f t="shared" ca="1" si="4"/>
        <v>#NAME?</v>
      </c>
      <c r="AB49" s="38" t="e">
        <f ca="1">_xll.RiskBinomial(1,AA49)</f>
        <v>#NAME?</v>
      </c>
      <c r="AC49" s="86" t="e">
        <f ca="1">IF(AB49=1,_xll.RiskBinomial(1,Prob_illness_Noro_infection),0)</f>
        <v>#NAME?</v>
      </c>
      <c r="AD49" s="33"/>
      <c r="AE49" s="85" t="e">
        <f t="shared" ca="1" si="5"/>
        <v>#NAME?</v>
      </c>
      <c r="AF49" s="40" t="e">
        <f ca="1">INT(AE49) + _xll.RiskBinomial(1,AE49-INT(AE49))</f>
        <v>#NAME?</v>
      </c>
      <c r="AG49" s="33" t="e">
        <f t="shared" ca="1" si="6"/>
        <v>#NAME?</v>
      </c>
      <c r="AH49" s="38" t="e">
        <f ca="1">_xll.RiskBinomial(1,AG49)</f>
        <v>#NAME?</v>
      </c>
      <c r="AI49" s="86" t="e">
        <f ca="1">IF(AH49=1,_xll.RiskBinomial(1,Prob_illness_Noro_infection),0)</f>
        <v>#NAME?</v>
      </c>
      <c r="AJ49" s="33"/>
      <c r="AK49" s="85" t="e">
        <f t="shared" ca="1" si="7"/>
        <v>#NAME?</v>
      </c>
      <c r="AL49" s="40" t="e">
        <f ca="1">INT(AK49) + _xll.RiskBinomial(1,AK49-INT(AK49))</f>
        <v>#NAME?</v>
      </c>
      <c r="AM49" s="33" t="e">
        <f t="shared" ca="1" si="8"/>
        <v>#NAME?</v>
      </c>
      <c r="AN49" s="38" t="e">
        <f ca="1">_xll.RiskBinomial(1,AM49)</f>
        <v>#NAME?</v>
      </c>
      <c r="AO49" s="86" t="e">
        <f ca="1">IF(AN49=1,_xll.RiskBinomial(1,Prob_illness_Noro_infection),0)</f>
        <v>#NAME?</v>
      </c>
      <c r="AP49" s="33"/>
      <c r="AQ49" s="85" t="e">
        <f t="shared" ca="1" si="65"/>
        <v>#NAME?</v>
      </c>
      <c r="AR49" s="40" t="e">
        <f ca="1">INT(AQ49) + _xll.RiskBinomial(1,AQ49-INT(AQ49))</f>
        <v>#NAME?</v>
      </c>
      <c r="AS49" s="33" t="e">
        <f t="shared" ca="1" si="10"/>
        <v>#NAME?</v>
      </c>
      <c r="AT49" s="38" t="e">
        <f ca="1">_xll.RiskBinomial(1,AS49)</f>
        <v>#NAME?</v>
      </c>
      <c r="AU49" s="86" t="e">
        <f ca="1">IF(AT49=1,_xll.RiskBinomial(1,Prob_illness_Noro_infection),0)</f>
        <v>#NAME?</v>
      </c>
      <c r="AV49" s="33"/>
      <c r="AW49" s="85" t="e">
        <f t="shared" ca="1" si="40"/>
        <v>#NAME?</v>
      </c>
      <c r="AX49" s="40" t="e">
        <f ca="1">INT(AW49) + _xll.RiskBinomial(1,AW49-INT(AW49))</f>
        <v>#NAME?</v>
      </c>
      <c r="AY49" s="33" t="e">
        <f t="shared" ca="1" si="11"/>
        <v>#NAME?</v>
      </c>
      <c r="AZ49" s="38" t="e">
        <f ca="1">_xll.RiskBinomial(1,AY49)</f>
        <v>#NAME?</v>
      </c>
      <c r="BA49" s="86" t="e">
        <f ca="1">IF(AZ49=1,_xll.RiskBinomial(1,Prob_illness_Noro_infection),0)</f>
        <v>#NAME?</v>
      </c>
      <c r="BC49" s="85" t="e">
        <f t="shared" ca="1" si="41"/>
        <v>#NAME?</v>
      </c>
      <c r="BD49" s="40" t="e">
        <f ca="1">INT(BC49) + _xll.RiskBinomial(1,BC49-INT(BC49))</f>
        <v>#NAME?</v>
      </c>
      <c r="BE49" s="33" t="e">
        <f t="shared" ca="1" si="12"/>
        <v>#NAME?</v>
      </c>
      <c r="BF49" s="38" t="e">
        <f ca="1">_xll.RiskBinomial(1,BE49)</f>
        <v>#NAME?</v>
      </c>
      <c r="BG49" s="86" t="e">
        <f ca="1">IF(BF49=1,_xll.RiskBinomial(1,Prob_illness_Noro_infection),0)</f>
        <v>#NAME?</v>
      </c>
      <c r="BI49" s="85" t="e">
        <f t="shared" ca="1" si="42"/>
        <v>#NAME?</v>
      </c>
      <c r="BJ49" s="40" t="e">
        <f ca="1">INT(BI49) + _xll.RiskBinomial(1,BI49-INT(BI49))</f>
        <v>#NAME?</v>
      </c>
      <c r="BK49" s="33" t="e">
        <f t="shared" ca="1" si="13"/>
        <v>#NAME?</v>
      </c>
      <c r="BL49" s="38" t="e">
        <f ca="1">_xll.RiskBinomial(1,BK49)</f>
        <v>#NAME?</v>
      </c>
      <c r="BM49" s="86" t="e">
        <f ca="1">IF(BL49=1,_xll.RiskBinomial(1,Prob_illness_Noro_infection),0)</f>
        <v>#NAME?</v>
      </c>
      <c r="BO49" s="85" t="e">
        <f t="shared" ca="1" si="43"/>
        <v>#NAME?</v>
      </c>
      <c r="BP49" s="40" t="e">
        <f ca="1">INT(BO49) + _xll.RiskBinomial(1,BO49-INT(BO49))</f>
        <v>#NAME?</v>
      </c>
      <c r="BQ49" s="33" t="e">
        <f t="shared" ca="1" si="14"/>
        <v>#NAME?</v>
      </c>
      <c r="BR49" s="38" t="e">
        <f ca="1">_xll.RiskBinomial(1,BQ49)</f>
        <v>#NAME?</v>
      </c>
      <c r="BS49" s="86" t="e">
        <f ca="1">IF(BR49=1,_xll.RiskBinomial(1,Prob_illness_Noro_infection),0)</f>
        <v>#NAME?</v>
      </c>
      <c r="BU49" s="85" t="e">
        <f t="shared" ca="1" si="44"/>
        <v>#NAME?</v>
      </c>
      <c r="BV49" s="40" t="e">
        <f ca="1">INT(BU49) + _xll.RiskBinomial(1,BU49-INT(BU49))</f>
        <v>#NAME?</v>
      </c>
      <c r="BW49" s="33" t="e">
        <f t="shared" ca="1" si="15"/>
        <v>#NAME?</v>
      </c>
      <c r="BX49" s="38" t="e">
        <f ca="1">_xll.RiskBinomial(1,BW49)</f>
        <v>#NAME?</v>
      </c>
      <c r="BY49" s="86" t="e">
        <f ca="1">IF(BX49=1,_xll.RiskBinomial(1,Prob_illness_Noro_infection),0)</f>
        <v>#NAME?</v>
      </c>
      <c r="CA49" s="85" t="e">
        <f t="shared" ca="1" si="45"/>
        <v>#NAME?</v>
      </c>
      <c r="CB49" s="40" t="e">
        <f ca="1">INT(CA49) + _xll.RiskBinomial(1,CA49-INT(CA49))</f>
        <v>#NAME?</v>
      </c>
      <c r="CC49" s="33" t="e">
        <f t="shared" ca="1" si="16"/>
        <v>#NAME?</v>
      </c>
      <c r="CD49" s="38" t="e">
        <f ca="1">_xll.RiskBinomial(1,CC49)</f>
        <v>#NAME?</v>
      </c>
      <c r="CE49" s="86" t="e">
        <f ca="1">IF(CD49=1,_xll.RiskBinomial(1,Prob_illness_Noro_infection),0)</f>
        <v>#NAME?</v>
      </c>
      <c r="CG49" s="85" t="e">
        <f t="shared" ca="1" si="46"/>
        <v>#NAME?</v>
      </c>
      <c r="CH49" s="40" t="e">
        <f ca="1">INT(CG49) + _xll.RiskBinomial(1,CG49-INT(CG49))</f>
        <v>#NAME?</v>
      </c>
      <c r="CI49" s="33" t="e">
        <f t="shared" ca="1" si="17"/>
        <v>#NAME?</v>
      </c>
      <c r="CJ49" s="38" t="e">
        <f ca="1">_xll.RiskBinomial(1,CI49)</f>
        <v>#NAME?</v>
      </c>
      <c r="CK49" s="86" t="e">
        <f ca="1">IF(CJ49=1,_xll.RiskBinomial(1,Prob_illness_Noro_infection),0)</f>
        <v>#NAME?</v>
      </c>
      <c r="CM49" s="85" t="e">
        <f t="shared" ca="1" si="47"/>
        <v>#NAME?</v>
      </c>
      <c r="CN49" s="40" t="e">
        <f ca="1">INT(CM49) + _xll.RiskBinomial(1,CM49-INT(CM49))</f>
        <v>#NAME?</v>
      </c>
      <c r="CO49" s="33" t="e">
        <f t="shared" ca="1" si="18"/>
        <v>#NAME?</v>
      </c>
      <c r="CP49" s="38" t="e">
        <f ca="1">_xll.RiskBinomial(1,CO49)</f>
        <v>#NAME?</v>
      </c>
      <c r="CQ49" s="86" t="e">
        <f ca="1">IF(CP49=1,_xll.RiskBinomial(1,Prob_illness_Noro_infection),0)</f>
        <v>#NAME?</v>
      </c>
      <c r="CS49" s="85" t="e">
        <f t="shared" ca="1" si="48"/>
        <v>#NAME?</v>
      </c>
      <c r="CT49" s="40" t="e">
        <f ca="1">INT(CS49) + _xll.RiskBinomial(1,CS49-INT(CS49))</f>
        <v>#NAME?</v>
      </c>
      <c r="CU49" s="33" t="e">
        <f t="shared" ca="1" si="19"/>
        <v>#NAME?</v>
      </c>
      <c r="CV49" s="38" t="e">
        <f ca="1">_xll.RiskBinomial(1,CU49)</f>
        <v>#NAME?</v>
      </c>
      <c r="CW49" s="86" t="e">
        <f ca="1">IF(CV49=1,_xll.RiskBinomial(1,Prob_illness_Noro_infection),0)</f>
        <v>#NAME?</v>
      </c>
      <c r="CY49" s="85" t="e">
        <f t="shared" ca="1" si="49"/>
        <v>#NAME?</v>
      </c>
      <c r="CZ49" s="40" t="e">
        <f ca="1">INT(CY49) + _xll.RiskBinomial(1,CY49-INT(CY49))</f>
        <v>#NAME?</v>
      </c>
      <c r="DA49" s="33" t="e">
        <f t="shared" ca="1" si="20"/>
        <v>#NAME?</v>
      </c>
      <c r="DB49" s="38" t="e">
        <f ca="1">_xll.RiskBinomial(1,DA49)</f>
        <v>#NAME?</v>
      </c>
      <c r="DC49" s="86" t="e">
        <f ca="1">IF(DB49=1,_xll.RiskBinomial(1,Prob_illness_Noro_infection),0)</f>
        <v>#NAME?</v>
      </c>
      <c r="DE49" s="85" t="e">
        <f t="shared" ca="1" si="50"/>
        <v>#NAME?</v>
      </c>
      <c r="DF49" s="40" t="e">
        <f ca="1">INT(DE49) + _xll.RiskBinomial(1,DE49-INT(DE49))</f>
        <v>#NAME?</v>
      </c>
      <c r="DG49" s="33" t="e">
        <f t="shared" ca="1" si="21"/>
        <v>#NAME?</v>
      </c>
      <c r="DH49" s="38" t="e">
        <f ca="1">_xll.RiskBinomial(1,DG49)</f>
        <v>#NAME?</v>
      </c>
      <c r="DI49" s="86" t="e">
        <f ca="1">IF(DH49=1,_xll.RiskBinomial(1,Prob_illness_Noro_infection),0)</f>
        <v>#NAME?</v>
      </c>
      <c r="DK49" s="85" t="e">
        <f t="shared" ca="1" si="51"/>
        <v>#NAME?</v>
      </c>
      <c r="DL49" s="40" t="e">
        <f ca="1">INT(DK49) + _xll.RiskBinomial(1,DK49-INT(DK49))</f>
        <v>#NAME?</v>
      </c>
      <c r="DM49" s="33" t="e">
        <f t="shared" ca="1" si="22"/>
        <v>#NAME?</v>
      </c>
      <c r="DN49" s="38" t="e">
        <f ca="1">_xll.RiskBinomial(1,DM49)</f>
        <v>#NAME?</v>
      </c>
      <c r="DO49" s="86" t="e">
        <f ca="1">IF(DN49=1,_xll.RiskBinomial(1,Prob_illness_Noro_infection),0)</f>
        <v>#NAME?</v>
      </c>
      <c r="DQ49" s="85" t="e">
        <f t="shared" ca="1" si="52"/>
        <v>#NAME?</v>
      </c>
      <c r="DR49" s="40" t="e">
        <f ca="1">INT(DQ49) + _xll.RiskBinomial(1,DQ49-INT(DQ49))</f>
        <v>#NAME?</v>
      </c>
      <c r="DS49" s="33" t="e">
        <f t="shared" ca="1" si="23"/>
        <v>#NAME?</v>
      </c>
      <c r="DT49" s="38" t="e">
        <f ca="1">_xll.RiskBinomial(1,DS49)</f>
        <v>#NAME?</v>
      </c>
      <c r="DU49" s="86" t="e">
        <f ca="1">IF(DT49=1,_xll.RiskBinomial(1,Prob_illness_Noro_infection),0)</f>
        <v>#NAME?</v>
      </c>
      <c r="DW49" s="85" t="e">
        <f t="shared" ca="1" si="53"/>
        <v>#NAME?</v>
      </c>
      <c r="DX49" s="40" t="e">
        <f ca="1">INT(DW49) + _xll.RiskBinomial(1,DW49-INT(DW49))</f>
        <v>#NAME?</v>
      </c>
      <c r="DY49" s="33" t="e">
        <f t="shared" ca="1" si="24"/>
        <v>#NAME?</v>
      </c>
      <c r="DZ49" s="38" t="e">
        <f ca="1">_xll.RiskBinomial(1,DY49)</f>
        <v>#NAME?</v>
      </c>
      <c r="EA49" s="86" t="e">
        <f ca="1">IF(DZ49=1,_xll.RiskBinomial(1,Prob_illness_Noro_infection),0)</f>
        <v>#NAME?</v>
      </c>
      <c r="EC49" s="85" t="e">
        <f t="shared" ca="1" si="54"/>
        <v>#NAME?</v>
      </c>
      <c r="ED49" s="40" t="e">
        <f ca="1">INT(EC49) + _xll.RiskBinomial(1,EC49-INT(EC49))</f>
        <v>#NAME?</v>
      </c>
      <c r="EE49" s="33" t="e">
        <f t="shared" ca="1" si="25"/>
        <v>#NAME?</v>
      </c>
      <c r="EF49" s="38" t="e">
        <f ca="1">_xll.RiskBinomial(1,EE49)</f>
        <v>#NAME?</v>
      </c>
      <c r="EG49" s="86" t="e">
        <f ca="1">IF(EF49=1,_xll.RiskBinomial(1,Prob_illness_Noro_infection),0)</f>
        <v>#NAME?</v>
      </c>
      <c r="EI49" s="85" t="e">
        <f t="shared" ca="1" si="55"/>
        <v>#NAME?</v>
      </c>
      <c r="EJ49" s="40" t="e">
        <f ca="1">INT(EI49) + _xll.RiskBinomial(1,EI49-INT(EI49))</f>
        <v>#NAME?</v>
      </c>
      <c r="EK49" s="33" t="e">
        <f t="shared" ca="1" si="26"/>
        <v>#NAME?</v>
      </c>
      <c r="EL49" s="38" t="e">
        <f ca="1">_xll.RiskBinomial(1,EK49)</f>
        <v>#NAME?</v>
      </c>
      <c r="EM49" s="86" t="e">
        <f ca="1">IF(EL49=1,_xll.RiskBinomial(1,Prob_illness_Noro_infection),0)</f>
        <v>#NAME?</v>
      </c>
      <c r="EO49" s="85" t="e">
        <f t="shared" ca="1" si="56"/>
        <v>#NAME?</v>
      </c>
      <c r="EP49" s="40" t="e">
        <f ca="1">INT(EO49) + _xll.RiskBinomial(1,EO49-INT(EO49))</f>
        <v>#NAME?</v>
      </c>
      <c r="EQ49" s="33" t="e">
        <f t="shared" ca="1" si="27"/>
        <v>#NAME?</v>
      </c>
      <c r="ER49" s="38" t="e">
        <f ca="1">_xll.RiskBinomial(1,EQ49)</f>
        <v>#NAME?</v>
      </c>
      <c r="ES49" s="86" t="e">
        <f ca="1">IF(ER49=1,_xll.RiskBinomial(1,Prob_illness_Noro_infection),0)</f>
        <v>#NAME?</v>
      </c>
      <c r="EU49" s="85" t="e">
        <f t="shared" ca="1" si="57"/>
        <v>#NAME?</v>
      </c>
      <c r="EV49" s="40" t="e">
        <f ca="1">INT(EU49) + _xll.RiskBinomial(1,EU49-INT(EU49))</f>
        <v>#NAME?</v>
      </c>
      <c r="EW49" s="33" t="e">
        <f t="shared" ca="1" si="28"/>
        <v>#NAME?</v>
      </c>
      <c r="EX49" s="38" t="e">
        <f ca="1">_xll.RiskBinomial(1,EW49)</f>
        <v>#NAME?</v>
      </c>
      <c r="EY49" s="86" t="e">
        <f ca="1">IF(EX49=1,_xll.RiskBinomial(1,Prob_illness_Noro_infection),0)</f>
        <v>#NAME?</v>
      </c>
      <c r="FA49" s="85" t="e">
        <f t="shared" ca="1" si="58"/>
        <v>#NAME?</v>
      </c>
      <c r="FB49" s="40" t="e">
        <f ca="1">INT(FA49) + _xll.RiskBinomial(1,FA49-INT(FA49))</f>
        <v>#NAME?</v>
      </c>
      <c r="FC49" s="33" t="e">
        <f t="shared" ca="1" si="29"/>
        <v>#NAME?</v>
      </c>
      <c r="FD49" s="38" t="e">
        <f ca="1">_xll.RiskBinomial(1,FC49)</f>
        <v>#NAME?</v>
      </c>
      <c r="FE49" s="86" t="e">
        <f ca="1">IF(FD49=1,_xll.RiskBinomial(1,Prob_illness_Noro_infection),0)</f>
        <v>#NAME?</v>
      </c>
      <c r="FG49" s="85" t="e">
        <f t="shared" ca="1" si="59"/>
        <v>#NAME?</v>
      </c>
      <c r="FH49" s="40" t="e">
        <f ca="1">INT(FG49) + _xll.RiskBinomial(1,FG49-INT(FG49))</f>
        <v>#NAME?</v>
      </c>
      <c r="FI49" s="33" t="e">
        <f t="shared" ca="1" si="30"/>
        <v>#NAME?</v>
      </c>
      <c r="FJ49" s="38" t="e">
        <f ca="1">_xll.RiskBinomial(1,FI49)</f>
        <v>#NAME?</v>
      </c>
      <c r="FK49" s="86" t="e">
        <f ca="1">IF(FJ49=1,_xll.RiskBinomial(1,Prob_illness_Noro_infection),0)</f>
        <v>#NAME?</v>
      </c>
      <c r="FM49" s="85" t="e">
        <f t="shared" ca="1" si="60"/>
        <v>#NAME?</v>
      </c>
      <c r="FN49" s="40" t="e">
        <f ca="1">INT(FM49) + _xll.RiskBinomial(1,FM49-INT(FM49))</f>
        <v>#NAME?</v>
      </c>
      <c r="FO49" s="33" t="e">
        <f t="shared" ca="1" si="31"/>
        <v>#NAME?</v>
      </c>
      <c r="FP49" s="38" t="e">
        <f ca="1">_xll.RiskBinomial(1,FO49)</f>
        <v>#NAME?</v>
      </c>
      <c r="FQ49" s="86" t="e">
        <f ca="1">IF(FP49=1,_xll.RiskBinomial(1,Prob_illness_Noro_infection),0)</f>
        <v>#NAME?</v>
      </c>
      <c r="FS49" s="85" t="e">
        <f t="shared" ca="1" si="61"/>
        <v>#NAME?</v>
      </c>
      <c r="FT49" s="40" t="e">
        <f ca="1">INT(FS49) + _xll.RiskBinomial(1,FS49-INT(FS49))</f>
        <v>#NAME?</v>
      </c>
      <c r="FU49" s="33" t="e">
        <f t="shared" ca="1" si="32"/>
        <v>#NAME?</v>
      </c>
      <c r="FV49" s="38" t="e">
        <f ca="1">_xll.RiskBinomial(1,FU49)</f>
        <v>#NAME?</v>
      </c>
      <c r="FW49" s="86" t="e">
        <f ca="1">IF(FV49=1,_xll.RiskBinomial(1,Prob_illness_Noro_infection),0)</f>
        <v>#NAME?</v>
      </c>
      <c r="FY49" s="85" t="e">
        <f t="shared" ca="1" si="62"/>
        <v>#NAME?</v>
      </c>
      <c r="FZ49" s="40" t="e">
        <f ca="1">INT(FY49) + _xll.RiskBinomial(1,FY49-INT(FY49))</f>
        <v>#NAME?</v>
      </c>
      <c r="GA49" s="33" t="e">
        <f t="shared" ca="1" si="33"/>
        <v>#NAME?</v>
      </c>
      <c r="GB49" s="38" t="e">
        <f ca="1">_xll.RiskBinomial(1,GA49)</f>
        <v>#NAME?</v>
      </c>
      <c r="GC49" s="86" t="e">
        <f ca="1">IF(GB49=1,_xll.RiskBinomial(1,Prob_illness_Noro_infection),0)</f>
        <v>#NAME?</v>
      </c>
      <c r="GE49" s="85" t="e">
        <f t="shared" ca="1" si="63"/>
        <v>#NAME?</v>
      </c>
      <c r="GF49" s="40" t="e">
        <f ca="1">INT(GE49) + _xll.RiskBinomial(1,GE49-INT(GE49))</f>
        <v>#NAME?</v>
      </c>
      <c r="GG49" s="33" t="e">
        <f t="shared" ca="1" si="34"/>
        <v>#NAME?</v>
      </c>
      <c r="GH49" s="38" t="e">
        <f ca="1">_xll.RiskBinomial(1,GG49)</f>
        <v>#NAME?</v>
      </c>
      <c r="GI49" s="86" t="e">
        <f ca="1">IF(GH49=1,_xll.RiskBinomial(1,Prob_illness_Noro_infection),0)</f>
        <v>#NAME?</v>
      </c>
      <c r="GK49" s="85" t="e">
        <f t="shared" ca="1" si="64"/>
        <v>#NAME?</v>
      </c>
      <c r="GL49" s="40" t="e">
        <f ca="1">INT(GK49) + _xll.RiskBinomial(1,GK49-INT(GK49))</f>
        <v>#NAME?</v>
      </c>
      <c r="GM49" s="33" t="e">
        <f t="shared" ca="1" si="35"/>
        <v>#NAME?</v>
      </c>
      <c r="GN49" s="38" t="e">
        <f ca="1">_xll.RiskBinomial(1,GM49)</f>
        <v>#NAME?</v>
      </c>
      <c r="GO49" s="86" t="e">
        <f ca="1">IF(GN49=1,_xll.RiskBinomial(1,Prob_illness_Noro_infection),0)</f>
        <v>#NAME?</v>
      </c>
    </row>
    <row r="50" spans="2:197" x14ac:dyDescent="0.25">
      <c r="B50" s="106">
        <v>42</v>
      </c>
      <c r="C50" s="109" t="e">
        <f ca="1" xml:space="preserve"> _xll.RiskPert(Dur_Swim_hours_min,Dur_Swim_hours_mode,Dur_Swim_hours_max)</f>
        <v>#NAME?</v>
      </c>
      <c r="D50" s="33" t="e">
        <f ca="1">_xll.RiskLognorm(Primary_Ing_Rate_mL_per_hour_mean,Primary_Ing_Rate_mL_per_hour_sd, _xll.RiskTruncate(Primary_Ing_Rate_mL_per_hour_min,Primary_Ing_Rate_mL_per_hour_max))</f>
        <v>#NAME?</v>
      </c>
      <c r="E50" s="41" t="e">
        <f t="shared" ca="1" si="36"/>
        <v>#NAME?</v>
      </c>
      <c r="F50" s="33"/>
      <c r="G50" s="85" t="e">
        <f t="shared" ca="1" si="37"/>
        <v>#NAME?</v>
      </c>
      <c r="H50" s="40" t="e">
        <f ca="1">INT(G50) + _xll.RiskBinomial(1,G50-INT(G50))</f>
        <v>#NAME?</v>
      </c>
      <c r="I50" s="33" t="e">
        <f t="shared" ca="1" si="0"/>
        <v>#NAME?</v>
      </c>
      <c r="J50" s="38" t="e">
        <f ca="1">_xll.RiskBinomial(1,I50)</f>
        <v>#NAME?</v>
      </c>
      <c r="K50" s="86" t="e">
        <f ca="1">IF(J50=1,_xll.RiskBinomial(1,Prob_illness_Noro_infection),0)</f>
        <v>#NAME?</v>
      </c>
      <c r="L50" s="33"/>
      <c r="M50" s="85" t="e">
        <f t="shared" ca="1" si="38"/>
        <v>#NAME?</v>
      </c>
      <c r="N50" s="40" t="e">
        <f ca="1">INT(M50) + _xll.RiskBinomial(1,M50-INT(M50))</f>
        <v>#NAME?</v>
      </c>
      <c r="O50" s="33" t="e">
        <f t="shared" ca="1" si="1"/>
        <v>#NAME?</v>
      </c>
      <c r="P50" s="38" t="e">
        <f ca="1">_xll.RiskBinomial(1,O50)</f>
        <v>#NAME?</v>
      </c>
      <c r="Q50" s="86" t="e">
        <f ca="1">IF(P50=1,_xll.RiskBinomial(1,Prob_illness_Noro_infection),0)</f>
        <v>#NAME?</v>
      </c>
      <c r="R50" s="33"/>
      <c r="S50" s="85" t="e">
        <f t="shared" ca="1" si="39"/>
        <v>#NAME?</v>
      </c>
      <c r="T50" s="40" t="e">
        <f ca="1">INT(S50) + _xll.RiskBinomial(1,S50-INT(S50))</f>
        <v>#NAME?</v>
      </c>
      <c r="U50" s="33" t="e">
        <f t="shared" ca="1" si="2"/>
        <v>#NAME?</v>
      </c>
      <c r="V50" s="38" t="e">
        <f ca="1">_xll.RiskBinomial(1,U50)</f>
        <v>#NAME?</v>
      </c>
      <c r="W50" s="86" t="e">
        <f ca="1">IF(V50=1,_xll.RiskBinomial(1,Prob_illness_Noro_infection),0)</f>
        <v>#NAME?</v>
      </c>
      <c r="X50" s="33"/>
      <c r="Y50" s="85" t="e">
        <f t="shared" ca="1" si="3"/>
        <v>#NAME?</v>
      </c>
      <c r="Z50" s="40" t="e">
        <f ca="1">INT(Y50) + _xll.RiskBinomial(1,Y50-INT(Y50))</f>
        <v>#NAME?</v>
      </c>
      <c r="AA50" s="33" t="e">
        <f t="shared" ca="1" si="4"/>
        <v>#NAME?</v>
      </c>
      <c r="AB50" s="38" t="e">
        <f ca="1">_xll.RiskBinomial(1,AA50)</f>
        <v>#NAME?</v>
      </c>
      <c r="AC50" s="86" t="e">
        <f ca="1">IF(AB50=1,_xll.RiskBinomial(1,Prob_illness_Noro_infection),0)</f>
        <v>#NAME?</v>
      </c>
      <c r="AD50" s="33"/>
      <c r="AE50" s="85" t="e">
        <f t="shared" ca="1" si="5"/>
        <v>#NAME?</v>
      </c>
      <c r="AF50" s="40" t="e">
        <f ca="1">INT(AE50) + _xll.RiskBinomial(1,AE50-INT(AE50))</f>
        <v>#NAME?</v>
      </c>
      <c r="AG50" s="33" t="e">
        <f t="shared" ca="1" si="6"/>
        <v>#NAME?</v>
      </c>
      <c r="AH50" s="38" t="e">
        <f ca="1">_xll.RiskBinomial(1,AG50)</f>
        <v>#NAME?</v>
      </c>
      <c r="AI50" s="86" t="e">
        <f ca="1">IF(AH50=1,_xll.RiskBinomial(1,Prob_illness_Noro_infection),0)</f>
        <v>#NAME?</v>
      </c>
      <c r="AJ50" s="33"/>
      <c r="AK50" s="85" t="e">
        <f t="shared" ca="1" si="7"/>
        <v>#NAME?</v>
      </c>
      <c r="AL50" s="40" t="e">
        <f ca="1">INT(AK50) + _xll.RiskBinomial(1,AK50-INT(AK50))</f>
        <v>#NAME?</v>
      </c>
      <c r="AM50" s="33" t="e">
        <f t="shared" ca="1" si="8"/>
        <v>#NAME?</v>
      </c>
      <c r="AN50" s="38" t="e">
        <f ca="1">_xll.RiskBinomial(1,AM50)</f>
        <v>#NAME?</v>
      </c>
      <c r="AO50" s="86" t="e">
        <f ca="1">IF(AN50=1,_xll.RiskBinomial(1,Prob_illness_Noro_infection),0)</f>
        <v>#NAME?</v>
      </c>
      <c r="AP50" s="33"/>
      <c r="AQ50" s="85" t="e">
        <f t="shared" ca="1" si="65"/>
        <v>#NAME?</v>
      </c>
      <c r="AR50" s="40" t="e">
        <f ca="1">INT(AQ50) + _xll.RiskBinomial(1,AQ50-INT(AQ50))</f>
        <v>#NAME?</v>
      </c>
      <c r="AS50" s="33" t="e">
        <f t="shared" ca="1" si="10"/>
        <v>#NAME?</v>
      </c>
      <c r="AT50" s="38" t="e">
        <f ca="1">_xll.RiskBinomial(1,AS50)</f>
        <v>#NAME?</v>
      </c>
      <c r="AU50" s="86" t="e">
        <f ca="1">IF(AT50=1,_xll.RiskBinomial(1,Prob_illness_Noro_infection),0)</f>
        <v>#NAME?</v>
      </c>
      <c r="AV50" s="33"/>
      <c r="AW50" s="85" t="e">
        <f t="shared" ca="1" si="40"/>
        <v>#NAME?</v>
      </c>
      <c r="AX50" s="40" t="e">
        <f ca="1">INT(AW50) + _xll.RiskBinomial(1,AW50-INT(AW50))</f>
        <v>#NAME?</v>
      </c>
      <c r="AY50" s="33" t="e">
        <f t="shared" ca="1" si="11"/>
        <v>#NAME?</v>
      </c>
      <c r="AZ50" s="38" t="e">
        <f ca="1">_xll.RiskBinomial(1,AY50)</f>
        <v>#NAME?</v>
      </c>
      <c r="BA50" s="86" t="e">
        <f ca="1">IF(AZ50=1,_xll.RiskBinomial(1,Prob_illness_Noro_infection),0)</f>
        <v>#NAME?</v>
      </c>
      <c r="BC50" s="85" t="e">
        <f t="shared" ca="1" si="41"/>
        <v>#NAME?</v>
      </c>
      <c r="BD50" s="40" t="e">
        <f ca="1">INT(BC50) + _xll.RiskBinomial(1,BC50-INT(BC50))</f>
        <v>#NAME?</v>
      </c>
      <c r="BE50" s="33" t="e">
        <f t="shared" ca="1" si="12"/>
        <v>#NAME?</v>
      </c>
      <c r="BF50" s="38" t="e">
        <f ca="1">_xll.RiskBinomial(1,BE50)</f>
        <v>#NAME?</v>
      </c>
      <c r="BG50" s="86" t="e">
        <f ca="1">IF(BF50=1,_xll.RiskBinomial(1,Prob_illness_Noro_infection),0)</f>
        <v>#NAME?</v>
      </c>
      <c r="BI50" s="85" t="e">
        <f t="shared" ca="1" si="42"/>
        <v>#NAME?</v>
      </c>
      <c r="BJ50" s="40" t="e">
        <f ca="1">INT(BI50) + _xll.RiskBinomial(1,BI50-INT(BI50))</f>
        <v>#NAME?</v>
      </c>
      <c r="BK50" s="33" t="e">
        <f t="shared" ca="1" si="13"/>
        <v>#NAME?</v>
      </c>
      <c r="BL50" s="38" t="e">
        <f ca="1">_xll.RiskBinomial(1,BK50)</f>
        <v>#NAME?</v>
      </c>
      <c r="BM50" s="86" t="e">
        <f ca="1">IF(BL50=1,_xll.RiskBinomial(1,Prob_illness_Noro_infection),0)</f>
        <v>#NAME?</v>
      </c>
      <c r="BO50" s="85" t="e">
        <f t="shared" ca="1" si="43"/>
        <v>#NAME?</v>
      </c>
      <c r="BP50" s="40" t="e">
        <f ca="1">INT(BO50) + _xll.RiskBinomial(1,BO50-INT(BO50))</f>
        <v>#NAME?</v>
      </c>
      <c r="BQ50" s="33" t="e">
        <f t="shared" ca="1" si="14"/>
        <v>#NAME?</v>
      </c>
      <c r="BR50" s="38" t="e">
        <f ca="1">_xll.RiskBinomial(1,BQ50)</f>
        <v>#NAME?</v>
      </c>
      <c r="BS50" s="86" t="e">
        <f ca="1">IF(BR50=1,_xll.RiskBinomial(1,Prob_illness_Noro_infection),0)</f>
        <v>#NAME?</v>
      </c>
      <c r="BU50" s="85" t="e">
        <f t="shared" ca="1" si="44"/>
        <v>#NAME?</v>
      </c>
      <c r="BV50" s="40" t="e">
        <f ca="1">INT(BU50) + _xll.RiskBinomial(1,BU50-INT(BU50))</f>
        <v>#NAME?</v>
      </c>
      <c r="BW50" s="33" t="e">
        <f t="shared" ca="1" si="15"/>
        <v>#NAME?</v>
      </c>
      <c r="BX50" s="38" t="e">
        <f ca="1">_xll.RiskBinomial(1,BW50)</f>
        <v>#NAME?</v>
      </c>
      <c r="BY50" s="86" t="e">
        <f ca="1">IF(BX50=1,_xll.RiskBinomial(1,Prob_illness_Noro_infection),0)</f>
        <v>#NAME?</v>
      </c>
      <c r="CA50" s="85" t="e">
        <f t="shared" ca="1" si="45"/>
        <v>#NAME?</v>
      </c>
      <c r="CB50" s="40" t="e">
        <f ca="1">INT(CA50) + _xll.RiskBinomial(1,CA50-INT(CA50))</f>
        <v>#NAME?</v>
      </c>
      <c r="CC50" s="33" t="e">
        <f t="shared" ca="1" si="16"/>
        <v>#NAME?</v>
      </c>
      <c r="CD50" s="38" t="e">
        <f ca="1">_xll.RiskBinomial(1,CC50)</f>
        <v>#NAME?</v>
      </c>
      <c r="CE50" s="86" t="e">
        <f ca="1">IF(CD50=1,_xll.RiskBinomial(1,Prob_illness_Noro_infection),0)</f>
        <v>#NAME?</v>
      </c>
      <c r="CG50" s="85" t="e">
        <f t="shared" ca="1" si="46"/>
        <v>#NAME?</v>
      </c>
      <c r="CH50" s="40" t="e">
        <f ca="1">INT(CG50) + _xll.RiskBinomial(1,CG50-INT(CG50))</f>
        <v>#NAME?</v>
      </c>
      <c r="CI50" s="33" t="e">
        <f t="shared" ca="1" si="17"/>
        <v>#NAME?</v>
      </c>
      <c r="CJ50" s="38" t="e">
        <f ca="1">_xll.RiskBinomial(1,CI50)</f>
        <v>#NAME?</v>
      </c>
      <c r="CK50" s="86" t="e">
        <f ca="1">IF(CJ50=1,_xll.RiskBinomial(1,Prob_illness_Noro_infection),0)</f>
        <v>#NAME?</v>
      </c>
      <c r="CM50" s="85" t="e">
        <f t="shared" ca="1" si="47"/>
        <v>#NAME?</v>
      </c>
      <c r="CN50" s="40" t="e">
        <f ca="1">INT(CM50) + _xll.RiskBinomial(1,CM50-INT(CM50))</f>
        <v>#NAME?</v>
      </c>
      <c r="CO50" s="33" t="e">
        <f t="shared" ca="1" si="18"/>
        <v>#NAME?</v>
      </c>
      <c r="CP50" s="38" t="e">
        <f ca="1">_xll.RiskBinomial(1,CO50)</f>
        <v>#NAME?</v>
      </c>
      <c r="CQ50" s="86" t="e">
        <f ca="1">IF(CP50=1,_xll.RiskBinomial(1,Prob_illness_Noro_infection),0)</f>
        <v>#NAME?</v>
      </c>
      <c r="CS50" s="85" t="e">
        <f t="shared" ca="1" si="48"/>
        <v>#NAME?</v>
      </c>
      <c r="CT50" s="40" t="e">
        <f ca="1">INT(CS50) + _xll.RiskBinomial(1,CS50-INT(CS50))</f>
        <v>#NAME?</v>
      </c>
      <c r="CU50" s="33" t="e">
        <f t="shared" ca="1" si="19"/>
        <v>#NAME?</v>
      </c>
      <c r="CV50" s="38" t="e">
        <f ca="1">_xll.RiskBinomial(1,CU50)</f>
        <v>#NAME?</v>
      </c>
      <c r="CW50" s="86" t="e">
        <f ca="1">IF(CV50=1,_xll.RiskBinomial(1,Prob_illness_Noro_infection),0)</f>
        <v>#NAME?</v>
      </c>
      <c r="CY50" s="85" t="e">
        <f t="shared" ca="1" si="49"/>
        <v>#NAME?</v>
      </c>
      <c r="CZ50" s="40" t="e">
        <f ca="1">INT(CY50) + _xll.RiskBinomial(1,CY50-INT(CY50))</f>
        <v>#NAME?</v>
      </c>
      <c r="DA50" s="33" t="e">
        <f t="shared" ca="1" si="20"/>
        <v>#NAME?</v>
      </c>
      <c r="DB50" s="38" t="e">
        <f ca="1">_xll.RiskBinomial(1,DA50)</f>
        <v>#NAME?</v>
      </c>
      <c r="DC50" s="86" t="e">
        <f ca="1">IF(DB50=1,_xll.RiskBinomial(1,Prob_illness_Noro_infection),0)</f>
        <v>#NAME?</v>
      </c>
      <c r="DE50" s="85" t="e">
        <f t="shared" ca="1" si="50"/>
        <v>#NAME?</v>
      </c>
      <c r="DF50" s="40" t="e">
        <f ca="1">INT(DE50) + _xll.RiskBinomial(1,DE50-INT(DE50))</f>
        <v>#NAME?</v>
      </c>
      <c r="DG50" s="33" t="e">
        <f t="shared" ca="1" si="21"/>
        <v>#NAME?</v>
      </c>
      <c r="DH50" s="38" t="e">
        <f ca="1">_xll.RiskBinomial(1,DG50)</f>
        <v>#NAME?</v>
      </c>
      <c r="DI50" s="86" t="e">
        <f ca="1">IF(DH50=1,_xll.RiskBinomial(1,Prob_illness_Noro_infection),0)</f>
        <v>#NAME?</v>
      </c>
      <c r="DK50" s="85" t="e">
        <f t="shared" ca="1" si="51"/>
        <v>#NAME?</v>
      </c>
      <c r="DL50" s="40" t="e">
        <f ca="1">INT(DK50) + _xll.RiskBinomial(1,DK50-INT(DK50))</f>
        <v>#NAME?</v>
      </c>
      <c r="DM50" s="33" t="e">
        <f t="shared" ca="1" si="22"/>
        <v>#NAME?</v>
      </c>
      <c r="DN50" s="38" t="e">
        <f ca="1">_xll.RiskBinomial(1,DM50)</f>
        <v>#NAME?</v>
      </c>
      <c r="DO50" s="86" t="e">
        <f ca="1">IF(DN50=1,_xll.RiskBinomial(1,Prob_illness_Noro_infection),0)</f>
        <v>#NAME?</v>
      </c>
      <c r="DQ50" s="85" t="e">
        <f t="shared" ca="1" si="52"/>
        <v>#NAME?</v>
      </c>
      <c r="DR50" s="40" t="e">
        <f ca="1">INT(DQ50) + _xll.RiskBinomial(1,DQ50-INT(DQ50))</f>
        <v>#NAME?</v>
      </c>
      <c r="DS50" s="33" t="e">
        <f t="shared" ca="1" si="23"/>
        <v>#NAME?</v>
      </c>
      <c r="DT50" s="38" t="e">
        <f ca="1">_xll.RiskBinomial(1,DS50)</f>
        <v>#NAME?</v>
      </c>
      <c r="DU50" s="86" t="e">
        <f ca="1">IF(DT50=1,_xll.RiskBinomial(1,Prob_illness_Noro_infection),0)</f>
        <v>#NAME?</v>
      </c>
      <c r="DW50" s="85" t="e">
        <f t="shared" ca="1" si="53"/>
        <v>#NAME?</v>
      </c>
      <c r="DX50" s="40" t="e">
        <f ca="1">INT(DW50) + _xll.RiskBinomial(1,DW50-INT(DW50))</f>
        <v>#NAME?</v>
      </c>
      <c r="DY50" s="33" t="e">
        <f t="shared" ca="1" si="24"/>
        <v>#NAME?</v>
      </c>
      <c r="DZ50" s="38" t="e">
        <f ca="1">_xll.RiskBinomial(1,DY50)</f>
        <v>#NAME?</v>
      </c>
      <c r="EA50" s="86" t="e">
        <f ca="1">IF(DZ50=1,_xll.RiskBinomial(1,Prob_illness_Noro_infection),0)</f>
        <v>#NAME?</v>
      </c>
      <c r="EC50" s="85" t="e">
        <f t="shared" ca="1" si="54"/>
        <v>#NAME?</v>
      </c>
      <c r="ED50" s="40" t="e">
        <f ca="1">INT(EC50) + _xll.RiskBinomial(1,EC50-INT(EC50))</f>
        <v>#NAME?</v>
      </c>
      <c r="EE50" s="33" t="e">
        <f t="shared" ca="1" si="25"/>
        <v>#NAME?</v>
      </c>
      <c r="EF50" s="38" t="e">
        <f ca="1">_xll.RiskBinomial(1,EE50)</f>
        <v>#NAME?</v>
      </c>
      <c r="EG50" s="86" t="e">
        <f ca="1">IF(EF50=1,_xll.RiskBinomial(1,Prob_illness_Noro_infection),0)</f>
        <v>#NAME?</v>
      </c>
      <c r="EI50" s="85" t="e">
        <f t="shared" ca="1" si="55"/>
        <v>#NAME?</v>
      </c>
      <c r="EJ50" s="40" t="e">
        <f ca="1">INT(EI50) + _xll.RiskBinomial(1,EI50-INT(EI50))</f>
        <v>#NAME?</v>
      </c>
      <c r="EK50" s="33" t="e">
        <f t="shared" ca="1" si="26"/>
        <v>#NAME?</v>
      </c>
      <c r="EL50" s="38" t="e">
        <f ca="1">_xll.RiskBinomial(1,EK50)</f>
        <v>#NAME?</v>
      </c>
      <c r="EM50" s="86" t="e">
        <f ca="1">IF(EL50=1,_xll.RiskBinomial(1,Prob_illness_Noro_infection),0)</f>
        <v>#NAME?</v>
      </c>
      <c r="EO50" s="85" t="e">
        <f t="shared" ca="1" si="56"/>
        <v>#NAME?</v>
      </c>
      <c r="EP50" s="40" t="e">
        <f ca="1">INT(EO50) + _xll.RiskBinomial(1,EO50-INT(EO50))</f>
        <v>#NAME?</v>
      </c>
      <c r="EQ50" s="33" t="e">
        <f t="shared" ca="1" si="27"/>
        <v>#NAME?</v>
      </c>
      <c r="ER50" s="38" t="e">
        <f ca="1">_xll.RiskBinomial(1,EQ50)</f>
        <v>#NAME?</v>
      </c>
      <c r="ES50" s="86" t="e">
        <f ca="1">IF(ER50=1,_xll.RiskBinomial(1,Prob_illness_Noro_infection),0)</f>
        <v>#NAME?</v>
      </c>
      <c r="EU50" s="85" t="e">
        <f t="shared" ca="1" si="57"/>
        <v>#NAME?</v>
      </c>
      <c r="EV50" s="40" t="e">
        <f ca="1">INT(EU50) + _xll.RiskBinomial(1,EU50-INT(EU50))</f>
        <v>#NAME?</v>
      </c>
      <c r="EW50" s="33" t="e">
        <f t="shared" ca="1" si="28"/>
        <v>#NAME?</v>
      </c>
      <c r="EX50" s="38" t="e">
        <f ca="1">_xll.RiskBinomial(1,EW50)</f>
        <v>#NAME?</v>
      </c>
      <c r="EY50" s="86" t="e">
        <f ca="1">IF(EX50=1,_xll.RiskBinomial(1,Prob_illness_Noro_infection),0)</f>
        <v>#NAME?</v>
      </c>
      <c r="FA50" s="85" t="e">
        <f t="shared" ca="1" si="58"/>
        <v>#NAME?</v>
      </c>
      <c r="FB50" s="40" t="e">
        <f ca="1">INT(FA50) + _xll.RiskBinomial(1,FA50-INT(FA50))</f>
        <v>#NAME?</v>
      </c>
      <c r="FC50" s="33" t="e">
        <f t="shared" ca="1" si="29"/>
        <v>#NAME?</v>
      </c>
      <c r="FD50" s="38" t="e">
        <f ca="1">_xll.RiskBinomial(1,FC50)</f>
        <v>#NAME?</v>
      </c>
      <c r="FE50" s="86" t="e">
        <f ca="1">IF(FD50=1,_xll.RiskBinomial(1,Prob_illness_Noro_infection),0)</f>
        <v>#NAME?</v>
      </c>
      <c r="FG50" s="85" t="e">
        <f t="shared" ca="1" si="59"/>
        <v>#NAME?</v>
      </c>
      <c r="FH50" s="40" t="e">
        <f ca="1">INT(FG50) + _xll.RiskBinomial(1,FG50-INT(FG50))</f>
        <v>#NAME?</v>
      </c>
      <c r="FI50" s="33" t="e">
        <f t="shared" ca="1" si="30"/>
        <v>#NAME?</v>
      </c>
      <c r="FJ50" s="38" t="e">
        <f ca="1">_xll.RiskBinomial(1,FI50)</f>
        <v>#NAME?</v>
      </c>
      <c r="FK50" s="86" t="e">
        <f ca="1">IF(FJ50=1,_xll.RiskBinomial(1,Prob_illness_Noro_infection),0)</f>
        <v>#NAME?</v>
      </c>
      <c r="FM50" s="85" t="e">
        <f t="shared" ca="1" si="60"/>
        <v>#NAME?</v>
      </c>
      <c r="FN50" s="40" t="e">
        <f ca="1">INT(FM50) + _xll.RiskBinomial(1,FM50-INT(FM50))</f>
        <v>#NAME?</v>
      </c>
      <c r="FO50" s="33" t="e">
        <f t="shared" ca="1" si="31"/>
        <v>#NAME?</v>
      </c>
      <c r="FP50" s="38" t="e">
        <f ca="1">_xll.RiskBinomial(1,FO50)</f>
        <v>#NAME?</v>
      </c>
      <c r="FQ50" s="86" t="e">
        <f ca="1">IF(FP50=1,_xll.RiskBinomial(1,Prob_illness_Noro_infection),0)</f>
        <v>#NAME?</v>
      </c>
      <c r="FS50" s="85" t="e">
        <f t="shared" ca="1" si="61"/>
        <v>#NAME?</v>
      </c>
      <c r="FT50" s="40" t="e">
        <f ca="1">INT(FS50) + _xll.RiskBinomial(1,FS50-INT(FS50))</f>
        <v>#NAME?</v>
      </c>
      <c r="FU50" s="33" t="e">
        <f t="shared" ca="1" si="32"/>
        <v>#NAME?</v>
      </c>
      <c r="FV50" s="38" t="e">
        <f ca="1">_xll.RiskBinomial(1,FU50)</f>
        <v>#NAME?</v>
      </c>
      <c r="FW50" s="86" t="e">
        <f ca="1">IF(FV50=1,_xll.RiskBinomial(1,Prob_illness_Noro_infection),0)</f>
        <v>#NAME?</v>
      </c>
      <c r="FY50" s="85" t="e">
        <f t="shared" ca="1" si="62"/>
        <v>#NAME?</v>
      </c>
      <c r="FZ50" s="40" t="e">
        <f ca="1">INT(FY50) + _xll.RiskBinomial(1,FY50-INT(FY50))</f>
        <v>#NAME?</v>
      </c>
      <c r="GA50" s="33" t="e">
        <f t="shared" ca="1" si="33"/>
        <v>#NAME?</v>
      </c>
      <c r="GB50" s="38" t="e">
        <f ca="1">_xll.RiskBinomial(1,GA50)</f>
        <v>#NAME?</v>
      </c>
      <c r="GC50" s="86" t="e">
        <f ca="1">IF(GB50=1,_xll.RiskBinomial(1,Prob_illness_Noro_infection),0)</f>
        <v>#NAME?</v>
      </c>
      <c r="GE50" s="85" t="e">
        <f t="shared" ca="1" si="63"/>
        <v>#NAME?</v>
      </c>
      <c r="GF50" s="40" t="e">
        <f ca="1">INT(GE50) + _xll.RiskBinomial(1,GE50-INT(GE50))</f>
        <v>#NAME?</v>
      </c>
      <c r="GG50" s="33" t="e">
        <f t="shared" ca="1" si="34"/>
        <v>#NAME?</v>
      </c>
      <c r="GH50" s="38" t="e">
        <f ca="1">_xll.RiskBinomial(1,GG50)</f>
        <v>#NAME?</v>
      </c>
      <c r="GI50" s="86" t="e">
        <f ca="1">IF(GH50=1,_xll.RiskBinomial(1,Prob_illness_Noro_infection),0)</f>
        <v>#NAME?</v>
      </c>
      <c r="GK50" s="85" t="e">
        <f t="shared" ca="1" si="64"/>
        <v>#NAME?</v>
      </c>
      <c r="GL50" s="40" t="e">
        <f ca="1">INT(GK50) + _xll.RiskBinomial(1,GK50-INT(GK50))</f>
        <v>#NAME?</v>
      </c>
      <c r="GM50" s="33" t="e">
        <f t="shared" ca="1" si="35"/>
        <v>#NAME?</v>
      </c>
      <c r="GN50" s="38" t="e">
        <f ca="1">_xll.RiskBinomial(1,GM50)</f>
        <v>#NAME?</v>
      </c>
      <c r="GO50" s="86" t="e">
        <f ca="1">IF(GN50=1,_xll.RiskBinomial(1,Prob_illness_Noro_infection),0)</f>
        <v>#NAME?</v>
      </c>
    </row>
    <row r="51" spans="2:197" x14ac:dyDescent="0.25">
      <c r="B51" s="106">
        <v>43</v>
      </c>
      <c r="C51" s="109" t="e">
        <f ca="1" xml:space="preserve"> _xll.RiskPert(Dur_Swim_hours_min,Dur_Swim_hours_mode,Dur_Swim_hours_max)</f>
        <v>#NAME?</v>
      </c>
      <c r="D51" s="33" t="e">
        <f ca="1">_xll.RiskLognorm(Primary_Ing_Rate_mL_per_hour_mean,Primary_Ing_Rate_mL_per_hour_sd, _xll.RiskTruncate(Primary_Ing_Rate_mL_per_hour_min,Primary_Ing_Rate_mL_per_hour_max))</f>
        <v>#NAME?</v>
      </c>
      <c r="E51" s="41" t="e">
        <f t="shared" ca="1" si="36"/>
        <v>#NAME?</v>
      </c>
      <c r="F51" s="33"/>
      <c r="G51" s="85" t="e">
        <f t="shared" ca="1" si="37"/>
        <v>#NAME?</v>
      </c>
      <c r="H51" s="40" t="e">
        <f ca="1">INT(G51) + _xll.RiskBinomial(1,G51-INT(G51))</f>
        <v>#NAME?</v>
      </c>
      <c r="I51" s="33" t="e">
        <f t="shared" ca="1" si="0"/>
        <v>#NAME?</v>
      </c>
      <c r="J51" s="38" t="e">
        <f ca="1">_xll.RiskBinomial(1,I51)</f>
        <v>#NAME?</v>
      </c>
      <c r="K51" s="86" t="e">
        <f ca="1">IF(J51=1,_xll.RiskBinomial(1,Prob_illness_Noro_infection),0)</f>
        <v>#NAME?</v>
      </c>
      <c r="L51" s="33"/>
      <c r="M51" s="85" t="e">
        <f t="shared" ca="1" si="38"/>
        <v>#NAME?</v>
      </c>
      <c r="N51" s="40" t="e">
        <f ca="1">INT(M51) + _xll.RiskBinomial(1,M51-INT(M51))</f>
        <v>#NAME?</v>
      </c>
      <c r="O51" s="33" t="e">
        <f t="shared" ca="1" si="1"/>
        <v>#NAME?</v>
      </c>
      <c r="P51" s="38" t="e">
        <f ca="1">_xll.RiskBinomial(1,O51)</f>
        <v>#NAME?</v>
      </c>
      <c r="Q51" s="86" t="e">
        <f ca="1">IF(P51=1,_xll.RiskBinomial(1,Prob_illness_Noro_infection),0)</f>
        <v>#NAME?</v>
      </c>
      <c r="R51" s="33"/>
      <c r="S51" s="85" t="e">
        <f t="shared" ca="1" si="39"/>
        <v>#NAME?</v>
      </c>
      <c r="T51" s="40" t="e">
        <f ca="1">INT(S51) + _xll.RiskBinomial(1,S51-INT(S51))</f>
        <v>#NAME?</v>
      </c>
      <c r="U51" s="33" t="e">
        <f t="shared" ca="1" si="2"/>
        <v>#NAME?</v>
      </c>
      <c r="V51" s="38" t="e">
        <f ca="1">_xll.RiskBinomial(1,U51)</f>
        <v>#NAME?</v>
      </c>
      <c r="W51" s="86" t="e">
        <f ca="1">IF(V51=1,_xll.RiskBinomial(1,Prob_illness_Noro_infection),0)</f>
        <v>#NAME?</v>
      </c>
      <c r="X51" s="33"/>
      <c r="Y51" s="85" t="e">
        <f t="shared" ca="1" si="3"/>
        <v>#NAME?</v>
      </c>
      <c r="Z51" s="40" t="e">
        <f ca="1">INT(Y51) + _xll.RiskBinomial(1,Y51-INT(Y51))</f>
        <v>#NAME?</v>
      </c>
      <c r="AA51" s="33" t="e">
        <f t="shared" ca="1" si="4"/>
        <v>#NAME?</v>
      </c>
      <c r="AB51" s="38" t="e">
        <f ca="1">_xll.RiskBinomial(1,AA51)</f>
        <v>#NAME?</v>
      </c>
      <c r="AC51" s="86" t="e">
        <f ca="1">IF(AB51=1,_xll.RiskBinomial(1,Prob_illness_Noro_infection),0)</f>
        <v>#NAME?</v>
      </c>
      <c r="AD51" s="33"/>
      <c r="AE51" s="85" t="e">
        <f t="shared" ca="1" si="5"/>
        <v>#NAME?</v>
      </c>
      <c r="AF51" s="40" t="e">
        <f ca="1">INT(AE51) + _xll.RiskBinomial(1,AE51-INT(AE51))</f>
        <v>#NAME?</v>
      </c>
      <c r="AG51" s="33" t="e">
        <f t="shared" ca="1" si="6"/>
        <v>#NAME?</v>
      </c>
      <c r="AH51" s="38" t="e">
        <f ca="1">_xll.RiskBinomial(1,AG51)</f>
        <v>#NAME?</v>
      </c>
      <c r="AI51" s="86" t="e">
        <f ca="1">IF(AH51=1,_xll.RiskBinomial(1,Prob_illness_Noro_infection),0)</f>
        <v>#NAME?</v>
      </c>
      <c r="AJ51" s="33"/>
      <c r="AK51" s="85" t="e">
        <f t="shared" ca="1" si="7"/>
        <v>#NAME?</v>
      </c>
      <c r="AL51" s="40" t="e">
        <f ca="1">INT(AK51) + _xll.RiskBinomial(1,AK51-INT(AK51))</f>
        <v>#NAME?</v>
      </c>
      <c r="AM51" s="33" t="e">
        <f t="shared" ca="1" si="8"/>
        <v>#NAME?</v>
      </c>
      <c r="AN51" s="38" t="e">
        <f ca="1">_xll.RiskBinomial(1,AM51)</f>
        <v>#NAME?</v>
      </c>
      <c r="AO51" s="86" t="e">
        <f ca="1">IF(AN51=1,_xll.RiskBinomial(1,Prob_illness_Noro_infection),0)</f>
        <v>#NAME?</v>
      </c>
      <c r="AP51" s="33"/>
      <c r="AQ51" s="85" t="e">
        <f t="shared" ca="1" si="65"/>
        <v>#NAME?</v>
      </c>
      <c r="AR51" s="40" t="e">
        <f ca="1">INT(AQ51) + _xll.RiskBinomial(1,AQ51-INT(AQ51))</f>
        <v>#NAME?</v>
      </c>
      <c r="AS51" s="33" t="e">
        <f t="shared" ca="1" si="10"/>
        <v>#NAME?</v>
      </c>
      <c r="AT51" s="38" t="e">
        <f ca="1">_xll.RiskBinomial(1,AS51)</f>
        <v>#NAME?</v>
      </c>
      <c r="AU51" s="86" t="e">
        <f ca="1">IF(AT51=1,_xll.RiskBinomial(1,Prob_illness_Noro_infection),0)</f>
        <v>#NAME?</v>
      </c>
      <c r="AV51" s="33"/>
      <c r="AW51" s="85" t="e">
        <f t="shared" ca="1" si="40"/>
        <v>#NAME?</v>
      </c>
      <c r="AX51" s="40" t="e">
        <f ca="1">INT(AW51) + _xll.RiskBinomial(1,AW51-INT(AW51))</f>
        <v>#NAME?</v>
      </c>
      <c r="AY51" s="33" t="e">
        <f t="shared" ca="1" si="11"/>
        <v>#NAME?</v>
      </c>
      <c r="AZ51" s="38" t="e">
        <f ca="1">_xll.RiskBinomial(1,AY51)</f>
        <v>#NAME?</v>
      </c>
      <c r="BA51" s="86" t="e">
        <f ca="1">IF(AZ51=1,_xll.RiskBinomial(1,Prob_illness_Noro_infection),0)</f>
        <v>#NAME?</v>
      </c>
      <c r="BC51" s="85" t="e">
        <f t="shared" ca="1" si="41"/>
        <v>#NAME?</v>
      </c>
      <c r="BD51" s="40" t="e">
        <f ca="1">INT(BC51) + _xll.RiskBinomial(1,BC51-INT(BC51))</f>
        <v>#NAME?</v>
      </c>
      <c r="BE51" s="33" t="e">
        <f t="shared" ca="1" si="12"/>
        <v>#NAME?</v>
      </c>
      <c r="BF51" s="38" t="e">
        <f ca="1">_xll.RiskBinomial(1,BE51)</f>
        <v>#NAME?</v>
      </c>
      <c r="BG51" s="86" t="e">
        <f ca="1">IF(BF51=1,_xll.RiskBinomial(1,Prob_illness_Noro_infection),0)</f>
        <v>#NAME?</v>
      </c>
      <c r="BI51" s="85" t="e">
        <f t="shared" ca="1" si="42"/>
        <v>#NAME?</v>
      </c>
      <c r="BJ51" s="40" t="e">
        <f ca="1">INT(BI51) + _xll.RiskBinomial(1,BI51-INT(BI51))</f>
        <v>#NAME?</v>
      </c>
      <c r="BK51" s="33" t="e">
        <f t="shared" ca="1" si="13"/>
        <v>#NAME?</v>
      </c>
      <c r="BL51" s="38" t="e">
        <f ca="1">_xll.RiskBinomial(1,BK51)</f>
        <v>#NAME?</v>
      </c>
      <c r="BM51" s="86" t="e">
        <f ca="1">IF(BL51=1,_xll.RiskBinomial(1,Prob_illness_Noro_infection),0)</f>
        <v>#NAME?</v>
      </c>
      <c r="BO51" s="85" t="e">
        <f t="shared" ca="1" si="43"/>
        <v>#NAME?</v>
      </c>
      <c r="BP51" s="40" t="e">
        <f ca="1">INT(BO51) + _xll.RiskBinomial(1,BO51-INT(BO51))</f>
        <v>#NAME?</v>
      </c>
      <c r="BQ51" s="33" t="e">
        <f t="shared" ca="1" si="14"/>
        <v>#NAME?</v>
      </c>
      <c r="BR51" s="38" t="e">
        <f ca="1">_xll.RiskBinomial(1,BQ51)</f>
        <v>#NAME?</v>
      </c>
      <c r="BS51" s="86" t="e">
        <f ca="1">IF(BR51=1,_xll.RiskBinomial(1,Prob_illness_Noro_infection),0)</f>
        <v>#NAME?</v>
      </c>
      <c r="BU51" s="85" t="e">
        <f t="shared" ca="1" si="44"/>
        <v>#NAME?</v>
      </c>
      <c r="BV51" s="40" t="e">
        <f ca="1">INT(BU51) + _xll.RiskBinomial(1,BU51-INT(BU51))</f>
        <v>#NAME?</v>
      </c>
      <c r="BW51" s="33" t="e">
        <f t="shared" ca="1" si="15"/>
        <v>#NAME?</v>
      </c>
      <c r="BX51" s="38" t="e">
        <f ca="1">_xll.RiskBinomial(1,BW51)</f>
        <v>#NAME?</v>
      </c>
      <c r="BY51" s="86" t="e">
        <f ca="1">IF(BX51=1,_xll.RiskBinomial(1,Prob_illness_Noro_infection),0)</f>
        <v>#NAME?</v>
      </c>
      <c r="CA51" s="85" t="e">
        <f t="shared" ca="1" si="45"/>
        <v>#NAME?</v>
      </c>
      <c r="CB51" s="40" t="e">
        <f ca="1">INT(CA51) + _xll.RiskBinomial(1,CA51-INT(CA51))</f>
        <v>#NAME?</v>
      </c>
      <c r="CC51" s="33" t="e">
        <f t="shared" ca="1" si="16"/>
        <v>#NAME?</v>
      </c>
      <c r="CD51" s="38" t="e">
        <f ca="1">_xll.RiskBinomial(1,CC51)</f>
        <v>#NAME?</v>
      </c>
      <c r="CE51" s="86" t="e">
        <f ca="1">IF(CD51=1,_xll.RiskBinomial(1,Prob_illness_Noro_infection),0)</f>
        <v>#NAME?</v>
      </c>
      <c r="CG51" s="85" t="e">
        <f t="shared" ca="1" si="46"/>
        <v>#NAME?</v>
      </c>
      <c r="CH51" s="40" t="e">
        <f ca="1">INT(CG51) + _xll.RiskBinomial(1,CG51-INT(CG51))</f>
        <v>#NAME?</v>
      </c>
      <c r="CI51" s="33" t="e">
        <f t="shared" ca="1" si="17"/>
        <v>#NAME?</v>
      </c>
      <c r="CJ51" s="38" t="e">
        <f ca="1">_xll.RiskBinomial(1,CI51)</f>
        <v>#NAME?</v>
      </c>
      <c r="CK51" s="86" t="e">
        <f ca="1">IF(CJ51=1,_xll.RiskBinomial(1,Prob_illness_Noro_infection),0)</f>
        <v>#NAME?</v>
      </c>
      <c r="CM51" s="85" t="e">
        <f t="shared" ca="1" si="47"/>
        <v>#NAME?</v>
      </c>
      <c r="CN51" s="40" t="e">
        <f ca="1">INT(CM51) + _xll.RiskBinomial(1,CM51-INT(CM51))</f>
        <v>#NAME?</v>
      </c>
      <c r="CO51" s="33" t="e">
        <f t="shared" ca="1" si="18"/>
        <v>#NAME?</v>
      </c>
      <c r="CP51" s="38" t="e">
        <f ca="1">_xll.RiskBinomial(1,CO51)</f>
        <v>#NAME?</v>
      </c>
      <c r="CQ51" s="86" t="e">
        <f ca="1">IF(CP51=1,_xll.RiskBinomial(1,Prob_illness_Noro_infection),0)</f>
        <v>#NAME?</v>
      </c>
      <c r="CS51" s="85" t="e">
        <f t="shared" ca="1" si="48"/>
        <v>#NAME?</v>
      </c>
      <c r="CT51" s="40" t="e">
        <f ca="1">INT(CS51) + _xll.RiskBinomial(1,CS51-INT(CS51))</f>
        <v>#NAME?</v>
      </c>
      <c r="CU51" s="33" t="e">
        <f t="shared" ca="1" si="19"/>
        <v>#NAME?</v>
      </c>
      <c r="CV51" s="38" t="e">
        <f ca="1">_xll.RiskBinomial(1,CU51)</f>
        <v>#NAME?</v>
      </c>
      <c r="CW51" s="86" t="e">
        <f ca="1">IF(CV51=1,_xll.RiskBinomial(1,Prob_illness_Noro_infection),0)</f>
        <v>#NAME?</v>
      </c>
      <c r="CY51" s="85" t="e">
        <f t="shared" ca="1" si="49"/>
        <v>#NAME?</v>
      </c>
      <c r="CZ51" s="40" t="e">
        <f ca="1">INT(CY51) + _xll.RiskBinomial(1,CY51-INT(CY51))</f>
        <v>#NAME?</v>
      </c>
      <c r="DA51" s="33" t="e">
        <f t="shared" ca="1" si="20"/>
        <v>#NAME?</v>
      </c>
      <c r="DB51" s="38" t="e">
        <f ca="1">_xll.RiskBinomial(1,DA51)</f>
        <v>#NAME?</v>
      </c>
      <c r="DC51" s="86" t="e">
        <f ca="1">IF(DB51=1,_xll.RiskBinomial(1,Prob_illness_Noro_infection),0)</f>
        <v>#NAME?</v>
      </c>
      <c r="DE51" s="85" t="e">
        <f t="shared" ca="1" si="50"/>
        <v>#NAME?</v>
      </c>
      <c r="DF51" s="40" t="e">
        <f ca="1">INT(DE51) + _xll.RiskBinomial(1,DE51-INT(DE51))</f>
        <v>#NAME?</v>
      </c>
      <c r="DG51" s="33" t="e">
        <f t="shared" ca="1" si="21"/>
        <v>#NAME?</v>
      </c>
      <c r="DH51" s="38" t="e">
        <f ca="1">_xll.RiskBinomial(1,DG51)</f>
        <v>#NAME?</v>
      </c>
      <c r="DI51" s="86" t="e">
        <f ca="1">IF(DH51=1,_xll.RiskBinomial(1,Prob_illness_Noro_infection),0)</f>
        <v>#NAME?</v>
      </c>
      <c r="DK51" s="85" t="e">
        <f t="shared" ca="1" si="51"/>
        <v>#NAME?</v>
      </c>
      <c r="DL51" s="40" t="e">
        <f ca="1">INT(DK51) + _xll.RiskBinomial(1,DK51-INT(DK51))</f>
        <v>#NAME?</v>
      </c>
      <c r="DM51" s="33" t="e">
        <f t="shared" ca="1" si="22"/>
        <v>#NAME?</v>
      </c>
      <c r="DN51" s="38" t="e">
        <f ca="1">_xll.RiskBinomial(1,DM51)</f>
        <v>#NAME?</v>
      </c>
      <c r="DO51" s="86" t="e">
        <f ca="1">IF(DN51=1,_xll.RiskBinomial(1,Prob_illness_Noro_infection),0)</f>
        <v>#NAME?</v>
      </c>
      <c r="DQ51" s="85" t="e">
        <f t="shared" ca="1" si="52"/>
        <v>#NAME?</v>
      </c>
      <c r="DR51" s="40" t="e">
        <f ca="1">INT(DQ51) + _xll.RiskBinomial(1,DQ51-INT(DQ51))</f>
        <v>#NAME?</v>
      </c>
      <c r="DS51" s="33" t="e">
        <f t="shared" ca="1" si="23"/>
        <v>#NAME?</v>
      </c>
      <c r="DT51" s="38" t="e">
        <f ca="1">_xll.RiskBinomial(1,DS51)</f>
        <v>#NAME?</v>
      </c>
      <c r="DU51" s="86" t="e">
        <f ca="1">IF(DT51=1,_xll.RiskBinomial(1,Prob_illness_Noro_infection),0)</f>
        <v>#NAME?</v>
      </c>
      <c r="DW51" s="85" t="e">
        <f t="shared" ca="1" si="53"/>
        <v>#NAME?</v>
      </c>
      <c r="DX51" s="40" t="e">
        <f ca="1">INT(DW51) + _xll.RiskBinomial(1,DW51-INT(DW51))</f>
        <v>#NAME?</v>
      </c>
      <c r="DY51" s="33" t="e">
        <f t="shared" ca="1" si="24"/>
        <v>#NAME?</v>
      </c>
      <c r="DZ51" s="38" t="e">
        <f ca="1">_xll.RiskBinomial(1,DY51)</f>
        <v>#NAME?</v>
      </c>
      <c r="EA51" s="86" t="e">
        <f ca="1">IF(DZ51=1,_xll.RiskBinomial(1,Prob_illness_Noro_infection),0)</f>
        <v>#NAME?</v>
      </c>
      <c r="EC51" s="85" t="e">
        <f t="shared" ca="1" si="54"/>
        <v>#NAME?</v>
      </c>
      <c r="ED51" s="40" t="e">
        <f ca="1">INT(EC51) + _xll.RiskBinomial(1,EC51-INT(EC51))</f>
        <v>#NAME?</v>
      </c>
      <c r="EE51" s="33" t="e">
        <f t="shared" ca="1" si="25"/>
        <v>#NAME?</v>
      </c>
      <c r="EF51" s="38" t="e">
        <f ca="1">_xll.RiskBinomial(1,EE51)</f>
        <v>#NAME?</v>
      </c>
      <c r="EG51" s="86" t="e">
        <f ca="1">IF(EF51=1,_xll.RiskBinomial(1,Prob_illness_Noro_infection),0)</f>
        <v>#NAME?</v>
      </c>
      <c r="EI51" s="85" t="e">
        <f t="shared" ca="1" si="55"/>
        <v>#NAME?</v>
      </c>
      <c r="EJ51" s="40" t="e">
        <f ca="1">INT(EI51) + _xll.RiskBinomial(1,EI51-INT(EI51))</f>
        <v>#NAME?</v>
      </c>
      <c r="EK51" s="33" t="e">
        <f t="shared" ca="1" si="26"/>
        <v>#NAME?</v>
      </c>
      <c r="EL51" s="38" t="e">
        <f ca="1">_xll.RiskBinomial(1,EK51)</f>
        <v>#NAME?</v>
      </c>
      <c r="EM51" s="86" t="e">
        <f ca="1">IF(EL51=1,_xll.RiskBinomial(1,Prob_illness_Noro_infection),0)</f>
        <v>#NAME?</v>
      </c>
      <c r="EO51" s="85" t="e">
        <f t="shared" ca="1" si="56"/>
        <v>#NAME?</v>
      </c>
      <c r="EP51" s="40" t="e">
        <f ca="1">INT(EO51) + _xll.RiskBinomial(1,EO51-INT(EO51))</f>
        <v>#NAME?</v>
      </c>
      <c r="EQ51" s="33" t="e">
        <f t="shared" ca="1" si="27"/>
        <v>#NAME?</v>
      </c>
      <c r="ER51" s="38" t="e">
        <f ca="1">_xll.RiskBinomial(1,EQ51)</f>
        <v>#NAME?</v>
      </c>
      <c r="ES51" s="86" t="e">
        <f ca="1">IF(ER51=1,_xll.RiskBinomial(1,Prob_illness_Noro_infection),0)</f>
        <v>#NAME?</v>
      </c>
      <c r="EU51" s="85" t="e">
        <f t="shared" ca="1" si="57"/>
        <v>#NAME?</v>
      </c>
      <c r="EV51" s="40" t="e">
        <f ca="1">INT(EU51) + _xll.RiskBinomial(1,EU51-INT(EU51))</f>
        <v>#NAME?</v>
      </c>
      <c r="EW51" s="33" t="e">
        <f t="shared" ca="1" si="28"/>
        <v>#NAME?</v>
      </c>
      <c r="EX51" s="38" t="e">
        <f ca="1">_xll.RiskBinomial(1,EW51)</f>
        <v>#NAME?</v>
      </c>
      <c r="EY51" s="86" t="e">
        <f ca="1">IF(EX51=1,_xll.RiskBinomial(1,Prob_illness_Noro_infection),0)</f>
        <v>#NAME?</v>
      </c>
      <c r="FA51" s="85" t="e">
        <f t="shared" ca="1" si="58"/>
        <v>#NAME?</v>
      </c>
      <c r="FB51" s="40" t="e">
        <f ca="1">INT(FA51) + _xll.RiskBinomial(1,FA51-INT(FA51))</f>
        <v>#NAME?</v>
      </c>
      <c r="FC51" s="33" t="e">
        <f t="shared" ca="1" si="29"/>
        <v>#NAME?</v>
      </c>
      <c r="FD51" s="38" t="e">
        <f ca="1">_xll.RiskBinomial(1,FC51)</f>
        <v>#NAME?</v>
      </c>
      <c r="FE51" s="86" t="e">
        <f ca="1">IF(FD51=1,_xll.RiskBinomial(1,Prob_illness_Noro_infection),0)</f>
        <v>#NAME?</v>
      </c>
      <c r="FG51" s="85" t="e">
        <f t="shared" ca="1" si="59"/>
        <v>#NAME?</v>
      </c>
      <c r="FH51" s="40" t="e">
        <f ca="1">INT(FG51) + _xll.RiskBinomial(1,FG51-INT(FG51))</f>
        <v>#NAME?</v>
      </c>
      <c r="FI51" s="33" t="e">
        <f t="shared" ca="1" si="30"/>
        <v>#NAME?</v>
      </c>
      <c r="FJ51" s="38" t="e">
        <f ca="1">_xll.RiskBinomial(1,FI51)</f>
        <v>#NAME?</v>
      </c>
      <c r="FK51" s="86" t="e">
        <f ca="1">IF(FJ51=1,_xll.RiskBinomial(1,Prob_illness_Noro_infection),0)</f>
        <v>#NAME?</v>
      </c>
      <c r="FM51" s="85" t="e">
        <f t="shared" ca="1" si="60"/>
        <v>#NAME?</v>
      </c>
      <c r="FN51" s="40" t="e">
        <f ca="1">INT(FM51) + _xll.RiskBinomial(1,FM51-INT(FM51))</f>
        <v>#NAME?</v>
      </c>
      <c r="FO51" s="33" t="e">
        <f t="shared" ca="1" si="31"/>
        <v>#NAME?</v>
      </c>
      <c r="FP51" s="38" t="e">
        <f ca="1">_xll.RiskBinomial(1,FO51)</f>
        <v>#NAME?</v>
      </c>
      <c r="FQ51" s="86" t="e">
        <f ca="1">IF(FP51=1,_xll.RiskBinomial(1,Prob_illness_Noro_infection),0)</f>
        <v>#NAME?</v>
      </c>
      <c r="FS51" s="85" t="e">
        <f t="shared" ca="1" si="61"/>
        <v>#NAME?</v>
      </c>
      <c r="FT51" s="40" t="e">
        <f ca="1">INT(FS51) + _xll.RiskBinomial(1,FS51-INT(FS51))</f>
        <v>#NAME?</v>
      </c>
      <c r="FU51" s="33" t="e">
        <f t="shared" ca="1" si="32"/>
        <v>#NAME?</v>
      </c>
      <c r="FV51" s="38" t="e">
        <f ca="1">_xll.RiskBinomial(1,FU51)</f>
        <v>#NAME?</v>
      </c>
      <c r="FW51" s="86" t="e">
        <f ca="1">IF(FV51=1,_xll.RiskBinomial(1,Prob_illness_Noro_infection),0)</f>
        <v>#NAME?</v>
      </c>
      <c r="FY51" s="85" t="e">
        <f t="shared" ca="1" si="62"/>
        <v>#NAME?</v>
      </c>
      <c r="FZ51" s="40" t="e">
        <f ca="1">INT(FY51) + _xll.RiskBinomial(1,FY51-INT(FY51))</f>
        <v>#NAME?</v>
      </c>
      <c r="GA51" s="33" t="e">
        <f t="shared" ca="1" si="33"/>
        <v>#NAME?</v>
      </c>
      <c r="GB51" s="38" t="e">
        <f ca="1">_xll.RiskBinomial(1,GA51)</f>
        <v>#NAME?</v>
      </c>
      <c r="GC51" s="86" t="e">
        <f ca="1">IF(GB51=1,_xll.RiskBinomial(1,Prob_illness_Noro_infection),0)</f>
        <v>#NAME?</v>
      </c>
      <c r="GE51" s="85" t="e">
        <f t="shared" ca="1" si="63"/>
        <v>#NAME?</v>
      </c>
      <c r="GF51" s="40" t="e">
        <f ca="1">INT(GE51) + _xll.RiskBinomial(1,GE51-INT(GE51))</f>
        <v>#NAME?</v>
      </c>
      <c r="GG51" s="33" t="e">
        <f t="shared" ca="1" si="34"/>
        <v>#NAME?</v>
      </c>
      <c r="GH51" s="38" t="e">
        <f ca="1">_xll.RiskBinomial(1,GG51)</f>
        <v>#NAME?</v>
      </c>
      <c r="GI51" s="86" t="e">
        <f ca="1">IF(GH51=1,_xll.RiskBinomial(1,Prob_illness_Noro_infection),0)</f>
        <v>#NAME?</v>
      </c>
      <c r="GK51" s="85" t="e">
        <f t="shared" ca="1" si="64"/>
        <v>#NAME?</v>
      </c>
      <c r="GL51" s="40" t="e">
        <f ca="1">INT(GK51) + _xll.RiskBinomial(1,GK51-INT(GK51))</f>
        <v>#NAME?</v>
      </c>
      <c r="GM51" s="33" t="e">
        <f t="shared" ca="1" si="35"/>
        <v>#NAME?</v>
      </c>
      <c r="GN51" s="38" t="e">
        <f ca="1">_xll.RiskBinomial(1,GM51)</f>
        <v>#NAME?</v>
      </c>
      <c r="GO51" s="86" t="e">
        <f ca="1">IF(GN51=1,_xll.RiskBinomial(1,Prob_illness_Noro_infection),0)</f>
        <v>#NAME?</v>
      </c>
    </row>
    <row r="52" spans="2:197" x14ac:dyDescent="0.25">
      <c r="B52" s="106">
        <v>44</v>
      </c>
      <c r="C52" s="109" t="e">
        <f ca="1" xml:space="preserve"> _xll.RiskPert(Dur_Swim_hours_min,Dur_Swim_hours_mode,Dur_Swim_hours_max)</f>
        <v>#NAME?</v>
      </c>
      <c r="D52" s="33" t="e">
        <f ca="1">_xll.RiskLognorm(Primary_Ing_Rate_mL_per_hour_mean,Primary_Ing_Rate_mL_per_hour_sd, _xll.RiskTruncate(Primary_Ing_Rate_mL_per_hour_min,Primary_Ing_Rate_mL_per_hour_max))</f>
        <v>#NAME?</v>
      </c>
      <c r="E52" s="41" t="e">
        <f t="shared" ca="1" si="36"/>
        <v>#NAME?</v>
      </c>
      <c r="F52" s="33"/>
      <c r="G52" s="85" t="e">
        <f t="shared" ca="1" si="37"/>
        <v>#NAME?</v>
      </c>
      <c r="H52" s="40" t="e">
        <f ca="1">INT(G52) + _xll.RiskBinomial(1,G52-INT(G52))</f>
        <v>#NAME?</v>
      </c>
      <c r="I52" s="33" t="e">
        <f t="shared" ca="1" si="0"/>
        <v>#NAME?</v>
      </c>
      <c r="J52" s="38" t="e">
        <f ca="1">_xll.RiskBinomial(1,I52)</f>
        <v>#NAME?</v>
      </c>
      <c r="K52" s="86" t="e">
        <f ca="1">IF(J52=1,_xll.RiskBinomial(1,Prob_illness_Noro_infection),0)</f>
        <v>#NAME?</v>
      </c>
      <c r="L52" s="33"/>
      <c r="M52" s="85" t="e">
        <f t="shared" ca="1" si="38"/>
        <v>#NAME?</v>
      </c>
      <c r="N52" s="40" t="e">
        <f ca="1">INT(M52) + _xll.RiskBinomial(1,M52-INT(M52))</f>
        <v>#NAME?</v>
      </c>
      <c r="O52" s="33" t="e">
        <f t="shared" ca="1" si="1"/>
        <v>#NAME?</v>
      </c>
      <c r="P52" s="38" t="e">
        <f ca="1">_xll.RiskBinomial(1,O52)</f>
        <v>#NAME?</v>
      </c>
      <c r="Q52" s="86" t="e">
        <f ca="1">IF(P52=1,_xll.RiskBinomial(1,Prob_illness_Noro_infection),0)</f>
        <v>#NAME?</v>
      </c>
      <c r="R52" s="33"/>
      <c r="S52" s="85" t="e">
        <f t="shared" ca="1" si="39"/>
        <v>#NAME?</v>
      </c>
      <c r="T52" s="40" t="e">
        <f ca="1">INT(S52) + _xll.RiskBinomial(1,S52-INT(S52))</f>
        <v>#NAME?</v>
      </c>
      <c r="U52" s="33" t="e">
        <f t="shared" ca="1" si="2"/>
        <v>#NAME?</v>
      </c>
      <c r="V52" s="38" t="e">
        <f ca="1">_xll.RiskBinomial(1,U52)</f>
        <v>#NAME?</v>
      </c>
      <c r="W52" s="86" t="e">
        <f ca="1">IF(V52=1,_xll.RiskBinomial(1,Prob_illness_Noro_infection),0)</f>
        <v>#NAME?</v>
      </c>
      <c r="X52" s="33"/>
      <c r="Y52" s="85" t="e">
        <f t="shared" ca="1" si="3"/>
        <v>#NAME?</v>
      </c>
      <c r="Z52" s="40" t="e">
        <f ca="1">INT(Y52) + _xll.RiskBinomial(1,Y52-INT(Y52))</f>
        <v>#NAME?</v>
      </c>
      <c r="AA52" s="33" t="e">
        <f t="shared" ca="1" si="4"/>
        <v>#NAME?</v>
      </c>
      <c r="AB52" s="38" t="e">
        <f ca="1">_xll.RiskBinomial(1,AA52)</f>
        <v>#NAME?</v>
      </c>
      <c r="AC52" s="86" t="e">
        <f ca="1">IF(AB52=1,_xll.RiskBinomial(1,Prob_illness_Noro_infection),0)</f>
        <v>#NAME?</v>
      </c>
      <c r="AD52" s="33"/>
      <c r="AE52" s="85" t="e">
        <f t="shared" ca="1" si="5"/>
        <v>#NAME?</v>
      </c>
      <c r="AF52" s="40" t="e">
        <f ca="1">INT(AE52) + _xll.RiskBinomial(1,AE52-INT(AE52))</f>
        <v>#NAME?</v>
      </c>
      <c r="AG52" s="33" t="e">
        <f t="shared" ca="1" si="6"/>
        <v>#NAME?</v>
      </c>
      <c r="AH52" s="38" t="e">
        <f ca="1">_xll.RiskBinomial(1,AG52)</f>
        <v>#NAME?</v>
      </c>
      <c r="AI52" s="86" t="e">
        <f ca="1">IF(AH52=1,_xll.RiskBinomial(1,Prob_illness_Noro_infection),0)</f>
        <v>#NAME?</v>
      </c>
      <c r="AJ52" s="33"/>
      <c r="AK52" s="85" t="e">
        <f t="shared" ca="1" si="7"/>
        <v>#NAME?</v>
      </c>
      <c r="AL52" s="40" t="e">
        <f ca="1">INT(AK52) + _xll.RiskBinomial(1,AK52-INT(AK52))</f>
        <v>#NAME?</v>
      </c>
      <c r="AM52" s="33" t="e">
        <f t="shared" ca="1" si="8"/>
        <v>#NAME?</v>
      </c>
      <c r="AN52" s="38" t="e">
        <f ca="1">_xll.RiskBinomial(1,AM52)</f>
        <v>#NAME?</v>
      </c>
      <c r="AO52" s="86" t="e">
        <f ca="1">IF(AN52=1,_xll.RiskBinomial(1,Prob_illness_Noro_infection),0)</f>
        <v>#NAME?</v>
      </c>
      <c r="AP52" s="33"/>
      <c r="AQ52" s="85" t="e">
        <f t="shared" ca="1" si="65"/>
        <v>#NAME?</v>
      </c>
      <c r="AR52" s="40" t="e">
        <f ca="1">INT(AQ52) + _xll.RiskBinomial(1,AQ52-INT(AQ52))</f>
        <v>#NAME?</v>
      </c>
      <c r="AS52" s="33" t="e">
        <f t="shared" ca="1" si="10"/>
        <v>#NAME?</v>
      </c>
      <c r="AT52" s="38" t="e">
        <f ca="1">_xll.RiskBinomial(1,AS52)</f>
        <v>#NAME?</v>
      </c>
      <c r="AU52" s="86" t="e">
        <f ca="1">IF(AT52=1,_xll.RiskBinomial(1,Prob_illness_Noro_infection),0)</f>
        <v>#NAME?</v>
      </c>
      <c r="AV52" s="33"/>
      <c r="AW52" s="85" t="e">
        <f t="shared" ca="1" si="40"/>
        <v>#NAME?</v>
      </c>
      <c r="AX52" s="40" t="e">
        <f ca="1">INT(AW52) + _xll.RiskBinomial(1,AW52-INT(AW52))</f>
        <v>#NAME?</v>
      </c>
      <c r="AY52" s="33" t="e">
        <f t="shared" ca="1" si="11"/>
        <v>#NAME?</v>
      </c>
      <c r="AZ52" s="38" t="e">
        <f ca="1">_xll.RiskBinomial(1,AY52)</f>
        <v>#NAME?</v>
      </c>
      <c r="BA52" s="86" t="e">
        <f ca="1">IF(AZ52=1,_xll.RiskBinomial(1,Prob_illness_Noro_infection),0)</f>
        <v>#NAME?</v>
      </c>
      <c r="BC52" s="85" t="e">
        <f t="shared" ca="1" si="41"/>
        <v>#NAME?</v>
      </c>
      <c r="BD52" s="40" t="e">
        <f ca="1">INT(BC52) + _xll.RiskBinomial(1,BC52-INT(BC52))</f>
        <v>#NAME?</v>
      </c>
      <c r="BE52" s="33" t="e">
        <f t="shared" ca="1" si="12"/>
        <v>#NAME?</v>
      </c>
      <c r="BF52" s="38" t="e">
        <f ca="1">_xll.RiskBinomial(1,BE52)</f>
        <v>#NAME?</v>
      </c>
      <c r="BG52" s="86" t="e">
        <f ca="1">IF(BF52=1,_xll.RiskBinomial(1,Prob_illness_Noro_infection),0)</f>
        <v>#NAME?</v>
      </c>
      <c r="BI52" s="85" t="e">
        <f t="shared" ca="1" si="42"/>
        <v>#NAME?</v>
      </c>
      <c r="BJ52" s="40" t="e">
        <f ca="1">INT(BI52) + _xll.RiskBinomial(1,BI52-INT(BI52))</f>
        <v>#NAME?</v>
      </c>
      <c r="BK52" s="33" t="e">
        <f t="shared" ca="1" si="13"/>
        <v>#NAME?</v>
      </c>
      <c r="BL52" s="38" t="e">
        <f ca="1">_xll.RiskBinomial(1,BK52)</f>
        <v>#NAME?</v>
      </c>
      <c r="BM52" s="86" t="e">
        <f ca="1">IF(BL52=1,_xll.RiskBinomial(1,Prob_illness_Noro_infection),0)</f>
        <v>#NAME?</v>
      </c>
      <c r="BO52" s="85" t="e">
        <f t="shared" ca="1" si="43"/>
        <v>#NAME?</v>
      </c>
      <c r="BP52" s="40" t="e">
        <f ca="1">INT(BO52) + _xll.RiskBinomial(1,BO52-INT(BO52))</f>
        <v>#NAME?</v>
      </c>
      <c r="BQ52" s="33" t="e">
        <f t="shared" ca="1" si="14"/>
        <v>#NAME?</v>
      </c>
      <c r="BR52" s="38" t="e">
        <f ca="1">_xll.RiskBinomial(1,BQ52)</f>
        <v>#NAME?</v>
      </c>
      <c r="BS52" s="86" t="e">
        <f ca="1">IF(BR52=1,_xll.RiskBinomial(1,Prob_illness_Noro_infection),0)</f>
        <v>#NAME?</v>
      </c>
      <c r="BU52" s="85" t="e">
        <f t="shared" ca="1" si="44"/>
        <v>#NAME?</v>
      </c>
      <c r="BV52" s="40" t="e">
        <f ca="1">INT(BU52) + _xll.RiskBinomial(1,BU52-INT(BU52))</f>
        <v>#NAME?</v>
      </c>
      <c r="BW52" s="33" t="e">
        <f t="shared" ca="1" si="15"/>
        <v>#NAME?</v>
      </c>
      <c r="BX52" s="38" t="e">
        <f ca="1">_xll.RiskBinomial(1,BW52)</f>
        <v>#NAME?</v>
      </c>
      <c r="BY52" s="86" t="e">
        <f ca="1">IF(BX52=1,_xll.RiskBinomial(1,Prob_illness_Noro_infection),0)</f>
        <v>#NAME?</v>
      </c>
      <c r="CA52" s="85" t="e">
        <f t="shared" ca="1" si="45"/>
        <v>#NAME?</v>
      </c>
      <c r="CB52" s="40" t="e">
        <f ca="1">INT(CA52) + _xll.RiskBinomial(1,CA52-INT(CA52))</f>
        <v>#NAME?</v>
      </c>
      <c r="CC52" s="33" t="e">
        <f t="shared" ca="1" si="16"/>
        <v>#NAME?</v>
      </c>
      <c r="CD52" s="38" t="e">
        <f ca="1">_xll.RiskBinomial(1,CC52)</f>
        <v>#NAME?</v>
      </c>
      <c r="CE52" s="86" t="e">
        <f ca="1">IF(CD52=1,_xll.RiskBinomial(1,Prob_illness_Noro_infection),0)</f>
        <v>#NAME?</v>
      </c>
      <c r="CG52" s="85" t="e">
        <f t="shared" ca="1" si="46"/>
        <v>#NAME?</v>
      </c>
      <c r="CH52" s="40" t="e">
        <f ca="1">INT(CG52) + _xll.RiskBinomial(1,CG52-INT(CG52))</f>
        <v>#NAME?</v>
      </c>
      <c r="CI52" s="33" t="e">
        <f t="shared" ca="1" si="17"/>
        <v>#NAME?</v>
      </c>
      <c r="CJ52" s="38" t="e">
        <f ca="1">_xll.RiskBinomial(1,CI52)</f>
        <v>#NAME?</v>
      </c>
      <c r="CK52" s="86" t="e">
        <f ca="1">IF(CJ52=1,_xll.RiskBinomial(1,Prob_illness_Noro_infection),0)</f>
        <v>#NAME?</v>
      </c>
      <c r="CM52" s="85" t="e">
        <f t="shared" ca="1" si="47"/>
        <v>#NAME?</v>
      </c>
      <c r="CN52" s="40" t="e">
        <f ca="1">INT(CM52) + _xll.RiskBinomial(1,CM52-INT(CM52))</f>
        <v>#NAME?</v>
      </c>
      <c r="CO52" s="33" t="e">
        <f t="shared" ca="1" si="18"/>
        <v>#NAME?</v>
      </c>
      <c r="CP52" s="38" t="e">
        <f ca="1">_xll.RiskBinomial(1,CO52)</f>
        <v>#NAME?</v>
      </c>
      <c r="CQ52" s="86" t="e">
        <f ca="1">IF(CP52=1,_xll.RiskBinomial(1,Prob_illness_Noro_infection),0)</f>
        <v>#NAME?</v>
      </c>
      <c r="CS52" s="85" t="e">
        <f t="shared" ca="1" si="48"/>
        <v>#NAME?</v>
      </c>
      <c r="CT52" s="40" t="e">
        <f ca="1">INT(CS52) + _xll.RiskBinomial(1,CS52-INT(CS52))</f>
        <v>#NAME?</v>
      </c>
      <c r="CU52" s="33" t="e">
        <f t="shared" ca="1" si="19"/>
        <v>#NAME?</v>
      </c>
      <c r="CV52" s="38" t="e">
        <f ca="1">_xll.RiskBinomial(1,CU52)</f>
        <v>#NAME?</v>
      </c>
      <c r="CW52" s="86" t="e">
        <f ca="1">IF(CV52=1,_xll.RiskBinomial(1,Prob_illness_Noro_infection),0)</f>
        <v>#NAME?</v>
      </c>
      <c r="CY52" s="85" t="e">
        <f t="shared" ca="1" si="49"/>
        <v>#NAME?</v>
      </c>
      <c r="CZ52" s="40" t="e">
        <f ca="1">INT(CY52) + _xll.RiskBinomial(1,CY52-INT(CY52))</f>
        <v>#NAME?</v>
      </c>
      <c r="DA52" s="33" t="e">
        <f t="shared" ca="1" si="20"/>
        <v>#NAME?</v>
      </c>
      <c r="DB52" s="38" t="e">
        <f ca="1">_xll.RiskBinomial(1,DA52)</f>
        <v>#NAME?</v>
      </c>
      <c r="DC52" s="86" t="e">
        <f ca="1">IF(DB52=1,_xll.RiskBinomial(1,Prob_illness_Noro_infection),0)</f>
        <v>#NAME?</v>
      </c>
      <c r="DE52" s="85" t="e">
        <f t="shared" ca="1" si="50"/>
        <v>#NAME?</v>
      </c>
      <c r="DF52" s="40" t="e">
        <f ca="1">INT(DE52) + _xll.RiskBinomial(1,DE52-INT(DE52))</f>
        <v>#NAME?</v>
      </c>
      <c r="DG52" s="33" t="e">
        <f t="shared" ca="1" si="21"/>
        <v>#NAME?</v>
      </c>
      <c r="DH52" s="38" t="e">
        <f ca="1">_xll.RiskBinomial(1,DG52)</f>
        <v>#NAME?</v>
      </c>
      <c r="DI52" s="86" t="e">
        <f ca="1">IF(DH52=1,_xll.RiskBinomial(1,Prob_illness_Noro_infection),0)</f>
        <v>#NAME?</v>
      </c>
      <c r="DK52" s="85" t="e">
        <f t="shared" ca="1" si="51"/>
        <v>#NAME?</v>
      </c>
      <c r="DL52" s="40" t="e">
        <f ca="1">INT(DK52) + _xll.RiskBinomial(1,DK52-INT(DK52))</f>
        <v>#NAME?</v>
      </c>
      <c r="DM52" s="33" t="e">
        <f t="shared" ca="1" si="22"/>
        <v>#NAME?</v>
      </c>
      <c r="DN52" s="38" t="e">
        <f ca="1">_xll.RiskBinomial(1,DM52)</f>
        <v>#NAME?</v>
      </c>
      <c r="DO52" s="86" t="e">
        <f ca="1">IF(DN52=1,_xll.RiskBinomial(1,Prob_illness_Noro_infection),0)</f>
        <v>#NAME?</v>
      </c>
      <c r="DQ52" s="85" t="e">
        <f t="shared" ca="1" si="52"/>
        <v>#NAME?</v>
      </c>
      <c r="DR52" s="40" t="e">
        <f ca="1">INT(DQ52) + _xll.RiskBinomial(1,DQ52-INT(DQ52))</f>
        <v>#NAME?</v>
      </c>
      <c r="DS52" s="33" t="e">
        <f t="shared" ca="1" si="23"/>
        <v>#NAME?</v>
      </c>
      <c r="DT52" s="38" t="e">
        <f ca="1">_xll.RiskBinomial(1,DS52)</f>
        <v>#NAME?</v>
      </c>
      <c r="DU52" s="86" t="e">
        <f ca="1">IF(DT52=1,_xll.RiskBinomial(1,Prob_illness_Noro_infection),0)</f>
        <v>#NAME?</v>
      </c>
      <c r="DW52" s="85" t="e">
        <f t="shared" ca="1" si="53"/>
        <v>#NAME?</v>
      </c>
      <c r="DX52" s="40" t="e">
        <f ca="1">INT(DW52) + _xll.RiskBinomial(1,DW52-INT(DW52))</f>
        <v>#NAME?</v>
      </c>
      <c r="DY52" s="33" t="e">
        <f t="shared" ca="1" si="24"/>
        <v>#NAME?</v>
      </c>
      <c r="DZ52" s="38" t="e">
        <f ca="1">_xll.RiskBinomial(1,DY52)</f>
        <v>#NAME?</v>
      </c>
      <c r="EA52" s="86" t="e">
        <f ca="1">IF(DZ52=1,_xll.RiskBinomial(1,Prob_illness_Noro_infection),0)</f>
        <v>#NAME?</v>
      </c>
      <c r="EC52" s="85" t="e">
        <f t="shared" ca="1" si="54"/>
        <v>#NAME?</v>
      </c>
      <c r="ED52" s="40" t="e">
        <f ca="1">INT(EC52) + _xll.RiskBinomial(1,EC52-INT(EC52))</f>
        <v>#NAME?</v>
      </c>
      <c r="EE52" s="33" t="e">
        <f t="shared" ca="1" si="25"/>
        <v>#NAME?</v>
      </c>
      <c r="EF52" s="38" t="e">
        <f ca="1">_xll.RiskBinomial(1,EE52)</f>
        <v>#NAME?</v>
      </c>
      <c r="EG52" s="86" t="e">
        <f ca="1">IF(EF52=1,_xll.RiskBinomial(1,Prob_illness_Noro_infection),0)</f>
        <v>#NAME?</v>
      </c>
      <c r="EI52" s="85" t="e">
        <f t="shared" ca="1" si="55"/>
        <v>#NAME?</v>
      </c>
      <c r="EJ52" s="40" t="e">
        <f ca="1">INT(EI52) + _xll.RiskBinomial(1,EI52-INT(EI52))</f>
        <v>#NAME?</v>
      </c>
      <c r="EK52" s="33" t="e">
        <f t="shared" ca="1" si="26"/>
        <v>#NAME?</v>
      </c>
      <c r="EL52" s="38" t="e">
        <f ca="1">_xll.RiskBinomial(1,EK52)</f>
        <v>#NAME?</v>
      </c>
      <c r="EM52" s="86" t="e">
        <f ca="1">IF(EL52=1,_xll.RiskBinomial(1,Prob_illness_Noro_infection),0)</f>
        <v>#NAME?</v>
      </c>
      <c r="EO52" s="85" t="e">
        <f t="shared" ca="1" si="56"/>
        <v>#NAME?</v>
      </c>
      <c r="EP52" s="40" t="e">
        <f ca="1">INT(EO52) + _xll.RiskBinomial(1,EO52-INT(EO52))</f>
        <v>#NAME?</v>
      </c>
      <c r="EQ52" s="33" t="e">
        <f t="shared" ca="1" si="27"/>
        <v>#NAME?</v>
      </c>
      <c r="ER52" s="38" t="e">
        <f ca="1">_xll.RiskBinomial(1,EQ52)</f>
        <v>#NAME?</v>
      </c>
      <c r="ES52" s="86" t="e">
        <f ca="1">IF(ER52=1,_xll.RiskBinomial(1,Prob_illness_Noro_infection),0)</f>
        <v>#NAME?</v>
      </c>
      <c r="EU52" s="85" t="e">
        <f t="shared" ca="1" si="57"/>
        <v>#NAME?</v>
      </c>
      <c r="EV52" s="40" t="e">
        <f ca="1">INT(EU52) + _xll.RiskBinomial(1,EU52-INT(EU52))</f>
        <v>#NAME?</v>
      </c>
      <c r="EW52" s="33" t="e">
        <f t="shared" ca="1" si="28"/>
        <v>#NAME?</v>
      </c>
      <c r="EX52" s="38" t="e">
        <f ca="1">_xll.RiskBinomial(1,EW52)</f>
        <v>#NAME?</v>
      </c>
      <c r="EY52" s="86" t="e">
        <f ca="1">IF(EX52=1,_xll.RiskBinomial(1,Prob_illness_Noro_infection),0)</f>
        <v>#NAME?</v>
      </c>
      <c r="FA52" s="85" t="e">
        <f t="shared" ca="1" si="58"/>
        <v>#NAME?</v>
      </c>
      <c r="FB52" s="40" t="e">
        <f ca="1">INT(FA52) + _xll.RiskBinomial(1,FA52-INT(FA52))</f>
        <v>#NAME?</v>
      </c>
      <c r="FC52" s="33" t="e">
        <f t="shared" ca="1" si="29"/>
        <v>#NAME?</v>
      </c>
      <c r="FD52" s="38" t="e">
        <f ca="1">_xll.RiskBinomial(1,FC52)</f>
        <v>#NAME?</v>
      </c>
      <c r="FE52" s="86" t="e">
        <f ca="1">IF(FD52=1,_xll.RiskBinomial(1,Prob_illness_Noro_infection),0)</f>
        <v>#NAME?</v>
      </c>
      <c r="FG52" s="85" t="e">
        <f t="shared" ca="1" si="59"/>
        <v>#NAME?</v>
      </c>
      <c r="FH52" s="40" t="e">
        <f ca="1">INT(FG52) + _xll.RiskBinomial(1,FG52-INT(FG52))</f>
        <v>#NAME?</v>
      </c>
      <c r="FI52" s="33" t="e">
        <f t="shared" ca="1" si="30"/>
        <v>#NAME?</v>
      </c>
      <c r="FJ52" s="38" t="e">
        <f ca="1">_xll.RiskBinomial(1,FI52)</f>
        <v>#NAME?</v>
      </c>
      <c r="FK52" s="86" t="e">
        <f ca="1">IF(FJ52=1,_xll.RiskBinomial(1,Prob_illness_Noro_infection),0)</f>
        <v>#NAME?</v>
      </c>
      <c r="FM52" s="85" t="e">
        <f t="shared" ca="1" si="60"/>
        <v>#NAME?</v>
      </c>
      <c r="FN52" s="40" t="e">
        <f ca="1">INT(FM52) + _xll.RiskBinomial(1,FM52-INT(FM52))</f>
        <v>#NAME?</v>
      </c>
      <c r="FO52" s="33" t="e">
        <f t="shared" ca="1" si="31"/>
        <v>#NAME?</v>
      </c>
      <c r="FP52" s="38" t="e">
        <f ca="1">_xll.RiskBinomial(1,FO52)</f>
        <v>#NAME?</v>
      </c>
      <c r="FQ52" s="86" t="e">
        <f ca="1">IF(FP52=1,_xll.RiskBinomial(1,Prob_illness_Noro_infection),0)</f>
        <v>#NAME?</v>
      </c>
      <c r="FS52" s="85" t="e">
        <f t="shared" ca="1" si="61"/>
        <v>#NAME?</v>
      </c>
      <c r="FT52" s="40" t="e">
        <f ca="1">INT(FS52) + _xll.RiskBinomial(1,FS52-INT(FS52))</f>
        <v>#NAME?</v>
      </c>
      <c r="FU52" s="33" t="e">
        <f t="shared" ca="1" si="32"/>
        <v>#NAME?</v>
      </c>
      <c r="FV52" s="38" t="e">
        <f ca="1">_xll.RiskBinomial(1,FU52)</f>
        <v>#NAME?</v>
      </c>
      <c r="FW52" s="86" t="e">
        <f ca="1">IF(FV52=1,_xll.RiskBinomial(1,Prob_illness_Noro_infection),0)</f>
        <v>#NAME?</v>
      </c>
      <c r="FY52" s="85" t="e">
        <f t="shared" ca="1" si="62"/>
        <v>#NAME?</v>
      </c>
      <c r="FZ52" s="40" t="e">
        <f ca="1">INT(FY52) + _xll.RiskBinomial(1,FY52-INT(FY52))</f>
        <v>#NAME?</v>
      </c>
      <c r="GA52" s="33" t="e">
        <f t="shared" ca="1" si="33"/>
        <v>#NAME?</v>
      </c>
      <c r="GB52" s="38" t="e">
        <f ca="1">_xll.RiskBinomial(1,GA52)</f>
        <v>#NAME?</v>
      </c>
      <c r="GC52" s="86" t="e">
        <f ca="1">IF(GB52=1,_xll.RiskBinomial(1,Prob_illness_Noro_infection),0)</f>
        <v>#NAME?</v>
      </c>
      <c r="GE52" s="85" t="e">
        <f t="shared" ca="1" si="63"/>
        <v>#NAME?</v>
      </c>
      <c r="GF52" s="40" t="e">
        <f ca="1">INT(GE52) + _xll.RiskBinomial(1,GE52-INT(GE52))</f>
        <v>#NAME?</v>
      </c>
      <c r="GG52" s="33" t="e">
        <f t="shared" ca="1" si="34"/>
        <v>#NAME?</v>
      </c>
      <c r="GH52" s="38" t="e">
        <f ca="1">_xll.RiskBinomial(1,GG52)</f>
        <v>#NAME?</v>
      </c>
      <c r="GI52" s="86" t="e">
        <f ca="1">IF(GH52=1,_xll.RiskBinomial(1,Prob_illness_Noro_infection),0)</f>
        <v>#NAME?</v>
      </c>
      <c r="GK52" s="85" t="e">
        <f t="shared" ca="1" si="64"/>
        <v>#NAME?</v>
      </c>
      <c r="GL52" s="40" t="e">
        <f ca="1">INT(GK52) + _xll.RiskBinomial(1,GK52-INT(GK52))</f>
        <v>#NAME?</v>
      </c>
      <c r="GM52" s="33" t="e">
        <f t="shared" ca="1" si="35"/>
        <v>#NAME?</v>
      </c>
      <c r="GN52" s="38" t="e">
        <f ca="1">_xll.RiskBinomial(1,GM52)</f>
        <v>#NAME?</v>
      </c>
      <c r="GO52" s="86" t="e">
        <f ca="1">IF(GN52=1,_xll.RiskBinomial(1,Prob_illness_Noro_infection),0)</f>
        <v>#NAME?</v>
      </c>
    </row>
    <row r="53" spans="2:197" x14ac:dyDescent="0.25">
      <c r="B53" s="106">
        <v>45</v>
      </c>
      <c r="C53" s="109" t="e">
        <f ca="1" xml:space="preserve"> _xll.RiskPert(Dur_Swim_hours_min,Dur_Swim_hours_mode,Dur_Swim_hours_max)</f>
        <v>#NAME?</v>
      </c>
      <c r="D53" s="33" t="e">
        <f ca="1">_xll.RiskLognorm(Primary_Ing_Rate_mL_per_hour_mean,Primary_Ing_Rate_mL_per_hour_sd, _xll.RiskTruncate(Primary_Ing_Rate_mL_per_hour_min,Primary_Ing_Rate_mL_per_hour_max))</f>
        <v>#NAME?</v>
      </c>
      <c r="E53" s="41" t="e">
        <f t="shared" ca="1" si="36"/>
        <v>#NAME?</v>
      </c>
      <c r="F53" s="33"/>
      <c r="G53" s="85" t="e">
        <f t="shared" ca="1" si="37"/>
        <v>#NAME?</v>
      </c>
      <c r="H53" s="40" t="e">
        <f ca="1">INT(G53) + _xll.RiskBinomial(1,G53-INT(G53))</f>
        <v>#NAME?</v>
      </c>
      <c r="I53" s="33" t="e">
        <f t="shared" ca="1" si="0"/>
        <v>#NAME?</v>
      </c>
      <c r="J53" s="38" t="e">
        <f ca="1">_xll.RiskBinomial(1,I53)</f>
        <v>#NAME?</v>
      </c>
      <c r="K53" s="86" t="e">
        <f ca="1">IF(J53=1,_xll.RiskBinomial(1,Prob_illness_Noro_infection),0)</f>
        <v>#NAME?</v>
      </c>
      <c r="L53" s="33"/>
      <c r="M53" s="85" t="e">
        <f t="shared" ca="1" si="38"/>
        <v>#NAME?</v>
      </c>
      <c r="N53" s="40" t="e">
        <f ca="1">INT(M53) + _xll.RiskBinomial(1,M53-INT(M53))</f>
        <v>#NAME?</v>
      </c>
      <c r="O53" s="33" t="e">
        <f t="shared" ca="1" si="1"/>
        <v>#NAME?</v>
      </c>
      <c r="P53" s="38" t="e">
        <f ca="1">_xll.RiskBinomial(1,O53)</f>
        <v>#NAME?</v>
      </c>
      <c r="Q53" s="86" t="e">
        <f ca="1">IF(P53=1,_xll.RiskBinomial(1,Prob_illness_Noro_infection),0)</f>
        <v>#NAME?</v>
      </c>
      <c r="R53" s="33"/>
      <c r="S53" s="85" t="e">
        <f t="shared" ca="1" si="39"/>
        <v>#NAME?</v>
      </c>
      <c r="T53" s="40" t="e">
        <f ca="1">INT(S53) + _xll.RiskBinomial(1,S53-INT(S53))</f>
        <v>#NAME?</v>
      </c>
      <c r="U53" s="33" t="e">
        <f t="shared" ca="1" si="2"/>
        <v>#NAME?</v>
      </c>
      <c r="V53" s="38" t="e">
        <f ca="1">_xll.RiskBinomial(1,U53)</f>
        <v>#NAME?</v>
      </c>
      <c r="W53" s="86" t="e">
        <f ca="1">IF(V53=1,_xll.RiskBinomial(1,Prob_illness_Noro_infection),0)</f>
        <v>#NAME?</v>
      </c>
      <c r="X53" s="33"/>
      <c r="Y53" s="85" t="e">
        <f t="shared" ca="1" si="3"/>
        <v>#NAME?</v>
      </c>
      <c r="Z53" s="40" t="e">
        <f ca="1">INT(Y53) + _xll.RiskBinomial(1,Y53-INT(Y53))</f>
        <v>#NAME?</v>
      </c>
      <c r="AA53" s="33" t="e">
        <f t="shared" ca="1" si="4"/>
        <v>#NAME?</v>
      </c>
      <c r="AB53" s="38" t="e">
        <f ca="1">_xll.RiskBinomial(1,AA53)</f>
        <v>#NAME?</v>
      </c>
      <c r="AC53" s="86" t="e">
        <f ca="1">IF(AB53=1,_xll.RiskBinomial(1,Prob_illness_Noro_infection),0)</f>
        <v>#NAME?</v>
      </c>
      <c r="AD53" s="33"/>
      <c r="AE53" s="85" t="e">
        <f t="shared" ca="1" si="5"/>
        <v>#NAME?</v>
      </c>
      <c r="AF53" s="40" t="e">
        <f ca="1">INT(AE53) + _xll.RiskBinomial(1,AE53-INT(AE53))</f>
        <v>#NAME?</v>
      </c>
      <c r="AG53" s="33" t="e">
        <f t="shared" ca="1" si="6"/>
        <v>#NAME?</v>
      </c>
      <c r="AH53" s="38" t="e">
        <f ca="1">_xll.RiskBinomial(1,AG53)</f>
        <v>#NAME?</v>
      </c>
      <c r="AI53" s="86" t="e">
        <f ca="1">IF(AH53=1,_xll.RiskBinomial(1,Prob_illness_Noro_infection),0)</f>
        <v>#NAME?</v>
      </c>
      <c r="AJ53" s="33"/>
      <c r="AK53" s="85" t="e">
        <f t="shared" ca="1" si="7"/>
        <v>#NAME?</v>
      </c>
      <c r="AL53" s="40" t="e">
        <f ca="1">INT(AK53) + _xll.RiskBinomial(1,AK53-INT(AK53))</f>
        <v>#NAME?</v>
      </c>
      <c r="AM53" s="33" t="e">
        <f t="shared" ca="1" si="8"/>
        <v>#NAME?</v>
      </c>
      <c r="AN53" s="38" t="e">
        <f ca="1">_xll.RiskBinomial(1,AM53)</f>
        <v>#NAME?</v>
      </c>
      <c r="AO53" s="86" t="e">
        <f ca="1">IF(AN53=1,_xll.RiskBinomial(1,Prob_illness_Noro_infection),0)</f>
        <v>#NAME?</v>
      </c>
      <c r="AP53" s="33"/>
      <c r="AQ53" s="85" t="e">
        <f t="shared" ca="1" si="65"/>
        <v>#NAME?</v>
      </c>
      <c r="AR53" s="40" t="e">
        <f ca="1">INT(AQ53) + _xll.RiskBinomial(1,AQ53-INT(AQ53))</f>
        <v>#NAME?</v>
      </c>
      <c r="AS53" s="33" t="e">
        <f t="shared" ca="1" si="10"/>
        <v>#NAME?</v>
      </c>
      <c r="AT53" s="38" t="e">
        <f ca="1">_xll.RiskBinomial(1,AS53)</f>
        <v>#NAME?</v>
      </c>
      <c r="AU53" s="86" t="e">
        <f ca="1">IF(AT53=1,_xll.RiskBinomial(1,Prob_illness_Noro_infection),0)</f>
        <v>#NAME?</v>
      </c>
      <c r="AV53" s="33"/>
      <c r="AW53" s="85" t="e">
        <f t="shared" ca="1" si="40"/>
        <v>#NAME?</v>
      </c>
      <c r="AX53" s="40" t="e">
        <f ca="1">INT(AW53) + _xll.RiskBinomial(1,AW53-INT(AW53))</f>
        <v>#NAME?</v>
      </c>
      <c r="AY53" s="33" t="e">
        <f t="shared" ca="1" si="11"/>
        <v>#NAME?</v>
      </c>
      <c r="AZ53" s="38" t="e">
        <f ca="1">_xll.RiskBinomial(1,AY53)</f>
        <v>#NAME?</v>
      </c>
      <c r="BA53" s="86" t="e">
        <f ca="1">IF(AZ53=1,_xll.RiskBinomial(1,Prob_illness_Noro_infection),0)</f>
        <v>#NAME?</v>
      </c>
      <c r="BC53" s="85" t="e">
        <f t="shared" ca="1" si="41"/>
        <v>#NAME?</v>
      </c>
      <c r="BD53" s="40" t="e">
        <f ca="1">INT(BC53) + _xll.RiskBinomial(1,BC53-INT(BC53))</f>
        <v>#NAME?</v>
      </c>
      <c r="BE53" s="33" t="e">
        <f t="shared" ca="1" si="12"/>
        <v>#NAME?</v>
      </c>
      <c r="BF53" s="38" t="e">
        <f ca="1">_xll.RiskBinomial(1,BE53)</f>
        <v>#NAME?</v>
      </c>
      <c r="BG53" s="86" t="e">
        <f ca="1">IF(BF53=1,_xll.RiskBinomial(1,Prob_illness_Noro_infection),0)</f>
        <v>#NAME?</v>
      </c>
      <c r="BI53" s="85" t="e">
        <f t="shared" ca="1" si="42"/>
        <v>#NAME?</v>
      </c>
      <c r="BJ53" s="40" t="e">
        <f ca="1">INT(BI53) + _xll.RiskBinomial(1,BI53-INT(BI53))</f>
        <v>#NAME?</v>
      </c>
      <c r="BK53" s="33" t="e">
        <f t="shared" ca="1" si="13"/>
        <v>#NAME?</v>
      </c>
      <c r="BL53" s="38" t="e">
        <f ca="1">_xll.RiskBinomial(1,BK53)</f>
        <v>#NAME?</v>
      </c>
      <c r="BM53" s="86" t="e">
        <f ca="1">IF(BL53=1,_xll.RiskBinomial(1,Prob_illness_Noro_infection),0)</f>
        <v>#NAME?</v>
      </c>
      <c r="BO53" s="85" t="e">
        <f t="shared" ca="1" si="43"/>
        <v>#NAME?</v>
      </c>
      <c r="BP53" s="40" t="e">
        <f ca="1">INT(BO53) + _xll.RiskBinomial(1,BO53-INT(BO53))</f>
        <v>#NAME?</v>
      </c>
      <c r="BQ53" s="33" t="e">
        <f t="shared" ca="1" si="14"/>
        <v>#NAME?</v>
      </c>
      <c r="BR53" s="38" t="e">
        <f ca="1">_xll.RiskBinomial(1,BQ53)</f>
        <v>#NAME?</v>
      </c>
      <c r="BS53" s="86" t="e">
        <f ca="1">IF(BR53=1,_xll.RiskBinomial(1,Prob_illness_Noro_infection),0)</f>
        <v>#NAME?</v>
      </c>
      <c r="BU53" s="85" t="e">
        <f t="shared" ca="1" si="44"/>
        <v>#NAME?</v>
      </c>
      <c r="BV53" s="40" t="e">
        <f ca="1">INT(BU53) + _xll.RiskBinomial(1,BU53-INT(BU53))</f>
        <v>#NAME?</v>
      </c>
      <c r="BW53" s="33" t="e">
        <f t="shared" ca="1" si="15"/>
        <v>#NAME?</v>
      </c>
      <c r="BX53" s="38" t="e">
        <f ca="1">_xll.RiskBinomial(1,BW53)</f>
        <v>#NAME?</v>
      </c>
      <c r="BY53" s="86" t="e">
        <f ca="1">IF(BX53=1,_xll.RiskBinomial(1,Prob_illness_Noro_infection),0)</f>
        <v>#NAME?</v>
      </c>
      <c r="CA53" s="85" t="e">
        <f t="shared" ca="1" si="45"/>
        <v>#NAME?</v>
      </c>
      <c r="CB53" s="40" t="e">
        <f ca="1">INT(CA53) + _xll.RiskBinomial(1,CA53-INT(CA53))</f>
        <v>#NAME?</v>
      </c>
      <c r="CC53" s="33" t="e">
        <f t="shared" ca="1" si="16"/>
        <v>#NAME?</v>
      </c>
      <c r="CD53" s="38" t="e">
        <f ca="1">_xll.RiskBinomial(1,CC53)</f>
        <v>#NAME?</v>
      </c>
      <c r="CE53" s="86" t="e">
        <f ca="1">IF(CD53=1,_xll.RiskBinomial(1,Prob_illness_Noro_infection),0)</f>
        <v>#NAME?</v>
      </c>
      <c r="CG53" s="85" t="e">
        <f t="shared" ca="1" si="46"/>
        <v>#NAME?</v>
      </c>
      <c r="CH53" s="40" t="e">
        <f ca="1">INT(CG53) + _xll.RiskBinomial(1,CG53-INT(CG53))</f>
        <v>#NAME?</v>
      </c>
      <c r="CI53" s="33" t="e">
        <f t="shared" ca="1" si="17"/>
        <v>#NAME?</v>
      </c>
      <c r="CJ53" s="38" t="e">
        <f ca="1">_xll.RiskBinomial(1,CI53)</f>
        <v>#NAME?</v>
      </c>
      <c r="CK53" s="86" t="e">
        <f ca="1">IF(CJ53=1,_xll.RiskBinomial(1,Prob_illness_Noro_infection),0)</f>
        <v>#NAME?</v>
      </c>
      <c r="CM53" s="85" t="e">
        <f t="shared" ca="1" si="47"/>
        <v>#NAME?</v>
      </c>
      <c r="CN53" s="40" t="e">
        <f ca="1">INT(CM53) + _xll.RiskBinomial(1,CM53-INT(CM53))</f>
        <v>#NAME?</v>
      </c>
      <c r="CO53" s="33" t="e">
        <f t="shared" ca="1" si="18"/>
        <v>#NAME?</v>
      </c>
      <c r="CP53" s="38" t="e">
        <f ca="1">_xll.RiskBinomial(1,CO53)</f>
        <v>#NAME?</v>
      </c>
      <c r="CQ53" s="86" t="e">
        <f ca="1">IF(CP53=1,_xll.RiskBinomial(1,Prob_illness_Noro_infection),0)</f>
        <v>#NAME?</v>
      </c>
      <c r="CS53" s="85" t="e">
        <f t="shared" ca="1" si="48"/>
        <v>#NAME?</v>
      </c>
      <c r="CT53" s="40" t="e">
        <f ca="1">INT(CS53) + _xll.RiskBinomial(1,CS53-INT(CS53))</f>
        <v>#NAME?</v>
      </c>
      <c r="CU53" s="33" t="e">
        <f t="shared" ca="1" si="19"/>
        <v>#NAME?</v>
      </c>
      <c r="CV53" s="38" t="e">
        <f ca="1">_xll.RiskBinomial(1,CU53)</f>
        <v>#NAME?</v>
      </c>
      <c r="CW53" s="86" t="e">
        <f ca="1">IF(CV53=1,_xll.RiskBinomial(1,Prob_illness_Noro_infection),0)</f>
        <v>#NAME?</v>
      </c>
      <c r="CY53" s="85" t="e">
        <f t="shared" ca="1" si="49"/>
        <v>#NAME?</v>
      </c>
      <c r="CZ53" s="40" t="e">
        <f ca="1">INT(CY53) + _xll.RiskBinomial(1,CY53-INT(CY53))</f>
        <v>#NAME?</v>
      </c>
      <c r="DA53" s="33" t="e">
        <f t="shared" ca="1" si="20"/>
        <v>#NAME?</v>
      </c>
      <c r="DB53" s="38" t="e">
        <f ca="1">_xll.RiskBinomial(1,DA53)</f>
        <v>#NAME?</v>
      </c>
      <c r="DC53" s="86" t="e">
        <f ca="1">IF(DB53=1,_xll.RiskBinomial(1,Prob_illness_Noro_infection),0)</f>
        <v>#NAME?</v>
      </c>
      <c r="DE53" s="85" t="e">
        <f t="shared" ca="1" si="50"/>
        <v>#NAME?</v>
      </c>
      <c r="DF53" s="40" t="e">
        <f ca="1">INT(DE53) + _xll.RiskBinomial(1,DE53-INT(DE53))</f>
        <v>#NAME?</v>
      </c>
      <c r="DG53" s="33" t="e">
        <f t="shared" ca="1" si="21"/>
        <v>#NAME?</v>
      </c>
      <c r="DH53" s="38" t="e">
        <f ca="1">_xll.RiskBinomial(1,DG53)</f>
        <v>#NAME?</v>
      </c>
      <c r="DI53" s="86" t="e">
        <f ca="1">IF(DH53=1,_xll.RiskBinomial(1,Prob_illness_Noro_infection),0)</f>
        <v>#NAME?</v>
      </c>
      <c r="DK53" s="85" t="e">
        <f t="shared" ca="1" si="51"/>
        <v>#NAME?</v>
      </c>
      <c r="DL53" s="40" t="e">
        <f ca="1">INT(DK53) + _xll.RiskBinomial(1,DK53-INT(DK53))</f>
        <v>#NAME?</v>
      </c>
      <c r="DM53" s="33" t="e">
        <f t="shared" ca="1" si="22"/>
        <v>#NAME?</v>
      </c>
      <c r="DN53" s="38" t="e">
        <f ca="1">_xll.RiskBinomial(1,DM53)</f>
        <v>#NAME?</v>
      </c>
      <c r="DO53" s="86" t="e">
        <f ca="1">IF(DN53=1,_xll.RiskBinomial(1,Prob_illness_Noro_infection),0)</f>
        <v>#NAME?</v>
      </c>
      <c r="DQ53" s="85" t="e">
        <f t="shared" ca="1" si="52"/>
        <v>#NAME?</v>
      </c>
      <c r="DR53" s="40" t="e">
        <f ca="1">INT(DQ53) + _xll.RiskBinomial(1,DQ53-INT(DQ53))</f>
        <v>#NAME?</v>
      </c>
      <c r="DS53" s="33" t="e">
        <f t="shared" ca="1" si="23"/>
        <v>#NAME?</v>
      </c>
      <c r="DT53" s="38" t="e">
        <f ca="1">_xll.RiskBinomial(1,DS53)</f>
        <v>#NAME?</v>
      </c>
      <c r="DU53" s="86" t="e">
        <f ca="1">IF(DT53=1,_xll.RiskBinomial(1,Prob_illness_Noro_infection),0)</f>
        <v>#NAME?</v>
      </c>
      <c r="DW53" s="85" t="e">
        <f t="shared" ca="1" si="53"/>
        <v>#NAME?</v>
      </c>
      <c r="DX53" s="40" t="e">
        <f ca="1">INT(DW53) + _xll.RiskBinomial(1,DW53-INT(DW53))</f>
        <v>#NAME?</v>
      </c>
      <c r="DY53" s="33" t="e">
        <f t="shared" ca="1" si="24"/>
        <v>#NAME?</v>
      </c>
      <c r="DZ53" s="38" t="e">
        <f ca="1">_xll.RiskBinomial(1,DY53)</f>
        <v>#NAME?</v>
      </c>
      <c r="EA53" s="86" t="e">
        <f ca="1">IF(DZ53=1,_xll.RiskBinomial(1,Prob_illness_Noro_infection),0)</f>
        <v>#NAME?</v>
      </c>
      <c r="EC53" s="85" t="e">
        <f t="shared" ca="1" si="54"/>
        <v>#NAME?</v>
      </c>
      <c r="ED53" s="40" t="e">
        <f ca="1">INT(EC53) + _xll.RiskBinomial(1,EC53-INT(EC53))</f>
        <v>#NAME?</v>
      </c>
      <c r="EE53" s="33" t="e">
        <f t="shared" ca="1" si="25"/>
        <v>#NAME?</v>
      </c>
      <c r="EF53" s="38" t="e">
        <f ca="1">_xll.RiskBinomial(1,EE53)</f>
        <v>#NAME?</v>
      </c>
      <c r="EG53" s="86" t="e">
        <f ca="1">IF(EF53=1,_xll.RiskBinomial(1,Prob_illness_Noro_infection),0)</f>
        <v>#NAME?</v>
      </c>
      <c r="EI53" s="85" t="e">
        <f t="shared" ca="1" si="55"/>
        <v>#NAME?</v>
      </c>
      <c r="EJ53" s="40" t="e">
        <f ca="1">INT(EI53) + _xll.RiskBinomial(1,EI53-INT(EI53))</f>
        <v>#NAME?</v>
      </c>
      <c r="EK53" s="33" t="e">
        <f t="shared" ca="1" si="26"/>
        <v>#NAME?</v>
      </c>
      <c r="EL53" s="38" t="e">
        <f ca="1">_xll.RiskBinomial(1,EK53)</f>
        <v>#NAME?</v>
      </c>
      <c r="EM53" s="86" t="e">
        <f ca="1">IF(EL53=1,_xll.RiskBinomial(1,Prob_illness_Noro_infection),0)</f>
        <v>#NAME?</v>
      </c>
      <c r="EO53" s="85" t="e">
        <f t="shared" ca="1" si="56"/>
        <v>#NAME?</v>
      </c>
      <c r="EP53" s="40" t="e">
        <f ca="1">INT(EO53) + _xll.RiskBinomial(1,EO53-INT(EO53))</f>
        <v>#NAME?</v>
      </c>
      <c r="EQ53" s="33" t="e">
        <f t="shared" ca="1" si="27"/>
        <v>#NAME?</v>
      </c>
      <c r="ER53" s="38" t="e">
        <f ca="1">_xll.RiskBinomial(1,EQ53)</f>
        <v>#NAME?</v>
      </c>
      <c r="ES53" s="86" t="e">
        <f ca="1">IF(ER53=1,_xll.RiskBinomial(1,Prob_illness_Noro_infection),0)</f>
        <v>#NAME?</v>
      </c>
      <c r="EU53" s="85" t="e">
        <f t="shared" ca="1" si="57"/>
        <v>#NAME?</v>
      </c>
      <c r="EV53" s="40" t="e">
        <f ca="1">INT(EU53) + _xll.RiskBinomial(1,EU53-INT(EU53))</f>
        <v>#NAME?</v>
      </c>
      <c r="EW53" s="33" t="e">
        <f t="shared" ca="1" si="28"/>
        <v>#NAME?</v>
      </c>
      <c r="EX53" s="38" t="e">
        <f ca="1">_xll.RiskBinomial(1,EW53)</f>
        <v>#NAME?</v>
      </c>
      <c r="EY53" s="86" t="e">
        <f ca="1">IF(EX53=1,_xll.RiskBinomial(1,Prob_illness_Noro_infection),0)</f>
        <v>#NAME?</v>
      </c>
      <c r="FA53" s="85" t="e">
        <f t="shared" ca="1" si="58"/>
        <v>#NAME?</v>
      </c>
      <c r="FB53" s="40" t="e">
        <f ca="1">INT(FA53) + _xll.RiskBinomial(1,FA53-INT(FA53))</f>
        <v>#NAME?</v>
      </c>
      <c r="FC53" s="33" t="e">
        <f t="shared" ca="1" si="29"/>
        <v>#NAME?</v>
      </c>
      <c r="FD53" s="38" t="e">
        <f ca="1">_xll.RiskBinomial(1,FC53)</f>
        <v>#NAME?</v>
      </c>
      <c r="FE53" s="86" t="e">
        <f ca="1">IF(FD53=1,_xll.RiskBinomial(1,Prob_illness_Noro_infection),0)</f>
        <v>#NAME?</v>
      </c>
      <c r="FG53" s="85" t="e">
        <f t="shared" ca="1" si="59"/>
        <v>#NAME?</v>
      </c>
      <c r="FH53" s="40" t="e">
        <f ca="1">INT(FG53) + _xll.RiskBinomial(1,FG53-INT(FG53))</f>
        <v>#NAME?</v>
      </c>
      <c r="FI53" s="33" t="e">
        <f t="shared" ca="1" si="30"/>
        <v>#NAME?</v>
      </c>
      <c r="FJ53" s="38" t="e">
        <f ca="1">_xll.RiskBinomial(1,FI53)</f>
        <v>#NAME?</v>
      </c>
      <c r="FK53" s="86" t="e">
        <f ca="1">IF(FJ53=1,_xll.RiskBinomial(1,Prob_illness_Noro_infection),0)</f>
        <v>#NAME?</v>
      </c>
      <c r="FM53" s="85" t="e">
        <f t="shared" ca="1" si="60"/>
        <v>#NAME?</v>
      </c>
      <c r="FN53" s="40" t="e">
        <f ca="1">INT(FM53) + _xll.RiskBinomial(1,FM53-INT(FM53))</f>
        <v>#NAME?</v>
      </c>
      <c r="FO53" s="33" t="e">
        <f t="shared" ca="1" si="31"/>
        <v>#NAME?</v>
      </c>
      <c r="FP53" s="38" t="e">
        <f ca="1">_xll.RiskBinomial(1,FO53)</f>
        <v>#NAME?</v>
      </c>
      <c r="FQ53" s="86" t="e">
        <f ca="1">IF(FP53=1,_xll.RiskBinomial(1,Prob_illness_Noro_infection),0)</f>
        <v>#NAME?</v>
      </c>
      <c r="FS53" s="85" t="e">
        <f t="shared" ca="1" si="61"/>
        <v>#NAME?</v>
      </c>
      <c r="FT53" s="40" t="e">
        <f ca="1">INT(FS53) + _xll.RiskBinomial(1,FS53-INT(FS53))</f>
        <v>#NAME?</v>
      </c>
      <c r="FU53" s="33" t="e">
        <f t="shared" ca="1" si="32"/>
        <v>#NAME?</v>
      </c>
      <c r="FV53" s="38" t="e">
        <f ca="1">_xll.RiskBinomial(1,FU53)</f>
        <v>#NAME?</v>
      </c>
      <c r="FW53" s="86" t="e">
        <f ca="1">IF(FV53=1,_xll.RiskBinomial(1,Prob_illness_Noro_infection),0)</f>
        <v>#NAME?</v>
      </c>
      <c r="FY53" s="85" t="e">
        <f t="shared" ca="1" si="62"/>
        <v>#NAME?</v>
      </c>
      <c r="FZ53" s="40" t="e">
        <f ca="1">INT(FY53) + _xll.RiskBinomial(1,FY53-INT(FY53))</f>
        <v>#NAME?</v>
      </c>
      <c r="GA53" s="33" t="e">
        <f t="shared" ca="1" si="33"/>
        <v>#NAME?</v>
      </c>
      <c r="GB53" s="38" t="e">
        <f ca="1">_xll.RiskBinomial(1,GA53)</f>
        <v>#NAME?</v>
      </c>
      <c r="GC53" s="86" t="e">
        <f ca="1">IF(GB53=1,_xll.RiskBinomial(1,Prob_illness_Noro_infection),0)</f>
        <v>#NAME?</v>
      </c>
      <c r="GE53" s="85" t="e">
        <f t="shared" ca="1" si="63"/>
        <v>#NAME?</v>
      </c>
      <c r="GF53" s="40" t="e">
        <f ca="1">INT(GE53) + _xll.RiskBinomial(1,GE53-INT(GE53))</f>
        <v>#NAME?</v>
      </c>
      <c r="GG53" s="33" t="e">
        <f t="shared" ca="1" si="34"/>
        <v>#NAME?</v>
      </c>
      <c r="GH53" s="38" t="e">
        <f ca="1">_xll.RiskBinomial(1,GG53)</f>
        <v>#NAME?</v>
      </c>
      <c r="GI53" s="86" t="e">
        <f ca="1">IF(GH53=1,_xll.RiskBinomial(1,Prob_illness_Noro_infection),0)</f>
        <v>#NAME?</v>
      </c>
      <c r="GK53" s="85" t="e">
        <f t="shared" ca="1" si="64"/>
        <v>#NAME?</v>
      </c>
      <c r="GL53" s="40" t="e">
        <f ca="1">INT(GK53) + _xll.RiskBinomial(1,GK53-INT(GK53))</f>
        <v>#NAME?</v>
      </c>
      <c r="GM53" s="33" t="e">
        <f t="shared" ca="1" si="35"/>
        <v>#NAME?</v>
      </c>
      <c r="GN53" s="38" t="e">
        <f ca="1">_xll.RiskBinomial(1,GM53)</f>
        <v>#NAME?</v>
      </c>
      <c r="GO53" s="86" t="e">
        <f ca="1">IF(GN53=1,_xll.RiskBinomial(1,Prob_illness_Noro_infection),0)</f>
        <v>#NAME?</v>
      </c>
    </row>
    <row r="54" spans="2:197" x14ac:dyDescent="0.25">
      <c r="B54" s="106">
        <v>46</v>
      </c>
      <c r="C54" s="109" t="e">
        <f ca="1" xml:space="preserve"> _xll.RiskPert(Dur_Swim_hours_min,Dur_Swim_hours_mode,Dur_Swim_hours_max)</f>
        <v>#NAME?</v>
      </c>
      <c r="D54" s="33" t="e">
        <f ca="1">_xll.RiskLognorm(Primary_Ing_Rate_mL_per_hour_mean,Primary_Ing_Rate_mL_per_hour_sd, _xll.RiskTruncate(Primary_Ing_Rate_mL_per_hour_min,Primary_Ing_Rate_mL_per_hour_max))</f>
        <v>#NAME?</v>
      </c>
      <c r="E54" s="41" t="e">
        <f t="shared" ca="1" si="36"/>
        <v>#NAME?</v>
      </c>
      <c r="F54" s="33"/>
      <c r="G54" s="85" t="e">
        <f t="shared" ca="1" si="37"/>
        <v>#NAME?</v>
      </c>
      <c r="H54" s="40" t="e">
        <f ca="1">INT(G54) + _xll.RiskBinomial(1,G54-INT(G54))</f>
        <v>#NAME?</v>
      </c>
      <c r="I54" s="33" t="e">
        <f t="shared" ca="1" si="0"/>
        <v>#NAME?</v>
      </c>
      <c r="J54" s="38" t="e">
        <f ca="1">_xll.RiskBinomial(1,I54)</f>
        <v>#NAME?</v>
      </c>
      <c r="K54" s="86" t="e">
        <f ca="1">IF(J54=1,_xll.RiskBinomial(1,Prob_illness_Noro_infection),0)</f>
        <v>#NAME?</v>
      </c>
      <c r="L54" s="33"/>
      <c r="M54" s="85" t="e">
        <f t="shared" ca="1" si="38"/>
        <v>#NAME?</v>
      </c>
      <c r="N54" s="40" t="e">
        <f ca="1">INT(M54) + _xll.RiskBinomial(1,M54-INT(M54))</f>
        <v>#NAME?</v>
      </c>
      <c r="O54" s="33" t="e">
        <f t="shared" ca="1" si="1"/>
        <v>#NAME?</v>
      </c>
      <c r="P54" s="38" t="e">
        <f ca="1">_xll.RiskBinomial(1,O54)</f>
        <v>#NAME?</v>
      </c>
      <c r="Q54" s="86" t="e">
        <f ca="1">IF(P54=1,_xll.RiskBinomial(1,Prob_illness_Noro_infection),0)</f>
        <v>#NAME?</v>
      </c>
      <c r="R54" s="33"/>
      <c r="S54" s="85" t="e">
        <f t="shared" ca="1" si="39"/>
        <v>#NAME?</v>
      </c>
      <c r="T54" s="40" t="e">
        <f ca="1">INT(S54) + _xll.RiskBinomial(1,S54-INT(S54))</f>
        <v>#NAME?</v>
      </c>
      <c r="U54" s="33" t="e">
        <f t="shared" ca="1" si="2"/>
        <v>#NAME?</v>
      </c>
      <c r="V54" s="38" t="e">
        <f ca="1">_xll.RiskBinomial(1,U54)</f>
        <v>#NAME?</v>
      </c>
      <c r="W54" s="86" t="e">
        <f ca="1">IF(V54=1,_xll.RiskBinomial(1,Prob_illness_Noro_infection),0)</f>
        <v>#NAME?</v>
      </c>
      <c r="X54" s="33"/>
      <c r="Y54" s="85" t="e">
        <f t="shared" ca="1" si="3"/>
        <v>#NAME?</v>
      </c>
      <c r="Z54" s="40" t="e">
        <f ca="1">INT(Y54) + _xll.RiskBinomial(1,Y54-INT(Y54))</f>
        <v>#NAME?</v>
      </c>
      <c r="AA54" s="33" t="e">
        <f t="shared" ca="1" si="4"/>
        <v>#NAME?</v>
      </c>
      <c r="AB54" s="38" t="e">
        <f ca="1">_xll.RiskBinomial(1,AA54)</f>
        <v>#NAME?</v>
      </c>
      <c r="AC54" s="86" t="e">
        <f ca="1">IF(AB54=1,_xll.RiskBinomial(1,Prob_illness_Noro_infection),0)</f>
        <v>#NAME?</v>
      </c>
      <c r="AD54" s="33"/>
      <c r="AE54" s="85" t="e">
        <f t="shared" ca="1" si="5"/>
        <v>#NAME?</v>
      </c>
      <c r="AF54" s="40" t="e">
        <f ca="1">INT(AE54) + _xll.RiskBinomial(1,AE54-INT(AE54))</f>
        <v>#NAME?</v>
      </c>
      <c r="AG54" s="33" t="e">
        <f t="shared" ca="1" si="6"/>
        <v>#NAME?</v>
      </c>
      <c r="AH54" s="38" t="e">
        <f ca="1">_xll.RiskBinomial(1,AG54)</f>
        <v>#NAME?</v>
      </c>
      <c r="AI54" s="86" t="e">
        <f ca="1">IF(AH54=1,_xll.RiskBinomial(1,Prob_illness_Noro_infection),0)</f>
        <v>#NAME?</v>
      </c>
      <c r="AJ54" s="33"/>
      <c r="AK54" s="85" t="e">
        <f t="shared" ca="1" si="7"/>
        <v>#NAME?</v>
      </c>
      <c r="AL54" s="40" t="e">
        <f ca="1">INT(AK54) + _xll.RiskBinomial(1,AK54-INT(AK54))</f>
        <v>#NAME?</v>
      </c>
      <c r="AM54" s="33" t="e">
        <f t="shared" ca="1" si="8"/>
        <v>#NAME?</v>
      </c>
      <c r="AN54" s="38" t="e">
        <f ca="1">_xll.RiskBinomial(1,AM54)</f>
        <v>#NAME?</v>
      </c>
      <c r="AO54" s="86" t="e">
        <f ca="1">IF(AN54=1,_xll.RiskBinomial(1,Prob_illness_Noro_infection),0)</f>
        <v>#NAME?</v>
      </c>
      <c r="AP54" s="33"/>
      <c r="AQ54" s="85" t="e">
        <f t="shared" ca="1" si="65"/>
        <v>#NAME?</v>
      </c>
      <c r="AR54" s="40" t="e">
        <f ca="1">INT(AQ54) + _xll.RiskBinomial(1,AQ54-INT(AQ54))</f>
        <v>#NAME?</v>
      </c>
      <c r="AS54" s="33" t="e">
        <f t="shared" ca="1" si="10"/>
        <v>#NAME?</v>
      </c>
      <c r="AT54" s="38" t="e">
        <f ca="1">_xll.RiskBinomial(1,AS54)</f>
        <v>#NAME?</v>
      </c>
      <c r="AU54" s="86" t="e">
        <f ca="1">IF(AT54=1,_xll.RiskBinomial(1,Prob_illness_Noro_infection),0)</f>
        <v>#NAME?</v>
      </c>
      <c r="AV54" s="33"/>
      <c r="AW54" s="85" t="e">
        <f t="shared" ca="1" si="40"/>
        <v>#NAME?</v>
      </c>
      <c r="AX54" s="40" t="e">
        <f ca="1">INT(AW54) + _xll.RiskBinomial(1,AW54-INT(AW54))</f>
        <v>#NAME?</v>
      </c>
      <c r="AY54" s="33" t="e">
        <f t="shared" ca="1" si="11"/>
        <v>#NAME?</v>
      </c>
      <c r="AZ54" s="38" t="e">
        <f ca="1">_xll.RiskBinomial(1,AY54)</f>
        <v>#NAME?</v>
      </c>
      <c r="BA54" s="86" t="e">
        <f ca="1">IF(AZ54=1,_xll.RiskBinomial(1,Prob_illness_Noro_infection),0)</f>
        <v>#NAME?</v>
      </c>
      <c r="BC54" s="85" t="e">
        <f t="shared" ca="1" si="41"/>
        <v>#NAME?</v>
      </c>
      <c r="BD54" s="40" t="e">
        <f ca="1">INT(BC54) + _xll.RiskBinomial(1,BC54-INT(BC54))</f>
        <v>#NAME?</v>
      </c>
      <c r="BE54" s="33" t="e">
        <f t="shared" ca="1" si="12"/>
        <v>#NAME?</v>
      </c>
      <c r="BF54" s="38" t="e">
        <f ca="1">_xll.RiskBinomial(1,BE54)</f>
        <v>#NAME?</v>
      </c>
      <c r="BG54" s="86" t="e">
        <f ca="1">IF(BF54=1,_xll.RiskBinomial(1,Prob_illness_Noro_infection),0)</f>
        <v>#NAME?</v>
      </c>
      <c r="BI54" s="85" t="e">
        <f t="shared" ca="1" si="42"/>
        <v>#NAME?</v>
      </c>
      <c r="BJ54" s="40" t="e">
        <f ca="1">INT(BI54) + _xll.RiskBinomial(1,BI54-INT(BI54))</f>
        <v>#NAME?</v>
      </c>
      <c r="BK54" s="33" t="e">
        <f t="shared" ca="1" si="13"/>
        <v>#NAME?</v>
      </c>
      <c r="BL54" s="38" t="e">
        <f ca="1">_xll.RiskBinomial(1,BK54)</f>
        <v>#NAME?</v>
      </c>
      <c r="BM54" s="86" t="e">
        <f ca="1">IF(BL54=1,_xll.RiskBinomial(1,Prob_illness_Noro_infection),0)</f>
        <v>#NAME?</v>
      </c>
      <c r="BO54" s="85" t="e">
        <f t="shared" ca="1" si="43"/>
        <v>#NAME?</v>
      </c>
      <c r="BP54" s="40" t="e">
        <f ca="1">INT(BO54) + _xll.RiskBinomial(1,BO54-INT(BO54))</f>
        <v>#NAME?</v>
      </c>
      <c r="BQ54" s="33" t="e">
        <f t="shared" ca="1" si="14"/>
        <v>#NAME?</v>
      </c>
      <c r="BR54" s="38" t="e">
        <f ca="1">_xll.RiskBinomial(1,BQ54)</f>
        <v>#NAME?</v>
      </c>
      <c r="BS54" s="86" t="e">
        <f ca="1">IF(BR54=1,_xll.RiskBinomial(1,Prob_illness_Noro_infection),0)</f>
        <v>#NAME?</v>
      </c>
      <c r="BU54" s="85" t="e">
        <f t="shared" ca="1" si="44"/>
        <v>#NAME?</v>
      </c>
      <c r="BV54" s="40" t="e">
        <f ca="1">INT(BU54) + _xll.RiskBinomial(1,BU54-INT(BU54))</f>
        <v>#NAME?</v>
      </c>
      <c r="BW54" s="33" t="e">
        <f t="shared" ca="1" si="15"/>
        <v>#NAME?</v>
      </c>
      <c r="BX54" s="38" t="e">
        <f ca="1">_xll.RiskBinomial(1,BW54)</f>
        <v>#NAME?</v>
      </c>
      <c r="BY54" s="86" t="e">
        <f ca="1">IF(BX54=1,_xll.RiskBinomial(1,Prob_illness_Noro_infection),0)</f>
        <v>#NAME?</v>
      </c>
      <c r="CA54" s="85" t="e">
        <f t="shared" ca="1" si="45"/>
        <v>#NAME?</v>
      </c>
      <c r="CB54" s="40" t="e">
        <f ca="1">INT(CA54) + _xll.RiskBinomial(1,CA54-INT(CA54))</f>
        <v>#NAME?</v>
      </c>
      <c r="CC54" s="33" t="e">
        <f t="shared" ca="1" si="16"/>
        <v>#NAME?</v>
      </c>
      <c r="CD54" s="38" t="e">
        <f ca="1">_xll.RiskBinomial(1,CC54)</f>
        <v>#NAME?</v>
      </c>
      <c r="CE54" s="86" t="e">
        <f ca="1">IF(CD54=1,_xll.RiskBinomial(1,Prob_illness_Noro_infection),0)</f>
        <v>#NAME?</v>
      </c>
      <c r="CG54" s="85" t="e">
        <f t="shared" ca="1" si="46"/>
        <v>#NAME?</v>
      </c>
      <c r="CH54" s="40" t="e">
        <f ca="1">INT(CG54) + _xll.RiskBinomial(1,CG54-INT(CG54))</f>
        <v>#NAME?</v>
      </c>
      <c r="CI54" s="33" t="e">
        <f t="shared" ca="1" si="17"/>
        <v>#NAME?</v>
      </c>
      <c r="CJ54" s="38" t="e">
        <f ca="1">_xll.RiskBinomial(1,CI54)</f>
        <v>#NAME?</v>
      </c>
      <c r="CK54" s="86" t="e">
        <f ca="1">IF(CJ54=1,_xll.RiskBinomial(1,Prob_illness_Noro_infection),0)</f>
        <v>#NAME?</v>
      </c>
      <c r="CM54" s="85" t="e">
        <f t="shared" ca="1" si="47"/>
        <v>#NAME?</v>
      </c>
      <c r="CN54" s="40" t="e">
        <f ca="1">INT(CM54) + _xll.RiskBinomial(1,CM54-INT(CM54))</f>
        <v>#NAME?</v>
      </c>
      <c r="CO54" s="33" t="e">
        <f t="shared" ca="1" si="18"/>
        <v>#NAME?</v>
      </c>
      <c r="CP54" s="38" t="e">
        <f ca="1">_xll.RiskBinomial(1,CO54)</f>
        <v>#NAME?</v>
      </c>
      <c r="CQ54" s="86" t="e">
        <f ca="1">IF(CP54=1,_xll.RiskBinomial(1,Prob_illness_Noro_infection),0)</f>
        <v>#NAME?</v>
      </c>
      <c r="CS54" s="85" t="e">
        <f t="shared" ca="1" si="48"/>
        <v>#NAME?</v>
      </c>
      <c r="CT54" s="40" t="e">
        <f ca="1">INT(CS54) + _xll.RiskBinomial(1,CS54-INT(CS54))</f>
        <v>#NAME?</v>
      </c>
      <c r="CU54" s="33" t="e">
        <f t="shared" ca="1" si="19"/>
        <v>#NAME?</v>
      </c>
      <c r="CV54" s="38" t="e">
        <f ca="1">_xll.RiskBinomial(1,CU54)</f>
        <v>#NAME?</v>
      </c>
      <c r="CW54" s="86" t="e">
        <f ca="1">IF(CV54=1,_xll.RiskBinomial(1,Prob_illness_Noro_infection),0)</f>
        <v>#NAME?</v>
      </c>
      <c r="CY54" s="85" t="e">
        <f t="shared" ca="1" si="49"/>
        <v>#NAME?</v>
      </c>
      <c r="CZ54" s="40" t="e">
        <f ca="1">INT(CY54) + _xll.RiskBinomial(1,CY54-INT(CY54))</f>
        <v>#NAME?</v>
      </c>
      <c r="DA54" s="33" t="e">
        <f t="shared" ca="1" si="20"/>
        <v>#NAME?</v>
      </c>
      <c r="DB54" s="38" t="e">
        <f ca="1">_xll.RiskBinomial(1,DA54)</f>
        <v>#NAME?</v>
      </c>
      <c r="DC54" s="86" t="e">
        <f ca="1">IF(DB54=1,_xll.RiskBinomial(1,Prob_illness_Noro_infection),0)</f>
        <v>#NAME?</v>
      </c>
      <c r="DE54" s="85" t="e">
        <f t="shared" ca="1" si="50"/>
        <v>#NAME?</v>
      </c>
      <c r="DF54" s="40" t="e">
        <f ca="1">INT(DE54) + _xll.RiskBinomial(1,DE54-INT(DE54))</f>
        <v>#NAME?</v>
      </c>
      <c r="DG54" s="33" t="e">
        <f t="shared" ca="1" si="21"/>
        <v>#NAME?</v>
      </c>
      <c r="DH54" s="38" t="e">
        <f ca="1">_xll.RiskBinomial(1,DG54)</f>
        <v>#NAME?</v>
      </c>
      <c r="DI54" s="86" t="e">
        <f ca="1">IF(DH54=1,_xll.RiskBinomial(1,Prob_illness_Noro_infection),0)</f>
        <v>#NAME?</v>
      </c>
      <c r="DK54" s="85" t="e">
        <f t="shared" ca="1" si="51"/>
        <v>#NAME?</v>
      </c>
      <c r="DL54" s="40" t="e">
        <f ca="1">INT(DK54) + _xll.RiskBinomial(1,DK54-INT(DK54))</f>
        <v>#NAME?</v>
      </c>
      <c r="DM54" s="33" t="e">
        <f t="shared" ca="1" si="22"/>
        <v>#NAME?</v>
      </c>
      <c r="DN54" s="38" t="e">
        <f ca="1">_xll.RiskBinomial(1,DM54)</f>
        <v>#NAME?</v>
      </c>
      <c r="DO54" s="86" t="e">
        <f ca="1">IF(DN54=1,_xll.RiskBinomial(1,Prob_illness_Noro_infection),0)</f>
        <v>#NAME?</v>
      </c>
      <c r="DQ54" s="85" t="e">
        <f t="shared" ca="1" si="52"/>
        <v>#NAME?</v>
      </c>
      <c r="DR54" s="40" t="e">
        <f ca="1">INT(DQ54) + _xll.RiskBinomial(1,DQ54-INT(DQ54))</f>
        <v>#NAME?</v>
      </c>
      <c r="DS54" s="33" t="e">
        <f t="shared" ca="1" si="23"/>
        <v>#NAME?</v>
      </c>
      <c r="DT54" s="38" t="e">
        <f ca="1">_xll.RiskBinomial(1,DS54)</f>
        <v>#NAME?</v>
      </c>
      <c r="DU54" s="86" t="e">
        <f ca="1">IF(DT54=1,_xll.RiskBinomial(1,Prob_illness_Noro_infection),0)</f>
        <v>#NAME?</v>
      </c>
      <c r="DW54" s="85" t="e">
        <f t="shared" ca="1" si="53"/>
        <v>#NAME?</v>
      </c>
      <c r="DX54" s="40" t="e">
        <f ca="1">INT(DW54) + _xll.RiskBinomial(1,DW54-INT(DW54))</f>
        <v>#NAME?</v>
      </c>
      <c r="DY54" s="33" t="e">
        <f t="shared" ca="1" si="24"/>
        <v>#NAME?</v>
      </c>
      <c r="DZ54" s="38" t="e">
        <f ca="1">_xll.RiskBinomial(1,DY54)</f>
        <v>#NAME?</v>
      </c>
      <c r="EA54" s="86" t="e">
        <f ca="1">IF(DZ54=1,_xll.RiskBinomial(1,Prob_illness_Noro_infection),0)</f>
        <v>#NAME?</v>
      </c>
      <c r="EC54" s="85" t="e">
        <f t="shared" ca="1" si="54"/>
        <v>#NAME?</v>
      </c>
      <c r="ED54" s="40" t="e">
        <f ca="1">INT(EC54) + _xll.RiskBinomial(1,EC54-INT(EC54))</f>
        <v>#NAME?</v>
      </c>
      <c r="EE54" s="33" t="e">
        <f t="shared" ca="1" si="25"/>
        <v>#NAME?</v>
      </c>
      <c r="EF54" s="38" t="e">
        <f ca="1">_xll.RiskBinomial(1,EE54)</f>
        <v>#NAME?</v>
      </c>
      <c r="EG54" s="86" t="e">
        <f ca="1">IF(EF54=1,_xll.RiskBinomial(1,Prob_illness_Noro_infection),0)</f>
        <v>#NAME?</v>
      </c>
      <c r="EI54" s="85" t="e">
        <f t="shared" ca="1" si="55"/>
        <v>#NAME?</v>
      </c>
      <c r="EJ54" s="40" t="e">
        <f ca="1">INT(EI54) + _xll.RiskBinomial(1,EI54-INT(EI54))</f>
        <v>#NAME?</v>
      </c>
      <c r="EK54" s="33" t="e">
        <f t="shared" ca="1" si="26"/>
        <v>#NAME?</v>
      </c>
      <c r="EL54" s="38" t="e">
        <f ca="1">_xll.RiskBinomial(1,EK54)</f>
        <v>#NAME?</v>
      </c>
      <c r="EM54" s="86" t="e">
        <f ca="1">IF(EL54=1,_xll.RiskBinomial(1,Prob_illness_Noro_infection),0)</f>
        <v>#NAME?</v>
      </c>
      <c r="EO54" s="85" t="e">
        <f t="shared" ca="1" si="56"/>
        <v>#NAME?</v>
      </c>
      <c r="EP54" s="40" t="e">
        <f ca="1">INT(EO54) + _xll.RiskBinomial(1,EO54-INT(EO54))</f>
        <v>#NAME?</v>
      </c>
      <c r="EQ54" s="33" t="e">
        <f t="shared" ca="1" si="27"/>
        <v>#NAME?</v>
      </c>
      <c r="ER54" s="38" t="e">
        <f ca="1">_xll.RiskBinomial(1,EQ54)</f>
        <v>#NAME?</v>
      </c>
      <c r="ES54" s="86" t="e">
        <f ca="1">IF(ER54=1,_xll.RiskBinomial(1,Prob_illness_Noro_infection),0)</f>
        <v>#NAME?</v>
      </c>
      <c r="EU54" s="85" t="e">
        <f t="shared" ca="1" si="57"/>
        <v>#NAME?</v>
      </c>
      <c r="EV54" s="40" t="e">
        <f ca="1">INT(EU54) + _xll.RiskBinomial(1,EU54-INT(EU54))</f>
        <v>#NAME?</v>
      </c>
      <c r="EW54" s="33" t="e">
        <f t="shared" ca="1" si="28"/>
        <v>#NAME?</v>
      </c>
      <c r="EX54" s="38" t="e">
        <f ca="1">_xll.RiskBinomial(1,EW54)</f>
        <v>#NAME?</v>
      </c>
      <c r="EY54" s="86" t="e">
        <f ca="1">IF(EX54=1,_xll.RiskBinomial(1,Prob_illness_Noro_infection),0)</f>
        <v>#NAME?</v>
      </c>
      <c r="FA54" s="85" t="e">
        <f t="shared" ca="1" si="58"/>
        <v>#NAME?</v>
      </c>
      <c r="FB54" s="40" t="e">
        <f ca="1">INT(FA54) + _xll.RiskBinomial(1,FA54-INT(FA54))</f>
        <v>#NAME?</v>
      </c>
      <c r="FC54" s="33" t="e">
        <f t="shared" ca="1" si="29"/>
        <v>#NAME?</v>
      </c>
      <c r="FD54" s="38" t="e">
        <f ca="1">_xll.RiskBinomial(1,FC54)</f>
        <v>#NAME?</v>
      </c>
      <c r="FE54" s="86" t="e">
        <f ca="1">IF(FD54=1,_xll.RiskBinomial(1,Prob_illness_Noro_infection),0)</f>
        <v>#NAME?</v>
      </c>
      <c r="FG54" s="85" t="e">
        <f t="shared" ca="1" si="59"/>
        <v>#NAME?</v>
      </c>
      <c r="FH54" s="40" t="e">
        <f ca="1">INT(FG54) + _xll.RiskBinomial(1,FG54-INT(FG54))</f>
        <v>#NAME?</v>
      </c>
      <c r="FI54" s="33" t="e">
        <f t="shared" ca="1" si="30"/>
        <v>#NAME?</v>
      </c>
      <c r="FJ54" s="38" t="e">
        <f ca="1">_xll.RiskBinomial(1,FI54)</f>
        <v>#NAME?</v>
      </c>
      <c r="FK54" s="86" t="e">
        <f ca="1">IF(FJ54=1,_xll.RiskBinomial(1,Prob_illness_Noro_infection),0)</f>
        <v>#NAME?</v>
      </c>
      <c r="FM54" s="85" t="e">
        <f t="shared" ca="1" si="60"/>
        <v>#NAME?</v>
      </c>
      <c r="FN54" s="40" t="e">
        <f ca="1">INT(FM54) + _xll.RiskBinomial(1,FM54-INT(FM54))</f>
        <v>#NAME?</v>
      </c>
      <c r="FO54" s="33" t="e">
        <f t="shared" ca="1" si="31"/>
        <v>#NAME?</v>
      </c>
      <c r="FP54" s="38" t="e">
        <f ca="1">_xll.RiskBinomial(1,FO54)</f>
        <v>#NAME?</v>
      </c>
      <c r="FQ54" s="86" t="e">
        <f ca="1">IF(FP54=1,_xll.RiskBinomial(1,Prob_illness_Noro_infection),0)</f>
        <v>#NAME?</v>
      </c>
      <c r="FS54" s="85" t="e">
        <f t="shared" ca="1" si="61"/>
        <v>#NAME?</v>
      </c>
      <c r="FT54" s="40" t="e">
        <f ca="1">INT(FS54) + _xll.RiskBinomial(1,FS54-INT(FS54))</f>
        <v>#NAME?</v>
      </c>
      <c r="FU54" s="33" t="e">
        <f t="shared" ca="1" si="32"/>
        <v>#NAME?</v>
      </c>
      <c r="FV54" s="38" t="e">
        <f ca="1">_xll.RiskBinomial(1,FU54)</f>
        <v>#NAME?</v>
      </c>
      <c r="FW54" s="86" t="e">
        <f ca="1">IF(FV54=1,_xll.RiskBinomial(1,Prob_illness_Noro_infection),0)</f>
        <v>#NAME?</v>
      </c>
      <c r="FY54" s="85" t="e">
        <f t="shared" ca="1" si="62"/>
        <v>#NAME?</v>
      </c>
      <c r="FZ54" s="40" t="e">
        <f ca="1">INT(FY54) + _xll.RiskBinomial(1,FY54-INT(FY54))</f>
        <v>#NAME?</v>
      </c>
      <c r="GA54" s="33" t="e">
        <f t="shared" ca="1" si="33"/>
        <v>#NAME?</v>
      </c>
      <c r="GB54" s="38" t="e">
        <f ca="1">_xll.RiskBinomial(1,GA54)</f>
        <v>#NAME?</v>
      </c>
      <c r="GC54" s="86" t="e">
        <f ca="1">IF(GB54=1,_xll.RiskBinomial(1,Prob_illness_Noro_infection),0)</f>
        <v>#NAME?</v>
      </c>
      <c r="GE54" s="85" t="e">
        <f t="shared" ca="1" si="63"/>
        <v>#NAME?</v>
      </c>
      <c r="GF54" s="40" t="e">
        <f ca="1">INT(GE54) + _xll.RiskBinomial(1,GE54-INT(GE54))</f>
        <v>#NAME?</v>
      </c>
      <c r="GG54" s="33" t="e">
        <f t="shared" ca="1" si="34"/>
        <v>#NAME?</v>
      </c>
      <c r="GH54" s="38" t="e">
        <f ca="1">_xll.RiskBinomial(1,GG54)</f>
        <v>#NAME?</v>
      </c>
      <c r="GI54" s="86" t="e">
        <f ca="1">IF(GH54=1,_xll.RiskBinomial(1,Prob_illness_Noro_infection),0)</f>
        <v>#NAME?</v>
      </c>
      <c r="GK54" s="85" t="e">
        <f t="shared" ca="1" si="64"/>
        <v>#NAME?</v>
      </c>
      <c r="GL54" s="40" t="e">
        <f ca="1">INT(GK54) + _xll.RiskBinomial(1,GK54-INT(GK54))</f>
        <v>#NAME?</v>
      </c>
      <c r="GM54" s="33" t="e">
        <f t="shared" ca="1" si="35"/>
        <v>#NAME?</v>
      </c>
      <c r="GN54" s="38" t="e">
        <f ca="1">_xll.RiskBinomial(1,GM54)</f>
        <v>#NAME?</v>
      </c>
      <c r="GO54" s="86" t="e">
        <f ca="1">IF(GN54=1,_xll.RiskBinomial(1,Prob_illness_Noro_infection),0)</f>
        <v>#NAME?</v>
      </c>
    </row>
    <row r="55" spans="2:197" x14ac:dyDescent="0.25">
      <c r="B55" s="106">
        <v>47</v>
      </c>
      <c r="C55" s="109" t="e">
        <f ca="1" xml:space="preserve"> _xll.RiskPert(Dur_Swim_hours_min,Dur_Swim_hours_mode,Dur_Swim_hours_max)</f>
        <v>#NAME?</v>
      </c>
      <c r="D55" s="33" t="e">
        <f ca="1">_xll.RiskLognorm(Primary_Ing_Rate_mL_per_hour_mean,Primary_Ing_Rate_mL_per_hour_sd, _xll.RiskTruncate(Primary_Ing_Rate_mL_per_hour_min,Primary_Ing_Rate_mL_per_hour_max))</f>
        <v>#NAME?</v>
      </c>
      <c r="E55" s="41" t="e">
        <f t="shared" ca="1" si="36"/>
        <v>#NAME?</v>
      </c>
      <c r="F55" s="33"/>
      <c r="G55" s="85" t="e">
        <f t="shared" ca="1" si="37"/>
        <v>#NAME?</v>
      </c>
      <c r="H55" s="40" t="e">
        <f ca="1">INT(G55) + _xll.RiskBinomial(1,G55-INT(G55))</f>
        <v>#NAME?</v>
      </c>
      <c r="I55" s="33" t="e">
        <f t="shared" ca="1" si="0"/>
        <v>#NAME?</v>
      </c>
      <c r="J55" s="38" t="e">
        <f ca="1">_xll.RiskBinomial(1,I55)</f>
        <v>#NAME?</v>
      </c>
      <c r="K55" s="86" t="e">
        <f ca="1">IF(J55=1,_xll.RiskBinomial(1,Prob_illness_Noro_infection),0)</f>
        <v>#NAME?</v>
      </c>
      <c r="L55" s="33"/>
      <c r="M55" s="85" t="e">
        <f t="shared" ca="1" si="38"/>
        <v>#NAME?</v>
      </c>
      <c r="N55" s="40" t="e">
        <f ca="1">INT(M55) + _xll.RiskBinomial(1,M55-INT(M55))</f>
        <v>#NAME?</v>
      </c>
      <c r="O55" s="33" t="e">
        <f t="shared" ca="1" si="1"/>
        <v>#NAME?</v>
      </c>
      <c r="P55" s="38" t="e">
        <f ca="1">_xll.RiskBinomial(1,O55)</f>
        <v>#NAME?</v>
      </c>
      <c r="Q55" s="86" t="e">
        <f ca="1">IF(P55=1,_xll.RiskBinomial(1,Prob_illness_Noro_infection),0)</f>
        <v>#NAME?</v>
      </c>
      <c r="R55" s="33"/>
      <c r="S55" s="85" t="e">
        <f t="shared" ca="1" si="39"/>
        <v>#NAME?</v>
      </c>
      <c r="T55" s="40" t="e">
        <f ca="1">INT(S55) + _xll.RiskBinomial(1,S55-INT(S55))</f>
        <v>#NAME?</v>
      </c>
      <c r="U55" s="33" t="e">
        <f t="shared" ca="1" si="2"/>
        <v>#NAME?</v>
      </c>
      <c r="V55" s="38" t="e">
        <f ca="1">_xll.RiskBinomial(1,U55)</f>
        <v>#NAME?</v>
      </c>
      <c r="W55" s="86" t="e">
        <f ca="1">IF(V55=1,_xll.RiskBinomial(1,Prob_illness_Noro_infection),0)</f>
        <v>#NAME?</v>
      </c>
      <c r="X55" s="33"/>
      <c r="Y55" s="85" t="e">
        <f t="shared" ca="1" si="3"/>
        <v>#NAME?</v>
      </c>
      <c r="Z55" s="40" t="e">
        <f ca="1">INT(Y55) + _xll.RiskBinomial(1,Y55-INT(Y55))</f>
        <v>#NAME?</v>
      </c>
      <c r="AA55" s="33" t="e">
        <f t="shared" ca="1" si="4"/>
        <v>#NAME?</v>
      </c>
      <c r="AB55" s="38" t="e">
        <f ca="1">_xll.RiskBinomial(1,AA55)</f>
        <v>#NAME?</v>
      </c>
      <c r="AC55" s="86" t="e">
        <f ca="1">IF(AB55=1,_xll.RiskBinomial(1,Prob_illness_Noro_infection),0)</f>
        <v>#NAME?</v>
      </c>
      <c r="AD55" s="33"/>
      <c r="AE55" s="85" t="e">
        <f t="shared" ca="1" si="5"/>
        <v>#NAME?</v>
      </c>
      <c r="AF55" s="40" t="e">
        <f ca="1">INT(AE55) + _xll.RiskBinomial(1,AE55-INT(AE55))</f>
        <v>#NAME?</v>
      </c>
      <c r="AG55" s="33" t="e">
        <f t="shared" ca="1" si="6"/>
        <v>#NAME?</v>
      </c>
      <c r="AH55" s="38" t="e">
        <f ca="1">_xll.RiskBinomial(1,AG55)</f>
        <v>#NAME?</v>
      </c>
      <c r="AI55" s="86" t="e">
        <f ca="1">IF(AH55=1,_xll.RiskBinomial(1,Prob_illness_Noro_infection),0)</f>
        <v>#NAME?</v>
      </c>
      <c r="AJ55" s="33"/>
      <c r="AK55" s="85" t="e">
        <f t="shared" ca="1" si="7"/>
        <v>#NAME?</v>
      </c>
      <c r="AL55" s="40" t="e">
        <f ca="1">INT(AK55) + _xll.RiskBinomial(1,AK55-INT(AK55))</f>
        <v>#NAME?</v>
      </c>
      <c r="AM55" s="33" t="e">
        <f t="shared" ca="1" si="8"/>
        <v>#NAME?</v>
      </c>
      <c r="AN55" s="38" t="e">
        <f ca="1">_xll.RiskBinomial(1,AM55)</f>
        <v>#NAME?</v>
      </c>
      <c r="AO55" s="86" t="e">
        <f ca="1">IF(AN55=1,_xll.RiskBinomial(1,Prob_illness_Noro_infection),0)</f>
        <v>#NAME?</v>
      </c>
      <c r="AP55" s="33"/>
      <c r="AQ55" s="85" t="e">
        <f t="shared" ca="1" si="65"/>
        <v>#NAME?</v>
      </c>
      <c r="AR55" s="40" t="e">
        <f ca="1">INT(AQ55) + _xll.RiskBinomial(1,AQ55-INT(AQ55))</f>
        <v>#NAME?</v>
      </c>
      <c r="AS55" s="33" t="e">
        <f t="shared" ca="1" si="10"/>
        <v>#NAME?</v>
      </c>
      <c r="AT55" s="38" t="e">
        <f ca="1">_xll.RiskBinomial(1,AS55)</f>
        <v>#NAME?</v>
      </c>
      <c r="AU55" s="86" t="e">
        <f ca="1">IF(AT55=1,_xll.RiskBinomial(1,Prob_illness_Noro_infection),0)</f>
        <v>#NAME?</v>
      </c>
      <c r="AV55" s="33"/>
      <c r="AW55" s="85" t="e">
        <f t="shared" ca="1" si="40"/>
        <v>#NAME?</v>
      </c>
      <c r="AX55" s="40" t="e">
        <f ca="1">INT(AW55) + _xll.RiskBinomial(1,AW55-INT(AW55))</f>
        <v>#NAME?</v>
      </c>
      <c r="AY55" s="33" t="e">
        <f t="shared" ca="1" si="11"/>
        <v>#NAME?</v>
      </c>
      <c r="AZ55" s="38" t="e">
        <f ca="1">_xll.RiskBinomial(1,AY55)</f>
        <v>#NAME?</v>
      </c>
      <c r="BA55" s="86" t="e">
        <f ca="1">IF(AZ55=1,_xll.RiskBinomial(1,Prob_illness_Noro_infection),0)</f>
        <v>#NAME?</v>
      </c>
      <c r="BC55" s="85" t="e">
        <f t="shared" ca="1" si="41"/>
        <v>#NAME?</v>
      </c>
      <c r="BD55" s="40" t="e">
        <f ca="1">INT(BC55) + _xll.RiskBinomial(1,BC55-INT(BC55))</f>
        <v>#NAME?</v>
      </c>
      <c r="BE55" s="33" t="e">
        <f t="shared" ca="1" si="12"/>
        <v>#NAME?</v>
      </c>
      <c r="BF55" s="38" t="e">
        <f ca="1">_xll.RiskBinomial(1,BE55)</f>
        <v>#NAME?</v>
      </c>
      <c r="BG55" s="86" t="e">
        <f ca="1">IF(BF55=1,_xll.RiskBinomial(1,Prob_illness_Noro_infection),0)</f>
        <v>#NAME?</v>
      </c>
      <c r="BI55" s="85" t="e">
        <f t="shared" ca="1" si="42"/>
        <v>#NAME?</v>
      </c>
      <c r="BJ55" s="40" t="e">
        <f ca="1">INT(BI55) + _xll.RiskBinomial(1,BI55-INT(BI55))</f>
        <v>#NAME?</v>
      </c>
      <c r="BK55" s="33" t="e">
        <f t="shared" ca="1" si="13"/>
        <v>#NAME?</v>
      </c>
      <c r="BL55" s="38" t="e">
        <f ca="1">_xll.RiskBinomial(1,BK55)</f>
        <v>#NAME?</v>
      </c>
      <c r="BM55" s="86" t="e">
        <f ca="1">IF(BL55=1,_xll.RiskBinomial(1,Prob_illness_Noro_infection),0)</f>
        <v>#NAME?</v>
      </c>
      <c r="BO55" s="85" t="e">
        <f t="shared" ca="1" si="43"/>
        <v>#NAME?</v>
      </c>
      <c r="BP55" s="40" t="e">
        <f ca="1">INT(BO55) + _xll.RiskBinomial(1,BO55-INT(BO55))</f>
        <v>#NAME?</v>
      </c>
      <c r="BQ55" s="33" t="e">
        <f t="shared" ca="1" si="14"/>
        <v>#NAME?</v>
      </c>
      <c r="BR55" s="38" t="e">
        <f ca="1">_xll.RiskBinomial(1,BQ55)</f>
        <v>#NAME?</v>
      </c>
      <c r="BS55" s="86" t="e">
        <f ca="1">IF(BR55=1,_xll.RiskBinomial(1,Prob_illness_Noro_infection),0)</f>
        <v>#NAME?</v>
      </c>
      <c r="BU55" s="85" t="e">
        <f t="shared" ca="1" si="44"/>
        <v>#NAME?</v>
      </c>
      <c r="BV55" s="40" t="e">
        <f ca="1">INT(BU55) + _xll.RiskBinomial(1,BU55-INT(BU55))</f>
        <v>#NAME?</v>
      </c>
      <c r="BW55" s="33" t="e">
        <f t="shared" ca="1" si="15"/>
        <v>#NAME?</v>
      </c>
      <c r="BX55" s="38" t="e">
        <f ca="1">_xll.RiskBinomial(1,BW55)</f>
        <v>#NAME?</v>
      </c>
      <c r="BY55" s="86" t="e">
        <f ca="1">IF(BX55=1,_xll.RiskBinomial(1,Prob_illness_Noro_infection),0)</f>
        <v>#NAME?</v>
      </c>
      <c r="CA55" s="85" t="e">
        <f t="shared" ca="1" si="45"/>
        <v>#NAME?</v>
      </c>
      <c r="CB55" s="40" t="e">
        <f ca="1">INT(CA55) + _xll.RiskBinomial(1,CA55-INT(CA55))</f>
        <v>#NAME?</v>
      </c>
      <c r="CC55" s="33" t="e">
        <f t="shared" ca="1" si="16"/>
        <v>#NAME?</v>
      </c>
      <c r="CD55" s="38" t="e">
        <f ca="1">_xll.RiskBinomial(1,CC55)</f>
        <v>#NAME?</v>
      </c>
      <c r="CE55" s="86" t="e">
        <f ca="1">IF(CD55=1,_xll.RiskBinomial(1,Prob_illness_Noro_infection),0)</f>
        <v>#NAME?</v>
      </c>
      <c r="CG55" s="85" t="e">
        <f t="shared" ca="1" si="46"/>
        <v>#NAME?</v>
      </c>
      <c r="CH55" s="40" t="e">
        <f ca="1">INT(CG55) + _xll.RiskBinomial(1,CG55-INT(CG55))</f>
        <v>#NAME?</v>
      </c>
      <c r="CI55" s="33" t="e">
        <f t="shared" ca="1" si="17"/>
        <v>#NAME?</v>
      </c>
      <c r="CJ55" s="38" t="e">
        <f ca="1">_xll.RiskBinomial(1,CI55)</f>
        <v>#NAME?</v>
      </c>
      <c r="CK55" s="86" t="e">
        <f ca="1">IF(CJ55=1,_xll.RiskBinomial(1,Prob_illness_Noro_infection),0)</f>
        <v>#NAME?</v>
      </c>
      <c r="CM55" s="85" t="e">
        <f t="shared" ca="1" si="47"/>
        <v>#NAME?</v>
      </c>
      <c r="CN55" s="40" t="e">
        <f ca="1">INT(CM55) + _xll.RiskBinomial(1,CM55-INT(CM55))</f>
        <v>#NAME?</v>
      </c>
      <c r="CO55" s="33" t="e">
        <f t="shared" ca="1" si="18"/>
        <v>#NAME?</v>
      </c>
      <c r="CP55" s="38" t="e">
        <f ca="1">_xll.RiskBinomial(1,CO55)</f>
        <v>#NAME?</v>
      </c>
      <c r="CQ55" s="86" t="e">
        <f ca="1">IF(CP55=1,_xll.RiskBinomial(1,Prob_illness_Noro_infection),0)</f>
        <v>#NAME?</v>
      </c>
      <c r="CS55" s="85" t="e">
        <f t="shared" ca="1" si="48"/>
        <v>#NAME?</v>
      </c>
      <c r="CT55" s="40" t="e">
        <f ca="1">INT(CS55) + _xll.RiskBinomial(1,CS55-INT(CS55))</f>
        <v>#NAME?</v>
      </c>
      <c r="CU55" s="33" t="e">
        <f t="shared" ca="1" si="19"/>
        <v>#NAME?</v>
      </c>
      <c r="CV55" s="38" t="e">
        <f ca="1">_xll.RiskBinomial(1,CU55)</f>
        <v>#NAME?</v>
      </c>
      <c r="CW55" s="86" t="e">
        <f ca="1">IF(CV55=1,_xll.RiskBinomial(1,Prob_illness_Noro_infection),0)</f>
        <v>#NAME?</v>
      </c>
      <c r="CY55" s="85" t="e">
        <f t="shared" ca="1" si="49"/>
        <v>#NAME?</v>
      </c>
      <c r="CZ55" s="40" t="e">
        <f ca="1">INT(CY55) + _xll.RiskBinomial(1,CY55-INT(CY55))</f>
        <v>#NAME?</v>
      </c>
      <c r="DA55" s="33" t="e">
        <f t="shared" ca="1" si="20"/>
        <v>#NAME?</v>
      </c>
      <c r="DB55" s="38" t="e">
        <f ca="1">_xll.RiskBinomial(1,DA55)</f>
        <v>#NAME?</v>
      </c>
      <c r="DC55" s="86" t="e">
        <f ca="1">IF(DB55=1,_xll.RiskBinomial(1,Prob_illness_Noro_infection),0)</f>
        <v>#NAME?</v>
      </c>
      <c r="DE55" s="85" t="e">
        <f t="shared" ca="1" si="50"/>
        <v>#NAME?</v>
      </c>
      <c r="DF55" s="40" t="e">
        <f ca="1">INT(DE55) + _xll.RiskBinomial(1,DE55-INT(DE55))</f>
        <v>#NAME?</v>
      </c>
      <c r="DG55" s="33" t="e">
        <f t="shared" ca="1" si="21"/>
        <v>#NAME?</v>
      </c>
      <c r="DH55" s="38" t="e">
        <f ca="1">_xll.RiskBinomial(1,DG55)</f>
        <v>#NAME?</v>
      </c>
      <c r="DI55" s="86" t="e">
        <f ca="1">IF(DH55=1,_xll.RiskBinomial(1,Prob_illness_Noro_infection),0)</f>
        <v>#NAME?</v>
      </c>
      <c r="DK55" s="85" t="e">
        <f t="shared" ca="1" si="51"/>
        <v>#NAME?</v>
      </c>
      <c r="DL55" s="40" t="e">
        <f ca="1">INT(DK55) + _xll.RiskBinomial(1,DK55-INT(DK55))</f>
        <v>#NAME?</v>
      </c>
      <c r="DM55" s="33" t="e">
        <f t="shared" ca="1" si="22"/>
        <v>#NAME?</v>
      </c>
      <c r="DN55" s="38" t="e">
        <f ca="1">_xll.RiskBinomial(1,DM55)</f>
        <v>#NAME?</v>
      </c>
      <c r="DO55" s="86" t="e">
        <f ca="1">IF(DN55=1,_xll.RiskBinomial(1,Prob_illness_Noro_infection),0)</f>
        <v>#NAME?</v>
      </c>
      <c r="DQ55" s="85" t="e">
        <f t="shared" ca="1" si="52"/>
        <v>#NAME?</v>
      </c>
      <c r="DR55" s="40" t="e">
        <f ca="1">INT(DQ55) + _xll.RiskBinomial(1,DQ55-INT(DQ55))</f>
        <v>#NAME?</v>
      </c>
      <c r="DS55" s="33" t="e">
        <f t="shared" ca="1" si="23"/>
        <v>#NAME?</v>
      </c>
      <c r="DT55" s="38" t="e">
        <f ca="1">_xll.RiskBinomial(1,DS55)</f>
        <v>#NAME?</v>
      </c>
      <c r="DU55" s="86" t="e">
        <f ca="1">IF(DT55=1,_xll.RiskBinomial(1,Prob_illness_Noro_infection),0)</f>
        <v>#NAME?</v>
      </c>
      <c r="DW55" s="85" t="e">
        <f t="shared" ca="1" si="53"/>
        <v>#NAME?</v>
      </c>
      <c r="DX55" s="40" t="e">
        <f ca="1">INT(DW55) + _xll.RiskBinomial(1,DW55-INT(DW55))</f>
        <v>#NAME?</v>
      </c>
      <c r="DY55" s="33" t="e">
        <f t="shared" ca="1" si="24"/>
        <v>#NAME?</v>
      </c>
      <c r="DZ55" s="38" t="e">
        <f ca="1">_xll.RiskBinomial(1,DY55)</f>
        <v>#NAME?</v>
      </c>
      <c r="EA55" s="86" t="e">
        <f ca="1">IF(DZ55=1,_xll.RiskBinomial(1,Prob_illness_Noro_infection),0)</f>
        <v>#NAME?</v>
      </c>
      <c r="EC55" s="85" t="e">
        <f t="shared" ca="1" si="54"/>
        <v>#NAME?</v>
      </c>
      <c r="ED55" s="40" t="e">
        <f ca="1">INT(EC55) + _xll.RiskBinomial(1,EC55-INT(EC55))</f>
        <v>#NAME?</v>
      </c>
      <c r="EE55" s="33" t="e">
        <f t="shared" ca="1" si="25"/>
        <v>#NAME?</v>
      </c>
      <c r="EF55" s="38" t="e">
        <f ca="1">_xll.RiskBinomial(1,EE55)</f>
        <v>#NAME?</v>
      </c>
      <c r="EG55" s="86" t="e">
        <f ca="1">IF(EF55=1,_xll.RiskBinomial(1,Prob_illness_Noro_infection),0)</f>
        <v>#NAME?</v>
      </c>
      <c r="EI55" s="85" t="e">
        <f t="shared" ca="1" si="55"/>
        <v>#NAME?</v>
      </c>
      <c r="EJ55" s="40" t="e">
        <f ca="1">INT(EI55) + _xll.RiskBinomial(1,EI55-INT(EI55))</f>
        <v>#NAME?</v>
      </c>
      <c r="EK55" s="33" t="e">
        <f t="shared" ca="1" si="26"/>
        <v>#NAME?</v>
      </c>
      <c r="EL55" s="38" t="e">
        <f ca="1">_xll.RiskBinomial(1,EK55)</f>
        <v>#NAME?</v>
      </c>
      <c r="EM55" s="86" t="e">
        <f ca="1">IF(EL55=1,_xll.RiskBinomial(1,Prob_illness_Noro_infection),0)</f>
        <v>#NAME?</v>
      </c>
      <c r="EO55" s="85" t="e">
        <f t="shared" ca="1" si="56"/>
        <v>#NAME?</v>
      </c>
      <c r="EP55" s="40" t="e">
        <f ca="1">INT(EO55) + _xll.RiskBinomial(1,EO55-INT(EO55))</f>
        <v>#NAME?</v>
      </c>
      <c r="EQ55" s="33" t="e">
        <f t="shared" ca="1" si="27"/>
        <v>#NAME?</v>
      </c>
      <c r="ER55" s="38" t="e">
        <f ca="1">_xll.RiskBinomial(1,EQ55)</f>
        <v>#NAME?</v>
      </c>
      <c r="ES55" s="86" t="e">
        <f ca="1">IF(ER55=1,_xll.RiskBinomial(1,Prob_illness_Noro_infection),0)</f>
        <v>#NAME?</v>
      </c>
      <c r="EU55" s="85" t="e">
        <f t="shared" ca="1" si="57"/>
        <v>#NAME?</v>
      </c>
      <c r="EV55" s="40" t="e">
        <f ca="1">INT(EU55) + _xll.RiskBinomial(1,EU55-INT(EU55))</f>
        <v>#NAME?</v>
      </c>
      <c r="EW55" s="33" t="e">
        <f t="shared" ca="1" si="28"/>
        <v>#NAME?</v>
      </c>
      <c r="EX55" s="38" t="e">
        <f ca="1">_xll.RiskBinomial(1,EW55)</f>
        <v>#NAME?</v>
      </c>
      <c r="EY55" s="86" t="e">
        <f ca="1">IF(EX55=1,_xll.RiskBinomial(1,Prob_illness_Noro_infection),0)</f>
        <v>#NAME?</v>
      </c>
      <c r="FA55" s="85" t="e">
        <f t="shared" ca="1" si="58"/>
        <v>#NAME?</v>
      </c>
      <c r="FB55" s="40" t="e">
        <f ca="1">INT(FA55) + _xll.RiskBinomial(1,FA55-INT(FA55))</f>
        <v>#NAME?</v>
      </c>
      <c r="FC55" s="33" t="e">
        <f t="shared" ca="1" si="29"/>
        <v>#NAME?</v>
      </c>
      <c r="FD55" s="38" t="e">
        <f ca="1">_xll.RiskBinomial(1,FC55)</f>
        <v>#NAME?</v>
      </c>
      <c r="FE55" s="86" t="e">
        <f ca="1">IF(FD55=1,_xll.RiskBinomial(1,Prob_illness_Noro_infection),0)</f>
        <v>#NAME?</v>
      </c>
      <c r="FG55" s="85" t="e">
        <f t="shared" ca="1" si="59"/>
        <v>#NAME?</v>
      </c>
      <c r="FH55" s="40" t="e">
        <f ca="1">INT(FG55) + _xll.RiskBinomial(1,FG55-INT(FG55))</f>
        <v>#NAME?</v>
      </c>
      <c r="FI55" s="33" t="e">
        <f t="shared" ca="1" si="30"/>
        <v>#NAME?</v>
      </c>
      <c r="FJ55" s="38" t="e">
        <f ca="1">_xll.RiskBinomial(1,FI55)</f>
        <v>#NAME?</v>
      </c>
      <c r="FK55" s="86" t="e">
        <f ca="1">IF(FJ55=1,_xll.RiskBinomial(1,Prob_illness_Noro_infection),0)</f>
        <v>#NAME?</v>
      </c>
      <c r="FM55" s="85" t="e">
        <f t="shared" ca="1" si="60"/>
        <v>#NAME?</v>
      </c>
      <c r="FN55" s="40" t="e">
        <f ca="1">INT(FM55) + _xll.RiskBinomial(1,FM55-INT(FM55))</f>
        <v>#NAME?</v>
      </c>
      <c r="FO55" s="33" t="e">
        <f t="shared" ca="1" si="31"/>
        <v>#NAME?</v>
      </c>
      <c r="FP55" s="38" t="e">
        <f ca="1">_xll.RiskBinomial(1,FO55)</f>
        <v>#NAME?</v>
      </c>
      <c r="FQ55" s="86" t="e">
        <f ca="1">IF(FP55=1,_xll.RiskBinomial(1,Prob_illness_Noro_infection),0)</f>
        <v>#NAME?</v>
      </c>
      <c r="FS55" s="85" t="e">
        <f t="shared" ca="1" si="61"/>
        <v>#NAME?</v>
      </c>
      <c r="FT55" s="40" t="e">
        <f ca="1">INT(FS55) + _xll.RiskBinomial(1,FS55-INT(FS55))</f>
        <v>#NAME?</v>
      </c>
      <c r="FU55" s="33" t="e">
        <f t="shared" ca="1" si="32"/>
        <v>#NAME?</v>
      </c>
      <c r="FV55" s="38" t="e">
        <f ca="1">_xll.RiskBinomial(1,FU55)</f>
        <v>#NAME?</v>
      </c>
      <c r="FW55" s="86" t="e">
        <f ca="1">IF(FV55=1,_xll.RiskBinomial(1,Prob_illness_Noro_infection),0)</f>
        <v>#NAME?</v>
      </c>
      <c r="FY55" s="85" t="e">
        <f t="shared" ca="1" si="62"/>
        <v>#NAME?</v>
      </c>
      <c r="FZ55" s="40" t="e">
        <f ca="1">INT(FY55) + _xll.RiskBinomial(1,FY55-INT(FY55))</f>
        <v>#NAME?</v>
      </c>
      <c r="GA55" s="33" t="e">
        <f t="shared" ca="1" si="33"/>
        <v>#NAME?</v>
      </c>
      <c r="GB55" s="38" t="e">
        <f ca="1">_xll.RiskBinomial(1,GA55)</f>
        <v>#NAME?</v>
      </c>
      <c r="GC55" s="86" t="e">
        <f ca="1">IF(GB55=1,_xll.RiskBinomial(1,Prob_illness_Noro_infection),0)</f>
        <v>#NAME?</v>
      </c>
      <c r="GE55" s="85" t="e">
        <f t="shared" ca="1" si="63"/>
        <v>#NAME?</v>
      </c>
      <c r="GF55" s="40" t="e">
        <f ca="1">INT(GE55) + _xll.RiskBinomial(1,GE55-INT(GE55))</f>
        <v>#NAME?</v>
      </c>
      <c r="GG55" s="33" t="e">
        <f t="shared" ca="1" si="34"/>
        <v>#NAME?</v>
      </c>
      <c r="GH55" s="38" t="e">
        <f ca="1">_xll.RiskBinomial(1,GG55)</f>
        <v>#NAME?</v>
      </c>
      <c r="GI55" s="86" t="e">
        <f ca="1">IF(GH55=1,_xll.RiskBinomial(1,Prob_illness_Noro_infection),0)</f>
        <v>#NAME?</v>
      </c>
      <c r="GK55" s="85" t="e">
        <f t="shared" ca="1" si="64"/>
        <v>#NAME?</v>
      </c>
      <c r="GL55" s="40" t="e">
        <f ca="1">INT(GK55) + _xll.RiskBinomial(1,GK55-INT(GK55))</f>
        <v>#NAME?</v>
      </c>
      <c r="GM55" s="33" t="e">
        <f t="shared" ca="1" si="35"/>
        <v>#NAME?</v>
      </c>
      <c r="GN55" s="38" t="e">
        <f ca="1">_xll.RiskBinomial(1,GM55)</f>
        <v>#NAME?</v>
      </c>
      <c r="GO55" s="86" t="e">
        <f ca="1">IF(GN55=1,_xll.RiskBinomial(1,Prob_illness_Noro_infection),0)</f>
        <v>#NAME?</v>
      </c>
    </row>
    <row r="56" spans="2:197" x14ac:dyDescent="0.25">
      <c r="B56" s="106">
        <v>48</v>
      </c>
      <c r="C56" s="109" t="e">
        <f ca="1" xml:space="preserve"> _xll.RiskPert(Dur_Swim_hours_min,Dur_Swim_hours_mode,Dur_Swim_hours_max)</f>
        <v>#NAME?</v>
      </c>
      <c r="D56" s="33" t="e">
        <f ca="1">_xll.RiskLognorm(Primary_Ing_Rate_mL_per_hour_mean,Primary_Ing_Rate_mL_per_hour_sd, _xll.RiskTruncate(Primary_Ing_Rate_mL_per_hour_min,Primary_Ing_Rate_mL_per_hour_max))</f>
        <v>#NAME?</v>
      </c>
      <c r="E56" s="41" t="e">
        <f t="shared" ca="1" si="36"/>
        <v>#NAME?</v>
      </c>
      <c r="F56" s="33"/>
      <c r="G56" s="85" t="e">
        <f t="shared" ca="1" si="37"/>
        <v>#NAME?</v>
      </c>
      <c r="H56" s="40" t="e">
        <f ca="1">INT(G56) + _xll.RiskBinomial(1,G56-INT(G56))</f>
        <v>#NAME?</v>
      </c>
      <c r="I56" s="33" t="e">
        <f t="shared" ca="1" si="0"/>
        <v>#NAME?</v>
      </c>
      <c r="J56" s="38" t="e">
        <f ca="1">_xll.RiskBinomial(1,I56)</f>
        <v>#NAME?</v>
      </c>
      <c r="K56" s="86" t="e">
        <f ca="1">IF(J56=1,_xll.RiskBinomial(1,Prob_illness_Noro_infection),0)</f>
        <v>#NAME?</v>
      </c>
      <c r="L56" s="33"/>
      <c r="M56" s="85" t="e">
        <f t="shared" ca="1" si="38"/>
        <v>#NAME?</v>
      </c>
      <c r="N56" s="40" t="e">
        <f ca="1">INT(M56) + _xll.RiskBinomial(1,M56-INT(M56))</f>
        <v>#NAME?</v>
      </c>
      <c r="O56" s="33" t="e">
        <f t="shared" ca="1" si="1"/>
        <v>#NAME?</v>
      </c>
      <c r="P56" s="38" t="e">
        <f ca="1">_xll.RiskBinomial(1,O56)</f>
        <v>#NAME?</v>
      </c>
      <c r="Q56" s="86" t="e">
        <f ca="1">IF(P56=1,_xll.RiskBinomial(1,Prob_illness_Noro_infection),0)</f>
        <v>#NAME?</v>
      </c>
      <c r="R56" s="33"/>
      <c r="S56" s="85" t="e">
        <f t="shared" ca="1" si="39"/>
        <v>#NAME?</v>
      </c>
      <c r="T56" s="40" t="e">
        <f ca="1">INT(S56) + _xll.RiskBinomial(1,S56-INT(S56))</f>
        <v>#NAME?</v>
      </c>
      <c r="U56" s="33" t="e">
        <f t="shared" ca="1" si="2"/>
        <v>#NAME?</v>
      </c>
      <c r="V56" s="38" t="e">
        <f ca="1">_xll.RiskBinomial(1,U56)</f>
        <v>#NAME?</v>
      </c>
      <c r="W56" s="86" t="e">
        <f ca="1">IF(V56=1,_xll.RiskBinomial(1,Prob_illness_Noro_infection),0)</f>
        <v>#NAME?</v>
      </c>
      <c r="X56" s="33"/>
      <c r="Y56" s="85" t="e">
        <f t="shared" ca="1" si="3"/>
        <v>#NAME?</v>
      </c>
      <c r="Z56" s="40" t="e">
        <f ca="1">INT(Y56) + _xll.RiskBinomial(1,Y56-INT(Y56))</f>
        <v>#NAME?</v>
      </c>
      <c r="AA56" s="33" t="e">
        <f t="shared" ca="1" si="4"/>
        <v>#NAME?</v>
      </c>
      <c r="AB56" s="38" t="e">
        <f ca="1">_xll.RiskBinomial(1,AA56)</f>
        <v>#NAME?</v>
      </c>
      <c r="AC56" s="86" t="e">
        <f ca="1">IF(AB56=1,_xll.RiskBinomial(1,Prob_illness_Noro_infection),0)</f>
        <v>#NAME?</v>
      </c>
      <c r="AD56" s="33"/>
      <c r="AE56" s="85" t="e">
        <f t="shared" ca="1" si="5"/>
        <v>#NAME?</v>
      </c>
      <c r="AF56" s="40" t="e">
        <f ca="1">INT(AE56) + _xll.RiskBinomial(1,AE56-INT(AE56))</f>
        <v>#NAME?</v>
      </c>
      <c r="AG56" s="33" t="e">
        <f t="shared" ca="1" si="6"/>
        <v>#NAME?</v>
      </c>
      <c r="AH56" s="38" t="e">
        <f ca="1">_xll.RiskBinomial(1,AG56)</f>
        <v>#NAME?</v>
      </c>
      <c r="AI56" s="86" t="e">
        <f ca="1">IF(AH56=1,_xll.RiskBinomial(1,Prob_illness_Noro_infection),0)</f>
        <v>#NAME?</v>
      </c>
      <c r="AJ56" s="33"/>
      <c r="AK56" s="85" t="e">
        <f t="shared" ca="1" si="7"/>
        <v>#NAME?</v>
      </c>
      <c r="AL56" s="40" t="e">
        <f ca="1">INT(AK56) + _xll.RiskBinomial(1,AK56-INT(AK56))</f>
        <v>#NAME?</v>
      </c>
      <c r="AM56" s="33" t="e">
        <f t="shared" ca="1" si="8"/>
        <v>#NAME?</v>
      </c>
      <c r="AN56" s="38" t="e">
        <f ca="1">_xll.RiskBinomial(1,AM56)</f>
        <v>#NAME?</v>
      </c>
      <c r="AO56" s="86" t="e">
        <f ca="1">IF(AN56=1,_xll.RiskBinomial(1,Prob_illness_Noro_infection),0)</f>
        <v>#NAME?</v>
      </c>
      <c r="AP56" s="33"/>
      <c r="AQ56" s="85" t="e">
        <f t="shared" ca="1" si="65"/>
        <v>#NAME?</v>
      </c>
      <c r="AR56" s="40" t="e">
        <f ca="1">INT(AQ56) + _xll.RiskBinomial(1,AQ56-INT(AQ56))</f>
        <v>#NAME?</v>
      </c>
      <c r="AS56" s="33" t="e">
        <f t="shared" ca="1" si="10"/>
        <v>#NAME?</v>
      </c>
      <c r="AT56" s="38" t="e">
        <f ca="1">_xll.RiskBinomial(1,AS56)</f>
        <v>#NAME?</v>
      </c>
      <c r="AU56" s="86" t="e">
        <f ca="1">IF(AT56=1,_xll.RiskBinomial(1,Prob_illness_Noro_infection),0)</f>
        <v>#NAME?</v>
      </c>
      <c r="AV56" s="33"/>
      <c r="AW56" s="85" t="e">
        <f t="shared" ca="1" si="40"/>
        <v>#NAME?</v>
      </c>
      <c r="AX56" s="40" t="e">
        <f ca="1">INT(AW56) + _xll.RiskBinomial(1,AW56-INT(AW56))</f>
        <v>#NAME?</v>
      </c>
      <c r="AY56" s="33" t="e">
        <f t="shared" ca="1" si="11"/>
        <v>#NAME?</v>
      </c>
      <c r="AZ56" s="38" t="e">
        <f ca="1">_xll.RiskBinomial(1,AY56)</f>
        <v>#NAME?</v>
      </c>
      <c r="BA56" s="86" t="e">
        <f ca="1">IF(AZ56=1,_xll.RiskBinomial(1,Prob_illness_Noro_infection),0)</f>
        <v>#NAME?</v>
      </c>
      <c r="BC56" s="85" t="e">
        <f t="shared" ca="1" si="41"/>
        <v>#NAME?</v>
      </c>
      <c r="BD56" s="40" t="e">
        <f ca="1">INT(BC56) + _xll.RiskBinomial(1,BC56-INT(BC56))</f>
        <v>#NAME?</v>
      </c>
      <c r="BE56" s="33" t="e">
        <f t="shared" ca="1" si="12"/>
        <v>#NAME?</v>
      </c>
      <c r="BF56" s="38" t="e">
        <f ca="1">_xll.RiskBinomial(1,BE56)</f>
        <v>#NAME?</v>
      </c>
      <c r="BG56" s="86" t="e">
        <f ca="1">IF(BF56=1,_xll.RiskBinomial(1,Prob_illness_Noro_infection),0)</f>
        <v>#NAME?</v>
      </c>
      <c r="BI56" s="85" t="e">
        <f t="shared" ca="1" si="42"/>
        <v>#NAME?</v>
      </c>
      <c r="BJ56" s="40" t="e">
        <f ca="1">INT(BI56) + _xll.RiskBinomial(1,BI56-INT(BI56))</f>
        <v>#NAME?</v>
      </c>
      <c r="BK56" s="33" t="e">
        <f t="shared" ca="1" si="13"/>
        <v>#NAME?</v>
      </c>
      <c r="BL56" s="38" t="e">
        <f ca="1">_xll.RiskBinomial(1,BK56)</f>
        <v>#NAME?</v>
      </c>
      <c r="BM56" s="86" t="e">
        <f ca="1">IF(BL56=1,_xll.RiskBinomial(1,Prob_illness_Noro_infection),0)</f>
        <v>#NAME?</v>
      </c>
      <c r="BO56" s="85" t="e">
        <f t="shared" ca="1" si="43"/>
        <v>#NAME?</v>
      </c>
      <c r="BP56" s="40" t="e">
        <f ca="1">INT(BO56) + _xll.RiskBinomial(1,BO56-INT(BO56))</f>
        <v>#NAME?</v>
      </c>
      <c r="BQ56" s="33" t="e">
        <f t="shared" ca="1" si="14"/>
        <v>#NAME?</v>
      </c>
      <c r="BR56" s="38" t="e">
        <f ca="1">_xll.RiskBinomial(1,BQ56)</f>
        <v>#NAME?</v>
      </c>
      <c r="BS56" s="86" t="e">
        <f ca="1">IF(BR56=1,_xll.RiskBinomial(1,Prob_illness_Noro_infection),0)</f>
        <v>#NAME?</v>
      </c>
      <c r="BU56" s="85" t="e">
        <f t="shared" ca="1" si="44"/>
        <v>#NAME?</v>
      </c>
      <c r="BV56" s="40" t="e">
        <f ca="1">INT(BU56) + _xll.RiskBinomial(1,BU56-INT(BU56))</f>
        <v>#NAME?</v>
      </c>
      <c r="BW56" s="33" t="e">
        <f t="shared" ca="1" si="15"/>
        <v>#NAME?</v>
      </c>
      <c r="BX56" s="38" t="e">
        <f ca="1">_xll.RiskBinomial(1,BW56)</f>
        <v>#NAME?</v>
      </c>
      <c r="BY56" s="86" t="e">
        <f ca="1">IF(BX56=1,_xll.RiskBinomial(1,Prob_illness_Noro_infection),0)</f>
        <v>#NAME?</v>
      </c>
      <c r="CA56" s="85" t="e">
        <f t="shared" ca="1" si="45"/>
        <v>#NAME?</v>
      </c>
      <c r="CB56" s="40" t="e">
        <f ca="1">INT(CA56) + _xll.RiskBinomial(1,CA56-INT(CA56))</f>
        <v>#NAME?</v>
      </c>
      <c r="CC56" s="33" t="e">
        <f t="shared" ca="1" si="16"/>
        <v>#NAME?</v>
      </c>
      <c r="CD56" s="38" t="e">
        <f ca="1">_xll.RiskBinomial(1,CC56)</f>
        <v>#NAME?</v>
      </c>
      <c r="CE56" s="86" t="e">
        <f ca="1">IF(CD56=1,_xll.RiskBinomial(1,Prob_illness_Noro_infection),0)</f>
        <v>#NAME?</v>
      </c>
      <c r="CG56" s="85" t="e">
        <f t="shared" ca="1" si="46"/>
        <v>#NAME?</v>
      </c>
      <c r="CH56" s="40" t="e">
        <f ca="1">INT(CG56) + _xll.RiskBinomial(1,CG56-INT(CG56))</f>
        <v>#NAME?</v>
      </c>
      <c r="CI56" s="33" t="e">
        <f t="shared" ca="1" si="17"/>
        <v>#NAME?</v>
      </c>
      <c r="CJ56" s="38" t="e">
        <f ca="1">_xll.RiskBinomial(1,CI56)</f>
        <v>#NAME?</v>
      </c>
      <c r="CK56" s="86" t="e">
        <f ca="1">IF(CJ56=1,_xll.RiskBinomial(1,Prob_illness_Noro_infection),0)</f>
        <v>#NAME?</v>
      </c>
      <c r="CM56" s="85" t="e">
        <f t="shared" ca="1" si="47"/>
        <v>#NAME?</v>
      </c>
      <c r="CN56" s="40" t="e">
        <f ca="1">INT(CM56) + _xll.RiskBinomial(1,CM56-INT(CM56))</f>
        <v>#NAME?</v>
      </c>
      <c r="CO56" s="33" t="e">
        <f t="shared" ca="1" si="18"/>
        <v>#NAME?</v>
      </c>
      <c r="CP56" s="38" t="e">
        <f ca="1">_xll.RiskBinomial(1,CO56)</f>
        <v>#NAME?</v>
      </c>
      <c r="CQ56" s="86" t="e">
        <f ca="1">IF(CP56=1,_xll.RiskBinomial(1,Prob_illness_Noro_infection),0)</f>
        <v>#NAME?</v>
      </c>
      <c r="CS56" s="85" t="e">
        <f t="shared" ca="1" si="48"/>
        <v>#NAME?</v>
      </c>
      <c r="CT56" s="40" t="e">
        <f ca="1">INT(CS56) + _xll.RiskBinomial(1,CS56-INT(CS56))</f>
        <v>#NAME?</v>
      </c>
      <c r="CU56" s="33" t="e">
        <f t="shared" ca="1" si="19"/>
        <v>#NAME?</v>
      </c>
      <c r="CV56" s="38" t="e">
        <f ca="1">_xll.RiskBinomial(1,CU56)</f>
        <v>#NAME?</v>
      </c>
      <c r="CW56" s="86" t="e">
        <f ca="1">IF(CV56=1,_xll.RiskBinomial(1,Prob_illness_Noro_infection),0)</f>
        <v>#NAME?</v>
      </c>
      <c r="CY56" s="85" t="e">
        <f t="shared" ca="1" si="49"/>
        <v>#NAME?</v>
      </c>
      <c r="CZ56" s="40" t="e">
        <f ca="1">INT(CY56) + _xll.RiskBinomial(1,CY56-INT(CY56))</f>
        <v>#NAME?</v>
      </c>
      <c r="DA56" s="33" t="e">
        <f t="shared" ca="1" si="20"/>
        <v>#NAME?</v>
      </c>
      <c r="DB56" s="38" t="e">
        <f ca="1">_xll.RiskBinomial(1,DA56)</f>
        <v>#NAME?</v>
      </c>
      <c r="DC56" s="86" t="e">
        <f ca="1">IF(DB56=1,_xll.RiskBinomial(1,Prob_illness_Noro_infection),0)</f>
        <v>#NAME?</v>
      </c>
      <c r="DE56" s="85" t="e">
        <f t="shared" ca="1" si="50"/>
        <v>#NAME?</v>
      </c>
      <c r="DF56" s="40" t="e">
        <f ca="1">INT(DE56) + _xll.RiskBinomial(1,DE56-INT(DE56))</f>
        <v>#NAME?</v>
      </c>
      <c r="DG56" s="33" t="e">
        <f t="shared" ca="1" si="21"/>
        <v>#NAME?</v>
      </c>
      <c r="DH56" s="38" t="e">
        <f ca="1">_xll.RiskBinomial(1,DG56)</f>
        <v>#NAME?</v>
      </c>
      <c r="DI56" s="86" t="e">
        <f ca="1">IF(DH56=1,_xll.RiskBinomial(1,Prob_illness_Noro_infection),0)</f>
        <v>#NAME?</v>
      </c>
      <c r="DK56" s="85" t="e">
        <f t="shared" ca="1" si="51"/>
        <v>#NAME?</v>
      </c>
      <c r="DL56" s="40" t="e">
        <f ca="1">INT(DK56) + _xll.RiskBinomial(1,DK56-INT(DK56))</f>
        <v>#NAME?</v>
      </c>
      <c r="DM56" s="33" t="e">
        <f t="shared" ca="1" si="22"/>
        <v>#NAME?</v>
      </c>
      <c r="DN56" s="38" t="e">
        <f ca="1">_xll.RiskBinomial(1,DM56)</f>
        <v>#NAME?</v>
      </c>
      <c r="DO56" s="86" t="e">
        <f ca="1">IF(DN56=1,_xll.RiskBinomial(1,Prob_illness_Noro_infection),0)</f>
        <v>#NAME?</v>
      </c>
      <c r="DQ56" s="85" t="e">
        <f t="shared" ca="1" si="52"/>
        <v>#NAME?</v>
      </c>
      <c r="DR56" s="40" t="e">
        <f ca="1">INT(DQ56) + _xll.RiskBinomial(1,DQ56-INT(DQ56))</f>
        <v>#NAME?</v>
      </c>
      <c r="DS56" s="33" t="e">
        <f t="shared" ca="1" si="23"/>
        <v>#NAME?</v>
      </c>
      <c r="DT56" s="38" t="e">
        <f ca="1">_xll.RiskBinomial(1,DS56)</f>
        <v>#NAME?</v>
      </c>
      <c r="DU56" s="86" t="e">
        <f ca="1">IF(DT56=1,_xll.RiskBinomial(1,Prob_illness_Noro_infection),0)</f>
        <v>#NAME?</v>
      </c>
      <c r="DW56" s="85" t="e">
        <f t="shared" ca="1" si="53"/>
        <v>#NAME?</v>
      </c>
      <c r="DX56" s="40" t="e">
        <f ca="1">INT(DW56) + _xll.RiskBinomial(1,DW56-INT(DW56))</f>
        <v>#NAME?</v>
      </c>
      <c r="DY56" s="33" t="e">
        <f t="shared" ca="1" si="24"/>
        <v>#NAME?</v>
      </c>
      <c r="DZ56" s="38" t="e">
        <f ca="1">_xll.RiskBinomial(1,DY56)</f>
        <v>#NAME?</v>
      </c>
      <c r="EA56" s="86" t="e">
        <f ca="1">IF(DZ56=1,_xll.RiskBinomial(1,Prob_illness_Noro_infection),0)</f>
        <v>#NAME?</v>
      </c>
      <c r="EC56" s="85" t="e">
        <f t="shared" ca="1" si="54"/>
        <v>#NAME?</v>
      </c>
      <c r="ED56" s="40" t="e">
        <f ca="1">INT(EC56) + _xll.RiskBinomial(1,EC56-INT(EC56))</f>
        <v>#NAME?</v>
      </c>
      <c r="EE56" s="33" t="e">
        <f t="shared" ca="1" si="25"/>
        <v>#NAME?</v>
      </c>
      <c r="EF56" s="38" t="e">
        <f ca="1">_xll.RiskBinomial(1,EE56)</f>
        <v>#NAME?</v>
      </c>
      <c r="EG56" s="86" t="e">
        <f ca="1">IF(EF56=1,_xll.RiskBinomial(1,Prob_illness_Noro_infection),0)</f>
        <v>#NAME?</v>
      </c>
      <c r="EI56" s="85" t="e">
        <f t="shared" ca="1" si="55"/>
        <v>#NAME?</v>
      </c>
      <c r="EJ56" s="40" t="e">
        <f ca="1">INT(EI56) + _xll.RiskBinomial(1,EI56-INT(EI56))</f>
        <v>#NAME?</v>
      </c>
      <c r="EK56" s="33" t="e">
        <f t="shared" ca="1" si="26"/>
        <v>#NAME?</v>
      </c>
      <c r="EL56" s="38" t="e">
        <f ca="1">_xll.RiskBinomial(1,EK56)</f>
        <v>#NAME?</v>
      </c>
      <c r="EM56" s="86" t="e">
        <f ca="1">IF(EL56=1,_xll.RiskBinomial(1,Prob_illness_Noro_infection),0)</f>
        <v>#NAME?</v>
      </c>
      <c r="EO56" s="85" t="e">
        <f t="shared" ca="1" si="56"/>
        <v>#NAME?</v>
      </c>
      <c r="EP56" s="40" t="e">
        <f ca="1">INT(EO56) + _xll.RiskBinomial(1,EO56-INT(EO56))</f>
        <v>#NAME?</v>
      </c>
      <c r="EQ56" s="33" t="e">
        <f t="shared" ca="1" si="27"/>
        <v>#NAME?</v>
      </c>
      <c r="ER56" s="38" t="e">
        <f ca="1">_xll.RiskBinomial(1,EQ56)</f>
        <v>#NAME?</v>
      </c>
      <c r="ES56" s="86" t="e">
        <f ca="1">IF(ER56=1,_xll.RiskBinomial(1,Prob_illness_Noro_infection),0)</f>
        <v>#NAME?</v>
      </c>
      <c r="EU56" s="85" t="e">
        <f t="shared" ca="1" si="57"/>
        <v>#NAME?</v>
      </c>
      <c r="EV56" s="40" t="e">
        <f ca="1">INT(EU56) + _xll.RiskBinomial(1,EU56-INT(EU56))</f>
        <v>#NAME?</v>
      </c>
      <c r="EW56" s="33" t="e">
        <f t="shared" ca="1" si="28"/>
        <v>#NAME?</v>
      </c>
      <c r="EX56" s="38" t="e">
        <f ca="1">_xll.RiskBinomial(1,EW56)</f>
        <v>#NAME?</v>
      </c>
      <c r="EY56" s="86" t="e">
        <f ca="1">IF(EX56=1,_xll.RiskBinomial(1,Prob_illness_Noro_infection),0)</f>
        <v>#NAME?</v>
      </c>
      <c r="FA56" s="85" t="e">
        <f t="shared" ca="1" si="58"/>
        <v>#NAME?</v>
      </c>
      <c r="FB56" s="40" t="e">
        <f ca="1">INT(FA56) + _xll.RiskBinomial(1,FA56-INT(FA56))</f>
        <v>#NAME?</v>
      </c>
      <c r="FC56" s="33" t="e">
        <f t="shared" ca="1" si="29"/>
        <v>#NAME?</v>
      </c>
      <c r="FD56" s="38" t="e">
        <f ca="1">_xll.RiskBinomial(1,FC56)</f>
        <v>#NAME?</v>
      </c>
      <c r="FE56" s="86" t="e">
        <f ca="1">IF(FD56=1,_xll.RiskBinomial(1,Prob_illness_Noro_infection),0)</f>
        <v>#NAME?</v>
      </c>
      <c r="FG56" s="85" t="e">
        <f t="shared" ca="1" si="59"/>
        <v>#NAME?</v>
      </c>
      <c r="FH56" s="40" t="e">
        <f ca="1">INT(FG56) + _xll.RiskBinomial(1,FG56-INT(FG56))</f>
        <v>#NAME?</v>
      </c>
      <c r="FI56" s="33" t="e">
        <f t="shared" ca="1" si="30"/>
        <v>#NAME?</v>
      </c>
      <c r="FJ56" s="38" t="e">
        <f ca="1">_xll.RiskBinomial(1,FI56)</f>
        <v>#NAME?</v>
      </c>
      <c r="FK56" s="86" t="e">
        <f ca="1">IF(FJ56=1,_xll.RiskBinomial(1,Prob_illness_Noro_infection),0)</f>
        <v>#NAME?</v>
      </c>
      <c r="FM56" s="85" t="e">
        <f t="shared" ca="1" si="60"/>
        <v>#NAME?</v>
      </c>
      <c r="FN56" s="40" t="e">
        <f ca="1">INT(FM56) + _xll.RiskBinomial(1,FM56-INT(FM56))</f>
        <v>#NAME?</v>
      </c>
      <c r="FO56" s="33" t="e">
        <f t="shared" ca="1" si="31"/>
        <v>#NAME?</v>
      </c>
      <c r="FP56" s="38" t="e">
        <f ca="1">_xll.RiskBinomial(1,FO56)</f>
        <v>#NAME?</v>
      </c>
      <c r="FQ56" s="86" t="e">
        <f ca="1">IF(FP56=1,_xll.RiskBinomial(1,Prob_illness_Noro_infection),0)</f>
        <v>#NAME?</v>
      </c>
      <c r="FS56" s="85" t="e">
        <f t="shared" ca="1" si="61"/>
        <v>#NAME?</v>
      </c>
      <c r="FT56" s="40" t="e">
        <f ca="1">INT(FS56) + _xll.RiskBinomial(1,FS56-INT(FS56))</f>
        <v>#NAME?</v>
      </c>
      <c r="FU56" s="33" t="e">
        <f t="shared" ca="1" si="32"/>
        <v>#NAME?</v>
      </c>
      <c r="FV56" s="38" t="e">
        <f ca="1">_xll.RiskBinomial(1,FU56)</f>
        <v>#NAME?</v>
      </c>
      <c r="FW56" s="86" t="e">
        <f ca="1">IF(FV56=1,_xll.RiskBinomial(1,Prob_illness_Noro_infection),0)</f>
        <v>#NAME?</v>
      </c>
      <c r="FY56" s="85" t="e">
        <f t="shared" ca="1" si="62"/>
        <v>#NAME?</v>
      </c>
      <c r="FZ56" s="40" t="e">
        <f ca="1">INT(FY56) + _xll.RiskBinomial(1,FY56-INT(FY56))</f>
        <v>#NAME?</v>
      </c>
      <c r="GA56" s="33" t="e">
        <f t="shared" ca="1" si="33"/>
        <v>#NAME?</v>
      </c>
      <c r="GB56" s="38" t="e">
        <f ca="1">_xll.RiskBinomial(1,GA56)</f>
        <v>#NAME?</v>
      </c>
      <c r="GC56" s="86" t="e">
        <f ca="1">IF(GB56=1,_xll.RiskBinomial(1,Prob_illness_Noro_infection),0)</f>
        <v>#NAME?</v>
      </c>
      <c r="GE56" s="85" t="e">
        <f t="shared" ca="1" si="63"/>
        <v>#NAME?</v>
      </c>
      <c r="GF56" s="40" t="e">
        <f ca="1">INT(GE56) + _xll.RiskBinomial(1,GE56-INT(GE56))</f>
        <v>#NAME?</v>
      </c>
      <c r="GG56" s="33" t="e">
        <f t="shared" ca="1" si="34"/>
        <v>#NAME?</v>
      </c>
      <c r="GH56" s="38" t="e">
        <f ca="1">_xll.RiskBinomial(1,GG56)</f>
        <v>#NAME?</v>
      </c>
      <c r="GI56" s="86" t="e">
        <f ca="1">IF(GH56=1,_xll.RiskBinomial(1,Prob_illness_Noro_infection),0)</f>
        <v>#NAME?</v>
      </c>
      <c r="GK56" s="85" t="e">
        <f t="shared" ca="1" si="64"/>
        <v>#NAME?</v>
      </c>
      <c r="GL56" s="40" t="e">
        <f ca="1">INT(GK56) + _xll.RiskBinomial(1,GK56-INT(GK56))</f>
        <v>#NAME?</v>
      </c>
      <c r="GM56" s="33" t="e">
        <f t="shared" ca="1" si="35"/>
        <v>#NAME?</v>
      </c>
      <c r="GN56" s="38" t="e">
        <f ca="1">_xll.RiskBinomial(1,GM56)</f>
        <v>#NAME?</v>
      </c>
      <c r="GO56" s="86" t="e">
        <f ca="1">IF(GN56=1,_xll.RiskBinomial(1,Prob_illness_Noro_infection),0)</f>
        <v>#NAME?</v>
      </c>
    </row>
    <row r="57" spans="2:197" x14ac:dyDescent="0.25">
      <c r="B57" s="106">
        <v>49</v>
      </c>
      <c r="C57" s="109" t="e">
        <f ca="1" xml:space="preserve"> _xll.RiskPert(Dur_Swim_hours_min,Dur_Swim_hours_mode,Dur_Swim_hours_max)</f>
        <v>#NAME?</v>
      </c>
      <c r="D57" s="33" t="e">
        <f ca="1">_xll.RiskLognorm(Primary_Ing_Rate_mL_per_hour_mean,Primary_Ing_Rate_mL_per_hour_sd, _xll.RiskTruncate(Primary_Ing_Rate_mL_per_hour_min,Primary_Ing_Rate_mL_per_hour_max))</f>
        <v>#NAME?</v>
      </c>
      <c r="E57" s="41" t="e">
        <f t="shared" ca="1" si="36"/>
        <v>#NAME?</v>
      </c>
      <c r="F57" s="33"/>
      <c r="G57" s="85" t="e">
        <f t="shared" ca="1" si="37"/>
        <v>#NAME?</v>
      </c>
      <c r="H57" s="40" t="e">
        <f ca="1">INT(G57) + _xll.RiskBinomial(1,G57-INT(G57))</f>
        <v>#NAME?</v>
      </c>
      <c r="I57" s="33" t="e">
        <f t="shared" ca="1" si="0"/>
        <v>#NAME?</v>
      </c>
      <c r="J57" s="38" t="e">
        <f ca="1">_xll.RiskBinomial(1,I57)</f>
        <v>#NAME?</v>
      </c>
      <c r="K57" s="86" t="e">
        <f ca="1">IF(J57=1,_xll.RiskBinomial(1,Prob_illness_Noro_infection),0)</f>
        <v>#NAME?</v>
      </c>
      <c r="L57" s="33"/>
      <c r="M57" s="85" t="e">
        <f t="shared" ca="1" si="38"/>
        <v>#NAME?</v>
      </c>
      <c r="N57" s="40" t="e">
        <f ca="1">INT(M57) + _xll.RiskBinomial(1,M57-INT(M57))</f>
        <v>#NAME?</v>
      </c>
      <c r="O57" s="33" t="e">
        <f t="shared" ca="1" si="1"/>
        <v>#NAME?</v>
      </c>
      <c r="P57" s="38" t="e">
        <f ca="1">_xll.RiskBinomial(1,O57)</f>
        <v>#NAME?</v>
      </c>
      <c r="Q57" s="86" t="e">
        <f ca="1">IF(P57=1,_xll.RiskBinomial(1,Prob_illness_Noro_infection),0)</f>
        <v>#NAME?</v>
      </c>
      <c r="R57" s="33"/>
      <c r="S57" s="85" t="e">
        <f t="shared" ca="1" si="39"/>
        <v>#NAME?</v>
      </c>
      <c r="T57" s="40" t="e">
        <f ca="1">INT(S57) + _xll.RiskBinomial(1,S57-INT(S57))</f>
        <v>#NAME?</v>
      </c>
      <c r="U57" s="33" t="e">
        <f t="shared" ca="1" si="2"/>
        <v>#NAME?</v>
      </c>
      <c r="V57" s="38" t="e">
        <f ca="1">_xll.RiskBinomial(1,U57)</f>
        <v>#NAME?</v>
      </c>
      <c r="W57" s="86" t="e">
        <f ca="1">IF(V57=1,_xll.RiskBinomial(1,Prob_illness_Noro_infection),0)</f>
        <v>#NAME?</v>
      </c>
      <c r="X57" s="33"/>
      <c r="Y57" s="85" t="e">
        <f t="shared" ca="1" si="3"/>
        <v>#NAME?</v>
      </c>
      <c r="Z57" s="40" t="e">
        <f ca="1">INT(Y57) + _xll.RiskBinomial(1,Y57-INT(Y57))</f>
        <v>#NAME?</v>
      </c>
      <c r="AA57" s="33" t="e">
        <f t="shared" ca="1" si="4"/>
        <v>#NAME?</v>
      </c>
      <c r="AB57" s="38" t="e">
        <f ca="1">_xll.RiskBinomial(1,AA57)</f>
        <v>#NAME?</v>
      </c>
      <c r="AC57" s="86" t="e">
        <f ca="1">IF(AB57=1,_xll.RiskBinomial(1,Prob_illness_Noro_infection),0)</f>
        <v>#NAME?</v>
      </c>
      <c r="AD57" s="33"/>
      <c r="AE57" s="85" t="e">
        <f t="shared" ca="1" si="5"/>
        <v>#NAME?</v>
      </c>
      <c r="AF57" s="40" t="e">
        <f ca="1">INT(AE57) + _xll.RiskBinomial(1,AE57-INT(AE57))</f>
        <v>#NAME?</v>
      </c>
      <c r="AG57" s="33" t="e">
        <f t="shared" ca="1" si="6"/>
        <v>#NAME?</v>
      </c>
      <c r="AH57" s="38" t="e">
        <f ca="1">_xll.RiskBinomial(1,AG57)</f>
        <v>#NAME?</v>
      </c>
      <c r="AI57" s="86" t="e">
        <f ca="1">IF(AH57=1,_xll.RiskBinomial(1,Prob_illness_Noro_infection),0)</f>
        <v>#NAME?</v>
      </c>
      <c r="AJ57" s="33"/>
      <c r="AK57" s="85" t="e">
        <f t="shared" ca="1" si="7"/>
        <v>#NAME?</v>
      </c>
      <c r="AL57" s="40" t="e">
        <f ca="1">INT(AK57) + _xll.RiskBinomial(1,AK57-INT(AK57))</f>
        <v>#NAME?</v>
      </c>
      <c r="AM57" s="33" t="e">
        <f t="shared" ca="1" si="8"/>
        <v>#NAME?</v>
      </c>
      <c r="AN57" s="38" t="e">
        <f ca="1">_xll.RiskBinomial(1,AM57)</f>
        <v>#NAME?</v>
      </c>
      <c r="AO57" s="86" t="e">
        <f ca="1">IF(AN57=1,_xll.RiskBinomial(1,Prob_illness_Noro_infection),0)</f>
        <v>#NAME?</v>
      </c>
      <c r="AP57" s="33"/>
      <c r="AQ57" s="85" t="e">
        <f t="shared" ca="1" si="65"/>
        <v>#NAME?</v>
      </c>
      <c r="AR57" s="40" t="e">
        <f ca="1">INT(AQ57) + _xll.RiskBinomial(1,AQ57-INT(AQ57))</f>
        <v>#NAME?</v>
      </c>
      <c r="AS57" s="33" t="e">
        <f t="shared" ca="1" si="10"/>
        <v>#NAME?</v>
      </c>
      <c r="AT57" s="38" t="e">
        <f ca="1">_xll.RiskBinomial(1,AS57)</f>
        <v>#NAME?</v>
      </c>
      <c r="AU57" s="86" t="e">
        <f ca="1">IF(AT57=1,_xll.RiskBinomial(1,Prob_illness_Noro_infection),0)</f>
        <v>#NAME?</v>
      </c>
      <c r="AV57" s="33"/>
      <c r="AW57" s="85" t="e">
        <f t="shared" ca="1" si="40"/>
        <v>#NAME?</v>
      </c>
      <c r="AX57" s="40" t="e">
        <f ca="1">INT(AW57) + _xll.RiskBinomial(1,AW57-INT(AW57))</f>
        <v>#NAME?</v>
      </c>
      <c r="AY57" s="33" t="e">
        <f t="shared" ca="1" si="11"/>
        <v>#NAME?</v>
      </c>
      <c r="AZ57" s="38" t="e">
        <f ca="1">_xll.RiskBinomial(1,AY57)</f>
        <v>#NAME?</v>
      </c>
      <c r="BA57" s="86" t="e">
        <f ca="1">IF(AZ57=1,_xll.RiskBinomial(1,Prob_illness_Noro_infection),0)</f>
        <v>#NAME?</v>
      </c>
      <c r="BC57" s="85" t="e">
        <f t="shared" ca="1" si="41"/>
        <v>#NAME?</v>
      </c>
      <c r="BD57" s="40" t="e">
        <f ca="1">INT(BC57) + _xll.RiskBinomial(1,BC57-INT(BC57))</f>
        <v>#NAME?</v>
      </c>
      <c r="BE57" s="33" t="e">
        <f t="shared" ca="1" si="12"/>
        <v>#NAME?</v>
      </c>
      <c r="BF57" s="38" t="e">
        <f ca="1">_xll.RiskBinomial(1,BE57)</f>
        <v>#NAME?</v>
      </c>
      <c r="BG57" s="86" t="e">
        <f ca="1">IF(BF57=1,_xll.RiskBinomial(1,Prob_illness_Noro_infection),0)</f>
        <v>#NAME?</v>
      </c>
      <c r="BI57" s="85" t="e">
        <f t="shared" ca="1" si="42"/>
        <v>#NAME?</v>
      </c>
      <c r="BJ57" s="40" t="e">
        <f ca="1">INT(BI57) + _xll.RiskBinomial(1,BI57-INT(BI57))</f>
        <v>#NAME?</v>
      </c>
      <c r="BK57" s="33" t="e">
        <f t="shared" ca="1" si="13"/>
        <v>#NAME?</v>
      </c>
      <c r="BL57" s="38" t="e">
        <f ca="1">_xll.RiskBinomial(1,BK57)</f>
        <v>#NAME?</v>
      </c>
      <c r="BM57" s="86" t="e">
        <f ca="1">IF(BL57=1,_xll.RiskBinomial(1,Prob_illness_Noro_infection),0)</f>
        <v>#NAME?</v>
      </c>
      <c r="BO57" s="85" t="e">
        <f t="shared" ca="1" si="43"/>
        <v>#NAME?</v>
      </c>
      <c r="BP57" s="40" t="e">
        <f ca="1">INT(BO57) + _xll.RiskBinomial(1,BO57-INT(BO57))</f>
        <v>#NAME?</v>
      </c>
      <c r="BQ57" s="33" t="e">
        <f t="shared" ca="1" si="14"/>
        <v>#NAME?</v>
      </c>
      <c r="BR57" s="38" t="e">
        <f ca="1">_xll.RiskBinomial(1,BQ57)</f>
        <v>#NAME?</v>
      </c>
      <c r="BS57" s="86" t="e">
        <f ca="1">IF(BR57=1,_xll.RiskBinomial(1,Prob_illness_Noro_infection),0)</f>
        <v>#NAME?</v>
      </c>
      <c r="BU57" s="85" t="e">
        <f t="shared" ca="1" si="44"/>
        <v>#NAME?</v>
      </c>
      <c r="BV57" s="40" t="e">
        <f ca="1">INT(BU57) + _xll.RiskBinomial(1,BU57-INT(BU57))</f>
        <v>#NAME?</v>
      </c>
      <c r="BW57" s="33" t="e">
        <f t="shared" ca="1" si="15"/>
        <v>#NAME?</v>
      </c>
      <c r="BX57" s="38" t="e">
        <f ca="1">_xll.RiskBinomial(1,BW57)</f>
        <v>#NAME?</v>
      </c>
      <c r="BY57" s="86" t="e">
        <f ca="1">IF(BX57=1,_xll.RiskBinomial(1,Prob_illness_Noro_infection),0)</f>
        <v>#NAME?</v>
      </c>
      <c r="CA57" s="85" t="e">
        <f t="shared" ca="1" si="45"/>
        <v>#NAME?</v>
      </c>
      <c r="CB57" s="40" t="e">
        <f ca="1">INT(CA57) + _xll.RiskBinomial(1,CA57-INT(CA57))</f>
        <v>#NAME?</v>
      </c>
      <c r="CC57" s="33" t="e">
        <f t="shared" ca="1" si="16"/>
        <v>#NAME?</v>
      </c>
      <c r="CD57" s="38" t="e">
        <f ca="1">_xll.RiskBinomial(1,CC57)</f>
        <v>#NAME?</v>
      </c>
      <c r="CE57" s="86" t="e">
        <f ca="1">IF(CD57=1,_xll.RiskBinomial(1,Prob_illness_Noro_infection),0)</f>
        <v>#NAME?</v>
      </c>
      <c r="CG57" s="85" t="e">
        <f t="shared" ca="1" si="46"/>
        <v>#NAME?</v>
      </c>
      <c r="CH57" s="40" t="e">
        <f ca="1">INT(CG57) + _xll.RiskBinomial(1,CG57-INT(CG57))</f>
        <v>#NAME?</v>
      </c>
      <c r="CI57" s="33" t="e">
        <f t="shared" ca="1" si="17"/>
        <v>#NAME?</v>
      </c>
      <c r="CJ57" s="38" t="e">
        <f ca="1">_xll.RiskBinomial(1,CI57)</f>
        <v>#NAME?</v>
      </c>
      <c r="CK57" s="86" t="e">
        <f ca="1">IF(CJ57=1,_xll.RiskBinomial(1,Prob_illness_Noro_infection),0)</f>
        <v>#NAME?</v>
      </c>
      <c r="CM57" s="85" t="e">
        <f t="shared" ca="1" si="47"/>
        <v>#NAME?</v>
      </c>
      <c r="CN57" s="40" t="e">
        <f ca="1">INT(CM57) + _xll.RiskBinomial(1,CM57-INT(CM57))</f>
        <v>#NAME?</v>
      </c>
      <c r="CO57" s="33" t="e">
        <f t="shared" ca="1" si="18"/>
        <v>#NAME?</v>
      </c>
      <c r="CP57" s="38" t="e">
        <f ca="1">_xll.RiskBinomial(1,CO57)</f>
        <v>#NAME?</v>
      </c>
      <c r="CQ57" s="86" t="e">
        <f ca="1">IF(CP57=1,_xll.RiskBinomial(1,Prob_illness_Noro_infection),0)</f>
        <v>#NAME?</v>
      </c>
      <c r="CS57" s="85" t="e">
        <f t="shared" ca="1" si="48"/>
        <v>#NAME?</v>
      </c>
      <c r="CT57" s="40" t="e">
        <f ca="1">INT(CS57) + _xll.RiskBinomial(1,CS57-INT(CS57))</f>
        <v>#NAME?</v>
      </c>
      <c r="CU57" s="33" t="e">
        <f t="shared" ca="1" si="19"/>
        <v>#NAME?</v>
      </c>
      <c r="CV57" s="38" t="e">
        <f ca="1">_xll.RiskBinomial(1,CU57)</f>
        <v>#NAME?</v>
      </c>
      <c r="CW57" s="86" t="e">
        <f ca="1">IF(CV57=1,_xll.RiskBinomial(1,Prob_illness_Noro_infection),0)</f>
        <v>#NAME?</v>
      </c>
      <c r="CY57" s="85" t="e">
        <f t="shared" ca="1" si="49"/>
        <v>#NAME?</v>
      </c>
      <c r="CZ57" s="40" t="e">
        <f ca="1">INT(CY57) + _xll.RiskBinomial(1,CY57-INT(CY57))</f>
        <v>#NAME?</v>
      </c>
      <c r="DA57" s="33" t="e">
        <f t="shared" ca="1" si="20"/>
        <v>#NAME?</v>
      </c>
      <c r="DB57" s="38" t="e">
        <f ca="1">_xll.RiskBinomial(1,DA57)</f>
        <v>#NAME?</v>
      </c>
      <c r="DC57" s="86" t="e">
        <f ca="1">IF(DB57=1,_xll.RiskBinomial(1,Prob_illness_Noro_infection),0)</f>
        <v>#NAME?</v>
      </c>
      <c r="DE57" s="85" t="e">
        <f t="shared" ca="1" si="50"/>
        <v>#NAME?</v>
      </c>
      <c r="DF57" s="40" t="e">
        <f ca="1">INT(DE57) + _xll.RiskBinomial(1,DE57-INT(DE57))</f>
        <v>#NAME?</v>
      </c>
      <c r="DG57" s="33" t="e">
        <f t="shared" ca="1" si="21"/>
        <v>#NAME?</v>
      </c>
      <c r="DH57" s="38" t="e">
        <f ca="1">_xll.RiskBinomial(1,DG57)</f>
        <v>#NAME?</v>
      </c>
      <c r="DI57" s="86" t="e">
        <f ca="1">IF(DH57=1,_xll.RiskBinomial(1,Prob_illness_Noro_infection),0)</f>
        <v>#NAME?</v>
      </c>
      <c r="DK57" s="85" t="e">
        <f t="shared" ca="1" si="51"/>
        <v>#NAME?</v>
      </c>
      <c r="DL57" s="40" t="e">
        <f ca="1">INT(DK57) + _xll.RiskBinomial(1,DK57-INT(DK57))</f>
        <v>#NAME?</v>
      </c>
      <c r="DM57" s="33" t="e">
        <f t="shared" ca="1" si="22"/>
        <v>#NAME?</v>
      </c>
      <c r="DN57" s="38" t="e">
        <f ca="1">_xll.RiskBinomial(1,DM57)</f>
        <v>#NAME?</v>
      </c>
      <c r="DO57" s="86" t="e">
        <f ca="1">IF(DN57=1,_xll.RiskBinomial(1,Prob_illness_Noro_infection),0)</f>
        <v>#NAME?</v>
      </c>
      <c r="DQ57" s="85" t="e">
        <f t="shared" ca="1" si="52"/>
        <v>#NAME?</v>
      </c>
      <c r="DR57" s="40" t="e">
        <f ca="1">INT(DQ57) + _xll.RiskBinomial(1,DQ57-INT(DQ57))</f>
        <v>#NAME?</v>
      </c>
      <c r="DS57" s="33" t="e">
        <f t="shared" ca="1" si="23"/>
        <v>#NAME?</v>
      </c>
      <c r="DT57" s="38" t="e">
        <f ca="1">_xll.RiskBinomial(1,DS57)</f>
        <v>#NAME?</v>
      </c>
      <c r="DU57" s="86" t="e">
        <f ca="1">IF(DT57=1,_xll.RiskBinomial(1,Prob_illness_Noro_infection),0)</f>
        <v>#NAME?</v>
      </c>
      <c r="DW57" s="85" t="e">
        <f t="shared" ca="1" si="53"/>
        <v>#NAME?</v>
      </c>
      <c r="DX57" s="40" t="e">
        <f ca="1">INT(DW57) + _xll.RiskBinomial(1,DW57-INT(DW57))</f>
        <v>#NAME?</v>
      </c>
      <c r="DY57" s="33" t="e">
        <f t="shared" ca="1" si="24"/>
        <v>#NAME?</v>
      </c>
      <c r="DZ57" s="38" t="e">
        <f ca="1">_xll.RiskBinomial(1,DY57)</f>
        <v>#NAME?</v>
      </c>
      <c r="EA57" s="86" t="e">
        <f ca="1">IF(DZ57=1,_xll.RiskBinomial(1,Prob_illness_Noro_infection),0)</f>
        <v>#NAME?</v>
      </c>
      <c r="EC57" s="85" t="e">
        <f t="shared" ca="1" si="54"/>
        <v>#NAME?</v>
      </c>
      <c r="ED57" s="40" t="e">
        <f ca="1">INT(EC57) + _xll.RiskBinomial(1,EC57-INT(EC57))</f>
        <v>#NAME?</v>
      </c>
      <c r="EE57" s="33" t="e">
        <f t="shared" ca="1" si="25"/>
        <v>#NAME?</v>
      </c>
      <c r="EF57" s="38" t="e">
        <f ca="1">_xll.RiskBinomial(1,EE57)</f>
        <v>#NAME?</v>
      </c>
      <c r="EG57" s="86" t="e">
        <f ca="1">IF(EF57=1,_xll.RiskBinomial(1,Prob_illness_Noro_infection),0)</f>
        <v>#NAME?</v>
      </c>
      <c r="EI57" s="85" t="e">
        <f t="shared" ca="1" si="55"/>
        <v>#NAME?</v>
      </c>
      <c r="EJ57" s="40" t="e">
        <f ca="1">INT(EI57) + _xll.RiskBinomial(1,EI57-INT(EI57))</f>
        <v>#NAME?</v>
      </c>
      <c r="EK57" s="33" t="e">
        <f t="shared" ca="1" si="26"/>
        <v>#NAME?</v>
      </c>
      <c r="EL57" s="38" t="e">
        <f ca="1">_xll.RiskBinomial(1,EK57)</f>
        <v>#NAME?</v>
      </c>
      <c r="EM57" s="86" t="e">
        <f ca="1">IF(EL57=1,_xll.RiskBinomial(1,Prob_illness_Noro_infection),0)</f>
        <v>#NAME?</v>
      </c>
      <c r="EO57" s="85" t="e">
        <f t="shared" ca="1" si="56"/>
        <v>#NAME?</v>
      </c>
      <c r="EP57" s="40" t="e">
        <f ca="1">INT(EO57) + _xll.RiskBinomial(1,EO57-INT(EO57))</f>
        <v>#NAME?</v>
      </c>
      <c r="EQ57" s="33" t="e">
        <f t="shared" ca="1" si="27"/>
        <v>#NAME?</v>
      </c>
      <c r="ER57" s="38" t="e">
        <f ca="1">_xll.RiskBinomial(1,EQ57)</f>
        <v>#NAME?</v>
      </c>
      <c r="ES57" s="86" t="e">
        <f ca="1">IF(ER57=1,_xll.RiskBinomial(1,Prob_illness_Noro_infection),0)</f>
        <v>#NAME?</v>
      </c>
      <c r="EU57" s="85" t="e">
        <f t="shared" ca="1" si="57"/>
        <v>#NAME?</v>
      </c>
      <c r="EV57" s="40" t="e">
        <f ca="1">INT(EU57) + _xll.RiskBinomial(1,EU57-INT(EU57))</f>
        <v>#NAME?</v>
      </c>
      <c r="EW57" s="33" t="e">
        <f t="shared" ca="1" si="28"/>
        <v>#NAME?</v>
      </c>
      <c r="EX57" s="38" t="e">
        <f ca="1">_xll.RiskBinomial(1,EW57)</f>
        <v>#NAME?</v>
      </c>
      <c r="EY57" s="86" t="e">
        <f ca="1">IF(EX57=1,_xll.RiskBinomial(1,Prob_illness_Noro_infection),0)</f>
        <v>#NAME?</v>
      </c>
      <c r="FA57" s="85" t="e">
        <f t="shared" ca="1" si="58"/>
        <v>#NAME?</v>
      </c>
      <c r="FB57" s="40" t="e">
        <f ca="1">INT(FA57) + _xll.RiskBinomial(1,FA57-INT(FA57))</f>
        <v>#NAME?</v>
      </c>
      <c r="FC57" s="33" t="e">
        <f t="shared" ca="1" si="29"/>
        <v>#NAME?</v>
      </c>
      <c r="FD57" s="38" t="e">
        <f ca="1">_xll.RiskBinomial(1,FC57)</f>
        <v>#NAME?</v>
      </c>
      <c r="FE57" s="86" t="e">
        <f ca="1">IF(FD57=1,_xll.RiskBinomial(1,Prob_illness_Noro_infection),0)</f>
        <v>#NAME?</v>
      </c>
      <c r="FG57" s="85" t="e">
        <f t="shared" ca="1" si="59"/>
        <v>#NAME?</v>
      </c>
      <c r="FH57" s="40" t="e">
        <f ca="1">INT(FG57) + _xll.RiskBinomial(1,FG57-INT(FG57))</f>
        <v>#NAME?</v>
      </c>
      <c r="FI57" s="33" t="e">
        <f t="shared" ca="1" si="30"/>
        <v>#NAME?</v>
      </c>
      <c r="FJ57" s="38" t="e">
        <f ca="1">_xll.RiskBinomial(1,FI57)</f>
        <v>#NAME?</v>
      </c>
      <c r="FK57" s="86" t="e">
        <f ca="1">IF(FJ57=1,_xll.RiskBinomial(1,Prob_illness_Noro_infection),0)</f>
        <v>#NAME?</v>
      </c>
      <c r="FM57" s="85" t="e">
        <f t="shared" ca="1" si="60"/>
        <v>#NAME?</v>
      </c>
      <c r="FN57" s="40" t="e">
        <f ca="1">INT(FM57) + _xll.RiskBinomial(1,FM57-INT(FM57))</f>
        <v>#NAME?</v>
      </c>
      <c r="FO57" s="33" t="e">
        <f t="shared" ca="1" si="31"/>
        <v>#NAME?</v>
      </c>
      <c r="FP57" s="38" t="e">
        <f ca="1">_xll.RiskBinomial(1,FO57)</f>
        <v>#NAME?</v>
      </c>
      <c r="FQ57" s="86" t="e">
        <f ca="1">IF(FP57=1,_xll.RiskBinomial(1,Prob_illness_Noro_infection),0)</f>
        <v>#NAME?</v>
      </c>
      <c r="FS57" s="85" t="e">
        <f t="shared" ca="1" si="61"/>
        <v>#NAME?</v>
      </c>
      <c r="FT57" s="40" t="e">
        <f ca="1">INT(FS57) + _xll.RiskBinomial(1,FS57-INT(FS57))</f>
        <v>#NAME?</v>
      </c>
      <c r="FU57" s="33" t="e">
        <f t="shared" ca="1" si="32"/>
        <v>#NAME?</v>
      </c>
      <c r="FV57" s="38" t="e">
        <f ca="1">_xll.RiskBinomial(1,FU57)</f>
        <v>#NAME?</v>
      </c>
      <c r="FW57" s="86" t="e">
        <f ca="1">IF(FV57=1,_xll.RiskBinomial(1,Prob_illness_Noro_infection),0)</f>
        <v>#NAME?</v>
      </c>
      <c r="FY57" s="85" t="e">
        <f t="shared" ca="1" si="62"/>
        <v>#NAME?</v>
      </c>
      <c r="FZ57" s="40" t="e">
        <f ca="1">INT(FY57) + _xll.RiskBinomial(1,FY57-INT(FY57))</f>
        <v>#NAME?</v>
      </c>
      <c r="GA57" s="33" t="e">
        <f t="shared" ca="1" si="33"/>
        <v>#NAME?</v>
      </c>
      <c r="GB57" s="38" t="e">
        <f ca="1">_xll.RiskBinomial(1,GA57)</f>
        <v>#NAME?</v>
      </c>
      <c r="GC57" s="86" t="e">
        <f ca="1">IF(GB57=1,_xll.RiskBinomial(1,Prob_illness_Noro_infection),0)</f>
        <v>#NAME?</v>
      </c>
      <c r="GE57" s="85" t="e">
        <f t="shared" ca="1" si="63"/>
        <v>#NAME?</v>
      </c>
      <c r="GF57" s="40" t="e">
        <f ca="1">INT(GE57) + _xll.RiskBinomial(1,GE57-INT(GE57))</f>
        <v>#NAME?</v>
      </c>
      <c r="GG57" s="33" t="e">
        <f t="shared" ca="1" si="34"/>
        <v>#NAME?</v>
      </c>
      <c r="GH57" s="38" t="e">
        <f ca="1">_xll.RiskBinomial(1,GG57)</f>
        <v>#NAME?</v>
      </c>
      <c r="GI57" s="86" t="e">
        <f ca="1">IF(GH57=1,_xll.RiskBinomial(1,Prob_illness_Noro_infection),0)</f>
        <v>#NAME?</v>
      </c>
      <c r="GK57" s="85" t="e">
        <f t="shared" ca="1" si="64"/>
        <v>#NAME?</v>
      </c>
      <c r="GL57" s="40" t="e">
        <f ca="1">INT(GK57) + _xll.RiskBinomial(1,GK57-INT(GK57))</f>
        <v>#NAME?</v>
      </c>
      <c r="GM57" s="33" t="e">
        <f t="shared" ca="1" si="35"/>
        <v>#NAME?</v>
      </c>
      <c r="GN57" s="38" t="e">
        <f ca="1">_xll.RiskBinomial(1,GM57)</f>
        <v>#NAME?</v>
      </c>
      <c r="GO57" s="86" t="e">
        <f ca="1">IF(GN57=1,_xll.RiskBinomial(1,Prob_illness_Noro_infection),0)</f>
        <v>#NAME?</v>
      </c>
    </row>
    <row r="58" spans="2:197" x14ac:dyDescent="0.25">
      <c r="B58" s="106">
        <v>50</v>
      </c>
      <c r="C58" s="109" t="e">
        <f ca="1" xml:space="preserve"> _xll.RiskPert(Dur_Swim_hours_min,Dur_Swim_hours_mode,Dur_Swim_hours_max)</f>
        <v>#NAME?</v>
      </c>
      <c r="D58" s="33" t="e">
        <f ca="1">_xll.RiskLognorm(Primary_Ing_Rate_mL_per_hour_mean,Primary_Ing_Rate_mL_per_hour_sd, _xll.RiskTruncate(Primary_Ing_Rate_mL_per_hour_min,Primary_Ing_Rate_mL_per_hour_max))</f>
        <v>#NAME?</v>
      </c>
      <c r="E58" s="41" t="e">
        <f t="shared" ca="1" si="36"/>
        <v>#NAME?</v>
      </c>
      <c r="F58" s="33"/>
      <c r="G58" s="85" t="e">
        <f t="shared" ca="1" si="37"/>
        <v>#NAME?</v>
      </c>
      <c r="H58" s="40" t="e">
        <f ca="1">INT(G58) + _xll.RiskBinomial(1,G58-INT(G58))</f>
        <v>#NAME?</v>
      </c>
      <c r="I58" s="33" t="e">
        <f t="shared" ca="1" si="0"/>
        <v>#NAME?</v>
      </c>
      <c r="J58" s="38" t="e">
        <f ca="1">_xll.RiskBinomial(1,I58)</f>
        <v>#NAME?</v>
      </c>
      <c r="K58" s="86" t="e">
        <f ca="1">IF(J58=1,_xll.RiskBinomial(1,Prob_illness_Noro_infection),0)</f>
        <v>#NAME?</v>
      </c>
      <c r="L58" s="33"/>
      <c r="M58" s="85" t="e">
        <f t="shared" ca="1" si="38"/>
        <v>#NAME?</v>
      </c>
      <c r="N58" s="40" t="e">
        <f ca="1">INT(M58) + _xll.RiskBinomial(1,M58-INT(M58))</f>
        <v>#NAME?</v>
      </c>
      <c r="O58" s="33" t="e">
        <f t="shared" ca="1" si="1"/>
        <v>#NAME?</v>
      </c>
      <c r="P58" s="38" t="e">
        <f ca="1">_xll.RiskBinomial(1,O58)</f>
        <v>#NAME?</v>
      </c>
      <c r="Q58" s="86" t="e">
        <f ca="1">IF(P58=1,_xll.RiskBinomial(1,Prob_illness_Noro_infection),0)</f>
        <v>#NAME?</v>
      </c>
      <c r="R58" s="33"/>
      <c r="S58" s="85" t="e">
        <f t="shared" ca="1" si="39"/>
        <v>#NAME?</v>
      </c>
      <c r="T58" s="40" t="e">
        <f ca="1">INT(S58) + _xll.RiskBinomial(1,S58-INT(S58))</f>
        <v>#NAME?</v>
      </c>
      <c r="U58" s="33" t="e">
        <f t="shared" ca="1" si="2"/>
        <v>#NAME?</v>
      </c>
      <c r="V58" s="38" t="e">
        <f ca="1">_xll.RiskBinomial(1,U58)</f>
        <v>#NAME?</v>
      </c>
      <c r="W58" s="86" t="e">
        <f ca="1">IF(V58=1,_xll.RiskBinomial(1,Prob_illness_Noro_infection),0)</f>
        <v>#NAME?</v>
      </c>
      <c r="X58" s="33"/>
      <c r="Y58" s="85" t="e">
        <f t="shared" ca="1" si="3"/>
        <v>#NAME?</v>
      </c>
      <c r="Z58" s="40" t="e">
        <f ca="1">INT(Y58) + _xll.RiskBinomial(1,Y58-INT(Y58))</f>
        <v>#NAME?</v>
      </c>
      <c r="AA58" s="33" t="e">
        <f t="shared" ca="1" si="4"/>
        <v>#NAME?</v>
      </c>
      <c r="AB58" s="38" t="e">
        <f ca="1">_xll.RiskBinomial(1,AA58)</f>
        <v>#NAME?</v>
      </c>
      <c r="AC58" s="86" t="e">
        <f ca="1">IF(AB58=1,_xll.RiskBinomial(1,Prob_illness_Noro_infection),0)</f>
        <v>#NAME?</v>
      </c>
      <c r="AD58" s="33"/>
      <c r="AE58" s="85" t="e">
        <f t="shared" ca="1" si="5"/>
        <v>#NAME?</v>
      </c>
      <c r="AF58" s="40" t="e">
        <f ca="1">INT(AE58) + _xll.RiskBinomial(1,AE58-INT(AE58))</f>
        <v>#NAME?</v>
      </c>
      <c r="AG58" s="33" t="e">
        <f t="shared" ca="1" si="6"/>
        <v>#NAME?</v>
      </c>
      <c r="AH58" s="38" t="e">
        <f ca="1">_xll.RiskBinomial(1,AG58)</f>
        <v>#NAME?</v>
      </c>
      <c r="AI58" s="86" t="e">
        <f ca="1">IF(AH58=1,_xll.RiskBinomial(1,Prob_illness_Noro_infection),0)</f>
        <v>#NAME?</v>
      </c>
      <c r="AJ58" s="33"/>
      <c r="AK58" s="85" t="e">
        <f t="shared" ca="1" si="7"/>
        <v>#NAME?</v>
      </c>
      <c r="AL58" s="40" t="e">
        <f ca="1">INT(AK58) + _xll.RiskBinomial(1,AK58-INT(AK58))</f>
        <v>#NAME?</v>
      </c>
      <c r="AM58" s="33" t="e">
        <f t="shared" ca="1" si="8"/>
        <v>#NAME?</v>
      </c>
      <c r="AN58" s="38" t="e">
        <f ca="1">_xll.RiskBinomial(1,AM58)</f>
        <v>#NAME?</v>
      </c>
      <c r="AO58" s="86" t="e">
        <f ca="1">IF(AN58=1,_xll.RiskBinomial(1,Prob_illness_Noro_infection),0)</f>
        <v>#NAME?</v>
      </c>
      <c r="AP58" s="33"/>
      <c r="AQ58" s="85" t="e">
        <f t="shared" ca="1" si="65"/>
        <v>#NAME?</v>
      </c>
      <c r="AR58" s="40" t="e">
        <f ca="1">INT(AQ58) + _xll.RiskBinomial(1,AQ58-INT(AQ58))</f>
        <v>#NAME?</v>
      </c>
      <c r="AS58" s="33" t="e">
        <f t="shared" ca="1" si="10"/>
        <v>#NAME?</v>
      </c>
      <c r="AT58" s="38" t="e">
        <f ca="1">_xll.RiskBinomial(1,AS58)</f>
        <v>#NAME?</v>
      </c>
      <c r="AU58" s="86" t="e">
        <f ca="1">IF(AT58=1,_xll.RiskBinomial(1,Prob_illness_Noro_infection),0)</f>
        <v>#NAME?</v>
      </c>
      <c r="AV58" s="33"/>
      <c r="AW58" s="85" t="e">
        <f t="shared" ca="1" si="40"/>
        <v>#NAME?</v>
      </c>
      <c r="AX58" s="40" t="e">
        <f ca="1">INT(AW58) + _xll.RiskBinomial(1,AW58-INT(AW58))</f>
        <v>#NAME?</v>
      </c>
      <c r="AY58" s="33" t="e">
        <f t="shared" ca="1" si="11"/>
        <v>#NAME?</v>
      </c>
      <c r="AZ58" s="38" t="e">
        <f ca="1">_xll.RiskBinomial(1,AY58)</f>
        <v>#NAME?</v>
      </c>
      <c r="BA58" s="86" t="e">
        <f ca="1">IF(AZ58=1,_xll.RiskBinomial(1,Prob_illness_Noro_infection),0)</f>
        <v>#NAME?</v>
      </c>
      <c r="BC58" s="85" t="e">
        <f t="shared" ca="1" si="41"/>
        <v>#NAME?</v>
      </c>
      <c r="BD58" s="40" t="e">
        <f ca="1">INT(BC58) + _xll.RiskBinomial(1,BC58-INT(BC58))</f>
        <v>#NAME?</v>
      </c>
      <c r="BE58" s="33" t="e">
        <f t="shared" ca="1" si="12"/>
        <v>#NAME?</v>
      </c>
      <c r="BF58" s="38" t="e">
        <f ca="1">_xll.RiskBinomial(1,BE58)</f>
        <v>#NAME?</v>
      </c>
      <c r="BG58" s="86" t="e">
        <f ca="1">IF(BF58=1,_xll.RiskBinomial(1,Prob_illness_Noro_infection),0)</f>
        <v>#NAME?</v>
      </c>
      <c r="BI58" s="85" t="e">
        <f t="shared" ca="1" si="42"/>
        <v>#NAME?</v>
      </c>
      <c r="BJ58" s="40" t="e">
        <f ca="1">INT(BI58) + _xll.RiskBinomial(1,BI58-INT(BI58))</f>
        <v>#NAME?</v>
      </c>
      <c r="BK58" s="33" t="e">
        <f t="shared" ca="1" si="13"/>
        <v>#NAME?</v>
      </c>
      <c r="BL58" s="38" t="e">
        <f ca="1">_xll.RiskBinomial(1,BK58)</f>
        <v>#NAME?</v>
      </c>
      <c r="BM58" s="86" t="e">
        <f ca="1">IF(BL58=1,_xll.RiskBinomial(1,Prob_illness_Noro_infection),0)</f>
        <v>#NAME?</v>
      </c>
      <c r="BO58" s="85" t="e">
        <f t="shared" ca="1" si="43"/>
        <v>#NAME?</v>
      </c>
      <c r="BP58" s="40" t="e">
        <f ca="1">INT(BO58) + _xll.RiskBinomial(1,BO58-INT(BO58))</f>
        <v>#NAME?</v>
      </c>
      <c r="BQ58" s="33" t="e">
        <f t="shared" ca="1" si="14"/>
        <v>#NAME?</v>
      </c>
      <c r="BR58" s="38" t="e">
        <f ca="1">_xll.RiskBinomial(1,BQ58)</f>
        <v>#NAME?</v>
      </c>
      <c r="BS58" s="86" t="e">
        <f ca="1">IF(BR58=1,_xll.RiskBinomial(1,Prob_illness_Noro_infection),0)</f>
        <v>#NAME?</v>
      </c>
      <c r="BU58" s="85" t="e">
        <f t="shared" ca="1" si="44"/>
        <v>#NAME?</v>
      </c>
      <c r="BV58" s="40" t="e">
        <f ca="1">INT(BU58) + _xll.RiskBinomial(1,BU58-INT(BU58))</f>
        <v>#NAME?</v>
      </c>
      <c r="BW58" s="33" t="e">
        <f t="shared" ca="1" si="15"/>
        <v>#NAME?</v>
      </c>
      <c r="BX58" s="38" t="e">
        <f ca="1">_xll.RiskBinomial(1,BW58)</f>
        <v>#NAME?</v>
      </c>
      <c r="BY58" s="86" t="e">
        <f ca="1">IF(BX58=1,_xll.RiskBinomial(1,Prob_illness_Noro_infection),0)</f>
        <v>#NAME?</v>
      </c>
      <c r="CA58" s="85" t="e">
        <f t="shared" ca="1" si="45"/>
        <v>#NAME?</v>
      </c>
      <c r="CB58" s="40" t="e">
        <f ca="1">INT(CA58) + _xll.RiskBinomial(1,CA58-INT(CA58))</f>
        <v>#NAME?</v>
      </c>
      <c r="CC58" s="33" t="e">
        <f t="shared" ca="1" si="16"/>
        <v>#NAME?</v>
      </c>
      <c r="CD58" s="38" t="e">
        <f ca="1">_xll.RiskBinomial(1,CC58)</f>
        <v>#NAME?</v>
      </c>
      <c r="CE58" s="86" t="e">
        <f ca="1">IF(CD58=1,_xll.RiskBinomial(1,Prob_illness_Noro_infection),0)</f>
        <v>#NAME?</v>
      </c>
      <c r="CG58" s="85" t="e">
        <f t="shared" ca="1" si="46"/>
        <v>#NAME?</v>
      </c>
      <c r="CH58" s="40" t="e">
        <f ca="1">INT(CG58) + _xll.RiskBinomial(1,CG58-INT(CG58))</f>
        <v>#NAME?</v>
      </c>
      <c r="CI58" s="33" t="e">
        <f t="shared" ca="1" si="17"/>
        <v>#NAME?</v>
      </c>
      <c r="CJ58" s="38" t="e">
        <f ca="1">_xll.RiskBinomial(1,CI58)</f>
        <v>#NAME?</v>
      </c>
      <c r="CK58" s="86" t="e">
        <f ca="1">IF(CJ58=1,_xll.RiskBinomial(1,Prob_illness_Noro_infection),0)</f>
        <v>#NAME?</v>
      </c>
      <c r="CM58" s="85" t="e">
        <f t="shared" ca="1" si="47"/>
        <v>#NAME?</v>
      </c>
      <c r="CN58" s="40" t="e">
        <f ca="1">INT(CM58) + _xll.RiskBinomial(1,CM58-INT(CM58))</f>
        <v>#NAME?</v>
      </c>
      <c r="CO58" s="33" t="e">
        <f t="shared" ca="1" si="18"/>
        <v>#NAME?</v>
      </c>
      <c r="CP58" s="38" t="e">
        <f ca="1">_xll.RiskBinomial(1,CO58)</f>
        <v>#NAME?</v>
      </c>
      <c r="CQ58" s="86" t="e">
        <f ca="1">IF(CP58=1,_xll.RiskBinomial(1,Prob_illness_Noro_infection),0)</f>
        <v>#NAME?</v>
      </c>
      <c r="CS58" s="85" t="e">
        <f t="shared" ca="1" si="48"/>
        <v>#NAME?</v>
      </c>
      <c r="CT58" s="40" t="e">
        <f ca="1">INT(CS58) + _xll.RiskBinomial(1,CS58-INT(CS58))</f>
        <v>#NAME?</v>
      </c>
      <c r="CU58" s="33" t="e">
        <f t="shared" ca="1" si="19"/>
        <v>#NAME?</v>
      </c>
      <c r="CV58" s="38" t="e">
        <f ca="1">_xll.RiskBinomial(1,CU58)</f>
        <v>#NAME?</v>
      </c>
      <c r="CW58" s="86" t="e">
        <f ca="1">IF(CV58=1,_xll.RiskBinomial(1,Prob_illness_Noro_infection),0)</f>
        <v>#NAME?</v>
      </c>
      <c r="CY58" s="85" t="e">
        <f t="shared" ca="1" si="49"/>
        <v>#NAME?</v>
      </c>
      <c r="CZ58" s="40" t="e">
        <f ca="1">INT(CY58) + _xll.RiskBinomial(1,CY58-INT(CY58))</f>
        <v>#NAME?</v>
      </c>
      <c r="DA58" s="33" t="e">
        <f t="shared" ca="1" si="20"/>
        <v>#NAME?</v>
      </c>
      <c r="DB58" s="38" t="e">
        <f ca="1">_xll.RiskBinomial(1,DA58)</f>
        <v>#NAME?</v>
      </c>
      <c r="DC58" s="86" t="e">
        <f ca="1">IF(DB58=1,_xll.RiskBinomial(1,Prob_illness_Noro_infection),0)</f>
        <v>#NAME?</v>
      </c>
      <c r="DE58" s="85" t="e">
        <f t="shared" ca="1" si="50"/>
        <v>#NAME?</v>
      </c>
      <c r="DF58" s="40" t="e">
        <f ca="1">INT(DE58) + _xll.RiskBinomial(1,DE58-INT(DE58))</f>
        <v>#NAME?</v>
      </c>
      <c r="DG58" s="33" t="e">
        <f t="shared" ca="1" si="21"/>
        <v>#NAME?</v>
      </c>
      <c r="DH58" s="38" t="e">
        <f ca="1">_xll.RiskBinomial(1,DG58)</f>
        <v>#NAME?</v>
      </c>
      <c r="DI58" s="86" t="e">
        <f ca="1">IF(DH58=1,_xll.RiskBinomial(1,Prob_illness_Noro_infection),0)</f>
        <v>#NAME?</v>
      </c>
      <c r="DK58" s="85" t="e">
        <f t="shared" ca="1" si="51"/>
        <v>#NAME?</v>
      </c>
      <c r="DL58" s="40" t="e">
        <f ca="1">INT(DK58) + _xll.RiskBinomial(1,DK58-INT(DK58))</f>
        <v>#NAME?</v>
      </c>
      <c r="DM58" s="33" t="e">
        <f t="shared" ca="1" si="22"/>
        <v>#NAME?</v>
      </c>
      <c r="DN58" s="38" t="e">
        <f ca="1">_xll.RiskBinomial(1,DM58)</f>
        <v>#NAME?</v>
      </c>
      <c r="DO58" s="86" t="e">
        <f ca="1">IF(DN58=1,_xll.RiskBinomial(1,Prob_illness_Noro_infection),0)</f>
        <v>#NAME?</v>
      </c>
      <c r="DQ58" s="85" t="e">
        <f t="shared" ca="1" si="52"/>
        <v>#NAME?</v>
      </c>
      <c r="DR58" s="40" t="e">
        <f ca="1">INT(DQ58) + _xll.RiskBinomial(1,DQ58-INT(DQ58))</f>
        <v>#NAME?</v>
      </c>
      <c r="DS58" s="33" t="e">
        <f t="shared" ca="1" si="23"/>
        <v>#NAME?</v>
      </c>
      <c r="DT58" s="38" t="e">
        <f ca="1">_xll.RiskBinomial(1,DS58)</f>
        <v>#NAME?</v>
      </c>
      <c r="DU58" s="86" t="e">
        <f ca="1">IF(DT58=1,_xll.RiskBinomial(1,Prob_illness_Noro_infection),0)</f>
        <v>#NAME?</v>
      </c>
      <c r="DW58" s="85" t="e">
        <f t="shared" ca="1" si="53"/>
        <v>#NAME?</v>
      </c>
      <c r="DX58" s="40" t="e">
        <f ca="1">INT(DW58) + _xll.RiskBinomial(1,DW58-INT(DW58))</f>
        <v>#NAME?</v>
      </c>
      <c r="DY58" s="33" t="e">
        <f t="shared" ca="1" si="24"/>
        <v>#NAME?</v>
      </c>
      <c r="DZ58" s="38" t="e">
        <f ca="1">_xll.RiskBinomial(1,DY58)</f>
        <v>#NAME?</v>
      </c>
      <c r="EA58" s="86" t="e">
        <f ca="1">IF(DZ58=1,_xll.RiskBinomial(1,Prob_illness_Noro_infection),0)</f>
        <v>#NAME?</v>
      </c>
      <c r="EC58" s="85" t="e">
        <f t="shared" ca="1" si="54"/>
        <v>#NAME?</v>
      </c>
      <c r="ED58" s="40" t="e">
        <f ca="1">INT(EC58) + _xll.RiskBinomial(1,EC58-INT(EC58))</f>
        <v>#NAME?</v>
      </c>
      <c r="EE58" s="33" t="e">
        <f t="shared" ca="1" si="25"/>
        <v>#NAME?</v>
      </c>
      <c r="EF58" s="38" t="e">
        <f ca="1">_xll.RiskBinomial(1,EE58)</f>
        <v>#NAME?</v>
      </c>
      <c r="EG58" s="86" t="e">
        <f ca="1">IF(EF58=1,_xll.RiskBinomial(1,Prob_illness_Noro_infection),0)</f>
        <v>#NAME?</v>
      </c>
      <c r="EI58" s="85" t="e">
        <f t="shared" ca="1" si="55"/>
        <v>#NAME?</v>
      </c>
      <c r="EJ58" s="40" t="e">
        <f ca="1">INT(EI58) + _xll.RiskBinomial(1,EI58-INT(EI58))</f>
        <v>#NAME?</v>
      </c>
      <c r="EK58" s="33" t="e">
        <f t="shared" ca="1" si="26"/>
        <v>#NAME?</v>
      </c>
      <c r="EL58" s="38" t="e">
        <f ca="1">_xll.RiskBinomial(1,EK58)</f>
        <v>#NAME?</v>
      </c>
      <c r="EM58" s="86" t="e">
        <f ca="1">IF(EL58=1,_xll.RiskBinomial(1,Prob_illness_Noro_infection),0)</f>
        <v>#NAME?</v>
      </c>
      <c r="EO58" s="85" t="e">
        <f t="shared" ca="1" si="56"/>
        <v>#NAME?</v>
      </c>
      <c r="EP58" s="40" t="e">
        <f ca="1">INT(EO58) + _xll.RiskBinomial(1,EO58-INT(EO58))</f>
        <v>#NAME?</v>
      </c>
      <c r="EQ58" s="33" t="e">
        <f t="shared" ca="1" si="27"/>
        <v>#NAME?</v>
      </c>
      <c r="ER58" s="38" t="e">
        <f ca="1">_xll.RiskBinomial(1,EQ58)</f>
        <v>#NAME?</v>
      </c>
      <c r="ES58" s="86" t="e">
        <f ca="1">IF(ER58=1,_xll.RiskBinomial(1,Prob_illness_Noro_infection),0)</f>
        <v>#NAME?</v>
      </c>
      <c r="EU58" s="85" t="e">
        <f t="shared" ca="1" si="57"/>
        <v>#NAME?</v>
      </c>
      <c r="EV58" s="40" t="e">
        <f ca="1">INT(EU58) + _xll.RiskBinomial(1,EU58-INT(EU58))</f>
        <v>#NAME?</v>
      </c>
      <c r="EW58" s="33" t="e">
        <f t="shared" ca="1" si="28"/>
        <v>#NAME?</v>
      </c>
      <c r="EX58" s="38" t="e">
        <f ca="1">_xll.RiskBinomial(1,EW58)</f>
        <v>#NAME?</v>
      </c>
      <c r="EY58" s="86" t="e">
        <f ca="1">IF(EX58=1,_xll.RiskBinomial(1,Prob_illness_Noro_infection),0)</f>
        <v>#NAME?</v>
      </c>
      <c r="FA58" s="85" t="e">
        <f t="shared" ca="1" si="58"/>
        <v>#NAME?</v>
      </c>
      <c r="FB58" s="40" t="e">
        <f ca="1">INT(FA58) + _xll.RiskBinomial(1,FA58-INT(FA58))</f>
        <v>#NAME?</v>
      </c>
      <c r="FC58" s="33" t="e">
        <f t="shared" ca="1" si="29"/>
        <v>#NAME?</v>
      </c>
      <c r="FD58" s="38" t="e">
        <f ca="1">_xll.RiskBinomial(1,FC58)</f>
        <v>#NAME?</v>
      </c>
      <c r="FE58" s="86" t="e">
        <f ca="1">IF(FD58=1,_xll.RiskBinomial(1,Prob_illness_Noro_infection),0)</f>
        <v>#NAME?</v>
      </c>
      <c r="FG58" s="85" t="e">
        <f t="shared" ca="1" si="59"/>
        <v>#NAME?</v>
      </c>
      <c r="FH58" s="40" t="e">
        <f ca="1">INT(FG58) + _xll.RiskBinomial(1,FG58-INT(FG58))</f>
        <v>#NAME?</v>
      </c>
      <c r="FI58" s="33" t="e">
        <f t="shared" ca="1" si="30"/>
        <v>#NAME?</v>
      </c>
      <c r="FJ58" s="38" t="e">
        <f ca="1">_xll.RiskBinomial(1,FI58)</f>
        <v>#NAME?</v>
      </c>
      <c r="FK58" s="86" t="e">
        <f ca="1">IF(FJ58=1,_xll.RiskBinomial(1,Prob_illness_Noro_infection),0)</f>
        <v>#NAME?</v>
      </c>
      <c r="FM58" s="85" t="e">
        <f t="shared" ca="1" si="60"/>
        <v>#NAME?</v>
      </c>
      <c r="FN58" s="40" t="e">
        <f ca="1">INT(FM58) + _xll.RiskBinomial(1,FM58-INT(FM58))</f>
        <v>#NAME?</v>
      </c>
      <c r="FO58" s="33" t="e">
        <f t="shared" ca="1" si="31"/>
        <v>#NAME?</v>
      </c>
      <c r="FP58" s="38" t="e">
        <f ca="1">_xll.RiskBinomial(1,FO58)</f>
        <v>#NAME?</v>
      </c>
      <c r="FQ58" s="86" t="e">
        <f ca="1">IF(FP58=1,_xll.RiskBinomial(1,Prob_illness_Noro_infection),0)</f>
        <v>#NAME?</v>
      </c>
      <c r="FS58" s="85" t="e">
        <f t="shared" ca="1" si="61"/>
        <v>#NAME?</v>
      </c>
      <c r="FT58" s="40" t="e">
        <f ca="1">INT(FS58) + _xll.RiskBinomial(1,FS58-INT(FS58))</f>
        <v>#NAME?</v>
      </c>
      <c r="FU58" s="33" t="e">
        <f t="shared" ca="1" si="32"/>
        <v>#NAME?</v>
      </c>
      <c r="FV58" s="38" t="e">
        <f ca="1">_xll.RiskBinomial(1,FU58)</f>
        <v>#NAME?</v>
      </c>
      <c r="FW58" s="86" t="e">
        <f ca="1">IF(FV58=1,_xll.RiskBinomial(1,Prob_illness_Noro_infection),0)</f>
        <v>#NAME?</v>
      </c>
      <c r="FY58" s="85" t="e">
        <f t="shared" ca="1" si="62"/>
        <v>#NAME?</v>
      </c>
      <c r="FZ58" s="40" t="e">
        <f ca="1">INT(FY58) + _xll.RiskBinomial(1,FY58-INT(FY58))</f>
        <v>#NAME?</v>
      </c>
      <c r="GA58" s="33" t="e">
        <f t="shared" ca="1" si="33"/>
        <v>#NAME?</v>
      </c>
      <c r="GB58" s="38" t="e">
        <f ca="1">_xll.RiskBinomial(1,GA58)</f>
        <v>#NAME?</v>
      </c>
      <c r="GC58" s="86" t="e">
        <f ca="1">IF(GB58=1,_xll.RiskBinomial(1,Prob_illness_Noro_infection),0)</f>
        <v>#NAME?</v>
      </c>
      <c r="GE58" s="85" t="e">
        <f t="shared" ca="1" si="63"/>
        <v>#NAME?</v>
      </c>
      <c r="GF58" s="40" t="e">
        <f ca="1">INT(GE58) + _xll.RiskBinomial(1,GE58-INT(GE58))</f>
        <v>#NAME?</v>
      </c>
      <c r="GG58" s="33" t="e">
        <f t="shared" ca="1" si="34"/>
        <v>#NAME?</v>
      </c>
      <c r="GH58" s="38" t="e">
        <f ca="1">_xll.RiskBinomial(1,GG58)</f>
        <v>#NAME?</v>
      </c>
      <c r="GI58" s="86" t="e">
        <f ca="1">IF(GH58=1,_xll.RiskBinomial(1,Prob_illness_Noro_infection),0)</f>
        <v>#NAME?</v>
      </c>
      <c r="GK58" s="85" t="e">
        <f t="shared" ca="1" si="64"/>
        <v>#NAME?</v>
      </c>
      <c r="GL58" s="40" t="e">
        <f ca="1">INT(GK58) + _xll.RiskBinomial(1,GK58-INT(GK58))</f>
        <v>#NAME?</v>
      </c>
      <c r="GM58" s="33" t="e">
        <f t="shared" ca="1" si="35"/>
        <v>#NAME?</v>
      </c>
      <c r="GN58" s="38" t="e">
        <f ca="1">_xll.RiskBinomial(1,GM58)</f>
        <v>#NAME?</v>
      </c>
      <c r="GO58" s="86" t="e">
        <f ca="1">IF(GN58=1,_xll.RiskBinomial(1,Prob_illness_Noro_infection),0)</f>
        <v>#NAME?</v>
      </c>
    </row>
    <row r="59" spans="2:197" x14ac:dyDescent="0.25">
      <c r="B59" s="106">
        <v>51</v>
      </c>
      <c r="C59" s="109" t="e">
        <f ca="1" xml:space="preserve"> _xll.RiskPert(Dur_Swim_hours_min,Dur_Swim_hours_mode,Dur_Swim_hours_max)</f>
        <v>#NAME?</v>
      </c>
      <c r="D59" s="33" t="e">
        <f ca="1">_xll.RiskLognorm(Primary_Ing_Rate_mL_per_hour_mean,Primary_Ing_Rate_mL_per_hour_sd, _xll.RiskTruncate(Primary_Ing_Rate_mL_per_hour_min,Primary_Ing_Rate_mL_per_hour_max))</f>
        <v>#NAME?</v>
      </c>
      <c r="E59" s="41" t="e">
        <f t="shared" ca="1" si="36"/>
        <v>#NAME?</v>
      </c>
      <c r="F59" s="33"/>
      <c r="G59" s="85" t="e">
        <f t="shared" ca="1" si="37"/>
        <v>#NAME?</v>
      </c>
      <c r="H59" s="40" t="e">
        <f ca="1">INT(G59) + _xll.RiskBinomial(1,G59-INT(G59))</f>
        <v>#NAME?</v>
      </c>
      <c r="I59" s="33" t="e">
        <f t="shared" ca="1" si="0"/>
        <v>#NAME?</v>
      </c>
      <c r="J59" s="38" t="e">
        <f ca="1">_xll.RiskBinomial(1,I59)</f>
        <v>#NAME?</v>
      </c>
      <c r="K59" s="86" t="e">
        <f ca="1">IF(J59=1,_xll.RiskBinomial(1,Prob_illness_Noro_infection),0)</f>
        <v>#NAME?</v>
      </c>
      <c r="L59" s="33"/>
      <c r="M59" s="85" t="e">
        <f t="shared" ca="1" si="38"/>
        <v>#NAME?</v>
      </c>
      <c r="N59" s="40" t="e">
        <f ca="1">INT(M59) + _xll.RiskBinomial(1,M59-INT(M59))</f>
        <v>#NAME?</v>
      </c>
      <c r="O59" s="33" t="e">
        <f t="shared" ca="1" si="1"/>
        <v>#NAME?</v>
      </c>
      <c r="P59" s="38" t="e">
        <f ca="1">_xll.RiskBinomial(1,O59)</f>
        <v>#NAME?</v>
      </c>
      <c r="Q59" s="86" t="e">
        <f ca="1">IF(P59=1,_xll.RiskBinomial(1,Prob_illness_Noro_infection),0)</f>
        <v>#NAME?</v>
      </c>
      <c r="R59" s="33"/>
      <c r="S59" s="85" t="e">
        <f t="shared" ca="1" si="39"/>
        <v>#NAME?</v>
      </c>
      <c r="T59" s="40" t="e">
        <f ca="1">INT(S59) + _xll.RiskBinomial(1,S59-INT(S59))</f>
        <v>#NAME?</v>
      </c>
      <c r="U59" s="33" t="e">
        <f t="shared" ca="1" si="2"/>
        <v>#NAME?</v>
      </c>
      <c r="V59" s="38" t="e">
        <f ca="1">_xll.RiskBinomial(1,U59)</f>
        <v>#NAME?</v>
      </c>
      <c r="W59" s="86" t="e">
        <f ca="1">IF(V59=1,_xll.RiskBinomial(1,Prob_illness_Noro_infection),0)</f>
        <v>#NAME?</v>
      </c>
      <c r="X59" s="33"/>
      <c r="Y59" s="85" t="e">
        <f t="shared" ca="1" si="3"/>
        <v>#NAME?</v>
      </c>
      <c r="Z59" s="40" t="e">
        <f ca="1">INT(Y59) + _xll.RiskBinomial(1,Y59-INT(Y59))</f>
        <v>#NAME?</v>
      </c>
      <c r="AA59" s="33" t="e">
        <f t="shared" ca="1" si="4"/>
        <v>#NAME?</v>
      </c>
      <c r="AB59" s="38" t="e">
        <f ca="1">_xll.RiskBinomial(1,AA59)</f>
        <v>#NAME?</v>
      </c>
      <c r="AC59" s="86" t="e">
        <f ca="1">IF(AB59=1,_xll.RiskBinomial(1,Prob_illness_Noro_infection),0)</f>
        <v>#NAME?</v>
      </c>
      <c r="AD59" s="33"/>
      <c r="AE59" s="85" t="e">
        <f t="shared" ca="1" si="5"/>
        <v>#NAME?</v>
      </c>
      <c r="AF59" s="40" t="e">
        <f ca="1">INT(AE59) + _xll.RiskBinomial(1,AE59-INT(AE59))</f>
        <v>#NAME?</v>
      </c>
      <c r="AG59" s="33" t="e">
        <f t="shared" ca="1" si="6"/>
        <v>#NAME?</v>
      </c>
      <c r="AH59" s="38" t="e">
        <f ca="1">_xll.RiskBinomial(1,AG59)</f>
        <v>#NAME?</v>
      </c>
      <c r="AI59" s="86" t="e">
        <f ca="1">IF(AH59=1,_xll.RiskBinomial(1,Prob_illness_Noro_infection),0)</f>
        <v>#NAME?</v>
      </c>
      <c r="AJ59" s="33"/>
      <c r="AK59" s="85" t="e">
        <f t="shared" ca="1" si="7"/>
        <v>#NAME?</v>
      </c>
      <c r="AL59" s="40" t="e">
        <f ca="1">INT(AK59) + _xll.RiskBinomial(1,AK59-INT(AK59))</f>
        <v>#NAME?</v>
      </c>
      <c r="AM59" s="33" t="e">
        <f t="shared" ca="1" si="8"/>
        <v>#NAME?</v>
      </c>
      <c r="AN59" s="38" t="e">
        <f ca="1">_xll.RiskBinomial(1,AM59)</f>
        <v>#NAME?</v>
      </c>
      <c r="AO59" s="86" t="e">
        <f ca="1">IF(AN59=1,_xll.RiskBinomial(1,Prob_illness_Noro_infection),0)</f>
        <v>#NAME?</v>
      </c>
      <c r="AP59" s="33"/>
      <c r="AQ59" s="85" t="e">
        <f t="shared" ca="1" si="65"/>
        <v>#NAME?</v>
      </c>
      <c r="AR59" s="40" t="e">
        <f ca="1">INT(AQ59) + _xll.RiskBinomial(1,AQ59-INT(AQ59))</f>
        <v>#NAME?</v>
      </c>
      <c r="AS59" s="33" t="e">
        <f t="shared" ca="1" si="10"/>
        <v>#NAME?</v>
      </c>
      <c r="AT59" s="38" t="e">
        <f ca="1">_xll.RiskBinomial(1,AS59)</f>
        <v>#NAME?</v>
      </c>
      <c r="AU59" s="86" t="e">
        <f ca="1">IF(AT59=1,_xll.RiskBinomial(1,Prob_illness_Noro_infection),0)</f>
        <v>#NAME?</v>
      </c>
      <c r="AV59" s="33"/>
      <c r="AW59" s="85" t="e">
        <f t="shared" ca="1" si="40"/>
        <v>#NAME?</v>
      </c>
      <c r="AX59" s="40" t="e">
        <f ca="1">INT(AW59) + _xll.RiskBinomial(1,AW59-INT(AW59))</f>
        <v>#NAME?</v>
      </c>
      <c r="AY59" s="33" t="e">
        <f t="shared" ca="1" si="11"/>
        <v>#NAME?</v>
      </c>
      <c r="AZ59" s="38" t="e">
        <f ca="1">_xll.RiskBinomial(1,AY59)</f>
        <v>#NAME?</v>
      </c>
      <c r="BA59" s="86" t="e">
        <f ca="1">IF(AZ59=1,_xll.RiskBinomial(1,Prob_illness_Noro_infection),0)</f>
        <v>#NAME?</v>
      </c>
      <c r="BC59" s="85" t="e">
        <f t="shared" ca="1" si="41"/>
        <v>#NAME?</v>
      </c>
      <c r="BD59" s="40" t="e">
        <f ca="1">INT(BC59) + _xll.RiskBinomial(1,BC59-INT(BC59))</f>
        <v>#NAME?</v>
      </c>
      <c r="BE59" s="33" t="e">
        <f t="shared" ca="1" si="12"/>
        <v>#NAME?</v>
      </c>
      <c r="BF59" s="38" t="e">
        <f ca="1">_xll.RiskBinomial(1,BE59)</f>
        <v>#NAME?</v>
      </c>
      <c r="BG59" s="86" t="e">
        <f ca="1">IF(BF59=1,_xll.RiskBinomial(1,Prob_illness_Noro_infection),0)</f>
        <v>#NAME?</v>
      </c>
      <c r="BI59" s="85" t="e">
        <f t="shared" ca="1" si="42"/>
        <v>#NAME?</v>
      </c>
      <c r="BJ59" s="40" t="e">
        <f ca="1">INT(BI59) + _xll.RiskBinomial(1,BI59-INT(BI59))</f>
        <v>#NAME?</v>
      </c>
      <c r="BK59" s="33" t="e">
        <f t="shared" ca="1" si="13"/>
        <v>#NAME?</v>
      </c>
      <c r="BL59" s="38" t="e">
        <f ca="1">_xll.RiskBinomial(1,BK59)</f>
        <v>#NAME?</v>
      </c>
      <c r="BM59" s="86" t="e">
        <f ca="1">IF(BL59=1,_xll.RiskBinomial(1,Prob_illness_Noro_infection),0)</f>
        <v>#NAME?</v>
      </c>
      <c r="BO59" s="85" t="e">
        <f t="shared" ca="1" si="43"/>
        <v>#NAME?</v>
      </c>
      <c r="BP59" s="40" t="e">
        <f ca="1">INT(BO59) + _xll.RiskBinomial(1,BO59-INT(BO59))</f>
        <v>#NAME?</v>
      </c>
      <c r="BQ59" s="33" t="e">
        <f t="shared" ca="1" si="14"/>
        <v>#NAME?</v>
      </c>
      <c r="BR59" s="38" t="e">
        <f ca="1">_xll.RiskBinomial(1,BQ59)</f>
        <v>#NAME?</v>
      </c>
      <c r="BS59" s="86" t="e">
        <f ca="1">IF(BR59=1,_xll.RiskBinomial(1,Prob_illness_Noro_infection),0)</f>
        <v>#NAME?</v>
      </c>
      <c r="BU59" s="85" t="e">
        <f t="shared" ca="1" si="44"/>
        <v>#NAME?</v>
      </c>
      <c r="BV59" s="40" t="e">
        <f ca="1">INT(BU59) + _xll.RiskBinomial(1,BU59-INT(BU59))</f>
        <v>#NAME?</v>
      </c>
      <c r="BW59" s="33" t="e">
        <f t="shared" ca="1" si="15"/>
        <v>#NAME?</v>
      </c>
      <c r="BX59" s="38" t="e">
        <f ca="1">_xll.RiskBinomial(1,BW59)</f>
        <v>#NAME?</v>
      </c>
      <c r="BY59" s="86" t="e">
        <f ca="1">IF(BX59=1,_xll.RiskBinomial(1,Prob_illness_Noro_infection),0)</f>
        <v>#NAME?</v>
      </c>
      <c r="CA59" s="85" t="e">
        <f t="shared" ca="1" si="45"/>
        <v>#NAME?</v>
      </c>
      <c r="CB59" s="40" t="e">
        <f ca="1">INT(CA59) + _xll.RiskBinomial(1,CA59-INT(CA59))</f>
        <v>#NAME?</v>
      </c>
      <c r="CC59" s="33" t="e">
        <f t="shared" ca="1" si="16"/>
        <v>#NAME?</v>
      </c>
      <c r="CD59" s="38" t="e">
        <f ca="1">_xll.RiskBinomial(1,CC59)</f>
        <v>#NAME?</v>
      </c>
      <c r="CE59" s="86" t="e">
        <f ca="1">IF(CD59=1,_xll.RiskBinomial(1,Prob_illness_Noro_infection),0)</f>
        <v>#NAME?</v>
      </c>
      <c r="CG59" s="85" t="e">
        <f t="shared" ca="1" si="46"/>
        <v>#NAME?</v>
      </c>
      <c r="CH59" s="40" t="e">
        <f ca="1">INT(CG59) + _xll.RiskBinomial(1,CG59-INT(CG59))</f>
        <v>#NAME?</v>
      </c>
      <c r="CI59" s="33" t="e">
        <f t="shared" ca="1" si="17"/>
        <v>#NAME?</v>
      </c>
      <c r="CJ59" s="38" t="e">
        <f ca="1">_xll.RiskBinomial(1,CI59)</f>
        <v>#NAME?</v>
      </c>
      <c r="CK59" s="86" t="e">
        <f ca="1">IF(CJ59=1,_xll.RiskBinomial(1,Prob_illness_Noro_infection),0)</f>
        <v>#NAME?</v>
      </c>
      <c r="CM59" s="85" t="e">
        <f t="shared" ca="1" si="47"/>
        <v>#NAME?</v>
      </c>
      <c r="CN59" s="40" t="e">
        <f ca="1">INT(CM59) + _xll.RiskBinomial(1,CM59-INT(CM59))</f>
        <v>#NAME?</v>
      </c>
      <c r="CO59" s="33" t="e">
        <f t="shared" ca="1" si="18"/>
        <v>#NAME?</v>
      </c>
      <c r="CP59" s="38" t="e">
        <f ca="1">_xll.RiskBinomial(1,CO59)</f>
        <v>#NAME?</v>
      </c>
      <c r="CQ59" s="86" t="e">
        <f ca="1">IF(CP59=1,_xll.RiskBinomial(1,Prob_illness_Noro_infection),0)</f>
        <v>#NAME?</v>
      </c>
      <c r="CS59" s="85" t="e">
        <f t="shared" ca="1" si="48"/>
        <v>#NAME?</v>
      </c>
      <c r="CT59" s="40" t="e">
        <f ca="1">INT(CS59) + _xll.RiskBinomial(1,CS59-INT(CS59))</f>
        <v>#NAME?</v>
      </c>
      <c r="CU59" s="33" t="e">
        <f t="shared" ca="1" si="19"/>
        <v>#NAME?</v>
      </c>
      <c r="CV59" s="38" t="e">
        <f ca="1">_xll.RiskBinomial(1,CU59)</f>
        <v>#NAME?</v>
      </c>
      <c r="CW59" s="86" t="e">
        <f ca="1">IF(CV59=1,_xll.RiskBinomial(1,Prob_illness_Noro_infection),0)</f>
        <v>#NAME?</v>
      </c>
      <c r="CY59" s="85" t="e">
        <f t="shared" ca="1" si="49"/>
        <v>#NAME?</v>
      </c>
      <c r="CZ59" s="40" t="e">
        <f ca="1">INT(CY59) + _xll.RiskBinomial(1,CY59-INT(CY59))</f>
        <v>#NAME?</v>
      </c>
      <c r="DA59" s="33" t="e">
        <f t="shared" ca="1" si="20"/>
        <v>#NAME?</v>
      </c>
      <c r="DB59" s="38" t="e">
        <f ca="1">_xll.RiskBinomial(1,DA59)</f>
        <v>#NAME?</v>
      </c>
      <c r="DC59" s="86" t="e">
        <f ca="1">IF(DB59=1,_xll.RiskBinomial(1,Prob_illness_Noro_infection),0)</f>
        <v>#NAME?</v>
      </c>
      <c r="DE59" s="85" t="e">
        <f t="shared" ca="1" si="50"/>
        <v>#NAME?</v>
      </c>
      <c r="DF59" s="40" t="e">
        <f ca="1">INT(DE59) + _xll.RiskBinomial(1,DE59-INT(DE59))</f>
        <v>#NAME?</v>
      </c>
      <c r="DG59" s="33" t="e">
        <f t="shared" ca="1" si="21"/>
        <v>#NAME?</v>
      </c>
      <c r="DH59" s="38" t="e">
        <f ca="1">_xll.RiskBinomial(1,DG59)</f>
        <v>#NAME?</v>
      </c>
      <c r="DI59" s="86" t="e">
        <f ca="1">IF(DH59=1,_xll.RiskBinomial(1,Prob_illness_Noro_infection),0)</f>
        <v>#NAME?</v>
      </c>
      <c r="DK59" s="85" t="e">
        <f t="shared" ca="1" si="51"/>
        <v>#NAME?</v>
      </c>
      <c r="DL59" s="40" t="e">
        <f ca="1">INT(DK59) + _xll.RiskBinomial(1,DK59-INT(DK59))</f>
        <v>#NAME?</v>
      </c>
      <c r="DM59" s="33" t="e">
        <f t="shared" ca="1" si="22"/>
        <v>#NAME?</v>
      </c>
      <c r="DN59" s="38" t="e">
        <f ca="1">_xll.RiskBinomial(1,DM59)</f>
        <v>#NAME?</v>
      </c>
      <c r="DO59" s="86" t="e">
        <f ca="1">IF(DN59=1,_xll.RiskBinomial(1,Prob_illness_Noro_infection),0)</f>
        <v>#NAME?</v>
      </c>
      <c r="DQ59" s="85" t="e">
        <f t="shared" ca="1" si="52"/>
        <v>#NAME?</v>
      </c>
      <c r="DR59" s="40" t="e">
        <f ca="1">INT(DQ59) + _xll.RiskBinomial(1,DQ59-INT(DQ59))</f>
        <v>#NAME?</v>
      </c>
      <c r="DS59" s="33" t="e">
        <f t="shared" ca="1" si="23"/>
        <v>#NAME?</v>
      </c>
      <c r="DT59" s="38" t="e">
        <f ca="1">_xll.RiskBinomial(1,DS59)</f>
        <v>#NAME?</v>
      </c>
      <c r="DU59" s="86" t="e">
        <f ca="1">IF(DT59=1,_xll.RiskBinomial(1,Prob_illness_Noro_infection),0)</f>
        <v>#NAME?</v>
      </c>
      <c r="DW59" s="85" t="e">
        <f t="shared" ca="1" si="53"/>
        <v>#NAME?</v>
      </c>
      <c r="DX59" s="40" t="e">
        <f ca="1">INT(DW59) + _xll.RiskBinomial(1,DW59-INT(DW59))</f>
        <v>#NAME?</v>
      </c>
      <c r="DY59" s="33" t="e">
        <f t="shared" ca="1" si="24"/>
        <v>#NAME?</v>
      </c>
      <c r="DZ59" s="38" t="e">
        <f ca="1">_xll.RiskBinomial(1,DY59)</f>
        <v>#NAME?</v>
      </c>
      <c r="EA59" s="86" t="e">
        <f ca="1">IF(DZ59=1,_xll.RiskBinomial(1,Prob_illness_Noro_infection),0)</f>
        <v>#NAME?</v>
      </c>
      <c r="EC59" s="85" t="e">
        <f t="shared" ca="1" si="54"/>
        <v>#NAME?</v>
      </c>
      <c r="ED59" s="40" t="e">
        <f ca="1">INT(EC59) + _xll.RiskBinomial(1,EC59-INT(EC59))</f>
        <v>#NAME?</v>
      </c>
      <c r="EE59" s="33" t="e">
        <f t="shared" ca="1" si="25"/>
        <v>#NAME?</v>
      </c>
      <c r="EF59" s="38" t="e">
        <f ca="1">_xll.RiskBinomial(1,EE59)</f>
        <v>#NAME?</v>
      </c>
      <c r="EG59" s="86" t="e">
        <f ca="1">IF(EF59=1,_xll.RiskBinomial(1,Prob_illness_Noro_infection),0)</f>
        <v>#NAME?</v>
      </c>
      <c r="EI59" s="85" t="e">
        <f t="shared" ca="1" si="55"/>
        <v>#NAME?</v>
      </c>
      <c r="EJ59" s="40" t="e">
        <f ca="1">INT(EI59) + _xll.RiskBinomial(1,EI59-INT(EI59))</f>
        <v>#NAME?</v>
      </c>
      <c r="EK59" s="33" t="e">
        <f t="shared" ca="1" si="26"/>
        <v>#NAME?</v>
      </c>
      <c r="EL59" s="38" t="e">
        <f ca="1">_xll.RiskBinomial(1,EK59)</f>
        <v>#NAME?</v>
      </c>
      <c r="EM59" s="86" t="e">
        <f ca="1">IF(EL59=1,_xll.RiskBinomial(1,Prob_illness_Noro_infection),0)</f>
        <v>#NAME?</v>
      </c>
      <c r="EO59" s="85" t="e">
        <f t="shared" ca="1" si="56"/>
        <v>#NAME?</v>
      </c>
      <c r="EP59" s="40" t="e">
        <f ca="1">INT(EO59) + _xll.RiskBinomial(1,EO59-INT(EO59))</f>
        <v>#NAME?</v>
      </c>
      <c r="EQ59" s="33" t="e">
        <f t="shared" ca="1" si="27"/>
        <v>#NAME?</v>
      </c>
      <c r="ER59" s="38" t="e">
        <f ca="1">_xll.RiskBinomial(1,EQ59)</f>
        <v>#NAME?</v>
      </c>
      <c r="ES59" s="86" t="e">
        <f ca="1">IF(ER59=1,_xll.RiskBinomial(1,Prob_illness_Noro_infection),0)</f>
        <v>#NAME?</v>
      </c>
      <c r="EU59" s="85" t="e">
        <f t="shared" ca="1" si="57"/>
        <v>#NAME?</v>
      </c>
      <c r="EV59" s="40" t="e">
        <f ca="1">INT(EU59) + _xll.RiskBinomial(1,EU59-INT(EU59))</f>
        <v>#NAME?</v>
      </c>
      <c r="EW59" s="33" t="e">
        <f t="shared" ca="1" si="28"/>
        <v>#NAME?</v>
      </c>
      <c r="EX59" s="38" t="e">
        <f ca="1">_xll.RiskBinomial(1,EW59)</f>
        <v>#NAME?</v>
      </c>
      <c r="EY59" s="86" t="e">
        <f ca="1">IF(EX59=1,_xll.RiskBinomial(1,Prob_illness_Noro_infection),0)</f>
        <v>#NAME?</v>
      </c>
      <c r="FA59" s="85" t="e">
        <f t="shared" ca="1" si="58"/>
        <v>#NAME?</v>
      </c>
      <c r="FB59" s="40" t="e">
        <f ca="1">INT(FA59) + _xll.RiskBinomial(1,FA59-INT(FA59))</f>
        <v>#NAME?</v>
      </c>
      <c r="FC59" s="33" t="e">
        <f t="shared" ca="1" si="29"/>
        <v>#NAME?</v>
      </c>
      <c r="FD59" s="38" t="e">
        <f ca="1">_xll.RiskBinomial(1,FC59)</f>
        <v>#NAME?</v>
      </c>
      <c r="FE59" s="86" t="e">
        <f ca="1">IF(FD59=1,_xll.RiskBinomial(1,Prob_illness_Noro_infection),0)</f>
        <v>#NAME?</v>
      </c>
      <c r="FG59" s="85" t="e">
        <f t="shared" ca="1" si="59"/>
        <v>#NAME?</v>
      </c>
      <c r="FH59" s="40" t="e">
        <f ca="1">INT(FG59) + _xll.RiskBinomial(1,FG59-INT(FG59))</f>
        <v>#NAME?</v>
      </c>
      <c r="FI59" s="33" t="e">
        <f t="shared" ca="1" si="30"/>
        <v>#NAME?</v>
      </c>
      <c r="FJ59" s="38" t="e">
        <f ca="1">_xll.RiskBinomial(1,FI59)</f>
        <v>#NAME?</v>
      </c>
      <c r="FK59" s="86" t="e">
        <f ca="1">IF(FJ59=1,_xll.RiskBinomial(1,Prob_illness_Noro_infection),0)</f>
        <v>#NAME?</v>
      </c>
      <c r="FM59" s="85" t="e">
        <f t="shared" ca="1" si="60"/>
        <v>#NAME?</v>
      </c>
      <c r="FN59" s="40" t="e">
        <f ca="1">INT(FM59) + _xll.RiskBinomial(1,FM59-INT(FM59))</f>
        <v>#NAME?</v>
      </c>
      <c r="FO59" s="33" t="e">
        <f t="shared" ca="1" si="31"/>
        <v>#NAME?</v>
      </c>
      <c r="FP59" s="38" t="e">
        <f ca="1">_xll.RiskBinomial(1,FO59)</f>
        <v>#NAME?</v>
      </c>
      <c r="FQ59" s="86" t="e">
        <f ca="1">IF(FP59=1,_xll.RiskBinomial(1,Prob_illness_Noro_infection),0)</f>
        <v>#NAME?</v>
      </c>
      <c r="FS59" s="85" t="e">
        <f t="shared" ca="1" si="61"/>
        <v>#NAME?</v>
      </c>
      <c r="FT59" s="40" t="e">
        <f ca="1">INT(FS59) + _xll.RiskBinomial(1,FS59-INT(FS59))</f>
        <v>#NAME?</v>
      </c>
      <c r="FU59" s="33" t="e">
        <f t="shared" ca="1" si="32"/>
        <v>#NAME?</v>
      </c>
      <c r="FV59" s="38" t="e">
        <f ca="1">_xll.RiskBinomial(1,FU59)</f>
        <v>#NAME?</v>
      </c>
      <c r="FW59" s="86" t="e">
        <f ca="1">IF(FV59=1,_xll.RiskBinomial(1,Prob_illness_Noro_infection),0)</f>
        <v>#NAME?</v>
      </c>
      <c r="FY59" s="85" t="e">
        <f t="shared" ca="1" si="62"/>
        <v>#NAME?</v>
      </c>
      <c r="FZ59" s="40" t="e">
        <f ca="1">INT(FY59) + _xll.RiskBinomial(1,FY59-INT(FY59))</f>
        <v>#NAME?</v>
      </c>
      <c r="GA59" s="33" t="e">
        <f t="shared" ca="1" si="33"/>
        <v>#NAME?</v>
      </c>
      <c r="GB59" s="38" t="e">
        <f ca="1">_xll.RiskBinomial(1,GA59)</f>
        <v>#NAME?</v>
      </c>
      <c r="GC59" s="86" t="e">
        <f ca="1">IF(GB59=1,_xll.RiskBinomial(1,Prob_illness_Noro_infection),0)</f>
        <v>#NAME?</v>
      </c>
      <c r="GE59" s="85" t="e">
        <f t="shared" ca="1" si="63"/>
        <v>#NAME?</v>
      </c>
      <c r="GF59" s="40" t="e">
        <f ca="1">INT(GE59) + _xll.RiskBinomial(1,GE59-INT(GE59))</f>
        <v>#NAME?</v>
      </c>
      <c r="GG59" s="33" t="e">
        <f t="shared" ca="1" si="34"/>
        <v>#NAME?</v>
      </c>
      <c r="GH59" s="38" t="e">
        <f ca="1">_xll.RiskBinomial(1,GG59)</f>
        <v>#NAME?</v>
      </c>
      <c r="GI59" s="86" t="e">
        <f ca="1">IF(GH59=1,_xll.RiskBinomial(1,Prob_illness_Noro_infection),0)</f>
        <v>#NAME?</v>
      </c>
      <c r="GK59" s="85" t="e">
        <f t="shared" ca="1" si="64"/>
        <v>#NAME?</v>
      </c>
      <c r="GL59" s="40" t="e">
        <f ca="1">INT(GK59) + _xll.RiskBinomial(1,GK59-INT(GK59))</f>
        <v>#NAME?</v>
      </c>
      <c r="GM59" s="33" t="e">
        <f t="shared" ca="1" si="35"/>
        <v>#NAME?</v>
      </c>
      <c r="GN59" s="38" t="e">
        <f ca="1">_xll.RiskBinomial(1,GM59)</f>
        <v>#NAME?</v>
      </c>
      <c r="GO59" s="86" t="e">
        <f ca="1">IF(GN59=1,_xll.RiskBinomial(1,Prob_illness_Noro_infection),0)</f>
        <v>#NAME?</v>
      </c>
    </row>
    <row r="60" spans="2:197" x14ac:dyDescent="0.25">
      <c r="B60" s="106">
        <v>52</v>
      </c>
      <c r="C60" s="109" t="e">
        <f ca="1" xml:space="preserve"> _xll.RiskPert(Dur_Swim_hours_min,Dur_Swim_hours_mode,Dur_Swim_hours_max)</f>
        <v>#NAME?</v>
      </c>
      <c r="D60" s="33" t="e">
        <f ca="1">_xll.RiskLognorm(Primary_Ing_Rate_mL_per_hour_mean,Primary_Ing_Rate_mL_per_hour_sd, _xll.RiskTruncate(Primary_Ing_Rate_mL_per_hour_min,Primary_Ing_Rate_mL_per_hour_max))</f>
        <v>#NAME?</v>
      </c>
      <c r="E60" s="41" t="e">
        <f t="shared" ca="1" si="36"/>
        <v>#NAME?</v>
      </c>
      <c r="F60" s="33"/>
      <c r="G60" s="85" t="e">
        <f t="shared" ca="1" si="37"/>
        <v>#NAME?</v>
      </c>
      <c r="H60" s="40" t="e">
        <f ca="1">INT(G60) + _xll.RiskBinomial(1,G60-INT(G60))</f>
        <v>#NAME?</v>
      </c>
      <c r="I60" s="33" t="e">
        <f t="shared" ca="1" si="0"/>
        <v>#NAME?</v>
      </c>
      <c r="J60" s="38" t="e">
        <f ca="1">_xll.RiskBinomial(1,I60)</f>
        <v>#NAME?</v>
      </c>
      <c r="K60" s="86" t="e">
        <f ca="1">IF(J60=1,_xll.RiskBinomial(1,Prob_illness_Noro_infection),0)</f>
        <v>#NAME?</v>
      </c>
      <c r="L60" s="33"/>
      <c r="M60" s="85" t="e">
        <f t="shared" ca="1" si="38"/>
        <v>#NAME?</v>
      </c>
      <c r="N60" s="40" t="e">
        <f ca="1">INT(M60) + _xll.RiskBinomial(1,M60-INT(M60))</f>
        <v>#NAME?</v>
      </c>
      <c r="O60" s="33" t="e">
        <f t="shared" ca="1" si="1"/>
        <v>#NAME?</v>
      </c>
      <c r="P60" s="38" t="e">
        <f ca="1">_xll.RiskBinomial(1,O60)</f>
        <v>#NAME?</v>
      </c>
      <c r="Q60" s="86" t="e">
        <f ca="1">IF(P60=1,_xll.RiskBinomial(1,Prob_illness_Noro_infection),0)</f>
        <v>#NAME?</v>
      </c>
      <c r="R60" s="33"/>
      <c r="S60" s="85" t="e">
        <f t="shared" ca="1" si="39"/>
        <v>#NAME?</v>
      </c>
      <c r="T60" s="40" t="e">
        <f ca="1">INT(S60) + _xll.RiskBinomial(1,S60-INT(S60))</f>
        <v>#NAME?</v>
      </c>
      <c r="U60" s="33" t="e">
        <f t="shared" ca="1" si="2"/>
        <v>#NAME?</v>
      </c>
      <c r="V60" s="38" t="e">
        <f ca="1">_xll.RiskBinomial(1,U60)</f>
        <v>#NAME?</v>
      </c>
      <c r="W60" s="86" t="e">
        <f ca="1">IF(V60=1,_xll.RiskBinomial(1,Prob_illness_Noro_infection),0)</f>
        <v>#NAME?</v>
      </c>
      <c r="X60" s="33"/>
      <c r="Y60" s="85" t="e">
        <f t="shared" ca="1" si="3"/>
        <v>#NAME?</v>
      </c>
      <c r="Z60" s="40" t="e">
        <f ca="1">INT(Y60) + _xll.RiskBinomial(1,Y60-INT(Y60))</f>
        <v>#NAME?</v>
      </c>
      <c r="AA60" s="33" t="e">
        <f t="shared" ca="1" si="4"/>
        <v>#NAME?</v>
      </c>
      <c r="AB60" s="38" t="e">
        <f ca="1">_xll.RiskBinomial(1,AA60)</f>
        <v>#NAME?</v>
      </c>
      <c r="AC60" s="86" t="e">
        <f ca="1">IF(AB60=1,_xll.RiskBinomial(1,Prob_illness_Noro_infection),0)</f>
        <v>#NAME?</v>
      </c>
      <c r="AD60" s="33"/>
      <c r="AE60" s="85" t="e">
        <f t="shared" ca="1" si="5"/>
        <v>#NAME?</v>
      </c>
      <c r="AF60" s="40" t="e">
        <f ca="1">INT(AE60) + _xll.RiskBinomial(1,AE60-INT(AE60))</f>
        <v>#NAME?</v>
      </c>
      <c r="AG60" s="33" t="e">
        <f t="shared" ca="1" si="6"/>
        <v>#NAME?</v>
      </c>
      <c r="AH60" s="38" t="e">
        <f ca="1">_xll.RiskBinomial(1,AG60)</f>
        <v>#NAME?</v>
      </c>
      <c r="AI60" s="86" t="e">
        <f ca="1">IF(AH60=1,_xll.RiskBinomial(1,Prob_illness_Noro_infection),0)</f>
        <v>#NAME?</v>
      </c>
      <c r="AJ60" s="33"/>
      <c r="AK60" s="85" t="e">
        <f t="shared" ca="1" si="7"/>
        <v>#NAME?</v>
      </c>
      <c r="AL60" s="40" t="e">
        <f ca="1">INT(AK60) + _xll.RiskBinomial(1,AK60-INT(AK60))</f>
        <v>#NAME?</v>
      </c>
      <c r="AM60" s="33" t="e">
        <f t="shared" ca="1" si="8"/>
        <v>#NAME?</v>
      </c>
      <c r="AN60" s="38" t="e">
        <f ca="1">_xll.RiskBinomial(1,AM60)</f>
        <v>#NAME?</v>
      </c>
      <c r="AO60" s="86" t="e">
        <f ca="1">IF(AN60=1,_xll.RiskBinomial(1,Prob_illness_Noro_infection),0)</f>
        <v>#NAME?</v>
      </c>
      <c r="AP60" s="33"/>
      <c r="AQ60" s="85" t="e">
        <f t="shared" ca="1" si="65"/>
        <v>#NAME?</v>
      </c>
      <c r="AR60" s="40" t="e">
        <f ca="1">INT(AQ60) + _xll.RiskBinomial(1,AQ60-INT(AQ60))</f>
        <v>#NAME?</v>
      </c>
      <c r="AS60" s="33" t="e">
        <f t="shared" ca="1" si="10"/>
        <v>#NAME?</v>
      </c>
      <c r="AT60" s="38" t="e">
        <f ca="1">_xll.RiskBinomial(1,AS60)</f>
        <v>#NAME?</v>
      </c>
      <c r="AU60" s="86" t="e">
        <f ca="1">IF(AT60=1,_xll.RiskBinomial(1,Prob_illness_Noro_infection),0)</f>
        <v>#NAME?</v>
      </c>
      <c r="AV60" s="33"/>
      <c r="AW60" s="85" t="e">
        <f t="shared" ca="1" si="40"/>
        <v>#NAME?</v>
      </c>
      <c r="AX60" s="40" t="e">
        <f ca="1">INT(AW60) + _xll.RiskBinomial(1,AW60-INT(AW60))</f>
        <v>#NAME?</v>
      </c>
      <c r="AY60" s="33" t="e">
        <f t="shared" ca="1" si="11"/>
        <v>#NAME?</v>
      </c>
      <c r="AZ60" s="38" t="e">
        <f ca="1">_xll.RiskBinomial(1,AY60)</f>
        <v>#NAME?</v>
      </c>
      <c r="BA60" s="86" t="e">
        <f ca="1">IF(AZ60=1,_xll.RiskBinomial(1,Prob_illness_Noro_infection),0)</f>
        <v>#NAME?</v>
      </c>
      <c r="BC60" s="85" t="e">
        <f t="shared" ca="1" si="41"/>
        <v>#NAME?</v>
      </c>
      <c r="BD60" s="40" t="e">
        <f ca="1">INT(BC60) + _xll.RiskBinomial(1,BC60-INT(BC60))</f>
        <v>#NAME?</v>
      </c>
      <c r="BE60" s="33" t="e">
        <f t="shared" ca="1" si="12"/>
        <v>#NAME?</v>
      </c>
      <c r="BF60" s="38" t="e">
        <f ca="1">_xll.RiskBinomial(1,BE60)</f>
        <v>#NAME?</v>
      </c>
      <c r="BG60" s="86" t="e">
        <f ca="1">IF(BF60=1,_xll.RiskBinomial(1,Prob_illness_Noro_infection),0)</f>
        <v>#NAME?</v>
      </c>
      <c r="BI60" s="85" t="e">
        <f t="shared" ca="1" si="42"/>
        <v>#NAME?</v>
      </c>
      <c r="BJ60" s="40" t="e">
        <f ca="1">INT(BI60) + _xll.RiskBinomial(1,BI60-INT(BI60))</f>
        <v>#NAME?</v>
      </c>
      <c r="BK60" s="33" t="e">
        <f t="shared" ca="1" si="13"/>
        <v>#NAME?</v>
      </c>
      <c r="BL60" s="38" t="e">
        <f ca="1">_xll.RiskBinomial(1,BK60)</f>
        <v>#NAME?</v>
      </c>
      <c r="BM60" s="86" t="e">
        <f ca="1">IF(BL60=1,_xll.RiskBinomial(1,Prob_illness_Noro_infection),0)</f>
        <v>#NAME?</v>
      </c>
      <c r="BO60" s="85" t="e">
        <f t="shared" ca="1" si="43"/>
        <v>#NAME?</v>
      </c>
      <c r="BP60" s="40" t="e">
        <f ca="1">INT(BO60) + _xll.RiskBinomial(1,BO60-INT(BO60))</f>
        <v>#NAME?</v>
      </c>
      <c r="BQ60" s="33" t="e">
        <f t="shared" ca="1" si="14"/>
        <v>#NAME?</v>
      </c>
      <c r="BR60" s="38" t="e">
        <f ca="1">_xll.RiskBinomial(1,BQ60)</f>
        <v>#NAME?</v>
      </c>
      <c r="BS60" s="86" t="e">
        <f ca="1">IF(BR60=1,_xll.RiskBinomial(1,Prob_illness_Noro_infection),0)</f>
        <v>#NAME?</v>
      </c>
      <c r="BU60" s="85" t="e">
        <f t="shared" ca="1" si="44"/>
        <v>#NAME?</v>
      </c>
      <c r="BV60" s="40" t="e">
        <f ca="1">INT(BU60) + _xll.RiskBinomial(1,BU60-INT(BU60))</f>
        <v>#NAME?</v>
      </c>
      <c r="BW60" s="33" t="e">
        <f t="shared" ca="1" si="15"/>
        <v>#NAME?</v>
      </c>
      <c r="BX60" s="38" t="e">
        <f ca="1">_xll.RiskBinomial(1,BW60)</f>
        <v>#NAME?</v>
      </c>
      <c r="BY60" s="86" t="e">
        <f ca="1">IF(BX60=1,_xll.RiskBinomial(1,Prob_illness_Noro_infection),0)</f>
        <v>#NAME?</v>
      </c>
      <c r="CA60" s="85" t="e">
        <f t="shared" ca="1" si="45"/>
        <v>#NAME?</v>
      </c>
      <c r="CB60" s="40" t="e">
        <f ca="1">INT(CA60) + _xll.RiskBinomial(1,CA60-INT(CA60))</f>
        <v>#NAME?</v>
      </c>
      <c r="CC60" s="33" t="e">
        <f t="shared" ca="1" si="16"/>
        <v>#NAME?</v>
      </c>
      <c r="CD60" s="38" t="e">
        <f ca="1">_xll.RiskBinomial(1,CC60)</f>
        <v>#NAME?</v>
      </c>
      <c r="CE60" s="86" t="e">
        <f ca="1">IF(CD60=1,_xll.RiskBinomial(1,Prob_illness_Noro_infection),0)</f>
        <v>#NAME?</v>
      </c>
      <c r="CG60" s="85" t="e">
        <f t="shared" ca="1" si="46"/>
        <v>#NAME?</v>
      </c>
      <c r="CH60" s="40" t="e">
        <f ca="1">INT(CG60) + _xll.RiskBinomial(1,CG60-INT(CG60))</f>
        <v>#NAME?</v>
      </c>
      <c r="CI60" s="33" t="e">
        <f t="shared" ca="1" si="17"/>
        <v>#NAME?</v>
      </c>
      <c r="CJ60" s="38" t="e">
        <f ca="1">_xll.RiskBinomial(1,CI60)</f>
        <v>#NAME?</v>
      </c>
      <c r="CK60" s="86" t="e">
        <f ca="1">IF(CJ60=1,_xll.RiskBinomial(1,Prob_illness_Noro_infection),0)</f>
        <v>#NAME?</v>
      </c>
      <c r="CM60" s="85" t="e">
        <f t="shared" ca="1" si="47"/>
        <v>#NAME?</v>
      </c>
      <c r="CN60" s="40" t="e">
        <f ca="1">INT(CM60) + _xll.RiskBinomial(1,CM60-INT(CM60))</f>
        <v>#NAME?</v>
      </c>
      <c r="CO60" s="33" t="e">
        <f t="shared" ca="1" si="18"/>
        <v>#NAME?</v>
      </c>
      <c r="CP60" s="38" t="e">
        <f ca="1">_xll.RiskBinomial(1,CO60)</f>
        <v>#NAME?</v>
      </c>
      <c r="CQ60" s="86" t="e">
        <f ca="1">IF(CP60=1,_xll.RiskBinomial(1,Prob_illness_Noro_infection),0)</f>
        <v>#NAME?</v>
      </c>
      <c r="CS60" s="85" t="e">
        <f t="shared" ca="1" si="48"/>
        <v>#NAME?</v>
      </c>
      <c r="CT60" s="40" t="e">
        <f ca="1">INT(CS60) + _xll.RiskBinomial(1,CS60-INT(CS60))</f>
        <v>#NAME?</v>
      </c>
      <c r="CU60" s="33" t="e">
        <f t="shared" ca="1" si="19"/>
        <v>#NAME?</v>
      </c>
      <c r="CV60" s="38" t="e">
        <f ca="1">_xll.RiskBinomial(1,CU60)</f>
        <v>#NAME?</v>
      </c>
      <c r="CW60" s="86" t="e">
        <f ca="1">IF(CV60=1,_xll.RiskBinomial(1,Prob_illness_Noro_infection),0)</f>
        <v>#NAME?</v>
      </c>
      <c r="CY60" s="85" t="e">
        <f t="shared" ca="1" si="49"/>
        <v>#NAME?</v>
      </c>
      <c r="CZ60" s="40" t="e">
        <f ca="1">INT(CY60) + _xll.RiskBinomial(1,CY60-INT(CY60))</f>
        <v>#NAME?</v>
      </c>
      <c r="DA60" s="33" t="e">
        <f t="shared" ca="1" si="20"/>
        <v>#NAME?</v>
      </c>
      <c r="DB60" s="38" t="e">
        <f ca="1">_xll.RiskBinomial(1,DA60)</f>
        <v>#NAME?</v>
      </c>
      <c r="DC60" s="86" t="e">
        <f ca="1">IF(DB60=1,_xll.RiskBinomial(1,Prob_illness_Noro_infection),0)</f>
        <v>#NAME?</v>
      </c>
      <c r="DE60" s="85" t="e">
        <f t="shared" ca="1" si="50"/>
        <v>#NAME?</v>
      </c>
      <c r="DF60" s="40" t="e">
        <f ca="1">INT(DE60) + _xll.RiskBinomial(1,DE60-INT(DE60))</f>
        <v>#NAME?</v>
      </c>
      <c r="DG60" s="33" t="e">
        <f t="shared" ca="1" si="21"/>
        <v>#NAME?</v>
      </c>
      <c r="DH60" s="38" t="e">
        <f ca="1">_xll.RiskBinomial(1,DG60)</f>
        <v>#NAME?</v>
      </c>
      <c r="DI60" s="86" t="e">
        <f ca="1">IF(DH60=1,_xll.RiskBinomial(1,Prob_illness_Noro_infection),0)</f>
        <v>#NAME?</v>
      </c>
      <c r="DK60" s="85" t="e">
        <f t="shared" ca="1" si="51"/>
        <v>#NAME?</v>
      </c>
      <c r="DL60" s="40" t="e">
        <f ca="1">INT(DK60) + _xll.RiskBinomial(1,DK60-INT(DK60))</f>
        <v>#NAME?</v>
      </c>
      <c r="DM60" s="33" t="e">
        <f t="shared" ca="1" si="22"/>
        <v>#NAME?</v>
      </c>
      <c r="DN60" s="38" t="e">
        <f ca="1">_xll.RiskBinomial(1,DM60)</f>
        <v>#NAME?</v>
      </c>
      <c r="DO60" s="86" t="e">
        <f ca="1">IF(DN60=1,_xll.RiskBinomial(1,Prob_illness_Noro_infection),0)</f>
        <v>#NAME?</v>
      </c>
      <c r="DQ60" s="85" t="e">
        <f t="shared" ca="1" si="52"/>
        <v>#NAME?</v>
      </c>
      <c r="DR60" s="40" t="e">
        <f ca="1">INT(DQ60) + _xll.RiskBinomial(1,DQ60-INT(DQ60))</f>
        <v>#NAME?</v>
      </c>
      <c r="DS60" s="33" t="e">
        <f t="shared" ca="1" si="23"/>
        <v>#NAME?</v>
      </c>
      <c r="DT60" s="38" t="e">
        <f ca="1">_xll.RiskBinomial(1,DS60)</f>
        <v>#NAME?</v>
      </c>
      <c r="DU60" s="86" t="e">
        <f ca="1">IF(DT60=1,_xll.RiskBinomial(1,Prob_illness_Noro_infection),0)</f>
        <v>#NAME?</v>
      </c>
      <c r="DW60" s="85" t="e">
        <f t="shared" ca="1" si="53"/>
        <v>#NAME?</v>
      </c>
      <c r="DX60" s="40" t="e">
        <f ca="1">INT(DW60) + _xll.RiskBinomial(1,DW60-INT(DW60))</f>
        <v>#NAME?</v>
      </c>
      <c r="DY60" s="33" t="e">
        <f t="shared" ca="1" si="24"/>
        <v>#NAME?</v>
      </c>
      <c r="DZ60" s="38" t="e">
        <f ca="1">_xll.RiskBinomial(1,DY60)</f>
        <v>#NAME?</v>
      </c>
      <c r="EA60" s="86" t="e">
        <f ca="1">IF(DZ60=1,_xll.RiskBinomial(1,Prob_illness_Noro_infection),0)</f>
        <v>#NAME?</v>
      </c>
      <c r="EC60" s="85" t="e">
        <f t="shared" ca="1" si="54"/>
        <v>#NAME?</v>
      </c>
      <c r="ED60" s="40" t="e">
        <f ca="1">INT(EC60) + _xll.RiskBinomial(1,EC60-INT(EC60))</f>
        <v>#NAME?</v>
      </c>
      <c r="EE60" s="33" t="e">
        <f t="shared" ca="1" si="25"/>
        <v>#NAME?</v>
      </c>
      <c r="EF60" s="38" t="e">
        <f ca="1">_xll.RiskBinomial(1,EE60)</f>
        <v>#NAME?</v>
      </c>
      <c r="EG60" s="86" t="e">
        <f ca="1">IF(EF60=1,_xll.RiskBinomial(1,Prob_illness_Noro_infection),0)</f>
        <v>#NAME?</v>
      </c>
      <c r="EI60" s="85" t="e">
        <f t="shared" ca="1" si="55"/>
        <v>#NAME?</v>
      </c>
      <c r="EJ60" s="40" t="e">
        <f ca="1">INT(EI60) + _xll.RiskBinomial(1,EI60-INT(EI60))</f>
        <v>#NAME?</v>
      </c>
      <c r="EK60" s="33" t="e">
        <f t="shared" ca="1" si="26"/>
        <v>#NAME?</v>
      </c>
      <c r="EL60" s="38" t="e">
        <f ca="1">_xll.RiskBinomial(1,EK60)</f>
        <v>#NAME?</v>
      </c>
      <c r="EM60" s="86" t="e">
        <f ca="1">IF(EL60=1,_xll.RiskBinomial(1,Prob_illness_Noro_infection),0)</f>
        <v>#NAME?</v>
      </c>
      <c r="EO60" s="85" t="e">
        <f t="shared" ca="1" si="56"/>
        <v>#NAME?</v>
      </c>
      <c r="EP60" s="40" t="e">
        <f ca="1">INT(EO60) + _xll.RiskBinomial(1,EO60-INT(EO60))</f>
        <v>#NAME?</v>
      </c>
      <c r="EQ60" s="33" t="e">
        <f t="shared" ca="1" si="27"/>
        <v>#NAME?</v>
      </c>
      <c r="ER60" s="38" t="e">
        <f ca="1">_xll.RiskBinomial(1,EQ60)</f>
        <v>#NAME?</v>
      </c>
      <c r="ES60" s="86" t="e">
        <f ca="1">IF(ER60=1,_xll.RiskBinomial(1,Prob_illness_Noro_infection),0)</f>
        <v>#NAME?</v>
      </c>
      <c r="EU60" s="85" t="e">
        <f t="shared" ca="1" si="57"/>
        <v>#NAME?</v>
      </c>
      <c r="EV60" s="40" t="e">
        <f ca="1">INT(EU60) + _xll.RiskBinomial(1,EU60-INT(EU60))</f>
        <v>#NAME?</v>
      </c>
      <c r="EW60" s="33" t="e">
        <f t="shared" ca="1" si="28"/>
        <v>#NAME?</v>
      </c>
      <c r="EX60" s="38" t="e">
        <f ca="1">_xll.RiskBinomial(1,EW60)</f>
        <v>#NAME?</v>
      </c>
      <c r="EY60" s="86" t="e">
        <f ca="1">IF(EX60=1,_xll.RiskBinomial(1,Prob_illness_Noro_infection),0)</f>
        <v>#NAME?</v>
      </c>
      <c r="FA60" s="85" t="e">
        <f t="shared" ca="1" si="58"/>
        <v>#NAME?</v>
      </c>
      <c r="FB60" s="40" t="e">
        <f ca="1">INT(FA60) + _xll.RiskBinomial(1,FA60-INT(FA60))</f>
        <v>#NAME?</v>
      </c>
      <c r="FC60" s="33" t="e">
        <f t="shared" ca="1" si="29"/>
        <v>#NAME?</v>
      </c>
      <c r="FD60" s="38" t="e">
        <f ca="1">_xll.RiskBinomial(1,FC60)</f>
        <v>#NAME?</v>
      </c>
      <c r="FE60" s="86" t="e">
        <f ca="1">IF(FD60=1,_xll.RiskBinomial(1,Prob_illness_Noro_infection),0)</f>
        <v>#NAME?</v>
      </c>
      <c r="FG60" s="85" t="e">
        <f t="shared" ca="1" si="59"/>
        <v>#NAME?</v>
      </c>
      <c r="FH60" s="40" t="e">
        <f ca="1">INT(FG60) + _xll.RiskBinomial(1,FG60-INT(FG60))</f>
        <v>#NAME?</v>
      </c>
      <c r="FI60" s="33" t="e">
        <f t="shared" ca="1" si="30"/>
        <v>#NAME?</v>
      </c>
      <c r="FJ60" s="38" t="e">
        <f ca="1">_xll.RiskBinomial(1,FI60)</f>
        <v>#NAME?</v>
      </c>
      <c r="FK60" s="86" t="e">
        <f ca="1">IF(FJ60=1,_xll.RiskBinomial(1,Prob_illness_Noro_infection),0)</f>
        <v>#NAME?</v>
      </c>
      <c r="FM60" s="85" t="e">
        <f t="shared" ca="1" si="60"/>
        <v>#NAME?</v>
      </c>
      <c r="FN60" s="40" t="e">
        <f ca="1">INT(FM60) + _xll.RiskBinomial(1,FM60-INT(FM60))</f>
        <v>#NAME?</v>
      </c>
      <c r="FO60" s="33" t="e">
        <f t="shared" ca="1" si="31"/>
        <v>#NAME?</v>
      </c>
      <c r="FP60" s="38" t="e">
        <f ca="1">_xll.RiskBinomial(1,FO60)</f>
        <v>#NAME?</v>
      </c>
      <c r="FQ60" s="86" t="e">
        <f ca="1">IF(FP60=1,_xll.RiskBinomial(1,Prob_illness_Noro_infection),0)</f>
        <v>#NAME?</v>
      </c>
      <c r="FS60" s="85" t="e">
        <f t="shared" ca="1" si="61"/>
        <v>#NAME?</v>
      </c>
      <c r="FT60" s="40" t="e">
        <f ca="1">INT(FS60) + _xll.RiskBinomial(1,FS60-INT(FS60))</f>
        <v>#NAME?</v>
      </c>
      <c r="FU60" s="33" t="e">
        <f t="shared" ca="1" si="32"/>
        <v>#NAME?</v>
      </c>
      <c r="FV60" s="38" t="e">
        <f ca="1">_xll.RiskBinomial(1,FU60)</f>
        <v>#NAME?</v>
      </c>
      <c r="FW60" s="86" t="e">
        <f ca="1">IF(FV60=1,_xll.RiskBinomial(1,Prob_illness_Noro_infection),0)</f>
        <v>#NAME?</v>
      </c>
      <c r="FY60" s="85" t="e">
        <f t="shared" ca="1" si="62"/>
        <v>#NAME?</v>
      </c>
      <c r="FZ60" s="40" t="e">
        <f ca="1">INT(FY60) + _xll.RiskBinomial(1,FY60-INT(FY60))</f>
        <v>#NAME?</v>
      </c>
      <c r="GA60" s="33" t="e">
        <f t="shared" ca="1" si="33"/>
        <v>#NAME?</v>
      </c>
      <c r="GB60" s="38" t="e">
        <f ca="1">_xll.RiskBinomial(1,GA60)</f>
        <v>#NAME?</v>
      </c>
      <c r="GC60" s="86" t="e">
        <f ca="1">IF(GB60=1,_xll.RiskBinomial(1,Prob_illness_Noro_infection),0)</f>
        <v>#NAME?</v>
      </c>
      <c r="GE60" s="85" t="e">
        <f t="shared" ca="1" si="63"/>
        <v>#NAME?</v>
      </c>
      <c r="GF60" s="40" t="e">
        <f ca="1">INT(GE60) + _xll.RiskBinomial(1,GE60-INT(GE60))</f>
        <v>#NAME?</v>
      </c>
      <c r="GG60" s="33" t="e">
        <f t="shared" ca="1" si="34"/>
        <v>#NAME?</v>
      </c>
      <c r="GH60" s="38" t="e">
        <f ca="1">_xll.RiskBinomial(1,GG60)</f>
        <v>#NAME?</v>
      </c>
      <c r="GI60" s="86" t="e">
        <f ca="1">IF(GH60=1,_xll.RiskBinomial(1,Prob_illness_Noro_infection),0)</f>
        <v>#NAME?</v>
      </c>
      <c r="GK60" s="85" t="e">
        <f t="shared" ca="1" si="64"/>
        <v>#NAME?</v>
      </c>
      <c r="GL60" s="40" t="e">
        <f ca="1">INT(GK60) + _xll.RiskBinomial(1,GK60-INT(GK60))</f>
        <v>#NAME?</v>
      </c>
      <c r="GM60" s="33" t="e">
        <f t="shared" ca="1" si="35"/>
        <v>#NAME?</v>
      </c>
      <c r="GN60" s="38" t="e">
        <f ca="1">_xll.RiskBinomial(1,GM60)</f>
        <v>#NAME?</v>
      </c>
      <c r="GO60" s="86" t="e">
        <f ca="1">IF(GN60=1,_xll.RiskBinomial(1,Prob_illness_Noro_infection),0)</f>
        <v>#NAME?</v>
      </c>
    </row>
    <row r="61" spans="2:197" x14ac:dyDescent="0.25">
      <c r="B61" s="106">
        <v>53</v>
      </c>
      <c r="C61" s="109" t="e">
        <f ca="1" xml:space="preserve"> _xll.RiskPert(Dur_Swim_hours_min,Dur_Swim_hours_mode,Dur_Swim_hours_max)</f>
        <v>#NAME?</v>
      </c>
      <c r="D61" s="33" t="e">
        <f ca="1">_xll.RiskLognorm(Primary_Ing_Rate_mL_per_hour_mean,Primary_Ing_Rate_mL_per_hour_sd, _xll.RiskTruncate(Primary_Ing_Rate_mL_per_hour_min,Primary_Ing_Rate_mL_per_hour_max))</f>
        <v>#NAME?</v>
      </c>
      <c r="E61" s="41" t="e">
        <f t="shared" ca="1" si="36"/>
        <v>#NAME?</v>
      </c>
      <c r="F61" s="33"/>
      <c r="G61" s="85" t="e">
        <f t="shared" ca="1" si="37"/>
        <v>#NAME?</v>
      </c>
      <c r="H61" s="40" t="e">
        <f ca="1">INT(G61) + _xll.RiskBinomial(1,G61-INT(G61))</f>
        <v>#NAME?</v>
      </c>
      <c r="I61" s="33" t="e">
        <f t="shared" ca="1" si="0"/>
        <v>#NAME?</v>
      </c>
      <c r="J61" s="38" t="e">
        <f ca="1">_xll.RiskBinomial(1,I61)</f>
        <v>#NAME?</v>
      </c>
      <c r="K61" s="86" t="e">
        <f ca="1">IF(J61=1,_xll.RiskBinomial(1,Prob_illness_Noro_infection),0)</f>
        <v>#NAME?</v>
      </c>
      <c r="L61" s="33"/>
      <c r="M61" s="85" t="e">
        <f t="shared" ca="1" si="38"/>
        <v>#NAME?</v>
      </c>
      <c r="N61" s="40" t="e">
        <f ca="1">INT(M61) + _xll.RiskBinomial(1,M61-INT(M61))</f>
        <v>#NAME?</v>
      </c>
      <c r="O61" s="33" t="e">
        <f t="shared" ca="1" si="1"/>
        <v>#NAME?</v>
      </c>
      <c r="P61" s="38" t="e">
        <f ca="1">_xll.RiskBinomial(1,O61)</f>
        <v>#NAME?</v>
      </c>
      <c r="Q61" s="86" t="e">
        <f ca="1">IF(P61=1,_xll.RiskBinomial(1,Prob_illness_Noro_infection),0)</f>
        <v>#NAME?</v>
      </c>
      <c r="R61" s="33"/>
      <c r="S61" s="85" t="e">
        <f t="shared" ca="1" si="39"/>
        <v>#NAME?</v>
      </c>
      <c r="T61" s="40" t="e">
        <f ca="1">INT(S61) + _xll.RiskBinomial(1,S61-INT(S61))</f>
        <v>#NAME?</v>
      </c>
      <c r="U61" s="33" t="e">
        <f t="shared" ca="1" si="2"/>
        <v>#NAME?</v>
      </c>
      <c r="V61" s="38" t="e">
        <f ca="1">_xll.RiskBinomial(1,U61)</f>
        <v>#NAME?</v>
      </c>
      <c r="W61" s="86" t="e">
        <f ca="1">IF(V61=1,_xll.RiskBinomial(1,Prob_illness_Noro_infection),0)</f>
        <v>#NAME?</v>
      </c>
      <c r="X61" s="33"/>
      <c r="Y61" s="85" t="e">
        <f t="shared" ca="1" si="3"/>
        <v>#NAME?</v>
      </c>
      <c r="Z61" s="40" t="e">
        <f ca="1">INT(Y61) + _xll.RiskBinomial(1,Y61-INT(Y61))</f>
        <v>#NAME?</v>
      </c>
      <c r="AA61" s="33" t="e">
        <f t="shared" ca="1" si="4"/>
        <v>#NAME?</v>
      </c>
      <c r="AB61" s="38" t="e">
        <f ca="1">_xll.RiskBinomial(1,AA61)</f>
        <v>#NAME?</v>
      </c>
      <c r="AC61" s="86" t="e">
        <f ca="1">IF(AB61=1,_xll.RiskBinomial(1,Prob_illness_Noro_infection),0)</f>
        <v>#NAME?</v>
      </c>
      <c r="AD61" s="33"/>
      <c r="AE61" s="85" t="e">
        <f t="shared" ca="1" si="5"/>
        <v>#NAME?</v>
      </c>
      <c r="AF61" s="40" t="e">
        <f ca="1">INT(AE61) + _xll.RiskBinomial(1,AE61-INT(AE61))</f>
        <v>#NAME?</v>
      </c>
      <c r="AG61" s="33" t="e">
        <f t="shared" ca="1" si="6"/>
        <v>#NAME?</v>
      </c>
      <c r="AH61" s="38" t="e">
        <f ca="1">_xll.RiskBinomial(1,AG61)</f>
        <v>#NAME?</v>
      </c>
      <c r="AI61" s="86" t="e">
        <f ca="1">IF(AH61=1,_xll.RiskBinomial(1,Prob_illness_Noro_infection),0)</f>
        <v>#NAME?</v>
      </c>
      <c r="AJ61" s="33"/>
      <c r="AK61" s="85" t="e">
        <f t="shared" ca="1" si="7"/>
        <v>#NAME?</v>
      </c>
      <c r="AL61" s="40" t="e">
        <f ca="1">INT(AK61) + _xll.RiskBinomial(1,AK61-INT(AK61))</f>
        <v>#NAME?</v>
      </c>
      <c r="AM61" s="33" t="e">
        <f t="shared" ca="1" si="8"/>
        <v>#NAME?</v>
      </c>
      <c r="AN61" s="38" t="e">
        <f ca="1">_xll.RiskBinomial(1,AM61)</f>
        <v>#NAME?</v>
      </c>
      <c r="AO61" s="86" t="e">
        <f ca="1">IF(AN61=1,_xll.RiskBinomial(1,Prob_illness_Noro_infection),0)</f>
        <v>#NAME?</v>
      </c>
      <c r="AP61" s="33"/>
      <c r="AQ61" s="85" t="e">
        <f t="shared" ca="1" si="65"/>
        <v>#NAME?</v>
      </c>
      <c r="AR61" s="40" t="e">
        <f ca="1">INT(AQ61) + _xll.RiskBinomial(1,AQ61-INT(AQ61))</f>
        <v>#NAME?</v>
      </c>
      <c r="AS61" s="33" t="e">
        <f t="shared" ca="1" si="10"/>
        <v>#NAME?</v>
      </c>
      <c r="AT61" s="38" t="e">
        <f ca="1">_xll.RiskBinomial(1,AS61)</f>
        <v>#NAME?</v>
      </c>
      <c r="AU61" s="86" t="e">
        <f ca="1">IF(AT61=1,_xll.RiskBinomial(1,Prob_illness_Noro_infection),0)</f>
        <v>#NAME?</v>
      </c>
      <c r="AV61" s="33"/>
      <c r="AW61" s="85" t="e">
        <f t="shared" ca="1" si="40"/>
        <v>#NAME?</v>
      </c>
      <c r="AX61" s="40" t="e">
        <f ca="1">INT(AW61) + _xll.RiskBinomial(1,AW61-INT(AW61))</f>
        <v>#NAME?</v>
      </c>
      <c r="AY61" s="33" t="e">
        <f t="shared" ca="1" si="11"/>
        <v>#NAME?</v>
      </c>
      <c r="AZ61" s="38" t="e">
        <f ca="1">_xll.RiskBinomial(1,AY61)</f>
        <v>#NAME?</v>
      </c>
      <c r="BA61" s="86" t="e">
        <f ca="1">IF(AZ61=1,_xll.RiskBinomial(1,Prob_illness_Noro_infection),0)</f>
        <v>#NAME?</v>
      </c>
      <c r="BC61" s="85" t="e">
        <f t="shared" ca="1" si="41"/>
        <v>#NAME?</v>
      </c>
      <c r="BD61" s="40" t="e">
        <f ca="1">INT(BC61) + _xll.RiskBinomial(1,BC61-INT(BC61))</f>
        <v>#NAME?</v>
      </c>
      <c r="BE61" s="33" t="e">
        <f t="shared" ca="1" si="12"/>
        <v>#NAME?</v>
      </c>
      <c r="BF61" s="38" t="e">
        <f ca="1">_xll.RiskBinomial(1,BE61)</f>
        <v>#NAME?</v>
      </c>
      <c r="BG61" s="86" t="e">
        <f ca="1">IF(BF61=1,_xll.RiskBinomial(1,Prob_illness_Noro_infection),0)</f>
        <v>#NAME?</v>
      </c>
      <c r="BI61" s="85" t="e">
        <f t="shared" ca="1" si="42"/>
        <v>#NAME?</v>
      </c>
      <c r="BJ61" s="40" t="e">
        <f ca="1">INT(BI61) + _xll.RiskBinomial(1,BI61-INT(BI61))</f>
        <v>#NAME?</v>
      </c>
      <c r="BK61" s="33" t="e">
        <f t="shared" ca="1" si="13"/>
        <v>#NAME?</v>
      </c>
      <c r="BL61" s="38" t="e">
        <f ca="1">_xll.RiskBinomial(1,BK61)</f>
        <v>#NAME?</v>
      </c>
      <c r="BM61" s="86" t="e">
        <f ca="1">IF(BL61=1,_xll.RiskBinomial(1,Prob_illness_Noro_infection),0)</f>
        <v>#NAME?</v>
      </c>
      <c r="BO61" s="85" t="e">
        <f t="shared" ca="1" si="43"/>
        <v>#NAME?</v>
      </c>
      <c r="BP61" s="40" t="e">
        <f ca="1">INT(BO61) + _xll.RiskBinomial(1,BO61-INT(BO61))</f>
        <v>#NAME?</v>
      </c>
      <c r="BQ61" s="33" t="e">
        <f t="shared" ca="1" si="14"/>
        <v>#NAME?</v>
      </c>
      <c r="BR61" s="38" t="e">
        <f ca="1">_xll.RiskBinomial(1,BQ61)</f>
        <v>#NAME?</v>
      </c>
      <c r="BS61" s="86" t="e">
        <f ca="1">IF(BR61=1,_xll.RiskBinomial(1,Prob_illness_Noro_infection),0)</f>
        <v>#NAME?</v>
      </c>
      <c r="BU61" s="85" t="e">
        <f t="shared" ca="1" si="44"/>
        <v>#NAME?</v>
      </c>
      <c r="BV61" s="40" t="e">
        <f ca="1">INT(BU61) + _xll.RiskBinomial(1,BU61-INT(BU61))</f>
        <v>#NAME?</v>
      </c>
      <c r="BW61" s="33" t="e">
        <f t="shared" ca="1" si="15"/>
        <v>#NAME?</v>
      </c>
      <c r="BX61" s="38" t="e">
        <f ca="1">_xll.RiskBinomial(1,BW61)</f>
        <v>#NAME?</v>
      </c>
      <c r="BY61" s="86" t="e">
        <f ca="1">IF(BX61=1,_xll.RiskBinomial(1,Prob_illness_Noro_infection),0)</f>
        <v>#NAME?</v>
      </c>
      <c r="CA61" s="85" t="e">
        <f t="shared" ca="1" si="45"/>
        <v>#NAME?</v>
      </c>
      <c r="CB61" s="40" t="e">
        <f ca="1">INT(CA61) + _xll.RiskBinomial(1,CA61-INT(CA61))</f>
        <v>#NAME?</v>
      </c>
      <c r="CC61" s="33" t="e">
        <f t="shared" ca="1" si="16"/>
        <v>#NAME?</v>
      </c>
      <c r="CD61" s="38" t="e">
        <f ca="1">_xll.RiskBinomial(1,CC61)</f>
        <v>#NAME?</v>
      </c>
      <c r="CE61" s="86" t="e">
        <f ca="1">IF(CD61=1,_xll.RiskBinomial(1,Prob_illness_Noro_infection),0)</f>
        <v>#NAME?</v>
      </c>
      <c r="CG61" s="85" t="e">
        <f t="shared" ca="1" si="46"/>
        <v>#NAME?</v>
      </c>
      <c r="CH61" s="40" t="e">
        <f ca="1">INT(CG61) + _xll.RiskBinomial(1,CG61-INT(CG61))</f>
        <v>#NAME?</v>
      </c>
      <c r="CI61" s="33" t="e">
        <f t="shared" ca="1" si="17"/>
        <v>#NAME?</v>
      </c>
      <c r="CJ61" s="38" t="e">
        <f ca="1">_xll.RiskBinomial(1,CI61)</f>
        <v>#NAME?</v>
      </c>
      <c r="CK61" s="86" t="e">
        <f ca="1">IF(CJ61=1,_xll.RiskBinomial(1,Prob_illness_Noro_infection),0)</f>
        <v>#NAME?</v>
      </c>
      <c r="CM61" s="85" t="e">
        <f t="shared" ca="1" si="47"/>
        <v>#NAME?</v>
      </c>
      <c r="CN61" s="40" t="e">
        <f ca="1">INT(CM61) + _xll.RiskBinomial(1,CM61-INT(CM61))</f>
        <v>#NAME?</v>
      </c>
      <c r="CO61" s="33" t="e">
        <f t="shared" ca="1" si="18"/>
        <v>#NAME?</v>
      </c>
      <c r="CP61" s="38" t="e">
        <f ca="1">_xll.RiskBinomial(1,CO61)</f>
        <v>#NAME?</v>
      </c>
      <c r="CQ61" s="86" t="e">
        <f ca="1">IF(CP61=1,_xll.RiskBinomial(1,Prob_illness_Noro_infection),0)</f>
        <v>#NAME?</v>
      </c>
      <c r="CS61" s="85" t="e">
        <f t="shared" ca="1" si="48"/>
        <v>#NAME?</v>
      </c>
      <c r="CT61" s="40" t="e">
        <f ca="1">INT(CS61) + _xll.RiskBinomial(1,CS61-INT(CS61))</f>
        <v>#NAME?</v>
      </c>
      <c r="CU61" s="33" t="e">
        <f t="shared" ca="1" si="19"/>
        <v>#NAME?</v>
      </c>
      <c r="CV61" s="38" t="e">
        <f ca="1">_xll.RiskBinomial(1,CU61)</f>
        <v>#NAME?</v>
      </c>
      <c r="CW61" s="86" t="e">
        <f ca="1">IF(CV61=1,_xll.RiskBinomial(1,Prob_illness_Noro_infection),0)</f>
        <v>#NAME?</v>
      </c>
      <c r="CY61" s="85" t="e">
        <f t="shared" ca="1" si="49"/>
        <v>#NAME?</v>
      </c>
      <c r="CZ61" s="40" t="e">
        <f ca="1">INT(CY61) + _xll.RiskBinomial(1,CY61-INT(CY61))</f>
        <v>#NAME?</v>
      </c>
      <c r="DA61" s="33" t="e">
        <f t="shared" ca="1" si="20"/>
        <v>#NAME?</v>
      </c>
      <c r="DB61" s="38" t="e">
        <f ca="1">_xll.RiskBinomial(1,DA61)</f>
        <v>#NAME?</v>
      </c>
      <c r="DC61" s="86" t="e">
        <f ca="1">IF(DB61=1,_xll.RiskBinomial(1,Prob_illness_Noro_infection),0)</f>
        <v>#NAME?</v>
      </c>
      <c r="DE61" s="85" t="e">
        <f t="shared" ca="1" si="50"/>
        <v>#NAME?</v>
      </c>
      <c r="DF61" s="40" t="e">
        <f ca="1">INT(DE61) + _xll.RiskBinomial(1,DE61-INT(DE61))</f>
        <v>#NAME?</v>
      </c>
      <c r="DG61" s="33" t="e">
        <f t="shared" ca="1" si="21"/>
        <v>#NAME?</v>
      </c>
      <c r="DH61" s="38" t="e">
        <f ca="1">_xll.RiskBinomial(1,DG61)</f>
        <v>#NAME?</v>
      </c>
      <c r="DI61" s="86" t="e">
        <f ca="1">IF(DH61=1,_xll.RiskBinomial(1,Prob_illness_Noro_infection),0)</f>
        <v>#NAME?</v>
      </c>
      <c r="DK61" s="85" t="e">
        <f t="shared" ca="1" si="51"/>
        <v>#NAME?</v>
      </c>
      <c r="DL61" s="40" t="e">
        <f ca="1">INT(DK61) + _xll.RiskBinomial(1,DK61-INT(DK61))</f>
        <v>#NAME?</v>
      </c>
      <c r="DM61" s="33" t="e">
        <f t="shared" ca="1" si="22"/>
        <v>#NAME?</v>
      </c>
      <c r="DN61" s="38" t="e">
        <f ca="1">_xll.RiskBinomial(1,DM61)</f>
        <v>#NAME?</v>
      </c>
      <c r="DO61" s="86" t="e">
        <f ca="1">IF(DN61=1,_xll.RiskBinomial(1,Prob_illness_Noro_infection),0)</f>
        <v>#NAME?</v>
      </c>
      <c r="DQ61" s="85" t="e">
        <f t="shared" ca="1" si="52"/>
        <v>#NAME?</v>
      </c>
      <c r="DR61" s="40" t="e">
        <f ca="1">INT(DQ61) + _xll.RiskBinomial(1,DQ61-INT(DQ61))</f>
        <v>#NAME?</v>
      </c>
      <c r="DS61" s="33" t="e">
        <f t="shared" ca="1" si="23"/>
        <v>#NAME?</v>
      </c>
      <c r="DT61" s="38" t="e">
        <f ca="1">_xll.RiskBinomial(1,DS61)</f>
        <v>#NAME?</v>
      </c>
      <c r="DU61" s="86" t="e">
        <f ca="1">IF(DT61=1,_xll.RiskBinomial(1,Prob_illness_Noro_infection),0)</f>
        <v>#NAME?</v>
      </c>
      <c r="DW61" s="85" t="e">
        <f t="shared" ca="1" si="53"/>
        <v>#NAME?</v>
      </c>
      <c r="DX61" s="40" t="e">
        <f ca="1">INT(DW61) + _xll.RiskBinomial(1,DW61-INT(DW61))</f>
        <v>#NAME?</v>
      </c>
      <c r="DY61" s="33" t="e">
        <f t="shared" ca="1" si="24"/>
        <v>#NAME?</v>
      </c>
      <c r="DZ61" s="38" t="e">
        <f ca="1">_xll.RiskBinomial(1,DY61)</f>
        <v>#NAME?</v>
      </c>
      <c r="EA61" s="86" t="e">
        <f ca="1">IF(DZ61=1,_xll.RiskBinomial(1,Prob_illness_Noro_infection),0)</f>
        <v>#NAME?</v>
      </c>
      <c r="EC61" s="85" t="e">
        <f t="shared" ca="1" si="54"/>
        <v>#NAME?</v>
      </c>
      <c r="ED61" s="40" t="e">
        <f ca="1">INT(EC61) + _xll.RiskBinomial(1,EC61-INT(EC61))</f>
        <v>#NAME?</v>
      </c>
      <c r="EE61" s="33" t="e">
        <f t="shared" ca="1" si="25"/>
        <v>#NAME?</v>
      </c>
      <c r="EF61" s="38" t="e">
        <f ca="1">_xll.RiskBinomial(1,EE61)</f>
        <v>#NAME?</v>
      </c>
      <c r="EG61" s="86" t="e">
        <f ca="1">IF(EF61=1,_xll.RiskBinomial(1,Prob_illness_Noro_infection),0)</f>
        <v>#NAME?</v>
      </c>
      <c r="EI61" s="85" t="e">
        <f t="shared" ca="1" si="55"/>
        <v>#NAME?</v>
      </c>
      <c r="EJ61" s="40" t="e">
        <f ca="1">INT(EI61) + _xll.RiskBinomial(1,EI61-INT(EI61))</f>
        <v>#NAME?</v>
      </c>
      <c r="EK61" s="33" t="e">
        <f t="shared" ca="1" si="26"/>
        <v>#NAME?</v>
      </c>
      <c r="EL61" s="38" t="e">
        <f ca="1">_xll.RiskBinomial(1,EK61)</f>
        <v>#NAME?</v>
      </c>
      <c r="EM61" s="86" t="e">
        <f ca="1">IF(EL61=1,_xll.RiskBinomial(1,Prob_illness_Noro_infection),0)</f>
        <v>#NAME?</v>
      </c>
      <c r="EO61" s="85" t="e">
        <f t="shared" ca="1" si="56"/>
        <v>#NAME?</v>
      </c>
      <c r="EP61" s="40" t="e">
        <f ca="1">INT(EO61) + _xll.RiskBinomial(1,EO61-INT(EO61))</f>
        <v>#NAME?</v>
      </c>
      <c r="EQ61" s="33" t="e">
        <f t="shared" ca="1" si="27"/>
        <v>#NAME?</v>
      </c>
      <c r="ER61" s="38" t="e">
        <f ca="1">_xll.RiskBinomial(1,EQ61)</f>
        <v>#NAME?</v>
      </c>
      <c r="ES61" s="86" t="e">
        <f ca="1">IF(ER61=1,_xll.RiskBinomial(1,Prob_illness_Noro_infection),0)</f>
        <v>#NAME?</v>
      </c>
      <c r="EU61" s="85" t="e">
        <f t="shared" ca="1" si="57"/>
        <v>#NAME?</v>
      </c>
      <c r="EV61" s="40" t="e">
        <f ca="1">INT(EU61) + _xll.RiskBinomial(1,EU61-INT(EU61))</f>
        <v>#NAME?</v>
      </c>
      <c r="EW61" s="33" t="e">
        <f t="shared" ca="1" si="28"/>
        <v>#NAME?</v>
      </c>
      <c r="EX61" s="38" t="e">
        <f ca="1">_xll.RiskBinomial(1,EW61)</f>
        <v>#NAME?</v>
      </c>
      <c r="EY61" s="86" t="e">
        <f ca="1">IF(EX61=1,_xll.RiskBinomial(1,Prob_illness_Noro_infection),0)</f>
        <v>#NAME?</v>
      </c>
      <c r="FA61" s="85" t="e">
        <f t="shared" ca="1" si="58"/>
        <v>#NAME?</v>
      </c>
      <c r="FB61" s="40" t="e">
        <f ca="1">INT(FA61) + _xll.RiskBinomial(1,FA61-INT(FA61))</f>
        <v>#NAME?</v>
      </c>
      <c r="FC61" s="33" t="e">
        <f t="shared" ca="1" si="29"/>
        <v>#NAME?</v>
      </c>
      <c r="FD61" s="38" t="e">
        <f ca="1">_xll.RiskBinomial(1,FC61)</f>
        <v>#NAME?</v>
      </c>
      <c r="FE61" s="86" t="e">
        <f ca="1">IF(FD61=1,_xll.RiskBinomial(1,Prob_illness_Noro_infection),0)</f>
        <v>#NAME?</v>
      </c>
      <c r="FG61" s="85" t="e">
        <f t="shared" ca="1" si="59"/>
        <v>#NAME?</v>
      </c>
      <c r="FH61" s="40" t="e">
        <f ca="1">INT(FG61) + _xll.RiskBinomial(1,FG61-INT(FG61))</f>
        <v>#NAME?</v>
      </c>
      <c r="FI61" s="33" t="e">
        <f t="shared" ca="1" si="30"/>
        <v>#NAME?</v>
      </c>
      <c r="FJ61" s="38" t="e">
        <f ca="1">_xll.RiskBinomial(1,FI61)</f>
        <v>#NAME?</v>
      </c>
      <c r="FK61" s="86" t="e">
        <f ca="1">IF(FJ61=1,_xll.RiskBinomial(1,Prob_illness_Noro_infection),0)</f>
        <v>#NAME?</v>
      </c>
      <c r="FM61" s="85" t="e">
        <f t="shared" ca="1" si="60"/>
        <v>#NAME?</v>
      </c>
      <c r="FN61" s="40" t="e">
        <f ca="1">INT(FM61) + _xll.RiskBinomial(1,FM61-INT(FM61))</f>
        <v>#NAME?</v>
      </c>
      <c r="FO61" s="33" t="e">
        <f t="shared" ca="1" si="31"/>
        <v>#NAME?</v>
      </c>
      <c r="FP61" s="38" t="e">
        <f ca="1">_xll.RiskBinomial(1,FO61)</f>
        <v>#NAME?</v>
      </c>
      <c r="FQ61" s="86" t="e">
        <f ca="1">IF(FP61=1,_xll.RiskBinomial(1,Prob_illness_Noro_infection),0)</f>
        <v>#NAME?</v>
      </c>
      <c r="FS61" s="85" t="e">
        <f t="shared" ca="1" si="61"/>
        <v>#NAME?</v>
      </c>
      <c r="FT61" s="40" t="e">
        <f ca="1">INT(FS61) + _xll.RiskBinomial(1,FS61-INT(FS61))</f>
        <v>#NAME?</v>
      </c>
      <c r="FU61" s="33" t="e">
        <f t="shared" ca="1" si="32"/>
        <v>#NAME?</v>
      </c>
      <c r="FV61" s="38" t="e">
        <f ca="1">_xll.RiskBinomial(1,FU61)</f>
        <v>#NAME?</v>
      </c>
      <c r="FW61" s="86" t="e">
        <f ca="1">IF(FV61=1,_xll.RiskBinomial(1,Prob_illness_Noro_infection),0)</f>
        <v>#NAME?</v>
      </c>
      <c r="FY61" s="85" t="e">
        <f t="shared" ca="1" si="62"/>
        <v>#NAME?</v>
      </c>
      <c r="FZ61" s="40" t="e">
        <f ca="1">INT(FY61) + _xll.RiskBinomial(1,FY61-INT(FY61))</f>
        <v>#NAME?</v>
      </c>
      <c r="GA61" s="33" t="e">
        <f t="shared" ca="1" si="33"/>
        <v>#NAME?</v>
      </c>
      <c r="GB61" s="38" t="e">
        <f ca="1">_xll.RiskBinomial(1,GA61)</f>
        <v>#NAME?</v>
      </c>
      <c r="GC61" s="86" t="e">
        <f ca="1">IF(GB61=1,_xll.RiskBinomial(1,Prob_illness_Noro_infection),0)</f>
        <v>#NAME?</v>
      </c>
      <c r="GE61" s="85" t="e">
        <f t="shared" ca="1" si="63"/>
        <v>#NAME?</v>
      </c>
      <c r="GF61" s="40" t="e">
        <f ca="1">INT(GE61) + _xll.RiskBinomial(1,GE61-INT(GE61))</f>
        <v>#NAME?</v>
      </c>
      <c r="GG61" s="33" t="e">
        <f t="shared" ca="1" si="34"/>
        <v>#NAME?</v>
      </c>
      <c r="GH61" s="38" t="e">
        <f ca="1">_xll.RiskBinomial(1,GG61)</f>
        <v>#NAME?</v>
      </c>
      <c r="GI61" s="86" t="e">
        <f ca="1">IF(GH61=1,_xll.RiskBinomial(1,Prob_illness_Noro_infection),0)</f>
        <v>#NAME?</v>
      </c>
      <c r="GK61" s="85" t="e">
        <f t="shared" ca="1" si="64"/>
        <v>#NAME?</v>
      </c>
      <c r="GL61" s="40" t="e">
        <f ca="1">INT(GK61) + _xll.RiskBinomial(1,GK61-INT(GK61))</f>
        <v>#NAME?</v>
      </c>
      <c r="GM61" s="33" t="e">
        <f t="shared" ca="1" si="35"/>
        <v>#NAME?</v>
      </c>
      <c r="GN61" s="38" t="e">
        <f ca="1">_xll.RiskBinomial(1,GM61)</f>
        <v>#NAME?</v>
      </c>
      <c r="GO61" s="86" t="e">
        <f ca="1">IF(GN61=1,_xll.RiskBinomial(1,Prob_illness_Noro_infection),0)</f>
        <v>#NAME?</v>
      </c>
    </row>
    <row r="62" spans="2:197" x14ac:dyDescent="0.25">
      <c r="B62" s="106">
        <v>54</v>
      </c>
      <c r="C62" s="109" t="e">
        <f ca="1" xml:space="preserve"> _xll.RiskPert(Dur_Swim_hours_min,Dur_Swim_hours_mode,Dur_Swim_hours_max)</f>
        <v>#NAME?</v>
      </c>
      <c r="D62" s="33" t="e">
        <f ca="1">_xll.RiskLognorm(Primary_Ing_Rate_mL_per_hour_mean,Primary_Ing_Rate_mL_per_hour_sd, _xll.RiskTruncate(Primary_Ing_Rate_mL_per_hour_min,Primary_Ing_Rate_mL_per_hour_max))</f>
        <v>#NAME?</v>
      </c>
      <c r="E62" s="41" t="e">
        <f t="shared" ca="1" si="36"/>
        <v>#NAME?</v>
      </c>
      <c r="F62" s="33"/>
      <c r="G62" s="85" t="e">
        <f t="shared" ca="1" si="37"/>
        <v>#NAME?</v>
      </c>
      <c r="H62" s="40" t="e">
        <f ca="1">INT(G62) + _xll.RiskBinomial(1,G62-INT(G62))</f>
        <v>#NAME?</v>
      </c>
      <c r="I62" s="33" t="e">
        <f t="shared" ca="1" si="0"/>
        <v>#NAME?</v>
      </c>
      <c r="J62" s="38" t="e">
        <f ca="1">_xll.RiskBinomial(1,I62)</f>
        <v>#NAME?</v>
      </c>
      <c r="K62" s="86" t="e">
        <f ca="1">IF(J62=1,_xll.RiskBinomial(1,Prob_illness_Noro_infection),0)</f>
        <v>#NAME?</v>
      </c>
      <c r="L62" s="33"/>
      <c r="M62" s="85" t="e">
        <f t="shared" ca="1" si="38"/>
        <v>#NAME?</v>
      </c>
      <c r="N62" s="40" t="e">
        <f ca="1">INT(M62) + _xll.RiskBinomial(1,M62-INT(M62))</f>
        <v>#NAME?</v>
      </c>
      <c r="O62" s="33" t="e">
        <f t="shared" ca="1" si="1"/>
        <v>#NAME?</v>
      </c>
      <c r="P62" s="38" t="e">
        <f ca="1">_xll.RiskBinomial(1,O62)</f>
        <v>#NAME?</v>
      </c>
      <c r="Q62" s="86" t="e">
        <f ca="1">IF(P62=1,_xll.RiskBinomial(1,Prob_illness_Noro_infection),0)</f>
        <v>#NAME?</v>
      </c>
      <c r="R62" s="33"/>
      <c r="S62" s="85" t="e">
        <f t="shared" ca="1" si="39"/>
        <v>#NAME?</v>
      </c>
      <c r="T62" s="40" t="e">
        <f ca="1">INT(S62) + _xll.RiskBinomial(1,S62-INT(S62))</f>
        <v>#NAME?</v>
      </c>
      <c r="U62" s="33" t="e">
        <f t="shared" ca="1" si="2"/>
        <v>#NAME?</v>
      </c>
      <c r="V62" s="38" t="e">
        <f ca="1">_xll.RiskBinomial(1,U62)</f>
        <v>#NAME?</v>
      </c>
      <c r="W62" s="86" t="e">
        <f ca="1">IF(V62=1,_xll.RiskBinomial(1,Prob_illness_Noro_infection),0)</f>
        <v>#NAME?</v>
      </c>
      <c r="X62" s="33"/>
      <c r="Y62" s="85" t="e">
        <f t="shared" ca="1" si="3"/>
        <v>#NAME?</v>
      </c>
      <c r="Z62" s="40" t="e">
        <f ca="1">INT(Y62) + _xll.RiskBinomial(1,Y62-INT(Y62))</f>
        <v>#NAME?</v>
      </c>
      <c r="AA62" s="33" t="e">
        <f t="shared" ca="1" si="4"/>
        <v>#NAME?</v>
      </c>
      <c r="AB62" s="38" t="e">
        <f ca="1">_xll.RiskBinomial(1,AA62)</f>
        <v>#NAME?</v>
      </c>
      <c r="AC62" s="86" t="e">
        <f ca="1">IF(AB62=1,_xll.RiskBinomial(1,Prob_illness_Noro_infection),0)</f>
        <v>#NAME?</v>
      </c>
      <c r="AD62" s="33"/>
      <c r="AE62" s="85" t="e">
        <f t="shared" ca="1" si="5"/>
        <v>#NAME?</v>
      </c>
      <c r="AF62" s="40" t="e">
        <f ca="1">INT(AE62) + _xll.RiskBinomial(1,AE62-INT(AE62))</f>
        <v>#NAME?</v>
      </c>
      <c r="AG62" s="33" t="e">
        <f t="shared" ca="1" si="6"/>
        <v>#NAME?</v>
      </c>
      <c r="AH62" s="38" t="e">
        <f ca="1">_xll.RiskBinomial(1,AG62)</f>
        <v>#NAME?</v>
      </c>
      <c r="AI62" s="86" t="e">
        <f ca="1">IF(AH62=1,_xll.RiskBinomial(1,Prob_illness_Noro_infection),0)</f>
        <v>#NAME?</v>
      </c>
      <c r="AJ62" s="33"/>
      <c r="AK62" s="85" t="e">
        <f t="shared" ca="1" si="7"/>
        <v>#NAME?</v>
      </c>
      <c r="AL62" s="40" t="e">
        <f ca="1">INT(AK62) + _xll.RiskBinomial(1,AK62-INT(AK62))</f>
        <v>#NAME?</v>
      </c>
      <c r="AM62" s="33" t="e">
        <f t="shared" ca="1" si="8"/>
        <v>#NAME?</v>
      </c>
      <c r="AN62" s="38" t="e">
        <f ca="1">_xll.RiskBinomial(1,AM62)</f>
        <v>#NAME?</v>
      </c>
      <c r="AO62" s="86" t="e">
        <f ca="1">IF(AN62=1,_xll.RiskBinomial(1,Prob_illness_Noro_infection),0)</f>
        <v>#NAME?</v>
      </c>
      <c r="AP62" s="33"/>
      <c r="AQ62" s="85" t="e">
        <f t="shared" ca="1" si="65"/>
        <v>#NAME?</v>
      </c>
      <c r="AR62" s="40" t="e">
        <f ca="1">INT(AQ62) + _xll.RiskBinomial(1,AQ62-INT(AQ62))</f>
        <v>#NAME?</v>
      </c>
      <c r="AS62" s="33" t="e">
        <f t="shared" ca="1" si="10"/>
        <v>#NAME?</v>
      </c>
      <c r="AT62" s="38" t="e">
        <f ca="1">_xll.RiskBinomial(1,AS62)</f>
        <v>#NAME?</v>
      </c>
      <c r="AU62" s="86" t="e">
        <f ca="1">IF(AT62=1,_xll.RiskBinomial(1,Prob_illness_Noro_infection),0)</f>
        <v>#NAME?</v>
      </c>
      <c r="AV62" s="33"/>
      <c r="AW62" s="85" t="e">
        <f t="shared" ca="1" si="40"/>
        <v>#NAME?</v>
      </c>
      <c r="AX62" s="40" t="e">
        <f ca="1">INT(AW62) + _xll.RiskBinomial(1,AW62-INT(AW62))</f>
        <v>#NAME?</v>
      </c>
      <c r="AY62" s="33" t="e">
        <f t="shared" ca="1" si="11"/>
        <v>#NAME?</v>
      </c>
      <c r="AZ62" s="38" t="e">
        <f ca="1">_xll.RiskBinomial(1,AY62)</f>
        <v>#NAME?</v>
      </c>
      <c r="BA62" s="86" t="e">
        <f ca="1">IF(AZ62=1,_xll.RiskBinomial(1,Prob_illness_Noro_infection),0)</f>
        <v>#NAME?</v>
      </c>
      <c r="BC62" s="85" t="e">
        <f t="shared" ca="1" si="41"/>
        <v>#NAME?</v>
      </c>
      <c r="BD62" s="40" t="e">
        <f ca="1">INT(BC62) + _xll.RiskBinomial(1,BC62-INT(BC62))</f>
        <v>#NAME?</v>
      </c>
      <c r="BE62" s="33" t="e">
        <f t="shared" ca="1" si="12"/>
        <v>#NAME?</v>
      </c>
      <c r="BF62" s="38" t="e">
        <f ca="1">_xll.RiskBinomial(1,BE62)</f>
        <v>#NAME?</v>
      </c>
      <c r="BG62" s="86" t="e">
        <f ca="1">IF(BF62=1,_xll.RiskBinomial(1,Prob_illness_Noro_infection),0)</f>
        <v>#NAME?</v>
      </c>
      <c r="BI62" s="85" t="e">
        <f t="shared" ca="1" si="42"/>
        <v>#NAME?</v>
      </c>
      <c r="BJ62" s="40" t="e">
        <f ca="1">INT(BI62) + _xll.RiskBinomial(1,BI62-INT(BI62))</f>
        <v>#NAME?</v>
      </c>
      <c r="BK62" s="33" t="e">
        <f t="shared" ca="1" si="13"/>
        <v>#NAME?</v>
      </c>
      <c r="BL62" s="38" t="e">
        <f ca="1">_xll.RiskBinomial(1,BK62)</f>
        <v>#NAME?</v>
      </c>
      <c r="BM62" s="86" t="e">
        <f ca="1">IF(BL62=1,_xll.RiskBinomial(1,Prob_illness_Noro_infection),0)</f>
        <v>#NAME?</v>
      </c>
      <c r="BO62" s="85" t="e">
        <f t="shared" ca="1" si="43"/>
        <v>#NAME?</v>
      </c>
      <c r="BP62" s="40" t="e">
        <f ca="1">INT(BO62) + _xll.RiskBinomial(1,BO62-INT(BO62))</f>
        <v>#NAME?</v>
      </c>
      <c r="BQ62" s="33" t="e">
        <f t="shared" ca="1" si="14"/>
        <v>#NAME?</v>
      </c>
      <c r="BR62" s="38" t="e">
        <f ca="1">_xll.RiskBinomial(1,BQ62)</f>
        <v>#NAME?</v>
      </c>
      <c r="BS62" s="86" t="e">
        <f ca="1">IF(BR62=1,_xll.RiskBinomial(1,Prob_illness_Noro_infection),0)</f>
        <v>#NAME?</v>
      </c>
      <c r="BU62" s="85" t="e">
        <f t="shared" ca="1" si="44"/>
        <v>#NAME?</v>
      </c>
      <c r="BV62" s="40" t="e">
        <f ca="1">INT(BU62) + _xll.RiskBinomial(1,BU62-INT(BU62))</f>
        <v>#NAME?</v>
      </c>
      <c r="BW62" s="33" t="e">
        <f t="shared" ca="1" si="15"/>
        <v>#NAME?</v>
      </c>
      <c r="BX62" s="38" t="e">
        <f ca="1">_xll.RiskBinomial(1,BW62)</f>
        <v>#NAME?</v>
      </c>
      <c r="BY62" s="86" t="e">
        <f ca="1">IF(BX62=1,_xll.RiskBinomial(1,Prob_illness_Noro_infection),0)</f>
        <v>#NAME?</v>
      </c>
      <c r="CA62" s="85" t="e">
        <f t="shared" ca="1" si="45"/>
        <v>#NAME?</v>
      </c>
      <c r="CB62" s="40" t="e">
        <f ca="1">INT(CA62) + _xll.RiskBinomial(1,CA62-INT(CA62))</f>
        <v>#NAME?</v>
      </c>
      <c r="CC62" s="33" t="e">
        <f t="shared" ca="1" si="16"/>
        <v>#NAME?</v>
      </c>
      <c r="CD62" s="38" t="e">
        <f ca="1">_xll.RiskBinomial(1,CC62)</f>
        <v>#NAME?</v>
      </c>
      <c r="CE62" s="86" t="e">
        <f ca="1">IF(CD62=1,_xll.RiskBinomial(1,Prob_illness_Noro_infection),0)</f>
        <v>#NAME?</v>
      </c>
      <c r="CG62" s="85" t="e">
        <f t="shared" ca="1" si="46"/>
        <v>#NAME?</v>
      </c>
      <c r="CH62" s="40" t="e">
        <f ca="1">INT(CG62) + _xll.RiskBinomial(1,CG62-INT(CG62))</f>
        <v>#NAME?</v>
      </c>
      <c r="CI62" s="33" t="e">
        <f t="shared" ca="1" si="17"/>
        <v>#NAME?</v>
      </c>
      <c r="CJ62" s="38" t="e">
        <f ca="1">_xll.RiskBinomial(1,CI62)</f>
        <v>#NAME?</v>
      </c>
      <c r="CK62" s="86" t="e">
        <f ca="1">IF(CJ62=1,_xll.RiskBinomial(1,Prob_illness_Noro_infection),0)</f>
        <v>#NAME?</v>
      </c>
      <c r="CM62" s="85" t="e">
        <f t="shared" ca="1" si="47"/>
        <v>#NAME?</v>
      </c>
      <c r="CN62" s="40" t="e">
        <f ca="1">INT(CM62) + _xll.RiskBinomial(1,CM62-INT(CM62))</f>
        <v>#NAME?</v>
      </c>
      <c r="CO62" s="33" t="e">
        <f t="shared" ca="1" si="18"/>
        <v>#NAME?</v>
      </c>
      <c r="CP62" s="38" t="e">
        <f ca="1">_xll.RiskBinomial(1,CO62)</f>
        <v>#NAME?</v>
      </c>
      <c r="CQ62" s="86" t="e">
        <f ca="1">IF(CP62=1,_xll.RiskBinomial(1,Prob_illness_Noro_infection),0)</f>
        <v>#NAME?</v>
      </c>
      <c r="CS62" s="85" t="e">
        <f t="shared" ca="1" si="48"/>
        <v>#NAME?</v>
      </c>
      <c r="CT62" s="40" t="e">
        <f ca="1">INT(CS62) + _xll.RiskBinomial(1,CS62-INT(CS62))</f>
        <v>#NAME?</v>
      </c>
      <c r="CU62" s="33" t="e">
        <f t="shared" ca="1" si="19"/>
        <v>#NAME?</v>
      </c>
      <c r="CV62" s="38" t="e">
        <f ca="1">_xll.RiskBinomial(1,CU62)</f>
        <v>#NAME?</v>
      </c>
      <c r="CW62" s="86" t="e">
        <f ca="1">IF(CV62=1,_xll.RiskBinomial(1,Prob_illness_Noro_infection),0)</f>
        <v>#NAME?</v>
      </c>
      <c r="CY62" s="85" t="e">
        <f t="shared" ca="1" si="49"/>
        <v>#NAME?</v>
      </c>
      <c r="CZ62" s="40" t="e">
        <f ca="1">INT(CY62) + _xll.RiskBinomial(1,CY62-INT(CY62))</f>
        <v>#NAME?</v>
      </c>
      <c r="DA62" s="33" t="e">
        <f t="shared" ca="1" si="20"/>
        <v>#NAME?</v>
      </c>
      <c r="DB62" s="38" t="e">
        <f ca="1">_xll.RiskBinomial(1,DA62)</f>
        <v>#NAME?</v>
      </c>
      <c r="DC62" s="86" t="e">
        <f ca="1">IF(DB62=1,_xll.RiskBinomial(1,Prob_illness_Noro_infection),0)</f>
        <v>#NAME?</v>
      </c>
      <c r="DE62" s="85" t="e">
        <f t="shared" ca="1" si="50"/>
        <v>#NAME?</v>
      </c>
      <c r="DF62" s="40" t="e">
        <f ca="1">INT(DE62) + _xll.RiskBinomial(1,DE62-INT(DE62))</f>
        <v>#NAME?</v>
      </c>
      <c r="DG62" s="33" t="e">
        <f t="shared" ca="1" si="21"/>
        <v>#NAME?</v>
      </c>
      <c r="DH62" s="38" t="e">
        <f ca="1">_xll.RiskBinomial(1,DG62)</f>
        <v>#NAME?</v>
      </c>
      <c r="DI62" s="86" t="e">
        <f ca="1">IF(DH62=1,_xll.RiskBinomial(1,Prob_illness_Noro_infection),0)</f>
        <v>#NAME?</v>
      </c>
      <c r="DK62" s="85" t="e">
        <f t="shared" ca="1" si="51"/>
        <v>#NAME?</v>
      </c>
      <c r="DL62" s="40" t="e">
        <f ca="1">INT(DK62) + _xll.RiskBinomial(1,DK62-INT(DK62))</f>
        <v>#NAME?</v>
      </c>
      <c r="DM62" s="33" t="e">
        <f t="shared" ca="1" si="22"/>
        <v>#NAME?</v>
      </c>
      <c r="DN62" s="38" t="e">
        <f ca="1">_xll.RiskBinomial(1,DM62)</f>
        <v>#NAME?</v>
      </c>
      <c r="DO62" s="86" t="e">
        <f ca="1">IF(DN62=1,_xll.RiskBinomial(1,Prob_illness_Noro_infection),0)</f>
        <v>#NAME?</v>
      </c>
      <c r="DQ62" s="85" t="e">
        <f t="shared" ca="1" si="52"/>
        <v>#NAME?</v>
      </c>
      <c r="DR62" s="40" t="e">
        <f ca="1">INT(DQ62) + _xll.RiskBinomial(1,DQ62-INT(DQ62))</f>
        <v>#NAME?</v>
      </c>
      <c r="DS62" s="33" t="e">
        <f t="shared" ca="1" si="23"/>
        <v>#NAME?</v>
      </c>
      <c r="DT62" s="38" t="e">
        <f ca="1">_xll.RiskBinomial(1,DS62)</f>
        <v>#NAME?</v>
      </c>
      <c r="DU62" s="86" t="e">
        <f ca="1">IF(DT62=1,_xll.RiskBinomial(1,Prob_illness_Noro_infection),0)</f>
        <v>#NAME?</v>
      </c>
      <c r="DW62" s="85" t="e">
        <f t="shared" ca="1" si="53"/>
        <v>#NAME?</v>
      </c>
      <c r="DX62" s="40" t="e">
        <f ca="1">INT(DW62) + _xll.RiskBinomial(1,DW62-INT(DW62))</f>
        <v>#NAME?</v>
      </c>
      <c r="DY62" s="33" t="e">
        <f t="shared" ca="1" si="24"/>
        <v>#NAME?</v>
      </c>
      <c r="DZ62" s="38" t="e">
        <f ca="1">_xll.RiskBinomial(1,DY62)</f>
        <v>#NAME?</v>
      </c>
      <c r="EA62" s="86" t="e">
        <f ca="1">IF(DZ62=1,_xll.RiskBinomial(1,Prob_illness_Noro_infection),0)</f>
        <v>#NAME?</v>
      </c>
      <c r="EC62" s="85" t="e">
        <f t="shared" ca="1" si="54"/>
        <v>#NAME?</v>
      </c>
      <c r="ED62" s="40" t="e">
        <f ca="1">INT(EC62) + _xll.RiskBinomial(1,EC62-INT(EC62))</f>
        <v>#NAME?</v>
      </c>
      <c r="EE62" s="33" t="e">
        <f t="shared" ca="1" si="25"/>
        <v>#NAME?</v>
      </c>
      <c r="EF62" s="38" t="e">
        <f ca="1">_xll.RiskBinomial(1,EE62)</f>
        <v>#NAME?</v>
      </c>
      <c r="EG62" s="86" t="e">
        <f ca="1">IF(EF62=1,_xll.RiskBinomial(1,Prob_illness_Noro_infection),0)</f>
        <v>#NAME?</v>
      </c>
      <c r="EI62" s="85" t="e">
        <f t="shared" ca="1" si="55"/>
        <v>#NAME?</v>
      </c>
      <c r="EJ62" s="40" t="e">
        <f ca="1">INT(EI62) + _xll.RiskBinomial(1,EI62-INT(EI62))</f>
        <v>#NAME?</v>
      </c>
      <c r="EK62" s="33" t="e">
        <f t="shared" ca="1" si="26"/>
        <v>#NAME?</v>
      </c>
      <c r="EL62" s="38" t="e">
        <f ca="1">_xll.RiskBinomial(1,EK62)</f>
        <v>#NAME?</v>
      </c>
      <c r="EM62" s="86" t="e">
        <f ca="1">IF(EL62=1,_xll.RiskBinomial(1,Prob_illness_Noro_infection),0)</f>
        <v>#NAME?</v>
      </c>
      <c r="EO62" s="85" t="e">
        <f t="shared" ca="1" si="56"/>
        <v>#NAME?</v>
      </c>
      <c r="EP62" s="40" t="e">
        <f ca="1">INT(EO62) + _xll.RiskBinomial(1,EO62-INT(EO62))</f>
        <v>#NAME?</v>
      </c>
      <c r="EQ62" s="33" t="e">
        <f t="shared" ca="1" si="27"/>
        <v>#NAME?</v>
      </c>
      <c r="ER62" s="38" t="e">
        <f ca="1">_xll.RiskBinomial(1,EQ62)</f>
        <v>#NAME?</v>
      </c>
      <c r="ES62" s="86" t="e">
        <f ca="1">IF(ER62=1,_xll.RiskBinomial(1,Prob_illness_Noro_infection),0)</f>
        <v>#NAME?</v>
      </c>
      <c r="EU62" s="85" t="e">
        <f t="shared" ca="1" si="57"/>
        <v>#NAME?</v>
      </c>
      <c r="EV62" s="40" t="e">
        <f ca="1">INT(EU62) + _xll.RiskBinomial(1,EU62-INT(EU62))</f>
        <v>#NAME?</v>
      </c>
      <c r="EW62" s="33" t="e">
        <f t="shared" ca="1" si="28"/>
        <v>#NAME?</v>
      </c>
      <c r="EX62" s="38" t="e">
        <f ca="1">_xll.RiskBinomial(1,EW62)</f>
        <v>#NAME?</v>
      </c>
      <c r="EY62" s="86" t="e">
        <f ca="1">IF(EX62=1,_xll.RiskBinomial(1,Prob_illness_Noro_infection),0)</f>
        <v>#NAME?</v>
      </c>
      <c r="FA62" s="85" t="e">
        <f t="shared" ca="1" si="58"/>
        <v>#NAME?</v>
      </c>
      <c r="FB62" s="40" t="e">
        <f ca="1">INT(FA62) + _xll.RiskBinomial(1,FA62-INT(FA62))</f>
        <v>#NAME?</v>
      </c>
      <c r="FC62" s="33" t="e">
        <f t="shared" ca="1" si="29"/>
        <v>#NAME?</v>
      </c>
      <c r="FD62" s="38" t="e">
        <f ca="1">_xll.RiskBinomial(1,FC62)</f>
        <v>#NAME?</v>
      </c>
      <c r="FE62" s="86" t="e">
        <f ca="1">IF(FD62=1,_xll.RiskBinomial(1,Prob_illness_Noro_infection),0)</f>
        <v>#NAME?</v>
      </c>
      <c r="FG62" s="85" t="e">
        <f t="shared" ca="1" si="59"/>
        <v>#NAME?</v>
      </c>
      <c r="FH62" s="40" t="e">
        <f ca="1">INT(FG62) + _xll.RiskBinomial(1,FG62-INT(FG62))</f>
        <v>#NAME?</v>
      </c>
      <c r="FI62" s="33" t="e">
        <f t="shared" ca="1" si="30"/>
        <v>#NAME?</v>
      </c>
      <c r="FJ62" s="38" t="e">
        <f ca="1">_xll.RiskBinomial(1,FI62)</f>
        <v>#NAME?</v>
      </c>
      <c r="FK62" s="86" t="e">
        <f ca="1">IF(FJ62=1,_xll.RiskBinomial(1,Prob_illness_Noro_infection),0)</f>
        <v>#NAME?</v>
      </c>
      <c r="FM62" s="85" t="e">
        <f t="shared" ca="1" si="60"/>
        <v>#NAME?</v>
      </c>
      <c r="FN62" s="40" t="e">
        <f ca="1">INT(FM62) + _xll.RiskBinomial(1,FM62-INT(FM62))</f>
        <v>#NAME?</v>
      </c>
      <c r="FO62" s="33" t="e">
        <f t="shared" ca="1" si="31"/>
        <v>#NAME?</v>
      </c>
      <c r="FP62" s="38" t="e">
        <f ca="1">_xll.RiskBinomial(1,FO62)</f>
        <v>#NAME?</v>
      </c>
      <c r="FQ62" s="86" t="e">
        <f ca="1">IF(FP62=1,_xll.RiskBinomial(1,Prob_illness_Noro_infection),0)</f>
        <v>#NAME?</v>
      </c>
      <c r="FS62" s="85" t="e">
        <f t="shared" ca="1" si="61"/>
        <v>#NAME?</v>
      </c>
      <c r="FT62" s="40" t="e">
        <f ca="1">INT(FS62) + _xll.RiskBinomial(1,FS62-INT(FS62))</f>
        <v>#NAME?</v>
      </c>
      <c r="FU62" s="33" t="e">
        <f t="shared" ca="1" si="32"/>
        <v>#NAME?</v>
      </c>
      <c r="FV62" s="38" t="e">
        <f ca="1">_xll.RiskBinomial(1,FU62)</f>
        <v>#NAME?</v>
      </c>
      <c r="FW62" s="86" t="e">
        <f ca="1">IF(FV62=1,_xll.RiskBinomial(1,Prob_illness_Noro_infection),0)</f>
        <v>#NAME?</v>
      </c>
      <c r="FY62" s="85" t="e">
        <f t="shared" ca="1" si="62"/>
        <v>#NAME?</v>
      </c>
      <c r="FZ62" s="40" t="e">
        <f ca="1">INT(FY62) + _xll.RiskBinomial(1,FY62-INT(FY62))</f>
        <v>#NAME?</v>
      </c>
      <c r="GA62" s="33" t="e">
        <f t="shared" ca="1" si="33"/>
        <v>#NAME?</v>
      </c>
      <c r="GB62" s="38" t="e">
        <f ca="1">_xll.RiskBinomial(1,GA62)</f>
        <v>#NAME?</v>
      </c>
      <c r="GC62" s="86" t="e">
        <f ca="1">IF(GB62=1,_xll.RiskBinomial(1,Prob_illness_Noro_infection),0)</f>
        <v>#NAME?</v>
      </c>
      <c r="GE62" s="85" t="e">
        <f t="shared" ca="1" si="63"/>
        <v>#NAME?</v>
      </c>
      <c r="GF62" s="40" t="e">
        <f ca="1">INT(GE62) + _xll.RiskBinomial(1,GE62-INT(GE62))</f>
        <v>#NAME?</v>
      </c>
      <c r="GG62" s="33" t="e">
        <f t="shared" ca="1" si="34"/>
        <v>#NAME?</v>
      </c>
      <c r="GH62" s="38" t="e">
        <f ca="1">_xll.RiskBinomial(1,GG62)</f>
        <v>#NAME?</v>
      </c>
      <c r="GI62" s="86" t="e">
        <f ca="1">IF(GH62=1,_xll.RiskBinomial(1,Prob_illness_Noro_infection),0)</f>
        <v>#NAME?</v>
      </c>
      <c r="GK62" s="85" t="e">
        <f t="shared" ca="1" si="64"/>
        <v>#NAME?</v>
      </c>
      <c r="GL62" s="40" t="e">
        <f ca="1">INT(GK62) + _xll.RiskBinomial(1,GK62-INT(GK62))</f>
        <v>#NAME?</v>
      </c>
      <c r="GM62" s="33" t="e">
        <f t="shared" ca="1" si="35"/>
        <v>#NAME?</v>
      </c>
      <c r="GN62" s="38" t="e">
        <f ca="1">_xll.RiskBinomial(1,GM62)</f>
        <v>#NAME?</v>
      </c>
      <c r="GO62" s="86" t="e">
        <f ca="1">IF(GN62=1,_xll.RiskBinomial(1,Prob_illness_Noro_infection),0)</f>
        <v>#NAME?</v>
      </c>
    </row>
    <row r="63" spans="2:197" x14ac:dyDescent="0.25">
      <c r="B63" s="106">
        <v>55</v>
      </c>
      <c r="C63" s="109" t="e">
        <f ca="1" xml:space="preserve"> _xll.RiskPert(Dur_Swim_hours_min,Dur_Swim_hours_mode,Dur_Swim_hours_max)</f>
        <v>#NAME?</v>
      </c>
      <c r="D63" s="33" t="e">
        <f ca="1">_xll.RiskLognorm(Primary_Ing_Rate_mL_per_hour_mean,Primary_Ing_Rate_mL_per_hour_sd, _xll.RiskTruncate(Primary_Ing_Rate_mL_per_hour_min,Primary_Ing_Rate_mL_per_hour_max))</f>
        <v>#NAME?</v>
      </c>
      <c r="E63" s="41" t="e">
        <f t="shared" ca="1" si="36"/>
        <v>#NAME?</v>
      </c>
      <c r="F63" s="33"/>
      <c r="G63" s="85" t="e">
        <f t="shared" ca="1" si="37"/>
        <v>#NAME?</v>
      </c>
      <c r="H63" s="40" t="e">
        <f ca="1">INT(G63) + _xll.RiskBinomial(1,G63-INT(G63))</f>
        <v>#NAME?</v>
      </c>
      <c r="I63" s="33" t="e">
        <f t="shared" ca="1" si="0"/>
        <v>#NAME?</v>
      </c>
      <c r="J63" s="38" t="e">
        <f ca="1">_xll.RiskBinomial(1,I63)</f>
        <v>#NAME?</v>
      </c>
      <c r="K63" s="86" t="e">
        <f ca="1">IF(J63=1,_xll.RiskBinomial(1,Prob_illness_Noro_infection),0)</f>
        <v>#NAME?</v>
      </c>
      <c r="L63" s="33"/>
      <c r="M63" s="85" t="e">
        <f t="shared" ca="1" si="38"/>
        <v>#NAME?</v>
      </c>
      <c r="N63" s="40" t="e">
        <f ca="1">INT(M63) + _xll.RiskBinomial(1,M63-INT(M63))</f>
        <v>#NAME?</v>
      </c>
      <c r="O63" s="33" t="e">
        <f t="shared" ca="1" si="1"/>
        <v>#NAME?</v>
      </c>
      <c r="P63" s="38" t="e">
        <f ca="1">_xll.RiskBinomial(1,O63)</f>
        <v>#NAME?</v>
      </c>
      <c r="Q63" s="86" t="e">
        <f ca="1">IF(P63=1,_xll.RiskBinomial(1,Prob_illness_Noro_infection),0)</f>
        <v>#NAME?</v>
      </c>
      <c r="R63" s="33"/>
      <c r="S63" s="85" t="e">
        <f t="shared" ca="1" si="39"/>
        <v>#NAME?</v>
      </c>
      <c r="T63" s="40" t="e">
        <f ca="1">INT(S63) + _xll.RiskBinomial(1,S63-INT(S63))</f>
        <v>#NAME?</v>
      </c>
      <c r="U63" s="33" t="e">
        <f t="shared" ca="1" si="2"/>
        <v>#NAME?</v>
      </c>
      <c r="V63" s="38" t="e">
        <f ca="1">_xll.RiskBinomial(1,U63)</f>
        <v>#NAME?</v>
      </c>
      <c r="W63" s="86" t="e">
        <f ca="1">IF(V63=1,_xll.RiskBinomial(1,Prob_illness_Noro_infection),0)</f>
        <v>#NAME?</v>
      </c>
      <c r="X63" s="33"/>
      <c r="Y63" s="85" t="e">
        <f t="shared" ca="1" si="3"/>
        <v>#NAME?</v>
      </c>
      <c r="Z63" s="40" t="e">
        <f ca="1">INT(Y63) + _xll.RiskBinomial(1,Y63-INT(Y63))</f>
        <v>#NAME?</v>
      </c>
      <c r="AA63" s="33" t="e">
        <f t="shared" ca="1" si="4"/>
        <v>#NAME?</v>
      </c>
      <c r="AB63" s="38" t="e">
        <f ca="1">_xll.RiskBinomial(1,AA63)</f>
        <v>#NAME?</v>
      </c>
      <c r="AC63" s="86" t="e">
        <f ca="1">IF(AB63=1,_xll.RiskBinomial(1,Prob_illness_Noro_infection),0)</f>
        <v>#NAME?</v>
      </c>
      <c r="AD63" s="33"/>
      <c r="AE63" s="85" t="e">
        <f t="shared" ca="1" si="5"/>
        <v>#NAME?</v>
      </c>
      <c r="AF63" s="40" t="e">
        <f ca="1">INT(AE63) + _xll.RiskBinomial(1,AE63-INT(AE63))</f>
        <v>#NAME?</v>
      </c>
      <c r="AG63" s="33" t="e">
        <f t="shared" ca="1" si="6"/>
        <v>#NAME?</v>
      </c>
      <c r="AH63" s="38" t="e">
        <f ca="1">_xll.RiskBinomial(1,AG63)</f>
        <v>#NAME?</v>
      </c>
      <c r="AI63" s="86" t="e">
        <f ca="1">IF(AH63=1,_xll.RiskBinomial(1,Prob_illness_Noro_infection),0)</f>
        <v>#NAME?</v>
      </c>
      <c r="AJ63" s="33"/>
      <c r="AK63" s="85" t="e">
        <f t="shared" ca="1" si="7"/>
        <v>#NAME?</v>
      </c>
      <c r="AL63" s="40" t="e">
        <f ca="1">INT(AK63) + _xll.RiskBinomial(1,AK63-INT(AK63))</f>
        <v>#NAME?</v>
      </c>
      <c r="AM63" s="33" t="e">
        <f t="shared" ca="1" si="8"/>
        <v>#NAME?</v>
      </c>
      <c r="AN63" s="38" t="e">
        <f ca="1">_xll.RiskBinomial(1,AM63)</f>
        <v>#NAME?</v>
      </c>
      <c r="AO63" s="86" t="e">
        <f ca="1">IF(AN63=1,_xll.RiskBinomial(1,Prob_illness_Noro_infection),0)</f>
        <v>#NAME?</v>
      </c>
      <c r="AP63" s="33"/>
      <c r="AQ63" s="85" t="e">
        <f t="shared" ca="1" si="65"/>
        <v>#NAME?</v>
      </c>
      <c r="AR63" s="40" t="e">
        <f ca="1">INT(AQ63) + _xll.RiskBinomial(1,AQ63-INT(AQ63))</f>
        <v>#NAME?</v>
      </c>
      <c r="AS63" s="33" t="e">
        <f t="shared" ca="1" si="10"/>
        <v>#NAME?</v>
      </c>
      <c r="AT63" s="38" t="e">
        <f ca="1">_xll.RiskBinomial(1,AS63)</f>
        <v>#NAME?</v>
      </c>
      <c r="AU63" s="86" t="e">
        <f ca="1">IF(AT63=1,_xll.RiskBinomial(1,Prob_illness_Noro_infection),0)</f>
        <v>#NAME?</v>
      </c>
      <c r="AV63" s="33"/>
      <c r="AW63" s="85" t="e">
        <f t="shared" ca="1" si="40"/>
        <v>#NAME?</v>
      </c>
      <c r="AX63" s="40" t="e">
        <f ca="1">INT(AW63) + _xll.RiskBinomial(1,AW63-INT(AW63))</f>
        <v>#NAME?</v>
      </c>
      <c r="AY63" s="33" t="e">
        <f t="shared" ca="1" si="11"/>
        <v>#NAME?</v>
      </c>
      <c r="AZ63" s="38" t="e">
        <f ca="1">_xll.RiskBinomial(1,AY63)</f>
        <v>#NAME?</v>
      </c>
      <c r="BA63" s="86" t="e">
        <f ca="1">IF(AZ63=1,_xll.RiskBinomial(1,Prob_illness_Noro_infection),0)</f>
        <v>#NAME?</v>
      </c>
      <c r="BC63" s="85" t="e">
        <f t="shared" ca="1" si="41"/>
        <v>#NAME?</v>
      </c>
      <c r="BD63" s="40" t="e">
        <f ca="1">INT(BC63) + _xll.RiskBinomial(1,BC63-INT(BC63))</f>
        <v>#NAME?</v>
      </c>
      <c r="BE63" s="33" t="e">
        <f t="shared" ca="1" si="12"/>
        <v>#NAME?</v>
      </c>
      <c r="BF63" s="38" t="e">
        <f ca="1">_xll.RiskBinomial(1,BE63)</f>
        <v>#NAME?</v>
      </c>
      <c r="BG63" s="86" t="e">
        <f ca="1">IF(BF63=1,_xll.RiskBinomial(1,Prob_illness_Noro_infection),0)</f>
        <v>#NAME?</v>
      </c>
      <c r="BI63" s="85" t="e">
        <f t="shared" ca="1" si="42"/>
        <v>#NAME?</v>
      </c>
      <c r="BJ63" s="40" t="e">
        <f ca="1">INT(BI63) + _xll.RiskBinomial(1,BI63-INT(BI63))</f>
        <v>#NAME?</v>
      </c>
      <c r="BK63" s="33" t="e">
        <f t="shared" ca="1" si="13"/>
        <v>#NAME?</v>
      </c>
      <c r="BL63" s="38" t="e">
        <f ca="1">_xll.RiskBinomial(1,BK63)</f>
        <v>#NAME?</v>
      </c>
      <c r="BM63" s="86" t="e">
        <f ca="1">IF(BL63=1,_xll.RiskBinomial(1,Prob_illness_Noro_infection),0)</f>
        <v>#NAME?</v>
      </c>
      <c r="BO63" s="85" t="e">
        <f t="shared" ca="1" si="43"/>
        <v>#NAME?</v>
      </c>
      <c r="BP63" s="40" t="e">
        <f ca="1">INT(BO63) + _xll.RiskBinomial(1,BO63-INT(BO63))</f>
        <v>#NAME?</v>
      </c>
      <c r="BQ63" s="33" t="e">
        <f t="shared" ca="1" si="14"/>
        <v>#NAME?</v>
      </c>
      <c r="BR63" s="38" t="e">
        <f ca="1">_xll.RiskBinomial(1,BQ63)</f>
        <v>#NAME?</v>
      </c>
      <c r="BS63" s="86" t="e">
        <f ca="1">IF(BR63=1,_xll.RiskBinomial(1,Prob_illness_Noro_infection),0)</f>
        <v>#NAME?</v>
      </c>
      <c r="BU63" s="85" t="e">
        <f t="shared" ca="1" si="44"/>
        <v>#NAME?</v>
      </c>
      <c r="BV63" s="40" t="e">
        <f ca="1">INT(BU63) + _xll.RiskBinomial(1,BU63-INT(BU63))</f>
        <v>#NAME?</v>
      </c>
      <c r="BW63" s="33" t="e">
        <f t="shared" ca="1" si="15"/>
        <v>#NAME?</v>
      </c>
      <c r="BX63" s="38" t="e">
        <f ca="1">_xll.RiskBinomial(1,BW63)</f>
        <v>#NAME?</v>
      </c>
      <c r="BY63" s="86" t="e">
        <f ca="1">IF(BX63=1,_xll.RiskBinomial(1,Prob_illness_Noro_infection),0)</f>
        <v>#NAME?</v>
      </c>
      <c r="CA63" s="85" t="e">
        <f t="shared" ca="1" si="45"/>
        <v>#NAME?</v>
      </c>
      <c r="CB63" s="40" t="e">
        <f ca="1">INT(CA63) + _xll.RiskBinomial(1,CA63-INT(CA63))</f>
        <v>#NAME?</v>
      </c>
      <c r="CC63" s="33" t="e">
        <f t="shared" ca="1" si="16"/>
        <v>#NAME?</v>
      </c>
      <c r="CD63" s="38" t="e">
        <f ca="1">_xll.RiskBinomial(1,CC63)</f>
        <v>#NAME?</v>
      </c>
      <c r="CE63" s="86" t="e">
        <f ca="1">IF(CD63=1,_xll.RiskBinomial(1,Prob_illness_Noro_infection),0)</f>
        <v>#NAME?</v>
      </c>
      <c r="CG63" s="85" t="e">
        <f t="shared" ca="1" si="46"/>
        <v>#NAME?</v>
      </c>
      <c r="CH63" s="40" t="e">
        <f ca="1">INT(CG63) + _xll.RiskBinomial(1,CG63-INT(CG63))</f>
        <v>#NAME?</v>
      </c>
      <c r="CI63" s="33" t="e">
        <f t="shared" ca="1" si="17"/>
        <v>#NAME?</v>
      </c>
      <c r="CJ63" s="38" t="e">
        <f ca="1">_xll.RiskBinomial(1,CI63)</f>
        <v>#NAME?</v>
      </c>
      <c r="CK63" s="86" t="e">
        <f ca="1">IF(CJ63=1,_xll.RiskBinomial(1,Prob_illness_Noro_infection),0)</f>
        <v>#NAME?</v>
      </c>
      <c r="CM63" s="85" t="e">
        <f t="shared" ca="1" si="47"/>
        <v>#NAME?</v>
      </c>
      <c r="CN63" s="40" t="e">
        <f ca="1">INT(CM63) + _xll.RiskBinomial(1,CM63-INT(CM63))</f>
        <v>#NAME?</v>
      </c>
      <c r="CO63" s="33" t="e">
        <f t="shared" ca="1" si="18"/>
        <v>#NAME?</v>
      </c>
      <c r="CP63" s="38" t="e">
        <f ca="1">_xll.RiskBinomial(1,CO63)</f>
        <v>#NAME?</v>
      </c>
      <c r="CQ63" s="86" t="e">
        <f ca="1">IF(CP63=1,_xll.RiskBinomial(1,Prob_illness_Noro_infection),0)</f>
        <v>#NAME?</v>
      </c>
      <c r="CS63" s="85" t="e">
        <f t="shared" ca="1" si="48"/>
        <v>#NAME?</v>
      </c>
      <c r="CT63" s="40" t="e">
        <f ca="1">INT(CS63) + _xll.RiskBinomial(1,CS63-INT(CS63))</f>
        <v>#NAME?</v>
      </c>
      <c r="CU63" s="33" t="e">
        <f t="shared" ca="1" si="19"/>
        <v>#NAME?</v>
      </c>
      <c r="CV63" s="38" t="e">
        <f ca="1">_xll.RiskBinomial(1,CU63)</f>
        <v>#NAME?</v>
      </c>
      <c r="CW63" s="86" t="e">
        <f ca="1">IF(CV63=1,_xll.RiskBinomial(1,Prob_illness_Noro_infection),0)</f>
        <v>#NAME?</v>
      </c>
      <c r="CY63" s="85" t="e">
        <f t="shared" ca="1" si="49"/>
        <v>#NAME?</v>
      </c>
      <c r="CZ63" s="40" t="e">
        <f ca="1">INT(CY63) + _xll.RiskBinomial(1,CY63-INT(CY63))</f>
        <v>#NAME?</v>
      </c>
      <c r="DA63" s="33" t="e">
        <f t="shared" ca="1" si="20"/>
        <v>#NAME?</v>
      </c>
      <c r="DB63" s="38" t="e">
        <f ca="1">_xll.RiskBinomial(1,DA63)</f>
        <v>#NAME?</v>
      </c>
      <c r="DC63" s="86" t="e">
        <f ca="1">IF(DB63=1,_xll.RiskBinomial(1,Prob_illness_Noro_infection),0)</f>
        <v>#NAME?</v>
      </c>
      <c r="DE63" s="85" t="e">
        <f t="shared" ca="1" si="50"/>
        <v>#NAME?</v>
      </c>
      <c r="DF63" s="40" t="e">
        <f ca="1">INT(DE63) + _xll.RiskBinomial(1,DE63-INT(DE63))</f>
        <v>#NAME?</v>
      </c>
      <c r="DG63" s="33" t="e">
        <f t="shared" ca="1" si="21"/>
        <v>#NAME?</v>
      </c>
      <c r="DH63" s="38" t="e">
        <f ca="1">_xll.RiskBinomial(1,DG63)</f>
        <v>#NAME?</v>
      </c>
      <c r="DI63" s="86" t="e">
        <f ca="1">IF(DH63=1,_xll.RiskBinomial(1,Prob_illness_Noro_infection),0)</f>
        <v>#NAME?</v>
      </c>
      <c r="DK63" s="85" t="e">
        <f t="shared" ca="1" si="51"/>
        <v>#NAME?</v>
      </c>
      <c r="DL63" s="40" t="e">
        <f ca="1">INT(DK63) + _xll.RiskBinomial(1,DK63-INT(DK63))</f>
        <v>#NAME?</v>
      </c>
      <c r="DM63" s="33" t="e">
        <f t="shared" ca="1" si="22"/>
        <v>#NAME?</v>
      </c>
      <c r="DN63" s="38" t="e">
        <f ca="1">_xll.RiskBinomial(1,DM63)</f>
        <v>#NAME?</v>
      </c>
      <c r="DO63" s="86" t="e">
        <f ca="1">IF(DN63=1,_xll.RiskBinomial(1,Prob_illness_Noro_infection),0)</f>
        <v>#NAME?</v>
      </c>
      <c r="DQ63" s="85" t="e">
        <f t="shared" ca="1" si="52"/>
        <v>#NAME?</v>
      </c>
      <c r="DR63" s="40" t="e">
        <f ca="1">INT(DQ63) + _xll.RiskBinomial(1,DQ63-INT(DQ63))</f>
        <v>#NAME?</v>
      </c>
      <c r="DS63" s="33" t="e">
        <f t="shared" ca="1" si="23"/>
        <v>#NAME?</v>
      </c>
      <c r="DT63" s="38" t="e">
        <f ca="1">_xll.RiskBinomial(1,DS63)</f>
        <v>#NAME?</v>
      </c>
      <c r="DU63" s="86" t="e">
        <f ca="1">IF(DT63=1,_xll.RiskBinomial(1,Prob_illness_Noro_infection),0)</f>
        <v>#NAME?</v>
      </c>
      <c r="DW63" s="85" t="e">
        <f t="shared" ca="1" si="53"/>
        <v>#NAME?</v>
      </c>
      <c r="DX63" s="40" t="e">
        <f ca="1">INT(DW63) + _xll.RiskBinomial(1,DW63-INT(DW63))</f>
        <v>#NAME?</v>
      </c>
      <c r="DY63" s="33" t="e">
        <f t="shared" ca="1" si="24"/>
        <v>#NAME?</v>
      </c>
      <c r="DZ63" s="38" t="e">
        <f ca="1">_xll.RiskBinomial(1,DY63)</f>
        <v>#NAME?</v>
      </c>
      <c r="EA63" s="86" t="e">
        <f ca="1">IF(DZ63=1,_xll.RiskBinomial(1,Prob_illness_Noro_infection),0)</f>
        <v>#NAME?</v>
      </c>
      <c r="EC63" s="85" t="e">
        <f t="shared" ca="1" si="54"/>
        <v>#NAME?</v>
      </c>
      <c r="ED63" s="40" t="e">
        <f ca="1">INT(EC63) + _xll.RiskBinomial(1,EC63-INT(EC63))</f>
        <v>#NAME?</v>
      </c>
      <c r="EE63" s="33" t="e">
        <f t="shared" ca="1" si="25"/>
        <v>#NAME?</v>
      </c>
      <c r="EF63" s="38" t="e">
        <f ca="1">_xll.RiskBinomial(1,EE63)</f>
        <v>#NAME?</v>
      </c>
      <c r="EG63" s="86" t="e">
        <f ca="1">IF(EF63=1,_xll.RiskBinomial(1,Prob_illness_Noro_infection),0)</f>
        <v>#NAME?</v>
      </c>
      <c r="EI63" s="85" t="e">
        <f t="shared" ca="1" si="55"/>
        <v>#NAME?</v>
      </c>
      <c r="EJ63" s="40" t="e">
        <f ca="1">INT(EI63) + _xll.RiskBinomial(1,EI63-INT(EI63))</f>
        <v>#NAME?</v>
      </c>
      <c r="EK63" s="33" t="e">
        <f t="shared" ca="1" si="26"/>
        <v>#NAME?</v>
      </c>
      <c r="EL63" s="38" t="e">
        <f ca="1">_xll.RiskBinomial(1,EK63)</f>
        <v>#NAME?</v>
      </c>
      <c r="EM63" s="86" t="e">
        <f ca="1">IF(EL63=1,_xll.RiskBinomial(1,Prob_illness_Noro_infection),0)</f>
        <v>#NAME?</v>
      </c>
      <c r="EO63" s="85" t="e">
        <f t="shared" ca="1" si="56"/>
        <v>#NAME?</v>
      </c>
      <c r="EP63" s="40" t="e">
        <f ca="1">INT(EO63) + _xll.RiskBinomial(1,EO63-INT(EO63))</f>
        <v>#NAME?</v>
      </c>
      <c r="EQ63" s="33" t="e">
        <f t="shared" ca="1" si="27"/>
        <v>#NAME?</v>
      </c>
      <c r="ER63" s="38" t="e">
        <f ca="1">_xll.RiskBinomial(1,EQ63)</f>
        <v>#NAME?</v>
      </c>
      <c r="ES63" s="86" t="e">
        <f ca="1">IF(ER63=1,_xll.RiskBinomial(1,Prob_illness_Noro_infection),0)</f>
        <v>#NAME?</v>
      </c>
      <c r="EU63" s="85" t="e">
        <f t="shared" ca="1" si="57"/>
        <v>#NAME?</v>
      </c>
      <c r="EV63" s="40" t="e">
        <f ca="1">INT(EU63) + _xll.RiskBinomial(1,EU63-INT(EU63))</f>
        <v>#NAME?</v>
      </c>
      <c r="EW63" s="33" t="e">
        <f t="shared" ca="1" si="28"/>
        <v>#NAME?</v>
      </c>
      <c r="EX63" s="38" t="e">
        <f ca="1">_xll.RiskBinomial(1,EW63)</f>
        <v>#NAME?</v>
      </c>
      <c r="EY63" s="86" t="e">
        <f ca="1">IF(EX63=1,_xll.RiskBinomial(1,Prob_illness_Noro_infection),0)</f>
        <v>#NAME?</v>
      </c>
      <c r="FA63" s="85" t="e">
        <f t="shared" ca="1" si="58"/>
        <v>#NAME?</v>
      </c>
      <c r="FB63" s="40" t="e">
        <f ca="1">INT(FA63) + _xll.RiskBinomial(1,FA63-INT(FA63))</f>
        <v>#NAME?</v>
      </c>
      <c r="FC63" s="33" t="e">
        <f t="shared" ca="1" si="29"/>
        <v>#NAME?</v>
      </c>
      <c r="FD63" s="38" t="e">
        <f ca="1">_xll.RiskBinomial(1,FC63)</f>
        <v>#NAME?</v>
      </c>
      <c r="FE63" s="86" t="e">
        <f ca="1">IF(FD63=1,_xll.RiskBinomial(1,Prob_illness_Noro_infection),0)</f>
        <v>#NAME?</v>
      </c>
      <c r="FG63" s="85" t="e">
        <f t="shared" ca="1" si="59"/>
        <v>#NAME?</v>
      </c>
      <c r="FH63" s="40" t="e">
        <f ca="1">INT(FG63) + _xll.RiskBinomial(1,FG63-INT(FG63))</f>
        <v>#NAME?</v>
      </c>
      <c r="FI63" s="33" t="e">
        <f t="shared" ca="1" si="30"/>
        <v>#NAME?</v>
      </c>
      <c r="FJ63" s="38" t="e">
        <f ca="1">_xll.RiskBinomial(1,FI63)</f>
        <v>#NAME?</v>
      </c>
      <c r="FK63" s="86" t="e">
        <f ca="1">IF(FJ63=1,_xll.RiskBinomial(1,Prob_illness_Noro_infection),0)</f>
        <v>#NAME?</v>
      </c>
      <c r="FM63" s="85" t="e">
        <f t="shared" ca="1" si="60"/>
        <v>#NAME?</v>
      </c>
      <c r="FN63" s="40" t="e">
        <f ca="1">INT(FM63) + _xll.RiskBinomial(1,FM63-INT(FM63))</f>
        <v>#NAME?</v>
      </c>
      <c r="FO63" s="33" t="e">
        <f t="shared" ca="1" si="31"/>
        <v>#NAME?</v>
      </c>
      <c r="FP63" s="38" t="e">
        <f ca="1">_xll.RiskBinomial(1,FO63)</f>
        <v>#NAME?</v>
      </c>
      <c r="FQ63" s="86" t="e">
        <f ca="1">IF(FP63=1,_xll.RiskBinomial(1,Prob_illness_Noro_infection),0)</f>
        <v>#NAME?</v>
      </c>
      <c r="FS63" s="85" t="e">
        <f t="shared" ca="1" si="61"/>
        <v>#NAME?</v>
      </c>
      <c r="FT63" s="40" t="e">
        <f ca="1">INT(FS63) + _xll.RiskBinomial(1,FS63-INT(FS63))</f>
        <v>#NAME?</v>
      </c>
      <c r="FU63" s="33" t="e">
        <f t="shared" ca="1" si="32"/>
        <v>#NAME?</v>
      </c>
      <c r="FV63" s="38" t="e">
        <f ca="1">_xll.RiskBinomial(1,FU63)</f>
        <v>#NAME?</v>
      </c>
      <c r="FW63" s="86" t="e">
        <f ca="1">IF(FV63=1,_xll.RiskBinomial(1,Prob_illness_Noro_infection),0)</f>
        <v>#NAME?</v>
      </c>
      <c r="FY63" s="85" t="e">
        <f t="shared" ca="1" si="62"/>
        <v>#NAME?</v>
      </c>
      <c r="FZ63" s="40" t="e">
        <f ca="1">INT(FY63) + _xll.RiskBinomial(1,FY63-INT(FY63))</f>
        <v>#NAME?</v>
      </c>
      <c r="GA63" s="33" t="e">
        <f t="shared" ca="1" si="33"/>
        <v>#NAME?</v>
      </c>
      <c r="GB63" s="38" t="e">
        <f ca="1">_xll.RiskBinomial(1,GA63)</f>
        <v>#NAME?</v>
      </c>
      <c r="GC63" s="86" t="e">
        <f ca="1">IF(GB63=1,_xll.RiskBinomial(1,Prob_illness_Noro_infection),0)</f>
        <v>#NAME?</v>
      </c>
      <c r="GE63" s="85" t="e">
        <f t="shared" ca="1" si="63"/>
        <v>#NAME?</v>
      </c>
      <c r="GF63" s="40" t="e">
        <f ca="1">INT(GE63) + _xll.RiskBinomial(1,GE63-INT(GE63))</f>
        <v>#NAME?</v>
      </c>
      <c r="GG63" s="33" t="e">
        <f t="shared" ca="1" si="34"/>
        <v>#NAME?</v>
      </c>
      <c r="GH63" s="38" t="e">
        <f ca="1">_xll.RiskBinomial(1,GG63)</f>
        <v>#NAME?</v>
      </c>
      <c r="GI63" s="86" t="e">
        <f ca="1">IF(GH63=1,_xll.RiskBinomial(1,Prob_illness_Noro_infection),0)</f>
        <v>#NAME?</v>
      </c>
      <c r="GK63" s="85" t="e">
        <f t="shared" ca="1" si="64"/>
        <v>#NAME?</v>
      </c>
      <c r="GL63" s="40" t="e">
        <f ca="1">INT(GK63) + _xll.RiskBinomial(1,GK63-INT(GK63))</f>
        <v>#NAME?</v>
      </c>
      <c r="GM63" s="33" t="e">
        <f t="shared" ca="1" si="35"/>
        <v>#NAME?</v>
      </c>
      <c r="GN63" s="38" t="e">
        <f ca="1">_xll.RiskBinomial(1,GM63)</f>
        <v>#NAME?</v>
      </c>
      <c r="GO63" s="86" t="e">
        <f ca="1">IF(GN63=1,_xll.RiskBinomial(1,Prob_illness_Noro_infection),0)</f>
        <v>#NAME?</v>
      </c>
    </row>
    <row r="64" spans="2:197" x14ac:dyDescent="0.25">
      <c r="B64" s="106">
        <v>56</v>
      </c>
      <c r="C64" s="109" t="e">
        <f ca="1" xml:space="preserve"> _xll.RiskPert(Dur_Swim_hours_min,Dur_Swim_hours_mode,Dur_Swim_hours_max)</f>
        <v>#NAME?</v>
      </c>
      <c r="D64" s="33" t="e">
        <f ca="1">_xll.RiskLognorm(Primary_Ing_Rate_mL_per_hour_mean,Primary_Ing_Rate_mL_per_hour_sd, _xll.RiskTruncate(Primary_Ing_Rate_mL_per_hour_min,Primary_Ing_Rate_mL_per_hour_max))</f>
        <v>#NAME?</v>
      </c>
      <c r="E64" s="41" t="e">
        <f t="shared" ca="1" si="36"/>
        <v>#NAME?</v>
      </c>
      <c r="F64" s="33"/>
      <c r="G64" s="85" t="e">
        <f t="shared" ca="1" si="37"/>
        <v>#NAME?</v>
      </c>
      <c r="H64" s="40" t="e">
        <f ca="1">INT(G64) + _xll.RiskBinomial(1,G64-INT(G64))</f>
        <v>#NAME?</v>
      </c>
      <c r="I64" s="33" t="e">
        <f t="shared" ca="1" si="0"/>
        <v>#NAME?</v>
      </c>
      <c r="J64" s="38" t="e">
        <f ca="1">_xll.RiskBinomial(1,I64)</f>
        <v>#NAME?</v>
      </c>
      <c r="K64" s="86" t="e">
        <f ca="1">IF(J64=1,_xll.RiskBinomial(1,Prob_illness_Noro_infection),0)</f>
        <v>#NAME?</v>
      </c>
      <c r="L64" s="33"/>
      <c r="M64" s="85" t="e">
        <f t="shared" ca="1" si="38"/>
        <v>#NAME?</v>
      </c>
      <c r="N64" s="40" t="e">
        <f ca="1">INT(M64) + _xll.RiskBinomial(1,M64-INT(M64))</f>
        <v>#NAME?</v>
      </c>
      <c r="O64" s="33" t="e">
        <f t="shared" ca="1" si="1"/>
        <v>#NAME?</v>
      </c>
      <c r="P64" s="38" t="e">
        <f ca="1">_xll.RiskBinomial(1,O64)</f>
        <v>#NAME?</v>
      </c>
      <c r="Q64" s="86" t="e">
        <f ca="1">IF(P64=1,_xll.RiskBinomial(1,Prob_illness_Noro_infection),0)</f>
        <v>#NAME?</v>
      </c>
      <c r="R64" s="33"/>
      <c r="S64" s="85" t="e">
        <f t="shared" ca="1" si="39"/>
        <v>#NAME?</v>
      </c>
      <c r="T64" s="40" t="e">
        <f ca="1">INT(S64) + _xll.RiskBinomial(1,S64-INT(S64))</f>
        <v>#NAME?</v>
      </c>
      <c r="U64" s="33" t="e">
        <f t="shared" ca="1" si="2"/>
        <v>#NAME?</v>
      </c>
      <c r="V64" s="38" t="e">
        <f ca="1">_xll.RiskBinomial(1,U64)</f>
        <v>#NAME?</v>
      </c>
      <c r="W64" s="86" t="e">
        <f ca="1">IF(V64=1,_xll.RiskBinomial(1,Prob_illness_Noro_infection),0)</f>
        <v>#NAME?</v>
      </c>
      <c r="X64" s="33"/>
      <c r="Y64" s="85" t="e">
        <f t="shared" ca="1" si="3"/>
        <v>#NAME?</v>
      </c>
      <c r="Z64" s="40" t="e">
        <f ca="1">INT(Y64) + _xll.RiskBinomial(1,Y64-INT(Y64))</f>
        <v>#NAME?</v>
      </c>
      <c r="AA64" s="33" t="e">
        <f t="shared" ca="1" si="4"/>
        <v>#NAME?</v>
      </c>
      <c r="AB64" s="38" t="e">
        <f ca="1">_xll.RiskBinomial(1,AA64)</f>
        <v>#NAME?</v>
      </c>
      <c r="AC64" s="86" t="e">
        <f ca="1">IF(AB64=1,_xll.RiskBinomial(1,Prob_illness_Noro_infection),0)</f>
        <v>#NAME?</v>
      </c>
      <c r="AD64" s="33"/>
      <c r="AE64" s="85" t="e">
        <f t="shared" ca="1" si="5"/>
        <v>#NAME?</v>
      </c>
      <c r="AF64" s="40" t="e">
        <f ca="1">INT(AE64) + _xll.RiskBinomial(1,AE64-INT(AE64))</f>
        <v>#NAME?</v>
      </c>
      <c r="AG64" s="33" t="e">
        <f t="shared" ca="1" si="6"/>
        <v>#NAME?</v>
      </c>
      <c r="AH64" s="38" t="e">
        <f ca="1">_xll.RiskBinomial(1,AG64)</f>
        <v>#NAME?</v>
      </c>
      <c r="AI64" s="86" t="e">
        <f ca="1">IF(AH64=1,_xll.RiskBinomial(1,Prob_illness_Noro_infection),0)</f>
        <v>#NAME?</v>
      </c>
      <c r="AJ64" s="33"/>
      <c r="AK64" s="85" t="e">
        <f t="shared" ca="1" si="7"/>
        <v>#NAME?</v>
      </c>
      <c r="AL64" s="40" t="e">
        <f ca="1">INT(AK64) + _xll.RiskBinomial(1,AK64-INT(AK64))</f>
        <v>#NAME?</v>
      </c>
      <c r="AM64" s="33" t="e">
        <f t="shared" ca="1" si="8"/>
        <v>#NAME?</v>
      </c>
      <c r="AN64" s="38" t="e">
        <f ca="1">_xll.RiskBinomial(1,AM64)</f>
        <v>#NAME?</v>
      </c>
      <c r="AO64" s="86" t="e">
        <f ca="1">IF(AN64=1,_xll.RiskBinomial(1,Prob_illness_Noro_infection),0)</f>
        <v>#NAME?</v>
      </c>
      <c r="AP64" s="33"/>
      <c r="AQ64" s="85" t="e">
        <f t="shared" ca="1" si="65"/>
        <v>#NAME?</v>
      </c>
      <c r="AR64" s="40" t="e">
        <f ca="1">INT(AQ64) + _xll.RiskBinomial(1,AQ64-INT(AQ64))</f>
        <v>#NAME?</v>
      </c>
      <c r="AS64" s="33" t="e">
        <f t="shared" ca="1" si="10"/>
        <v>#NAME?</v>
      </c>
      <c r="AT64" s="38" t="e">
        <f ca="1">_xll.RiskBinomial(1,AS64)</f>
        <v>#NAME?</v>
      </c>
      <c r="AU64" s="86" t="e">
        <f ca="1">IF(AT64=1,_xll.RiskBinomial(1,Prob_illness_Noro_infection),0)</f>
        <v>#NAME?</v>
      </c>
      <c r="AV64" s="33"/>
      <c r="AW64" s="85" t="e">
        <f t="shared" ca="1" si="40"/>
        <v>#NAME?</v>
      </c>
      <c r="AX64" s="40" t="e">
        <f ca="1">INT(AW64) + _xll.RiskBinomial(1,AW64-INT(AW64))</f>
        <v>#NAME?</v>
      </c>
      <c r="AY64" s="33" t="e">
        <f t="shared" ca="1" si="11"/>
        <v>#NAME?</v>
      </c>
      <c r="AZ64" s="38" t="e">
        <f ca="1">_xll.RiskBinomial(1,AY64)</f>
        <v>#NAME?</v>
      </c>
      <c r="BA64" s="86" t="e">
        <f ca="1">IF(AZ64=1,_xll.RiskBinomial(1,Prob_illness_Noro_infection),0)</f>
        <v>#NAME?</v>
      </c>
      <c r="BC64" s="85" t="e">
        <f t="shared" ca="1" si="41"/>
        <v>#NAME?</v>
      </c>
      <c r="BD64" s="40" t="e">
        <f ca="1">INT(BC64) + _xll.RiskBinomial(1,BC64-INT(BC64))</f>
        <v>#NAME?</v>
      </c>
      <c r="BE64" s="33" t="e">
        <f t="shared" ca="1" si="12"/>
        <v>#NAME?</v>
      </c>
      <c r="BF64" s="38" t="e">
        <f ca="1">_xll.RiskBinomial(1,BE64)</f>
        <v>#NAME?</v>
      </c>
      <c r="BG64" s="86" t="e">
        <f ca="1">IF(BF64=1,_xll.RiskBinomial(1,Prob_illness_Noro_infection),0)</f>
        <v>#NAME?</v>
      </c>
      <c r="BI64" s="85" t="e">
        <f t="shared" ca="1" si="42"/>
        <v>#NAME?</v>
      </c>
      <c r="BJ64" s="40" t="e">
        <f ca="1">INT(BI64) + _xll.RiskBinomial(1,BI64-INT(BI64))</f>
        <v>#NAME?</v>
      </c>
      <c r="BK64" s="33" t="e">
        <f t="shared" ca="1" si="13"/>
        <v>#NAME?</v>
      </c>
      <c r="BL64" s="38" t="e">
        <f ca="1">_xll.RiskBinomial(1,BK64)</f>
        <v>#NAME?</v>
      </c>
      <c r="BM64" s="86" t="e">
        <f ca="1">IF(BL64=1,_xll.RiskBinomial(1,Prob_illness_Noro_infection),0)</f>
        <v>#NAME?</v>
      </c>
      <c r="BO64" s="85" t="e">
        <f t="shared" ca="1" si="43"/>
        <v>#NAME?</v>
      </c>
      <c r="BP64" s="40" t="e">
        <f ca="1">INT(BO64) + _xll.RiskBinomial(1,BO64-INT(BO64))</f>
        <v>#NAME?</v>
      </c>
      <c r="BQ64" s="33" t="e">
        <f t="shared" ca="1" si="14"/>
        <v>#NAME?</v>
      </c>
      <c r="BR64" s="38" t="e">
        <f ca="1">_xll.RiskBinomial(1,BQ64)</f>
        <v>#NAME?</v>
      </c>
      <c r="BS64" s="86" t="e">
        <f ca="1">IF(BR64=1,_xll.RiskBinomial(1,Prob_illness_Noro_infection),0)</f>
        <v>#NAME?</v>
      </c>
      <c r="BU64" s="85" t="e">
        <f t="shared" ca="1" si="44"/>
        <v>#NAME?</v>
      </c>
      <c r="BV64" s="40" t="e">
        <f ca="1">INT(BU64) + _xll.RiskBinomial(1,BU64-INT(BU64))</f>
        <v>#NAME?</v>
      </c>
      <c r="BW64" s="33" t="e">
        <f t="shared" ca="1" si="15"/>
        <v>#NAME?</v>
      </c>
      <c r="BX64" s="38" t="e">
        <f ca="1">_xll.RiskBinomial(1,BW64)</f>
        <v>#NAME?</v>
      </c>
      <c r="BY64" s="86" t="e">
        <f ca="1">IF(BX64=1,_xll.RiskBinomial(1,Prob_illness_Noro_infection),0)</f>
        <v>#NAME?</v>
      </c>
      <c r="CA64" s="85" t="e">
        <f t="shared" ca="1" si="45"/>
        <v>#NAME?</v>
      </c>
      <c r="CB64" s="40" t="e">
        <f ca="1">INT(CA64) + _xll.RiskBinomial(1,CA64-INT(CA64))</f>
        <v>#NAME?</v>
      </c>
      <c r="CC64" s="33" t="e">
        <f t="shared" ca="1" si="16"/>
        <v>#NAME?</v>
      </c>
      <c r="CD64" s="38" t="e">
        <f ca="1">_xll.RiskBinomial(1,CC64)</f>
        <v>#NAME?</v>
      </c>
      <c r="CE64" s="86" t="e">
        <f ca="1">IF(CD64=1,_xll.RiskBinomial(1,Prob_illness_Noro_infection),0)</f>
        <v>#NAME?</v>
      </c>
      <c r="CG64" s="85" t="e">
        <f t="shared" ca="1" si="46"/>
        <v>#NAME?</v>
      </c>
      <c r="CH64" s="40" t="e">
        <f ca="1">INT(CG64) + _xll.RiskBinomial(1,CG64-INT(CG64))</f>
        <v>#NAME?</v>
      </c>
      <c r="CI64" s="33" t="e">
        <f t="shared" ca="1" si="17"/>
        <v>#NAME?</v>
      </c>
      <c r="CJ64" s="38" t="e">
        <f ca="1">_xll.RiskBinomial(1,CI64)</f>
        <v>#NAME?</v>
      </c>
      <c r="CK64" s="86" t="e">
        <f ca="1">IF(CJ64=1,_xll.RiskBinomial(1,Prob_illness_Noro_infection),0)</f>
        <v>#NAME?</v>
      </c>
      <c r="CM64" s="85" t="e">
        <f t="shared" ca="1" si="47"/>
        <v>#NAME?</v>
      </c>
      <c r="CN64" s="40" t="e">
        <f ca="1">INT(CM64) + _xll.RiskBinomial(1,CM64-INT(CM64))</f>
        <v>#NAME?</v>
      </c>
      <c r="CO64" s="33" t="e">
        <f t="shared" ca="1" si="18"/>
        <v>#NAME?</v>
      </c>
      <c r="CP64" s="38" t="e">
        <f ca="1">_xll.RiskBinomial(1,CO64)</f>
        <v>#NAME?</v>
      </c>
      <c r="CQ64" s="86" t="e">
        <f ca="1">IF(CP64=1,_xll.RiskBinomial(1,Prob_illness_Noro_infection),0)</f>
        <v>#NAME?</v>
      </c>
      <c r="CS64" s="85" t="e">
        <f t="shared" ca="1" si="48"/>
        <v>#NAME?</v>
      </c>
      <c r="CT64" s="40" t="e">
        <f ca="1">INT(CS64) + _xll.RiskBinomial(1,CS64-INT(CS64))</f>
        <v>#NAME?</v>
      </c>
      <c r="CU64" s="33" t="e">
        <f t="shared" ca="1" si="19"/>
        <v>#NAME?</v>
      </c>
      <c r="CV64" s="38" t="e">
        <f ca="1">_xll.RiskBinomial(1,CU64)</f>
        <v>#NAME?</v>
      </c>
      <c r="CW64" s="86" t="e">
        <f ca="1">IF(CV64=1,_xll.RiskBinomial(1,Prob_illness_Noro_infection),0)</f>
        <v>#NAME?</v>
      </c>
      <c r="CY64" s="85" t="e">
        <f t="shared" ca="1" si="49"/>
        <v>#NAME?</v>
      </c>
      <c r="CZ64" s="40" t="e">
        <f ca="1">INT(CY64) + _xll.RiskBinomial(1,CY64-INT(CY64))</f>
        <v>#NAME?</v>
      </c>
      <c r="DA64" s="33" t="e">
        <f t="shared" ca="1" si="20"/>
        <v>#NAME?</v>
      </c>
      <c r="DB64" s="38" t="e">
        <f ca="1">_xll.RiskBinomial(1,DA64)</f>
        <v>#NAME?</v>
      </c>
      <c r="DC64" s="86" t="e">
        <f ca="1">IF(DB64=1,_xll.RiskBinomial(1,Prob_illness_Noro_infection),0)</f>
        <v>#NAME?</v>
      </c>
      <c r="DE64" s="85" t="e">
        <f t="shared" ca="1" si="50"/>
        <v>#NAME?</v>
      </c>
      <c r="DF64" s="40" t="e">
        <f ca="1">INT(DE64) + _xll.RiskBinomial(1,DE64-INT(DE64))</f>
        <v>#NAME?</v>
      </c>
      <c r="DG64" s="33" t="e">
        <f t="shared" ca="1" si="21"/>
        <v>#NAME?</v>
      </c>
      <c r="DH64" s="38" t="e">
        <f ca="1">_xll.RiskBinomial(1,DG64)</f>
        <v>#NAME?</v>
      </c>
      <c r="DI64" s="86" t="e">
        <f ca="1">IF(DH64=1,_xll.RiskBinomial(1,Prob_illness_Noro_infection),0)</f>
        <v>#NAME?</v>
      </c>
      <c r="DK64" s="85" t="e">
        <f t="shared" ca="1" si="51"/>
        <v>#NAME?</v>
      </c>
      <c r="DL64" s="40" t="e">
        <f ca="1">INT(DK64) + _xll.RiskBinomial(1,DK64-INT(DK64))</f>
        <v>#NAME?</v>
      </c>
      <c r="DM64" s="33" t="e">
        <f t="shared" ca="1" si="22"/>
        <v>#NAME?</v>
      </c>
      <c r="DN64" s="38" t="e">
        <f ca="1">_xll.RiskBinomial(1,DM64)</f>
        <v>#NAME?</v>
      </c>
      <c r="DO64" s="86" t="e">
        <f ca="1">IF(DN64=1,_xll.RiskBinomial(1,Prob_illness_Noro_infection),0)</f>
        <v>#NAME?</v>
      </c>
      <c r="DQ64" s="85" t="e">
        <f t="shared" ca="1" si="52"/>
        <v>#NAME?</v>
      </c>
      <c r="DR64" s="40" t="e">
        <f ca="1">INT(DQ64) + _xll.RiskBinomial(1,DQ64-INT(DQ64))</f>
        <v>#NAME?</v>
      </c>
      <c r="DS64" s="33" t="e">
        <f t="shared" ca="1" si="23"/>
        <v>#NAME?</v>
      </c>
      <c r="DT64" s="38" t="e">
        <f ca="1">_xll.RiskBinomial(1,DS64)</f>
        <v>#NAME?</v>
      </c>
      <c r="DU64" s="86" t="e">
        <f ca="1">IF(DT64=1,_xll.RiskBinomial(1,Prob_illness_Noro_infection),0)</f>
        <v>#NAME?</v>
      </c>
      <c r="DW64" s="85" t="e">
        <f t="shared" ca="1" si="53"/>
        <v>#NAME?</v>
      </c>
      <c r="DX64" s="40" t="e">
        <f ca="1">INT(DW64) + _xll.RiskBinomial(1,DW64-INT(DW64))</f>
        <v>#NAME?</v>
      </c>
      <c r="DY64" s="33" t="e">
        <f t="shared" ca="1" si="24"/>
        <v>#NAME?</v>
      </c>
      <c r="DZ64" s="38" t="e">
        <f ca="1">_xll.RiskBinomial(1,DY64)</f>
        <v>#NAME?</v>
      </c>
      <c r="EA64" s="86" t="e">
        <f ca="1">IF(DZ64=1,_xll.RiskBinomial(1,Prob_illness_Noro_infection),0)</f>
        <v>#NAME?</v>
      </c>
      <c r="EC64" s="85" t="e">
        <f t="shared" ca="1" si="54"/>
        <v>#NAME?</v>
      </c>
      <c r="ED64" s="40" t="e">
        <f ca="1">INT(EC64) + _xll.RiskBinomial(1,EC64-INT(EC64))</f>
        <v>#NAME?</v>
      </c>
      <c r="EE64" s="33" t="e">
        <f t="shared" ca="1" si="25"/>
        <v>#NAME?</v>
      </c>
      <c r="EF64" s="38" t="e">
        <f ca="1">_xll.RiskBinomial(1,EE64)</f>
        <v>#NAME?</v>
      </c>
      <c r="EG64" s="86" t="e">
        <f ca="1">IF(EF64=1,_xll.RiskBinomial(1,Prob_illness_Noro_infection),0)</f>
        <v>#NAME?</v>
      </c>
      <c r="EI64" s="85" t="e">
        <f t="shared" ca="1" si="55"/>
        <v>#NAME?</v>
      </c>
      <c r="EJ64" s="40" t="e">
        <f ca="1">INT(EI64) + _xll.RiskBinomial(1,EI64-INT(EI64))</f>
        <v>#NAME?</v>
      </c>
      <c r="EK64" s="33" t="e">
        <f t="shared" ca="1" si="26"/>
        <v>#NAME?</v>
      </c>
      <c r="EL64" s="38" t="e">
        <f ca="1">_xll.RiskBinomial(1,EK64)</f>
        <v>#NAME?</v>
      </c>
      <c r="EM64" s="86" t="e">
        <f ca="1">IF(EL64=1,_xll.RiskBinomial(1,Prob_illness_Noro_infection),0)</f>
        <v>#NAME?</v>
      </c>
      <c r="EO64" s="85" t="e">
        <f t="shared" ca="1" si="56"/>
        <v>#NAME?</v>
      </c>
      <c r="EP64" s="40" t="e">
        <f ca="1">INT(EO64) + _xll.RiskBinomial(1,EO64-INT(EO64))</f>
        <v>#NAME?</v>
      </c>
      <c r="EQ64" s="33" t="e">
        <f t="shared" ca="1" si="27"/>
        <v>#NAME?</v>
      </c>
      <c r="ER64" s="38" t="e">
        <f ca="1">_xll.RiskBinomial(1,EQ64)</f>
        <v>#NAME?</v>
      </c>
      <c r="ES64" s="86" t="e">
        <f ca="1">IF(ER64=1,_xll.RiskBinomial(1,Prob_illness_Noro_infection),0)</f>
        <v>#NAME?</v>
      </c>
      <c r="EU64" s="85" t="e">
        <f t="shared" ca="1" si="57"/>
        <v>#NAME?</v>
      </c>
      <c r="EV64" s="40" t="e">
        <f ca="1">INT(EU64) + _xll.RiskBinomial(1,EU64-INT(EU64))</f>
        <v>#NAME?</v>
      </c>
      <c r="EW64" s="33" t="e">
        <f t="shared" ca="1" si="28"/>
        <v>#NAME?</v>
      </c>
      <c r="EX64" s="38" t="e">
        <f ca="1">_xll.RiskBinomial(1,EW64)</f>
        <v>#NAME?</v>
      </c>
      <c r="EY64" s="86" t="e">
        <f ca="1">IF(EX64=1,_xll.RiskBinomial(1,Prob_illness_Noro_infection),0)</f>
        <v>#NAME?</v>
      </c>
      <c r="FA64" s="85" t="e">
        <f t="shared" ca="1" si="58"/>
        <v>#NAME?</v>
      </c>
      <c r="FB64" s="40" t="e">
        <f ca="1">INT(FA64) + _xll.RiskBinomial(1,FA64-INT(FA64))</f>
        <v>#NAME?</v>
      </c>
      <c r="FC64" s="33" t="e">
        <f t="shared" ca="1" si="29"/>
        <v>#NAME?</v>
      </c>
      <c r="FD64" s="38" t="e">
        <f ca="1">_xll.RiskBinomial(1,FC64)</f>
        <v>#NAME?</v>
      </c>
      <c r="FE64" s="86" t="e">
        <f ca="1">IF(FD64=1,_xll.RiskBinomial(1,Prob_illness_Noro_infection),0)</f>
        <v>#NAME?</v>
      </c>
      <c r="FG64" s="85" t="e">
        <f t="shared" ca="1" si="59"/>
        <v>#NAME?</v>
      </c>
      <c r="FH64" s="40" t="e">
        <f ca="1">INT(FG64) + _xll.RiskBinomial(1,FG64-INT(FG64))</f>
        <v>#NAME?</v>
      </c>
      <c r="FI64" s="33" t="e">
        <f t="shared" ca="1" si="30"/>
        <v>#NAME?</v>
      </c>
      <c r="FJ64" s="38" t="e">
        <f ca="1">_xll.RiskBinomial(1,FI64)</f>
        <v>#NAME?</v>
      </c>
      <c r="FK64" s="86" t="e">
        <f ca="1">IF(FJ64=1,_xll.RiskBinomial(1,Prob_illness_Noro_infection),0)</f>
        <v>#NAME?</v>
      </c>
      <c r="FM64" s="85" t="e">
        <f t="shared" ca="1" si="60"/>
        <v>#NAME?</v>
      </c>
      <c r="FN64" s="40" t="e">
        <f ca="1">INT(FM64) + _xll.RiskBinomial(1,FM64-INT(FM64))</f>
        <v>#NAME?</v>
      </c>
      <c r="FO64" s="33" t="e">
        <f t="shared" ca="1" si="31"/>
        <v>#NAME?</v>
      </c>
      <c r="FP64" s="38" t="e">
        <f ca="1">_xll.RiskBinomial(1,FO64)</f>
        <v>#NAME?</v>
      </c>
      <c r="FQ64" s="86" t="e">
        <f ca="1">IF(FP64=1,_xll.RiskBinomial(1,Prob_illness_Noro_infection),0)</f>
        <v>#NAME?</v>
      </c>
      <c r="FS64" s="85" t="e">
        <f t="shared" ca="1" si="61"/>
        <v>#NAME?</v>
      </c>
      <c r="FT64" s="40" t="e">
        <f ca="1">INT(FS64) + _xll.RiskBinomial(1,FS64-INT(FS64))</f>
        <v>#NAME?</v>
      </c>
      <c r="FU64" s="33" t="e">
        <f t="shared" ca="1" si="32"/>
        <v>#NAME?</v>
      </c>
      <c r="FV64" s="38" t="e">
        <f ca="1">_xll.RiskBinomial(1,FU64)</f>
        <v>#NAME?</v>
      </c>
      <c r="FW64" s="86" t="e">
        <f ca="1">IF(FV64=1,_xll.RiskBinomial(1,Prob_illness_Noro_infection),0)</f>
        <v>#NAME?</v>
      </c>
      <c r="FY64" s="85" t="e">
        <f t="shared" ca="1" si="62"/>
        <v>#NAME?</v>
      </c>
      <c r="FZ64" s="40" t="e">
        <f ca="1">INT(FY64) + _xll.RiskBinomial(1,FY64-INT(FY64))</f>
        <v>#NAME?</v>
      </c>
      <c r="GA64" s="33" t="e">
        <f t="shared" ca="1" si="33"/>
        <v>#NAME?</v>
      </c>
      <c r="GB64" s="38" t="e">
        <f ca="1">_xll.RiskBinomial(1,GA64)</f>
        <v>#NAME?</v>
      </c>
      <c r="GC64" s="86" t="e">
        <f ca="1">IF(GB64=1,_xll.RiskBinomial(1,Prob_illness_Noro_infection),0)</f>
        <v>#NAME?</v>
      </c>
      <c r="GE64" s="85" t="e">
        <f t="shared" ca="1" si="63"/>
        <v>#NAME?</v>
      </c>
      <c r="GF64" s="40" t="e">
        <f ca="1">INT(GE64) + _xll.RiskBinomial(1,GE64-INT(GE64))</f>
        <v>#NAME?</v>
      </c>
      <c r="GG64" s="33" t="e">
        <f t="shared" ca="1" si="34"/>
        <v>#NAME?</v>
      </c>
      <c r="GH64" s="38" t="e">
        <f ca="1">_xll.RiskBinomial(1,GG64)</f>
        <v>#NAME?</v>
      </c>
      <c r="GI64" s="86" t="e">
        <f ca="1">IF(GH64=1,_xll.RiskBinomial(1,Prob_illness_Noro_infection),0)</f>
        <v>#NAME?</v>
      </c>
      <c r="GK64" s="85" t="e">
        <f t="shared" ca="1" si="64"/>
        <v>#NAME?</v>
      </c>
      <c r="GL64" s="40" t="e">
        <f ca="1">INT(GK64) + _xll.RiskBinomial(1,GK64-INT(GK64))</f>
        <v>#NAME?</v>
      </c>
      <c r="GM64" s="33" t="e">
        <f t="shared" ca="1" si="35"/>
        <v>#NAME?</v>
      </c>
      <c r="GN64" s="38" t="e">
        <f ca="1">_xll.RiskBinomial(1,GM64)</f>
        <v>#NAME?</v>
      </c>
      <c r="GO64" s="86" t="e">
        <f ca="1">IF(GN64=1,_xll.RiskBinomial(1,Prob_illness_Noro_infection),0)</f>
        <v>#NAME?</v>
      </c>
    </row>
    <row r="65" spans="2:197" x14ac:dyDescent="0.25">
      <c r="B65" s="106">
        <v>57</v>
      </c>
      <c r="C65" s="109" t="e">
        <f ca="1" xml:space="preserve"> _xll.RiskPert(Dur_Swim_hours_min,Dur_Swim_hours_mode,Dur_Swim_hours_max)</f>
        <v>#NAME?</v>
      </c>
      <c r="D65" s="33" t="e">
        <f ca="1">_xll.RiskLognorm(Primary_Ing_Rate_mL_per_hour_mean,Primary_Ing_Rate_mL_per_hour_sd, _xll.RiskTruncate(Primary_Ing_Rate_mL_per_hour_min,Primary_Ing_Rate_mL_per_hour_max))</f>
        <v>#NAME?</v>
      </c>
      <c r="E65" s="41" t="e">
        <f t="shared" ca="1" si="36"/>
        <v>#NAME?</v>
      </c>
      <c r="F65" s="33"/>
      <c r="G65" s="85" t="e">
        <f t="shared" ca="1" si="37"/>
        <v>#NAME?</v>
      </c>
      <c r="H65" s="40" t="e">
        <f ca="1">INT(G65) + _xll.RiskBinomial(1,G65-INT(G65))</f>
        <v>#NAME?</v>
      </c>
      <c r="I65" s="33" t="e">
        <f t="shared" ca="1" si="0"/>
        <v>#NAME?</v>
      </c>
      <c r="J65" s="38" t="e">
        <f ca="1">_xll.RiskBinomial(1,I65)</f>
        <v>#NAME?</v>
      </c>
      <c r="K65" s="86" t="e">
        <f ca="1">IF(J65=1,_xll.RiskBinomial(1,Prob_illness_Noro_infection),0)</f>
        <v>#NAME?</v>
      </c>
      <c r="L65" s="33"/>
      <c r="M65" s="85" t="e">
        <f t="shared" ca="1" si="38"/>
        <v>#NAME?</v>
      </c>
      <c r="N65" s="40" t="e">
        <f ca="1">INT(M65) + _xll.RiskBinomial(1,M65-INT(M65))</f>
        <v>#NAME?</v>
      </c>
      <c r="O65" s="33" t="e">
        <f t="shared" ca="1" si="1"/>
        <v>#NAME?</v>
      </c>
      <c r="P65" s="38" t="e">
        <f ca="1">_xll.RiskBinomial(1,O65)</f>
        <v>#NAME?</v>
      </c>
      <c r="Q65" s="86" t="e">
        <f ca="1">IF(P65=1,_xll.RiskBinomial(1,Prob_illness_Noro_infection),0)</f>
        <v>#NAME?</v>
      </c>
      <c r="R65" s="33"/>
      <c r="S65" s="85" t="e">
        <f t="shared" ca="1" si="39"/>
        <v>#NAME?</v>
      </c>
      <c r="T65" s="40" t="e">
        <f ca="1">INT(S65) + _xll.RiskBinomial(1,S65-INT(S65))</f>
        <v>#NAME?</v>
      </c>
      <c r="U65" s="33" t="e">
        <f t="shared" ca="1" si="2"/>
        <v>#NAME?</v>
      </c>
      <c r="V65" s="38" t="e">
        <f ca="1">_xll.RiskBinomial(1,U65)</f>
        <v>#NAME?</v>
      </c>
      <c r="W65" s="86" t="e">
        <f ca="1">IF(V65=1,_xll.RiskBinomial(1,Prob_illness_Noro_infection),0)</f>
        <v>#NAME?</v>
      </c>
      <c r="X65" s="33"/>
      <c r="Y65" s="85" t="e">
        <f t="shared" ca="1" si="3"/>
        <v>#NAME?</v>
      </c>
      <c r="Z65" s="40" t="e">
        <f ca="1">INT(Y65) + _xll.RiskBinomial(1,Y65-INT(Y65))</f>
        <v>#NAME?</v>
      </c>
      <c r="AA65" s="33" t="e">
        <f t="shared" ca="1" si="4"/>
        <v>#NAME?</v>
      </c>
      <c r="AB65" s="38" t="e">
        <f ca="1">_xll.RiskBinomial(1,AA65)</f>
        <v>#NAME?</v>
      </c>
      <c r="AC65" s="86" t="e">
        <f ca="1">IF(AB65=1,_xll.RiskBinomial(1,Prob_illness_Noro_infection),0)</f>
        <v>#NAME?</v>
      </c>
      <c r="AD65" s="33"/>
      <c r="AE65" s="85" t="e">
        <f t="shared" ca="1" si="5"/>
        <v>#NAME?</v>
      </c>
      <c r="AF65" s="40" t="e">
        <f ca="1">INT(AE65) + _xll.RiskBinomial(1,AE65-INT(AE65))</f>
        <v>#NAME?</v>
      </c>
      <c r="AG65" s="33" t="e">
        <f t="shared" ca="1" si="6"/>
        <v>#NAME?</v>
      </c>
      <c r="AH65" s="38" t="e">
        <f ca="1">_xll.RiskBinomial(1,AG65)</f>
        <v>#NAME?</v>
      </c>
      <c r="AI65" s="86" t="e">
        <f ca="1">IF(AH65=1,_xll.RiskBinomial(1,Prob_illness_Noro_infection),0)</f>
        <v>#NAME?</v>
      </c>
      <c r="AJ65" s="33"/>
      <c r="AK65" s="85" t="e">
        <f t="shared" ca="1" si="7"/>
        <v>#NAME?</v>
      </c>
      <c r="AL65" s="40" t="e">
        <f ca="1">INT(AK65) + _xll.RiskBinomial(1,AK65-INT(AK65))</f>
        <v>#NAME?</v>
      </c>
      <c r="AM65" s="33" t="e">
        <f t="shared" ca="1" si="8"/>
        <v>#NAME?</v>
      </c>
      <c r="AN65" s="38" t="e">
        <f ca="1">_xll.RiskBinomial(1,AM65)</f>
        <v>#NAME?</v>
      </c>
      <c r="AO65" s="86" t="e">
        <f ca="1">IF(AN65=1,_xll.RiskBinomial(1,Prob_illness_Noro_infection),0)</f>
        <v>#NAME?</v>
      </c>
      <c r="AP65" s="33"/>
      <c r="AQ65" s="85" t="e">
        <f t="shared" ca="1" si="65"/>
        <v>#NAME?</v>
      </c>
      <c r="AR65" s="40" t="e">
        <f ca="1">INT(AQ65) + _xll.RiskBinomial(1,AQ65-INT(AQ65))</f>
        <v>#NAME?</v>
      </c>
      <c r="AS65" s="33" t="e">
        <f t="shared" ca="1" si="10"/>
        <v>#NAME?</v>
      </c>
      <c r="AT65" s="38" t="e">
        <f ca="1">_xll.RiskBinomial(1,AS65)</f>
        <v>#NAME?</v>
      </c>
      <c r="AU65" s="86" t="e">
        <f ca="1">IF(AT65=1,_xll.RiskBinomial(1,Prob_illness_Noro_infection),0)</f>
        <v>#NAME?</v>
      </c>
      <c r="AV65" s="33"/>
      <c r="AW65" s="85" t="e">
        <f t="shared" ca="1" si="40"/>
        <v>#NAME?</v>
      </c>
      <c r="AX65" s="40" t="e">
        <f ca="1">INT(AW65) + _xll.RiskBinomial(1,AW65-INT(AW65))</f>
        <v>#NAME?</v>
      </c>
      <c r="AY65" s="33" t="e">
        <f t="shared" ca="1" si="11"/>
        <v>#NAME?</v>
      </c>
      <c r="AZ65" s="38" t="e">
        <f ca="1">_xll.RiskBinomial(1,AY65)</f>
        <v>#NAME?</v>
      </c>
      <c r="BA65" s="86" t="e">
        <f ca="1">IF(AZ65=1,_xll.RiskBinomial(1,Prob_illness_Noro_infection),0)</f>
        <v>#NAME?</v>
      </c>
      <c r="BC65" s="85" t="e">
        <f t="shared" ca="1" si="41"/>
        <v>#NAME?</v>
      </c>
      <c r="BD65" s="40" t="e">
        <f ca="1">INT(BC65) + _xll.RiskBinomial(1,BC65-INT(BC65))</f>
        <v>#NAME?</v>
      </c>
      <c r="BE65" s="33" t="e">
        <f t="shared" ca="1" si="12"/>
        <v>#NAME?</v>
      </c>
      <c r="BF65" s="38" t="e">
        <f ca="1">_xll.RiskBinomial(1,BE65)</f>
        <v>#NAME?</v>
      </c>
      <c r="BG65" s="86" t="e">
        <f ca="1">IF(BF65=1,_xll.RiskBinomial(1,Prob_illness_Noro_infection),0)</f>
        <v>#NAME?</v>
      </c>
      <c r="BI65" s="85" t="e">
        <f t="shared" ca="1" si="42"/>
        <v>#NAME?</v>
      </c>
      <c r="BJ65" s="40" t="e">
        <f ca="1">INT(BI65) + _xll.RiskBinomial(1,BI65-INT(BI65))</f>
        <v>#NAME?</v>
      </c>
      <c r="BK65" s="33" t="e">
        <f t="shared" ca="1" si="13"/>
        <v>#NAME?</v>
      </c>
      <c r="BL65" s="38" t="e">
        <f ca="1">_xll.RiskBinomial(1,BK65)</f>
        <v>#NAME?</v>
      </c>
      <c r="BM65" s="86" t="e">
        <f ca="1">IF(BL65=1,_xll.RiskBinomial(1,Prob_illness_Noro_infection),0)</f>
        <v>#NAME?</v>
      </c>
      <c r="BO65" s="85" t="e">
        <f t="shared" ca="1" si="43"/>
        <v>#NAME?</v>
      </c>
      <c r="BP65" s="40" t="e">
        <f ca="1">INT(BO65) + _xll.RiskBinomial(1,BO65-INT(BO65))</f>
        <v>#NAME?</v>
      </c>
      <c r="BQ65" s="33" t="e">
        <f t="shared" ca="1" si="14"/>
        <v>#NAME?</v>
      </c>
      <c r="BR65" s="38" t="e">
        <f ca="1">_xll.RiskBinomial(1,BQ65)</f>
        <v>#NAME?</v>
      </c>
      <c r="BS65" s="86" t="e">
        <f ca="1">IF(BR65=1,_xll.RiskBinomial(1,Prob_illness_Noro_infection),0)</f>
        <v>#NAME?</v>
      </c>
      <c r="BU65" s="85" t="e">
        <f t="shared" ca="1" si="44"/>
        <v>#NAME?</v>
      </c>
      <c r="BV65" s="40" t="e">
        <f ca="1">INT(BU65) + _xll.RiskBinomial(1,BU65-INT(BU65))</f>
        <v>#NAME?</v>
      </c>
      <c r="BW65" s="33" t="e">
        <f t="shared" ca="1" si="15"/>
        <v>#NAME?</v>
      </c>
      <c r="BX65" s="38" t="e">
        <f ca="1">_xll.RiskBinomial(1,BW65)</f>
        <v>#NAME?</v>
      </c>
      <c r="BY65" s="86" t="e">
        <f ca="1">IF(BX65=1,_xll.RiskBinomial(1,Prob_illness_Noro_infection),0)</f>
        <v>#NAME?</v>
      </c>
      <c r="CA65" s="85" t="e">
        <f t="shared" ca="1" si="45"/>
        <v>#NAME?</v>
      </c>
      <c r="CB65" s="40" t="e">
        <f ca="1">INT(CA65) + _xll.RiskBinomial(1,CA65-INT(CA65))</f>
        <v>#NAME?</v>
      </c>
      <c r="CC65" s="33" t="e">
        <f t="shared" ca="1" si="16"/>
        <v>#NAME?</v>
      </c>
      <c r="CD65" s="38" t="e">
        <f ca="1">_xll.RiskBinomial(1,CC65)</f>
        <v>#NAME?</v>
      </c>
      <c r="CE65" s="86" t="e">
        <f ca="1">IF(CD65=1,_xll.RiskBinomial(1,Prob_illness_Noro_infection),0)</f>
        <v>#NAME?</v>
      </c>
      <c r="CG65" s="85" t="e">
        <f t="shared" ca="1" si="46"/>
        <v>#NAME?</v>
      </c>
      <c r="CH65" s="40" t="e">
        <f ca="1">INT(CG65) + _xll.RiskBinomial(1,CG65-INT(CG65))</f>
        <v>#NAME?</v>
      </c>
      <c r="CI65" s="33" t="e">
        <f t="shared" ca="1" si="17"/>
        <v>#NAME?</v>
      </c>
      <c r="CJ65" s="38" t="e">
        <f ca="1">_xll.RiskBinomial(1,CI65)</f>
        <v>#NAME?</v>
      </c>
      <c r="CK65" s="86" t="e">
        <f ca="1">IF(CJ65=1,_xll.RiskBinomial(1,Prob_illness_Noro_infection),0)</f>
        <v>#NAME?</v>
      </c>
      <c r="CM65" s="85" t="e">
        <f t="shared" ca="1" si="47"/>
        <v>#NAME?</v>
      </c>
      <c r="CN65" s="40" t="e">
        <f ca="1">INT(CM65) + _xll.RiskBinomial(1,CM65-INT(CM65))</f>
        <v>#NAME?</v>
      </c>
      <c r="CO65" s="33" t="e">
        <f t="shared" ca="1" si="18"/>
        <v>#NAME?</v>
      </c>
      <c r="CP65" s="38" t="e">
        <f ca="1">_xll.RiskBinomial(1,CO65)</f>
        <v>#NAME?</v>
      </c>
      <c r="CQ65" s="86" t="e">
        <f ca="1">IF(CP65=1,_xll.RiskBinomial(1,Prob_illness_Noro_infection),0)</f>
        <v>#NAME?</v>
      </c>
      <c r="CS65" s="85" t="e">
        <f t="shared" ca="1" si="48"/>
        <v>#NAME?</v>
      </c>
      <c r="CT65" s="40" t="e">
        <f ca="1">INT(CS65) + _xll.RiskBinomial(1,CS65-INT(CS65))</f>
        <v>#NAME?</v>
      </c>
      <c r="CU65" s="33" t="e">
        <f t="shared" ca="1" si="19"/>
        <v>#NAME?</v>
      </c>
      <c r="CV65" s="38" t="e">
        <f ca="1">_xll.RiskBinomial(1,CU65)</f>
        <v>#NAME?</v>
      </c>
      <c r="CW65" s="86" t="e">
        <f ca="1">IF(CV65=1,_xll.RiskBinomial(1,Prob_illness_Noro_infection),0)</f>
        <v>#NAME?</v>
      </c>
      <c r="CY65" s="85" t="e">
        <f t="shared" ca="1" si="49"/>
        <v>#NAME?</v>
      </c>
      <c r="CZ65" s="40" t="e">
        <f ca="1">INT(CY65) + _xll.RiskBinomial(1,CY65-INT(CY65))</f>
        <v>#NAME?</v>
      </c>
      <c r="DA65" s="33" t="e">
        <f t="shared" ca="1" si="20"/>
        <v>#NAME?</v>
      </c>
      <c r="DB65" s="38" t="e">
        <f ca="1">_xll.RiskBinomial(1,DA65)</f>
        <v>#NAME?</v>
      </c>
      <c r="DC65" s="86" t="e">
        <f ca="1">IF(DB65=1,_xll.RiskBinomial(1,Prob_illness_Noro_infection),0)</f>
        <v>#NAME?</v>
      </c>
      <c r="DE65" s="85" t="e">
        <f t="shared" ca="1" si="50"/>
        <v>#NAME?</v>
      </c>
      <c r="DF65" s="40" t="e">
        <f ca="1">INT(DE65) + _xll.RiskBinomial(1,DE65-INT(DE65))</f>
        <v>#NAME?</v>
      </c>
      <c r="DG65" s="33" t="e">
        <f t="shared" ca="1" si="21"/>
        <v>#NAME?</v>
      </c>
      <c r="DH65" s="38" t="e">
        <f ca="1">_xll.RiskBinomial(1,DG65)</f>
        <v>#NAME?</v>
      </c>
      <c r="DI65" s="86" t="e">
        <f ca="1">IF(DH65=1,_xll.RiskBinomial(1,Prob_illness_Noro_infection),0)</f>
        <v>#NAME?</v>
      </c>
      <c r="DK65" s="85" t="e">
        <f t="shared" ca="1" si="51"/>
        <v>#NAME?</v>
      </c>
      <c r="DL65" s="40" t="e">
        <f ca="1">INT(DK65) + _xll.RiskBinomial(1,DK65-INT(DK65))</f>
        <v>#NAME?</v>
      </c>
      <c r="DM65" s="33" t="e">
        <f t="shared" ca="1" si="22"/>
        <v>#NAME?</v>
      </c>
      <c r="DN65" s="38" t="e">
        <f ca="1">_xll.RiskBinomial(1,DM65)</f>
        <v>#NAME?</v>
      </c>
      <c r="DO65" s="86" t="e">
        <f ca="1">IF(DN65=1,_xll.RiskBinomial(1,Prob_illness_Noro_infection),0)</f>
        <v>#NAME?</v>
      </c>
      <c r="DQ65" s="85" t="e">
        <f t="shared" ca="1" si="52"/>
        <v>#NAME?</v>
      </c>
      <c r="DR65" s="40" t="e">
        <f ca="1">INT(DQ65) + _xll.RiskBinomial(1,DQ65-INT(DQ65))</f>
        <v>#NAME?</v>
      </c>
      <c r="DS65" s="33" t="e">
        <f t="shared" ca="1" si="23"/>
        <v>#NAME?</v>
      </c>
      <c r="DT65" s="38" t="e">
        <f ca="1">_xll.RiskBinomial(1,DS65)</f>
        <v>#NAME?</v>
      </c>
      <c r="DU65" s="86" t="e">
        <f ca="1">IF(DT65=1,_xll.RiskBinomial(1,Prob_illness_Noro_infection),0)</f>
        <v>#NAME?</v>
      </c>
      <c r="DW65" s="85" t="e">
        <f t="shared" ca="1" si="53"/>
        <v>#NAME?</v>
      </c>
      <c r="DX65" s="40" t="e">
        <f ca="1">INT(DW65) + _xll.RiskBinomial(1,DW65-INT(DW65))</f>
        <v>#NAME?</v>
      </c>
      <c r="DY65" s="33" t="e">
        <f t="shared" ca="1" si="24"/>
        <v>#NAME?</v>
      </c>
      <c r="DZ65" s="38" t="e">
        <f ca="1">_xll.RiskBinomial(1,DY65)</f>
        <v>#NAME?</v>
      </c>
      <c r="EA65" s="86" t="e">
        <f ca="1">IF(DZ65=1,_xll.RiskBinomial(1,Prob_illness_Noro_infection),0)</f>
        <v>#NAME?</v>
      </c>
      <c r="EC65" s="85" t="e">
        <f t="shared" ca="1" si="54"/>
        <v>#NAME?</v>
      </c>
      <c r="ED65" s="40" t="e">
        <f ca="1">INT(EC65) + _xll.RiskBinomial(1,EC65-INT(EC65))</f>
        <v>#NAME?</v>
      </c>
      <c r="EE65" s="33" t="e">
        <f t="shared" ca="1" si="25"/>
        <v>#NAME?</v>
      </c>
      <c r="EF65" s="38" t="e">
        <f ca="1">_xll.RiskBinomial(1,EE65)</f>
        <v>#NAME?</v>
      </c>
      <c r="EG65" s="86" t="e">
        <f ca="1">IF(EF65=1,_xll.RiskBinomial(1,Prob_illness_Noro_infection),0)</f>
        <v>#NAME?</v>
      </c>
      <c r="EI65" s="85" t="e">
        <f t="shared" ca="1" si="55"/>
        <v>#NAME?</v>
      </c>
      <c r="EJ65" s="40" t="e">
        <f ca="1">INT(EI65) + _xll.RiskBinomial(1,EI65-INT(EI65))</f>
        <v>#NAME?</v>
      </c>
      <c r="EK65" s="33" t="e">
        <f t="shared" ca="1" si="26"/>
        <v>#NAME?</v>
      </c>
      <c r="EL65" s="38" t="e">
        <f ca="1">_xll.RiskBinomial(1,EK65)</f>
        <v>#NAME?</v>
      </c>
      <c r="EM65" s="86" t="e">
        <f ca="1">IF(EL65=1,_xll.RiskBinomial(1,Prob_illness_Noro_infection),0)</f>
        <v>#NAME?</v>
      </c>
      <c r="EO65" s="85" t="e">
        <f t="shared" ca="1" si="56"/>
        <v>#NAME?</v>
      </c>
      <c r="EP65" s="40" t="e">
        <f ca="1">INT(EO65) + _xll.RiskBinomial(1,EO65-INT(EO65))</f>
        <v>#NAME?</v>
      </c>
      <c r="EQ65" s="33" t="e">
        <f t="shared" ca="1" si="27"/>
        <v>#NAME?</v>
      </c>
      <c r="ER65" s="38" t="e">
        <f ca="1">_xll.RiskBinomial(1,EQ65)</f>
        <v>#NAME?</v>
      </c>
      <c r="ES65" s="86" t="e">
        <f ca="1">IF(ER65=1,_xll.RiskBinomial(1,Prob_illness_Noro_infection),0)</f>
        <v>#NAME?</v>
      </c>
      <c r="EU65" s="85" t="e">
        <f t="shared" ca="1" si="57"/>
        <v>#NAME?</v>
      </c>
      <c r="EV65" s="40" t="e">
        <f ca="1">INT(EU65) + _xll.RiskBinomial(1,EU65-INT(EU65))</f>
        <v>#NAME?</v>
      </c>
      <c r="EW65" s="33" t="e">
        <f t="shared" ca="1" si="28"/>
        <v>#NAME?</v>
      </c>
      <c r="EX65" s="38" t="e">
        <f ca="1">_xll.RiskBinomial(1,EW65)</f>
        <v>#NAME?</v>
      </c>
      <c r="EY65" s="86" t="e">
        <f ca="1">IF(EX65=1,_xll.RiskBinomial(1,Prob_illness_Noro_infection),0)</f>
        <v>#NAME?</v>
      </c>
      <c r="FA65" s="85" t="e">
        <f t="shared" ca="1" si="58"/>
        <v>#NAME?</v>
      </c>
      <c r="FB65" s="40" t="e">
        <f ca="1">INT(FA65) + _xll.RiskBinomial(1,FA65-INT(FA65))</f>
        <v>#NAME?</v>
      </c>
      <c r="FC65" s="33" t="e">
        <f t="shared" ca="1" si="29"/>
        <v>#NAME?</v>
      </c>
      <c r="FD65" s="38" t="e">
        <f ca="1">_xll.RiskBinomial(1,FC65)</f>
        <v>#NAME?</v>
      </c>
      <c r="FE65" s="86" t="e">
        <f ca="1">IF(FD65=1,_xll.RiskBinomial(1,Prob_illness_Noro_infection),0)</f>
        <v>#NAME?</v>
      </c>
      <c r="FG65" s="85" t="e">
        <f t="shared" ca="1" si="59"/>
        <v>#NAME?</v>
      </c>
      <c r="FH65" s="40" t="e">
        <f ca="1">INT(FG65) + _xll.RiskBinomial(1,FG65-INT(FG65))</f>
        <v>#NAME?</v>
      </c>
      <c r="FI65" s="33" t="e">
        <f t="shared" ca="1" si="30"/>
        <v>#NAME?</v>
      </c>
      <c r="FJ65" s="38" t="e">
        <f ca="1">_xll.RiskBinomial(1,FI65)</f>
        <v>#NAME?</v>
      </c>
      <c r="FK65" s="86" t="e">
        <f ca="1">IF(FJ65=1,_xll.RiskBinomial(1,Prob_illness_Noro_infection),0)</f>
        <v>#NAME?</v>
      </c>
      <c r="FM65" s="85" t="e">
        <f t="shared" ca="1" si="60"/>
        <v>#NAME?</v>
      </c>
      <c r="FN65" s="40" t="e">
        <f ca="1">INT(FM65) + _xll.RiskBinomial(1,FM65-INT(FM65))</f>
        <v>#NAME?</v>
      </c>
      <c r="FO65" s="33" t="e">
        <f t="shared" ca="1" si="31"/>
        <v>#NAME?</v>
      </c>
      <c r="FP65" s="38" t="e">
        <f ca="1">_xll.RiskBinomial(1,FO65)</f>
        <v>#NAME?</v>
      </c>
      <c r="FQ65" s="86" t="e">
        <f ca="1">IF(FP65=1,_xll.RiskBinomial(1,Prob_illness_Noro_infection),0)</f>
        <v>#NAME?</v>
      </c>
      <c r="FS65" s="85" t="e">
        <f t="shared" ca="1" si="61"/>
        <v>#NAME?</v>
      </c>
      <c r="FT65" s="40" t="e">
        <f ca="1">INT(FS65) + _xll.RiskBinomial(1,FS65-INT(FS65))</f>
        <v>#NAME?</v>
      </c>
      <c r="FU65" s="33" t="e">
        <f t="shared" ca="1" si="32"/>
        <v>#NAME?</v>
      </c>
      <c r="FV65" s="38" t="e">
        <f ca="1">_xll.RiskBinomial(1,FU65)</f>
        <v>#NAME?</v>
      </c>
      <c r="FW65" s="86" t="e">
        <f ca="1">IF(FV65=1,_xll.RiskBinomial(1,Prob_illness_Noro_infection),0)</f>
        <v>#NAME?</v>
      </c>
      <c r="FY65" s="85" t="e">
        <f t="shared" ca="1" si="62"/>
        <v>#NAME?</v>
      </c>
      <c r="FZ65" s="40" t="e">
        <f ca="1">INT(FY65) + _xll.RiskBinomial(1,FY65-INT(FY65))</f>
        <v>#NAME?</v>
      </c>
      <c r="GA65" s="33" t="e">
        <f t="shared" ca="1" si="33"/>
        <v>#NAME?</v>
      </c>
      <c r="GB65" s="38" t="e">
        <f ca="1">_xll.RiskBinomial(1,GA65)</f>
        <v>#NAME?</v>
      </c>
      <c r="GC65" s="86" t="e">
        <f ca="1">IF(GB65=1,_xll.RiskBinomial(1,Prob_illness_Noro_infection),0)</f>
        <v>#NAME?</v>
      </c>
      <c r="GE65" s="85" t="e">
        <f t="shared" ca="1" si="63"/>
        <v>#NAME?</v>
      </c>
      <c r="GF65" s="40" t="e">
        <f ca="1">INT(GE65) + _xll.RiskBinomial(1,GE65-INT(GE65))</f>
        <v>#NAME?</v>
      </c>
      <c r="GG65" s="33" t="e">
        <f t="shared" ca="1" si="34"/>
        <v>#NAME?</v>
      </c>
      <c r="GH65" s="38" t="e">
        <f ca="1">_xll.RiskBinomial(1,GG65)</f>
        <v>#NAME?</v>
      </c>
      <c r="GI65" s="86" t="e">
        <f ca="1">IF(GH65=1,_xll.RiskBinomial(1,Prob_illness_Noro_infection),0)</f>
        <v>#NAME?</v>
      </c>
      <c r="GK65" s="85" t="e">
        <f t="shared" ca="1" si="64"/>
        <v>#NAME?</v>
      </c>
      <c r="GL65" s="40" t="e">
        <f ca="1">INT(GK65) + _xll.RiskBinomial(1,GK65-INT(GK65))</f>
        <v>#NAME?</v>
      </c>
      <c r="GM65" s="33" t="e">
        <f t="shared" ca="1" si="35"/>
        <v>#NAME?</v>
      </c>
      <c r="GN65" s="38" t="e">
        <f ca="1">_xll.RiskBinomial(1,GM65)</f>
        <v>#NAME?</v>
      </c>
      <c r="GO65" s="86" t="e">
        <f ca="1">IF(GN65=1,_xll.RiskBinomial(1,Prob_illness_Noro_infection),0)</f>
        <v>#NAME?</v>
      </c>
    </row>
    <row r="66" spans="2:197" x14ac:dyDescent="0.25">
      <c r="B66" s="106">
        <v>58</v>
      </c>
      <c r="C66" s="109" t="e">
        <f ca="1" xml:space="preserve"> _xll.RiskPert(Dur_Swim_hours_min,Dur_Swim_hours_mode,Dur_Swim_hours_max)</f>
        <v>#NAME?</v>
      </c>
      <c r="D66" s="33" t="e">
        <f ca="1">_xll.RiskLognorm(Primary_Ing_Rate_mL_per_hour_mean,Primary_Ing_Rate_mL_per_hour_sd, _xll.RiskTruncate(Primary_Ing_Rate_mL_per_hour_min,Primary_Ing_Rate_mL_per_hour_max))</f>
        <v>#NAME?</v>
      </c>
      <c r="E66" s="41" t="e">
        <f t="shared" ca="1" si="36"/>
        <v>#NAME?</v>
      </c>
      <c r="F66" s="33"/>
      <c r="G66" s="85" t="e">
        <f t="shared" ca="1" si="37"/>
        <v>#NAME?</v>
      </c>
      <c r="H66" s="40" t="e">
        <f ca="1">INT(G66) + _xll.RiskBinomial(1,G66-INT(G66))</f>
        <v>#NAME?</v>
      </c>
      <c r="I66" s="33" t="e">
        <f t="shared" ca="1" si="0"/>
        <v>#NAME?</v>
      </c>
      <c r="J66" s="38" t="e">
        <f ca="1">_xll.RiskBinomial(1,I66)</f>
        <v>#NAME?</v>
      </c>
      <c r="K66" s="86" t="e">
        <f ca="1">IF(J66=1,_xll.RiskBinomial(1,Prob_illness_Noro_infection),0)</f>
        <v>#NAME?</v>
      </c>
      <c r="L66" s="33"/>
      <c r="M66" s="85" t="e">
        <f t="shared" ca="1" si="38"/>
        <v>#NAME?</v>
      </c>
      <c r="N66" s="40" t="e">
        <f ca="1">INT(M66) + _xll.RiskBinomial(1,M66-INT(M66))</f>
        <v>#NAME?</v>
      </c>
      <c r="O66" s="33" t="e">
        <f t="shared" ca="1" si="1"/>
        <v>#NAME?</v>
      </c>
      <c r="P66" s="38" t="e">
        <f ca="1">_xll.RiskBinomial(1,O66)</f>
        <v>#NAME?</v>
      </c>
      <c r="Q66" s="86" t="e">
        <f ca="1">IF(P66=1,_xll.RiskBinomial(1,Prob_illness_Noro_infection),0)</f>
        <v>#NAME?</v>
      </c>
      <c r="R66" s="33"/>
      <c r="S66" s="85" t="e">
        <f t="shared" ca="1" si="39"/>
        <v>#NAME?</v>
      </c>
      <c r="T66" s="40" t="e">
        <f ca="1">INT(S66) + _xll.RiskBinomial(1,S66-INT(S66))</f>
        <v>#NAME?</v>
      </c>
      <c r="U66" s="33" t="e">
        <f t="shared" ca="1" si="2"/>
        <v>#NAME?</v>
      </c>
      <c r="V66" s="38" t="e">
        <f ca="1">_xll.RiskBinomial(1,U66)</f>
        <v>#NAME?</v>
      </c>
      <c r="W66" s="86" t="e">
        <f ca="1">IF(V66=1,_xll.RiskBinomial(1,Prob_illness_Noro_infection),0)</f>
        <v>#NAME?</v>
      </c>
      <c r="X66" s="33"/>
      <c r="Y66" s="85" t="e">
        <f t="shared" ca="1" si="3"/>
        <v>#NAME?</v>
      </c>
      <c r="Z66" s="40" t="e">
        <f ca="1">INT(Y66) + _xll.RiskBinomial(1,Y66-INT(Y66))</f>
        <v>#NAME?</v>
      </c>
      <c r="AA66" s="33" t="e">
        <f t="shared" ca="1" si="4"/>
        <v>#NAME?</v>
      </c>
      <c r="AB66" s="38" t="e">
        <f ca="1">_xll.RiskBinomial(1,AA66)</f>
        <v>#NAME?</v>
      </c>
      <c r="AC66" s="86" t="e">
        <f ca="1">IF(AB66=1,_xll.RiskBinomial(1,Prob_illness_Noro_infection),0)</f>
        <v>#NAME?</v>
      </c>
      <c r="AD66" s="33"/>
      <c r="AE66" s="85" t="e">
        <f t="shared" ca="1" si="5"/>
        <v>#NAME?</v>
      </c>
      <c r="AF66" s="40" t="e">
        <f ca="1">INT(AE66) + _xll.RiskBinomial(1,AE66-INT(AE66))</f>
        <v>#NAME?</v>
      </c>
      <c r="AG66" s="33" t="e">
        <f t="shared" ca="1" si="6"/>
        <v>#NAME?</v>
      </c>
      <c r="AH66" s="38" t="e">
        <f ca="1">_xll.RiskBinomial(1,AG66)</f>
        <v>#NAME?</v>
      </c>
      <c r="AI66" s="86" t="e">
        <f ca="1">IF(AH66=1,_xll.RiskBinomial(1,Prob_illness_Noro_infection),0)</f>
        <v>#NAME?</v>
      </c>
      <c r="AJ66" s="33"/>
      <c r="AK66" s="85" t="e">
        <f t="shared" ca="1" si="7"/>
        <v>#NAME?</v>
      </c>
      <c r="AL66" s="40" t="e">
        <f ca="1">INT(AK66) + _xll.RiskBinomial(1,AK66-INT(AK66))</f>
        <v>#NAME?</v>
      </c>
      <c r="AM66" s="33" t="e">
        <f t="shared" ca="1" si="8"/>
        <v>#NAME?</v>
      </c>
      <c r="AN66" s="38" t="e">
        <f ca="1">_xll.RiskBinomial(1,AM66)</f>
        <v>#NAME?</v>
      </c>
      <c r="AO66" s="86" t="e">
        <f ca="1">IF(AN66=1,_xll.RiskBinomial(1,Prob_illness_Noro_infection),0)</f>
        <v>#NAME?</v>
      </c>
      <c r="AP66" s="33"/>
      <c r="AQ66" s="85" t="e">
        <f t="shared" ca="1" si="65"/>
        <v>#NAME?</v>
      </c>
      <c r="AR66" s="40" t="e">
        <f ca="1">INT(AQ66) + _xll.RiskBinomial(1,AQ66-INT(AQ66))</f>
        <v>#NAME?</v>
      </c>
      <c r="AS66" s="33" t="e">
        <f t="shared" ca="1" si="10"/>
        <v>#NAME?</v>
      </c>
      <c r="AT66" s="38" t="e">
        <f ca="1">_xll.RiskBinomial(1,AS66)</f>
        <v>#NAME?</v>
      </c>
      <c r="AU66" s="86" t="e">
        <f ca="1">IF(AT66=1,_xll.RiskBinomial(1,Prob_illness_Noro_infection),0)</f>
        <v>#NAME?</v>
      </c>
      <c r="AV66" s="33"/>
      <c r="AW66" s="85" t="e">
        <f t="shared" ca="1" si="40"/>
        <v>#NAME?</v>
      </c>
      <c r="AX66" s="40" t="e">
        <f ca="1">INT(AW66) + _xll.RiskBinomial(1,AW66-INT(AW66))</f>
        <v>#NAME?</v>
      </c>
      <c r="AY66" s="33" t="e">
        <f t="shared" ca="1" si="11"/>
        <v>#NAME?</v>
      </c>
      <c r="AZ66" s="38" t="e">
        <f ca="1">_xll.RiskBinomial(1,AY66)</f>
        <v>#NAME?</v>
      </c>
      <c r="BA66" s="86" t="e">
        <f ca="1">IF(AZ66=1,_xll.RiskBinomial(1,Prob_illness_Noro_infection),0)</f>
        <v>#NAME?</v>
      </c>
      <c r="BC66" s="85" t="e">
        <f t="shared" ca="1" si="41"/>
        <v>#NAME?</v>
      </c>
      <c r="BD66" s="40" t="e">
        <f ca="1">INT(BC66) + _xll.RiskBinomial(1,BC66-INT(BC66))</f>
        <v>#NAME?</v>
      </c>
      <c r="BE66" s="33" t="e">
        <f t="shared" ca="1" si="12"/>
        <v>#NAME?</v>
      </c>
      <c r="BF66" s="38" t="e">
        <f ca="1">_xll.RiskBinomial(1,BE66)</f>
        <v>#NAME?</v>
      </c>
      <c r="BG66" s="86" t="e">
        <f ca="1">IF(BF66=1,_xll.RiskBinomial(1,Prob_illness_Noro_infection),0)</f>
        <v>#NAME?</v>
      </c>
      <c r="BI66" s="85" t="e">
        <f t="shared" ca="1" si="42"/>
        <v>#NAME?</v>
      </c>
      <c r="BJ66" s="40" t="e">
        <f ca="1">INT(BI66) + _xll.RiskBinomial(1,BI66-INT(BI66))</f>
        <v>#NAME?</v>
      </c>
      <c r="BK66" s="33" t="e">
        <f t="shared" ca="1" si="13"/>
        <v>#NAME?</v>
      </c>
      <c r="BL66" s="38" t="e">
        <f ca="1">_xll.RiskBinomial(1,BK66)</f>
        <v>#NAME?</v>
      </c>
      <c r="BM66" s="86" t="e">
        <f ca="1">IF(BL66=1,_xll.RiskBinomial(1,Prob_illness_Noro_infection),0)</f>
        <v>#NAME?</v>
      </c>
      <c r="BO66" s="85" t="e">
        <f t="shared" ca="1" si="43"/>
        <v>#NAME?</v>
      </c>
      <c r="BP66" s="40" t="e">
        <f ca="1">INT(BO66) + _xll.RiskBinomial(1,BO66-INT(BO66))</f>
        <v>#NAME?</v>
      </c>
      <c r="BQ66" s="33" t="e">
        <f t="shared" ca="1" si="14"/>
        <v>#NAME?</v>
      </c>
      <c r="BR66" s="38" t="e">
        <f ca="1">_xll.RiskBinomial(1,BQ66)</f>
        <v>#NAME?</v>
      </c>
      <c r="BS66" s="86" t="e">
        <f ca="1">IF(BR66=1,_xll.RiskBinomial(1,Prob_illness_Noro_infection),0)</f>
        <v>#NAME?</v>
      </c>
      <c r="BU66" s="85" t="e">
        <f t="shared" ca="1" si="44"/>
        <v>#NAME?</v>
      </c>
      <c r="BV66" s="40" t="e">
        <f ca="1">INT(BU66) + _xll.RiskBinomial(1,BU66-INT(BU66))</f>
        <v>#NAME?</v>
      </c>
      <c r="BW66" s="33" t="e">
        <f t="shared" ca="1" si="15"/>
        <v>#NAME?</v>
      </c>
      <c r="BX66" s="38" t="e">
        <f ca="1">_xll.RiskBinomial(1,BW66)</f>
        <v>#NAME?</v>
      </c>
      <c r="BY66" s="86" t="e">
        <f ca="1">IF(BX66=1,_xll.RiskBinomial(1,Prob_illness_Noro_infection),0)</f>
        <v>#NAME?</v>
      </c>
      <c r="CA66" s="85" t="e">
        <f t="shared" ca="1" si="45"/>
        <v>#NAME?</v>
      </c>
      <c r="CB66" s="40" t="e">
        <f ca="1">INT(CA66) + _xll.RiskBinomial(1,CA66-INT(CA66))</f>
        <v>#NAME?</v>
      </c>
      <c r="CC66" s="33" t="e">
        <f t="shared" ca="1" si="16"/>
        <v>#NAME?</v>
      </c>
      <c r="CD66" s="38" t="e">
        <f ca="1">_xll.RiskBinomial(1,CC66)</f>
        <v>#NAME?</v>
      </c>
      <c r="CE66" s="86" t="e">
        <f ca="1">IF(CD66=1,_xll.RiskBinomial(1,Prob_illness_Noro_infection),0)</f>
        <v>#NAME?</v>
      </c>
      <c r="CG66" s="85" t="e">
        <f t="shared" ca="1" si="46"/>
        <v>#NAME?</v>
      </c>
      <c r="CH66" s="40" t="e">
        <f ca="1">INT(CG66) + _xll.RiskBinomial(1,CG66-INT(CG66))</f>
        <v>#NAME?</v>
      </c>
      <c r="CI66" s="33" t="e">
        <f t="shared" ca="1" si="17"/>
        <v>#NAME?</v>
      </c>
      <c r="CJ66" s="38" t="e">
        <f ca="1">_xll.RiskBinomial(1,CI66)</f>
        <v>#NAME?</v>
      </c>
      <c r="CK66" s="86" t="e">
        <f ca="1">IF(CJ66=1,_xll.RiskBinomial(1,Prob_illness_Noro_infection),0)</f>
        <v>#NAME?</v>
      </c>
      <c r="CM66" s="85" t="e">
        <f t="shared" ca="1" si="47"/>
        <v>#NAME?</v>
      </c>
      <c r="CN66" s="40" t="e">
        <f ca="1">INT(CM66) + _xll.RiskBinomial(1,CM66-INT(CM66))</f>
        <v>#NAME?</v>
      </c>
      <c r="CO66" s="33" t="e">
        <f t="shared" ca="1" si="18"/>
        <v>#NAME?</v>
      </c>
      <c r="CP66" s="38" t="e">
        <f ca="1">_xll.RiskBinomial(1,CO66)</f>
        <v>#NAME?</v>
      </c>
      <c r="CQ66" s="86" t="e">
        <f ca="1">IF(CP66=1,_xll.RiskBinomial(1,Prob_illness_Noro_infection),0)</f>
        <v>#NAME?</v>
      </c>
      <c r="CS66" s="85" t="e">
        <f t="shared" ca="1" si="48"/>
        <v>#NAME?</v>
      </c>
      <c r="CT66" s="40" t="e">
        <f ca="1">INT(CS66) + _xll.RiskBinomial(1,CS66-INT(CS66))</f>
        <v>#NAME?</v>
      </c>
      <c r="CU66" s="33" t="e">
        <f t="shared" ca="1" si="19"/>
        <v>#NAME?</v>
      </c>
      <c r="CV66" s="38" t="e">
        <f ca="1">_xll.RiskBinomial(1,CU66)</f>
        <v>#NAME?</v>
      </c>
      <c r="CW66" s="86" t="e">
        <f ca="1">IF(CV66=1,_xll.RiskBinomial(1,Prob_illness_Noro_infection),0)</f>
        <v>#NAME?</v>
      </c>
      <c r="CY66" s="85" t="e">
        <f t="shared" ca="1" si="49"/>
        <v>#NAME?</v>
      </c>
      <c r="CZ66" s="40" t="e">
        <f ca="1">INT(CY66) + _xll.RiskBinomial(1,CY66-INT(CY66))</f>
        <v>#NAME?</v>
      </c>
      <c r="DA66" s="33" t="e">
        <f t="shared" ca="1" si="20"/>
        <v>#NAME?</v>
      </c>
      <c r="DB66" s="38" t="e">
        <f ca="1">_xll.RiskBinomial(1,DA66)</f>
        <v>#NAME?</v>
      </c>
      <c r="DC66" s="86" t="e">
        <f ca="1">IF(DB66=1,_xll.RiskBinomial(1,Prob_illness_Noro_infection),0)</f>
        <v>#NAME?</v>
      </c>
      <c r="DE66" s="85" t="e">
        <f t="shared" ca="1" si="50"/>
        <v>#NAME?</v>
      </c>
      <c r="DF66" s="40" t="e">
        <f ca="1">INT(DE66) + _xll.RiskBinomial(1,DE66-INT(DE66))</f>
        <v>#NAME?</v>
      </c>
      <c r="DG66" s="33" t="e">
        <f t="shared" ca="1" si="21"/>
        <v>#NAME?</v>
      </c>
      <c r="DH66" s="38" t="e">
        <f ca="1">_xll.RiskBinomial(1,DG66)</f>
        <v>#NAME?</v>
      </c>
      <c r="DI66" s="86" t="e">
        <f ca="1">IF(DH66=1,_xll.RiskBinomial(1,Prob_illness_Noro_infection),0)</f>
        <v>#NAME?</v>
      </c>
      <c r="DK66" s="85" t="e">
        <f t="shared" ca="1" si="51"/>
        <v>#NAME?</v>
      </c>
      <c r="DL66" s="40" t="e">
        <f ca="1">INT(DK66) + _xll.RiskBinomial(1,DK66-INT(DK66))</f>
        <v>#NAME?</v>
      </c>
      <c r="DM66" s="33" t="e">
        <f t="shared" ca="1" si="22"/>
        <v>#NAME?</v>
      </c>
      <c r="DN66" s="38" t="e">
        <f ca="1">_xll.RiskBinomial(1,DM66)</f>
        <v>#NAME?</v>
      </c>
      <c r="DO66" s="86" t="e">
        <f ca="1">IF(DN66=1,_xll.RiskBinomial(1,Prob_illness_Noro_infection),0)</f>
        <v>#NAME?</v>
      </c>
      <c r="DQ66" s="85" t="e">
        <f t="shared" ca="1" si="52"/>
        <v>#NAME?</v>
      </c>
      <c r="DR66" s="40" t="e">
        <f ca="1">INT(DQ66) + _xll.RiskBinomial(1,DQ66-INT(DQ66))</f>
        <v>#NAME?</v>
      </c>
      <c r="DS66" s="33" t="e">
        <f t="shared" ca="1" si="23"/>
        <v>#NAME?</v>
      </c>
      <c r="DT66" s="38" t="e">
        <f ca="1">_xll.RiskBinomial(1,DS66)</f>
        <v>#NAME?</v>
      </c>
      <c r="DU66" s="86" t="e">
        <f ca="1">IF(DT66=1,_xll.RiskBinomial(1,Prob_illness_Noro_infection),0)</f>
        <v>#NAME?</v>
      </c>
      <c r="DW66" s="85" t="e">
        <f t="shared" ca="1" si="53"/>
        <v>#NAME?</v>
      </c>
      <c r="DX66" s="40" t="e">
        <f ca="1">INT(DW66) + _xll.RiskBinomial(1,DW66-INT(DW66))</f>
        <v>#NAME?</v>
      </c>
      <c r="DY66" s="33" t="e">
        <f t="shared" ca="1" si="24"/>
        <v>#NAME?</v>
      </c>
      <c r="DZ66" s="38" t="e">
        <f ca="1">_xll.RiskBinomial(1,DY66)</f>
        <v>#NAME?</v>
      </c>
      <c r="EA66" s="86" t="e">
        <f ca="1">IF(DZ66=1,_xll.RiskBinomial(1,Prob_illness_Noro_infection),0)</f>
        <v>#NAME?</v>
      </c>
      <c r="EC66" s="85" t="e">
        <f t="shared" ca="1" si="54"/>
        <v>#NAME?</v>
      </c>
      <c r="ED66" s="40" t="e">
        <f ca="1">INT(EC66) + _xll.RiskBinomial(1,EC66-INT(EC66))</f>
        <v>#NAME?</v>
      </c>
      <c r="EE66" s="33" t="e">
        <f t="shared" ca="1" si="25"/>
        <v>#NAME?</v>
      </c>
      <c r="EF66" s="38" t="e">
        <f ca="1">_xll.RiskBinomial(1,EE66)</f>
        <v>#NAME?</v>
      </c>
      <c r="EG66" s="86" t="e">
        <f ca="1">IF(EF66=1,_xll.RiskBinomial(1,Prob_illness_Noro_infection),0)</f>
        <v>#NAME?</v>
      </c>
      <c r="EI66" s="85" t="e">
        <f t="shared" ca="1" si="55"/>
        <v>#NAME?</v>
      </c>
      <c r="EJ66" s="40" t="e">
        <f ca="1">INT(EI66) + _xll.RiskBinomial(1,EI66-INT(EI66))</f>
        <v>#NAME?</v>
      </c>
      <c r="EK66" s="33" t="e">
        <f t="shared" ca="1" si="26"/>
        <v>#NAME?</v>
      </c>
      <c r="EL66" s="38" t="e">
        <f ca="1">_xll.RiskBinomial(1,EK66)</f>
        <v>#NAME?</v>
      </c>
      <c r="EM66" s="86" t="e">
        <f ca="1">IF(EL66=1,_xll.RiskBinomial(1,Prob_illness_Noro_infection),0)</f>
        <v>#NAME?</v>
      </c>
      <c r="EO66" s="85" t="e">
        <f t="shared" ca="1" si="56"/>
        <v>#NAME?</v>
      </c>
      <c r="EP66" s="40" t="e">
        <f ca="1">INT(EO66) + _xll.RiskBinomial(1,EO66-INT(EO66))</f>
        <v>#NAME?</v>
      </c>
      <c r="EQ66" s="33" t="e">
        <f t="shared" ca="1" si="27"/>
        <v>#NAME?</v>
      </c>
      <c r="ER66" s="38" t="e">
        <f ca="1">_xll.RiskBinomial(1,EQ66)</f>
        <v>#NAME?</v>
      </c>
      <c r="ES66" s="86" t="e">
        <f ca="1">IF(ER66=1,_xll.RiskBinomial(1,Prob_illness_Noro_infection),0)</f>
        <v>#NAME?</v>
      </c>
      <c r="EU66" s="85" t="e">
        <f t="shared" ca="1" si="57"/>
        <v>#NAME?</v>
      </c>
      <c r="EV66" s="40" t="e">
        <f ca="1">INT(EU66) + _xll.RiskBinomial(1,EU66-INT(EU66))</f>
        <v>#NAME?</v>
      </c>
      <c r="EW66" s="33" t="e">
        <f t="shared" ca="1" si="28"/>
        <v>#NAME?</v>
      </c>
      <c r="EX66" s="38" t="e">
        <f ca="1">_xll.RiskBinomial(1,EW66)</f>
        <v>#NAME?</v>
      </c>
      <c r="EY66" s="86" t="e">
        <f ca="1">IF(EX66=1,_xll.RiskBinomial(1,Prob_illness_Noro_infection),0)</f>
        <v>#NAME?</v>
      </c>
      <c r="FA66" s="85" t="e">
        <f t="shared" ca="1" si="58"/>
        <v>#NAME?</v>
      </c>
      <c r="FB66" s="40" t="e">
        <f ca="1">INT(FA66) + _xll.RiskBinomial(1,FA66-INT(FA66))</f>
        <v>#NAME?</v>
      </c>
      <c r="FC66" s="33" t="e">
        <f t="shared" ca="1" si="29"/>
        <v>#NAME?</v>
      </c>
      <c r="FD66" s="38" t="e">
        <f ca="1">_xll.RiskBinomial(1,FC66)</f>
        <v>#NAME?</v>
      </c>
      <c r="FE66" s="86" t="e">
        <f ca="1">IF(FD66=1,_xll.RiskBinomial(1,Prob_illness_Noro_infection),0)</f>
        <v>#NAME?</v>
      </c>
      <c r="FG66" s="85" t="e">
        <f t="shared" ca="1" si="59"/>
        <v>#NAME?</v>
      </c>
      <c r="FH66" s="40" t="e">
        <f ca="1">INT(FG66) + _xll.RiskBinomial(1,FG66-INT(FG66))</f>
        <v>#NAME?</v>
      </c>
      <c r="FI66" s="33" t="e">
        <f t="shared" ca="1" si="30"/>
        <v>#NAME?</v>
      </c>
      <c r="FJ66" s="38" t="e">
        <f ca="1">_xll.RiskBinomial(1,FI66)</f>
        <v>#NAME?</v>
      </c>
      <c r="FK66" s="86" t="e">
        <f ca="1">IF(FJ66=1,_xll.RiskBinomial(1,Prob_illness_Noro_infection),0)</f>
        <v>#NAME?</v>
      </c>
      <c r="FM66" s="85" t="e">
        <f t="shared" ca="1" si="60"/>
        <v>#NAME?</v>
      </c>
      <c r="FN66" s="40" t="e">
        <f ca="1">INT(FM66) + _xll.RiskBinomial(1,FM66-INT(FM66))</f>
        <v>#NAME?</v>
      </c>
      <c r="FO66" s="33" t="e">
        <f t="shared" ca="1" si="31"/>
        <v>#NAME?</v>
      </c>
      <c r="FP66" s="38" t="e">
        <f ca="1">_xll.RiskBinomial(1,FO66)</f>
        <v>#NAME?</v>
      </c>
      <c r="FQ66" s="86" t="e">
        <f ca="1">IF(FP66=1,_xll.RiskBinomial(1,Prob_illness_Noro_infection),0)</f>
        <v>#NAME?</v>
      </c>
      <c r="FS66" s="85" t="e">
        <f t="shared" ca="1" si="61"/>
        <v>#NAME?</v>
      </c>
      <c r="FT66" s="40" t="e">
        <f ca="1">INT(FS66) + _xll.RiskBinomial(1,FS66-INT(FS66))</f>
        <v>#NAME?</v>
      </c>
      <c r="FU66" s="33" t="e">
        <f t="shared" ca="1" si="32"/>
        <v>#NAME?</v>
      </c>
      <c r="FV66" s="38" t="e">
        <f ca="1">_xll.RiskBinomial(1,FU66)</f>
        <v>#NAME?</v>
      </c>
      <c r="FW66" s="86" t="e">
        <f ca="1">IF(FV66=1,_xll.RiskBinomial(1,Prob_illness_Noro_infection),0)</f>
        <v>#NAME?</v>
      </c>
      <c r="FY66" s="85" t="e">
        <f t="shared" ca="1" si="62"/>
        <v>#NAME?</v>
      </c>
      <c r="FZ66" s="40" t="e">
        <f ca="1">INT(FY66) + _xll.RiskBinomial(1,FY66-INT(FY66))</f>
        <v>#NAME?</v>
      </c>
      <c r="GA66" s="33" t="e">
        <f t="shared" ca="1" si="33"/>
        <v>#NAME?</v>
      </c>
      <c r="GB66" s="38" t="e">
        <f ca="1">_xll.RiskBinomial(1,GA66)</f>
        <v>#NAME?</v>
      </c>
      <c r="GC66" s="86" t="e">
        <f ca="1">IF(GB66=1,_xll.RiskBinomial(1,Prob_illness_Noro_infection),0)</f>
        <v>#NAME?</v>
      </c>
      <c r="GE66" s="85" t="e">
        <f t="shared" ca="1" si="63"/>
        <v>#NAME?</v>
      </c>
      <c r="GF66" s="40" t="e">
        <f ca="1">INT(GE66) + _xll.RiskBinomial(1,GE66-INT(GE66))</f>
        <v>#NAME?</v>
      </c>
      <c r="GG66" s="33" t="e">
        <f t="shared" ca="1" si="34"/>
        <v>#NAME?</v>
      </c>
      <c r="GH66" s="38" t="e">
        <f ca="1">_xll.RiskBinomial(1,GG66)</f>
        <v>#NAME?</v>
      </c>
      <c r="GI66" s="86" t="e">
        <f ca="1">IF(GH66=1,_xll.RiskBinomial(1,Prob_illness_Noro_infection),0)</f>
        <v>#NAME?</v>
      </c>
      <c r="GK66" s="85" t="e">
        <f t="shared" ca="1" si="64"/>
        <v>#NAME?</v>
      </c>
      <c r="GL66" s="40" t="e">
        <f ca="1">INT(GK66) + _xll.RiskBinomial(1,GK66-INT(GK66))</f>
        <v>#NAME?</v>
      </c>
      <c r="GM66" s="33" t="e">
        <f t="shared" ca="1" si="35"/>
        <v>#NAME?</v>
      </c>
      <c r="GN66" s="38" t="e">
        <f ca="1">_xll.RiskBinomial(1,GM66)</f>
        <v>#NAME?</v>
      </c>
      <c r="GO66" s="86" t="e">
        <f ca="1">IF(GN66=1,_xll.RiskBinomial(1,Prob_illness_Noro_infection),0)</f>
        <v>#NAME?</v>
      </c>
    </row>
    <row r="67" spans="2:197" x14ac:dyDescent="0.25">
      <c r="B67" s="106">
        <v>59</v>
      </c>
      <c r="C67" s="109" t="e">
        <f ca="1" xml:space="preserve"> _xll.RiskPert(Dur_Swim_hours_min,Dur_Swim_hours_mode,Dur_Swim_hours_max)</f>
        <v>#NAME?</v>
      </c>
      <c r="D67" s="33" t="e">
        <f ca="1">_xll.RiskLognorm(Primary_Ing_Rate_mL_per_hour_mean,Primary_Ing_Rate_mL_per_hour_sd, _xll.RiskTruncate(Primary_Ing_Rate_mL_per_hour_min,Primary_Ing_Rate_mL_per_hour_max))</f>
        <v>#NAME?</v>
      </c>
      <c r="E67" s="41" t="e">
        <f t="shared" ca="1" si="36"/>
        <v>#NAME?</v>
      </c>
      <c r="F67" s="33"/>
      <c r="G67" s="85" t="e">
        <f t="shared" ca="1" si="37"/>
        <v>#NAME?</v>
      </c>
      <c r="H67" s="40" t="e">
        <f ca="1">INT(G67) + _xll.RiskBinomial(1,G67-INT(G67))</f>
        <v>#NAME?</v>
      </c>
      <c r="I67" s="33" t="e">
        <f t="shared" ca="1" si="0"/>
        <v>#NAME?</v>
      </c>
      <c r="J67" s="38" t="e">
        <f ca="1">_xll.RiskBinomial(1,I67)</f>
        <v>#NAME?</v>
      </c>
      <c r="K67" s="86" t="e">
        <f ca="1">IF(J67=1,_xll.RiskBinomial(1,Prob_illness_Noro_infection),0)</f>
        <v>#NAME?</v>
      </c>
      <c r="L67" s="33"/>
      <c r="M67" s="85" t="e">
        <f t="shared" ca="1" si="38"/>
        <v>#NAME?</v>
      </c>
      <c r="N67" s="40" t="e">
        <f ca="1">INT(M67) + _xll.RiskBinomial(1,M67-INT(M67))</f>
        <v>#NAME?</v>
      </c>
      <c r="O67" s="33" t="e">
        <f t="shared" ca="1" si="1"/>
        <v>#NAME?</v>
      </c>
      <c r="P67" s="38" t="e">
        <f ca="1">_xll.RiskBinomial(1,O67)</f>
        <v>#NAME?</v>
      </c>
      <c r="Q67" s="86" t="e">
        <f ca="1">IF(P67=1,_xll.RiskBinomial(1,Prob_illness_Noro_infection),0)</f>
        <v>#NAME?</v>
      </c>
      <c r="R67" s="33"/>
      <c r="S67" s="85" t="e">
        <f t="shared" ca="1" si="39"/>
        <v>#NAME?</v>
      </c>
      <c r="T67" s="40" t="e">
        <f ca="1">INT(S67) + _xll.RiskBinomial(1,S67-INT(S67))</f>
        <v>#NAME?</v>
      </c>
      <c r="U67" s="33" t="e">
        <f t="shared" ca="1" si="2"/>
        <v>#NAME?</v>
      </c>
      <c r="V67" s="38" t="e">
        <f ca="1">_xll.RiskBinomial(1,U67)</f>
        <v>#NAME?</v>
      </c>
      <c r="W67" s="86" t="e">
        <f ca="1">IF(V67=1,_xll.RiskBinomial(1,Prob_illness_Noro_infection),0)</f>
        <v>#NAME?</v>
      </c>
      <c r="X67" s="33"/>
      <c r="Y67" s="85" t="e">
        <f t="shared" ca="1" si="3"/>
        <v>#NAME?</v>
      </c>
      <c r="Z67" s="40" t="e">
        <f ca="1">INT(Y67) + _xll.RiskBinomial(1,Y67-INT(Y67))</f>
        <v>#NAME?</v>
      </c>
      <c r="AA67" s="33" t="e">
        <f t="shared" ca="1" si="4"/>
        <v>#NAME?</v>
      </c>
      <c r="AB67" s="38" t="e">
        <f ca="1">_xll.RiskBinomial(1,AA67)</f>
        <v>#NAME?</v>
      </c>
      <c r="AC67" s="86" t="e">
        <f ca="1">IF(AB67=1,_xll.RiskBinomial(1,Prob_illness_Noro_infection),0)</f>
        <v>#NAME?</v>
      </c>
      <c r="AD67" s="33"/>
      <c r="AE67" s="85" t="e">
        <f t="shared" ca="1" si="5"/>
        <v>#NAME?</v>
      </c>
      <c r="AF67" s="40" t="e">
        <f ca="1">INT(AE67) + _xll.RiskBinomial(1,AE67-INT(AE67))</f>
        <v>#NAME?</v>
      </c>
      <c r="AG67" s="33" t="e">
        <f t="shared" ca="1" si="6"/>
        <v>#NAME?</v>
      </c>
      <c r="AH67" s="38" t="e">
        <f ca="1">_xll.RiskBinomial(1,AG67)</f>
        <v>#NAME?</v>
      </c>
      <c r="AI67" s="86" t="e">
        <f ca="1">IF(AH67=1,_xll.RiskBinomial(1,Prob_illness_Noro_infection),0)</f>
        <v>#NAME?</v>
      </c>
      <c r="AJ67" s="33"/>
      <c r="AK67" s="85" t="e">
        <f t="shared" ca="1" si="7"/>
        <v>#NAME?</v>
      </c>
      <c r="AL67" s="40" t="e">
        <f ca="1">INT(AK67) + _xll.RiskBinomial(1,AK67-INT(AK67))</f>
        <v>#NAME?</v>
      </c>
      <c r="AM67" s="33" t="e">
        <f t="shared" ca="1" si="8"/>
        <v>#NAME?</v>
      </c>
      <c r="AN67" s="38" t="e">
        <f ca="1">_xll.RiskBinomial(1,AM67)</f>
        <v>#NAME?</v>
      </c>
      <c r="AO67" s="86" t="e">
        <f ca="1">IF(AN67=1,_xll.RiskBinomial(1,Prob_illness_Noro_infection),0)</f>
        <v>#NAME?</v>
      </c>
      <c r="AP67" s="33"/>
      <c r="AQ67" s="85" t="e">
        <f t="shared" ca="1" si="65"/>
        <v>#NAME?</v>
      </c>
      <c r="AR67" s="40" t="e">
        <f ca="1">INT(AQ67) + _xll.RiskBinomial(1,AQ67-INT(AQ67))</f>
        <v>#NAME?</v>
      </c>
      <c r="AS67" s="33" t="e">
        <f t="shared" ca="1" si="10"/>
        <v>#NAME?</v>
      </c>
      <c r="AT67" s="38" t="e">
        <f ca="1">_xll.RiskBinomial(1,AS67)</f>
        <v>#NAME?</v>
      </c>
      <c r="AU67" s="86" t="e">
        <f ca="1">IF(AT67=1,_xll.RiskBinomial(1,Prob_illness_Noro_infection),0)</f>
        <v>#NAME?</v>
      </c>
      <c r="AV67" s="33"/>
      <c r="AW67" s="85" t="e">
        <f t="shared" ca="1" si="40"/>
        <v>#NAME?</v>
      </c>
      <c r="AX67" s="40" t="e">
        <f ca="1">INT(AW67) + _xll.RiskBinomial(1,AW67-INT(AW67))</f>
        <v>#NAME?</v>
      </c>
      <c r="AY67" s="33" t="e">
        <f t="shared" ca="1" si="11"/>
        <v>#NAME?</v>
      </c>
      <c r="AZ67" s="38" t="e">
        <f ca="1">_xll.RiskBinomial(1,AY67)</f>
        <v>#NAME?</v>
      </c>
      <c r="BA67" s="86" t="e">
        <f ca="1">IF(AZ67=1,_xll.RiskBinomial(1,Prob_illness_Noro_infection),0)</f>
        <v>#NAME?</v>
      </c>
      <c r="BC67" s="85" t="e">
        <f t="shared" ca="1" si="41"/>
        <v>#NAME?</v>
      </c>
      <c r="BD67" s="40" t="e">
        <f ca="1">INT(BC67) + _xll.RiskBinomial(1,BC67-INT(BC67))</f>
        <v>#NAME?</v>
      </c>
      <c r="BE67" s="33" t="e">
        <f t="shared" ca="1" si="12"/>
        <v>#NAME?</v>
      </c>
      <c r="BF67" s="38" t="e">
        <f ca="1">_xll.RiskBinomial(1,BE67)</f>
        <v>#NAME?</v>
      </c>
      <c r="BG67" s="86" t="e">
        <f ca="1">IF(BF67=1,_xll.RiskBinomial(1,Prob_illness_Noro_infection),0)</f>
        <v>#NAME?</v>
      </c>
      <c r="BI67" s="85" t="e">
        <f t="shared" ca="1" si="42"/>
        <v>#NAME?</v>
      </c>
      <c r="BJ67" s="40" t="e">
        <f ca="1">INT(BI67) + _xll.RiskBinomial(1,BI67-INT(BI67))</f>
        <v>#NAME?</v>
      </c>
      <c r="BK67" s="33" t="e">
        <f t="shared" ca="1" si="13"/>
        <v>#NAME?</v>
      </c>
      <c r="BL67" s="38" t="e">
        <f ca="1">_xll.RiskBinomial(1,BK67)</f>
        <v>#NAME?</v>
      </c>
      <c r="BM67" s="86" t="e">
        <f ca="1">IF(BL67=1,_xll.RiskBinomial(1,Prob_illness_Noro_infection),0)</f>
        <v>#NAME?</v>
      </c>
      <c r="BO67" s="85" t="e">
        <f t="shared" ca="1" si="43"/>
        <v>#NAME?</v>
      </c>
      <c r="BP67" s="40" t="e">
        <f ca="1">INT(BO67) + _xll.RiskBinomial(1,BO67-INT(BO67))</f>
        <v>#NAME?</v>
      </c>
      <c r="BQ67" s="33" t="e">
        <f t="shared" ca="1" si="14"/>
        <v>#NAME?</v>
      </c>
      <c r="BR67" s="38" t="e">
        <f ca="1">_xll.RiskBinomial(1,BQ67)</f>
        <v>#NAME?</v>
      </c>
      <c r="BS67" s="86" t="e">
        <f ca="1">IF(BR67=1,_xll.RiskBinomial(1,Prob_illness_Noro_infection),0)</f>
        <v>#NAME?</v>
      </c>
      <c r="BU67" s="85" t="e">
        <f t="shared" ca="1" si="44"/>
        <v>#NAME?</v>
      </c>
      <c r="BV67" s="40" t="e">
        <f ca="1">INT(BU67) + _xll.RiskBinomial(1,BU67-INT(BU67))</f>
        <v>#NAME?</v>
      </c>
      <c r="BW67" s="33" t="e">
        <f t="shared" ca="1" si="15"/>
        <v>#NAME?</v>
      </c>
      <c r="BX67" s="38" t="e">
        <f ca="1">_xll.RiskBinomial(1,BW67)</f>
        <v>#NAME?</v>
      </c>
      <c r="BY67" s="86" t="e">
        <f ca="1">IF(BX67=1,_xll.RiskBinomial(1,Prob_illness_Noro_infection),0)</f>
        <v>#NAME?</v>
      </c>
      <c r="CA67" s="85" t="e">
        <f t="shared" ca="1" si="45"/>
        <v>#NAME?</v>
      </c>
      <c r="CB67" s="40" t="e">
        <f ca="1">INT(CA67) + _xll.RiskBinomial(1,CA67-INT(CA67))</f>
        <v>#NAME?</v>
      </c>
      <c r="CC67" s="33" t="e">
        <f t="shared" ca="1" si="16"/>
        <v>#NAME?</v>
      </c>
      <c r="CD67" s="38" t="e">
        <f ca="1">_xll.RiskBinomial(1,CC67)</f>
        <v>#NAME?</v>
      </c>
      <c r="CE67" s="86" t="e">
        <f ca="1">IF(CD67=1,_xll.RiskBinomial(1,Prob_illness_Noro_infection),0)</f>
        <v>#NAME?</v>
      </c>
      <c r="CG67" s="85" t="e">
        <f t="shared" ca="1" si="46"/>
        <v>#NAME?</v>
      </c>
      <c r="CH67" s="40" t="e">
        <f ca="1">INT(CG67) + _xll.RiskBinomial(1,CG67-INT(CG67))</f>
        <v>#NAME?</v>
      </c>
      <c r="CI67" s="33" t="e">
        <f t="shared" ca="1" si="17"/>
        <v>#NAME?</v>
      </c>
      <c r="CJ67" s="38" t="e">
        <f ca="1">_xll.RiskBinomial(1,CI67)</f>
        <v>#NAME?</v>
      </c>
      <c r="CK67" s="86" t="e">
        <f ca="1">IF(CJ67=1,_xll.RiskBinomial(1,Prob_illness_Noro_infection),0)</f>
        <v>#NAME?</v>
      </c>
      <c r="CM67" s="85" t="e">
        <f t="shared" ca="1" si="47"/>
        <v>#NAME?</v>
      </c>
      <c r="CN67" s="40" t="e">
        <f ca="1">INT(CM67) + _xll.RiskBinomial(1,CM67-INT(CM67))</f>
        <v>#NAME?</v>
      </c>
      <c r="CO67" s="33" t="e">
        <f t="shared" ca="1" si="18"/>
        <v>#NAME?</v>
      </c>
      <c r="CP67" s="38" t="e">
        <f ca="1">_xll.RiskBinomial(1,CO67)</f>
        <v>#NAME?</v>
      </c>
      <c r="CQ67" s="86" t="e">
        <f ca="1">IF(CP67=1,_xll.RiskBinomial(1,Prob_illness_Noro_infection),0)</f>
        <v>#NAME?</v>
      </c>
      <c r="CS67" s="85" t="e">
        <f t="shared" ca="1" si="48"/>
        <v>#NAME?</v>
      </c>
      <c r="CT67" s="40" t="e">
        <f ca="1">INT(CS67) + _xll.RiskBinomial(1,CS67-INT(CS67))</f>
        <v>#NAME?</v>
      </c>
      <c r="CU67" s="33" t="e">
        <f t="shared" ca="1" si="19"/>
        <v>#NAME?</v>
      </c>
      <c r="CV67" s="38" t="e">
        <f ca="1">_xll.RiskBinomial(1,CU67)</f>
        <v>#NAME?</v>
      </c>
      <c r="CW67" s="86" t="e">
        <f ca="1">IF(CV67=1,_xll.RiskBinomial(1,Prob_illness_Noro_infection),0)</f>
        <v>#NAME?</v>
      </c>
      <c r="CY67" s="85" t="e">
        <f t="shared" ca="1" si="49"/>
        <v>#NAME?</v>
      </c>
      <c r="CZ67" s="40" t="e">
        <f ca="1">INT(CY67) + _xll.RiskBinomial(1,CY67-INT(CY67))</f>
        <v>#NAME?</v>
      </c>
      <c r="DA67" s="33" t="e">
        <f t="shared" ca="1" si="20"/>
        <v>#NAME?</v>
      </c>
      <c r="DB67" s="38" t="e">
        <f ca="1">_xll.RiskBinomial(1,DA67)</f>
        <v>#NAME?</v>
      </c>
      <c r="DC67" s="86" t="e">
        <f ca="1">IF(DB67=1,_xll.RiskBinomial(1,Prob_illness_Noro_infection),0)</f>
        <v>#NAME?</v>
      </c>
      <c r="DE67" s="85" t="e">
        <f t="shared" ca="1" si="50"/>
        <v>#NAME?</v>
      </c>
      <c r="DF67" s="40" t="e">
        <f ca="1">INT(DE67) + _xll.RiskBinomial(1,DE67-INT(DE67))</f>
        <v>#NAME?</v>
      </c>
      <c r="DG67" s="33" t="e">
        <f t="shared" ca="1" si="21"/>
        <v>#NAME?</v>
      </c>
      <c r="DH67" s="38" t="e">
        <f ca="1">_xll.RiskBinomial(1,DG67)</f>
        <v>#NAME?</v>
      </c>
      <c r="DI67" s="86" t="e">
        <f ca="1">IF(DH67=1,_xll.RiskBinomial(1,Prob_illness_Noro_infection),0)</f>
        <v>#NAME?</v>
      </c>
      <c r="DK67" s="85" t="e">
        <f t="shared" ca="1" si="51"/>
        <v>#NAME?</v>
      </c>
      <c r="DL67" s="40" t="e">
        <f ca="1">INT(DK67) + _xll.RiskBinomial(1,DK67-INT(DK67))</f>
        <v>#NAME?</v>
      </c>
      <c r="DM67" s="33" t="e">
        <f t="shared" ca="1" si="22"/>
        <v>#NAME?</v>
      </c>
      <c r="DN67" s="38" t="e">
        <f ca="1">_xll.RiskBinomial(1,DM67)</f>
        <v>#NAME?</v>
      </c>
      <c r="DO67" s="86" t="e">
        <f ca="1">IF(DN67=1,_xll.RiskBinomial(1,Prob_illness_Noro_infection),0)</f>
        <v>#NAME?</v>
      </c>
      <c r="DQ67" s="85" t="e">
        <f t="shared" ca="1" si="52"/>
        <v>#NAME?</v>
      </c>
      <c r="DR67" s="40" t="e">
        <f ca="1">INT(DQ67) + _xll.RiskBinomial(1,DQ67-INT(DQ67))</f>
        <v>#NAME?</v>
      </c>
      <c r="DS67" s="33" t="e">
        <f t="shared" ca="1" si="23"/>
        <v>#NAME?</v>
      </c>
      <c r="DT67" s="38" t="e">
        <f ca="1">_xll.RiskBinomial(1,DS67)</f>
        <v>#NAME?</v>
      </c>
      <c r="DU67" s="86" t="e">
        <f ca="1">IF(DT67=1,_xll.RiskBinomial(1,Prob_illness_Noro_infection),0)</f>
        <v>#NAME?</v>
      </c>
      <c r="DW67" s="85" t="e">
        <f t="shared" ca="1" si="53"/>
        <v>#NAME?</v>
      </c>
      <c r="DX67" s="40" t="e">
        <f ca="1">INT(DW67) + _xll.RiskBinomial(1,DW67-INT(DW67))</f>
        <v>#NAME?</v>
      </c>
      <c r="DY67" s="33" t="e">
        <f t="shared" ca="1" si="24"/>
        <v>#NAME?</v>
      </c>
      <c r="DZ67" s="38" t="e">
        <f ca="1">_xll.RiskBinomial(1,DY67)</f>
        <v>#NAME?</v>
      </c>
      <c r="EA67" s="86" t="e">
        <f ca="1">IF(DZ67=1,_xll.RiskBinomial(1,Prob_illness_Noro_infection),0)</f>
        <v>#NAME?</v>
      </c>
      <c r="EC67" s="85" t="e">
        <f t="shared" ca="1" si="54"/>
        <v>#NAME?</v>
      </c>
      <c r="ED67" s="40" t="e">
        <f ca="1">INT(EC67) + _xll.RiskBinomial(1,EC67-INT(EC67))</f>
        <v>#NAME?</v>
      </c>
      <c r="EE67" s="33" t="e">
        <f t="shared" ca="1" si="25"/>
        <v>#NAME?</v>
      </c>
      <c r="EF67" s="38" t="e">
        <f ca="1">_xll.RiskBinomial(1,EE67)</f>
        <v>#NAME?</v>
      </c>
      <c r="EG67" s="86" t="e">
        <f ca="1">IF(EF67=1,_xll.RiskBinomial(1,Prob_illness_Noro_infection),0)</f>
        <v>#NAME?</v>
      </c>
      <c r="EI67" s="85" t="e">
        <f t="shared" ca="1" si="55"/>
        <v>#NAME?</v>
      </c>
      <c r="EJ67" s="40" t="e">
        <f ca="1">INT(EI67) + _xll.RiskBinomial(1,EI67-INT(EI67))</f>
        <v>#NAME?</v>
      </c>
      <c r="EK67" s="33" t="e">
        <f t="shared" ca="1" si="26"/>
        <v>#NAME?</v>
      </c>
      <c r="EL67" s="38" t="e">
        <f ca="1">_xll.RiskBinomial(1,EK67)</f>
        <v>#NAME?</v>
      </c>
      <c r="EM67" s="86" t="e">
        <f ca="1">IF(EL67=1,_xll.RiskBinomial(1,Prob_illness_Noro_infection),0)</f>
        <v>#NAME?</v>
      </c>
      <c r="EO67" s="85" t="e">
        <f t="shared" ca="1" si="56"/>
        <v>#NAME?</v>
      </c>
      <c r="EP67" s="40" t="e">
        <f ca="1">INT(EO67) + _xll.RiskBinomial(1,EO67-INT(EO67))</f>
        <v>#NAME?</v>
      </c>
      <c r="EQ67" s="33" t="e">
        <f t="shared" ca="1" si="27"/>
        <v>#NAME?</v>
      </c>
      <c r="ER67" s="38" t="e">
        <f ca="1">_xll.RiskBinomial(1,EQ67)</f>
        <v>#NAME?</v>
      </c>
      <c r="ES67" s="86" t="e">
        <f ca="1">IF(ER67=1,_xll.RiskBinomial(1,Prob_illness_Noro_infection),0)</f>
        <v>#NAME?</v>
      </c>
      <c r="EU67" s="85" t="e">
        <f t="shared" ca="1" si="57"/>
        <v>#NAME?</v>
      </c>
      <c r="EV67" s="40" t="e">
        <f ca="1">INT(EU67) + _xll.RiskBinomial(1,EU67-INT(EU67))</f>
        <v>#NAME?</v>
      </c>
      <c r="EW67" s="33" t="e">
        <f t="shared" ca="1" si="28"/>
        <v>#NAME?</v>
      </c>
      <c r="EX67" s="38" t="e">
        <f ca="1">_xll.RiskBinomial(1,EW67)</f>
        <v>#NAME?</v>
      </c>
      <c r="EY67" s="86" t="e">
        <f ca="1">IF(EX67=1,_xll.RiskBinomial(1,Prob_illness_Noro_infection),0)</f>
        <v>#NAME?</v>
      </c>
      <c r="FA67" s="85" t="e">
        <f t="shared" ca="1" si="58"/>
        <v>#NAME?</v>
      </c>
      <c r="FB67" s="40" t="e">
        <f ca="1">INT(FA67) + _xll.RiskBinomial(1,FA67-INT(FA67))</f>
        <v>#NAME?</v>
      </c>
      <c r="FC67" s="33" t="e">
        <f t="shared" ca="1" si="29"/>
        <v>#NAME?</v>
      </c>
      <c r="FD67" s="38" t="e">
        <f ca="1">_xll.RiskBinomial(1,FC67)</f>
        <v>#NAME?</v>
      </c>
      <c r="FE67" s="86" t="e">
        <f ca="1">IF(FD67=1,_xll.RiskBinomial(1,Prob_illness_Noro_infection),0)</f>
        <v>#NAME?</v>
      </c>
      <c r="FG67" s="85" t="e">
        <f t="shared" ca="1" si="59"/>
        <v>#NAME?</v>
      </c>
      <c r="FH67" s="40" t="e">
        <f ca="1">INT(FG67) + _xll.RiskBinomial(1,FG67-INT(FG67))</f>
        <v>#NAME?</v>
      </c>
      <c r="FI67" s="33" t="e">
        <f t="shared" ca="1" si="30"/>
        <v>#NAME?</v>
      </c>
      <c r="FJ67" s="38" t="e">
        <f ca="1">_xll.RiskBinomial(1,FI67)</f>
        <v>#NAME?</v>
      </c>
      <c r="FK67" s="86" t="e">
        <f ca="1">IF(FJ67=1,_xll.RiskBinomial(1,Prob_illness_Noro_infection),0)</f>
        <v>#NAME?</v>
      </c>
      <c r="FM67" s="85" t="e">
        <f t="shared" ca="1" si="60"/>
        <v>#NAME?</v>
      </c>
      <c r="FN67" s="40" t="e">
        <f ca="1">INT(FM67) + _xll.RiskBinomial(1,FM67-INT(FM67))</f>
        <v>#NAME?</v>
      </c>
      <c r="FO67" s="33" t="e">
        <f t="shared" ca="1" si="31"/>
        <v>#NAME?</v>
      </c>
      <c r="FP67" s="38" t="e">
        <f ca="1">_xll.RiskBinomial(1,FO67)</f>
        <v>#NAME?</v>
      </c>
      <c r="FQ67" s="86" t="e">
        <f ca="1">IF(FP67=1,_xll.RiskBinomial(1,Prob_illness_Noro_infection),0)</f>
        <v>#NAME?</v>
      </c>
      <c r="FS67" s="85" t="e">
        <f t="shared" ca="1" si="61"/>
        <v>#NAME?</v>
      </c>
      <c r="FT67" s="40" t="e">
        <f ca="1">INT(FS67) + _xll.RiskBinomial(1,FS67-INT(FS67))</f>
        <v>#NAME?</v>
      </c>
      <c r="FU67" s="33" t="e">
        <f t="shared" ca="1" si="32"/>
        <v>#NAME?</v>
      </c>
      <c r="FV67" s="38" t="e">
        <f ca="1">_xll.RiskBinomial(1,FU67)</f>
        <v>#NAME?</v>
      </c>
      <c r="FW67" s="86" t="e">
        <f ca="1">IF(FV67=1,_xll.RiskBinomial(1,Prob_illness_Noro_infection),0)</f>
        <v>#NAME?</v>
      </c>
      <c r="FY67" s="85" t="e">
        <f t="shared" ca="1" si="62"/>
        <v>#NAME?</v>
      </c>
      <c r="FZ67" s="40" t="e">
        <f ca="1">INT(FY67) + _xll.RiskBinomial(1,FY67-INT(FY67))</f>
        <v>#NAME?</v>
      </c>
      <c r="GA67" s="33" t="e">
        <f t="shared" ca="1" si="33"/>
        <v>#NAME?</v>
      </c>
      <c r="GB67" s="38" t="e">
        <f ca="1">_xll.RiskBinomial(1,GA67)</f>
        <v>#NAME?</v>
      </c>
      <c r="GC67" s="86" t="e">
        <f ca="1">IF(GB67=1,_xll.RiskBinomial(1,Prob_illness_Noro_infection),0)</f>
        <v>#NAME?</v>
      </c>
      <c r="GE67" s="85" t="e">
        <f t="shared" ca="1" si="63"/>
        <v>#NAME?</v>
      </c>
      <c r="GF67" s="40" t="e">
        <f ca="1">INT(GE67) + _xll.RiskBinomial(1,GE67-INT(GE67))</f>
        <v>#NAME?</v>
      </c>
      <c r="GG67" s="33" t="e">
        <f t="shared" ca="1" si="34"/>
        <v>#NAME?</v>
      </c>
      <c r="GH67" s="38" t="e">
        <f ca="1">_xll.RiskBinomial(1,GG67)</f>
        <v>#NAME?</v>
      </c>
      <c r="GI67" s="86" t="e">
        <f ca="1">IF(GH67=1,_xll.RiskBinomial(1,Prob_illness_Noro_infection),0)</f>
        <v>#NAME?</v>
      </c>
      <c r="GK67" s="85" t="e">
        <f t="shared" ca="1" si="64"/>
        <v>#NAME?</v>
      </c>
      <c r="GL67" s="40" t="e">
        <f ca="1">INT(GK67) + _xll.RiskBinomial(1,GK67-INT(GK67))</f>
        <v>#NAME?</v>
      </c>
      <c r="GM67" s="33" t="e">
        <f t="shared" ca="1" si="35"/>
        <v>#NAME?</v>
      </c>
      <c r="GN67" s="38" t="e">
        <f ca="1">_xll.RiskBinomial(1,GM67)</f>
        <v>#NAME?</v>
      </c>
      <c r="GO67" s="86" t="e">
        <f ca="1">IF(GN67=1,_xll.RiskBinomial(1,Prob_illness_Noro_infection),0)</f>
        <v>#NAME?</v>
      </c>
    </row>
    <row r="68" spans="2:197" x14ac:dyDescent="0.25">
      <c r="B68" s="106">
        <v>60</v>
      </c>
      <c r="C68" s="109" t="e">
        <f ca="1" xml:space="preserve"> _xll.RiskPert(Dur_Swim_hours_min,Dur_Swim_hours_mode,Dur_Swim_hours_max)</f>
        <v>#NAME?</v>
      </c>
      <c r="D68" s="33" t="e">
        <f ca="1">_xll.RiskLognorm(Primary_Ing_Rate_mL_per_hour_mean,Primary_Ing_Rate_mL_per_hour_sd, _xll.RiskTruncate(Primary_Ing_Rate_mL_per_hour_min,Primary_Ing_Rate_mL_per_hour_max))</f>
        <v>#NAME?</v>
      </c>
      <c r="E68" s="41" t="e">
        <f t="shared" ca="1" si="36"/>
        <v>#NAME?</v>
      </c>
      <c r="F68" s="33"/>
      <c r="G68" s="85" t="e">
        <f t="shared" ca="1" si="37"/>
        <v>#NAME?</v>
      </c>
      <c r="H68" s="40" t="e">
        <f ca="1">INT(G68) + _xll.RiskBinomial(1,G68-INT(G68))</f>
        <v>#NAME?</v>
      </c>
      <c r="I68" s="33" t="e">
        <f t="shared" ca="1" si="0"/>
        <v>#NAME?</v>
      </c>
      <c r="J68" s="38" t="e">
        <f ca="1">_xll.RiskBinomial(1,I68)</f>
        <v>#NAME?</v>
      </c>
      <c r="K68" s="86" t="e">
        <f ca="1">IF(J68=1,_xll.RiskBinomial(1,Prob_illness_Noro_infection),0)</f>
        <v>#NAME?</v>
      </c>
      <c r="L68" s="33"/>
      <c r="M68" s="85" t="e">
        <f t="shared" ca="1" si="38"/>
        <v>#NAME?</v>
      </c>
      <c r="N68" s="40" t="e">
        <f ca="1">INT(M68) + _xll.RiskBinomial(1,M68-INT(M68))</f>
        <v>#NAME?</v>
      </c>
      <c r="O68" s="33" t="e">
        <f t="shared" ca="1" si="1"/>
        <v>#NAME?</v>
      </c>
      <c r="P68" s="38" t="e">
        <f ca="1">_xll.RiskBinomial(1,O68)</f>
        <v>#NAME?</v>
      </c>
      <c r="Q68" s="86" t="e">
        <f ca="1">IF(P68=1,_xll.RiskBinomial(1,Prob_illness_Noro_infection),0)</f>
        <v>#NAME?</v>
      </c>
      <c r="R68" s="33"/>
      <c r="S68" s="85" t="e">
        <f t="shared" ca="1" si="39"/>
        <v>#NAME?</v>
      </c>
      <c r="T68" s="40" t="e">
        <f ca="1">INT(S68) + _xll.RiskBinomial(1,S68-INT(S68))</f>
        <v>#NAME?</v>
      </c>
      <c r="U68" s="33" t="e">
        <f t="shared" ca="1" si="2"/>
        <v>#NAME?</v>
      </c>
      <c r="V68" s="38" t="e">
        <f ca="1">_xll.RiskBinomial(1,U68)</f>
        <v>#NAME?</v>
      </c>
      <c r="W68" s="86" t="e">
        <f ca="1">IF(V68=1,_xll.RiskBinomial(1,Prob_illness_Noro_infection),0)</f>
        <v>#NAME?</v>
      </c>
      <c r="X68" s="33"/>
      <c r="Y68" s="85" t="e">
        <f t="shared" ca="1" si="3"/>
        <v>#NAME?</v>
      </c>
      <c r="Z68" s="40" t="e">
        <f ca="1">INT(Y68) + _xll.RiskBinomial(1,Y68-INT(Y68))</f>
        <v>#NAME?</v>
      </c>
      <c r="AA68" s="33" t="e">
        <f t="shared" ca="1" si="4"/>
        <v>#NAME?</v>
      </c>
      <c r="AB68" s="38" t="e">
        <f ca="1">_xll.RiskBinomial(1,AA68)</f>
        <v>#NAME?</v>
      </c>
      <c r="AC68" s="86" t="e">
        <f ca="1">IF(AB68=1,_xll.RiskBinomial(1,Prob_illness_Noro_infection),0)</f>
        <v>#NAME?</v>
      </c>
      <c r="AD68" s="33"/>
      <c r="AE68" s="85" t="e">
        <f t="shared" ca="1" si="5"/>
        <v>#NAME?</v>
      </c>
      <c r="AF68" s="40" t="e">
        <f ca="1">INT(AE68) + _xll.RiskBinomial(1,AE68-INT(AE68))</f>
        <v>#NAME?</v>
      </c>
      <c r="AG68" s="33" t="e">
        <f t="shared" ca="1" si="6"/>
        <v>#NAME?</v>
      </c>
      <c r="AH68" s="38" t="e">
        <f ca="1">_xll.RiskBinomial(1,AG68)</f>
        <v>#NAME?</v>
      </c>
      <c r="AI68" s="86" t="e">
        <f ca="1">IF(AH68=1,_xll.RiskBinomial(1,Prob_illness_Noro_infection),0)</f>
        <v>#NAME?</v>
      </c>
      <c r="AJ68" s="33"/>
      <c r="AK68" s="85" t="e">
        <f t="shared" ca="1" si="7"/>
        <v>#NAME?</v>
      </c>
      <c r="AL68" s="40" t="e">
        <f ca="1">INT(AK68) + _xll.RiskBinomial(1,AK68-INT(AK68))</f>
        <v>#NAME?</v>
      </c>
      <c r="AM68" s="33" t="e">
        <f t="shared" ca="1" si="8"/>
        <v>#NAME?</v>
      </c>
      <c r="AN68" s="38" t="e">
        <f ca="1">_xll.RiskBinomial(1,AM68)</f>
        <v>#NAME?</v>
      </c>
      <c r="AO68" s="86" t="e">
        <f ca="1">IF(AN68=1,_xll.RiskBinomial(1,Prob_illness_Noro_infection),0)</f>
        <v>#NAME?</v>
      </c>
      <c r="AP68" s="33"/>
      <c r="AQ68" s="85" t="e">
        <f t="shared" ca="1" si="65"/>
        <v>#NAME?</v>
      </c>
      <c r="AR68" s="40" t="e">
        <f ca="1">INT(AQ68) + _xll.RiskBinomial(1,AQ68-INT(AQ68))</f>
        <v>#NAME?</v>
      </c>
      <c r="AS68" s="33" t="e">
        <f t="shared" ca="1" si="10"/>
        <v>#NAME?</v>
      </c>
      <c r="AT68" s="38" t="e">
        <f ca="1">_xll.RiskBinomial(1,AS68)</f>
        <v>#NAME?</v>
      </c>
      <c r="AU68" s="86" t="e">
        <f ca="1">IF(AT68=1,_xll.RiskBinomial(1,Prob_illness_Noro_infection),0)</f>
        <v>#NAME?</v>
      </c>
      <c r="AV68" s="33"/>
      <c r="AW68" s="85" t="e">
        <f t="shared" ca="1" si="40"/>
        <v>#NAME?</v>
      </c>
      <c r="AX68" s="40" t="e">
        <f ca="1">INT(AW68) + _xll.RiskBinomial(1,AW68-INT(AW68))</f>
        <v>#NAME?</v>
      </c>
      <c r="AY68" s="33" t="e">
        <f t="shared" ca="1" si="11"/>
        <v>#NAME?</v>
      </c>
      <c r="AZ68" s="38" t="e">
        <f ca="1">_xll.RiskBinomial(1,AY68)</f>
        <v>#NAME?</v>
      </c>
      <c r="BA68" s="86" t="e">
        <f ca="1">IF(AZ68=1,_xll.RiskBinomial(1,Prob_illness_Noro_infection),0)</f>
        <v>#NAME?</v>
      </c>
      <c r="BC68" s="85" t="e">
        <f t="shared" ca="1" si="41"/>
        <v>#NAME?</v>
      </c>
      <c r="BD68" s="40" t="e">
        <f ca="1">INT(BC68) + _xll.RiskBinomial(1,BC68-INT(BC68))</f>
        <v>#NAME?</v>
      </c>
      <c r="BE68" s="33" t="e">
        <f t="shared" ca="1" si="12"/>
        <v>#NAME?</v>
      </c>
      <c r="BF68" s="38" t="e">
        <f ca="1">_xll.RiskBinomial(1,BE68)</f>
        <v>#NAME?</v>
      </c>
      <c r="BG68" s="86" t="e">
        <f ca="1">IF(BF68=1,_xll.RiskBinomial(1,Prob_illness_Noro_infection),0)</f>
        <v>#NAME?</v>
      </c>
      <c r="BI68" s="85" t="e">
        <f t="shared" ca="1" si="42"/>
        <v>#NAME?</v>
      </c>
      <c r="BJ68" s="40" t="e">
        <f ca="1">INT(BI68) + _xll.RiskBinomial(1,BI68-INT(BI68))</f>
        <v>#NAME?</v>
      </c>
      <c r="BK68" s="33" t="e">
        <f t="shared" ca="1" si="13"/>
        <v>#NAME?</v>
      </c>
      <c r="BL68" s="38" t="e">
        <f ca="1">_xll.RiskBinomial(1,BK68)</f>
        <v>#NAME?</v>
      </c>
      <c r="BM68" s="86" t="e">
        <f ca="1">IF(BL68=1,_xll.RiskBinomial(1,Prob_illness_Noro_infection),0)</f>
        <v>#NAME?</v>
      </c>
      <c r="BO68" s="85" t="e">
        <f t="shared" ca="1" si="43"/>
        <v>#NAME?</v>
      </c>
      <c r="BP68" s="40" t="e">
        <f ca="1">INT(BO68) + _xll.RiskBinomial(1,BO68-INT(BO68))</f>
        <v>#NAME?</v>
      </c>
      <c r="BQ68" s="33" t="e">
        <f t="shared" ca="1" si="14"/>
        <v>#NAME?</v>
      </c>
      <c r="BR68" s="38" t="e">
        <f ca="1">_xll.RiskBinomial(1,BQ68)</f>
        <v>#NAME?</v>
      </c>
      <c r="BS68" s="86" t="e">
        <f ca="1">IF(BR68=1,_xll.RiskBinomial(1,Prob_illness_Noro_infection),0)</f>
        <v>#NAME?</v>
      </c>
      <c r="BU68" s="85" t="e">
        <f t="shared" ca="1" si="44"/>
        <v>#NAME?</v>
      </c>
      <c r="BV68" s="40" t="e">
        <f ca="1">INT(BU68) + _xll.RiskBinomial(1,BU68-INT(BU68))</f>
        <v>#NAME?</v>
      </c>
      <c r="BW68" s="33" t="e">
        <f t="shared" ca="1" si="15"/>
        <v>#NAME?</v>
      </c>
      <c r="BX68" s="38" t="e">
        <f ca="1">_xll.RiskBinomial(1,BW68)</f>
        <v>#NAME?</v>
      </c>
      <c r="BY68" s="86" t="e">
        <f ca="1">IF(BX68=1,_xll.RiskBinomial(1,Prob_illness_Noro_infection),0)</f>
        <v>#NAME?</v>
      </c>
      <c r="CA68" s="85" t="e">
        <f t="shared" ca="1" si="45"/>
        <v>#NAME?</v>
      </c>
      <c r="CB68" s="40" t="e">
        <f ca="1">INT(CA68) + _xll.RiskBinomial(1,CA68-INT(CA68))</f>
        <v>#NAME?</v>
      </c>
      <c r="CC68" s="33" t="e">
        <f t="shared" ca="1" si="16"/>
        <v>#NAME?</v>
      </c>
      <c r="CD68" s="38" t="e">
        <f ca="1">_xll.RiskBinomial(1,CC68)</f>
        <v>#NAME?</v>
      </c>
      <c r="CE68" s="86" t="e">
        <f ca="1">IF(CD68=1,_xll.RiskBinomial(1,Prob_illness_Noro_infection),0)</f>
        <v>#NAME?</v>
      </c>
      <c r="CG68" s="85" t="e">
        <f t="shared" ca="1" si="46"/>
        <v>#NAME?</v>
      </c>
      <c r="CH68" s="40" t="e">
        <f ca="1">INT(CG68) + _xll.RiskBinomial(1,CG68-INT(CG68))</f>
        <v>#NAME?</v>
      </c>
      <c r="CI68" s="33" t="e">
        <f t="shared" ca="1" si="17"/>
        <v>#NAME?</v>
      </c>
      <c r="CJ68" s="38" t="e">
        <f ca="1">_xll.RiskBinomial(1,CI68)</f>
        <v>#NAME?</v>
      </c>
      <c r="CK68" s="86" t="e">
        <f ca="1">IF(CJ68=1,_xll.RiskBinomial(1,Prob_illness_Noro_infection),0)</f>
        <v>#NAME?</v>
      </c>
      <c r="CM68" s="85" t="e">
        <f t="shared" ca="1" si="47"/>
        <v>#NAME?</v>
      </c>
      <c r="CN68" s="40" t="e">
        <f ca="1">INT(CM68) + _xll.RiskBinomial(1,CM68-INT(CM68))</f>
        <v>#NAME?</v>
      </c>
      <c r="CO68" s="33" t="e">
        <f t="shared" ca="1" si="18"/>
        <v>#NAME?</v>
      </c>
      <c r="CP68" s="38" t="e">
        <f ca="1">_xll.RiskBinomial(1,CO68)</f>
        <v>#NAME?</v>
      </c>
      <c r="CQ68" s="86" t="e">
        <f ca="1">IF(CP68=1,_xll.RiskBinomial(1,Prob_illness_Noro_infection),0)</f>
        <v>#NAME?</v>
      </c>
      <c r="CS68" s="85" t="e">
        <f t="shared" ca="1" si="48"/>
        <v>#NAME?</v>
      </c>
      <c r="CT68" s="40" t="e">
        <f ca="1">INT(CS68) + _xll.RiskBinomial(1,CS68-INT(CS68))</f>
        <v>#NAME?</v>
      </c>
      <c r="CU68" s="33" t="e">
        <f t="shared" ca="1" si="19"/>
        <v>#NAME?</v>
      </c>
      <c r="CV68" s="38" t="e">
        <f ca="1">_xll.RiskBinomial(1,CU68)</f>
        <v>#NAME?</v>
      </c>
      <c r="CW68" s="86" t="e">
        <f ca="1">IF(CV68=1,_xll.RiskBinomial(1,Prob_illness_Noro_infection),0)</f>
        <v>#NAME?</v>
      </c>
      <c r="CY68" s="85" t="e">
        <f t="shared" ca="1" si="49"/>
        <v>#NAME?</v>
      </c>
      <c r="CZ68" s="40" t="e">
        <f ca="1">INT(CY68) + _xll.RiskBinomial(1,CY68-INT(CY68))</f>
        <v>#NAME?</v>
      </c>
      <c r="DA68" s="33" t="e">
        <f t="shared" ca="1" si="20"/>
        <v>#NAME?</v>
      </c>
      <c r="DB68" s="38" t="e">
        <f ca="1">_xll.RiskBinomial(1,DA68)</f>
        <v>#NAME?</v>
      </c>
      <c r="DC68" s="86" t="e">
        <f ca="1">IF(DB68=1,_xll.RiskBinomial(1,Prob_illness_Noro_infection),0)</f>
        <v>#NAME?</v>
      </c>
      <c r="DE68" s="85" t="e">
        <f t="shared" ca="1" si="50"/>
        <v>#NAME?</v>
      </c>
      <c r="DF68" s="40" t="e">
        <f ca="1">INT(DE68) + _xll.RiskBinomial(1,DE68-INT(DE68))</f>
        <v>#NAME?</v>
      </c>
      <c r="DG68" s="33" t="e">
        <f t="shared" ca="1" si="21"/>
        <v>#NAME?</v>
      </c>
      <c r="DH68" s="38" t="e">
        <f ca="1">_xll.RiskBinomial(1,DG68)</f>
        <v>#NAME?</v>
      </c>
      <c r="DI68" s="86" t="e">
        <f ca="1">IF(DH68=1,_xll.RiskBinomial(1,Prob_illness_Noro_infection),0)</f>
        <v>#NAME?</v>
      </c>
      <c r="DK68" s="85" t="e">
        <f t="shared" ca="1" si="51"/>
        <v>#NAME?</v>
      </c>
      <c r="DL68" s="40" t="e">
        <f ca="1">INT(DK68) + _xll.RiskBinomial(1,DK68-INT(DK68))</f>
        <v>#NAME?</v>
      </c>
      <c r="DM68" s="33" t="e">
        <f t="shared" ca="1" si="22"/>
        <v>#NAME?</v>
      </c>
      <c r="DN68" s="38" t="e">
        <f ca="1">_xll.RiskBinomial(1,DM68)</f>
        <v>#NAME?</v>
      </c>
      <c r="DO68" s="86" t="e">
        <f ca="1">IF(DN68=1,_xll.RiskBinomial(1,Prob_illness_Noro_infection),0)</f>
        <v>#NAME?</v>
      </c>
      <c r="DQ68" s="85" t="e">
        <f t="shared" ca="1" si="52"/>
        <v>#NAME?</v>
      </c>
      <c r="DR68" s="40" t="e">
        <f ca="1">INT(DQ68) + _xll.RiskBinomial(1,DQ68-INT(DQ68))</f>
        <v>#NAME?</v>
      </c>
      <c r="DS68" s="33" t="e">
        <f t="shared" ca="1" si="23"/>
        <v>#NAME?</v>
      </c>
      <c r="DT68" s="38" t="e">
        <f ca="1">_xll.RiskBinomial(1,DS68)</f>
        <v>#NAME?</v>
      </c>
      <c r="DU68" s="86" t="e">
        <f ca="1">IF(DT68=1,_xll.RiskBinomial(1,Prob_illness_Noro_infection),0)</f>
        <v>#NAME?</v>
      </c>
      <c r="DW68" s="85" t="e">
        <f t="shared" ca="1" si="53"/>
        <v>#NAME?</v>
      </c>
      <c r="DX68" s="40" t="e">
        <f ca="1">INT(DW68) + _xll.RiskBinomial(1,DW68-INT(DW68))</f>
        <v>#NAME?</v>
      </c>
      <c r="DY68" s="33" t="e">
        <f t="shared" ca="1" si="24"/>
        <v>#NAME?</v>
      </c>
      <c r="DZ68" s="38" t="e">
        <f ca="1">_xll.RiskBinomial(1,DY68)</f>
        <v>#NAME?</v>
      </c>
      <c r="EA68" s="86" t="e">
        <f ca="1">IF(DZ68=1,_xll.RiskBinomial(1,Prob_illness_Noro_infection),0)</f>
        <v>#NAME?</v>
      </c>
      <c r="EC68" s="85" t="e">
        <f t="shared" ca="1" si="54"/>
        <v>#NAME?</v>
      </c>
      <c r="ED68" s="40" t="e">
        <f ca="1">INT(EC68) + _xll.RiskBinomial(1,EC68-INT(EC68))</f>
        <v>#NAME?</v>
      </c>
      <c r="EE68" s="33" t="e">
        <f t="shared" ca="1" si="25"/>
        <v>#NAME?</v>
      </c>
      <c r="EF68" s="38" t="e">
        <f ca="1">_xll.RiskBinomial(1,EE68)</f>
        <v>#NAME?</v>
      </c>
      <c r="EG68" s="86" t="e">
        <f ca="1">IF(EF68=1,_xll.RiskBinomial(1,Prob_illness_Noro_infection),0)</f>
        <v>#NAME?</v>
      </c>
      <c r="EI68" s="85" t="e">
        <f t="shared" ca="1" si="55"/>
        <v>#NAME?</v>
      </c>
      <c r="EJ68" s="40" t="e">
        <f ca="1">INT(EI68) + _xll.RiskBinomial(1,EI68-INT(EI68))</f>
        <v>#NAME?</v>
      </c>
      <c r="EK68" s="33" t="e">
        <f t="shared" ca="1" si="26"/>
        <v>#NAME?</v>
      </c>
      <c r="EL68" s="38" t="e">
        <f ca="1">_xll.RiskBinomial(1,EK68)</f>
        <v>#NAME?</v>
      </c>
      <c r="EM68" s="86" t="e">
        <f ca="1">IF(EL68=1,_xll.RiskBinomial(1,Prob_illness_Noro_infection),0)</f>
        <v>#NAME?</v>
      </c>
      <c r="EO68" s="85" t="e">
        <f t="shared" ca="1" si="56"/>
        <v>#NAME?</v>
      </c>
      <c r="EP68" s="40" t="e">
        <f ca="1">INT(EO68) + _xll.RiskBinomial(1,EO68-INT(EO68))</f>
        <v>#NAME?</v>
      </c>
      <c r="EQ68" s="33" t="e">
        <f t="shared" ca="1" si="27"/>
        <v>#NAME?</v>
      </c>
      <c r="ER68" s="38" t="e">
        <f ca="1">_xll.RiskBinomial(1,EQ68)</f>
        <v>#NAME?</v>
      </c>
      <c r="ES68" s="86" t="e">
        <f ca="1">IF(ER68=1,_xll.RiskBinomial(1,Prob_illness_Noro_infection),0)</f>
        <v>#NAME?</v>
      </c>
      <c r="EU68" s="85" t="e">
        <f t="shared" ca="1" si="57"/>
        <v>#NAME?</v>
      </c>
      <c r="EV68" s="40" t="e">
        <f ca="1">INT(EU68) + _xll.RiskBinomial(1,EU68-INT(EU68))</f>
        <v>#NAME?</v>
      </c>
      <c r="EW68" s="33" t="e">
        <f t="shared" ca="1" si="28"/>
        <v>#NAME?</v>
      </c>
      <c r="EX68" s="38" t="e">
        <f ca="1">_xll.RiskBinomial(1,EW68)</f>
        <v>#NAME?</v>
      </c>
      <c r="EY68" s="86" t="e">
        <f ca="1">IF(EX68=1,_xll.RiskBinomial(1,Prob_illness_Noro_infection),0)</f>
        <v>#NAME?</v>
      </c>
      <c r="FA68" s="85" t="e">
        <f t="shared" ca="1" si="58"/>
        <v>#NAME?</v>
      </c>
      <c r="FB68" s="40" t="e">
        <f ca="1">INT(FA68) + _xll.RiskBinomial(1,FA68-INT(FA68))</f>
        <v>#NAME?</v>
      </c>
      <c r="FC68" s="33" t="e">
        <f t="shared" ca="1" si="29"/>
        <v>#NAME?</v>
      </c>
      <c r="FD68" s="38" t="e">
        <f ca="1">_xll.RiskBinomial(1,FC68)</f>
        <v>#NAME?</v>
      </c>
      <c r="FE68" s="86" t="e">
        <f ca="1">IF(FD68=1,_xll.RiskBinomial(1,Prob_illness_Noro_infection),0)</f>
        <v>#NAME?</v>
      </c>
      <c r="FG68" s="85" t="e">
        <f t="shared" ca="1" si="59"/>
        <v>#NAME?</v>
      </c>
      <c r="FH68" s="40" t="e">
        <f ca="1">INT(FG68) + _xll.RiskBinomial(1,FG68-INT(FG68))</f>
        <v>#NAME?</v>
      </c>
      <c r="FI68" s="33" t="e">
        <f t="shared" ca="1" si="30"/>
        <v>#NAME?</v>
      </c>
      <c r="FJ68" s="38" t="e">
        <f ca="1">_xll.RiskBinomial(1,FI68)</f>
        <v>#NAME?</v>
      </c>
      <c r="FK68" s="86" t="e">
        <f ca="1">IF(FJ68=1,_xll.RiskBinomial(1,Prob_illness_Noro_infection),0)</f>
        <v>#NAME?</v>
      </c>
      <c r="FM68" s="85" t="e">
        <f t="shared" ca="1" si="60"/>
        <v>#NAME?</v>
      </c>
      <c r="FN68" s="40" t="e">
        <f ca="1">INT(FM68) + _xll.RiskBinomial(1,FM68-INT(FM68))</f>
        <v>#NAME?</v>
      </c>
      <c r="FO68" s="33" t="e">
        <f t="shared" ca="1" si="31"/>
        <v>#NAME?</v>
      </c>
      <c r="FP68" s="38" t="e">
        <f ca="1">_xll.RiskBinomial(1,FO68)</f>
        <v>#NAME?</v>
      </c>
      <c r="FQ68" s="86" t="e">
        <f ca="1">IF(FP68=1,_xll.RiskBinomial(1,Prob_illness_Noro_infection),0)</f>
        <v>#NAME?</v>
      </c>
      <c r="FS68" s="85" t="e">
        <f t="shared" ca="1" si="61"/>
        <v>#NAME?</v>
      </c>
      <c r="FT68" s="40" t="e">
        <f ca="1">INT(FS68) + _xll.RiskBinomial(1,FS68-INT(FS68))</f>
        <v>#NAME?</v>
      </c>
      <c r="FU68" s="33" t="e">
        <f t="shared" ca="1" si="32"/>
        <v>#NAME?</v>
      </c>
      <c r="FV68" s="38" t="e">
        <f ca="1">_xll.RiskBinomial(1,FU68)</f>
        <v>#NAME?</v>
      </c>
      <c r="FW68" s="86" t="e">
        <f ca="1">IF(FV68=1,_xll.RiskBinomial(1,Prob_illness_Noro_infection),0)</f>
        <v>#NAME?</v>
      </c>
      <c r="FY68" s="85" t="e">
        <f t="shared" ca="1" si="62"/>
        <v>#NAME?</v>
      </c>
      <c r="FZ68" s="40" t="e">
        <f ca="1">INT(FY68) + _xll.RiskBinomial(1,FY68-INT(FY68))</f>
        <v>#NAME?</v>
      </c>
      <c r="GA68" s="33" t="e">
        <f t="shared" ca="1" si="33"/>
        <v>#NAME?</v>
      </c>
      <c r="GB68" s="38" t="e">
        <f ca="1">_xll.RiskBinomial(1,GA68)</f>
        <v>#NAME?</v>
      </c>
      <c r="GC68" s="86" t="e">
        <f ca="1">IF(GB68=1,_xll.RiskBinomial(1,Prob_illness_Noro_infection),0)</f>
        <v>#NAME?</v>
      </c>
      <c r="GE68" s="85" t="e">
        <f t="shared" ca="1" si="63"/>
        <v>#NAME?</v>
      </c>
      <c r="GF68" s="40" t="e">
        <f ca="1">INT(GE68) + _xll.RiskBinomial(1,GE68-INT(GE68))</f>
        <v>#NAME?</v>
      </c>
      <c r="GG68" s="33" t="e">
        <f t="shared" ca="1" si="34"/>
        <v>#NAME?</v>
      </c>
      <c r="GH68" s="38" t="e">
        <f ca="1">_xll.RiskBinomial(1,GG68)</f>
        <v>#NAME?</v>
      </c>
      <c r="GI68" s="86" t="e">
        <f ca="1">IF(GH68=1,_xll.RiskBinomial(1,Prob_illness_Noro_infection),0)</f>
        <v>#NAME?</v>
      </c>
      <c r="GK68" s="85" t="e">
        <f t="shared" ca="1" si="64"/>
        <v>#NAME?</v>
      </c>
      <c r="GL68" s="40" t="e">
        <f ca="1">INT(GK68) + _xll.RiskBinomial(1,GK68-INT(GK68))</f>
        <v>#NAME?</v>
      </c>
      <c r="GM68" s="33" t="e">
        <f t="shared" ca="1" si="35"/>
        <v>#NAME?</v>
      </c>
      <c r="GN68" s="38" t="e">
        <f ca="1">_xll.RiskBinomial(1,GM68)</f>
        <v>#NAME?</v>
      </c>
      <c r="GO68" s="86" t="e">
        <f ca="1">IF(GN68=1,_xll.RiskBinomial(1,Prob_illness_Noro_infection),0)</f>
        <v>#NAME?</v>
      </c>
    </row>
    <row r="69" spans="2:197" x14ac:dyDescent="0.25">
      <c r="B69" s="106">
        <v>61</v>
      </c>
      <c r="C69" s="109" t="e">
        <f ca="1" xml:space="preserve"> _xll.RiskPert(Dur_Swim_hours_min,Dur_Swim_hours_mode,Dur_Swim_hours_max)</f>
        <v>#NAME?</v>
      </c>
      <c r="D69" s="33" t="e">
        <f ca="1">_xll.RiskLognorm(Primary_Ing_Rate_mL_per_hour_mean,Primary_Ing_Rate_mL_per_hour_sd, _xll.RiskTruncate(Primary_Ing_Rate_mL_per_hour_min,Primary_Ing_Rate_mL_per_hour_max))</f>
        <v>#NAME?</v>
      </c>
      <c r="E69" s="41" t="e">
        <f t="shared" ca="1" si="36"/>
        <v>#NAME?</v>
      </c>
      <c r="F69" s="33"/>
      <c r="G69" s="85" t="e">
        <f t="shared" ca="1" si="37"/>
        <v>#NAME?</v>
      </c>
      <c r="H69" s="40" t="e">
        <f ca="1">INT(G69) + _xll.RiskBinomial(1,G69-INT(G69))</f>
        <v>#NAME?</v>
      </c>
      <c r="I69" s="33" t="e">
        <f t="shared" ca="1" si="0"/>
        <v>#NAME?</v>
      </c>
      <c r="J69" s="38" t="e">
        <f ca="1">_xll.RiskBinomial(1,I69)</f>
        <v>#NAME?</v>
      </c>
      <c r="K69" s="86" t="e">
        <f ca="1">IF(J69=1,_xll.RiskBinomial(1,Prob_illness_Noro_infection),0)</f>
        <v>#NAME?</v>
      </c>
      <c r="L69" s="33"/>
      <c r="M69" s="85" t="e">
        <f t="shared" ca="1" si="38"/>
        <v>#NAME?</v>
      </c>
      <c r="N69" s="40" t="e">
        <f ca="1">INT(M69) + _xll.RiskBinomial(1,M69-INT(M69))</f>
        <v>#NAME?</v>
      </c>
      <c r="O69" s="33" t="e">
        <f t="shared" ca="1" si="1"/>
        <v>#NAME?</v>
      </c>
      <c r="P69" s="38" t="e">
        <f ca="1">_xll.RiskBinomial(1,O69)</f>
        <v>#NAME?</v>
      </c>
      <c r="Q69" s="86" t="e">
        <f ca="1">IF(P69=1,_xll.RiskBinomial(1,Prob_illness_Noro_infection),0)</f>
        <v>#NAME?</v>
      </c>
      <c r="R69" s="33"/>
      <c r="S69" s="85" t="e">
        <f t="shared" ca="1" si="39"/>
        <v>#NAME?</v>
      </c>
      <c r="T69" s="40" t="e">
        <f ca="1">INT(S69) + _xll.RiskBinomial(1,S69-INT(S69))</f>
        <v>#NAME?</v>
      </c>
      <c r="U69" s="33" t="e">
        <f t="shared" ca="1" si="2"/>
        <v>#NAME?</v>
      </c>
      <c r="V69" s="38" t="e">
        <f ca="1">_xll.RiskBinomial(1,U69)</f>
        <v>#NAME?</v>
      </c>
      <c r="W69" s="86" t="e">
        <f ca="1">IF(V69=1,_xll.RiskBinomial(1,Prob_illness_Noro_infection),0)</f>
        <v>#NAME?</v>
      </c>
      <c r="X69" s="33"/>
      <c r="Y69" s="85" t="e">
        <f t="shared" ca="1" si="3"/>
        <v>#NAME?</v>
      </c>
      <c r="Z69" s="40" t="e">
        <f ca="1">INT(Y69) + _xll.RiskBinomial(1,Y69-INT(Y69))</f>
        <v>#NAME?</v>
      </c>
      <c r="AA69" s="33" t="e">
        <f t="shared" ca="1" si="4"/>
        <v>#NAME?</v>
      </c>
      <c r="AB69" s="38" t="e">
        <f ca="1">_xll.RiskBinomial(1,AA69)</f>
        <v>#NAME?</v>
      </c>
      <c r="AC69" s="86" t="e">
        <f ca="1">IF(AB69=1,_xll.RiskBinomial(1,Prob_illness_Noro_infection),0)</f>
        <v>#NAME?</v>
      </c>
      <c r="AD69" s="33"/>
      <c r="AE69" s="85" t="e">
        <f t="shared" ca="1" si="5"/>
        <v>#NAME?</v>
      </c>
      <c r="AF69" s="40" t="e">
        <f ca="1">INT(AE69) + _xll.RiskBinomial(1,AE69-INT(AE69))</f>
        <v>#NAME?</v>
      </c>
      <c r="AG69" s="33" t="e">
        <f t="shared" ca="1" si="6"/>
        <v>#NAME?</v>
      </c>
      <c r="AH69" s="38" t="e">
        <f ca="1">_xll.RiskBinomial(1,AG69)</f>
        <v>#NAME?</v>
      </c>
      <c r="AI69" s="86" t="e">
        <f ca="1">IF(AH69=1,_xll.RiskBinomial(1,Prob_illness_Noro_infection),0)</f>
        <v>#NAME?</v>
      </c>
      <c r="AJ69" s="33"/>
      <c r="AK69" s="85" t="e">
        <f t="shared" ca="1" si="7"/>
        <v>#NAME?</v>
      </c>
      <c r="AL69" s="40" t="e">
        <f ca="1">INT(AK69) + _xll.RiskBinomial(1,AK69-INT(AK69))</f>
        <v>#NAME?</v>
      </c>
      <c r="AM69" s="33" t="e">
        <f t="shared" ca="1" si="8"/>
        <v>#NAME?</v>
      </c>
      <c r="AN69" s="38" t="e">
        <f ca="1">_xll.RiskBinomial(1,AM69)</f>
        <v>#NAME?</v>
      </c>
      <c r="AO69" s="86" t="e">
        <f ca="1">IF(AN69=1,_xll.RiskBinomial(1,Prob_illness_Noro_infection),0)</f>
        <v>#NAME?</v>
      </c>
      <c r="AP69" s="33"/>
      <c r="AQ69" s="85" t="e">
        <f t="shared" ca="1" si="65"/>
        <v>#NAME?</v>
      </c>
      <c r="AR69" s="40" t="e">
        <f ca="1">INT(AQ69) + _xll.RiskBinomial(1,AQ69-INT(AQ69))</f>
        <v>#NAME?</v>
      </c>
      <c r="AS69" s="33" t="e">
        <f t="shared" ca="1" si="10"/>
        <v>#NAME?</v>
      </c>
      <c r="AT69" s="38" t="e">
        <f ca="1">_xll.RiskBinomial(1,AS69)</f>
        <v>#NAME?</v>
      </c>
      <c r="AU69" s="86" t="e">
        <f ca="1">IF(AT69=1,_xll.RiskBinomial(1,Prob_illness_Noro_infection),0)</f>
        <v>#NAME?</v>
      </c>
      <c r="AV69" s="33"/>
      <c r="AW69" s="85" t="e">
        <f t="shared" ca="1" si="40"/>
        <v>#NAME?</v>
      </c>
      <c r="AX69" s="40" t="e">
        <f ca="1">INT(AW69) + _xll.RiskBinomial(1,AW69-INT(AW69))</f>
        <v>#NAME?</v>
      </c>
      <c r="AY69" s="33" t="e">
        <f t="shared" ca="1" si="11"/>
        <v>#NAME?</v>
      </c>
      <c r="AZ69" s="38" t="e">
        <f ca="1">_xll.RiskBinomial(1,AY69)</f>
        <v>#NAME?</v>
      </c>
      <c r="BA69" s="86" t="e">
        <f ca="1">IF(AZ69=1,_xll.RiskBinomial(1,Prob_illness_Noro_infection),0)</f>
        <v>#NAME?</v>
      </c>
      <c r="BC69" s="85" t="e">
        <f t="shared" ca="1" si="41"/>
        <v>#NAME?</v>
      </c>
      <c r="BD69" s="40" t="e">
        <f ca="1">INT(BC69) + _xll.RiskBinomial(1,BC69-INT(BC69))</f>
        <v>#NAME?</v>
      </c>
      <c r="BE69" s="33" t="e">
        <f t="shared" ca="1" si="12"/>
        <v>#NAME?</v>
      </c>
      <c r="BF69" s="38" t="e">
        <f ca="1">_xll.RiskBinomial(1,BE69)</f>
        <v>#NAME?</v>
      </c>
      <c r="BG69" s="86" t="e">
        <f ca="1">IF(BF69=1,_xll.RiskBinomial(1,Prob_illness_Noro_infection),0)</f>
        <v>#NAME?</v>
      </c>
      <c r="BI69" s="85" t="e">
        <f t="shared" ca="1" si="42"/>
        <v>#NAME?</v>
      </c>
      <c r="BJ69" s="40" t="e">
        <f ca="1">INT(BI69) + _xll.RiskBinomial(1,BI69-INT(BI69))</f>
        <v>#NAME?</v>
      </c>
      <c r="BK69" s="33" t="e">
        <f t="shared" ca="1" si="13"/>
        <v>#NAME?</v>
      </c>
      <c r="BL69" s="38" t="e">
        <f ca="1">_xll.RiskBinomial(1,BK69)</f>
        <v>#NAME?</v>
      </c>
      <c r="BM69" s="86" t="e">
        <f ca="1">IF(BL69=1,_xll.RiskBinomial(1,Prob_illness_Noro_infection),0)</f>
        <v>#NAME?</v>
      </c>
      <c r="BO69" s="85" t="e">
        <f t="shared" ca="1" si="43"/>
        <v>#NAME?</v>
      </c>
      <c r="BP69" s="40" t="e">
        <f ca="1">INT(BO69) + _xll.RiskBinomial(1,BO69-INT(BO69))</f>
        <v>#NAME?</v>
      </c>
      <c r="BQ69" s="33" t="e">
        <f t="shared" ca="1" si="14"/>
        <v>#NAME?</v>
      </c>
      <c r="BR69" s="38" t="e">
        <f ca="1">_xll.RiskBinomial(1,BQ69)</f>
        <v>#NAME?</v>
      </c>
      <c r="BS69" s="86" t="e">
        <f ca="1">IF(BR69=1,_xll.RiskBinomial(1,Prob_illness_Noro_infection),0)</f>
        <v>#NAME?</v>
      </c>
      <c r="BU69" s="85" t="e">
        <f t="shared" ca="1" si="44"/>
        <v>#NAME?</v>
      </c>
      <c r="BV69" s="40" t="e">
        <f ca="1">INT(BU69) + _xll.RiskBinomial(1,BU69-INT(BU69))</f>
        <v>#NAME?</v>
      </c>
      <c r="BW69" s="33" t="e">
        <f t="shared" ca="1" si="15"/>
        <v>#NAME?</v>
      </c>
      <c r="BX69" s="38" t="e">
        <f ca="1">_xll.RiskBinomial(1,BW69)</f>
        <v>#NAME?</v>
      </c>
      <c r="BY69" s="86" t="e">
        <f ca="1">IF(BX69=1,_xll.RiskBinomial(1,Prob_illness_Noro_infection),0)</f>
        <v>#NAME?</v>
      </c>
      <c r="CA69" s="85" t="e">
        <f t="shared" ca="1" si="45"/>
        <v>#NAME?</v>
      </c>
      <c r="CB69" s="40" t="e">
        <f ca="1">INT(CA69) + _xll.RiskBinomial(1,CA69-INT(CA69))</f>
        <v>#NAME?</v>
      </c>
      <c r="CC69" s="33" t="e">
        <f t="shared" ca="1" si="16"/>
        <v>#NAME?</v>
      </c>
      <c r="CD69" s="38" t="e">
        <f ca="1">_xll.RiskBinomial(1,CC69)</f>
        <v>#NAME?</v>
      </c>
      <c r="CE69" s="86" t="e">
        <f ca="1">IF(CD69=1,_xll.RiskBinomial(1,Prob_illness_Noro_infection),0)</f>
        <v>#NAME?</v>
      </c>
      <c r="CG69" s="85" t="e">
        <f t="shared" ca="1" si="46"/>
        <v>#NAME?</v>
      </c>
      <c r="CH69" s="40" t="e">
        <f ca="1">INT(CG69) + _xll.RiskBinomial(1,CG69-INT(CG69))</f>
        <v>#NAME?</v>
      </c>
      <c r="CI69" s="33" t="e">
        <f t="shared" ca="1" si="17"/>
        <v>#NAME?</v>
      </c>
      <c r="CJ69" s="38" t="e">
        <f ca="1">_xll.RiskBinomial(1,CI69)</f>
        <v>#NAME?</v>
      </c>
      <c r="CK69" s="86" t="e">
        <f ca="1">IF(CJ69=1,_xll.RiskBinomial(1,Prob_illness_Noro_infection),0)</f>
        <v>#NAME?</v>
      </c>
      <c r="CM69" s="85" t="e">
        <f t="shared" ca="1" si="47"/>
        <v>#NAME?</v>
      </c>
      <c r="CN69" s="40" t="e">
        <f ca="1">INT(CM69) + _xll.RiskBinomial(1,CM69-INT(CM69))</f>
        <v>#NAME?</v>
      </c>
      <c r="CO69" s="33" t="e">
        <f t="shared" ca="1" si="18"/>
        <v>#NAME?</v>
      </c>
      <c r="CP69" s="38" t="e">
        <f ca="1">_xll.RiskBinomial(1,CO69)</f>
        <v>#NAME?</v>
      </c>
      <c r="CQ69" s="86" t="e">
        <f ca="1">IF(CP69=1,_xll.RiskBinomial(1,Prob_illness_Noro_infection),0)</f>
        <v>#NAME?</v>
      </c>
      <c r="CS69" s="85" t="e">
        <f t="shared" ca="1" si="48"/>
        <v>#NAME?</v>
      </c>
      <c r="CT69" s="40" t="e">
        <f ca="1">INT(CS69) + _xll.RiskBinomial(1,CS69-INT(CS69))</f>
        <v>#NAME?</v>
      </c>
      <c r="CU69" s="33" t="e">
        <f t="shared" ca="1" si="19"/>
        <v>#NAME?</v>
      </c>
      <c r="CV69" s="38" t="e">
        <f ca="1">_xll.RiskBinomial(1,CU69)</f>
        <v>#NAME?</v>
      </c>
      <c r="CW69" s="86" t="e">
        <f ca="1">IF(CV69=1,_xll.RiskBinomial(1,Prob_illness_Noro_infection),0)</f>
        <v>#NAME?</v>
      </c>
      <c r="CY69" s="85" t="e">
        <f t="shared" ca="1" si="49"/>
        <v>#NAME?</v>
      </c>
      <c r="CZ69" s="40" t="e">
        <f ca="1">INT(CY69) + _xll.RiskBinomial(1,CY69-INT(CY69))</f>
        <v>#NAME?</v>
      </c>
      <c r="DA69" s="33" t="e">
        <f t="shared" ca="1" si="20"/>
        <v>#NAME?</v>
      </c>
      <c r="DB69" s="38" t="e">
        <f ca="1">_xll.RiskBinomial(1,DA69)</f>
        <v>#NAME?</v>
      </c>
      <c r="DC69" s="86" t="e">
        <f ca="1">IF(DB69=1,_xll.RiskBinomial(1,Prob_illness_Noro_infection),0)</f>
        <v>#NAME?</v>
      </c>
      <c r="DE69" s="85" t="e">
        <f t="shared" ca="1" si="50"/>
        <v>#NAME?</v>
      </c>
      <c r="DF69" s="40" t="e">
        <f ca="1">INT(DE69) + _xll.RiskBinomial(1,DE69-INT(DE69))</f>
        <v>#NAME?</v>
      </c>
      <c r="DG69" s="33" t="e">
        <f t="shared" ca="1" si="21"/>
        <v>#NAME?</v>
      </c>
      <c r="DH69" s="38" t="e">
        <f ca="1">_xll.RiskBinomial(1,DG69)</f>
        <v>#NAME?</v>
      </c>
      <c r="DI69" s="86" t="e">
        <f ca="1">IF(DH69=1,_xll.RiskBinomial(1,Prob_illness_Noro_infection),0)</f>
        <v>#NAME?</v>
      </c>
      <c r="DK69" s="85" t="e">
        <f t="shared" ca="1" si="51"/>
        <v>#NAME?</v>
      </c>
      <c r="DL69" s="40" t="e">
        <f ca="1">INT(DK69) + _xll.RiskBinomial(1,DK69-INT(DK69))</f>
        <v>#NAME?</v>
      </c>
      <c r="DM69" s="33" t="e">
        <f t="shared" ca="1" si="22"/>
        <v>#NAME?</v>
      </c>
      <c r="DN69" s="38" t="e">
        <f ca="1">_xll.RiskBinomial(1,DM69)</f>
        <v>#NAME?</v>
      </c>
      <c r="DO69" s="86" t="e">
        <f ca="1">IF(DN69=1,_xll.RiskBinomial(1,Prob_illness_Noro_infection),0)</f>
        <v>#NAME?</v>
      </c>
      <c r="DQ69" s="85" t="e">
        <f t="shared" ca="1" si="52"/>
        <v>#NAME?</v>
      </c>
      <c r="DR69" s="40" t="e">
        <f ca="1">INT(DQ69) + _xll.RiskBinomial(1,DQ69-INT(DQ69))</f>
        <v>#NAME?</v>
      </c>
      <c r="DS69" s="33" t="e">
        <f t="shared" ca="1" si="23"/>
        <v>#NAME?</v>
      </c>
      <c r="DT69" s="38" t="e">
        <f ca="1">_xll.RiskBinomial(1,DS69)</f>
        <v>#NAME?</v>
      </c>
      <c r="DU69" s="86" t="e">
        <f ca="1">IF(DT69=1,_xll.RiskBinomial(1,Prob_illness_Noro_infection),0)</f>
        <v>#NAME?</v>
      </c>
      <c r="DW69" s="85" t="e">
        <f t="shared" ca="1" si="53"/>
        <v>#NAME?</v>
      </c>
      <c r="DX69" s="40" t="e">
        <f ca="1">INT(DW69) + _xll.RiskBinomial(1,DW69-INT(DW69))</f>
        <v>#NAME?</v>
      </c>
      <c r="DY69" s="33" t="e">
        <f t="shared" ca="1" si="24"/>
        <v>#NAME?</v>
      </c>
      <c r="DZ69" s="38" t="e">
        <f ca="1">_xll.RiskBinomial(1,DY69)</f>
        <v>#NAME?</v>
      </c>
      <c r="EA69" s="86" t="e">
        <f ca="1">IF(DZ69=1,_xll.RiskBinomial(1,Prob_illness_Noro_infection),0)</f>
        <v>#NAME?</v>
      </c>
      <c r="EC69" s="85" t="e">
        <f t="shared" ca="1" si="54"/>
        <v>#NAME?</v>
      </c>
      <c r="ED69" s="40" t="e">
        <f ca="1">INT(EC69) + _xll.RiskBinomial(1,EC69-INT(EC69))</f>
        <v>#NAME?</v>
      </c>
      <c r="EE69" s="33" t="e">
        <f t="shared" ca="1" si="25"/>
        <v>#NAME?</v>
      </c>
      <c r="EF69" s="38" t="e">
        <f ca="1">_xll.RiskBinomial(1,EE69)</f>
        <v>#NAME?</v>
      </c>
      <c r="EG69" s="86" t="e">
        <f ca="1">IF(EF69=1,_xll.RiskBinomial(1,Prob_illness_Noro_infection),0)</f>
        <v>#NAME?</v>
      </c>
      <c r="EI69" s="85" t="e">
        <f t="shared" ca="1" si="55"/>
        <v>#NAME?</v>
      </c>
      <c r="EJ69" s="40" t="e">
        <f ca="1">INT(EI69) + _xll.RiskBinomial(1,EI69-INT(EI69))</f>
        <v>#NAME?</v>
      </c>
      <c r="EK69" s="33" t="e">
        <f t="shared" ca="1" si="26"/>
        <v>#NAME?</v>
      </c>
      <c r="EL69" s="38" t="e">
        <f ca="1">_xll.RiskBinomial(1,EK69)</f>
        <v>#NAME?</v>
      </c>
      <c r="EM69" s="86" t="e">
        <f ca="1">IF(EL69=1,_xll.RiskBinomial(1,Prob_illness_Noro_infection),0)</f>
        <v>#NAME?</v>
      </c>
      <c r="EO69" s="85" t="e">
        <f t="shared" ca="1" si="56"/>
        <v>#NAME?</v>
      </c>
      <c r="EP69" s="40" t="e">
        <f ca="1">INT(EO69) + _xll.RiskBinomial(1,EO69-INT(EO69))</f>
        <v>#NAME?</v>
      </c>
      <c r="EQ69" s="33" t="e">
        <f t="shared" ca="1" si="27"/>
        <v>#NAME?</v>
      </c>
      <c r="ER69" s="38" t="e">
        <f ca="1">_xll.RiskBinomial(1,EQ69)</f>
        <v>#NAME?</v>
      </c>
      <c r="ES69" s="86" t="e">
        <f ca="1">IF(ER69=1,_xll.RiskBinomial(1,Prob_illness_Noro_infection),0)</f>
        <v>#NAME?</v>
      </c>
      <c r="EU69" s="85" t="e">
        <f t="shared" ca="1" si="57"/>
        <v>#NAME?</v>
      </c>
      <c r="EV69" s="40" t="e">
        <f ca="1">INT(EU69) + _xll.RiskBinomial(1,EU69-INT(EU69))</f>
        <v>#NAME?</v>
      </c>
      <c r="EW69" s="33" t="e">
        <f t="shared" ca="1" si="28"/>
        <v>#NAME?</v>
      </c>
      <c r="EX69" s="38" t="e">
        <f ca="1">_xll.RiskBinomial(1,EW69)</f>
        <v>#NAME?</v>
      </c>
      <c r="EY69" s="86" t="e">
        <f ca="1">IF(EX69=1,_xll.RiskBinomial(1,Prob_illness_Noro_infection),0)</f>
        <v>#NAME?</v>
      </c>
      <c r="FA69" s="85" t="e">
        <f t="shared" ca="1" si="58"/>
        <v>#NAME?</v>
      </c>
      <c r="FB69" s="40" t="e">
        <f ca="1">INT(FA69) + _xll.RiskBinomial(1,FA69-INT(FA69))</f>
        <v>#NAME?</v>
      </c>
      <c r="FC69" s="33" t="e">
        <f t="shared" ca="1" si="29"/>
        <v>#NAME?</v>
      </c>
      <c r="FD69" s="38" t="e">
        <f ca="1">_xll.RiskBinomial(1,FC69)</f>
        <v>#NAME?</v>
      </c>
      <c r="FE69" s="86" t="e">
        <f ca="1">IF(FD69=1,_xll.RiskBinomial(1,Prob_illness_Noro_infection),0)</f>
        <v>#NAME?</v>
      </c>
      <c r="FG69" s="85" t="e">
        <f t="shared" ca="1" si="59"/>
        <v>#NAME?</v>
      </c>
      <c r="FH69" s="40" t="e">
        <f ca="1">INT(FG69) + _xll.RiskBinomial(1,FG69-INT(FG69))</f>
        <v>#NAME?</v>
      </c>
      <c r="FI69" s="33" t="e">
        <f t="shared" ca="1" si="30"/>
        <v>#NAME?</v>
      </c>
      <c r="FJ69" s="38" t="e">
        <f ca="1">_xll.RiskBinomial(1,FI69)</f>
        <v>#NAME?</v>
      </c>
      <c r="FK69" s="86" t="e">
        <f ca="1">IF(FJ69=1,_xll.RiskBinomial(1,Prob_illness_Noro_infection),0)</f>
        <v>#NAME?</v>
      </c>
      <c r="FM69" s="85" t="e">
        <f t="shared" ca="1" si="60"/>
        <v>#NAME?</v>
      </c>
      <c r="FN69" s="40" t="e">
        <f ca="1">INT(FM69) + _xll.RiskBinomial(1,FM69-INT(FM69))</f>
        <v>#NAME?</v>
      </c>
      <c r="FO69" s="33" t="e">
        <f t="shared" ca="1" si="31"/>
        <v>#NAME?</v>
      </c>
      <c r="FP69" s="38" t="e">
        <f ca="1">_xll.RiskBinomial(1,FO69)</f>
        <v>#NAME?</v>
      </c>
      <c r="FQ69" s="86" t="e">
        <f ca="1">IF(FP69=1,_xll.RiskBinomial(1,Prob_illness_Noro_infection),0)</f>
        <v>#NAME?</v>
      </c>
      <c r="FS69" s="85" t="e">
        <f t="shared" ca="1" si="61"/>
        <v>#NAME?</v>
      </c>
      <c r="FT69" s="40" t="e">
        <f ca="1">INT(FS69) + _xll.RiskBinomial(1,FS69-INT(FS69))</f>
        <v>#NAME?</v>
      </c>
      <c r="FU69" s="33" t="e">
        <f t="shared" ca="1" si="32"/>
        <v>#NAME?</v>
      </c>
      <c r="FV69" s="38" t="e">
        <f ca="1">_xll.RiskBinomial(1,FU69)</f>
        <v>#NAME?</v>
      </c>
      <c r="FW69" s="86" t="e">
        <f ca="1">IF(FV69=1,_xll.RiskBinomial(1,Prob_illness_Noro_infection),0)</f>
        <v>#NAME?</v>
      </c>
      <c r="FY69" s="85" t="e">
        <f t="shared" ca="1" si="62"/>
        <v>#NAME?</v>
      </c>
      <c r="FZ69" s="40" t="e">
        <f ca="1">INT(FY69) + _xll.RiskBinomial(1,FY69-INT(FY69))</f>
        <v>#NAME?</v>
      </c>
      <c r="GA69" s="33" t="e">
        <f t="shared" ca="1" si="33"/>
        <v>#NAME?</v>
      </c>
      <c r="GB69" s="38" t="e">
        <f ca="1">_xll.RiskBinomial(1,GA69)</f>
        <v>#NAME?</v>
      </c>
      <c r="GC69" s="86" t="e">
        <f ca="1">IF(GB69=1,_xll.RiskBinomial(1,Prob_illness_Noro_infection),0)</f>
        <v>#NAME?</v>
      </c>
      <c r="GE69" s="85" t="e">
        <f t="shared" ca="1" si="63"/>
        <v>#NAME?</v>
      </c>
      <c r="GF69" s="40" t="e">
        <f ca="1">INT(GE69) + _xll.RiskBinomial(1,GE69-INT(GE69))</f>
        <v>#NAME?</v>
      </c>
      <c r="GG69" s="33" t="e">
        <f t="shared" ca="1" si="34"/>
        <v>#NAME?</v>
      </c>
      <c r="GH69" s="38" t="e">
        <f ca="1">_xll.RiskBinomial(1,GG69)</f>
        <v>#NAME?</v>
      </c>
      <c r="GI69" s="86" t="e">
        <f ca="1">IF(GH69=1,_xll.RiskBinomial(1,Prob_illness_Noro_infection),0)</f>
        <v>#NAME?</v>
      </c>
      <c r="GK69" s="85" t="e">
        <f t="shared" ca="1" si="64"/>
        <v>#NAME?</v>
      </c>
      <c r="GL69" s="40" t="e">
        <f ca="1">INT(GK69) + _xll.RiskBinomial(1,GK69-INT(GK69))</f>
        <v>#NAME?</v>
      </c>
      <c r="GM69" s="33" t="e">
        <f t="shared" ca="1" si="35"/>
        <v>#NAME?</v>
      </c>
      <c r="GN69" s="38" t="e">
        <f ca="1">_xll.RiskBinomial(1,GM69)</f>
        <v>#NAME?</v>
      </c>
      <c r="GO69" s="86" t="e">
        <f ca="1">IF(GN69=1,_xll.RiskBinomial(1,Prob_illness_Noro_infection),0)</f>
        <v>#NAME?</v>
      </c>
    </row>
    <row r="70" spans="2:197" x14ac:dyDescent="0.25">
      <c r="B70" s="106">
        <v>62</v>
      </c>
      <c r="C70" s="109" t="e">
        <f ca="1" xml:space="preserve"> _xll.RiskPert(Dur_Swim_hours_min,Dur_Swim_hours_mode,Dur_Swim_hours_max)</f>
        <v>#NAME?</v>
      </c>
      <c r="D70" s="33" t="e">
        <f ca="1">_xll.RiskLognorm(Primary_Ing_Rate_mL_per_hour_mean,Primary_Ing_Rate_mL_per_hour_sd, _xll.RiskTruncate(Primary_Ing_Rate_mL_per_hour_min,Primary_Ing_Rate_mL_per_hour_max))</f>
        <v>#NAME?</v>
      </c>
      <c r="E70" s="41" t="e">
        <f t="shared" ca="1" si="36"/>
        <v>#NAME?</v>
      </c>
      <c r="F70" s="33"/>
      <c r="G70" s="85" t="e">
        <f t="shared" ca="1" si="37"/>
        <v>#NAME?</v>
      </c>
      <c r="H70" s="40" t="e">
        <f ca="1">INT(G70) + _xll.RiskBinomial(1,G70-INT(G70))</f>
        <v>#NAME?</v>
      </c>
      <c r="I70" s="33" t="e">
        <f t="shared" ca="1" si="0"/>
        <v>#NAME?</v>
      </c>
      <c r="J70" s="38" t="e">
        <f ca="1">_xll.RiskBinomial(1,I70)</f>
        <v>#NAME?</v>
      </c>
      <c r="K70" s="86" t="e">
        <f ca="1">IF(J70=1,_xll.RiskBinomial(1,Prob_illness_Noro_infection),0)</f>
        <v>#NAME?</v>
      </c>
      <c r="L70" s="33"/>
      <c r="M70" s="85" t="e">
        <f t="shared" ca="1" si="38"/>
        <v>#NAME?</v>
      </c>
      <c r="N70" s="40" t="e">
        <f ca="1">INT(M70) + _xll.RiskBinomial(1,M70-INT(M70))</f>
        <v>#NAME?</v>
      </c>
      <c r="O70" s="33" t="e">
        <f t="shared" ca="1" si="1"/>
        <v>#NAME?</v>
      </c>
      <c r="P70" s="38" t="e">
        <f ca="1">_xll.RiskBinomial(1,O70)</f>
        <v>#NAME?</v>
      </c>
      <c r="Q70" s="86" t="e">
        <f ca="1">IF(P70=1,_xll.RiskBinomial(1,Prob_illness_Noro_infection),0)</f>
        <v>#NAME?</v>
      </c>
      <c r="R70" s="33"/>
      <c r="S70" s="85" t="e">
        <f t="shared" ca="1" si="39"/>
        <v>#NAME?</v>
      </c>
      <c r="T70" s="40" t="e">
        <f ca="1">INT(S70) + _xll.RiskBinomial(1,S70-INT(S70))</f>
        <v>#NAME?</v>
      </c>
      <c r="U70" s="33" t="e">
        <f t="shared" ca="1" si="2"/>
        <v>#NAME?</v>
      </c>
      <c r="V70" s="38" t="e">
        <f ca="1">_xll.RiskBinomial(1,U70)</f>
        <v>#NAME?</v>
      </c>
      <c r="W70" s="86" t="e">
        <f ca="1">IF(V70=1,_xll.RiskBinomial(1,Prob_illness_Noro_infection),0)</f>
        <v>#NAME?</v>
      </c>
      <c r="X70" s="33"/>
      <c r="Y70" s="85" t="e">
        <f t="shared" ca="1" si="3"/>
        <v>#NAME?</v>
      </c>
      <c r="Z70" s="40" t="e">
        <f ca="1">INT(Y70) + _xll.RiskBinomial(1,Y70-INT(Y70))</f>
        <v>#NAME?</v>
      </c>
      <c r="AA70" s="33" t="e">
        <f t="shared" ca="1" si="4"/>
        <v>#NAME?</v>
      </c>
      <c r="AB70" s="38" t="e">
        <f ca="1">_xll.RiskBinomial(1,AA70)</f>
        <v>#NAME?</v>
      </c>
      <c r="AC70" s="86" t="e">
        <f ca="1">IF(AB70=1,_xll.RiskBinomial(1,Prob_illness_Noro_infection),0)</f>
        <v>#NAME?</v>
      </c>
      <c r="AD70" s="33"/>
      <c r="AE70" s="85" t="e">
        <f t="shared" ca="1" si="5"/>
        <v>#NAME?</v>
      </c>
      <c r="AF70" s="40" t="e">
        <f ca="1">INT(AE70) + _xll.RiskBinomial(1,AE70-INT(AE70))</f>
        <v>#NAME?</v>
      </c>
      <c r="AG70" s="33" t="e">
        <f t="shared" ca="1" si="6"/>
        <v>#NAME?</v>
      </c>
      <c r="AH70" s="38" t="e">
        <f ca="1">_xll.RiskBinomial(1,AG70)</f>
        <v>#NAME?</v>
      </c>
      <c r="AI70" s="86" t="e">
        <f ca="1">IF(AH70=1,_xll.RiskBinomial(1,Prob_illness_Noro_infection),0)</f>
        <v>#NAME?</v>
      </c>
      <c r="AJ70" s="33"/>
      <c r="AK70" s="85" t="e">
        <f t="shared" ca="1" si="7"/>
        <v>#NAME?</v>
      </c>
      <c r="AL70" s="40" t="e">
        <f ca="1">INT(AK70) + _xll.RiskBinomial(1,AK70-INT(AK70))</f>
        <v>#NAME?</v>
      </c>
      <c r="AM70" s="33" t="e">
        <f t="shared" ca="1" si="8"/>
        <v>#NAME?</v>
      </c>
      <c r="AN70" s="38" t="e">
        <f ca="1">_xll.RiskBinomial(1,AM70)</f>
        <v>#NAME?</v>
      </c>
      <c r="AO70" s="86" t="e">
        <f ca="1">IF(AN70=1,_xll.RiskBinomial(1,Prob_illness_Noro_infection),0)</f>
        <v>#NAME?</v>
      </c>
      <c r="AP70" s="33"/>
      <c r="AQ70" s="85" t="e">
        <f t="shared" ca="1" si="65"/>
        <v>#NAME?</v>
      </c>
      <c r="AR70" s="40" t="e">
        <f ca="1">INT(AQ70) + _xll.RiskBinomial(1,AQ70-INT(AQ70))</f>
        <v>#NAME?</v>
      </c>
      <c r="AS70" s="33" t="e">
        <f t="shared" ca="1" si="10"/>
        <v>#NAME?</v>
      </c>
      <c r="AT70" s="38" t="e">
        <f ca="1">_xll.RiskBinomial(1,AS70)</f>
        <v>#NAME?</v>
      </c>
      <c r="AU70" s="86" t="e">
        <f ca="1">IF(AT70=1,_xll.RiskBinomial(1,Prob_illness_Noro_infection),0)</f>
        <v>#NAME?</v>
      </c>
      <c r="AV70" s="33"/>
      <c r="AW70" s="85" t="e">
        <f t="shared" ca="1" si="40"/>
        <v>#NAME?</v>
      </c>
      <c r="AX70" s="40" t="e">
        <f ca="1">INT(AW70) + _xll.RiskBinomial(1,AW70-INT(AW70))</f>
        <v>#NAME?</v>
      </c>
      <c r="AY70" s="33" t="e">
        <f t="shared" ca="1" si="11"/>
        <v>#NAME?</v>
      </c>
      <c r="AZ70" s="38" t="e">
        <f ca="1">_xll.RiskBinomial(1,AY70)</f>
        <v>#NAME?</v>
      </c>
      <c r="BA70" s="86" t="e">
        <f ca="1">IF(AZ70=1,_xll.RiskBinomial(1,Prob_illness_Noro_infection),0)</f>
        <v>#NAME?</v>
      </c>
      <c r="BC70" s="85" t="e">
        <f t="shared" ca="1" si="41"/>
        <v>#NAME?</v>
      </c>
      <c r="BD70" s="40" t="e">
        <f ca="1">INT(BC70) + _xll.RiskBinomial(1,BC70-INT(BC70))</f>
        <v>#NAME?</v>
      </c>
      <c r="BE70" s="33" t="e">
        <f t="shared" ca="1" si="12"/>
        <v>#NAME?</v>
      </c>
      <c r="BF70" s="38" t="e">
        <f ca="1">_xll.RiskBinomial(1,BE70)</f>
        <v>#NAME?</v>
      </c>
      <c r="BG70" s="86" t="e">
        <f ca="1">IF(BF70=1,_xll.RiskBinomial(1,Prob_illness_Noro_infection),0)</f>
        <v>#NAME?</v>
      </c>
      <c r="BI70" s="85" t="e">
        <f t="shared" ca="1" si="42"/>
        <v>#NAME?</v>
      </c>
      <c r="BJ70" s="40" t="e">
        <f ca="1">INT(BI70) + _xll.RiskBinomial(1,BI70-INT(BI70))</f>
        <v>#NAME?</v>
      </c>
      <c r="BK70" s="33" t="e">
        <f t="shared" ca="1" si="13"/>
        <v>#NAME?</v>
      </c>
      <c r="BL70" s="38" t="e">
        <f ca="1">_xll.RiskBinomial(1,BK70)</f>
        <v>#NAME?</v>
      </c>
      <c r="BM70" s="86" t="e">
        <f ca="1">IF(BL70=1,_xll.RiskBinomial(1,Prob_illness_Noro_infection),0)</f>
        <v>#NAME?</v>
      </c>
      <c r="BO70" s="85" t="e">
        <f t="shared" ca="1" si="43"/>
        <v>#NAME?</v>
      </c>
      <c r="BP70" s="40" t="e">
        <f ca="1">INT(BO70) + _xll.RiskBinomial(1,BO70-INT(BO70))</f>
        <v>#NAME?</v>
      </c>
      <c r="BQ70" s="33" t="e">
        <f t="shared" ca="1" si="14"/>
        <v>#NAME?</v>
      </c>
      <c r="BR70" s="38" t="e">
        <f ca="1">_xll.RiskBinomial(1,BQ70)</f>
        <v>#NAME?</v>
      </c>
      <c r="BS70" s="86" t="e">
        <f ca="1">IF(BR70=1,_xll.RiskBinomial(1,Prob_illness_Noro_infection),0)</f>
        <v>#NAME?</v>
      </c>
      <c r="BU70" s="85" t="e">
        <f t="shared" ca="1" si="44"/>
        <v>#NAME?</v>
      </c>
      <c r="BV70" s="40" t="e">
        <f ca="1">INT(BU70) + _xll.RiskBinomial(1,BU70-INT(BU70))</f>
        <v>#NAME?</v>
      </c>
      <c r="BW70" s="33" t="e">
        <f t="shared" ca="1" si="15"/>
        <v>#NAME?</v>
      </c>
      <c r="BX70" s="38" t="e">
        <f ca="1">_xll.RiskBinomial(1,BW70)</f>
        <v>#NAME?</v>
      </c>
      <c r="BY70" s="86" t="e">
        <f ca="1">IF(BX70=1,_xll.RiskBinomial(1,Prob_illness_Noro_infection),0)</f>
        <v>#NAME?</v>
      </c>
      <c r="CA70" s="85" t="e">
        <f t="shared" ca="1" si="45"/>
        <v>#NAME?</v>
      </c>
      <c r="CB70" s="40" t="e">
        <f ca="1">INT(CA70) + _xll.RiskBinomial(1,CA70-INT(CA70))</f>
        <v>#NAME?</v>
      </c>
      <c r="CC70" s="33" t="e">
        <f t="shared" ca="1" si="16"/>
        <v>#NAME?</v>
      </c>
      <c r="CD70" s="38" t="e">
        <f ca="1">_xll.RiskBinomial(1,CC70)</f>
        <v>#NAME?</v>
      </c>
      <c r="CE70" s="86" t="e">
        <f ca="1">IF(CD70=1,_xll.RiskBinomial(1,Prob_illness_Noro_infection),0)</f>
        <v>#NAME?</v>
      </c>
      <c r="CG70" s="85" t="e">
        <f t="shared" ca="1" si="46"/>
        <v>#NAME?</v>
      </c>
      <c r="CH70" s="40" t="e">
        <f ca="1">INT(CG70) + _xll.RiskBinomial(1,CG70-INT(CG70))</f>
        <v>#NAME?</v>
      </c>
      <c r="CI70" s="33" t="e">
        <f t="shared" ca="1" si="17"/>
        <v>#NAME?</v>
      </c>
      <c r="CJ70" s="38" t="e">
        <f ca="1">_xll.RiskBinomial(1,CI70)</f>
        <v>#NAME?</v>
      </c>
      <c r="CK70" s="86" t="e">
        <f ca="1">IF(CJ70=1,_xll.RiskBinomial(1,Prob_illness_Noro_infection),0)</f>
        <v>#NAME?</v>
      </c>
      <c r="CM70" s="85" t="e">
        <f t="shared" ca="1" si="47"/>
        <v>#NAME?</v>
      </c>
      <c r="CN70" s="40" t="e">
        <f ca="1">INT(CM70) + _xll.RiskBinomial(1,CM70-INT(CM70))</f>
        <v>#NAME?</v>
      </c>
      <c r="CO70" s="33" t="e">
        <f t="shared" ca="1" si="18"/>
        <v>#NAME?</v>
      </c>
      <c r="CP70" s="38" t="e">
        <f ca="1">_xll.RiskBinomial(1,CO70)</f>
        <v>#NAME?</v>
      </c>
      <c r="CQ70" s="86" t="e">
        <f ca="1">IF(CP70=1,_xll.RiskBinomial(1,Prob_illness_Noro_infection),0)</f>
        <v>#NAME?</v>
      </c>
      <c r="CS70" s="85" t="e">
        <f t="shared" ca="1" si="48"/>
        <v>#NAME?</v>
      </c>
      <c r="CT70" s="40" t="e">
        <f ca="1">INT(CS70) + _xll.RiskBinomial(1,CS70-INT(CS70))</f>
        <v>#NAME?</v>
      </c>
      <c r="CU70" s="33" t="e">
        <f t="shared" ca="1" si="19"/>
        <v>#NAME?</v>
      </c>
      <c r="CV70" s="38" t="e">
        <f ca="1">_xll.RiskBinomial(1,CU70)</f>
        <v>#NAME?</v>
      </c>
      <c r="CW70" s="86" t="e">
        <f ca="1">IF(CV70=1,_xll.RiskBinomial(1,Prob_illness_Noro_infection),0)</f>
        <v>#NAME?</v>
      </c>
      <c r="CY70" s="85" t="e">
        <f t="shared" ca="1" si="49"/>
        <v>#NAME?</v>
      </c>
      <c r="CZ70" s="40" t="e">
        <f ca="1">INT(CY70) + _xll.RiskBinomial(1,CY70-INT(CY70))</f>
        <v>#NAME?</v>
      </c>
      <c r="DA70" s="33" t="e">
        <f t="shared" ca="1" si="20"/>
        <v>#NAME?</v>
      </c>
      <c r="DB70" s="38" t="e">
        <f ca="1">_xll.RiskBinomial(1,DA70)</f>
        <v>#NAME?</v>
      </c>
      <c r="DC70" s="86" t="e">
        <f ca="1">IF(DB70=1,_xll.RiskBinomial(1,Prob_illness_Noro_infection),0)</f>
        <v>#NAME?</v>
      </c>
      <c r="DE70" s="85" t="e">
        <f t="shared" ca="1" si="50"/>
        <v>#NAME?</v>
      </c>
      <c r="DF70" s="40" t="e">
        <f ca="1">INT(DE70) + _xll.RiskBinomial(1,DE70-INT(DE70))</f>
        <v>#NAME?</v>
      </c>
      <c r="DG70" s="33" t="e">
        <f t="shared" ca="1" si="21"/>
        <v>#NAME?</v>
      </c>
      <c r="DH70" s="38" t="e">
        <f ca="1">_xll.RiskBinomial(1,DG70)</f>
        <v>#NAME?</v>
      </c>
      <c r="DI70" s="86" t="e">
        <f ca="1">IF(DH70=1,_xll.RiskBinomial(1,Prob_illness_Noro_infection),0)</f>
        <v>#NAME?</v>
      </c>
      <c r="DK70" s="85" t="e">
        <f t="shared" ca="1" si="51"/>
        <v>#NAME?</v>
      </c>
      <c r="DL70" s="40" t="e">
        <f ca="1">INT(DK70) + _xll.RiskBinomial(1,DK70-INT(DK70))</f>
        <v>#NAME?</v>
      </c>
      <c r="DM70" s="33" t="e">
        <f t="shared" ca="1" si="22"/>
        <v>#NAME?</v>
      </c>
      <c r="DN70" s="38" t="e">
        <f ca="1">_xll.RiskBinomial(1,DM70)</f>
        <v>#NAME?</v>
      </c>
      <c r="DO70" s="86" t="e">
        <f ca="1">IF(DN70=1,_xll.RiskBinomial(1,Prob_illness_Noro_infection),0)</f>
        <v>#NAME?</v>
      </c>
      <c r="DQ70" s="85" t="e">
        <f t="shared" ca="1" si="52"/>
        <v>#NAME?</v>
      </c>
      <c r="DR70" s="40" t="e">
        <f ca="1">INT(DQ70) + _xll.RiskBinomial(1,DQ70-INT(DQ70))</f>
        <v>#NAME?</v>
      </c>
      <c r="DS70" s="33" t="e">
        <f t="shared" ca="1" si="23"/>
        <v>#NAME?</v>
      </c>
      <c r="DT70" s="38" t="e">
        <f ca="1">_xll.RiskBinomial(1,DS70)</f>
        <v>#NAME?</v>
      </c>
      <c r="DU70" s="86" t="e">
        <f ca="1">IF(DT70=1,_xll.RiskBinomial(1,Prob_illness_Noro_infection),0)</f>
        <v>#NAME?</v>
      </c>
      <c r="DW70" s="85" t="e">
        <f t="shared" ca="1" si="53"/>
        <v>#NAME?</v>
      </c>
      <c r="DX70" s="40" t="e">
        <f ca="1">INT(DW70) + _xll.RiskBinomial(1,DW70-INT(DW70))</f>
        <v>#NAME?</v>
      </c>
      <c r="DY70" s="33" t="e">
        <f t="shared" ca="1" si="24"/>
        <v>#NAME?</v>
      </c>
      <c r="DZ70" s="38" t="e">
        <f ca="1">_xll.RiskBinomial(1,DY70)</f>
        <v>#NAME?</v>
      </c>
      <c r="EA70" s="86" t="e">
        <f ca="1">IF(DZ70=1,_xll.RiskBinomial(1,Prob_illness_Noro_infection),0)</f>
        <v>#NAME?</v>
      </c>
      <c r="EC70" s="85" t="e">
        <f t="shared" ca="1" si="54"/>
        <v>#NAME?</v>
      </c>
      <c r="ED70" s="40" t="e">
        <f ca="1">INT(EC70) + _xll.RiskBinomial(1,EC70-INT(EC70))</f>
        <v>#NAME?</v>
      </c>
      <c r="EE70" s="33" t="e">
        <f t="shared" ca="1" si="25"/>
        <v>#NAME?</v>
      </c>
      <c r="EF70" s="38" t="e">
        <f ca="1">_xll.RiskBinomial(1,EE70)</f>
        <v>#NAME?</v>
      </c>
      <c r="EG70" s="86" t="e">
        <f ca="1">IF(EF70=1,_xll.RiskBinomial(1,Prob_illness_Noro_infection),0)</f>
        <v>#NAME?</v>
      </c>
      <c r="EI70" s="85" t="e">
        <f t="shared" ca="1" si="55"/>
        <v>#NAME?</v>
      </c>
      <c r="EJ70" s="40" t="e">
        <f ca="1">INT(EI70) + _xll.RiskBinomial(1,EI70-INT(EI70))</f>
        <v>#NAME?</v>
      </c>
      <c r="EK70" s="33" t="e">
        <f t="shared" ca="1" si="26"/>
        <v>#NAME?</v>
      </c>
      <c r="EL70" s="38" t="e">
        <f ca="1">_xll.RiskBinomial(1,EK70)</f>
        <v>#NAME?</v>
      </c>
      <c r="EM70" s="86" t="e">
        <f ca="1">IF(EL70=1,_xll.RiskBinomial(1,Prob_illness_Noro_infection),0)</f>
        <v>#NAME?</v>
      </c>
      <c r="EO70" s="85" t="e">
        <f t="shared" ca="1" si="56"/>
        <v>#NAME?</v>
      </c>
      <c r="EP70" s="40" t="e">
        <f ca="1">INT(EO70) + _xll.RiskBinomial(1,EO70-INT(EO70))</f>
        <v>#NAME?</v>
      </c>
      <c r="EQ70" s="33" t="e">
        <f t="shared" ca="1" si="27"/>
        <v>#NAME?</v>
      </c>
      <c r="ER70" s="38" t="e">
        <f ca="1">_xll.RiskBinomial(1,EQ70)</f>
        <v>#NAME?</v>
      </c>
      <c r="ES70" s="86" t="e">
        <f ca="1">IF(ER70=1,_xll.RiskBinomial(1,Prob_illness_Noro_infection),0)</f>
        <v>#NAME?</v>
      </c>
      <c r="EU70" s="85" t="e">
        <f t="shared" ca="1" si="57"/>
        <v>#NAME?</v>
      </c>
      <c r="EV70" s="40" t="e">
        <f ca="1">INT(EU70) + _xll.RiskBinomial(1,EU70-INT(EU70))</f>
        <v>#NAME?</v>
      </c>
      <c r="EW70" s="33" t="e">
        <f t="shared" ca="1" si="28"/>
        <v>#NAME?</v>
      </c>
      <c r="EX70" s="38" t="e">
        <f ca="1">_xll.RiskBinomial(1,EW70)</f>
        <v>#NAME?</v>
      </c>
      <c r="EY70" s="86" t="e">
        <f ca="1">IF(EX70=1,_xll.RiskBinomial(1,Prob_illness_Noro_infection),0)</f>
        <v>#NAME?</v>
      </c>
      <c r="FA70" s="85" t="e">
        <f t="shared" ca="1" si="58"/>
        <v>#NAME?</v>
      </c>
      <c r="FB70" s="40" t="e">
        <f ca="1">INT(FA70) + _xll.RiskBinomial(1,FA70-INT(FA70))</f>
        <v>#NAME?</v>
      </c>
      <c r="FC70" s="33" t="e">
        <f t="shared" ca="1" si="29"/>
        <v>#NAME?</v>
      </c>
      <c r="FD70" s="38" t="e">
        <f ca="1">_xll.RiskBinomial(1,FC70)</f>
        <v>#NAME?</v>
      </c>
      <c r="FE70" s="86" t="e">
        <f ca="1">IF(FD70=1,_xll.RiskBinomial(1,Prob_illness_Noro_infection),0)</f>
        <v>#NAME?</v>
      </c>
      <c r="FG70" s="85" t="e">
        <f t="shared" ca="1" si="59"/>
        <v>#NAME?</v>
      </c>
      <c r="FH70" s="40" t="e">
        <f ca="1">INT(FG70) + _xll.RiskBinomial(1,FG70-INT(FG70))</f>
        <v>#NAME?</v>
      </c>
      <c r="FI70" s="33" t="e">
        <f t="shared" ca="1" si="30"/>
        <v>#NAME?</v>
      </c>
      <c r="FJ70" s="38" t="e">
        <f ca="1">_xll.RiskBinomial(1,FI70)</f>
        <v>#NAME?</v>
      </c>
      <c r="FK70" s="86" t="e">
        <f ca="1">IF(FJ70=1,_xll.RiskBinomial(1,Prob_illness_Noro_infection),0)</f>
        <v>#NAME?</v>
      </c>
      <c r="FM70" s="85" t="e">
        <f t="shared" ca="1" si="60"/>
        <v>#NAME?</v>
      </c>
      <c r="FN70" s="40" t="e">
        <f ca="1">INT(FM70) + _xll.RiskBinomial(1,FM70-INT(FM70))</f>
        <v>#NAME?</v>
      </c>
      <c r="FO70" s="33" t="e">
        <f t="shared" ca="1" si="31"/>
        <v>#NAME?</v>
      </c>
      <c r="FP70" s="38" t="e">
        <f ca="1">_xll.RiskBinomial(1,FO70)</f>
        <v>#NAME?</v>
      </c>
      <c r="FQ70" s="86" t="e">
        <f ca="1">IF(FP70=1,_xll.RiskBinomial(1,Prob_illness_Noro_infection),0)</f>
        <v>#NAME?</v>
      </c>
      <c r="FS70" s="85" t="e">
        <f t="shared" ca="1" si="61"/>
        <v>#NAME?</v>
      </c>
      <c r="FT70" s="40" t="e">
        <f ca="1">INT(FS70) + _xll.RiskBinomial(1,FS70-INT(FS70))</f>
        <v>#NAME?</v>
      </c>
      <c r="FU70" s="33" t="e">
        <f t="shared" ca="1" si="32"/>
        <v>#NAME?</v>
      </c>
      <c r="FV70" s="38" t="e">
        <f ca="1">_xll.RiskBinomial(1,FU70)</f>
        <v>#NAME?</v>
      </c>
      <c r="FW70" s="86" t="e">
        <f ca="1">IF(FV70=1,_xll.RiskBinomial(1,Prob_illness_Noro_infection),0)</f>
        <v>#NAME?</v>
      </c>
      <c r="FY70" s="85" t="e">
        <f t="shared" ca="1" si="62"/>
        <v>#NAME?</v>
      </c>
      <c r="FZ70" s="40" t="e">
        <f ca="1">INT(FY70) + _xll.RiskBinomial(1,FY70-INT(FY70))</f>
        <v>#NAME?</v>
      </c>
      <c r="GA70" s="33" t="e">
        <f t="shared" ca="1" si="33"/>
        <v>#NAME?</v>
      </c>
      <c r="GB70" s="38" t="e">
        <f ca="1">_xll.RiskBinomial(1,GA70)</f>
        <v>#NAME?</v>
      </c>
      <c r="GC70" s="86" t="e">
        <f ca="1">IF(GB70=1,_xll.RiskBinomial(1,Prob_illness_Noro_infection),0)</f>
        <v>#NAME?</v>
      </c>
      <c r="GE70" s="85" t="e">
        <f t="shared" ca="1" si="63"/>
        <v>#NAME?</v>
      </c>
      <c r="GF70" s="40" t="e">
        <f ca="1">INT(GE70) + _xll.RiskBinomial(1,GE70-INT(GE70))</f>
        <v>#NAME?</v>
      </c>
      <c r="GG70" s="33" t="e">
        <f t="shared" ca="1" si="34"/>
        <v>#NAME?</v>
      </c>
      <c r="GH70" s="38" t="e">
        <f ca="1">_xll.RiskBinomial(1,GG70)</f>
        <v>#NAME?</v>
      </c>
      <c r="GI70" s="86" t="e">
        <f ca="1">IF(GH70=1,_xll.RiskBinomial(1,Prob_illness_Noro_infection),0)</f>
        <v>#NAME?</v>
      </c>
      <c r="GK70" s="85" t="e">
        <f t="shared" ca="1" si="64"/>
        <v>#NAME?</v>
      </c>
      <c r="GL70" s="40" t="e">
        <f ca="1">INT(GK70) + _xll.RiskBinomial(1,GK70-INT(GK70))</f>
        <v>#NAME?</v>
      </c>
      <c r="GM70" s="33" t="e">
        <f t="shared" ca="1" si="35"/>
        <v>#NAME?</v>
      </c>
      <c r="GN70" s="38" t="e">
        <f ca="1">_xll.RiskBinomial(1,GM70)</f>
        <v>#NAME?</v>
      </c>
      <c r="GO70" s="86" t="e">
        <f ca="1">IF(GN70=1,_xll.RiskBinomial(1,Prob_illness_Noro_infection),0)</f>
        <v>#NAME?</v>
      </c>
    </row>
    <row r="71" spans="2:197" x14ac:dyDescent="0.25">
      <c r="B71" s="106">
        <v>63</v>
      </c>
      <c r="C71" s="109" t="e">
        <f ca="1" xml:space="preserve"> _xll.RiskPert(Dur_Swim_hours_min,Dur_Swim_hours_mode,Dur_Swim_hours_max)</f>
        <v>#NAME?</v>
      </c>
      <c r="D71" s="33" t="e">
        <f ca="1">_xll.RiskLognorm(Primary_Ing_Rate_mL_per_hour_mean,Primary_Ing_Rate_mL_per_hour_sd, _xll.RiskTruncate(Primary_Ing_Rate_mL_per_hour_min,Primary_Ing_Rate_mL_per_hour_max))</f>
        <v>#NAME?</v>
      </c>
      <c r="E71" s="41" t="e">
        <f t="shared" ca="1" si="36"/>
        <v>#NAME?</v>
      </c>
      <c r="F71" s="33"/>
      <c r="G71" s="85" t="e">
        <f t="shared" ca="1" si="37"/>
        <v>#NAME?</v>
      </c>
      <c r="H71" s="40" t="e">
        <f ca="1">INT(G71) + _xll.RiskBinomial(1,G71-INT(G71))</f>
        <v>#NAME?</v>
      </c>
      <c r="I71" s="33" t="e">
        <f t="shared" ca="1" si="0"/>
        <v>#NAME?</v>
      </c>
      <c r="J71" s="38" t="e">
        <f ca="1">_xll.RiskBinomial(1,I71)</f>
        <v>#NAME?</v>
      </c>
      <c r="K71" s="86" t="e">
        <f ca="1">IF(J71=1,_xll.RiskBinomial(1,Prob_illness_Noro_infection),0)</f>
        <v>#NAME?</v>
      </c>
      <c r="L71" s="33"/>
      <c r="M71" s="85" t="e">
        <f t="shared" ca="1" si="38"/>
        <v>#NAME?</v>
      </c>
      <c r="N71" s="40" t="e">
        <f ca="1">INT(M71) + _xll.RiskBinomial(1,M71-INT(M71))</f>
        <v>#NAME?</v>
      </c>
      <c r="O71" s="33" t="e">
        <f t="shared" ca="1" si="1"/>
        <v>#NAME?</v>
      </c>
      <c r="P71" s="38" t="e">
        <f ca="1">_xll.RiskBinomial(1,O71)</f>
        <v>#NAME?</v>
      </c>
      <c r="Q71" s="86" t="e">
        <f ca="1">IF(P71=1,_xll.RiskBinomial(1,Prob_illness_Noro_infection),0)</f>
        <v>#NAME?</v>
      </c>
      <c r="R71" s="33"/>
      <c r="S71" s="85" t="e">
        <f t="shared" ca="1" si="39"/>
        <v>#NAME?</v>
      </c>
      <c r="T71" s="40" t="e">
        <f ca="1">INT(S71) + _xll.RiskBinomial(1,S71-INT(S71))</f>
        <v>#NAME?</v>
      </c>
      <c r="U71" s="33" t="e">
        <f t="shared" ca="1" si="2"/>
        <v>#NAME?</v>
      </c>
      <c r="V71" s="38" t="e">
        <f ca="1">_xll.RiskBinomial(1,U71)</f>
        <v>#NAME?</v>
      </c>
      <c r="W71" s="86" t="e">
        <f ca="1">IF(V71=1,_xll.RiskBinomial(1,Prob_illness_Noro_infection),0)</f>
        <v>#NAME?</v>
      </c>
      <c r="X71" s="33"/>
      <c r="Y71" s="85" t="e">
        <f t="shared" ca="1" si="3"/>
        <v>#NAME?</v>
      </c>
      <c r="Z71" s="40" t="e">
        <f ca="1">INT(Y71) + _xll.RiskBinomial(1,Y71-INT(Y71))</f>
        <v>#NAME?</v>
      </c>
      <c r="AA71" s="33" t="e">
        <f t="shared" ca="1" si="4"/>
        <v>#NAME?</v>
      </c>
      <c r="AB71" s="38" t="e">
        <f ca="1">_xll.RiskBinomial(1,AA71)</f>
        <v>#NAME?</v>
      </c>
      <c r="AC71" s="86" t="e">
        <f ca="1">IF(AB71=1,_xll.RiskBinomial(1,Prob_illness_Noro_infection),0)</f>
        <v>#NAME?</v>
      </c>
      <c r="AD71" s="33"/>
      <c r="AE71" s="85" t="e">
        <f t="shared" ca="1" si="5"/>
        <v>#NAME?</v>
      </c>
      <c r="AF71" s="40" t="e">
        <f ca="1">INT(AE71) + _xll.RiskBinomial(1,AE71-INT(AE71))</f>
        <v>#NAME?</v>
      </c>
      <c r="AG71" s="33" t="e">
        <f t="shared" ca="1" si="6"/>
        <v>#NAME?</v>
      </c>
      <c r="AH71" s="38" t="e">
        <f ca="1">_xll.RiskBinomial(1,AG71)</f>
        <v>#NAME?</v>
      </c>
      <c r="AI71" s="86" t="e">
        <f ca="1">IF(AH71=1,_xll.RiskBinomial(1,Prob_illness_Noro_infection),0)</f>
        <v>#NAME?</v>
      </c>
      <c r="AJ71" s="33"/>
      <c r="AK71" s="85" t="e">
        <f t="shared" ca="1" si="7"/>
        <v>#NAME?</v>
      </c>
      <c r="AL71" s="40" t="e">
        <f ca="1">INT(AK71) + _xll.RiskBinomial(1,AK71-INT(AK71))</f>
        <v>#NAME?</v>
      </c>
      <c r="AM71" s="33" t="e">
        <f t="shared" ca="1" si="8"/>
        <v>#NAME?</v>
      </c>
      <c r="AN71" s="38" t="e">
        <f ca="1">_xll.RiskBinomial(1,AM71)</f>
        <v>#NAME?</v>
      </c>
      <c r="AO71" s="86" t="e">
        <f ca="1">IF(AN71=1,_xll.RiskBinomial(1,Prob_illness_Noro_infection),0)</f>
        <v>#NAME?</v>
      </c>
      <c r="AP71" s="33"/>
      <c r="AQ71" s="85" t="e">
        <f t="shared" ca="1" si="65"/>
        <v>#NAME?</v>
      </c>
      <c r="AR71" s="40" t="e">
        <f ca="1">INT(AQ71) + _xll.RiskBinomial(1,AQ71-INT(AQ71))</f>
        <v>#NAME?</v>
      </c>
      <c r="AS71" s="33" t="e">
        <f t="shared" ca="1" si="10"/>
        <v>#NAME?</v>
      </c>
      <c r="AT71" s="38" t="e">
        <f ca="1">_xll.RiskBinomial(1,AS71)</f>
        <v>#NAME?</v>
      </c>
      <c r="AU71" s="86" t="e">
        <f ca="1">IF(AT71=1,_xll.RiskBinomial(1,Prob_illness_Noro_infection),0)</f>
        <v>#NAME?</v>
      </c>
      <c r="AV71" s="33"/>
      <c r="AW71" s="85" t="e">
        <f t="shared" ca="1" si="40"/>
        <v>#NAME?</v>
      </c>
      <c r="AX71" s="40" t="e">
        <f ca="1">INT(AW71) + _xll.RiskBinomial(1,AW71-INT(AW71))</f>
        <v>#NAME?</v>
      </c>
      <c r="AY71" s="33" t="e">
        <f t="shared" ca="1" si="11"/>
        <v>#NAME?</v>
      </c>
      <c r="AZ71" s="38" t="e">
        <f ca="1">_xll.RiskBinomial(1,AY71)</f>
        <v>#NAME?</v>
      </c>
      <c r="BA71" s="86" t="e">
        <f ca="1">IF(AZ71=1,_xll.RiskBinomial(1,Prob_illness_Noro_infection),0)</f>
        <v>#NAME?</v>
      </c>
      <c r="BC71" s="85" t="e">
        <f t="shared" ca="1" si="41"/>
        <v>#NAME?</v>
      </c>
      <c r="BD71" s="40" t="e">
        <f ca="1">INT(BC71) + _xll.RiskBinomial(1,BC71-INT(BC71))</f>
        <v>#NAME?</v>
      </c>
      <c r="BE71" s="33" t="e">
        <f t="shared" ca="1" si="12"/>
        <v>#NAME?</v>
      </c>
      <c r="BF71" s="38" t="e">
        <f ca="1">_xll.RiskBinomial(1,BE71)</f>
        <v>#NAME?</v>
      </c>
      <c r="BG71" s="86" t="e">
        <f ca="1">IF(BF71=1,_xll.RiskBinomial(1,Prob_illness_Noro_infection),0)</f>
        <v>#NAME?</v>
      </c>
      <c r="BI71" s="85" t="e">
        <f t="shared" ca="1" si="42"/>
        <v>#NAME?</v>
      </c>
      <c r="BJ71" s="40" t="e">
        <f ca="1">INT(BI71) + _xll.RiskBinomial(1,BI71-INT(BI71))</f>
        <v>#NAME?</v>
      </c>
      <c r="BK71" s="33" t="e">
        <f t="shared" ca="1" si="13"/>
        <v>#NAME?</v>
      </c>
      <c r="BL71" s="38" t="e">
        <f ca="1">_xll.RiskBinomial(1,BK71)</f>
        <v>#NAME?</v>
      </c>
      <c r="BM71" s="86" t="e">
        <f ca="1">IF(BL71=1,_xll.RiskBinomial(1,Prob_illness_Noro_infection),0)</f>
        <v>#NAME?</v>
      </c>
      <c r="BO71" s="85" t="e">
        <f t="shared" ca="1" si="43"/>
        <v>#NAME?</v>
      </c>
      <c r="BP71" s="40" t="e">
        <f ca="1">INT(BO71) + _xll.RiskBinomial(1,BO71-INT(BO71))</f>
        <v>#NAME?</v>
      </c>
      <c r="BQ71" s="33" t="e">
        <f t="shared" ca="1" si="14"/>
        <v>#NAME?</v>
      </c>
      <c r="BR71" s="38" t="e">
        <f ca="1">_xll.RiskBinomial(1,BQ71)</f>
        <v>#NAME?</v>
      </c>
      <c r="BS71" s="86" t="e">
        <f ca="1">IF(BR71=1,_xll.RiskBinomial(1,Prob_illness_Noro_infection),0)</f>
        <v>#NAME?</v>
      </c>
      <c r="BU71" s="85" t="e">
        <f t="shared" ca="1" si="44"/>
        <v>#NAME?</v>
      </c>
      <c r="BV71" s="40" t="e">
        <f ca="1">INT(BU71) + _xll.RiskBinomial(1,BU71-INT(BU71))</f>
        <v>#NAME?</v>
      </c>
      <c r="BW71" s="33" t="e">
        <f t="shared" ca="1" si="15"/>
        <v>#NAME?</v>
      </c>
      <c r="BX71" s="38" t="e">
        <f ca="1">_xll.RiskBinomial(1,BW71)</f>
        <v>#NAME?</v>
      </c>
      <c r="BY71" s="86" t="e">
        <f ca="1">IF(BX71=1,_xll.RiskBinomial(1,Prob_illness_Noro_infection),0)</f>
        <v>#NAME?</v>
      </c>
      <c r="CA71" s="85" t="e">
        <f t="shared" ca="1" si="45"/>
        <v>#NAME?</v>
      </c>
      <c r="CB71" s="40" t="e">
        <f ca="1">INT(CA71) + _xll.RiskBinomial(1,CA71-INT(CA71))</f>
        <v>#NAME?</v>
      </c>
      <c r="CC71" s="33" t="e">
        <f t="shared" ca="1" si="16"/>
        <v>#NAME?</v>
      </c>
      <c r="CD71" s="38" t="e">
        <f ca="1">_xll.RiskBinomial(1,CC71)</f>
        <v>#NAME?</v>
      </c>
      <c r="CE71" s="86" t="e">
        <f ca="1">IF(CD71=1,_xll.RiskBinomial(1,Prob_illness_Noro_infection),0)</f>
        <v>#NAME?</v>
      </c>
      <c r="CG71" s="85" t="e">
        <f t="shared" ca="1" si="46"/>
        <v>#NAME?</v>
      </c>
      <c r="CH71" s="40" t="e">
        <f ca="1">INT(CG71) + _xll.RiskBinomial(1,CG71-INT(CG71))</f>
        <v>#NAME?</v>
      </c>
      <c r="CI71" s="33" t="e">
        <f t="shared" ca="1" si="17"/>
        <v>#NAME?</v>
      </c>
      <c r="CJ71" s="38" t="e">
        <f ca="1">_xll.RiskBinomial(1,CI71)</f>
        <v>#NAME?</v>
      </c>
      <c r="CK71" s="86" t="e">
        <f ca="1">IF(CJ71=1,_xll.RiskBinomial(1,Prob_illness_Noro_infection),0)</f>
        <v>#NAME?</v>
      </c>
      <c r="CM71" s="85" t="e">
        <f t="shared" ca="1" si="47"/>
        <v>#NAME?</v>
      </c>
      <c r="CN71" s="40" t="e">
        <f ca="1">INT(CM71) + _xll.RiskBinomial(1,CM71-INT(CM71))</f>
        <v>#NAME?</v>
      </c>
      <c r="CO71" s="33" t="e">
        <f t="shared" ca="1" si="18"/>
        <v>#NAME?</v>
      </c>
      <c r="CP71" s="38" t="e">
        <f ca="1">_xll.RiskBinomial(1,CO71)</f>
        <v>#NAME?</v>
      </c>
      <c r="CQ71" s="86" t="e">
        <f ca="1">IF(CP71=1,_xll.RiskBinomial(1,Prob_illness_Noro_infection),0)</f>
        <v>#NAME?</v>
      </c>
      <c r="CS71" s="85" t="e">
        <f t="shared" ca="1" si="48"/>
        <v>#NAME?</v>
      </c>
      <c r="CT71" s="40" t="e">
        <f ca="1">INT(CS71) + _xll.RiskBinomial(1,CS71-INT(CS71))</f>
        <v>#NAME?</v>
      </c>
      <c r="CU71" s="33" t="e">
        <f t="shared" ca="1" si="19"/>
        <v>#NAME?</v>
      </c>
      <c r="CV71" s="38" t="e">
        <f ca="1">_xll.RiskBinomial(1,CU71)</f>
        <v>#NAME?</v>
      </c>
      <c r="CW71" s="86" t="e">
        <f ca="1">IF(CV71=1,_xll.RiskBinomial(1,Prob_illness_Noro_infection),0)</f>
        <v>#NAME?</v>
      </c>
      <c r="CY71" s="85" t="e">
        <f t="shared" ca="1" si="49"/>
        <v>#NAME?</v>
      </c>
      <c r="CZ71" s="40" t="e">
        <f ca="1">INT(CY71) + _xll.RiskBinomial(1,CY71-INT(CY71))</f>
        <v>#NAME?</v>
      </c>
      <c r="DA71" s="33" t="e">
        <f t="shared" ca="1" si="20"/>
        <v>#NAME?</v>
      </c>
      <c r="DB71" s="38" t="e">
        <f ca="1">_xll.RiskBinomial(1,DA71)</f>
        <v>#NAME?</v>
      </c>
      <c r="DC71" s="86" t="e">
        <f ca="1">IF(DB71=1,_xll.RiskBinomial(1,Prob_illness_Noro_infection),0)</f>
        <v>#NAME?</v>
      </c>
      <c r="DE71" s="85" t="e">
        <f t="shared" ca="1" si="50"/>
        <v>#NAME?</v>
      </c>
      <c r="DF71" s="40" t="e">
        <f ca="1">INT(DE71) + _xll.RiskBinomial(1,DE71-INT(DE71))</f>
        <v>#NAME?</v>
      </c>
      <c r="DG71" s="33" t="e">
        <f t="shared" ca="1" si="21"/>
        <v>#NAME?</v>
      </c>
      <c r="DH71" s="38" t="e">
        <f ca="1">_xll.RiskBinomial(1,DG71)</f>
        <v>#NAME?</v>
      </c>
      <c r="DI71" s="86" t="e">
        <f ca="1">IF(DH71=1,_xll.RiskBinomial(1,Prob_illness_Noro_infection),0)</f>
        <v>#NAME?</v>
      </c>
      <c r="DK71" s="85" t="e">
        <f t="shared" ca="1" si="51"/>
        <v>#NAME?</v>
      </c>
      <c r="DL71" s="40" t="e">
        <f ca="1">INT(DK71) + _xll.RiskBinomial(1,DK71-INT(DK71))</f>
        <v>#NAME?</v>
      </c>
      <c r="DM71" s="33" t="e">
        <f t="shared" ca="1" si="22"/>
        <v>#NAME?</v>
      </c>
      <c r="DN71" s="38" t="e">
        <f ca="1">_xll.RiskBinomial(1,DM71)</f>
        <v>#NAME?</v>
      </c>
      <c r="DO71" s="86" t="e">
        <f ca="1">IF(DN71=1,_xll.RiskBinomial(1,Prob_illness_Noro_infection),0)</f>
        <v>#NAME?</v>
      </c>
      <c r="DQ71" s="85" t="e">
        <f t="shared" ca="1" si="52"/>
        <v>#NAME?</v>
      </c>
      <c r="DR71" s="40" t="e">
        <f ca="1">INT(DQ71) + _xll.RiskBinomial(1,DQ71-INT(DQ71))</f>
        <v>#NAME?</v>
      </c>
      <c r="DS71" s="33" t="e">
        <f t="shared" ca="1" si="23"/>
        <v>#NAME?</v>
      </c>
      <c r="DT71" s="38" t="e">
        <f ca="1">_xll.RiskBinomial(1,DS71)</f>
        <v>#NAME?</v>
      </c>
      <c r="DU71" s="86" t="e">
        <f ca="1">IF(DT71=1,_xll.RiskBinomial(1,Prob_illness_Noro_infection),0)</f>
        <v>#NAME?</v>
      </c>
      <c r="DW71" s="85" t="e">
        <f t="shared" ca="1" si="53"/>
        <v>#NAME?</v>
      </c>
      <c r="DX71" s="40" t="e">
        <f ca="1">INT(DW71) + _xll.RiskBinomial(1,DW71-INT(DW71))</f>
        <v>#NAME?</v>
      </c>
      <c r="DY71" s="33" t="e">
        <f t="shared" ca="1" si="24"/>
        <v>#NAME?</v>
      </c>
      <c r="DZ71" s="38" t="e">
        <f ca="1">_xll.RiskBinomial(1,DY71)</f>
        <v>#NAME?</v>
      </c>
      <c r="EA71" s="86" t="e">
        <f ca="1">IF(DZ71=1,_xll.RiskBinomial(1,Prob_illness_Noro_infection),0)</f>
        <v>#NAME?</v>
      </c>
      <c r="EC71" s="85" t="e">
        <f t="shared" ca="1" si="54"/>
        <v>#NAME?</v>
      </c>
      <c r="ED71" s="40" t="e">
        <f ca="1">INT(EC71) + _xll.RiskBinomial(1,EC71-INT(EC71))</f>
        <v>#NAME?</v>
      </c>
      <c r="EE71" s="33" t="e">
        <f t="shared" ca="1" si="25"/>
        <v>#NAME?</v>
      </c>
      <c r="EF71" s="38" t="e">
        <f ca="1">_xll.RiskBinomial(1,EE71)</f>
        <v>#NAME?</v>
      </c>
      <c r="EG71" s="86" t="e">
        <f ca="1">IF(EF71=1,_xll.RiskBinomial(1,Prob_illness_Noro_infection),0)</f>
        <v>#NAME?</v>
      </c>
      <c r="EI71" s="85" t="e">
        <f t="shared" ca="1" si="55"/>
        <v>#NAME?</v>
      </c>
      <c r="EJ71" s="40" t="e">
        <f ca="1">INT(EI71) + _xll.RiskBinomial(1,EI71-INT(EI71))</f>
        <v>#NAME?</v>
      </c>
      <c r="EK71" s="33" t="e">
        <f t="shared" ca="1" si="26"/>
        <v>#NAME?</v>
      </c>
      <c r="EL71" s="38" t="e">
        <f ca="1">_xll.RiskBinomial(1,EK71)</f>
        <v>#NAME?</v>
      </c>
      <c r="EM71" s="86" t="e">
        <f ca="1">IF(EL71=1,_xll.RiskBinomial(1,Prob_illness_Noro_infection),0)</f>
        <v>#NAME?</v>
      </c>
      <c r="EO71" s="85" t="e">
        <f t="shared" ca="1" si="56"/>
        <v>#NAME?</v>
      </c>
      <c r="EP71" s="40" t="e">
        <f ca="1">INT(EO71) + _xll.RiskBinomial(1,EO71-INT(EO71))</f>
        <v>#NAME?</v>
      </c>
      <c r="EQ71" s="33" t="e">
        <f t="shared" ca="1" si="27"/>
        <v>#NAME?</v>
      </c>
      <c r="ER71" s="38" t="e">
        <f ca="1">_xll.RiskBinomial(1,EQ71)</f>
        <v>#NAME?</v>
      </c>
      <c r="ES71" s="86" t="e">
        <f ca="1">IF(ER71=1,_xll.RiskBinomial(1,Prob_illness_Noro_infection),0)</f>
        <v>#NAME?</v>
      </c>
      <c r="EU71" s="85" t="e">
        <f t="shared" ca="1" si="57"/>
        <v>#NAME?</v>
      </c>
      <c r="EV71" s="40" t="e">
        <f ca="1">INT(EU71) + _xll.RiskBinomial(1,EU71-INT(EU71))</f>
        <v>#NAME?</v>
      </c>
      <c r="EW71" s="33" t="e">
        <f t="shared" ca="1" si="28"/>
        <v>#NAME?</v>
      </c>
      <c r="EX71" s="38" t="e">
        <f ca="1">_xll.RiskBinomial(1,EW71)</f>
        <v>#NAME?</v>
      </c>
      <c r="EY71" s="86" t="e">
        <f ca="1">IF(EX71=1,_xll.RiskBinomial(1,Prob_illness_Noro_infection),0)</f>
        <v>#NAME?</v>
      </c>
      <c r="FA71" s="85" t="e">
        <f t="shared" ca="1" si="58"/>
        <v>#NAME?</v>
      </c>
      <c r="FB71" s="40" t="e">
        <f ca="1">INT(FA71) + _xll.RiskBinomial(1,FA71-INT(FA71))</f>
        <v>#NAME?</v>
      </c>
      <c r="FC71" s="33" t="e">
        <f t="shared" ca="1" si="29"/>
        <v>#NAME?</v>
      </c>
      <c r="FD71" s="38" t="e">
        <f ca="1">_xll.RiskBinomial(1,FC71)</f>
        <v>#NAME?</v>
      </c>
      <c r="FE71" s="86" t="e">
        <f ca="1">IF(FD71=1,_xll.RiskBinomial(1,Prob_illness_Noro_infection),0)</f>
        <v>#NAME?</v>
      </c>
      <c r="FG71" s="85" t="e">
        <f t="shared" ca="1" si="59"/>
        <v>#NAME?</v>
      </c>
      <c r="FH71" s="40" t="e">
        <f ca="1">INT(FG71) + _xll.RiskBinomial(1,FG71-INT(FG71))</f>
        <v>#NAME?</v>
      </c>
      <c r="FI71" s="33" t="e">
        <f t="shared" ca="1" si="30"/>
        <v>#NAME?</v>
      </c>
      <c r="FJ71" s="38" t="e">
        <f ca="1">_xll.RiskBinomial(1,FI71)</f>
        <v>#NAME?</v>
      </c>
      <c r="FK71" s="86" t="e">
        <f ca="1">IF(FJ71=1,_xll.RiskBinomial(1,Prob_illness_Noro_infection),0)</f>
        <v>#NAME?</v>
      </c>
      <c r="FM71" s="85" t="e">
        <f t="shared" ca="1" si="60"/>
        <v>#NAME?</v>
      </c>
      <c r="FN71" s="40" t="e">
        <f ca="1">INT(FM71) + _xll.RiskBinomial(1,FM71-INT(FM71))</f>
        <v>#NAME?</v>
      </c>
      <c r="FO71" s="33" t="e">
        <f t="shared" ca="1" si="31"/>
        <v>#NAME?</v>
      </c>
      <c r="FP71" s="38" t="e">
        <f ca="1">_xll.RiskBinomial(1,FO71)</f>
        <v>#NAME?</v>
      </c>
      <c r="FQ71" s="86" t="e">
        <f ca="1">IF(FP71=1,_xll.RiskBinomial(1,Prob_illness_Noro_infection),0)</f>
        <v>#NAME?</v>
      </c>
      <c r="FS71" s="85" t="e">
        <f t="shared" ca="1" si="61"/>
        <v>#NAME?</v>
      </c>
      <c r="FT71" s="40" t="e">
        <f ca="1">INT(FS71) + _xll.RiskBinomial(1,FS71-INT(FS71))</f>
        <v>#NAME?</v>
      </c>
      <c r="FU71" s="33" t="e">
        <f t="shared" ca="1" si="32"/>
        <v>#NAME?</v>
      </c>
      <c r="FV71" s="38" t="e">
        <f ca="1">_xll.RiskBinomial(1,FU71)</f>
        <v>#NAME?</v>
      </c>
      <c r="FW71" s="86" t="e">
        <f ca="1">IF(FV71=1,_xll.RiskBinomial(1,Prob_illness_Noro_infection),0)</f>
        <v>#NAME?</v>
      </c>
      <c r="FY71" s="85" t="e">
        <f t="shared" ca="1" si="62"/>
        <v>#NAME?</v>
      </c>
      <c r="FZ71" s="40" t="e">
        <f ca="1">INT(FY71) + _xll.RiskBinomial(1,FY71-INT(FY71))</f>
        <v>#NAME?</v>
      </c>
      <c r="GA71" s="33" t="e">
        <f t="shared" ca="1" si="33"/>
        <v>#NAME?</v>
      </c>
      <c r="GB71" s="38" t="e">
        <f ca="1">_xll.RiskBinomial(1,GA71)</f>
        <v>#NAME?</v>
      </c>
      <c r="GC71" s="86" t="e">
        <f ca="1">IF(GB71=1,_xll.RiskBinomial(1,Prob_illness_Noro_infection),0)</f>
        <v>#NAME?</v>
      </c>
      <c r="GE71" s="85" t="e">
        <f t="shared" ca="1" si="63"/>
        <v>#NAME?</v>
      </c>
      <c r="GF71" s="40" t="e">
        <f ca="1">INT(GE71) + _xll.RiskBinomial(1,GE71-INT(GE71))</f>
        <v>#NAME?</v>
      </c>
      <c r="GG71" s="33" t="e">
        <f t="shared" ca="1" si="34"/>
        <v>#NAME?</v>
      </c>
      <c r="GH71" s="38" t="e">
        <f ca="1">_xll.RiskBinomial(1,GG71)</f>
        <v>#NAME?</v>
      </c>
      <c r="GI71" s="86" t="e">
        <f ca="1">IF(GH71=1,_xll.RiskBinomial(1,Prob_illness_Noro_infection),0)</f>
        <v>#NAME?</v>
      </c>
      <c r="GK71" s="85" t="e">
        <f t="shared" ca="1" si="64"/>
        <v>#NAME?</v>
      </c>
      <c r="GL71" s="40" t="e">
        <f ca="1">INT(GK71) + _xll.RiskBinomial(1,GK71-INT(GK71))</f>
        <v>#NAME?</v>
      </c>
      <c r="GM71" s="33" t="e">
        <f t="shared" ca="1" si="35"/>
        <v>#NAME?</v>
      </c>
      <c r="GN71" s="38" t="e">
        <f ca="1">_xll.RiskBinomial(1,GM71)</f>
        <v>#NAME?</v>
      </c>
      <c r="GO71" s="86" t="e">
        <f ca="1">IF(GN71=1,_xll.RiskBinomial(1,Prob_illness_Noro_infection),0)</f>
        <v>#NAME?</v>
      </c>
    </row>
    <row r="72" spans="2:197" x14ac:dyDescent="0.25">
      <c r="B72" s="106">
        <v>64</v>
      </c>
      <c r="C72" s="109" t="e">
        <f ca="1" xml:space="preserve"> _xll.RiskPert(Dur_Swim_hours_min,Dur_Swim_hours_mode,Dur_Swim_hours_max)</f>
        <v>#NAME?</v>
      </c>
      <c r="D72" s="33" t="e">
        <f ca="1">_xll.RiskLognorm(Primary_Ing_Rate_mL_per_hour_mean,Primary_Ing_Rate_mL_per_hour_sd, _xll.RiskTruncate(Primary_Ing_Rate_mL_per_hour_min,Primary_Ing_Rate_mL_per_hour_max))</f>
        <v>#NAME?</v>
      </c>
      <c r="E72" s="41" t="e">
        <f t="shared" ca="1" si="36"/>
        <v>#NAME?</v>
      </c>
      <c r="F72" s="33"/>
      <c r="G72" s="85" t="e">
        <f t="shared" ca="1" si="37"/>
        <v>#NAME?</v>
      </c>
      <c r="H72" s="40" t="e">
        <f ca="1">INT(G72) + _xll.RiskBinomial(1,G72-INT(G72))</f>
        <v>#NAME?</v>
      </c>
      <c r="I72" s="33" t="e">
        <f t="shared" ca="1" si="0"/>
        <v>#NAME?</v>
      </c>
      <c r="J72" s="38" t="e">
        <f ca="1">_xll.RiskBinomial(1,I72)</f>
        <v>#NAME?</v>
      </c>
      <c r="K72" s="86" t="e">
        <f ca="1">IF(J72=1,_xll.RiskBinomial(1,Prob_illness_Noro_infection),0)</f>
        <v>#NAME?</v>
      </c>
      <c r="L72" s="33"/>
      <c r="M72" s="85" t="e">
        <f t="shared" ca="1" si="38"/>
        <v>#NAME?</v>
      </c>
      <c r="N72" s="40" t="e">
        <f ca="1">INT(M72) + _xll.RiskBinomial(1,M72-INT(M72))</f>
        <v>#NAME?</v>
      </c>
      <c r="O72" s="33" t="e">
        <f t="shared" ca="1" si="1"/>
        <v>#NAME?</v>
      </c>
      <c r="P72" s="38" t="e">
        <f ca="1">_xll.RiskBinomial(1,O72)</f>
        <v>#NAME?</v>
      </c>
      <c r="Q72" s="86" t="e">
        <f ca="1">IF(P72=1,_xll.RiskBinomial(1,Prob_illness_Noro_infection),0)</f>
        <v>#NAME?</v>
      </c>
      <c r="R72" s="33"/>
      <c r="S72" s="85" t="e">
        <f t="shared" ca="1" si="39"/>
        <v>#NAME?</v>
      </c>
      <c r="T72" s="40" t="e">
        <f ca="1">INT(S72) + _xll.RiskBinomial(1,S72-INT(S72))</f>
        <v>#NAME?</v>
      </c>
      <c r="U72" s="33" t="e">
        <f t="shared" ca="1" si="2"/>
        <v>#NAME?</v>
      </c>
      <c r="V72" s="38" t="e">
        <f ca="1">_xll.RiskBinomial(1,U72)</f>
        <v>#NAME?</v>
      </c>
      <c r="W72" s="86" t="e">
        <f ca="1">IF(V72=1,_xll.RiskBinomial(1,Prob_illness_Noro_infection),0)</f>
        <v>#NAME?</v>
      </c>
      <c r="X72" s="33"/>
      <c r="Y72" s="85" t="e">
        <f t="shared" ca="1" si="3"/>
        <v>#NAME?</v>
      </c>
      <c r="Z72" s="40" t="e">
        <f ca="1">INT(Y72) + _xll.RiskBinomial(1,Y72-INT(Y72))</f>
        <v>#NAME?</v>
      </c>
      <c r="AA72" s="33" t="e">
        <f t="shared" ca="1" si="4"/>
        <v>#NAME?</v>
      </c>
      <c r="AB72" s="38" t="e">
        <f ca="1">_xll.RiskBinomial(1,AA72)</f>
        <v>#NAME?</v>
      </c>
      <c r="AC72" s="86" t="e">
        <f ca="1">IF(AB72=1,_xll.RiskBinomial(1,Prob_illness_Noro_infection),0)</f>
        <v>#NAME?</v>
      </c>
      <c r="AD72" s="33"/>
      <c r="AE72" s="85" t="e">
        <f t="shared" ca="1" si="5"/>
        <v>#NAME?</v>
      </c>
      <c r="AF72" s="40" t="e">
        <f ca="1">INT(AE72) + _xll.RiskBinomial(1,AE72-INT(AE72))</f>
        <v>#NAME?</v>
      </c>
      <c r="AG72" s="33" t="e">
        <f t="shared" ca="1" si="6"/>
        <v>#NAME?</v>
      </c>
      <c r="AH72" s="38" t="e">
        <f ca="1">_xll.RiskBinomial(1,AG72)</f>
        <v>#NAME?</v>
      </c>
      <c r="AI72" s="86" t="e">
        <f ca="1">IF(AH72=1,_xll.RiskBinomial(1,Prob_illness_Noro_infection),0)</f>
        <v>#NAME?</v>
      </c>
      <c r="AJ72" s="33"/>
      <c r="AK72" s="85" t="e">
        <f t="shared" ca="1" si="7"/>
        <v>#NAME?</v>
      </c>
      <c r="AL72" s="40" t="e">
        <f ca="1">INT(AK72) + _xll.RiskBinomial(1,AK72-INT(AK72))</f>
        <v>#NAME?</v>
      </c>
      <c r="AM72" s="33" t="e">
        <f t="shared" ca="1" si="8"/>
        <v>#NAME?</v>
      </c>
      <c r="AN72" s="38" t="e">
        <f ca="1">_xll.RiskBinomial(1,AM72)</f>
        <v>#NAME?</v>
      </c>
      <c r="AO72" s="86" t="e">
        <f ca="1">IF(AN72=1,_xll.RiskBinomial(1,Prob_illness_Noro_infection),0)</f>
        <v>#NAME?</v>
      </c>
      <c r="AP72" s="33"/>
      <c r="AQ72" s="85" t="e">
        <f t="shared" ca="1" si="65"/>
        <v>#NAME?</v>
      </c>
      <c r="AR72" s="40" t="e">
        <f ca="1">INT(AQ72) + _xll.RiskBinomial(1,AQ72-INT(AQ72))</f>
        <v>#NAME?</v>
      </c>
      <c r="AS72" s="33" t="e">
        <f t="shared" ca="1" si="10"/>
        <v>#NAME?</v>
      </c>
      <c r="AT72" s="38" t="e">
        <f ca="1">_xll.RiskBinomial(1,AS72)</f>
        <v>#NAME?</v>
      </c>
      <c r="AU72" s="86" t="e">
        <f ca="1">IF(AT72=1,_xll.RiskBinomial(1,Prob_illness_Noro_infection),0)</f>
        <v>#NAME?</v>
      </c>
      <c r="AV72" s="33"/>
      <c r="AW72" s="85" t="e">
        <f t="shared" ca="1" si="40"/>
        <v>#NAME?</v>
      </c>
      <c r="AX72" s="40" t="e">
        <f ca="1">INT(AW72) + _xll.RiskBinomial(1,AW72-INT(AW72))</f>
        <v>#NAME?</v>
      </c>
      <c r="AY72" s="33" t="e">
        <f t="shared" ca="1" si="11"/>
        <v>#NAME?</v>
      </c>
      <c r="AZ72" s="38" t="e">
        <f ca="1">_xll.RiskBinomial(1,AY72)</f>
        <v>#NAME?</v>
      </c>
      <c r="BA72" s="86" t="e">
        <f ca="1">IF(AZ72=1,_xll.RiskBinomial(1,Prob_illness_Noro_infection),0)</f>
        <v>#NAME?</v>
      </c>
      <c r="BC72" s="85" t="e">
        <f t="shared" ca="1" si="41"/>
        <v>#NAME?</v>
      </c>
      <c r="BD72" s="40" t="e">
        <f ca="1">INT(BC72) + _xll.RiskBinomial(1,BC72-INT(BC72))</f>
        <v>#NAME?</v>
      </c>
      <c r="BE72" s="33" t="e">
        <f t="shared" ca="1" si="12"/>
        <v>#NAME?</v>
      </c>
      <c r="BF72" s="38" t="e">
        <f ca="1">_xll.RiskBinomial(1,BE72)</f>
        <v>#NAME?</v>
      </c>
      <c r="BG72" s="86" t="e">
        <f ca="1">IF(BF72=1,_xll.RiskBinomial(1,Prob_illness_Noro_infection),0)</f>
        <v>#NAME?</v>
      </c>
      <c r="BI72" s="85" t="e">
        <f t="shared" ca="1" si="42"/>
        <v>#NAME?</v>
      </c>
      <c r="BJ72" s="40" t="e">
        <f ca="1">INT(BI72) + _xll.RiskBinomial(1,BI72-INT(BI72))</f>
        <v>#NAME?</v>
      </c>
      <c r="BK72" s="33" t="e">
        <f t="shared" ca="1" si="13"/>
        <v>#NAME?</v>
      </c>
      <c r="BL72" s="38" t="e">
        <f ca="1">_xll.RiskBinomial(1,BK72)</f>
        <v>#NAME?</v>
      </c>
      <c r="BM72" s="86" t="e">
        <f ca="1">IF(BL72=1,_xll.RiskBinomial(1,Prob_illness_Noro_infection),0)</f>
        <v>#NAME?</v>
      </c>
      <c r="BO72" s="85" t="e">
        <f t="shared" ca="1" si="43"/>
        <v>#NAME?</v>
      </c>
      <c r="BP72" s="40" t="e">
        <f ca="1">INT(BO72) + _xll.RiskBinomial(1,BO72-INT(BO72))</f>
        <v>#NAME?</v>
      </c>
      <c r="BQ72" s="33" t="e">
        <f t="shared" ca="1" si="14"/>
        <v>#NAME?</v>
      </c>
      <c r="BR72" s="38" t="e">
        <f ca="1">_xll.RiskBinomial(1,BQ72)</f>
        <v>#NAME?</v>
      </c>
      <c r="BS72" s="86" t="e">
        <f ca="1">IF(BR72=1,_xll.RiskBinomial(1,Prob_illness_Noro_infection),0)</f>
        <v>#NAME?</v>
      </c>
      <c r="BU72" s="85" t="e">
        <f t="shared" ca="1" si="44"/>
        <v>#NAME?</v>
      </c>
      <c r="BV72" s="40" t="e">
        <f ca="1">INT(BU72) + _xll.RiskBinomial(1,BU72-INT(BU72))</f>
        <v>#NAME?</v>
      </c>
      <c r="BW72" s="33" t="e">
        <f t="shared" ca="1" si="15"/>
        <v>#NAME?</v>
      </c>
      <c r="BX72" s="38" t="e">
        <f ca="1">_xll.RiskBinomial(1,BW72)</f>
        <v>#NAME?</v>
      </c>
      <c r="BY72" s="86" t="e">
        <f ca="1">IF(BX72=1,_xll.RiskBinomial(1,Prob_illness_Noro_infection),0)</f>
        <v>#NAME?</v>
      </c>
      <c r="CA72" s="85" t="e">
        <f t="shared" ca="1" si="45"/>
        <v>#NAME?</v>
      </c>
      <c r="CB72" s="40" t="e">
        <f ca="1">INT(CA72) + _xll.RiskBinomial(1,CA72-INT(CA72))</f>
        <v>#NAME?</v>
      </c>
      <c r="CC72" s="33" t="e">
        <f t="shared" ca="1" si="16"/>
        <v>#NAME?</v>
      </c>
      <c r="CD72" s="38" t="e">
        <f ca="1">_xll.RiskBinomial(1,CC72)</f>
        <v>#NAME?</v>
      </c>
      <c r="CE72" s="86" t="e">
        <f ca="1">IF(CD72=1,_xll.RiskBinomial(1,Prob_illness_Noro_infection),0)</f>
        <v>#NAME?</v>
      </c>
      <c r="CG72" s="85" t="e">
        <f t="shared" ca="1" si="46"/>
        <v>#NAME?</v>
      </c>
      <c r="CH72" s="40" t="e">
        <f ca="1">INT(CG72) + _xll.RiskBinomial(1,CG72-INT(CG72))</f>
        <v>#NAME?</v>
      </c>
      <c r="CI72" s="33" t="e">
        <f t="shared" ca="1" si="17"/>
        <v>#NAME?</v>
      </c>
      <c r="CJ72" s="38" t="e">
        <f ca="1">_xll.RiskBinomial(1,CI72)</f>
        <v>#NAME?</v>
      </c>
      <c r="CK72" s="86" t="e">
        <f ca="1">IF(CJ72=1,_xll.RiskBinomial(1,Prob_illness_Noro_infection),0)</f>
        <v>#NAME?</v>
      </c>
      <c r="CM72" s="85" t="e">
        <f t="shared" ca="1" si="47"/>
        <v>#NAME?</v>
      </c>
      <c r="CN72" s="40" t="e">
        <f ca="1">INT(CM72) + _xll.RiskBinomial(1,CM72-INT(CM72))</f>
        <v>#NAME?</v>
      </c>
      <c r="CO72" s="33" t="e">
        <f t="shared" ca="1" si="18"/>
        <v>#NAME?</v>
      </c>
      <c r="CP72" s="38" t="e">
        <f ca="1">_xll.RiskBinomial(1,CO72)</f>
        <v>#NAME?</v>
      </c>
      <c r="CQ72" s="86" t="e">
        <f ca="1">IF(CP72=1,_xll.RiskBinomial(1,Prob_illness_Noro_infection),0)</f>
        <v>#NAME?</v>
      </c>
      <c r="CS72" s="85" t="e">
        <f t="shared" ca="1" si="48"/>
        <v>#NAME?</v>
      </c>
      <c r="CT72" s="40" t="e">
        <f ca="1">INT(CS72) + _xll.RiskBinomial(1,CS72-INT(CS72))</f>
        <v>#NAME?</v>
      </c>
      <c r="CU72" s="33" t="e">
        <f t="shared" ca="1" si="19"/>
        <v>#NAME?</v>
      </c>
      <c r="CV72" s="38" t="e">
        <f ca="1">_xll.RiskBinomial(1,CU72)</f>
        <v>#NAME?</v>
      </c>
      <c r="CW72" s="86" t="e">
        <f ca="1">IF(CV72=1,_xll.RiskBinomial(1,Prob_illness_Noro_infection),0)</f>
        <v>#NAME?</v>
      </c>
      <c r="CY72" s="85" t="e">
        <f t="shared" ca="1" si="49"/>
        <v>#NAME?</v>
      </c>
      <c r="CZ72" s="40" t="e">
        <f ca="1">INT(CY72) + _xll.RiskBinomial(1,CY72-INT(CY72))</f>
        <v>#NAME?</v>
      </c>
      <c r="DA72" s="33" t="e">
        <f t="shared" ca="1" si="20"/>
        <v>#NAME?</v>
      </c>
      <c r="DB72" s="38" t="e">
        <f ca="1">_xll.RiskBinomial(1,DA72)</f>
        <v>#NAME?</v>
      </c>
      <c r="DC72" s="86" t="e">
        <f ca="1">IF(DB72=1,_xll.RiskBinomial(1,Prob_illness_Noro_infection),0)</f>
        <v>#NAME?</v>
      </c>
      <c r="DE72" s="85" t="e">
        <f t="shared" ca="1" si="50"/>
        <v>#NAME?</v>
      </c>
      <c r="DF72" s="40" t="e">
        <f ca="1">INT(DE72) + _xll.RiskBinomial(1,DE72-INT(DE72))</f>
        <v>#NAME?</v>
      </c>
      <c r="DG72" s="33" t="e">
        <f t="shared" ca="1" si="21"/>
        <v>#NAME?</v>
      </c>
      <c r="DH72" s="38" t="e">
        <f ca="1">_xll.RiskBinomial(1,DG72)</f>
        <v>#NAME?</v>
      </c>
      <c r="DI72" s="86" t="e">
        <f ca="1">IF(DH72=1,_xll.RiskBinomial(1,Prob_illness_Noro_infection),0)</f>
        <v>#NAME?</v>
      </c>
      <c r="DK72" s="85" t="e">
        <f t="shared" ca="1" si="51"/>
        <v>#NAME?</v>
      </c>
      <c r="DL72" s="40" t="e">
        <f ca="1">INT(DK72) + _xll.RiskBinomial(1,DK72-INT(DK72))</f>
        <v>#NAME?</v>
      </c>
      <c r="DM72" s="33" t="e">
        <f t="shared" ca="1" si="22"/>
        <v>#NAME?</v>
      </c>
      <c r="DN72" s="38" t="e">
        <f ca="1">_xll.RiskBinomial(1,DM72)</f>
        <v>#NAME?</v>
      </c>
      <c r="DO72" s="86" t="e">
        <f ca="1">IF(DN72=1,_xll.RiskBinomial(1,Prob_illness_Noro_infection),0)</f>
        <v>#NAME?</v>
      </c>
      <c r="DQ72" s="85" t="e">
        <f t="shared" ca="1" si="52"/>
        <v>#NAME?</v>
      </c>
      <c r="DR72" s="40" t="e">
        <f ca="1">INT(DQ72) + _xll.RiskBinomial(1,DQ72-INT(DQ72))</f>
        <v>#NAME?</v>
      </c>
      <c r="DS72" s="33" t="e">
        <f t="shared" ca="1" si="23"/>
        <v>#NAME?</v>
      </c>
      <c r="DT72" s="38" t="e">
        <f ca="1">_xll.RiskBinomial(1,DS72)</f>
        <v>#NAME?</v>
      </c>
      <c r="DU72" s="86" t="e">
        <f ca="1">IF(DT72=1,_xll.RiskBinomial(1,Prob_illness_Noro_infection),0)</f>
        <v>#NAME?</v>
      </c>
      <c r="DW72" s="85" t="e">
        <f t="shared" ca="1" si="53"/>
        <v>#NAME?</v>
      </c>
      <c r="DX72" s="40" t="e">
        <f ca="1">INT(DW72) + _xll.RiskBinomial(1,DW72-INT(DW72))</f>
        <v>#NAME?</v>
      </c>
      <c r="DY72" s="33" t="e">
        <f t="shared" ca="1" si="24"/>
        <v>#NAME?</v>
      </c>
      <c r="DZ72" s="38" t="e">
        <f ca="1">_xll.RiskBinomial(1,DY72)</f>
        <v>#NAME?</v>
      </c>
      <c r="EA72" s="86" t="e">
        <f ca="1">IF(DZ72=1,_xll.RiskBinomial(1,Prob_illness_Noro_infection),0)</f>
        <v>#NAME?</v>
      </c>
      <c r="EC72" s="85" t="e">
        <f t="shared" ca="1" si="54"/>
        <v>#NAME?</v>
      </c>
      <c r="ED72" s="40" t="e">
        <f ca="1">INT(EC72) + _xll.RiskBinomial(1,EC72-INT(EC72))</f>
        <v>#NAME?</v>
      </c>
      <c r="EE72" s="33" t="e">
        <f t="shared" ca="1" si="25"/>
        <v>#NAME?</v>
      </c>
      <c r="EF72" s="38" t="e">
        <f ca="1">_xll.RiskBinomial(1,EE72)</f>
        <v>#NAME?</v>
      </c>
      <c r="EG72" s="86" t="e">
        <f ca="1">IF(EF72=1,_xll.RiskBinomial(1,Prob_illness_Noro_infection),0)</f>
        <v>#NAME?</v>
      </c>
      <c r="EI72" s="85" t="e">
        <f t="shared" ca="1" si="55"/>
        <v>#NAME?</v>
      </c>
      <c r="EJ72" s="40" t="e">
        <f ca="1">INT(EI72) + _xll.RiskBinomial(1,EI72-INT(EI72))</f>
        <v>#NAME?</v>
      </c>
      <c r="EK72" s="33" t="e">
        <f t="shared" ca="1" si="26"/>
        <v>#NAME?</v>
      </c>
      <c r="EL72" s="38" t="e">
        <f ca="1">_xll.RiskBinomial(1,EK72)</f>
        <v>#NAME?</v>
      </c>
      <c r="EM72" s="86" t="e">
        <f ca="1">IF(EL72=1,_xll.RiskBinomial(1,Prob_illness_Noro_infection),0)</f>
        <v>#NAME?</v>
      </c>
      <c r="EO72" s="85" t="e">
        <f t="shared" ca="1" si="56"/>
        <v>#NAME?</v>
      </c>
      <c r="EP72" s="40" t="e">
        <f ca="1">INT(EO72) + _xll.RiskBinomial(1,EO72-INT(EO72))</f>
        <v>#NAME?</v>
      </c>
      <c r="EQ72" s="33" t="e">
        <f t="shared" ca="1" si="27"/>
        <v>#NAME?</v>
      </c>
      <c r="ER72" s="38" t="e">
        <f ca="1">_xll.RiskBinomial(1,EQ72)</f>
        <v>#NAME?</v>
      </c>
      <c r="ES72" s="86" t="e">
        <f ca="1">IF(ER72=1,_xll.RiskBinomial(1,Prob_illness_Noro_infection),0)</f>
        <v>#NAME?</v>
      </c>
      <c r="EU72" s="85" t="e">
        <f t="shared" ca="1" si="57"/>
        <v>#NAME?</v>
      </c>
      <c r="EV72" s="40" t="e">
        <f ca="1">INT(EU72) + _xll.RiskBinomial(1,EU72-INT(EU72))</f>
        <v>#NAME?</v>
      </c>
      <c r="EW72" s="33" t="e">
        <f t="shared" ca="1" si="28"/>
        <v>#NAME?</v>
      </c>
      <c r="EX72" s="38" t="e">
        <f ca="1">_xll.RiskBinomial(1,EW72)</f>
        <v>#NAME?</v>
      </c>
      <c r="EY72" s="86" t="e">
        <f ca="1">IF(EX72=1,_xll.RiskBinomial(1,Prob_illness_Noro_infection),0)</f>
        <v>#NAME?</v>
      </c>
      <c r="FA72" s="85" t="e">
        <f t="shared" ca="1" si="58"/>
        <v>#NAME?</v>
      </c>
      <c r="FB72" s="40" t="e">
        <f ca="1">INT(FA72) + _xll.RiskBinomial(1,FA72-INT(FA72))</f>
        <v>#NAME?</v>
      </c>
      <c r="FC72" s="33" t="e">
        <f t="shared" ca="1" si="29"/>
        <v>#NAME?</v>
      </c>
      <c r="FD72" s="38" t="e">
        <f ca="1">_xll.RiskBinomial(1,FC72)</f>
        <v>#NAME?</v>
      </c>
      <c r="FE72" s="86" t="e">
        <f ca="1">IF(FD72=1,_xll.RiskBinomial(1,Prob_illness_Noro_infection),0)</f>
        <v>#NAME?</v>
      </c>
      <c r="FG72" s="85" t="e">
        <f t="shared" ca="1" si="59"/>
        <v>#NAME?</v>
      </c>
      <c r="FH72" s="40" t="e">
        <f ca="1">INT(FG72) + _xll.RiskBinomial(1,FG72-INT(FG72))</f>
        <v>#NAME?</v>
      </c>
      <c r="FI72" s="33" t="e">
        <f t="shared" ca="1" si="30"/>
        <v>#NAME?</v>
      </c>
      <c r="FJ72" s="38" t="e">
        <f ca="1">_xll.RiskBinomial(1,FI72)</f>
        <v>#NAME?</v>
      </c>
      <c r="FK72" s="86" t="e">
        <f ca="1">IF(FJ72=1,_xll.RiskBinomial(1,Prob_illness_Noro_infection),0)</f>
        <v>#NAME?</v>
      </c>
      <c r="FM72" s="85" t="e">
        <f t="shared" ca="1" si="60"/>
        <v>#NAME?</v>
      </c>
      <c r="FN72" s="40" t="e">
        <f ca="1">INT(FM72) + _xll.RiskBinomial(1,FM72-INT(FM72))</f>
        <v>#NAME?</v>
      </c>
      <c r="FO72" s="33" t="e">
        <f t="shared" ca="1" si="31"/>
        <v>#NAME?</v>
      </c>
      <c r="FP72" s="38" t="e">
        <f ca="1">_xll.RiskBinomial(1,FO72)</f>
        <v>#NAME?</v>
      </c>
      <c r="FQ72" s="86" t="e">
        <f ca="1">IF(FP72=1,_xll.RiskBinomial(1,Prob_illness_Noro_infection),0)</f>
        <v>#NAME?</v>
      </c>
      <c r="FS72" s="85" t="e">
        <f t="shared" ca="1" si="61"/>
        <v>#NAME?</v>
      </c>
      <c r="FT72" s="40" t="e">
        <f ca="1">INT(FS72) + _xll.RiskBinomial(1,FS72-INT(FS72))</f>
        <v>#NAME?</v>
      </c>
      <c r="FU72" s="33" t="e">
        <f t="shared" ca="1" si="32"/>
        <v>#NAME?</v>
      </c>
      <c r="FV72" s="38" t="e">
        <f ca="1">_xll.RiskBinomial(1,FU72)</f>
        <v>#NAME?</v>
      </c>
      <c r="FW72" s="86" t="e">
        <f ca="1">IF(FV72=1,_xll.RiskBinomial(1,Prob_illness_Noro_infection),0)</f>
        <v>#NAME?</v>
      </c>
      <c r="FY72" s="85" t="e">
        <f t="shared" ca="1" si="62"/>
        <v>#NAME?</v>
      </c>
      <c r="FZ72" s="40" t="e">
        <f ca="1">INT(FY72) + _xll.RiskBinomial(1,FY72-INT(FY72))</f>
        <v>#NAME?</v>
      </c>
      <c r="GA72" s="33" t="e">
        <f t="shared" ca="1" si="33"/>
        <v>#NAME?</v>
      </c>
      <c r="GB72" s="38" t="e">
        <f ca="1">_xll.RiskBinomial(1,GA72)</f>
        <v>#NAME?</v>
      </c>
      <c r="GC72" s="86" t="e">
        <f ca="1">IF(GB72=1,_xll.RiskBinomial(1,Prob_illness_Noro_infection),0)</f>
        <v>#NAME?</v>
      </c>
      <c r="GE72" s="85" t="e">
        <f t="shared" ca="1" si="63"/>
        <v>#NAME?</v>
      </c>
      <c r="GF72" s="40" t="e">
        <f ca="1">INT(GE72) + _xll.RiskBinomial(1,GE72-INT(GE72))</f>
        <v>#NAME?</v>
      </c>
      <c r="GG72" s="33" t="e">
        <f t="shared" ca="1" si="34"/>
        <v>#NAME?</v>
      </c>
      <c r="GH72" s="38" t="e">
        <f ca="1">_xll.RiskBinomial(1,GG72)</f>
        <v>#NAME?</v>
      </c>
      <c r="GI72" s="86" t="e">
        <f ca="1">IF(GH72=1,_xll.RiskBinomial(1,Prob_illness_Noro_infection),0)</f>
        <v>#NAME?</v>
      </c>
      <c r="GK72" s="85" t="e">
        <f t="shared" ca="1" si="64"/>
        <v>#NAME?</v>
      </c>
      <c r="GL72" s="40" t="e">
        <f ca="1">INT(GK72) + _xll.RiskBinomial(1,GK72-INT(GK72))</f>
        <v>#NAME?</v>
      </c>
      <c r="GM72" s="33" t="e">
        <f t="shared" ca="1" si="35"/>
        <v>#NAME?</v>
      </c>
      <c r="GN72" s="38" t="e">
        <f ca="1">_xll.RiskBinomial(1,GM72)</f>
        <v>#NAME?</v>
      </c>
      <c r="GO72" s="86" t="e">
        <f ca="1">IF(GN72=1,_xll.RiskBinomial(1,Prob_illness_Noro_infection),0)</f>
        <v>#NAME?</v>
      </c>
    </row>
    <row r="73" spans="2:197" x14ac:dyDescent="0.25">
      <c r="B73" s="106">
        <v>65</v>
      </c>
      <c r="C73" s="109" t="e">
        <f ca="1" xml:space="preserve"> _xll.RiskPert(Dur_Swim_hours_min,Dur_Swim_hours_mode,Dur_Swim_hours_max)</f>
        <v>#NAME?</v>
      </c>
      <c r="D73" s="33" t="e">
        <f ca="1">_xll.RiskLognorm(Primary_Ing_Rate_mL_per_hour_mean,Primary_Ing_Rate_mL_per_hour_sd, _xll.RiskTruncate(Primary_Ing_Rate_mL_per_hour_min,Primary_Ing_Rate_mL_per_hour_max))</f>
        <v>#NAME?</v>
      </c>
      <c r="E73" s="41" t="e">
        <f t="shared" ca="1" si="36"/>
        <v>#NAME?</v>
      </c>
      <c r="F73" s="33"/>
      <c r="G73" s="85" t="e">
        <f t="shared" ca="1" si="37"/>
        <v>#NAME?</v>
      </c>
      <c r="H73" s="40" t="e">
        <f ca="1">INT(G73) + _xll.RiskBinomial(1,G73-INT(G73))</f>
        <v>#NAME?</v>
      </c>
      <c r="I73" s="33" t="e">
        <f t="shared" ref="I73:I108" ca="1" si="66" xml:space="preserve"> Prob__susceptible_to_Nov_infection *  MAX(1-EXP((GAMMALN(beta_nov+H73)+GAMMALN(alpha_nov+beta_nov)-GAMMALN(alpha_nov+beta_nov+H73)-GAMMALN(beta_nov))),0)</f>
        <v>#NAME?</v>
      </c>
      <c r="J73" s="38" t="e">
        <f ca="1">_xll.RiskBinomial(1,I73)</f>
        <v>#NAME?</v>
      </c>
      <c r="K73" s="86" t="e">
        <f ca="1">IF(J73=1,_xll.RiskBinomial(1,Prob_illness_Noro_infection),0)</f>
        <v>#NAME?</v>
      </c>
      <c r="L73" s="33"/>
      <c r="M73" s="85" t="e">
        <f t="shared" ref="M73:M108" ca="1" si="67">$E73*P$3/V</f>
        <v>#NAME?</v>
      </c>
      <c r="N73" s="40" t="e">
        <f ca="1">INT(M73) + _xll.RiskBinomial(1,M73-INT(M73))</f>
        <v>#NAME?</v>
      </c>
      <c r="O73" s="33" t="e">
        <f t="shared" ref="O73:O108" ca="1" si="68" xml:space="preserve"> Prob__susceptible_to_Nov_infection *  MAX(1-EXP((GAMMALN(beta_nov+N73)+GAMMALN(alpha_nov+beta_nov)-GAMMALN(alpha_nov+beta_nov+N73)-GAMMALN(beta_nov))),0)</f>
        <v>#NAME?</v>
      </c>
      <c r="P73" s="38" t="e">
        <f ca="1">_xll.RiskBinomial(1,O73)</f>
        <v>#NAME?</v>
      </c>
      <c r="Q73" s="86" t="e">
        <f ca="1">IF(P73=1,_xll.RiskBinomial(1,Prob_illness_Noro_infection),0)</f>
        <v>#NAME?</v>
      </c>
      <c r="R73" s="33"/>
      <c r="S73" s="85" t="e">
        <f t="shared" ref="S73:S108" ca="1" si="69">$E73*V$3/V</f>
        <v>#NAME?</v>
      </c>
      <c r="T73" s="40" t="e">
        <f ca="1">INT(S73) + _xll.RiskBinomial(1,S73-INT(S73))</f>
        <v>#NAME?</v>
      </c>
      <c r="U73" s="33" t="e">
        <f t="shared" ref="U73:U108" ca="1" si="70" xml:space="preserve"> Prob__susceptible_to_Nov_infection *  MAX(1-EXP((GAMMALN(beta_nov+T73)+GAMMALN(alpha_nov+beta_nov)-GAMMALN(alpha_nov+beta_nov+T73)-GAMMALN(beta_nov))),0)</f>
        <v>#NAME?</v>
      </c>
      <c r="V73" s="38" t="e">
        <f ca="1">_xll.RiskBinomial(1,U73)</f>
        <v>#NAME?</v>
      </c>
      <c r="W73" s="86" t="e">
        <f ca="1">IF(V73=1,_xll.RiskBinomial(1,Prob_illness_Noro_infection),0)</f>
        <v>#NAME?</v>
      </c>
      <c r="X73" s="33"/>
      <c r="Y73" s="85" t="e">
        <f t="shared" ref="Y73:Y108" ca="1" si="71">$E73*AB$3/V</f>
        <v>#NAME?</v>
      </c>
      <c r="Z73" s="40" t="e">
        <f ca="1">INT(Y73) + _xll.RiskBinomial(1,Y73-INT(Y73))</f>
        <v>#NAME?</v>
      </c>
      <c r="AA73" s="33" t="e">
        <f t="shared" ref="AA73:AA108" ca="1" si="72" xml:space="preserve"> Prob__susceptible_to_Nov_infection *  MAX(1-EXP((GAMMALN(beta_nov+Z73)+GAMMALN(alpha_nov+beta_nov)-GAMMALN(alpha_nov+beta_nov+Z73)-GAMMALN(beta_nov))),0)</f>
        <v>#NAME?</v>
      </c>
      <c r="AB73" s="38" t="e">
        <f ca="1">_xll.RiskBinomial(1,AA73)</f>
        <v>#NAME?</v>
      </c>
      <c r="AC73" s="86" t="e">
        <f ca="1">IF(AB73=1,_xll.RiskBinomial(1,Prob_illness_Noro_infection),0)</f>
        <v>#NAME?</v>
      </c>
      <c r="AD73" s="33"/>
      <c r="AE73" s="85" t="e">
        <f t="shared" ref="AE73:AE108" ca="1" si="73">$E73*AH$3/V</f>
        <v>#NAME?</v>
      </c>
      <c r="AF73" s="40" t="e">
        <f ca="1">INT(AE73) + _xll.RiskBinomial(1,AE73-INT(AE73))</f>
        <v>#NAME?</v>
      </c>
      <c r="AG73" s="33" t="e">
        <f t="shared" ref="AG73:AG108" ca="1" si="74" xml:space="preserve"> Prob__susceptible_to_Nov_infection *  MAX(1-EXP((GAMMALN(beta_nov+AF73)+GAMMALN(alpha_nov+beta_nov)-GAMMALN(alpha_nov+beta_nov+AF73)-GAMMALN(beta_nov))),0)</f>
        <v>#NAME?</v>
      </c>
      <c r="AH73" s="38" t="e">
        <f ca="1">_xll.RiskBinomial(1,AG73)</f>
        <v>#NAME?</v>
      </c>
      <c r="AI73" s="86" t="e">
        <f ca="1">IF(AH73=1,_xll.RiskBinomial(1,Prob_illness_Noro_infection),0)</f>
        <v>#NAME?</v>
      </c>
      <c r="AJ73" s="33"/>
      <c r="AK73" s="85" t="e">
        <f t="shared" ref="AK73:AK108" ca="1" si="75">$E73*AN$3/V</f>
        <v>#NAME?</v>
      </c>
      <c r="AL73" s="40" t="e">
        <f ca="1">INT(AK73) + _xll.RiskBinomial(1,AK73-INT(AK73))</f>
        <v>#NAME?</v>
      </c>
      <c r="AM73" s="33" t="e">
        <f t="shared" ref="AM73:AM108" ca="1" si="76" xml:space="preserve"> Prob__susceptible_to_Nov_infection *  MAX(1-EXP((GAMMALN(beta_nov+AL73)+GAMMALN(alpha_nov+beta_nov)-GAMMALN(alpha_nov+beta_nov+AL73)-GAMMALN(beta_nov))),0)</f>
        <v>#NAME?</v>
      </c>
      <c r="AN73" s="38" t="e">
        <f ca="1">_xll.RiskBinomial(1,AM73)</f>
        <v>#NAME?</v>
      </c>
      <c r="AO73" s="86" t="e">
        <f ca="1">IF(AN73=1,_xll.RiskBinomial(1,Prob_illness_Noro_infection),0)</f>
        <v>#NAME?</v>
      </c>
      <c r="AP73" s="33"/>
      <c r="AQ73" s="85" t="e">
        <f t="shared" ref="AQ73:AQ108" ca="1" si="77">$E73*AT$3/V</f>
        <v>#NAME?</v>
      </c>
      <c r="AR73" s="40" t="e">
        <f ca="1">INT(AQ73) + _xll.RiskBinomial(1,AQ73-INT(AQ73))</f>
        <v>#NAME?</v>
      </c>
      <c r="AS73" s="33" t="e">
        <f t="shared" ref="AS73:AS108" ca="1" si="78" xml:space="preserve"> Prob__susceptible_to_Nov_infection *  MAX(1-EXP((GAMMALN(beta_nov+AR73)+GAMMALN(alpha_nov+beta_nov)-GAMMALN(alpha_nov+beta_nov+AR73)-GAMMALN(beta_nov))),0)</f>
        <v>#NAME?</v>
      </c>
      <c r="AT73" s="38" t="e">
        <f ca="1">_xll.RiskBinomial(1,AS73)</f>
        <v>#NAME?</v>
      </c>
      <c r="AU73" s="86" t="e">
        <f ca="1">IF(AT73=1,_xll.RiskBinomial(1,Prob_illness_Noro_infection),0)</f>
        <v>#NAME?</v>
      </c>
      <c r="AV73" s="33"/>
      <c r="AW73" s="85" t="e">
        <f t="shared" ca="1" si="40"/>
        <v>#NAME?</v>
      </c>
      <c r="AX73" s="40" t="e">
        <f ca="1">INT(AW73) + _xll.RiskBinomial(1,AW73-INT(AW73))</f>
        <v>#NAME?</v>
      </c>
      <c r="AY73" s="33" t="e">
        <f t="shared" ref="AY73:AY108" ca="1" si="79" xml:space="preserve"> Prob__susceptible_to_Nov_infection *  MAX(1-EXP((GAMMALN(beta_nov+AX73)+GAMMALN(alpha_nov+beta_nov)-GAMMALN(alpha_nov+beta_nov+AX73)-GAMMALN(beta_nov))),0)</f>
        <v>#NAME?</v>
      </c>
      <c r="AZ73" s="38" t="e">
        <f ca="1">_xll.RiskBinomial(1,AY73)</f>
        <v>#NAME?</v>
      </c>
      <c r="BA73" s="86" t="e">
        <f ca="1">IF(AZ73=1,_xll.RiskBinomial(1,Prob_illness_Noro_infection),0)</f>
        <v>#NAME?</v>
      </c>
      <c r="BC73" s="85" t="e">
        <f t="shared" ca="1" si="41"/>
        <v>#NAME?</v>
      </c>
      <c r="BD73" s="40" t="e">
        <f ca="1">INT(BC73) + _xll.RiskBinomial(1,BC73-INT(BC73))</f>
        <v>#NAME?</v>
      </c>
      <c r="BE73" s="33" t="e">
        <f t="shared" ref="BE73:BE108" ca="1" si="80" xml:space="preserve"> Prob__susceptible_to_Nov_infection *  MAX(1-EXP((GAMMALN(beta_nov+BD73)+GAMMALN(alpha_nov+beta_nov)-GAMMALN(alpha_nov+beta_nov+BD73)-GAMMALN(beta_nov))),0)</f>
        <v>#NAME?</v>
      </c>
      <c r="BF73" s="38" t="e">
        <f ca="1">_xll.RiskBinomial(1,BE73)</f>
        <v>#NAME?</v>
      </c>
      <c r="BG73" s="86" t="e">
        <f ca="1">IF(BF73=1,_xll.RiskBinomial(1,Prob_illness_Noro_infection),0)</f>
        <v>#NAME?</v>
      </c>
      <c r="BI73" s="85" t="e">
        <f t="shared" ca="1" si="42"/>
        <v>#NAME?</v>
      </c>
      <c r="BJ73" s="40" t="e">
        <f ca="1">INT(BI73) + _xll.RiskBinomial(1,BI73-INT(BI73))</f>
        <v>#NAME?</v>
      </c>
      <c r="BK73" s="33" t="e">
        <f t="shared" ref="BK73:BK108" ca="1" si="81" xml:space="preserve"> Prob__susceptible_to_Nov_infection *  MAX(1-EXP((GAMMALN(beta_nov+BJ73)+GAMMALN(alpha_nov+beta_nov)-GAMMALN(alpha_nov+beta_nov+BJ73)-GAMMALN(beta_nov))),0)</f>
        <v>#NAME?</v>
      </c>
      <c r="BL73" s="38" t="e">
        <f ca="1">_xll.RiskBinomial(1,BK73)</f>
        <v>#NAME?</v>
      </c>
      <c r="BM73" s="86" t="e">
        <f ca="1">IF(BL73=1,_xll.RiskBinomial(1,Prob_illness_Noro_infection),0)</f>
        <v>#NAME?</v>
      </c>
      <c r="BO73" s="85" t="e">
        <f t="shared" ca="1" si="43"/>
        <v>#NAME?</v>
      </c>
      <c r="BP73" s="40" t="e">
        <f ca="1">INT(BO73) + _xll.RiskBinomial(1,BO73-INT(BO73))</f>
        <v>#NAME?</v>
      </c>
      <c r="BQ73" s="33" t="e">
        <f t="shared" ref="BQ73:BQ108" ca="1" si="82" xml:space="preserve"> Prob__susceptible_to_Nov_infection *  MAX(1-EXP((GAMMALN(beta_nov+BP73)+GAMMALN(alpha_nov+beta_nov)-GAMMALN(alpha_nov+beta_nov+BP73)-GAMMALN(beta_nov))),0)</f>
        <v>#NAME?</v>
      </c>
      <c r="BR73" s="38" t="e">
        <f ca="1">_xll.RiskBinomial(1,BQ73)</f>
        <v>#NAME?</v>
      </c>
      <c r="BS73" s="86" t="e">
        <f ca="1">IF(BR73=1,_xll.RiskBinomial(1,Prob_illness_Noro_infection),0)</f>
        <v>#NAME?</v>
      </c>
      <c r="BU73" s="85" t="e">
        <f t="shared" ca="1" si="44"/>
        <v>#NAME?</v>
      </c>
      <c r="BV73" s="40" t="e">
        <f ca="1">INT(BU73) + _xll.RiskBinomial(1,BU73-INT(BU73))</f>
        <v>#NAME?</v>
      </c>
      <c r="BW73" s="33" t="e">
        <f t="shared" ref="BW73:BW108" ca="1" si="83" xml:space="preserve"> Prob__susceptible_to_Nov_infection *  MAX(1-EXP((GAMMALN(beta_nov+BV73)+GAMMALN(alpha_nov+beta_nov)-GAMMALN(alpha_nov+beta_nov+BV73)-GAMMALN(beta_nov))),0)</f>
        <v>#NAME?</v>
      </c>
      <c r="BX73" s="38" t="e">
        <f ca="1">_xll.RiskBinomial(1,BW73)</f>
        <v>#NAME?</v>
      </c>
      <c r="BY73" s="86" t="e">
        <f ca="1">IF(BX73=1,_xll.RiskBinomial(1,Prob_illness_Noro_infection),0)</f>
        <v>#NAME?</v>
      </c>
      <c r="CA73" s="85" t="e">
        <f t="shared" ca="1" si="45"/>
        <v>#NAME?</v>
      </c>
      <c r="CB73" s="40" t="e">
        <f ca="1">INT(CA73) + _xll.RiskBinomial(1,CA73-INT(CA73))</f>
        <v>#NAME?</v>
      </c>
      <c r="CC73" s="33" t="e">
        <f t="shared" ref="CC73:CC108" ca="1" si="84" xml:space="preserve"> Prob__susceptible_to_Nov_infection *  MAX(1-EXP((GAMMALN(beta_nov+CB73)+GAMMALN(alpha_nov+beta_nov)-GAMMALN(alpha_nov+beta_nov+CB73)-GAMMALN(beta_nov))),0)</f>
        <v>#NAME?</v>
      </c>
      <c r="CD73" s="38" t="e">
        <f ca="1">_xll.RiskBinomial(1,CC73)</f>
        <v>#NAME?</v>
      </c>
      <c r="CE73" s="86" t="e">
        <f ca="1">IF(CD73=1,_xll.RiskBinomial(1,Prob_illness_Noro_infection),0)</f>
        <v>#NAME?</v>
      </c>
      <c r="CG73" s="85" t="e">
        <f t="shared" ca="1" si="46"/>
        <v>#NAME?</v>
      </c>
      <c r="CH73" s="40" t="e">
        <f ca="1">INT(CG73) + _xll.RiskBinomial(1,CG73-INT(CG73))</f>
        <v>#NAME?</v>
      </c>
      <c r="CI73" s="33" t="e">
        <f t="shared" ref="CI73:CI108" ca="1" si="85" xml:space="preserve"> Prob__susceptible_to_Nov_infection *  MAX(1-EXP((GAMMALN(beta_nov+CH73)+GAMMALN(alpha_nov+beta_nov)-GAMMALN(alpha_nov+beta_nov+CH73)-GAMMALN(beta_nov))),0)</f>
        <v>#NAME?</v>
      </c>
      <c r="CJ73" s="38" t="e">
        <f ca="1">_xll.RiskBinomial(1,CI73)</f>
        <v>#NAME?</v>
      </c>
      <c r="CK73" s="86" t="e">
        <f ca="1">IF(CJ73=1,_xll.RiskBinomial(1,Prob_illness_Noro_infection),0)</f>
        <v>#NAME?</v>
      </c>
      <c r="CM73" s="85" t="e">
        <f t="shared" ca="1" si="47"/>
        <v>#NAME?</v>
      </c>
      <c r="CN73" s="40" t="e">
        <f ca="1">INT(CM73) + _xll.RiskBinomial(1,CM73-INT(CM73))</f>
        <v>#NAME?</v>
      </c>
      <c r="CO73" s="33" t="e">
        <f t="shared" ref="CO73:CO108" ca="1" si="86" xml:space="preserve"> Prob__susceptible_to_Nov_infection *  MAX(1-EXP((GAMMALN(beta_nov+CN73)+GAMMALN(alpha_nov+beta_nov)-GAMMALN(alpha_nov+beta_nov+CN73)-GAMMALN(beta_nov))),0)</f>
        <v>#NAME?</v>
      </c>
      <c r="CP73" s="38" t="e">
        <f ca="1">_xll.RiskBinomial(1,CO73)</f>
        <v>#NAME?</v>
      </c>
      <c r="CQ73" s="86" t="e">
        <f ca="1">IF(CP73=1,_xll.RiskBinomial(1,Prob_illness_Noro_infection),0)</f>
        <v>#NAME?</v>
      </c>
      <c r="CS73" s="85" t="e">
        <f t="shared" ca="1" si="48"/>
        <v>#NAME?</v>
      </c>
      <c r="CT73" s="40" t="e">
        <f ca="1">INT(CS73) + _xll.RiskBinomial(1,CS73-INT(CS73))</f>
        <v>#NAME?</v>
      </c>
      <c r="CU73" s="33" t="e">
        <f t="shared" ref="CU73:CU108" ca="1" si="87" xml:space="preserve"> Prob__susceptible_to_Nov_infection *  MAX(1-EXP((GAMMALN(beta_nov+CT73)+GAMMALN(alpha_nov+beta_nov)-GAMMALN(alpha_nov+beta_nov+CT73)-GAMMALN(beta_nov))),0)</f>
        <v>#NAME?</v>
      </c>
      <c r="CV73" s="38" t="e">
        <f ca="1">_xll.RiskBinomial(1,CU73)</f>
        <v>#NAME?</v>
      </c>
      <c r="CW73" s="86" t="e">
        <f ca="1">IF(CV73=1,_xll.RiskBinomial(1,Prob_illness_Noro_infection),0)</f>
        <v>#NAME?</v>
      </c>
      <c r="CY73" s="85" t="e">
        <f t="shared" ca="1" si="49"/>
        <v>#NAME?</v>
      </c>
      <c r="CZ73" s="40" t="e">
        <f ca="1">INT(CY73) + _xll.RiskBinomial(1,CY73-INT(CY73))</f>
        <v>#NAME?</v>
      </c>
      <c r="DA73" s="33" t="e">
        <f t="shared" ref="DA73:DA108" ca="1" si="88" xml:space="preserve"> Prob__susceptible_to_Nov_infection *  MAX(1-EXP((GAMMALN(beta_nov+CZ73)+GAMMALN(alpha_nov+beta_nov)-GAMMALN(alpha_nov+beta_nov+CZ73)-GAMMALN(beta_nov))),0)</f>
        <v>#NAME?</v>
      </c>
      <c r="DB73" s="38" t="e">
        <f ca="1">_xll.RiskBinomial(1,DA73)</f>
        <v>#NAME?</v>
      </c>
      <c r="DC73" s="86" t="e">
        <f ca="1">IF(DB73=1,_xll.RiskBinomial(1,Prob_illness_Noro_infection),0)</f>
        <v>#NAME?</v>
      </c>
      <c r="DE73" s="85" t="e">
        <f t="shared" ca="1" si="50"/>
        <v>#NAME?</v>
      </c>
      <c r="DF73" s="40" t="e">
        <f ca="1">INT(DE73) + _xll.RiskBinomial(1,DE73-INT(DE73))</f>
        <v>#NAME?</v>
      </c>
      <c r="DG73" s="33" t="e">
        <f t="shared" ref="DG73:DG108" ca="1" si="89" xml:space="preserve"> Prob__susceptible_to_Nov_infection *  MAX(1-EXP((GAMMALN(beta_nov+DF73)+GAMMALN(alpha_nov+beta_nov)-GAMMALN(alpha_nov+beta_nov+DF73)-GAMMALN(beta_nov))),0)</f>
        <v>#NAME?</v>
      </c>
      <c r="DH73" s="38" t="e">
        <f ca="1">_xll.RiskBinomial(1,DG73)</f>
        <v>#NAME?</v>
      </c>
      <c r="DI73" s="86" t="e">
        <f ca="1">IF(DH73=1,_xll.RiskBinomial(1,Prob_illness_Noro_infection),0)</f>
        <v>#NAME?</v>
      </c>
      <c r="DK73" s="85" t="e">
        <f t="shared" ca="1" si="51"/>
        <v>#NAME?</v>
      </c>
      <c r="DL73" s="40" t="e">
        <f ca="1">INT(DK73) + _xll.RiskBinomial(1,DK73-INT(DK73))</f>
        <v>#NAME?</v>
      </c>
      <c r="DM73" s="33" t="e">
        <f t="shared" ref="DM73:DM108" ca="1" si="90" xml:space="preserve"> Prob__susceptible_to_Nov_infection *  MAX(1-EXP((GAMMALN(beta_nov+DL73)+GAMMALN(alpha_nov+beta_nov)-GAMMALN(alpha_nov+beta_nov+DL73)-GAMMALN(beta_nov))),0)</f>
        <v>#NAME?</v>
      </c>
      <c r="DN73" s="38" t="e">
        <f ca="1">_xll.RiskBinomial(1,DM73)</f>
        <v>#NAME?</v>
      </c>
      <c r="DO73" s="86" t="e">
        <f ca="1">IF(DN73=1,_xll.RiskBinomial(1,Prob_illness_Noro_infection),0)</f>
        <v>#NAME?</v>
      </c>
      <c r="DQ73" s="85" t="e">
        <f t="shared" ca="1" si="52"/>
        <v>#NAME?</v>
      </c>
      <c r="DR73" s="40" t="e">
        <f ca="1">INT(DQ73) + _xll.RiskBinomial(1,DQ73-INT(DQ73))</f>
        <v>#NAME?</v>
      </c>
      <c r="DS73" s="33" t="e">
        <f t="shared" ref="DS73:DS108" ca="1" si="91" xml:space="preserve"> Prob__susceptible_to_Nov_infection *  MAX(1-EXP((GAMMALN(beta_nov+DR73)+GAMMALN(alpha_nov+beta_nov)-GAMMALN(alpha_nov+beta_nov+DR73)-GAMMALN(beta_nov))),0)</f>
        <v>#NAME?</v>
      </c>
      <c r="DT73" s="38" t="e">
        <f ca="1">_xll.RiskBinomial(1,DS73)</f>
        <v>#NAME?</v>
      </c>
      <c r="DU73" s="86" t="e">
        <f ca="1">IF(DT73=1,_xll.RiskBinomial(1,Prob_illness_Noro_infection),0)</f>
        <v>#NAME?</v>
      </c>
      <c r="DW73" s="85" t="e">
        <f t="shared" ca="1" si="53"/>
        <v>#NAME?</v>
      </c>
      <c r="DX73" s="40" t="e">
        <f ca="1">INT(DW73) + _xll.RiskBinomial(1,DW73-INT(DW73))</f>
        <v>#NAME?</v>
      </c>
      <c r="DY73" s="33" t="e">
        <f t="shared" ref="DY73:DY108" ca="1" si="92" xml:space="preserve"> Prob__susceptible_to_Nov_infection *  MAX(1-EXP((GAMMALN(beta_nov+DX73)+GAMMALN(alpha_nov+beta_nov)-GAMMALN(alpha_nov+beta_nov+DX73)-GAMMALN(beta_nov))),0)</f>
        <v>#NAME?</v>
      </c>
      <c r="DZ73" s="38" t="e">
        <f ca="1">_xll.RiskBinomial(1,DY73)</f>
        <v>#NAME?</v>
      </c>
      <c r="EA73" s="86" t="e">
        <f ca="1">IF(DZ73=1,_xll.RiskBinomial(1,Prob_illness_Noro_infection),0)</f>
        <v>#NAME?</v>
      </c>
      <c r="EC73" s="85" t="e">
        <f t="shared" ca="1" si="54"/>
        <v>#NAME?</v>
      </c>
      <c r="ED73" s="40" t="e">
        <f ca="1">INT(EC73) + _xll.RiskBinomial(1,EC73-INT(EC73))</f>
        <v>#NAME?</v>
      </c>
      <c r="EE73" s="33" t="e">
        <f t="shared" ref="EE73:EE108" ca="1" si="93" xml:space="preserve"> Prob__susceptible_to_Nov_infection *  MAX(1-EXP((GAMMALN(beta_nov+ED73)+GAMMALN(alpha_nov+beta_nov)-GAMMALN(alpha_nov+beta_nov+ED73)-GAMMALN(beta_nov))),0)</f>
        <v>#NAME?</v>
      </c>
      <c r="EF73" s="38" t="e">
        <f ca="1">_xll.RiskBinomial(1,EE73)</f>
        <v>#NAME?</v>
      </c>
      <c r="EG73" s="86" t="e">
        <f ca="1">IF(EF73=1,_xll.RiskBinomial(1,Prob_illness_Noro_infection),0)</f>
        <v>#NAME?</v>
      </c>
      <c r="EI73" s="85" t="e">
        <f t="shared" ca="1" si="55"/>
        <v>#NAME?</v>
      </c>
      <c r="EJ73" s="40" t="e">
        <f ca="1">INT(EI73) + _xll.RiskBinomial(1,EI73-INT(EI73))</f>
        <v>#NAME?</v>
      </c>
      <c r="EK73" s="33" t="e">
        <f t="shared" ref="EK73:EK108" ca="1" si="94" xml:space="preserve"> Prob__susceptible_to_Nov_infection *  MAX(1-EXP((GAMMALN(beta_nov+EJ73)+GAMMALN(alpha_nov+beta_nov)-GAMMALN(alpha_nov+beta_nov+EJ73)-GAMMALN(beta_nov))),0)</f>
        <v>#NAME?</v>
      </c>
      <c r="EL73" s="38" t="e">
        <f ca="1">_xll.RiskBinomial(1,EK73)</f>
        <v>#NAME?</v>
      </c>
      <c r="EM73" s="86" t="e">
        <f ca="1">IF(EL73=1,_xll.RiskBinomial(1,Prob_illness_Noro_infection),0)</f>
        <v>#NAME?</v>
      </c>
      <c r="EO73" s="85" t="e">
        <f t="shared" ca="1" si="56"/>
        <v>#NAME?</v>
      </c>
      <c r="EP73" s="40" t="e">
        <f ca="1">INT(EO73) + _xll.RiskBinomial(1,EO73-INT(EO73))</f>
        <v>#NAME?</v>
      </c>
      <c r="EQ73" s="33" t="e">
        <f t="shared" ref="EQ73:EQ108" ca="1" si="95" xml:space="preserve"> Prob__susceptible_to_Nov_infection *  MAX(1-EXP((GAMMALN(beta_nov+EP73)+GAMMALN(alpha_nov+beta_nov)-GAMMALN(alpha_nov+beta_nov+EP73)-GAMMALN(beta_nov))),0)</f>
        <v>#NAME?</v>
      </c>
      <c r="ER73" s="38" t="e">
        <f ca="1">_xll.RiskBinomial(1,EQ73)</f>
        <v>#NAME?</v>
      </c>
      <c r="ES73" s="86" t="e">
        <f ca="1">IF(ER73=1,_xll.RiskBinomial(1,Prob_illness_Noro_infection),0)</f>
        <v>#NAME?</v>
      </c>
      <c r="EU73" s="85" t="e">
        <f t="shared" ca="1" si="57"/>
        <v>#NAME?</v>
      </c>
      <c r="EV73" s="40" t="e">
        <f ca="1">INT(EU73) + _xll.RiskBinomial(1,EU73-INT(EU73))</f>
        <v>#NAME?</v>
      </c>
      <c r="EW73" s="33" t="e">
        <f t="shared" ref="EW73:EW108" ca="1" si="96" xml:space="preserve"> Prob__susceptible_to_Nov_infection *  MAX(1-EXP((GAMMALN(beta_nov+EV73)+GAMMALN(alpha_nov+beta_nov)-GAMMALN(alpha_nov+beta_nov+EV73)-GAMMALN(beta_nov))),0)</f>
        <v>#NAME?</v>
      </c>
      <c r="EX73" s="38" t="e">
        <f ca="1">_xll.RiskBinomial(1,EW73)</f>
        <v>#NAME?</v>
      </c>
      <c r="EY73" s="86" t="e">
        <f ca="1">IF(EX73=1,_xll.RiskBinomial(1,Prob_illness_Noro_infection),0)</f>
        <v>#NAME?</v>
      </c>
      <c r="FA73" s="85" t="e">
        <f t="shared" ca="1" si="58"/>
        <v>#NAME?</v>
      </c>
      <c r="FB73" s="40" t="e">
        <f ca="1">INT(FA73) + _xll.RiskBinomial(1,FA73-INT(FA73))</f>
        <v>#NAME?</v>
      </c>
      <c r="FC73" s="33" t="e">
        <f t="shared" ref="FC73:FC108" ca="1" si="97" xml:space="preserve"> Prob__susceptible_to_Nov_infection *  MAX(1-EXP((GAMMALN(beta_nov+FB73)+GAMMALN(alpha_nov+beta_nov)-GAMMALN(alpha_nov+beta_nov+FB73)-GAMMALN(beta_nov))),0)</f>
        <v>#NAME?</v>
      </c>
      <c r="FD73" s="38" t="e">
        <f ca="1">_xll.RiskBinomial(1,FC73)</f>
        <v>#NAME?</v>
      </c>
      <c r="FE73" s="86" t="e">
        <f ca="1">IF(FD73=1,_xll.RiskBinomial(1,Prob_illness_Noro_infection),0)</f>
        <v>#NAME?</v>
      </c>
      <c r="FG73" s="85" t="e">
        <f t="shared" ca="1" si="59"/>
        <v>#NAME?</v>
      </c>
      <c r="FH73" s="40" t="e">
        <f ca="1">INT(FG73) + _xll.RiskBinomial(1,FG73-INT(FG73))</f>
        <v>#NAME?</v>
      </c>
      <c r="FI73" s="33" t="e">
        <f t="shared" ref="FI73:FI108" ca="1" si="98" xml:space="preserve"> Prob__susceptible_to_Nov_infection *  MAX(1-EXP((GAMMALN(beta_nov+FH73)+GAMMALN(alpha_nov+beta_nov)-GAMMALN(alpha_nov+beta_nov+FH73)-GAMMALN(beta_nov))),0)</f>
        <v>#NAME?</v>
      </c>
      <c r="FJ73" s="38" t="e">
        <f ca="1">_xll.RiskBinomial(1,FI73)</f>
        <v>#NAME?</v>
      </c>
      <c r="FK73" s="86" t="e">
        <f ca="1">IF(FJ73=1,_xll.RiskBinomial(1,Prob_illness_Noro_infection),0)</f>
        <v>#NAME?</v>
      </c>
      <c r="FM73" s="85" t="e">
        <f t="shared" ca="1" si="60"/>
        <v>#NAME?</v>
      </c>
      <c r="FN73" s="40" t="e">
        <f ca="1">INT(FM73) + _xll.RiskBinomial(1,FM73-INT(FM73))</f>
        <v>#NAME?</v>
      </c>
      <c r="FO73" s="33" t="e">
        <f t="shared" ref="FO73:FO108" ca="1" si="99" xml:space="preserve"> Prob__susceptible_to_Nov_infection *  MAX(1-EXP((GAMMALN(beta_nov+FN73)+GAMMALN(alpha_nov+beta_nov)-GAMMALN(alpha_nov+beta_nov+FN73)-GAMMALN(beta_nov))),0)</f>
        <v>#NAME?</v>
      </c>
      <c r="FP73" s="38" t="e">
        <f ca="1">_xll.RiskBinomial(1,FO73)</f>
        <v>#NAME?</v>
      </c>
      <c r="FQ73" s="86" t="e">
        <f ca="1">IF(FP73=1,_xll.RiskBinomial(1,Prob_illness_Noro_infection),0)</f>
        <v>#NAME?</v>
      </c>
      <c r="FS73" s="85" t="e">
        <f t="shared" ca="1" si="61"/>
        <v>#NAME?</v>
      </c>
      <c r="FT73" s="40" t="e">
        <f ca="1">INT(FS73) + _xll.RiskBinomial(1,FS73-INT(FS73))</f>
        <v>#NAME?</v>
      </c>
      <c r="FU73" s="33" t="e">
        <f t="shared" ref="FU73:FU108" ca="1" si="100" xml:space="preserve"> Prob__susceptible_to_Nov_infection *  MAX(1-EXP((GAMMALN(beta_nov+FT73)+GAMMALN(alpha_nov+beta_nov)-GAMMALN(alpha_nov+beta_nov+FT73)-GAMMALN(beta_nov))),0)</f>
        <v>#NAME?</v>
      </c>
      <c r="FV73" s="38" t="e">
        <f ca="1">_xll.RiskBinomial(1,FU73)</f>
        <v>#NAME?</v>
      </c>
      <c r="FW73" s="86" t="e">
        <f ca="1">IF(FV73=1,_xll.RiskBinomial(1,Prob_illness_Noro_infection),0)</f>
        <v>#NAME?</v>
      </c>
      <c r="FY73" s="85" t="e">
        <f t="shared" ca="1" si="62"/>
        <v>#NAME?</v>
      </c>
      <c r="FZ73" s="40" t="e">
        <f ca="1">INT(FY73) + _xll.RiskBinomial(1,FY73-INT(FY73))</f>
        <v>#NAME?</v>
      </c>
      <c r="GA73" s="33" t="e">
        <f t="shared" ref="GA73:GA108" ca="1" si="101" xml:space="preserve"> Prob__susceptible_to_Nov_infection *  MAX(1-EXP((GAMMALN(beta_nov+FZ73)+GAMMALN(alpha_nov+beta_nov)-GAMMALN(alpha_nov+beta_nov+FZ73)-GAMMALN(beta_nov))),0)</f>
        <v>#NAME?</v>
      </c>
      <c r="GB73" s="38" t="e">
        <f ca="1">_xll.RiskBinomial(1,GA73)</f>
        <v>#NAME?</v>
      </c>
      <c r="GC73" s="86" t="e">
        <f ca="1">IF(GB73=1,_xll.RiskBinomial(1,Prob_illness_Noro_infection),0)</f>
        <v>#NAME?</v>
      </c>
      <c r="GE73" s="85" t="e">
        <f t="shared" ca="1" si="63"/>
        <v>#NAME?</v>
      </c>
      <c r="GF73" s="40" t="e">
        <f ca="1">INT(GE73) + _xll.RiskBinomial(1,GE73-INT(GE73))</f>
        <v>#NAME?</v>
      </c>
      <c r="GG73" s="33" t="e">
        <f t="shared" ref="GG73:GG108" ca="1" si="102" xml:space="preserve"> Prob__susceptible_to_Nov_infection *  MAX(1-EXP((GAMMALN(beta_nov+GF73)+GAMMALN(alpha_nov+beta_nov)-GAMMALN(alpha_nov+beta_nov+GF73)-GAMMALN(beta_nov))),0)</f>
        <v>#NAME?</v>
      </c>
      <c r="GH73" s="38" t="e">
        <f ca="1">_xll.RiskBinomial(1,GG73)</f>
        <v>#NAME?</v>
      </c>
      <c r="GI73" s="86" t="e">
        <f ca="1">IF(GH73=1,_xll.RiskBinomial(1,Prob_illness_Noro_infection),0)</f>
        <v>#NAME?</v>
      </c>
      <c r="GK73" s="85" t="e">
        <f t="shared" ca="1" si="64"/>
        <v>#NAME?</v>
      </c>
      <c r="GL73" s="40" t="e">
        <f ca="1">INT(GK73) + _xll.RiskBinomial(1,GK73-INT(GK73))</f>
        <v>#NAME?</v>
      </c>
      <c r="GM73" s="33" t="e">
        <f t="shared" ref="GM73:GM108" ca="1" si="103" xml:space="preserve"> Prob__susceptible_to_Nov_infection *  MAX(1-EXP((GAMMALN(beta_nov+GL73)+GAMMALN(alpha_nov+beta_nov)-GAMMALN(alpha_nov+beta_nov+GL73)-GAMMALN(beta_nov))),0)</f>
        <v>#NAME?</v>
      </c>
      <c r="GN73" s="38" t="e">
        <f ca="1">_xll.RiskBinomial(1,GM73)</f>
        <v>#NAME?</v>
      </c>
      <c r="GO73" s="86" t="e">
        <f ca="1">IF(GN73=1,_xll.RiskBinomial(1,Prob_illness_Noro_infection),0)</f>
        <v>#NAME?</v>
      </c>
    </row>
    <row r="74" spans="2:197" x14ac:dyDescent="0.25">
      <c r="B74" s="106">
        <v>66</v>
      </c>
      <c r="C74" s="109" t="e">
        <f ca="1" xml:space="preserve"> _xll.RiskPert(Dur_Swim_hours_min,Dur_Swim_hours_mode,Dur_Swim_hours_max)</f>
        <v>#NAME?</v>
      </c>
      <c r="D74" s="33" t="e">
        <f ca="1">_xll.RiskLognorm(Primary_Ing_Rate_mL_per_hour_mean,Primary_Ing_Rate_mL_per_hour_sd, _xll.RiskTruncate(Primary_Ing_Rate_mL_per_hour_min,Primary_Ing_Rate_mL_per_hour_max))</f>
        <v>#NAME?</v>
      </c>
      <c r="E74" s="41" t="e">
        <f t="shared" ref="E74:E108" ca="1" si="104">C74*D74</f>
        <v>#NAME?</v>
      </c>
      <c r="F74" s="33"/>
      <c r="G74" s="85" t="e">
        <f t="shared" ref="G74:G108" ca="1" si="105">$E74*J$3/V</f>
        <v>#NAME?</v>
      </c>
      <c r="H74" s="40" t="e">
        <f ca="1">INT(G74) + _xll.RiskBinomial(1,G74-INT(G74))</f>
        <v>#NAME?</v>
      </c>
      <c r="I74" s="33" t="e">
        <f t="shared" ca="1" si="66"/>
        <v>#NAME?</v>
      </c>
      <c r="J74" s="38" t="e">
        <f ca="1">_xll.RiskBinomial(1,I74)</f>
        <v>#NAME?</v>
      </c>
      <c r="K74" s="86" t="e">
        <f ca="1">IF(J74=1,_xll.RiskBinomial(1,Prob_illness_Noro_infection),0)</f>
        <v>#NAME?</v>
      </c>
      <c r="L74" s="33"/>
      <c r="M74" s="85" t="e">
        <f t="shared" ca="1" si="67"/>
        <v>#NAME?</v>
      </c>
      <c r="N74" s="40" t="e">
        <f ca="1">INT(M74) + _xll.RiskBinomial(1,M74-INT(M74))</f>
        <v>#NAME?</v>
      </c>
      <c r="O74" s="33" t="e">
        <f t="shared" ca="1" si="68"/>
        <v>#NAME?</v>
      </c>
      <c r="P74" s="38" t="e">
        <f ca="1">_xll.RiskBinomial(1,O74)</f>
        <v>#NAME?</v>
      </c>
      <c r="Q74" s="86" t="e">
        <f ca="1">IF(P74=1,_xll.RiskBinomial(1,Prob_illness_Noro_infection),0)</f>
        <v>#NAME?</v>
      </c>
      <c r="R74" s="33"/>
      <c r="S74" s="85" t="e">
        <f t="shared" ca="1" si="69"/>
        <v>#NAME?</v>
      </c>
      <c r="T74" s="40" t="e">
        <f ca="1">INT(S74) + _xll.RiskBinomial(1,S74-INT(S74))</f>
        <v>#NAME?</v>
      </c>
      <c r="U74" s="33" t="e">
        <f t="shared" ca="1" si="70"/>
        <v>#NAME?</v>
      </c>
      <c r="V74" s="38" t="e">
        <f ca="1">_xll.RiskBinomial(1,U74)</f>
        <v>#NAME?</v>
      </c>
      <c r="W74" s="86" t="e">
        <f ca="1">IF(V74=1,_xll.RiskBinomial(1,Prob_illness_Noro_infection),0)</f>
        <v>#NAME?</v>
      </c>
      <c r="X74" s="33"/>
      <c r="Y74" s="85" t="e">
        <f t="shared" ca="1" si="71"/>
        <v>#NAME?</v>
      </c>
      <c r="Z74" s="40" t="e">
        <f ca="1">INT(Y74) + _xll.RiskBinomial(1,Y74-INT(Y74))</f>
        <v>#NAME?</v>
      </c>
      <c r="AA74" s="33" t="e">
        <f t="shared" ca="1" si="72"/>
        <v>#NAME?</v>
      </c>
      <c r="AB74" s="38" t="e">
        <f ca="1">_xll.RiskBinomial(1,AA74)</f>
        <v>#NAME?</v>
      </c>
      <c r="AC74" s="86" t="e">
        <f ca="1">IF(AB74=1,_xll.RiskBinomial(1,Prob_illness_Noro_infection),0)</f>
        <v>#NAME?</v>
      </c>
      <c r="AD74" s="33"/>
      <c r="AE74" s="85" t="e">
        <f t="shared" ca="1" si="73"/>
        <v>#NAME?</v>
      </c>
      <c r="AF74" s="40" t="e">
        <f ca="1">INT(AE74) + _xll.RiskBinomial(1,AE74-INT(AE74))</f>
        <v>#NAME?</v>
      </c>
      <c r="AG74" s="33" t="e">
        <f t="shared" ca="1" si="74"/>
        <v>#NAME?</v>
      </c>
      <c r="AH74" s="38" t="e">
        <f ca="1">_xll.RiskBinomial(1,AG74)</f>
        <v>#NAME?</v>
      </c>
      <c r="AI74" s="86" t="e">
        <f ca="1">IF(AH74=1,_xll.RiskBinomial(1,Prob_illness_Noro_infection),0)</f>
        <v>#NAME?</v>
      </c>
      <c r="AJ74" s="33"/>
      <c r="AK74" s="85" t="e">
        <f t="shared" ca="1" si="75"/>
        <v>#NAME?</v>
      </c>
      <c r="AL74" s="40" t="e">
        <f ca="1">INT(AK74) + _xll.RiskBinomial(1,AK74-INT(AK74))</f>
        <v>#NAME?</v>
      </c>
      <c r="AM74" s="33" t="e">
        <f t="shared" ca="1" si="76"/>
        <v>#NAME?</v>
      </c>
      <c r="AN74" s="38" t="e">
        <f ca="1">_xll.RiskBinomial(1,AM74)</f>
        <v>#NAME?</v>
      </c>
      <c r="AO74" s="86" t="e">
        <f ca="1">IF(AN74=1,_xll.RiskBinomial(1,Prob_illness_Noro_infection),0)</f>
        <v>#NAME?</v>
      </c>
      <c r="AP74" s="33"/>
      <c r="AQ74" s="85" t="e">
        <f t="shared" ca="1" si="77"/>
        <v>#NAME?</v>
      </c>
      <c r="AR74" s="40" t="e">
        <f ca="1">INT(AQ74) + _xll.RiskBinomial(1,AQ74-INT(AQ74))</f>
        <v>#NAME?</v>
      </c>
      <c r="AS74" s="33" t="e">
        <f t="shared" ca="1" si="78"/>
        <v>#NAME?</v>
      </c>
      <c r="AT74" s="38" t="e">
        <f ca="1">_xll.RiskBinomial(1,AS74)</f>
        <v>#NAME?</v>
      </c>
      <c r="AU74" s="86" t="e">
        <f ca="1">IF(AT74=1,_xll.RiskBinomial(1,Prob_illness_Noro_infection),0)</f>
        <v>#NAME?</v>
      </c>
      <c r="AV74" s="33"/>
      <c r="AW74" s="85" t="e">
        <f t="shared" ref="AW74:AW108" ca="1" si="106">$E74*AZ$3/V</f>
        <v>#NAME?</v>
      </c>
      <c r="AX74" s="40" t="e">
        <f ca="1">INT(AW74) + _xll.RiskBinomial(1,AW74-INT(AW74))</f>
        <v>#NAME?</v>
      </c>
      <c r="AY74" s="33" t="e">
        <f t="shared" ca="1" si="79"/>
        <v>#NAME?</v>
      </c>
      <c r="AZ74" s="38" t="e">
        <f ca="1">_xll.RiskBinomial(1,AY74)</f>
        <v>#NAME?</v>
      </c>
      <c r="BA74" s="86" t="e">
        <f ca="1">IF(AZ74=1,_xll.RiskBinomial(1,Prob_illness_Noro_infection),0)</f>
        <v>#NAME?</v>
      </c>
      <c r="BC74" s="85" t="e">
        <f t="shared" ref="BC74:BC108" ca="1" si="107">$E74*BF$3/V</f>
        <v>#NAME?</v>
      </c>
      <c r="BD74" s="40" t="e">
        <f ca="1">INT(BC74) + _xll.RiskBinomial(1,BC74-INT(BC74))</f>
        <v>#NAME?</v>
      </c>
      <c r="BE74" s="33" t="e">
        <f t="shared" ca="1" si="80"/>
        <v>#NAME?</v>
      </c>
      <c r="BF74" s="38" t="e">
        <f ca="1">_xll.RiskBinomial(1,BE74)</f>
        <v>#NAME?</v>
      </c>
      <c r="BG74" s="86" t="e">
        <f ca="1">IF(BF74=1,_xll.RiskBinomial(1,Prob_illness_Noro_infection),0)</f>
        <v>#NAME?</v>
      </c>
      <c r="BI74" s="85" t="e">
        <f t="shared" ref="BI74:BI108" ca="1" si="108">$E74*BL$3/V</f>
        <v>#NAME?</v>
      </c>
      <c r="BJ74" s="40" t="e">
        <f ca="1">INT(BI74) + _xll.RiskBinomial(1,BI74-INT(BI74))</f>
        <v>#NAME?</v>
      </c>
      <c r="BK74" s="33" t="e">
        <f t="shared" ca="1" si="81"/>
        <v>#NAME?</v>
      </c>
      <c r="BL74" s="38" t="e">
        <f ca="1">_xll.RiskBinomial(1,BK74)</f>
        <v>#NAME?</v>
      </c>
      <c r="BM74" s="86" t="e">
        <f ca="1">IF(BL74=1,_xll.RiskBinomial(1,Prob_illness_Noro_infection),0)</f>
        <v>#NAME?</v>
      </c>
      <c r="BO74" s="85" t="e">
        <f t="shared" ref="BO74:BO108" ca="1" si="109">$E74*BR$3/V</f>
        <v>#NAME?</v>
      </c>
      <c r="BP74" s="40" t="e">
        <f ca="1">INT(BO74) + _xll.RiskBinomial(1,BO74-INT(BO74))</f>
        <v>#NAME?</v>
      </c>
      <c r="BQ74" s="33" t="e">
        <f t="shared" ca="1" si="82"/>
        <v>#NAME?</v>
      </c>
      <c r="BR74" s="38" t="e">
        <f ca="1">_xll.RiskBinomial(1,BQ74)</f>
        <v>#NAME?</v>
      </c>
      <c r="BS74" s="86" t="e">
        <f ca="1">IF(BR74=1,_xll.RiskBinomial(1,Prob_illness_Noro_infection),0)</f>
        <v>#NAME?</v>
      </c>
      <c r="BU74" s="85" t="e">
        <f t="shared" ref="BU74:BU108" ca="1" si="110">$E74*BX$3/V</f>
        <v>#NAME?</v>
      </c>
      <c r="BV74" s="40" t="e">
        <f ca="1">INT(BU74) + _xll.RiskBinomial(1,BU74-INT(BU74))</f>
        <v>#NAME?</v>
      </c>
      <c r="BW74" s="33" t="e">
        <f t="shared" ca="1" si="83"/>
        <v>#NAME?</v>
      </c>
      <c r="BX74" s="38" t="e">
        <f ca="1">_xll.RiskBinomial(1,BW74)</f>
        <v>#NAME?</v>
      </c>
      <c r="BY74" s="86" t="e">
        <f ca="1">IF(BX74=1,_xll.RiskBinomial(1,Prob_illness_Noro_infection),0)</f>
        <v>#NAME?</v>
      </c>
      <c r="CA74" s="85" t="e">
        <f t="shared" ref="CA74:CA108" ca="1" si="111">$E74*CD$3/V</f>
        <v>#NAME?</v>
      </c>
      <c r="CB74" s="40" t="e">
        <f ca="1">INT(CA74) + _xll.RiskBinomial(1,CA74-INT(CA74))</f>
        <v>#NAME?</v>
      </c>
      <c r="CC74" s="33" t="e">
        <f t="shared" ca="1" si="84"/>
        <v>#NAME?</v>
      </c>
      <c r="CD74" s="38" t="e">
        <f ca="1">_xll.RiskBinomial(1,CC74)</f>
        <v>#NAME?</v>
      </c>
      <c r="CE74" s="86" t="e">
        <f ca="1">IF(CD74=1,_xll.RiskBinomial(1,Prob_illness_Noro_infection),0)</f>
        <v>#NAME?</v>
      </c>
      <c r="CG74" s="85" t="e">
        <f t="shared" ref="CG74:CG108" ca="1" si="112">$E74*CJ$3/V</f>
        <v>#NAME?</v>
      </c>
      <c r="CH74" s="40" t="e">
        <f ca="1">INT(CG74) + _xll.RiskBinomial(1,CG74-INT(CG74))</f>
        <v>#NAME?</v>
      </c>
      <c r="CI74" s="33" t="e">
        <f t="shared" ca="1" si="85"/>
        <v>#NAME?</v>
      </c>
      <c r="CJ74" s="38" t="e">
        <f ca="1">_xll.RiskBinomial(1,CI74)</f>
        <v>#NAME?</v>
      </c>
      <c r="CK74" s="86" t="e">
        <f ca="1">IF(CJ74=1,_xll.RiskBinomial(1,Prob_illness_Noro_infection),0)</f>
        <v>#NAME?</v>
      </c>
      <c r="CM74" s="85" t="e">
        <f t="shared" ref="CM74:CM108" ca="1" si="113">$E74*CP$3/V</f>
        <v>#NAME?</v>
      </c>
      <c r="CN74" s="40" t="e">
        <f ca="1">INT(CM74) + _xll.RiskBinomial(1,CM74-INT(CM74))</f>
        <v>#NAME?</v>
      </c>
      <c r="CO74" s="33" t="e">
        <f t="shared" ca="1" si="86"/>
        <v>#NAME?</v>
      </c>
      <c r="CP74" s="38" t="e">
        <f ca="1">_xll.RiskBinomial(1,CO74)</f>
        <v>#NAME?</v>
      </c>
      <c r="CQ74" s="86" t="e">
        <f ca="1">IF(CP74=1,_xll.RiskBinomial(1,Prob_illness_Noro_infection),0)</f>
        <v>#NAME?</v>
      </c>
      <c r="CS74" s="85" t="e">
        <f t="shared" ref="CS74:CS108" ca="1" si="114">$E74*CV$3/V</f>
        <v>#NAME?</v>
      </c>
      <c r="CT74" s="40" t="e">
        <f ca="1">INT(CS74) + _xll.RiskBinomial(1,CS74-INT(CS74))</f>
        <v>#NAME?</v>
      </c>
      <c r="CU74" s="33" t="e">
        <f t="shared" ca="1" si="87"/>
        <v>#NAME?</v>
      </c>
      <c r="CV74" s="38" t="e">
        <f ca="1">_xll.RiskBinomial(1,CU74)</f>
        <v>#NAME?</v>
      </c>
      <c r="CW74" s="86" t="e">
        <f ca="1">IF(CV74=1,_xll.RiskBinomial(1,Prob_illness_Noro_infection),0)</f>
        <v>#NAME?</v>
      </c>
      <c r="CY74" s="85" t="e">
        <f t="shared" ref="CY74:CY108" ca="1" si="115">$E74*DB$3/V</f>
        <v>#NAME?</v>
      </c>
      <c r="CZ74" s="40" t="e">
        <f ca="1">INT(CY74) + _xll.RiskBinomial(1,CY74-INT(CY74))</f>
        <v>#NAME?</v>
      </c>
      <c r="DA74" s="33" t="e">
        <f t="shared" ca="1" si="88"/>
        <v>#NAME?</v>
      </c>
      <c r="DB74" s="38" t="e">
        <f ca="1">_xll.RiskBinomial(1,DA74)</f>
        <v>#NAME?</v>
      </c>
      <c r="DC74" s="86" t="e">
        <f ca="1">IF(DB74=1,_xll.RiskBinomial(1,Prob_illness_Noro_infection),0)</f>
        <v>#NAME?</v>
      </c>
      <c r="DE74" s="85" t="e">
        <f t="shared" ref="DE74:DE108" ca="1" si="116">$E74*DH$3/V</f>
        <v>#NAME?</v>
      </c>
      <c r="DF74" s="40" t="e">
        <f ca="1">INT(DE74) + _xll.RiskBinomial(1,DE74-INT(DE74))</f>
        <v>#NAME?</v>
      </c>
      <c r="DG74" s="33" t="e">
        <f t="shared" ca="1" si="89"/>
        <v>#NAME?</v>
      </c>
      <c r="DH74" s="38" t="e">
        <f ca="1">_xll.RiskBinomial(1,DG74)</f>
        <v>#NAME?</v>
      </c>
      <c r="DI74" s="86" t="e">
        <f ca="1">IF(DH74=1,_xll.RiskBinomial(1,Prob_illness_Noro_infection),0)</f>
        <v>#NAME?</v>
      </c>
      <c r="DK74" s="85" t="e">
        <f t="shared" ref="DK74:DK108" ca="1" si="117">$E74*DN$3/V</f>
        <v>#NAME?</v>
      </c>
      <c r="DL74" s="40" t="e">
        <f ca="1">INT(DK74) + _xll.RiskBinomial(1,DK74-INT(DK74))</f>
        <v>#NAME?</v>
      </c>
      <c r="DM74" s="33" t="e">
        <f t="shared" ca="1" si="90"/>
        <v>#NAME?</v>
      </c>
      <c r="DN74" s="38" t="e">
        <f ca="1">_xll.RiskBinomial(1,DM74)</f>
        <v>#NAME?</v>
      </c>
      <c r="DO74" s="86" t="e">
        <f ca="1">IF(DN74=1,_xll.RiskBinomial(1,Prob_illness_Noro_infection),0)</f>
        <v>#NAME?</v>
      </c>
      <c r="DQ74" s="85" t="e">
        <f t="shared" ref="DQ74:DQ108" ca="1" si="118">$E74*DT$3/V</f>
        <v>#NAME?</v>
      </c>
      <c r="DR74" s="40" t="e">
        <f ca="1">INT(DQ74) + _xll.RiskBinomial(1,DQ74-INT(DQ74))</f>
        <v>#NAME?</v>
      </c>
      <c r="DS74" s="33" t="e">
        <f t="shared" ca="1" si="91"/>
        <v>#NAME?</v>
      </c>
      <c r="DT74" s="38" t="e">
        <f ca="1">_xll.RiskBinomial(1,DS74)</f>
        <v>#NAME?</v>
      </c>
      <c r="DU74" s="86" t="e">
        <f ca="1">IF(DT74=1,_xll.RiskBinomial(1,Prob_illness_Noro_infection),0)</f>
        <v>#NAME?</v>
      </c>
      <c r="DW74" s="85" t="e">
        <f t="shared" ref="DW74:DW108" ca="1" si="119">$E74*DZ$3/V</f>
        <v>#NAME?</v>
      </c>
      <c r="DX74" s="40" t="e">
        <f ca="1">INT(DW74) + _xll.RiskBinomial(1,DW74-INT(DW74))</f>
        <v>#NAME?</v>
      </c>
      <c r="DY74" s="33" t="e">
        <f t="shared" ca="1" si="92"/>
        <v>#NAME?</v>
      </c>
      <c r="DZ74" s="38" t="e">
        <f ca="1">_xll.RiskBinomial(1,DY74)</f>
        <v>#NAME?</v>
      </c>
      <c r="EA74" s="86" t="e">
        <f ca="1">IF(DZ74=1,_xll.RiskBinomial(1,Prob_illness_Noro_infection),0)</f>
        <v>#NAME?</v>
      </c>
      <c r="EC74" s="85" t="e">
        <f t="shared" ref="EC74:EC108" ca="1" si="120">$E74*EF$3/V</f>
        <v>#NAME?</v>
      </c>
      <c r="ED74" s="40" t="e">
        <f ca="1">INT(EC74) + _xll.RiskBinomial(1,EC74-INT(EC74))</f>
        <v>#NAME?</v>
      </c>
      <c r="EE74" s="33" t="e">
        <f t="shared" ca="1" si="93"/>
        <v>#NAME?</v>
      </c>
      <c r="EF74" s="38" t="e">
        <f ca="1">_xll.RiskBinomial(1,EE74)</f>
        <v>#NAME?</v>
      </c>
      <c r="EG74" s="86" t="e">
        <f ca="1">IF(EF74=1,_xll.RiskBinomial(1,Prob_illness_Noro_infection),0)</f>
        <v>#NAME?</v>
      </c>
      <c r="EI74" s="85" t="e">
        <f t="shared" ref="EI74:EI108" ca="1" si="121">$E74*EL$3/V</f>
        <v>#NAME?</v>
      </c>
      <c r="EJ74" s="40" t="e">
        <f ca="1">INT(EI74) + _xll.RiskBinomial(1,EI74-INT(EI74))</f>
        <v>#NAME?</v>
      </c>
      <c r="EK74" s="33" t="e">
        <f t="shared" ca="1" si="94"/>
        <v>#NAME?</v>
      </c>
      <c r="EL74" s="38" t="e">
        <f ca="1">_xll.RiskBinomial(1,EK74)</f>
        <v>#NAME?</v>
      </c>
      <c r="EM74" s="86" t="e">
        <f ca="1">IF(EL74=1,_xll.RiskBinomial(1,Prob_illness_Noro_infection),0)</f>
        <v>#NAME?</v>
      </c>
      <c r="EO74" s="85" t="e">
        <f t="shared" ref="EO74:EO108" ca="1" si="122">$E74*ER$3/V</f>
        <v>#NAME?</v>
      </c>
      <c r="EP74" s="40" t="e">
        <f ca="1">INT(EO74) + _xll.RiskBinomial(1,EO74-INT(EO74))</f>
        <v>#NAME?</v>
      </c>
      <c r="EQ74" s="33" t="e">
        <f t="shared" ca="1" si="95"/>
        <v>#NAME?</v>
      </c>
      <c r="ER74" s="38" t="e">
        <f ca="1">_xll.RiskBinomial(1,EQ74)</f>
        <v>#NAME?</v>
      </c>
      <c r="ES74" s="86" t="e">
        <f ca="1">IF(ER74=1,_xll.RiskBinomial(1,Prob_illness_Noro_infection),0)</f>
        <v>#NAME?</v>
      </c>
      <c r="EU74" s="85" t="e">
        <f t="shared" ref="EU74:EU108" ca="1" si="123">$E74*EX$3/V</f>
        <v>#NAME?</v>
      </c>
      <c r="EV74" s="40" t="e">
        <f ca="1">INT(EU74) + _xll.RiskBinomial(1,EU74-INT(EU74))</f>
        <v>#NAME?</v>
      </c>
      <c r="EW74" s="33" t="e">
        <f t="shared" ca="1" si="96"/>
        <v>#NAME?</v>
      </c>
      <c r="EX74" s="38" t="e">
        <f ca="1">_xll.RiskBinomial(1,EW74)</f>
        <v>#NAME?</v>
      </c>
      <c r="EY74" s="86" t="e">
        <f ca="1">IF(EX74=1,_xll.RiskBinomial(1,Prob_illness_Noro_infection),0)</f>
        <v>#NAME?</v>
      </c>
      <c r="FA74" s="85" t="e">
        <f t="shared" ref="FA74:FA108" ca="1" si="124">$E74*FD$3/V</f>
        <v>#NAME?</v>
      </c>
      <c r="FB74" s="40" t="e">
        <f ca="1">INT(FA74) + _xll.RiskBinomial(1,FA74-INT(FA74))</f>
        <v>#NAME?</v>
      </c>
      <c r="FC74" s="33" t="e">
        <f t="shared" ca="1" si="97"/>
        <v>#NAME?</v>
      </c>
      <c r="FD74" s="38" t="e">
        <f ca="1">_xll.RiskBinomial(1,FC74)</f>
        <v>#NAME?</v>
      </c>
      <c r="FE74" s="86" t="e">
        <f ca="1">IF(FD74=1,_xll.RiskBinomial(1,Prob_illness_Noro_infection),0)</f>
        <v>#NAME?</v>
      </c>
      <c r="FG74" s="85" t="e">
        <f t="shared" ref="FG74:FG108" ca="1" si="125">$E74*FJ$3/V</f>
        <v>#NAME?</v>
      </c>
      <c r="FH74" s="40" t="e">
        <f ca="1">INT(FG74) + _xll.RiskBinomial(1,FG74-INT(FG74))</f>
        <v>#NAME?</v>
      </c>
      <c r="FI74" s="33" t="e">
        <f t="shared" ca="1" si="98"/>
        <v>#NAME?</v>
      </c>
      <c r="FJ74" s="38" t="e">
        <f ca="1">_xll.RiskBinomial(1,FI74)</f>
        <v>#NAME?</v>
      </c>
      <c r="FK74" s="86" t="e">
        <f ca="1">IF(FJ74=1,_xll.RiskBinomial(1,Prob_illness_Noro_infection),0)</f>
        <v>#NAME?</v>
      </c>
      <c r="FM74" s="85" t="e">
        <f t="shared" ref="FM74:FM108" ca="1" si="126">$E74*FP$3/V</f>
        <v>#NAME?</v>
      </c>
      <c r="FN74" s="40" t="e">
        <f ca="1">INT(FM74) + _xll.RiskBinomial(1,FM74-INT(FM74))</f>
        <v>#NAME?</v>
      </c>
      <c r="FO74" s="33" t="e">
        <f t="shared" ca="1" si="99"/>
        <v>#NAME?</v>
      </c>
      <c r="FP74" s="38" t="e">
        <f ca="1">_xll.RiskBinomial(1,FO74)</f>
        <v>#NAME?</v>
      </c>
      <c r="FQ74" s="86" t="e">
        <f ca="1">IF(FP74=1,_xll.RiskBinomial(1,Prob_illness_Noro_infection),0)</f>
        <v>#NAME?</v>
      </c>
      <c r="FS74" s="85" t="e">
        <f t="shared" ref="FS74:FS108" ca="1" si="127">$E74*FV$3/V</f>
        <v>#NAME?</v>
      </c>
      <c r="FT74" s="40" t="e">
        <f ca="1">INT(FS74) + _xll.RiskBinomial(1,FS74-INT(FS74))</f>
        <v>#NAME?</v>
      </c>
      <c r="FU74" s="33" t="e">
        <f t="shared" ca="1" si="100"/>
        <v>#NAME?</v>
      </c>
      <c r="FV74" s="38" t="e">
        <f ca="1">_xll.RiskBinomial(1,FU74)</f>
        <v>#NAME?</v>
      </c>
      <c r="FW74" s="86" t="e">
        <f ca="1">IF(FV74=1,_xll.RiskBinomial(1,Prob_illness_Noro_infection),0)</f>
        <v>#NAME?</v>
      </c>
      <c r="FY74" s="85" t="e">
        <f t="shared" ref="FY74:FY108" ca="1" si="128">$E74*GB$3/V</f>
        <v>#NAME?</v>
      </c>
      <c r="FZ74" s="40" t="e">
        <f ca="1">INT(FY74) + _xll.RiskBinomial(1,FY74-INT(FY74))</f>
        <v>#NAME?</v>
      </c>
      <c r="GA74" s="33" t="e">
        <f t="shared" ca="1" si="101"/>
        <v>#NAME?</v>
      </c>
      <c r="GB74" s="38" t="e">
        <f ca="1">_xll.RiskBinomial(1,GA74)</f>
        <v>#NAME?</v>
      </c>
      <c r="GC74" s="86" t="e">
        <f ca="1">IF(GB74=1,_xll.RiskBinomial(1,Prob_illness_Noro_infection),0)</f>
        <v>#NAME?</v>
      </c>
      <c r="GE74" s="85" t="e">
        <f t="shared" ref="GE74:GE108" ca="1" si="129">$E74*GH$3/V</f>
        <v>#NAME?</v>
      </c>
      <c r="GF74" s="40" t="e">
        <f ca="1">INT(GE74) + _xll.RiskBinomial(1,GE74-INT(GE74))</f>
        <v>#NAME?</v>
      </c>
      <c r="GG74" s="33" t="e">
        <f t="shared" ca="1" si="102"/>
        <v>#NAME?</v>
      </c>
      <c r="GH74" s="38" t="e">
        <f ca="1">_xll.RiskBinomial(1,GG74)</f>
        <v>#NAME?</v>
      </c>
      <c r="GI74" s="86" t="e">
        <f ca="1">IF(GH74=1,_xll.RiskBinomial(1,Prob_illness_Noro_infection),0)</f>
        <v>#NAME?</v>
      </c>
      <c r="GK74" s="85" t="e">
        <f t="shared" ref="GK74:GK108" ca="1" si="130">$E74*GN$3/V</f>
        <v>#NAME?</v>
      </c>
      <c r="GL74" s="40" t="e">
        <f ca="1">INT(GK74) + _xll.RiskBinomial(1,GK74-INT(GK74))</f>
        <v>#NAME?</v>
      </c>
      <c r="GM74" s="33" t="e">
        <f t="shared" ca="1" si="103"/>
        <v>#NAME?</v>
      </c>
      <c r="GN74" s="38" t="e">
        <f ca="1">_xll.RiskBinomial(1,GM74)</f>
        <v>#NAME?</v>
      </c>
      <c r="GO74" s="86" t="e">
        <f ca="1">IF(GN74=1,_xll.RiskBinomial(1,Prob_illness_Noro_infection),0)</f>
        <v>#NAME?</v>
      </c>
    </row>
    <row r="75" spans="2:197" x14ac:dyDescent="0.25">
      <c r="B75" s="106">
        <v>67</v>
      </c>
      <c r="C75" s="109" t="e">
        <f ca="1" xml:space="preserve"> _xll.RiskPert(Dur_Swim_hours_min,Dur_Swim_hours_mode,Dur_Swim_hours_max)</f>
        <v>#NAME?</v>
      </c>
      <c r="D75" s="33" t="e">
        <f ca="1">_xll.RiskLognorm(Primary_Ing_Rate_mL_per_hour_mean,Primary_Ing_Rate_mL_per_hour_sd, _xll.RiskTruncate(Primary_Ing_Rate_mL_per_hour_min,Primary_Ing_Rate_mL_per_hour_max))</f>
        <v>#NAME?</v>
      </c>
      <c r="E75" s="41" t="e">
        <f t="shared" ca="1" si="104"/>
        <v>#NAME?</v>
      </c>
      <c r="F75" s="33"/>
      <c r="G75" s="85" t="e">
        <f t="shared" ca="1" si="105"/>
        <v>#NAME?</v>
      </c>
      <c r="H75" s="40" t="e">
        <f ca="1">INT(G75) + _xll.RiskBinomial(1,G75-INT(G75))</f>
        <v>#NAME?</v>
      </c>
      <c r="I75" s="33" t="e">
        <f t="shared" ca="1" si="66"/>
        <v>#NAME?</v>
      </c>
      <c r="J75" s="38" t="e">
        <f ca="1">_xll.RiskBinomial(1,I75)</f>
        <v>#NAME?</v>
      </c>
      <c r="K75" s="86" t="e">
        <f ca="1">IF(J75=1,_xll.RiskBinomial(1,Prob_illness_Noro_infection),0)</f>
        <v>#NAME?</v>
      </c>
      <c r="L75" s="33"/>
      <c r="M75" s="85" t="e">
        <f t="shared" ca="1" si="67"/>
        <v>#NAME?</v>
      </c>
      <c r="N75" s="40" t="e">
        <f ca="1">INT(M75) + _xll.RiskBinomial(1,M75-INT(M75))</f>
        <v>#NAME?</v>
      </c>
      <c r="O75" s="33" t="e">
        <f t="shared" ca="1" si="68"/>
        <v>#NAME?</v>
      </c>
      <c r="P75" s="38" t="e">
        <f ca="1">_xll.RiskBinomial(1,O75)</f>
        <v>#NAME?</v>
      </c>
      <c r="Q75" s="86" t="e">
        <f ca="1">IF(P75=1,_xll.RiskBinomial(1,Prob_illness_Noro_infection),0)</f>
        <v>#NAME?</v>
      </c>
      <c r="R75" s="33"/>
      <c r="S75" s="85" t="e">
        <f t="shared" ca="1" si="69"/>
        <v>#NAME?</v>
      </c>
      <c r="T75" s="40" t="e">
        <f ca="1">INT(S75) + _xll.RiskBinomial(1,S75-INT(S75))</f>
        <v>#NAME?</v>
      </c>
      <c r="U75" s="33" t="e">
        <f t="shared" ca="1" si="70"/>
        <v>#NAME?</v>
      </c>
      <c r="V75" s="38" t="e">
        <f ca="1">_xll.RiskBinomial(1,U75)</f>
        <v>#NAME?</v>
      </c>
      <c r="W75" s="86" t="e">
        <f ca="1">IF(V75=1,_xll.RiskBinomial(1,Prob_illness_Noro_infection),0)</f>
        <v>#NAME?</v>
      </c>
      <c r="X75" s="33"/>
      <c r="Y75" s="85" t="e">
        <f t="shared" ca="1" si="71"/>
        <v>#NAME?</v>
      </c>
      <c r="Z75" s="40" t="e">
        <f ca="1">INT(Y75) + _xll.RiskBinomial(1,Y75-INT(Y75))</f>
        <v>#NAME?</v>
      </c>
      <c r="AA75" s="33" t="e">
        <f t="shared" ca="1" si="72"/>
        <v>#NAME?</v>
      </c>
      <c r="AB75" s="38" t="e">
        <f ca="1">_xll.RiskBinomial(1,AA75)</f>
        <v>#NAME?</v>
      </c>
      <c r="AC75" s="86" t="e">
        <f ca="1">IF(AB75=1,_xll.RiskBinomial(1,Prob_illness_Noro_infection),0)</f>
        <v>#NAME?</v>
      </c>
      <c r="AD75" s="33"/>
      <c r="AE75" s="85" t="e">
        <f t="shared" ca="1" si="73"/>
        <v>#NAME?</v>
      </c>
      <c r="AF75" s="40" t="e">
        <f ca="1">INT(AE75) + _xll.RiskBinomial(1,AE75-INT(AE75))</f>
        <v>#NAME?</v>
      </c>
      <c r="AG75" s="33" t="e">
        <f t="shared" ca="1" si="74"/>
        <v>#NAME?</v>
      </c>
      <c r="AH75" s="38" t="e">
        <f ca="1">_xll.RiskBinomial(1,AG75)</f>
        <v>#NAME?</v>
      </c>
      <c r="AI75" s="86" t="e">
        <f ca="1">IF(AH75=1,_xll.RiskBinomial(1,Prob_illness_Noro_infection),0)</f>
        <v>#NAME?</v>
      </c>
      <c r="AJ75" s="33"/>
      <c r="AK75" s="85" t="e">
        <f t="shared" ca="1" si="75"/>
        <v>#NAME?</v>
      </c>
      <c r="AL75" s="40" t="e">
        <f ca="1">INT(AK75) + _xll.RiskBinomial(1,AK75-INT(AK75))</f>
        <v>#NAME?</v>
      </c>
      <c r="AM75" s="33" t="e">
        <f t="shared" ca="1" si="76"/>
        <v>#NAME?</v>
      </c>
      <c r="AN75" s="38" t="e">
        <f ca="1">_xll.RiskBinomial(1,AM75)</f>
        <v>#NAME?</v>
      </c>
      <c r="AO75" s="86" t="e">
        <f ca="1">IF(AN75=1,_xll.RiskBinomial(1,Prob_illness_Noro_infection),0)</f>
        <v>#NAME?</v>
      </c>
      <c r="AP75" s="33"/>
      <c r="AQ75" s="85" t="e">
        <f t="shared" ca="1" si="77"/>
        <v>#NAME?</v>
      </c>
      <c r="AR75" s="40" t="e">
        <f ca="1">INT(AQ75) + _xll.RiskBinomial(1,AQ75-INT(AQ75))</f>
        <v>#NAME?</v>
      </c>
      <c r="AS75" s="33" t="e">
        <f t="shared" ca="1" si="78"/>
        <v>#NAME?</v>
      </c>
      <c r="AT75" s="38" t="e">
        <f ca="1">_xll.RiskBinomial(1,AS75)</f>
        <v>#NAME?</v>
      </c>
      <c r="AU75" s="86" t="e">
        <f ca="1">IF(AT75=1,_xll.RiskBinomial(1,Prob_illness_Noro_infection),0)</f>
        <v>#NAME?</v>
      </c>
      <c r="AV75" s="33"/>
      <c r="AW75" s="85" t="e">
        <f t="shared" ca="1" si="106"/>
        <v>#NAME?</v>
      </c>
      <c r="AX75" s="40" t="e">
        <f ca="1">INT(AW75) + _xll.RiskBinomial(1,AW75-INT(AW75))</f>
        <v>#NAME?</v>
      </c>
      <c r="AY75" s="33" t="e">
        <f t="shared" ca="1" si="79"/>
        <v>#NAME?</v>
      </c>
      <c r="AZ75" s="38" t="e">
        <f ca="1">_xll.RiskBinomial(1,AY75)</f>
        <v>#NAME?</v>
      </c>
      <c r="BA75" s="86" t="e">
        <f ca="1">IF(AZ75=1,_xll.RiskBinomial(1,Prob_illness_Noro_infection),0)</f>
        <v>#NAME?</v>
      </c>
      <c r="BC75" s="85" t="e">
        <f t="shared" ca="1" si="107"/>
        <v>#NAME?</v>
      </c>
      <c r="BD75" s="40" t="e">
        <f ca="1">INT(BC75) + _xll.RiskBinomial(1,BC75-INT(BC75))</f>
        <v>#NAME?</v>
      </c>
      <c r="BE75" s="33" t="e">
        <f t="shared" ca="1" si="80"/>
        <v>#NAME?</v>
      </c>
      <c r="BF75" s="38" t="e">
        <f ca="1">_xll.RiskBinomial(1,BE75)</f>
        <v>#NAME?</v>
      </c>
      <c r="BG75" s="86" t="e">
        <f ca="1">IF(BF75=1,_xll.RiskBinomial(1,Prob_illness_Noro_infection),0)</f>
        <v>#NAME?</v>
      </c>
      <c r="BI75" s="85" t="e">
        <f t="shared" ca="1" si="108"/>
        <v>#NAME?</v>
      </c>
      <c r="BJ75" s="40" t="e">
        <f ca="1">INT(BI75) + _xll.RiskBinomial(1,BI75-INT(BI75))</f>
        <v>#NAME?</v>
      </c>
      <c r="BK75" s="33" t="e">
        <f t="shared" ca="1" si="81"/>
        <v>#NAME?</v>
      </c>
      <c r="BL75" s="38" t="e">
        <f ca="1">_xll.RiskBinomial(1,BK75)</f>
        <v>#NAME?</v>
      </c>
      <c r="BM75" s="86" t="e">
        <f ca="1">IF(BL75=1,_xll.RiskBinomial(1,Prob_illness_Noro_infection),0)</f>
        <v>#NAME?</v>
      </c>
      <c r="BO75" s="85" t="e">
        <f t="shared" ca="1" si="109"/>
        <v>#NAME?</v>
      </c>
      <c r="BP75" s="40" t="e">
        <f ca="1">INT(BO75) + _xll.RiskBinomial(1,BO75-INT(BO75))</f>
        <v>#NAME?</v>
      </c>
      <c r="BQ75" s="33" t="e">
        <f t="shared" ca="1" si="82"/>
        <v>#NAME?</v>
      </c>
      <c r="BR75" s="38" t="e">
        <f ca="1">_xll.RiskBinomial(1,BQ75)</f>
        <v>#NAME?</v>
      </c>
      <c r="BS75" s="86" t="e">
        <f ca="1">IF(BR75=1,_xll.RiskBinomial(1,Prob_illness_Noro_infection),0)</f>
        <v>#NAME?</v>
      </c>
      <c r="BU75" s="85" t="e">
        <f t="shared" ca="1" si="110"/>
        <v>#NAME?</v>
      </c>
      <c r="BV75" s="40" t="e">
        <f ca="1">INT(BU75) + _xll.RiskBinomial(1,BU75-INT(BU75))</f>
        <v>#NAME?</v>
      </c>
      <c r="BW75" s="33" t="e">
        <f t="shared" ca="1" si="83"/>
        <v>#NAME?</v>
      </c>
      <c r="BX75" s="38" t="e">
        <f ca="1">_xll.RiskBinomial(1,BW75)</f>
        <v>#NAME?</v>
      </c>
      <c r="BY75" s="86" t="e">
        <f ca="1">IF(BX75=1,_xll.RiskBinomial(1,Prob_illness_Noro_infection),0)</f>
        <v>#NAME?</v>
      </c>
      <c r="CA75" s="85" t="e">
        <f t="shared" ca="1" si="111"/>
        <v>#NAME?</v>
      </c>
      <c r="CB75" s="40" t="e">
        <f ca="1">INT(CA75) + _xll.RiskBinomial(1,CA75-INT(CA75))</f>
        <v>#NAME?</v>
      </c>
      <c r="CC75" s="33" t="e">
        <f t="shared" ca="1" si="84"/>
        <v>#NAME?</v>
      </c>
      <c r="CD75" s="38" t="e">
        <f ca="1">_xll.RiskBinomial(1,CC75)</f>
        <v>#NAME?</v>
      </c>
      <c r="CE75" s="86" t="e">
        <f ca="1">IF(CD75=1,_xll.RiskBinomial(1,Prob_illness_Noro_infection),0)</f>
        <v>#NAME?</v>
      </c>
      <c r="CG75" s="85" t="e">
        <f t="shared" ca="1" si="112"/>
        <v>#NAME?</v>
      </c>
      <c r="CH75" s="40" t="e">
        <f ca="1">INT(CG75) + _xll.RiskBinomial(1,CG75-INT(CG75))</f>
        <v>#NAME?</v>
      </c>
      <c r="CI75" s="33" t="e">
        <f t="shared" ca="1" si="85"/>
        <v>#NAME?</v>
      </c>
      <c r="CJ75" s="38" t="e">
        <f ca="1">_xll.RiskBinomial(1,CI75)</f>
        <v>#NAME?</v>
      </c>
      <c r="CK75" s="86" t="e">
        <f ca="1">IF(CJ75=1,_xll.RiskBinomial(1,Prob_illness_Noro_infection),0)</f>
        <v>#NAME?</v>
      </c>
      <c r="CM75" s="85" t="e">
        <f t="shared" ca="1" si="113"/>
        <v>#NAME?</v>
      </c>
      <c r="CN75" s="40" t="e">
        <f ca="1">INT(CM75) + _xll.RiskBinomial(1,CM75-INT(CM75))</f>
        <v>#NAME?</v>
      </c>
      <c r="CO75" s="33" t="e">
        <f t="shared" ca="1" si="86"/>
        <v>#NAME?</v>
      </c>
      <c r="CP75" s="38" t="e">
        <f ca="1">_xll.RiskBinomial(1,CO75)</f>
        <v>#NAME?</v>
      </c>
      <c r="CQ75" s="86" t="e">
        <f ca="1">IF(CP75=1,_xll.RiskBinomial(1,Prob_illness_Noro_infection),0)</f>
        <v>#NAME?</v>
      </c>
      <c r="CS75" s="85" t="e">
        <f t="shared" ca="1" si="114"/>
        <v>#NAME?</v>
      </c>
      <c r="CT75" s="40" t="e">
        <f ca="1">INT(CS75) + _xll.RiskBinomial(1,CS75-INT(CS75))</f>
        <v>#NAME?</v>
      </c>
      <c r="CU75" s="33" t="e">
        <f t="shared" ca="1" si="87"/>
        <v>#NAME?</v>
      </c>
      <c r="CV75" s="38" t="e">
        <f ca="1">_xll.RiskBinomial(1,CU75)</f>
        <v>#NAME?</v>
      </c>
      <c r="CW75" s="86" t="e">
        <f ca="1">IF(CV75=1,_xll.RiskBinomial(1,Prob_illness_Noro_infection),0)</f>
        <v>#NAME?</v>
      </c>
      <c r="CY75" s="85" t="e">
        <f t="shared" ca="1" si="115"/>
        <v>#NAME?</v>
      </c>
      <c r="CZ75" s="40" t="e">
        <f ca="1">INT(CY75) + _xll.RiskBinomial(1,CY75-INT(CY75))</f>
        <v>#NAME?</v>
      </c>
      <c r="DA75" s="33" t="e">
        <f t="shared" ca="1" si="88"/>
        <v>#NAME?</v>
      </c>
      <c r="DB75" s="38" t="e">
        <f ca="1">_xll.RiskBinomial(1,DA75)</f>
        <v>#NAME?</v>
      </c>
      <c r="DC75" s="86" t="e">
        <f ca="1">IF(DB75=1,_xll.RiskBinomial(1,Prob_illness_Noro_infection),0)</f>
        <v>#NAME?</v>
      </c>
      <c r="DE75" s="85" t="e">
        <f t="shared" ca="1" si="116"/>
        <v>#NAME?</v>
      </c>
      <c r="DF75" s="40" t="e">
        <f ca="1">INT(DE75) + _xll.RiskBinomial(1,DE75-INT(DE75))</f>
        <v>#NAME?</v>
      </c>
      <c r="DG75" s="33" t="e">
        <f t="shared" ca="1" si="89"/>
        <v>#NAME?</v>
      </c>
      <c r="DH75" s="38" t="e">
        <f ca="1">_xll.RiskBinomial(1,DG75)</f>
        <v>#NAME?</v>
      </c>
      <c r="DI75" s="86" t="e">
        <f ca="1">IF(DH75=1,_xll.RiskBinomial(1,Prob_illness_Noro_infection),0)</f>
        <v>#NAME?</v>
      </c>
      <c r="DK75" s="85" t="e">
        <f t="shared" ca="1" si="117"/>
        <v>#NAME?</v>
      </c>
      <c r="DL75" s="40" t="e">
        <f ca="1">INT(DK75) + _xll.RiskBinomial(1,DK75-INT(DK75))</f>
        <v>#NAME?</v>
      </c>
      <c r="DM75" s="33" t="e">
        <f t="shared" ca="1" si="90"/>
        <v>#NAME?</v>
      </c>
      <c r="DN75" s="38" t="e">
        <f ca="1">_xll.RiskBinomial(1,DM75)</f>
        <v>#NAME?</v>
      </c>
      <c r="DO75" s="86" t="e">
        <f ca="1">IF(DN75=1,_xll.RiskBinomial(1,Prob_illness_Noro_infection),0)</f>
        <v>#NAME?</v>
      </c>
      <c r="DQ75" s="85" t="e">
        <f t="shared" ca="1" si="118"/>
        <v>#NAME?</v>
      </c>
      <c r="DR75" s="40" t="e">
        <f ca="1">INT(DQ75) + _xll.RiskBinomial(1,DQ75-INT(DQ75))</f>
        <v>#NAME?</v>
      </c>
      <c r="DS75" s="33" t="e">
        <f t="shared" ca="1" si="91"/>
        <v>#NAME?</v>
      </c>
      <c r="DT75" s="38" t="e">
        <f ca="1">_xll.RiskBinomial(1,DS75)</f>
        <v>#NAME?</v>
      </c>
      <c r="DU75" s="86" t="e">
        <f ca="1">IF(DT75=1,_xll.RiskBinomial(1,Prob_illness_Noro_infection),0)</f>
        <v>#NAME?</v>
      </c>
      <c r="DW75" s="85" t="e">
        <f t="shared" ca="1" si="119"/>
        <v>#NAME?</v>
      </c>
      <c r="DX75" s="40" t="e">
        <f ca="1">INT(DW75) + _xll.RiskBinomial(1,DW75-INT(DW75))</f>
        <v>#NAME?</v>
      </c>
      <c r="DY75" s="33" t="e">
        <f t="shared" ca="1" si="92"/>
        <v>#NAME?</v>
      </c>
      <c r="DZ75" s="38" t="e">
        <f ca="1">_xll.RiskBinomial(1,DY75)</f>
        <v>#NAME?</v>
      </c>
      <c r="EA75" s="86" t="e">
        <f ca="1">IF(DZ75=1,_xll.RiskBinomial(1,Prob_illness_Noro_infection),0)</f>
        <v>#NAME?</v>
      </c>
      <c r="EC75" s="85" t="e">
        <f t="shared" ca="1" si="120"/>
        <v>#NAME?</v>
      </c>
      <c r="ED75" s="40" t="e">
        <f ca="1">INT(EC75) + _xll.RiskBinomial(1,EC75-INT(EC75))</f>
        <v>#NAME?</v>
      </c>
      <c r="EE75" s="33" t="e">
        <f t="shared" ca="1" si="93"/>
        <v>#NAME?</v>
      </c>
      <c r="EF75" s="38" t="e">
        <f ca="1">_xll.RiskBinomial(1,EE75)</f>
        <v>#NAME?</v>
      </c>
      <c r="EG75" s="86" t="e">
        <f ca="1">IF(EF75=1,_xll.RiskBinomial(1,Prob_illness_Noro_infection),0)</f>
        <v>#NAME?</v>
      </c>
      <c r="EI75" s="85" t="e">
        <f t="shared" ca="1" si="121"/>
        <v>#NAME?</v>
      </c>
      <c r="EJ75" s="40" t="e">
        <f ca="1">INT(EI75) + _xll.RiskBinomial(1,EI75-INT(EI75))</f>
        <v>#NAME?</v>
      </c>
      <c r="EK75" s="33" t="e">
        <f t="shared" ca="1" si="94"/>
        <v>#NAME?</v>
      </c>
      <c r="EL75" s="38" t="e">
        <f ca="1">_xll.RiskBinomial(1,EK75)</f>
        <v>#NAME?</v>
      </c>
      <c r="EM75" s="86" t="e">
        <f ca="1">IF(EL75=1,_xll.RiskBinomial(1,Prob_illness_Noro_infection),0)</f>
        <v>#NAME?</v>
      </c>
      <c r="EO75" s="85" t="e">
        <f t="shared" ca="1" si="122"/>
        <v>#NAME?</v>
      </c>
      <c r="EP75" s="40" t="e">
        <f ca="1">INT(EO75) + _xll.RiskBinomial(1,EO75-INT(EO75))</f>
        <v>#NAME?</v>
      </c>
      <c r="EQ75" s="33" t="e">
        <f t="shared" ca="1" si="95"/>
        <v>#NAME?</v>
      </c>
      <c r="ER75" s="38" t="e">
        <f ca="1">_xll.RiskBinomial(1,EQ75)</f>
        <v>#NAME?</v>
      </c>
      <c r="ES75" s="86" t="e">
        <f ca="1">IF(ER75=1,_xll.RiskBinomial(1,Prob_illness_Noro_infection),0)</f>
        <v>#NAME?</v>
      </c>
      <c r="EU75" s="85" t="e">
        <f t="shared" ca="1" si="123"/>
        <v>#NAME?</v>
      </c>
      <c r="EV75" s="40" t="e">
        <f ca="1">INT(EU75) + _xll.RiskBinomial(1,EU75-INT(EU75))</f>
        <v>#NAME?</v>
      </c>
      <c r="EW75" s="33" t="e">
        <f t="shared" ca="1" si="96"/>
        <v>#NAME?</v>
      </c>
      <c r="EX75" s="38" t="e">
        <f ca="1">_xll.RiskBinomial(1,EW75)</f>
        <v>#NAME?</v>
      </c>
      <c r="EY75" s="86" t="e">
        <f ca="1">IF(EX75=1,_xll.RiskBinomial(1,Prob_illness_Noro_infection),0)</f>
        <v>#NAME?</v>
      </c>
      <c r="FA75" s="85" t="e">
        <f t="shared" ca="1" si="124"/>
        <v>#NAME?</v>
      </c>
      <c r="FB75" s="40" t="e">
        <f ca="1">INT(FA75) + _xll.RiskBinomial(1,FA75-INT(FA75))</f>
        <v>#NAME?</v>
      </c>
      <c r="FC75" s="33" t="e">
        <f t="shared" ca="1" si="97"/>
        <v>#NAME?</v>
      </c>
      <c r="FD75" s="38" t="e">
        <f ca="1">_xll.RiskBinomial(1,FC75)</f>
        <v>#NAME?</v>
      </c>
      <c r="FE75" s="86" t="e">
        <f ca="1">IF(FD75=1,_xll.RiskBinomial(1,Prob_illness_Noro_infection),0)</f>
        <v>#NAME?</v>
      </c>
      <c r="FG75" s="85" t="e">
        <f t="shared" ca="1" si="125"/>
        <v>#NAME?</v>
      </c>
      <c r="FH75" s="40" t="e">
        <f ca="1">INT(FG75) + _xll.RiskBinomial(1,FG75-INT(FG75))</f>
        <v>#NAME?</v>
      </c>
      <c r="FI75" s="33" t="e">
        <f t="shared" ca="1" si="98"/>
        <v>#NAME?</v>
      </c>
      <c r="FJ75" s="38" t="e">
        <f ca="1">_xll.RiskBinomial(1,FI75)</f>
        <v>#NAME?</v>
      </c>
      <c r="FK75" s="86" t="e">
        <f ca="1">IF(FJ75=1,_xll.RiskBinomial(1,Prob_illness_Noro_infection),0)</f>
        <v>#NAME?</v>
      </c>
      <c r="FM75" s="85" t="e">
        <f t="shared" ca="1" si="126"/>
        <v>#NAME?</v>
      </c>
      <c r="FN75" s="40" t="e">
        <f ca="1">INT(FM75) + _xll.RiskBinomial(1,FM75-INT(FM75))</f>
        <v>#NAME?</v>
      </c>
      <c r="FO75" s="33" t="e">
        <f t="shared" ca="1" si="99"/>
        <v>#NAME?</v>
      </c>
      <c r="FP75" s="38" t="e">
        <f ca="1">_xll.RiskBinomial(1,FO75)</f>
        <v>#NAME?</v>
      </c>
      <c r="FQ75" s="86" t="e">
        <f ca="1">IF(FP75=1,_xll.RiskBinomial(1,Prob_illness_Noro_infection),0)</f>
        <v>#NAME?</v>
      </c>
      <c r="FS75" s="85" t="e">
        <f t="shared" ca="1" si="127"/>
        <v>#NAME?</v>
      </c>
      <c r="FT75" s="40" t="e">
        <f ca="1">INT(FS75) + _xll.RiskBinomial(1,FS75-INT(FS75))</f>
        <v>#NAME?</v>
      </c>
      <c r="FU75" s="33" t="e">
        <f t="shared" ca="1" si="100"/>
        <v>#NAME?</v>
      </c>
      <c r="FV75" s="38" t="e">
        <f ca="1">_xll.RiskBinomial(1,FU75)</f>
        <v>#NAME?</v>
      </c>
      <c r="FW75" s="86" t="e">
        <f ca="1">IF(FV75=1,_xll.RiskBinomial(1,Prob_illness_Noro_infection),0)</f>
        <v>#NAME?</v>
      </c>
      <c r="FY75" s="85" t="e">
        <f t="shared" ca="1" si="128"/>
        <v>#NAME?</v>
      </c>
      <c r="FZ75" s="40" t="e">
        <f ca="1">INT(FY75) + _xll.RiskBinomial(1,FY75-INT(FY75))</f>
        <v>#NAME?</v>
      </c>
      <c r="GA75" s="33" t="e">
        <f t="shared" ca="1" si="101"/>
        <v>#NAME?</v>
      </c>
      <c r="GB75" s="38" t="e">
        <f ca="1">_xll.RiskBinomial(1,GA75)</f>
        <v>#NAME?</v>
      </c>
      <c r="GC75" s="86" t="e">
        <f ca="1">IF(GB75=1,_xll.RiskBinomial(1,Prob_illness_Noro_infection),0)</f>
        <v>#NAME?</v>
      </c>
      <c r="GE75" s="85" t="e">
        <f t="shared" ca="1" si="129"/>
        <v>#NAME?</v>
      </c>
      <c r="GF75" s="40" t="e">
        <f ca="1">INT(GE75) + _xll.RiskBinomial(1,GE75-INT(GE75))</f>
        <v>#NAME?</v>
      </c>
      <c r="GG75" s="33" t="e">
        <f t="shared" ca="1" si="102"/>
        <v>#NAME?</v>
      </c>
      <c r="GH75" s="38" t="e">
        <f ca="1">_xll.RiskBinomial(1,GG75)</f>
        <v>#NAME?</v>
      </c>
      <c r="GI75" s="86" t="e">
        <f ca="1">IF(GH75=1,_xll.RiskBinomial(1,Prob_illness_Noro_infection),0)</f>
        <v>#NAME?</v>
      </c>
      <c r="GK75" s="85" t="e">
        <f t="shared" ca="1" si="130"/>
        <v>#NAME?</v>
      </c>
      <c r="GL75" s="40" t="e">
        <f ca="1">INT(GK75) + _xll.RiskBinomial(1,GK75-INT(GK75))</f>
        <v>#NAME?</v>
      </c>
      <c r="GM75" s="33" t="e">
        <f t="shared" ca="1" si="103"/>
        <v>#NAME?</v>
      </c>
      <c r="GN75" s="38" t="e">
        <f ca="1">_xll.RiskBinomial(1,GM75)</f>
        <v>#NAME?</v>
      </c>
      <c r="GO75" s="86" t="e">
        <f ca="1">IF(GN75=1,_xll.RiskBinomial(1,Prob_illness_Noro_infection),0)</f>
        <v>#NAME?</v>
      </c>
    </row>
    <row r="76" spans="2:197" x14ac:dyDescent="0.25">
      <c r="B76" s="106">
        <v>68</v>
      </c>
      <c r="C76" s="109" t="e">
        <f ca="1" xml:space="preserve"> _xll.RiskPert(Dur_Swim_hours_min,Dur_Swim_hours_mode,Dur_Swim_hours_max)</f>
        <v>#NAME?</v>
      </c>
      <c r="D76" s="33" t="e">
        <f ca="1">_xll.RiskLognorm(Primary_Ing_Rate_mL_per_hour_mean,Primary_Ing_Rate_mL_per_hour_sd, _xll.RiskTruncate(Primary_Ing_Rate_mL_per_hour_min,Primary_Ing_Rate_mL_per_hour_max))</f>
        <v>#NAME?</v>
      </c>
      <c r="E76" s="41" t="e">
        <f t="shared" ca="1" si="104"/>
        <v>#NAME?</v>
      </c>
      <c r="F76" s="33"/>
      <c r="G76" s="85" t="e">
        <f t="shared" ca="1" si="105"/>
        <v>#NAME?</v>
      </c>
      <c r="H76" s="40" t="e">
        <f ca="1">INT(G76) + _xll.RiskBinomial(1,G76-INT(G76))</f>
        <v>#NAME?</v>
      </c>
      <c r="I76" s="33" t="e">
        <f t="shared" ca="1" si="66"/>
        <v>#NAME?</v>
      </c>
      <c r="J76" s="38" t="e">
        <f ca="1">_xll.RiskBinomial(1,I76)</f>
        <v>#NAME?</v>
      </c>
      <c r="K76" s="86" t="e">
        <f ca="1">IF(J76=1,_xll.RiskBinomial(1,Prob_illness_Noro_infection),0)</f>
        <v>#NAME?</v>
      </c>
      <c r="L76" s="33"/>
      <c r="M76" s="85" t="e">
        <f t="shared" ca="1" si="67"/>
        <v>#NAME?</v>
      </c>
      <c r="N76" s="40" t="e">
        <f ca="1">INT(M76) + _xll.RiskBinomial(1,M76-INT(M76))</f>
        <v>#NAME?</v>
      </c>
      <c r="O76" s="33" t="e">
        <f t="shared" ca="1" si="68"/>
        <v>#NAME?</v>
      </c>
      <c r="P76" s="38" t="e">
        <f ca="1">_xll.RiskBinomial(1,O76)</f>
        <v>#NAME?</v>
      </c>
      <c r="Q76" s="86" t="e">
        <f ca="1">IF(P76=1,_xll.RiskBinomial(1,Prob_illness_Noro_infection),0)</f>
        <v>#NAME?</v>
      </c>
      <c r="R76" s="33"/>
      <c r="S76" s="85" t="e">
        <f t="shared" ca="1" si="69"/>
        <v>#NAME?</v>
      </c>
      <c r="T76" s="40" t="e">
        <f ca="1">INT(S76) + _xll.RiskBinomial(1,S76-INT(S76))</f>
        <v>#NAME?</v>
      </c>
      <c r="U76" s="33" t="e">
        <f t="shared" ca="1" si="70"/>
        <v>#NAME?</v>
      </c>
      <c r="V76" s="38" t="e">
        <f ca="1">_xll.RiskBinomial(1,U76)</f>
        <v>#NAME?</v>
      </c>
      <c r="W76" s="86" t="e">
        <f ca="1">IF(V76=1,_xll.RiskBinomial(1,Prob_illness_Noro_infection),0)</f>
        <v>#NAME?</v>
      </c>
      <c r="X76" s="33"/>
      <c r="Y76" s="85" t="e">
        <f t="shared" ca="1" si="71"/>
        <v>#NAME?</v>
      </c>
      <c r="Z76" s="40" t="e">
        <f ca="1">INT(Y76) + _xll.RiskBinomial(1,Y76-INT(Y76))</f>
        <v>#NAME?</v>
      </c>
      <c r="AA76" s="33" t="e">
        <f t="shared" ca="1" si="72"/>
        <v>#NAME?</v>
      </c>
      <c r="AB76" s="38" t="e">
        <f ca="1">_xll.RiskBinomial(1,AA76)</f>
        <v>#NAME?</v>
      </c>
      <c r="AC76" s="86" t="e">
        <f ca="1">IF(AB76=1,_xll.RiskBinomial(1,Prob_illness_Noro_infection),0)</f>
        <v>#NAME?</v>
      </c>
      <c r="AD76" s="33"/>
      <c r="AE76" s="85" t="e">
        <f t="shared" ca="1" si="73"/>
        <v>#NAME?</v>
      </c>
      <c r="AF76" s="40" t="e">
        <f ca="1">INT(AE76) + _xll.RiskBinomial(1,AE76-INT(AE76))</f>
        <v>#NAME?</v>
      </c>
      <c r="AG76" s="33" t="e">
        <f t="shared" ca="1" si="74"/>
        <v>#NAME?</v>
      </c>
      <c r="AH76" s="38" t="e">
        <f ca="1">_xll.RiskBinomial(1,AG76)</f>
        <v>#NAME?</v>
      </c>
      <c r="AI76" s="86" t="e">
        <f ca="1">IF(AH76=1,_xll.RiskBinomial(1,Prob_illness_Noro_infection),0)</f>
        <v>#NAME?</v>
      </c>
      <c r="AJ76" s="33"/>
      <c r="AK76" s="85" t="e">
        <f t="shared" ca="1" si="75"/>
        <v>#NAME?</v>
      </c>
      <c r="AL76" s="40" t="e">
        <f ca="1">INT(AK76) + _xll.RiskBinomial(1,AK76-INT(AK76))</f>
        <v>#NAME?</v>
      </c>
      <c r="AM76" s="33" t="e">
        <f t="shared" ca="1" si="76"/>
        <v>#NAME?</v>
      </c>
      <c r="AN76" s="38" t="e">
        <f ca="1">_xll.RiskBinomial(1,AM76)</f>
        <v>#NAME?</v>
      </c>
      <c r="AO76" s="86" t="e">
        <f ca="1">IF(AN76=1,_xll.RiskBinomial(1,Prob_illness_Noro_infection),0)</f>
        <v>#NAME?</v>
      </c>
      <c r="AP76" s="33"/>
      <c r="AQ76" s="85" t="e">
        <f t="shared" ca="1" si="77"/>
        <v>#NAME?</v>
      </c>
      <c r="AR76" s="40" t="e">
        <f ca="1">INT(AQ76) + _xll.RiskBinomial(1,AQ76-INT(AQ76))</f>
        <v>#NAME?</v>
      </c>
      <c r="AS76" s="33" t="e">
        <f t="shared" ca="1" si="78"/>
        <v>#NAME?</v>
      </c>
      <c r="AT76" s="38" t="e">
        <f ca="1">_xll.RiskBinomial(1,AS76)</f>
        <v>#NAME?</v>
      </c>
      <c r="AU76" s="86" t="e">
        <f ca="1">IF(AT76=1,_xll.RiskBinomial(1,Prob_illness_Noro_infection),0)</f>
        <v>#NAME?</v>
      </c>
      <c r="AV76" s="33"/>
      <c r="AW76" s="85" t="e">
        <f t="shared" ca="1" si="106"/>
        <v>#NAME?</v>
      </c>
      <c r="AX76" s="40" t="e">
        <f ca="1">INT(AW76) + _xll.RiskBinomial(1,AW76-INT(AW76))</f>
        <v>#NAME?</v>
      </c>
      <c r="AY76" s="33" t="e">
        <f t="shared" ca="1" si="79"/>
        <v>#NAME?</v>
      </c>
      <c r="AZ76" s="38" t="e">
        <f ca="1">_xll.RiskBinomial(1,AY76)</f>
        <v>#NAME?</v>
      </c>
      <c r="BA76" s="86" t="e">
        <f ca="1">IF(AZ76=1,_xll.RiskBinomial(1,Prob_illness_Noro_infection),0)</f>
        <v>#NAME?</v>
      </c>
      <c r="BC76" s="85" t="e">
        <f t="shared" ca="1" si="107"/>
        <v>#NAME?</v>
      </c>
      <c r="BD76" s="40" t="e">
        <f ca="1">INT(BC76) + _xll.RiskBinomial(1,BC76-INT(BC76))</f>
        <v>#NAME?</v>
      </c>
      <c r="BE76" s="33" t="e">
        <f t="shared" ca="1" si="80"/>
        <v>#NAME?</v>
      </c>
      <c r="BF76" s="38" t="e">
        <f ca="1">_xll.RiskBinomial(1,BE76)</f>
        <v>#NAME?</v>
      </c>
      <c r="BG76" s="86" t="e">
        <f ca="1">IF(BF76=1,_xll.RiskBinomial(1,Prob_illness_Noro_infection),0)</f>
        <v>#NAME?</v>
      </c>
      <c r="BI76" s="85" t="e">
        <f t="shared" ca="1" si="108"/>
        <v>#NAME?</v>
      </c>
      <c r="BJ76" s="40" t="e">
        <f ca="1">INT(BI76) + _xll.RiskBinomial(1,BI76-INT(BI76))</f>
        <v>#NAME?</v>
      </c>
      <c r="BK76" s="33" t="e">
        <f t="shared" ca="1" si="81"/>
        <v>#NAME?</v>
      </c>
      <c r="BL76" s="38" t="e">
        <f ca="1">_xll.RiskBinomial(1,BK76)</f>
        <v>#NAME?</v>
      </c>
      <c r="BM76" s="86" t="e">
        <f ca="1">IF(BL76=1,_xll.RiskBinomial(1,Prob_illness_Noro_infection),0)</f>
        <v>#NAME?</v>
      </c>
      <c r="BO76" s="85" t="e">
        <f t="shared" ca="1" si="109"/>
        <v>#NAME?</v>
      </c>
      <c r="BP76" s="40" t="e">
        <f ca="1">INT(BO76) + _xll.RiskBinomial(1,BO76-INT(BO76))</f>
        <v>#NAME?</v>
      </c>
      <c r="BQ76" s="33" t="e">
        <f t="shared" ca="1" si="82"/>
        <v>#NAME?</v>
      </c>
      <c r="BR76" s="38" t="e">
        <f ca="1">_xll.RiskBinomial(1,BQ76)</f>
        <v>#NAME?</v>
      </c>
      <c r="BS76" s="86" t="e">
        <f ca="1">IF(BR76=1,_xll.RiskBinomial(1,Prob_illness_Noro_infection),0)</f>
        <v>#NAME?</v>
      </c>
      <c r="BU76" s="85" t="e">
        <f t="shared" ca="1" si="110"/>
        <v>#NAME?</v>
      </c>
      <c r="BV76" s="40" t="e">
        <f ca="1">INT(BU76) + _xll.RiskBinomial(1,BU76-INT(BU76))</f>
        <v>#NAME?</v>
      </c>
      <c r="BW76" s="33" t="e">
        <f t="shared" ca="1" si="83"/>
        <v>#NAME?</v>
      </c>
      <c r="BX76" s="38" t="e">
        <f ca="1">_xll.RiskBinomial(1,BW76)</f>
        <v>#NAME?</v>
      </c>
      <c r="BY76" s="86" t="e">
        <f ca="1">IF(BX76=1,_xll.RiskBinomial(1,Prob_illness_Noro_infection),0)</f>
        <v>#NAME?</v>
      </c>
      <c r="CA76" s="85" t="e">
        <f t="shared" ca="1" si="111"/>
        <v>#NAME?</v>
      </c>
      <c r="CB76" s="40" t="e">
        <f ca="1">INT(CA76) + _xll.RiskBinomial(1,CA76-INT(CA76))</f>
        <v>#NAME?</v>
      </c>
      <c r="CC76" s="33" t="e">
        <f t="shared" ca="1" si="84"/>
        <v>#NAME?</v>
      </c>
      <c r="CD76" s="38" t="e">
        <f ca="1">_xll.RiskBinomial(1,CC76)</f>
        <v>#NAME?</v>
      </c>
      <c r="CE76" s="86" t="e">
        <f ca="1">IF(CD76=1,_xll.RiskBinomial(1,Prob_illness_Noro_infection),0)</f>
        <v>#NAME?</v>
      </c>
      <c r="CG76" s="85" t="e">
        <f t="shared" ca="1" si="112"/>
        <v>#NAME?</v>
      </c>
      <c r="CH76" s="40" t="e">
        <f ca="1">INT(CG76) + _xll.RiskBinomial(1,CG76-INT(CG76))</f>
        <v>#NAME?</v>
      </c>
      <c r="CI76" s="33" t="e">
        <f t="shared" ca="1" si="85"/>
        <v>#NAME?</v>
      </c>
      <c r="CJ76" s="38" t="e">
        <f ca="1">_xll.RiskBinomial(1,CI76)</f>
        <v>#NAME?</v>
      </c>
      <c r="CK76" s="86" t="e">
        <f ca="1">IF(CJ76=1,_xll.RiskBinomial(1,Prob_illness_Noro_infection),0)</f>
        <v>#NAME?</v>
      </c>
      <c r="CM76" s="85" t="e">
        <f t="shared" ca="1" si="113"/>
        <v>#NAME?</v>
      </c>
      <c r="CN76" s="40" t="e">
        <f ca="1">INT(CM76) + _xll.RiskBinomial(1,CM76-INT(CM76))</f>
        <v>#NAME?</v>
      </c>
      <c r="CO76" s="33" t="e">
        <f t="shared" ca="1" si="86"/>
        <v>#NAME?</v>
      </c>
      <c r="CP76" s="38" t="e">
        <f ca="1">_xll.RiskBinomial(1,CO76)</f>
        <v>#NAME?</v>
      </c>
      <c r="CQ76" s="86" t="e">
        <f ca="1">IF(CP76=1,_xll.RiskBinomial(1,Prob_illness_Noro_infection),0)</f>
        <v>#NAME?</v>
      </c>
      <c r="CS76" s="85" t="e">
        <f t="shared" ca="1" si="114"/>
        <v>#NAME?</v>
      </c>
      <c r="CT76" s="40" t="e">
        <f ca="1">INT(CS76) + _xll.RiskBinomial(1,CS76-INT(CS76))</f>
        <v>#NAME?</v>
      </c>
      <c r="CU76" s="33" t="e">
        <f t="shared" ca="1" si="87"/>
        <v>#NAME?</v>
      </c>
      <c r="CV76" s="38" t="e">
        <f ca="1">_xll.RiskBinomial(1,CU76)</f>
        <v>#NAME?</v>
      </c>
      <c r="CW76" s="86" t="e">
        <f ca="1">IF(CV76=1,_xll.RiskBinomial(1,Prob_illness_Noro_infection),0)</f>
        <v>#NAME?</v>
      </c>
      <c r="CY76" s="85" t="e">
        <f t="shared" ca="1" si="115"/>
        <v>#NAME?</v>
      </c>
      <c r="CZ76" s="40" t="e">
        <f ca="1">INT(CY76) + _xll.RiskBinomial(1,CY76-INT(CY76))</f>
        <v>#NAME?</v>
      </c>
      <c r="DA76" s="33" t="e">
        <f t="shared" ca="1" si="88"/>
        <v>#NAME?</v>
      </c>
      <c r="DB76" s="38" t="e">
        <f ca="1">_xll.RiskBinomial(1,DA76)</f>
        <v>#NAME?</v>
      </c>
      <c r="DC76" s="86" t="e">
        <f ca="1">IF(DB76=1,_xll.RiskBinomial(1,Prob_illness_Noro_infection),0)</f>
        <v>#NAME?</v>
      </c>
      <c r="DE76" s="85" t="e">
        <f t="shared" ca="1" si="116"/>
        <v>#NAME?</v>
      </c>
      <c r="DF76" s="40" t="e">
        <f ca="1">INT(DE76) + _xll.RiskBinomial(1,DE76-INT(DE76))</f>
        <v>#NAME?</v>
      </c>
      <c r="DG76" s="33" t="e">
        <f t="shared" ca="1" si="89"/>
        <v>#NAME?</v>
      </c>
      <c r="DH76" s="38" t="e">
        <f ca="1">_xll.RiskBinomial(1,DG76)</f>
        <v>#NAME?</v>
      </c>
      <c r="DI76" s="86" t="e">
        <f ca="1">IF(DH76=1,_xll.RiskBinomial(1,Prob_illness_Noro_infection),0)</f>
        <v>#NAME?</v>
      </c>
      <c r="DK76" s="85" t="e">
        <f t="shared" ca="1" si="117"/>
        <v>#NAME?</v>
      </c>
      <c r="DL76" s="40" t="e">
        <f ca="1">INT(DK76) + _xll.RiskBinomial(1,DK76-INT(DK76))</f>
        <v>#NAME?</v>
      </c>
      <c r="DM76" s="33" t="e">
        <f t="shared" ca="1" si="90"/>
        <v>#NAME?</v>
      </c>
      <c r="DN76" s="38" t="e">
        <f ca="1">_xll.RiskBinomial(1,DM76)</f>
        <v>#NAME?</v>
      </c>
      <c r="DO76" s="86" t="e">
        <f ca="1">IF(DN76=1,_xll.RiskBinomial(1,Prob_illness_Noro_infection),0)</f>
        <v>#NAME?</v>
      </c>
      <c r="DQ76" s="85" t="e">
        <f t="shared" ca="1" si="118"/>
        <v>#NAME?</v>
      </c>
      <c r="DR76" s="40" t="e">
        <f ca="1">INT(DQ76) + _xll.RiskBinomial(1,DQ76-INT(DQ76))</f>
        <v>#NAME?</v>
      </c>
      <c r="DS76" s="33" t="e">
        <f t="shared" ca="1" si="91"/>
        <v>#NAME?</v>
      </c>
      <c r="DT76" s="38" t="e">
        <f ca="1">_xll.RiskBinomial(1,DS76)</f>
        <v>#NAME?</v>
      </c>
      <c r="DU76" s="86" t="e">
        <f ca="1">IF(DT76=1,_xll.RiskBinomial(1,Prob_illness_Noro_infection),0)</f>
        <v>#NAME?</v>
      </c>
      <c r="DW76" s="85" t="e">
        <f t="shared" ca="1" si="119"/>
        <v>#NAME?</v>
      </c>
      <c r="DX76" s="40" t="e">
        <f ca="1">INT(DW76) + _xll.RiskBinomial(1,DW76-INT(DW76))</f>
        <v>#NAME?</v>
      </c>
      <c r="DY76" s="33" t="e">
        <f t="shared" ca="1" si="92"/>
        <v>#NAME?</v>
      </c>
      <c r="DZ76" s="38" t="e">
        <f ca="1">_xll.RiskBinomial(1,DY76)</f>
        <v>#NAME?</v>
      </c>
      <c r="EA76" s="86" t="e">
        <f ca="1">IF(DZ76=1,_xll.RiskBinomial(1,Prob_illness_Noro_infection),0)</f>
        <v>#NAME?</v>
      </c>
      <c r="EC76" s="85" t="e">
        <f t="shared" ca="1" si="120"/>
        <v>#NAME?</v>
      </c>
      <c r="ED76" s="40" t="e">
        <f ca="1">INT(EC76) + _xll.RiskBinomial(1,EC76-INT(EC76))</f>
        <v>#NAME?</v>
      </c>
      <c r="EE76" s="33" t="e">
        <f t="shared" ca="1" si="93"/>
        <v>#NAME?</v>
      </c>
      <c r="EF76" s="38" t="e">
        <f ca="1">_xll.RiskBinomial(1,EE76)</f>
        <v>#NAME?</v>
      </c>
      <c r="EG76" s="86" t="e">
        <f ca="1">IF(EF76=1,_xll.RiskBinomial(1,Prob_illness_Noro_infection),0)</f>
        <v>#NAME?</v>
      </c>
      <c r="EI76" s="85" t="e">
        <f t="shared" ca="1" si="121"/>
        <v>#NAME?</v>
      </c>
      <c r="EJ76" s="40" t="e">
        <f ca="1">INT(EI76) + _xll.RiskBinomial(1,EI76-INT(EI76))</f>
        <v>#NAME?</v>
      </c>
      <c r="EK76" s="33" t="e">
        <f t="shared" ca="1" si="94"/>
        <v>#NAME?</v>
      </c>
      <c r="EL76" s="38" t="e">
        <f ca="1">_xll.RiskBinomial(1,EK76)</f>
        <v>#NAME?</v>
      </c>
      <c r="EM76" s="86" t="e">
        <f ca="1">IF(EL76=1,_xll.RiskBinomial(1,Prob_illness_Noro_infection),0)</f>
        <v>#NAME?</v>
      </c>
      <c r="EO76" s="85" t="e">
        <f t="shared" ca="1" si="122"/>
        <v>#NAME?</v>
      </c>
      <c r="EP76" s="40" t="e">
        <f ca="1">INT(EO76) + _xll.RiskBinomial(1,EO76-INT(EO76))</f>
        <v>#NAME?</v>
      </c>
      <c r="EQ76" s="33" t="e">
        <f t="shared" ca="1" si="95"/>
        <v>#NAME?</v>
      </c>
      <c r="ER76" s="38" t="e">
        <f ca="1">_xll.RiskBinomial(1,EQ76)</f>
        <v>#NAME?</v>
      </c>
      <c r="ES76" s="86" t="e">
        <f ca="1">IF(ER76=1,_xll.RiskBinomial(1,Prob_illness_Noro_infection),0)</f>
        <v>#NAME?</v>
      </c>
      <c r="EU76" s="85" t="e">
        <f t="shared" ca="1" si="123"/>
        <v>#NAME?</v>
      </c>
      <c r="EV76" s="40" t="e">
        <f ca="1">INT(EU76) + _xll.RiskBinomial(1,EU76-INT(EU76))</f>
        <v>#NAME?</v>
      </c>
      <c r="EW76" s="33" t="e">
        <f t="shared" ca="1" si="96"/>
        <v>#NAME?</v>
      </c>
      <c r="EX76" s="38" t="e">
        <f ca="1">_xll.RiskBinomial(1,EW76)</f>
        <v>#NAME?</v>
      </c>
      <c r="EY76" s="86" t="e">
        <f ca="1">IF(EX76=1,_xll.RiskBinomial(1,Prob_illness_Noro_infection),0)</f>
        <v>#NAME?</v>
      </c>
      <c r="FA76" s="85" t="e">
        <f t="shared" ca="1" si="124"/>
        <v>#NAME?</v>
      </c>
      <c r="FB76" s="40" t="e">
        <f ca="1">INT(FA76) + _xll.RiskBinomial(1,FA76-INT(FA76))</f>
        <v>#NAME?</v>
      </c>
      <c r="FC76" s="33" t="e">
        <f t="shared" ca="1" si="97"/>
        <v>#NAME?</v>
      </c>
      <c r="FD76" s="38" t="e">
        <f ca="1">_xll.RiskBinomial(1,FC76)</f>
        <v>#NAME?</v>
      </c>
      <c r="FE76" s="86" t="e">
        <f ca="1">IF(FD76=1,_xll.RiskBinomial(1,Prob_illness_Noro_infection),0)</f>
        <v>#NAME?</v>
      </c>
      <c r="FG76" s="85" t="e">
        <f t="shared" ca="1" si="125"/>
        <v>#NAME?</v>
      </c>
      <c r="FH76" s="40" t="e">
        <f ca="1">INT(FG76) + _xll.RiskBinomial(1,FG76-INT(FG76))</f>
        <v>#NAME?</v>
      </c>
      <c r="FI76" s="33" t="e">
        <f t="shared" ca="1" si="98"/>
        <v>#NAME?</v>
      </c>
      <c r="FJ76" s="38" t="e">
        <f ca="1">_xll.RiskBinomial(1,FI76)</f>
        <v>#NAME?</v>
      </c>
      <c r="FK76" s="86" t="e">
        <f ca="1">IF(FJ76=1,_xll.RiskBinomial(1,Prob_illness_Noro_infection),0)</f>
        <v>#NAME?</v>
      </c>
      <c r="FM76" s="85" t="e">
        <f t="shared" ca="1" si="126"/>
        <v>#NAME?</v>
      </c>
      <c r="FN76" s="40" t="e">
        <f ca="1">INT(FM76) + _xll.RiskBinomial(1,FM76-INT(FM76))</f>
        <v>#NAME?</v>
      </c>
      <c r="FO76" s="33" t="e">
        <f t="shared" ca="1" si="99"/>
        <v>#NAME?</v>
      </c>
      <c r="FP76" s="38" t="e">
        <f ca="1">_xll.RiskBinomial(1,FO76)</f>
        <v>#NAME?</v>
      </c>
      <c r="FQ76" s="86" t="e">
        <f ca="1">IF(FP76=1,_xll.RiskBinomial(1,Prob_illness_Noro_infection),0)</f>
        <v>#NAME?</v>
      </c>
      <c r="FS76" s="85" t="e">
        <f t="shared" ca="1" si="127"/>
        <v>#NAME?</v>
      </c>
      <c r="FT76" s="40" t="e">
        <f ca="1">INT(FS76) + _xll.RiskBinomial(1,FS76-INT(FS76))</f>
        <v>#NAME?</v>
      </c>
      <c r="FU76" s="33" t="e">
        <f t="shared" ca="1" si="100"/>
        <v>#NAME?</v>
      </c>
      <c r="FV76" s="38" t="e">
        <f ca="1">_xll.RiskBinomial(1,FU76)</f>
        <v>#NAME?</v>
      </c>
      <c r="FW76" s="86" t="e">
        <f ca="1">IF(FV76=1,_xll.RiskBinomial(1,Prob_illness_Noro_infection),0)</f>
        <v>#NAME?</v>
      </c>
      <c r="FY76" s="85" t="e">
        <f t="shared" ca="1" si="128"/>
        <v>#NAME?</v>
      </c>
      <c r="FZ76" s="40" t="e">
        <f ca="1">INT(FY76) + _xll.RiskBinomial(1,FY76-INT(FY76))</f>
        <v>#NAME?</v>
      </c>
      <c r="GA76" s="33" t="e">
        <f t="shared" ca="1" si="101"/>
        <v>#NAME?</v>
      </c>
      <c r="GB76" s="38" t="e">
        <f ca="1">_xll.RiskBinomial(1,GA76)</f>
        <v>#NAME?</v>
      </c>
      <c r="GC76" s="86" t="e">
        <f ca="1">IF(GB76=1,_xll.RiskBinomial(1,Prob_illness_Noro_infection),0)</f>
        <v>#NAME?</v>
      </c>
      <c r="GE76" s="85" t="e">
        <f t="shared" ca="1" si="129"/>
        <v>#NAME?</v>
      </c>
      <c r="GF76" s="40" t="e">
        <f ca="1">INT(GE76) + _xll.RiskBinomial(1,GE76-INT(GE76))</f>
        <v>#NAME?</v>
      </c>
      <c r="GG76" s="33" t="e">
        <f t="shared" ca="1" si="102"/>
        <v>#NAME?</v>
      </c>
      <c r="GH76" s="38" t="e">
        <f ca="1">_xll.RiskBinomial(1,GG76)</f>
        <v>#NAME?</v>
      </c>
      <c r="GI76" s="86" t="e">
        <f ca="1">IF(GH76=1,_xll.RiskBinomial(1,Prob_illness_Noro_infection),0)</f>
        <v>#NAME?</v>
      </c>
      <c r="GK76" s="85" t="e">
        <f t="shared" ca="1" si="130"/>
        <v>#NAME?</v>
      </c>
      <c r="GL76" s="40" t="e">
        <f ca="1">INT(GK76) + _xll.RiskBinomial(1,GK76-INT(GK76))</f>
        <v>#NAME?</v>
      </c>
      <c r="GM76" s="33" t="e">
        <f t="shared" ca="1" si="103"/>
        <v>#NAME?</v>
      </c>
      <c r="GN76" s="38" t="e">
        <f ca="1">_xll.RiskBinomial(1,GM76)</f>
        <v>#NAME?</v>
      </c>
      <c r="GO76" s="86" t="e">
        <f ca="1">IF(GN76=1,_xll.RiskBinomial(1,Prob_illness_Noro_infection),0)</f>
        <v>#NAME?</v>
      </c>
    </row>
    <row r="77" spans="2:197" x14ac:dyDescent="0.25">
      <c r="B77" s="106">
        <v>69</v>
      </c>
      <c r="C77" s="109" t="e">
        <f ca="1" xml:space="preserve"> _xll.RiskPert(Dur_Swim_hours_min,Dur_Swim_hours_mode,Dur_Swim_hours_max)</f>
        <v>#NAME?</v>
      </c>
      <c r="D77" s="33" t="e">
        <f ca="1">_xll.RiskLognorm(Primary_Ing_Rate_mL_per_hour_mean,Primary_Ing_Rate_mL_per_hour_sd, _xll.RiskTruncate(Primary_Ing_Rate_mL_per_hour_min,Primary_Ing_Rate_mL_per_hour_max))</f>
        <v>#NAME?</v>
      </c>
      <c r="E77" s="41" t="e">
        <f t="shared" ca="1" si="104"/>
        <v>#NAME?</v>
      </c>
      <c r="F77" s="33"/>
      <c r="G77" s="85" t="e">
        <f t="shared" ca="1" si="105"/>
        <v>#NAME?</v>
      </c>
      <c r="H77" s="40" t="e">
        <f ca="1">INT(G77) + _xll.RiskBinomial(1,G77-INT(G77))</f>
        <v>#NAME?</v>
      </c>
      <c r="I77" s="33" t="e">
        <f t="shared" ca="1" si="66"/>
        <v>#NAME?</v>
      </c>
      <c r="J77" s="38" t="e">
        <f ca="1">_xll.RiskBinomial(1,I77)</f>
        <v>#NAME?</v>
      </c>
      <c r="K77" s="86" t="e">
        <f ca="1">IF(J77=1,_xll.RiskBinomial(1,Prob_illness_Noro_infection),0)</f>
        <v>#NAME?</v>
      </c>
      <c r="L77" s="33"/>
      <c r="M77" s="85" t="e">
        <f t="shared" ca="1" si="67"/>
        <v>#NAME?</v>
      </c>
      <c r="N77" s="40" t="e">
        <f ca="1">INT(M77) + _xll.RiskBinomial(1,M77-INT(M77))</f>
        <v>#NAME?</v>
      </c>
      <c r="O77" s="33" t="e">
        <f t="shared" ca="1" si="68"/>
        <v>#NAME?</v>
      </c>
      <c r="P77" s="38" t="e">
        <f ca="1">_xll.RiskBinomial(1,O77)</f>
        <v>#NAME?</v>
      </c>
      <c r="Q77" s="86" t="e">
        <f ca="1">IF(P77=1,_xll.RiskBinomial(1,Prob_illness_Noro_infection),0)</f>
        <v>#NAME?</v>
      </c>
      <c r="R77" s="33"/>
      <c r="S77" s="85" t="e">
        <f t="shared" ca="1" si="69"/>
        <v>#NAME?</v>
      </c>
      <c r="T77" s="40" t="e">
        <f ca="1">INT(S77) + _xll.RiskBinomial(1,S77-INT(S77))</f>
        <v>#NAME?</v>
      </c>
      <c r="U77" s="33" t="e">
        <f t="shared" ca="1" si="70"/>
        <v>#NAME?</v>
      </c>
      <c r="V77" s="38" t="e">
        <f ca="1">_xll.RiskBinomial(1,U77)</f>
        <v>#NAME?</v>
      </c>
      <c r="W77" s="86" t="e">
        <f ca="1">IF(V77=1,_xll.RiskBinomial(1,Prob_illness_Noro_infection),0)</f>
        <v>#NAME?</v>
      </c>
      <c r="X77" s="33"/>
      <c r="Y77" s="85" t="e">
        <f t="shared" ca="1" si="71"/>
        <v>#NAME?</v>
      </c>
      <c r="Z77" s="40" t="e">
        <f ca="1">INT(Y77) + _xll.RiskBinomial(1,Y77-INT(Y77))</f>
        <v>#NAME?</v>
      </c>
      <c r="AA77" s="33" t="e">
        <f t="shared" ca="1" si="72"/>
        <v>#NAME?</v>
      </c>
      <c r="AB77" s="38" t="e">
        <f ca="1">_xll.RiskBinomial(1,AA77)</f>
        <v>#NAME?</v>
      </c>
      <c r="AC77" s="86" t="e">
        <f ca="1">IF(AB77=1,_xll.RiskBinomial(1,Prob_illness_Noro_infection),0)</f>
        <v>#NAME?</v>
      </c>
      <c r="AD77" s="33"/>
      <c r="AE77" s="85" t="e">
        <f t="shared" ca="1" si="73"/>
        <v>#NAME?</v>
      </c>
      <c r="AF77" s="40" t="e">
        <f ca="1">INT(AE77) + _xll.RiskBinomial(1,AE77-INT(AE77))</f>
        <v>#NAME?</v>
      </c>
      <c r="AG77" s="33" t="e">
        <f t="shared" ca="1" si="74"/>
        <v>#NAME?</v>
      </c>
      <c r="AH77" s="38" t="e">
        <f ca="1">_xll.RiskBinomial(1,AG77)</f>
        <v>#NAME?</v>
      </c>
      <c r="AI77" s="86" t="e">
        <f ca="1">IF(AH77=1,_xll.RiskBinomial(1,Prob_illness_Noro_infection),0)</f>
        <v>#NAME?</v>
      </c>
      <c r="AJ77" s="33"/>
      <c r="AK77" s="85" t="e">
        <f t="shared" ca="1" si="75"/>
        <v>#NAME?</v>
      </c>
      <c r="AL77" s="40" t="e">
        <f ca="1">INT(AK77) + _xll.RiskBinomial(1,AK77-INT(AK77))</f>
        <v>#NAME?</v>
      </c>
      <c r="AM77" s="33" t="e">
        <f t="shared" ca="1" si="76"/>
        <v>#NAME?</v>
      </c>
      <c r="AN77" s="38" t="e">
        <f ca="1">_xll.RiskBinomial(1,AM77)</f>
        <v>#NAME?</v>
      </c>
      <c r="AO77" s="86" t="e">
        <f ca="1">IF(AN77=1,_xll.RiskBinomial(1,Prob_illness_Noro_infection),0)</f>
        <v>#NAME?</v>
      </c>
      <c r="AP77" s="33"/>
      <c r="AQ77" s="85" t="e">
        <f t="shared" ca="1" si="77"/>
        <v>#NAME?</v>
      </c>
      <c r="AR77" s="40" t="e">
        <f ca="1">INT(AQ77) + _xll.RiskBinomial(1,AQ77-INT(AQ77))</f>
        <v>#NAME?</v>
      </c>
      <c r="AS77" s="33" t="e">
        <f t="shared" ca="1" si="78"/>
        <v>#NAME?</v>
      </c>
      <c r="AT77" s="38" t="e">
        <f ca="1">_xll.RiskBinomial(1,AS77)</f>
        <v>#NAME?</v>
      </c>
      <c r="AU77" s="86" t="e">
        <f ca="1">IF(AT77=1,_xll.RiskBinomial(1,Prob_illness_Noro_infection),0)</f>
        <v>#NAME?</v>
      </c>
      <c r="AV77" s="33"/>
      <c r="AW77" s="85" t="e">
        <f t="shared" ca="1" si="106"/>
        <v>#NAME?</v>
      </c>
      <c r="AX77" s="40" t="e">
        <f ca="1">INT(AW77) + _xll.RiskBinomial(1,AW77-INT(AW77))</f>
        <v>#NAME?</v>
      </c>
      <c r="AY77" s="33" t="e">
        <f t="shared" ca="1" si="79"/>
        <v>#NAME?</v>
      </c>
      <c r="AZ77" s="38" t="e">
        <f ca="1">_xll.RiskBinomial(1,AY77)</f>
        <v>#NAME?</v>
      </c>
      <c r="BA77" s="86" t="e">
        <f ca="1">IF(AZ77=1,_xll.RiskBinomial(1,Prob_illness_Noro_infection),0)</f>
        <v>#NAME?</v>
      </c>
      <c r="BC77" s="85" t="e">
        <f t="shared" ca="1" si="107"/>
        <v>#NAME?</v>
      </c>
      <c r="BD77" s="40" t="e">
        <f ca="1">INT(BC77) + _xll.RiskBinomial(1,BC77-INT(BC77))</f>
        <v>#NAME?</v>
      </c>
      <c r="BE77" s="33" t="e">
        <f t="shared" ca="1" si="80"/>
        <v>#NAME?</v>
      </c>
      <c r="BF77" s="38" t="e">
        <f ca="1">_xll.RiskBinomial(1,BE77)</f>
        <v>#NAME?</v>
      </c>
      <c r="BG77" s="86" t="e">
        <f ca="1">IF(BF77=1,_xll.RiskBinomial(1,Prob_illness_Noro_infection),0)</f>
        <v>#NAME?</v>
      </c>
      <c r="BI77" s="85" t="e">
        <f t="shared" ca="1" si="108"/>
        <v>#NAME?</v>
      </c>
      <c r="BJ77" s="40" t="e">
        <f ca="1">INT(BI77) + _xll.RiskBinomial(1,BI77-INT(BI77))</f>
        <v>#NAME?</v>
      </c>
      <c r="BK77" s="33" t="e">
        <f t="shared" ca="1" si="81"/>
        <v>#NAME?</v>
      </c>
      <c r="BL77" s="38" t="e">
        <f ca="1">_xll.RiskBinomial(1,BK77)</f>
        <v>#NAME?</v>
      </c>
      <c r="BM77" s="86" t="e">
        <f ca="1">IF(BL77=1,_xll.RiskBinomial(1,Prob_illness_Noro_infection),0)</f>
        <v>#NAME?</v>
      </c>
      <c r="BO77" s="85" t="e">
        <f t="shared" ca="1" si="109"/>
        <v>#NAME?</v>
      </c>
      <c r="BP77" s="40" t="e">
        <f ca="1">INT(BO77) + _xll.RiskBinomial(1,BO77-INT(BO77))</f>
        <v>#NAME?</v>
      </c>
      <c r="BQ77" s="33" t="e">
        <f t="shared" ca="1" si="82"/>
        <v>#NAME?</v>
      </c>
      <c r="BR77" s="38" t="e">
        <f ca="1">_xll.RiskBinomial(1,BQ77)</f>
        <v>#NAME?</v>
      </c>
      <c r="BS77" s="86" t="e">
        <f ca="1">IF(BR77=1,_xll.RiskBinomial(1,Prob_illness_Noro_infection),0)</f>
        <v>#NAME?</v>
      </c>
      <c r="BU77" s="85" t="e">
        <f t="shared" ca="1" si="110"/>
        <v>#NAME?</v>
      </c>
      <c r="BV77" s="40" t="e">
        <f ca="1">INT(BU77) + _xll.RiskBinomial(1,BU77-INT(BU77))</f>
        <v>#NAME?</v>
      </c>
      <c r="BW77" s="33" t="e">
        <f t="shared" ca="1" si="83"/>
        <v>#NAME?</v>
      </c>
      <c r="BX77" s="38" t="e">
        <f ca="1">_xll.RiskBinomial(1,BW77)</f>
        <v>#NAME?</v>
      </c>
      <c r="BY77" s="86" t="e">
        <f ca="1">IF(BX77=1,_xll.RiskBinomial(1,Prob_illness_Noro_infection),0)</f>
        <v>#NAME?</v>
      </c>
      <c r="CA77" s="85" t="e">
        <f t="shared" ca="1" si="111"/>
        <v>#NAME?</v>
      </c>
      <c r="CB77" s="40" t="e">
        <f ca="1">INT(CA77) + _xll.RiskBinomial(1,CA77-INT(CA77))</f>
        <v>#NAME?</v>
      </c>
      <c r="CC77" s="33" t="e">
        <f t="shared" ca="1" si="84"/>
        <v>#NAME?</v>
      </c>
      <c r="CD77" s="38" t="e">
        <f ca="1">_xll.RiskBinomial(1,CC77)</f>
        <v>#NAME?</v>
      </c>
      <c r="CE77" s="86" t="e">
        <f ca="1">IF(CD77=1,_xll.RiskBinomial(1,Prob_illness_Noro_infection),0)</f>
        <v>#NAME?</v>
      </c>
      <c r="CG77" s="85" t="e">
        <f t="shared" ca="1" si="112"/>
        <v>#NAME?</v>
      </c>
      <c r="CH77" s="40" t="e">
        <f ca="1">INT(CG77) + _xll.RiskBinomial(1,CG77-INT(CG77))</f>
        <v>#NAME?</v>
      </c>
      <c r="CI77" s="33" t="e">
        <f t="shared" ca="1" si="85"/>
        <v>#NAME?</v>
      </c>
      <c r="CJ77" s="38" t="e">
        <f ca="1">_xll.RiskBinomial(1,CI77)</f>
        <v>#NAME?</v>
      </c>
      <c r="CK77" s="86" t="e">
        <f ca="1">IF(CJ77=1,_xll.RiskBinomial(1,Prob_illness_Noro_infection),0)</f>
        <v>#NAME?</v>
      </c>
      <c r="CM77" s="85" t="e">
        <f t="shared" ca="1" si="113"/>
        <v>#NAME?</v>
      </c>
      <c r="CN77" s="40" t="e">
        <f ca="1">INT(CM77) + _xll.RiskBinomial(1,CM77-INT(CM77))</f>
        <v>#NAME?</v>
      </c>
      <c r="CO77" s="33" t="e">
        <f t="shared" ca="1" si="86"/>
        <v>#NAME?</v>
      </c>
      <c r="CP77" s="38" t="e">
        <f ca="1">_xll.RiskBinomial(1,CO77)</f>
        <v>#NAME?</v>
      </c>
      <c r="CQ77" s="86" t="e">
        <f ca="1">IF(CP77=1,_xll.RiskBinomial(1,Prob_illness_Noro_infection),0)</f>
        <v>#NAME?</v>
      </c>
      <c r="CS77" s="85" t="e">
        <f t="shared" ca="1" si="114"/>
        <v>#NAME?</v>
      </c>
      <c r="CT77" s="40" t="e">
        <f ca="1">INT(CS77) + _xll.RiskBinomial(1,CS77-INT(CS77))</f>
        <v>#NAME?</v>
      </c>
      <c r="CU77" s="33" t="e">
        <f t="shared" ca="1" si="87"/>
        <v>#NAME?</v>
      </c>
      <c r="CV77" s="38" t="e">
        <f ca="1">_xll.RiskBinomial(1,CU77)</f>
        <v>#NAME?</v>
      </c>
      <c r="CW77" s="86" t="e">
        <f ca="1">IF(CV77=1,_xll.RiskBinomial(1,Prob_illness_Noro_infection),0)</f>
        <v>#NAME?</v>
      </c>
      <c r="CY77" s="85" t="e">
        <f t="shared" ca="1" si="115"/>
        <v>#NAME?</v>
      </c>
      <c r="CZ77" s="40" t="e">
        <f ca="1">INT(CY77) + _xll.RiskBinomial(1,CY77-INT(CY77))</f>
        <v>#NAME?</v>
      </c>
      <c r="DA77" s="33" t="e">
        <f t="shared" ca="1" si="88"/>
        <v>#NAME?</v>
      </c>
      <c r="DB77" s="38" t="e">
        <f ca="1">_xll.RiskBinomial(1,DA77)</f>
        <v>#NAME?</v>
      </c>
      <c r="DC77" s="86" t="e">
        <f ca="1">IF(DB77=1,_xll.RiskBinomial(1,Prob_illness_Noro_infection),0)</f>
        <v>#NAME?</v>
      </c>
      <c r="DE77" s="85" t="e">
        <f t="shared" ca="1" si="116"/>
        <v>#NAME?</v>
      </c>
      <c r="DF77" s="40" t="e">
        <f ca="1">INT(DE77) + _xll.RiskBinomial(1,DE77-INT(DE77))</f>
        <v>#NAME?</v>
      </c>
      <c r="DG77" s="33" t="e">
        <f t="shared" ca="1" si="89"/>
        <v>#NAME?</v>
      </c>
      <c r="DH77" s="38" t="e">
        <f ca="1">_xll.RiskBinomial(1,DG77)</f>
        <v>#NAME?</v>
      </c>
      <c r="DI77" s="86" t="e">
        <f ca="1">IF(DH77=1,_xll.RiskBinomial(1,Prob_illness_Noro_infection),0)</f>
        <v>#NAME?</v>
      </c>
      <c r="DK77" s="85" t="e">
        <f t="shared" ca="1" si="117"/>
        <v>#NAME?</v>
      </c>
      <c r="DL77" s="40" t="e">
        <f ca="1">INT(DK77) + _xll.RiskBinomial(1,DK77-INT(DK77))</f>
        <v>#NAME?</v>
      </c>
      <c r="DM77" s="33" t="e">
        <f t="shared" ca="1" si="90"/>
        <v>#NAME?</v>
      </c>
      <c r="DN77" s="38" t="e">
        <f ca="1">_xll.RiskBinomial(1,DM77)</f>
        <v>#NAME?</v>
      </c>
      <c r="DO77" s="86" t="e">
        <f ca="1">IF(DN77=1,_xll.RiskBinomial(1,Prob_illness_Noro_infection),0)</f>
        <v>#NAME?</v>
      </c>
      <c r="DQ77" s="85" t="e">
        <f t="shared" ca="1" si="118"/>
        <v>#NAME?</v>
      </c>
      <c r="DR77" s="40" t="e">
        <f ca="1">INT(DQ77) + _xll.RiskBinomial(1,DQ77-INT(DQ77))</f>
        <v>#NAME?</v>
      </c>
      <c r="DS77" s="33" t="e">
        <f t="shared" ca="1" si="91"/>
        <v>#NAME?</v>
      </c>
      <c r="DT77" s="38" t="e">
        <f ca="1">_xll.RiskBinomial(1,DS77)</f>
        <v>#NAME?</v>
      </c>
      <c r="DU77" s="86" t="e">
        <f ca="1">IF(DT77=1,_xll.RiskBinomial(1,Prob_illness_Noro_infection),0)</f>
        <v>#NAME?</v>
      </c>
      <c r="DW77" s="85" t="e">
        <f t="shared" ca="1" si="119"/>
        <v>#NAME?</v>
      </c>
      <c r="DX77" s="40" t="e">
        <f ca="1">INT(DW77) + _xll.RiskBinomial(1,DW77-INT(DW77))</f>
        <v>#NAME?</v>
      </c>
      <c r="DY77" s="33" t="e">
        <f t="shared" ca="1" si="92"/>
        <v>#NAME?</v>
      </c>
      <c r="DZ77" s="38" t="e">
        <f ca="1">_xll.RiskBinomial(1,DY77)</f>
        <v>#NAME?</v>
      </c>
      <c r="EA77" s="86" t="e">
        <f ca="1">IF(DZ77=1,_xll.RiskBinomial(1,Prob_illness_Noro_infection),0)</f>
        <v>#NAME?</v>
      </c>
      <c r="EC77" s="85" t="e">
        <f t="shared" ca="1" si="120"/>
        <v>#NAME?</v>
      </c>
      <c r="ED77" s="40" t="e">
        <f ca="1">INT(EC77) + _xll.RiskBinomial(1,EC77-INT(EC77))</f>
        <v>#NAME?</v>
      </c>
      <c r="EE77" s="33" t="e">
        <f t="shared" ca="1" si="93"/>
        <v>#NAME?</v>
      </c>
      <c r="EF77" s="38" t="e">
        <f ca="1">_xll.RiskBinomial(1,EE77)</f>
        <v>#NAME?</v>
      </c>
      <c r="EG77" s="86" t="e">
        <f ca="1">IF(EF77=1,_xll.RiskBinomial(1,Prob_illness_Noro_infection),0)</f>
        <v>#NAME?</v>
      </c>
      <c r="EI77" s="85" t="e">
        <f t="shared" ca="1" si="121"/>
        <v>#NAME?</v>
      </c>
      <c r="EJ77" s="40" t="e">
        <f ca="1">INT(EI77) + _xll.RiskBinomial(1,EI77-INT(EI77))</f>
        <v>#NAME?</v>
      </c>
      <c r="EK77" s="33" t="e">
        <f t="shared" ca="1" si="94"/>
        <v>#NAME?</v>
      </c>
      <c r="EL77" s="38" t="e">
        <f ca="1">_xll.RiskBinomial(1,EK77)</f>
        <v>#NAME?</v>
      </c>
      <c r="EM77" s="86" t="e">
        <f ca="1">IF(EL77=1,_xll.RiskBinomial(1,Prob_illness_Noro_infection),0)</f>
        <v>#NAME?</v>
      </c>
      <c r="EO77" s="85" t="e">
        <f t="shared" ca="1" si="122"/>
        <v>#NAME?</v>
      </c>
      <c r="EP77" s="40" t="e">
        <f ca="1">INT(EO77) + _xll.RiskBinomial(1,EO77-INT(EO77))</f>
        <v>#NAME?</v>
      </c>
      <c r="EQ77" s="33" t="e">
        <f t="shared" ca="1" si="95"/>
        <v>#NAME?</v>
      </c>
      <c r="ER77" s="38" t="e">
        <f ca="1">_xll.RiskBinomial(1,EQ77)</f>
        <v>#NAME?</v>
      </c>
      <c r="ES77" s="86" t="e">
        <f ca="1">IF(ER77=1,_xll.RiskBinomial(1,Prob_illness_Noro_infection),0)</f>
        <v>#NAME?</v>
      </c>
      <c r="EU77" s="85" t="e">
        <f t="shared" ca="1" si="123"/>
        <v>#NAME?</v>
      </c>
      <c r="EV77" s="40" t="e">
        <f ca="1">INT(EU77) + _xll.RiskBinomial(1,EU77-INT(EU77))</f>
        <v>#NAME?</v>
      </c>
      <c r="EW77" s="33" t="e">
        <f t="shared" ca="1" si="96"/>
        <v>#NAME?</v>
      </c>
      <c r="EX77" s="38" t="e">
        <f ca="1">_xll.RiskBinomial(1,EW77)</f>
        <v>#NAME?</v>
      </c>
      <c r="EY77" s="86" t="e">
        <f ca="1">IF(EX77=1,_xll.RiskBinomial(1,Prob_illness_Noro_infection),0)</f>
        <v>#NAME?</v>
      </c>
      <c r="FA77" s="85" t="e">
        <f t="shared" ca="1" si="124"/>
        <v>#NAME?</v>
      </c>
      <c r="FB77" s="40" t="e">
        <f ca="1">INT(FA77) + _xll.RiskBinomial(1,FA77-INT(FA77))</f>
        <v>#NAME?</v>
      </c>
      <c r="FC77" s="33" t="e">
        <f t="shared" ca="1" si="97"/>
        <v>#NAME?</v>
      </c>
      <c r="FD77" s="38" t="e">
        <f ca="1">_xll.RiskBinomial(1,FC77)</f>
        <v>#NAME?</v>
      </c>
      <c r="FE77" s="86" t="e">
        <f ca="1">IF(FD77=1,_xll.RiskBinomial(1,Prob_illness_Noro_infection),0)</f>
        <v>#NAME?</v>
      </c>
      <c r="FG77" s="85" t="e">
        <f t="shared" ca="1" si="125"/>
        <v>#NAME?</v>
      </c>
      <c r="FH77" s="40" t="e">
        <f ca="1">INT(FG77) + _xll.RiskBinomial(1,FG77-INT(FG77))</f>
        <v>#NAME?</v>
      </c>
      <c r="FI77" s="33" t="e">
        <f t="shared" ca="1" si="98"/>
        <v>#NAME?</v>
      </c>
      <c r="FJ77" s="38" t="e">
        <f ca="1">_xll.RiskBinomial(1,FI77)</f>
        <v>#NAME?</v>
      </c>
      <c r="FK77" s="86" t="e">
        <f ca="1">IF(FJ77=1,_xll.RiskBinomial(1,Prob_illness_Noro_infection),0)</f>
        <v>#NAME?</v>
      </c>
      <c r="FM77" s="85" t="e">
        <f t="shared" ca="1" si="126"/>
        <v>#NAME?</v>
      </c>
      <c r="FN77" s="40" t="e">
        <f ca="1">INT(FM77) + _xll.RiskBinomial(1,FM77-INT(FM77))</f>
        <v>#NAME?</v>
      </c>
      <c r="FO77" s="33" t="e">
        <f t="shared" ca="1" si="99"/>
        <v>#NAME?</v>
      </c>
      <c r="FP77" s="38" t="e">
        <f ca="1">_xll.RiskBinomial(1,FO77)</f>
        <v>#NAME?</v>
      </c>
      <c r="FQ77" s="86" t="e">
        <f ca="1">IF(FP77=1,_xll.RiskBinomial(1,Prob_illness_Noro_infection),0)</f>
        <v>#NAME?</v>
      </c>
      <c r="FS77" s="85" t="e">
        <f t="shared" ca="1" si="127"/>
        <v>#NAME?</v>
      </c>
      <c r="FT77" s="40" t="e">
        <f ca="1">INT(FS77) + _xll.RiskBinomial(1,FS77-INT(FS77))</f>
        <v>#NAME?</v>
      </c>
      <c r="FU77" s="33" t="e">
        <f t="shared" ca="1" si="100"/>
        <v>#NAME?</v>
      </c>
      <c r="FV77" s="38" t="e">
        <f ca="1">_xll.RiskBinomial(1,FU77)</f>
        <v>#NAME?</v>
      </c>
      <c r="FW77" s="86" t="e">
        <f ca="1">IF(FV77=1,_xll.RiskBinomial(1,Prob_illness_Noro_infection),0)</f>
        <v>#NAME?</v>
      </c>
      <c r="FY77" s="85" t="e">
        <f t="shared" ca="1" si="128"/>
        <v>#NAME?</v>
      </c>
      <c r="FZ77" s="40" t="e">
        <f ca="1">INT(FY77) + _xll.RiskBinomial(1,FY77-INT(FY77))</f>
        <v>#NAME?</v>
      </c>
      <c r="GA77" s="33" t="e">
        <f t="shared" ca="1" si="101"/>
        <v>#NAME?</v>
      </c>
      <c r="GB77" s="38" t="e">
        <f ca="1">_xll.RiskBinomial(1,GA77)</f>
        <v>#NAME?</v>
      </c>
      <c r="GC77" s="86" t="e">
        <f ca="1">IF(GB77=1,_xll.RiskBinomial(1,Prob_illness_Noro_infection),0)</f>
        <v>#NAME?</v>
      </c>
      <c r="GE77" s="85" t="e">
        <f t="shared" ca="1" si="129"/>
        <v>#NAME?</v>
      </c>
      <c r="GF77" s="40" t="e">
        <f ca="1">INT(GE77) + _xll.RiskBinomial(1,GE77-INT(GE77))</f>
        <v>#NAME?</v>
      </c>
      <c r="GG77" s="33" t="e">
        <f t="shared" ca="1" si="102"/>
        <v>#NAME?</v>
      </c>
      <c r="GH77" s="38" t="e">
        <f ca="1">_xll.RiskBinomial(1,GG77)</f>
        <v>#NAME?</v>
      </c>
      <c r="GI77" s="86" t="e">
        <f ca="1">IF(GH77=1,_xll.RiskBinomial(1,Prob_illness_Noro_infection),0)</f>
        <v>#NAME?</v>
      </c>
      <c r="GK77" s="85" t="e">
        <f t="shared" ca="1" si="130"/>
        <v>#NAME?</v>
      </c>
      <c r="GL77" s="40" t="e">
        <f ca="1">INT(GK77) + _xll.RiskBinomial(1,GK77-INT(GK77))</f>
        <v>#NAME?</v>
      </c>
      <c r="GM77" s="33" t="e">
        <f t="shared" ca="1" si="103"/>
        <v>#NAME?</v>
      </c>
      <c r="GN77" s="38" t="e">
        <f ca="1">_xll.RiskBinomial(1,GM77)</f>
        <v>#NAME?</v>
      </c>
      <c r="GO77" s="86" t="e">
        <f ca="1">IF(GN77=1,_xll.RiskBinomial(1,Prob_illness_Noro_infection),0)</f>
        <v>#NAME?</v>
      </c>
    </row>
    <row r="78" spans="2:197" x14ac:dyDescent="0.25">
      <c r="B78" s="106">
        <v>70</v>
      </c>
      <c r="C78" s="109" t="e">
        <f ca="1" xml:space="preserve"> _xll.RiskPert(Dur_Swim_hours_min,Dur_Swim_hours_mode,Dur_Swim_hours_max)</f>
        <v>#NAME?</v>
      </c>
      <c r="D78" s="33" t="e">
        <f ca="1">_xll.RiskLognorm(Primary_Ing_Rate_mL_per_hour_mean,Primary_Ing_Rate_mL_per_hour_sd, _xll.RiskTruncate(Primary_Ing_Rate_mL_per_hour_min,Primary_Ing_Rate_mL_per_hour_max))</f>
        <v>#NAME?</v>
      </c>
      <c r="E78" s="41" t="e">
        <f t="shared" ca="1" si="104"/>
        <v>#NAME?</v>
      </c>
      <c r="F78" s="33"/>
      <c r="G78" s="85" t="e">
        <f t="shared" ca="1" si="105"/>
        <v>#NAME?</v>
      </c>
      <c r="H78" s="40" t="e">
        <f ca="1">INT(G78) + _xll.RiskBinomial(1,G78-INT(G78))</f>
        <v>#NAME?</v>
      </c>
      <c r="I78" s="33" t="e">
        <f t="shared" ca="1" si="66"/>
        <v>#NAME?</v>
      </c>
      <c r="J78" s="38" t="e">
        <f ca="1">_xll.RiskBinomial(1,I78)</f>
        <v>#NAME?</v>
      </c>
      <c r="K78" s="86" t="e">
        <f ca="1">IF(J78=1,_xll.RiskBinomial(1,Prob_illness_Noro_infection),0)</f>
        <v>#NAME?</v>
      </c>
      <c r="L78" s="33"/>
      <c r="M78" s="85" t="e">
        <f t="shared" ca="1" si="67"/>
        <v>#NAME?</v>
      </c>
      <c r="N78" s="40" t="e">
        <f ca="1">INT(M78) + _xll.RiskBinomial(1,M78-INT(M78))</f>
        <v>#NAME?</v>
      </c>
      <c r="O78" s="33" t="e">
        <f t="shared" ca="1" si="68"/>
        <v>#NAME?</v>
      </c>
      <c r="P78" s="38" t="e">
        <f ca="1">_xll.RiskBinomial(1,O78)</f>
        <v>#NAME?</v>
      </c>
      <c r="Q78" s="86" t="e">
        <f ca="1">IF(P78=1,_xll.RiskBinomial(1,Prob_illness_Noro_infection),0)</f>
        <v>#NAME?</v>
      </c>
      <c r="R78" s="33"/>
      <c r="S78" s="85" t="e">
        <f t="shared" ca="1" si="69"/>
        <v>#NAME?</v>
      </c>
      <c r="T78" s="40" t="e">
        <f ca="1">INT(S78) + _xll.RiskBinomial(1,S78-INT(S78))</f>
        <v>#NAME?</v>
      </c>
      <c r="U78" s="33" t="e">
        <f t="shared" ca="1" si="70"/>
        <v>#NAME?</v>
      </c>
      <c r="V78" s="38" t="e">
        <f ca="1">_xll.RiskBinomial(1,U78)</f>
        <v>#NAME?</v>
      </c>
      <c r="W78" s="86" t="e">
        <f ca="1">IF(V78=1,_xll.RiskBinomial(1,Prob_illness_Noro_infection),0)</f>
        <v>#NAME?</v>
      </c>
      <c r="X78" s="33"/>
      <c r="Y78" s="85" t="e">
        <f t="shared" ca="1" si="71"/>
        <v>#NAME?</v>
      </c>
      <c r="Z78" s="40" t="e">
        <f ca="1">INT(Y78) + _xll.RiskBinomial(1,Y78-INT(Y78))</f>
        <v>#NAME?</v>
      </c>
      <c r="AA78" s="33" t="e">
        <f t="shared" ca="1" si="72"/>
        <v>#NAME?</v>
      </c>
      <c r="AB78" s="38" t="e">
        <f ca="1">_xll.RiskBinomial(1,AA78)</f>
        <v>#NAME?</v>
      </c>
      <c r="AC78" s="86" t="e">
        <f ca="1">IF(AB78=1,_xll.RiskBinomial(1,Prob_illness_Noro_infection),0)</f>
        <v>#NAME?</v>
      </c>
      <c r="AD78" s="33"/>
      <c r="AE78" s="85" t="e">
        <f t="shared" ca="1" si="73"/>
        <v>#NAME?</v>
      </c>
      <c r="AF78" s="40" t="e">
        <f ca="1">INT(AE78) + _xll.RiskBinomial(1,AE78-INT(AE78))</f>
        <v>#NAME?</v>
      </c>
      <c r="AG78" s="33" t="e">
        <f t="shared" ca="1" si="74"/>
        <v>#NAME?</v>
      </c>
      <c r="AH78" s="38" t="e">
        <f ca="1">_xll.RiskBinomial(1,AG78)</f>
        <v>#NAME?</v>
      </c>
      <c r="AI78" s="86" t="e">
        <f ca="1">IF(AH78=1,_xll.RiskBinomial(1,Prob_illness_Noro_infection),0)</f>
        <v>#NAME?</v>
      </c>
      <c r="AJ78" s="33"/>
      <c r="AK78" s="85" t="e">
        <f t="shared" ca="1" si="75"/>
        <v>#NAME?</v>
      </c>
      <c r="AL78" s="40" t="e">
        <f ca="1">INT(AK78) + _xll.RiskBinomial(1,AK78-INT(AK78))</f>
        <v>#NAME?</v>
      </c>
      <c r="AM78" s="33" t="e">
        <f t="shared" ca="1" si="76"/>
        <v>#NAME?</v>
      </c>
      <c r="AN78" s="38" t="e">
        <f ca="1">_xll.RiskBinomial(1,AM78)</f>
        <v>#NAME?</v>
      </c>
      <c r="AO78" s="86" t="e">
        <f ca="1">IF(AN78=1,_xll.RiskBinomial(1,Prob_illness_Noro_infection),0)</f>
        <v>#NAME?</v>
      </c>
      <c r="AP78" s="33"/>
      <c r="AQ78" s="85" t="e">
        <f t="shared" ca="1" si="77"/>
        <v>#NAME?</v>
      </c>
      <c r="AR78" s="40" t="e">
        <f ca="1">INT(AQ78) + _xll.RiskBinomial(1,AQ78-INT(AQ78))</f>
        <v>#NAME?</v>
      </c>
      <c r="AS78" s="33" t="e">
        <f t="shared" ca="1" si="78"/>
        <v>#NAME?</v>
      </c>
      <c r="AT78" s="38" t="e">
        <f ca="1">_xll.RiskBinomial(1,AS78)</f>
        <v>#NAME?</v>
      </c>
      <c r="AU78" s="86" t="e">
        <f ca="1">IF(AT78=1,_xll.RiskBinomial(1,Prob_illness_Noro_infection),0)</f>
        <v>#NAME?</v>
      </c>
      <c r="AV78" s="33"/>
      <c r="AW78" s="85" t="e">
        <f t="shared" ca="1" si="106"/>
        <v>#NAME?</v>
      </c>
      <c r="AX78" s="40" t="e">
        <f ca="1">INT(AW78) + _xll.RiskBinomial(1,AW78-INT(AW78))</f>
        <v>#NAME?</v>
      </c>
      <c r="AY78" s="33" t="e">
        <f t="shared" ca="1" si="79"/>
        <v>#NAME?</v>
      </c>
      <c r="AZ78" s="38" t="e">
        <f ca="1">_xll.RiskBinomial(1,AY78)</f>
        <v>#NAME?</v>
      </c>
      <c r="BA78" s="86" t="e">
        <f ca="1">IF(AZ78=1,_xll.RiskBinomial(1,Prob_illness_Noro_infection),0)</f>
        <v>#NAME?</v>
      </c>
      <c r="BC78" s="85" t="e">
        <f t="shared" ca="1" si="107"/>
        <v>#NAME?</v>
      </c>
      <c r="BD78" s="40" t="e">
        <f ca="1">INT(BC78) + _xll.RiskBinomial(1,BC78-INT(BC78))</f>
        <v>#NAME?</v>
      </c>
      <c r="BE78" s="33" t="e">
        <f t="shared" ca="1" si="80"/>
        <v>#NAME?</v>
      </c>
      <c r="BF78" s="38" t="e">
        <f ca="1">_xll.RiskBinomial(1,BE78)</f>
        <v>#NAME?</v>
      </c>
      <c r="BG78" s="86" t="e">
        <f ca="1">IF(BF78=1,_xll.RiskBinomial(1,Prob_illness_Noro_infection),0)</f>
        <v>#NAME?</v>
      </c>
      <c r="BI78" s="85" t="e">
        <f t="shared" ca="1" si="108"/>
        <v>#NAME?</v>
      </c>
      <c r="BJ78" s="40" t="e">
        <f ca="1">INT(BI78) + _xll.RiskBinomial(1,BI78-INT(BI78))</f>
        <v>#NAME?</v>
      </c>
      <c r="BK78" s="33" t="e">
        <f t="shared" ca="1" si="81"/>
        <v>#NAME?</v>
      </c>
      <c r="BL78" s="38" t="e">
        <f ca="1">_xll.RiskBinomial(1,BK78)</f>
        <v>#NAME?</v>
      </c>
      <c r="BM78" s="86" t="e">
        <f ca="1">IF(BL78=1,_xll.RiskBinomial(1,Prob_illness_Noro_infection),0)</f>
        <v>#NAME?</v>
      </c>
      <c r="BO78" s="85" t="e">
        <f t="shared" ca="1" si="109"/>
        <v>#NAME?</v>
      </c>
      <c r="BP78" s="40" t="e">
        <f ca="1">INT(BO78) + _xll.RiskBinomial(1,BO78-INT(BO78))</f>
        <v>#NAME?</v>
      </c>
      <c r="BQ78" s="33" t="e">
        <f t="shared" ca="1" si="82"/>
        <v>#NAME?</v>
      </c>
      <c r="BR78" s="38" t="e">
        <f ca="1">_xll.RiskBinomial(1,BQ78)</f>
        <v>#NAME?</v>
      </c>
      <c r="BS78" s="86" t="e">
        <f ca="1">IF(BR78=1,_xll.RiskBinomial(1,Prob_illness_Noro_infection),0)</f>
        <v>#NAME?</v>
      </c>
      <c r="BU78" s="85" t="e">
        <f t="shared" ca="1" si="110"/>
        <v>#NAME?</v>
      </c>
      <c r="BV78" s="40" t="e">
        <f ca="1">INT(BU78) + _xll.RiskBinomial(1,BU78-INT(BU78))</f>
        <v>#NAME?</v>
      </c>
      <c r="BW78" s="33" t="e">
        <f t="shared" ca="1" si="83"/>
        <v>#NAME?</v>
      </c>
      <c r="BX78" s="38" t="e">
        <f ca="1">_xll.RiskBinomial(1,BW78)</f>
        <v>#NAME?</v>
      </c>
      <c r="BY78" s="86" t="e">
        <f ca="1">IF(BX78=1,_xll.RiskBinomial(1,Prob_illness_Noro_infection),0)</f>
        <v>#NAME?</v>
      </c>
      <c r="CA78" s="85" t="e">
        <f t="shared" ca="1" si="111"/>
        <v>#NAME?</v>
      </c>
      <c r="CB78" s="40" t="e">
        <f ca="1">INT(CA78) + _xll.RiskBinomial(1,CA78-INT(CA78))</f>
        <v>#NAME?</v>
      </c>
      <c r="CC78" s="33" t="e">
        <f t="shared" ca="1" si="84"/>
        <v>#NAME?</v>
      </c>
      <c r="CD78" s="38" t="e">
        <f ca="1">_xll.RiskBinomial(1,CC78)</f>
        <v>#NAME?</v>
      </c>
      <c r="CE78" s="86" t="e">
        <f ca="1">IF(CD78=1,_xll.RiskBinomial(1,Prob_illness_Noro_infection),0)</f>
        <v>#NAME?</v>
      </c>
      <c r="CG78" s="85" t="e">
        <f t="shared" ca="1" si="112"/>
        <v>#NAME?</v>
      </c>
      <c r="CH78" s="40" t="e">
        <f ca="1">INT(CG78) + _xll.RiskBinomial(1,CG78-INT(CG78))</f>
        <v>#NAME?</v>
      </c>
      <c r="CI78" s="33" t="e">
        <f t="shared" ca="1" si="85"/>
        <v>#NAME?</v>
      </c>
      <c r="CJ78" s="38" t="e">
        <f ca="1">_xll.RiskBinomial(1,CI78)</f>
        <v>#NAME?</v>
      </c>
      <c r="CK78" s="86" t="e">
        <f ca="1">IF(CJ78=1,_xll.RiskBinomial(1,Prob_illness_Noro_infection),0)</f>
        <v>#NAME?</v>
      </c>
      <c r="CM78" s="85" t="e">
        <f t="shared" ca="1" si="113"/>
        <v>#NAME?</v>
      </c>
      <c r="CN78" s="40" t="e">
        <f ca="1">INT(CM78) + _xll.RiskBinomial(1,CM78-INT(CM78))</f>
        <v>#NAME?</v>
      </c>
      <c r="CO78" s="33" t="e">
        <f t="shared" ca="1" si="86"/>
        <v>#NAME?</v>
      </c>
      <c r="CP78" s="38" t="e">
        <f ca="1">_xll.RiskBinomial(1,CO78)</f>
        <v>#NAME?</v>
      </c>
      <c r="CQ78" s="86" t="e">
        <f ca="1">IF(CP78=1,_xll.RiskBinomial(1,Prob_illness_Noro_infection),0)</f>
        <v>#NAME?</v>
      </c>
      <c r="CS78" s="85" t="e">
        <f t="shared" ca="1" si="114"/>
        <v>#NAME?</v>
      </c>
      <c r="CT78" s="40" t="e">
        <f ca="1">INT(CS78) + _xll.RiskBinomial(1,CS78-INT(CS78))</f>
        <v>#NAME?</v>
      </c>
      <c r="CU78" s="33" t="e">
        <f t="shared" ca="1" si="87"/>
        <v>#NAME?</v>
      </c>
      <c r="CV78" s="38" t="e">
        <f ca="1">_xll.RiskBinomial(1,CU78)</f>
        <v>#NAME?</v>
      </c>
      <c r="CW78" s="86" t="e">
        <f ca="1">IF(CV78=1,_xll.RiskBinomial(1,Prob_illness_Noro_infection),0)</f>
        <v>#NAME?</v>
      </c>
      <c r="CY78" s="85" t="e">
        <f t="shared" ca="1" si="115"/>
        <v>#NAME?</v>
      </c>
      <c r="CZ78" s="40" t="e">
        <f ca="1">INT(CY78) + _xll.RiskBinomial(1,CY78-INT(CY78))</f>
        <v>#NAME?</v>
      </c>
      <c r="DA78" s="33" t="e">
        <f t="shared" ca="1" si="88"/>
        <v>#NAME?</v>
      </c>
      <c r="DB78" s="38" t="e">
        <f ca="1">_xll.RiskBinomial(1,DA78)</f>
        <v>#NAME?</v>
      </c>
      <c r="DC78" s="86" t="e">
        <f ca="1">IF(DB78=1,_xll.RiskBinomial(1,Prob_illness_Noro_infection),0)</f>
        <v>#NAME?</v>
      </c>
      <c r="DE78" s="85" t="e">
        <f t="shared" ca="1" si="116"/>
        <v>#NAME?</v>
      </c>
      <c r="DF78" s="40" t="e">
        <f ca="1">INT(DE78) + _xll.RiskBinomial(1,DE78-INT(DE78))</f>
        <v>#NAME?</v>
      </c>
      <c r="DG78" s="33" t="e">
        <f t="shared" ca="1" si="89"/>
        <v>#NAME?</v>
      </c>
      <c r="DH78" s="38" t="e">
        <f ca="1">_xll.RiskBinomial(1,DG78)</f>
        <v>#NAME?</v>
      </c>
      <c r="DI78" s="86" t="e">
        <f ca="1">IF(DH78=1,_xll.RiskBinomial(1,Prob_illness_Noro_infection),0)</f>
        <v>#NAME?</v>
      </c>
      <c r="DK78" s="85" t="e">
        <f t="shared" ca="1" si="117"/>
        <v>#NAME?</v>
      </c>
      <c r="DL78" s="40" t="e">
        <f ca="1">INT(DK78) + _xll.RiskBinomial(1,DK78-INT(DK78))</f>
        <v>#NAME?</v>
      </c>
      <c r="DM78" s="33" t="e">
        <f t="shared" ca="1" si="90"/>
        <v>#NAME?</v>
      </c>
      <c r="DN78" s="38" t="e">
        <f ca="1">_xll.RiskBinomial(1,DM78)</f>
        <v>#NAME?</v>
      </c>
      <c r="DO78" s="86" t="e">
        <f ca="1">IF(DN78=1,_xll.RiskBinomial(1,Prob_illness_Noro_infection),0)</f>
        <v>#NAME?</v>
      </c>
      <c r="DQ78" s="85" t="e">
        <f t="shared" ca="1" si="118"/>
        <v>#NAME?</v>
      </c>
      <c r="DR78" s="40" t="e">
        <f ca="1">INT(DQ78) + _xll.RiskBinomial(1,DQ78-INT(DQ78))</f>
        <v>#NAME?</v>
      </c>
      <c r="DS78" s="33" t="e">
        <f t="shared" ca="1" si="91"/>
        <v>#NAME?</v>
      </c>
      <c r="DT78" s="38" t="e">
        <f ca="1">_xll.RiskBinomial(1,DS78)</f>
        <v>#NAME?</v>
      </c>
      <c r="DU78" s="86" t="e">
        <f ca="1">IF(DT78=1,_xll.RiskBinomial(1,Prob_illness_Noro_infection),0)</f>
        <v>#NAME?</v>
      </c>
      <c r="DW78" s="85" t="e">
        <f t="shared" ca="1" si="119"/>
        <v>#NAME?</v>
      </c>
      <c r="DX78" s="40" t="e">
        <f ca="1">INT(DW78) + _xll.RiskBinomial(1,DW78-INT(DW78))</f>
        <v>#NAME?</v>
      </c>
      <c r="DY78" s="33" t="e">
        <f t="shared" ca="1" si="92"/>
        <v>#NAME?</v>
      </c>
      <c r="DZ78" s="38" t="e">
        <f ca="1">_xll.RiskBinomial(1,DY78)</f>
        <v>#NAME?</v>
      </c>
      <c r="EA78" s="86" t="e">
        <f ca="1">IF(DZ78=1,_xll.RiskBinomial(1,Prob_illness_Noro_infection),0)</f>
        <v>#NAME?</v>
      </c>
      <c r="EC78" s="85" t="e">
        <f t="shared" ca="1" si="120"/>
        <v>#NAME?</v>
      </c>
      <c r="ED78" s="40" t="e">
        <f ca="1">INT(EC78) + _xll.RiskBinomial(1,EC78-INT(EC78))</f>
        <v>#NAME?</v>
      </c>
      <c r="EE78" s="33" t="e">
        <f t="shared" ca="1" si="93"/>
        <v>#NAME?</v>
      </c>
      <c r="EF78" s="38" t="e">
        <f ca="1">_xll.RiskBinomial(1,EE78)</f>
        <v>#NAME?</v>
      </c>
      <c r="EG78" s="86" t="e">
        <f ca="1">IF(EF78=1,_xll.RiskBinomial(1,Prob_illness_Noro_infection),0)</f>
        <v>#NAME?</v>
      </c>
      <c r="EI78" s="85" t="e">
        <f t="shared" ca="1" si="121"/>
        <v>#NAME?</v>
      </c>
      <c r="EJ78" s="40" t="e">
        <f ca="1">INT(EI78) + _xll.RiskBinomial(1,EI78-INT(EI78))</f>
        <v>#NAME?</v>
      </c>
      <c r="EK78" s="33" t="e">
        <f t="shared" ca="1" si="94"/>
        <v>#NAME?</v>
      </c>
      <c r="EL78" s="38" t="e">
        <f ca="1">_xll.RiskBinomial(1,EK78)</f>
        <v>#NAME?</v>
      </c>
      <c r="EM78" s="86" t="e">
        <f ca="1">IF(EL78=1,_xll.RiskBinomial(1,Prob_illness_Noro_infection),0)</f>
        <v>#NAME?</v>
      </c>
      <c r="EO78" s="85" t="e">
        <f t="shared" ca="1" si="122"/>
        <v>#NAME?</v>
      </c>
      <c r="EP78" s="40" t="e">
        <f ca="1">INT(EO78) + _xll.RiskBinomial(1,EO78-INT(EO78))</f>
        <v>#NAME?</v>
      </c>
      <c r="EQ78" s="33" t="e">
        <f t="shared" ca="1" si="95"/>
        <v>#NAME?</v>
      </c>
      <c r="ER78" s="38" t="e">
        <f ca="1">_xll.RiskBinomial(1,EQ78)</f>
        <v>#NAME?</v>
      </c>
      <c r="ES78" s="86" t="e">
        <f ca="1">IF(ER78=1,_xll.RiskBinomial(1,Prob_illness_Noro_infection),0)</f>
        <v>#NAME?</v>
      </c>
      <c r="EU78" s="85" t="e">
        <f t="shared" ca="1" si="123"/>
        <v>#NAME?</v>
      </c>
      <c r="EV78" s="40" t="e">
        <f ca="1">INT(EU78) + _xll.RiskBinomial(1,EU78-INT(EU78))</f>
        <v>#NAME?</v>
      </c>
      <c r="EW78" s="33" t="e">
        <f t="shared" ca="1" si="96"/>
        <v>#NAME?</v>
      </c>
      <c r="EX78" s="38" t="e">
        <f ca="1">_xll.RiskBinomial(1,EW78)</f>
        <v>#NAME?</v>
      </c>
      <c r="EY78" s="86" t="e">
        <f ca="1">IF(EX78=1,_xll.RiskBinomial(1,Prob_illness_Noro_infection),0)</f>
        <v>#NAME?</v>
      </c>
      <c r="FA78" s="85" t="e">
        <f t="shared" ca="1" si="124"/>
        <v>#NAME?</v>
      </c>
      <c r="FB78" s="40" t="e">
        <f ca="1">INT(FA78) + _xll.RiskBinomial(1,FA78-INT(FA78))</f>
        <v>#NAME?</v>
      </c>
      <c r="FC78" s="33" t="e">
        <f t="shared" ca="1" si="97"/>
        <v>#NAME?</v>
      </c>
      <c r="FD78" s="38" t="e">
        <f ca="1">_xll.RiskBinomial(1,FC78)</f>
        <v>#NAME?</v>
      </c>
      <c r="FE78" s="86" t="e">
        <f ca="1">IF(FD78=1,_xll.RiskBinomial(1,Prob_illness_Noro_infection),0)</f>
        <v>#NAME?</v>
      </c>
      <c r="FG78" s="85" t="e">
        <f t="shared" ca="1" si="125"/>
        <v>#NAME?</v>
      </c>
      <c r="FH78" s="40" t="e">
        <f ca="1">INT(FG78) + _xll.RiskBinomial(1,FG78-INT(FG78))</f>
        <v>#NAME?</v>
      </c>
      <c r="FI78" s="33" t="e">
        <f t="shared" ca="1" si="98"/>
        <v>#NAME?</v>
      </c>
      <c r="FJ78" s="38" t="e">
        <f ca="1">_xll.RiskBinomial(1,FI78)</f>
        <v>#NAME?</v>
      </c>
      <c r="FK78" s="86" t="e">
        <f ca="1">IF(FJ78=1,_xll.RiskBinomial(1,Prob_illness_Noro_infection),0)</f>
        <v>#NAME?</v>
      </c>
      <c r="FM78" s="85" t="e">
        <f t="shared" ca="1" si="126"/>
        <v>#NAME?</v>
      </c>
      <c r="FN78" s="40" t="e">
        <f ca="1">INT(FM78) + _xll.RiskBinomial(1,FM78-INT(FM78))</f>
        <v>#NAME?</v>
      </c>
      <c r="FO78" s="33" t="e">
        <f t="shared" ca="1" si="99"/>
        <v>#NAME?</v>
      </c>
      <c r="FP78" s="38" t="e">
        <f ca="1">_xll.RiskBinomial(1,FO78)</f>
        <v>#NAME?</v>
      </c>
      <c r="FQ78" s="86" t="e">
        <f ca="1">IF(FP78=1,_xll.RiskBinomial(1,Prob_illness_Noro_infection),0)</f>
        <v>#NAME?</v>
      </c>
      <c r="FS78" s="85" t="e">
        <f t="shared" ca="1" si="127"/>
        <v>#NAME?</v>
      </c>
      <c r="FT78" s="40" t="e">
        <f ca="1">INT(FS78) + _xll.RiskBinomial(1,FS78-INT(FS78))</f>
        <v>#NAME?</v>
      </c>
      <c r="FU78" s="33" t="e">
        <f t="shared" ca="1" si="100"/>
        <v>#NAME?</v>
      </c>
      <c r="FV78" s="38" t="e">
        <f ca="1">_xll.RiskBinomial(1,FU78)</f>
        <v>#NAME?</v>
      </c>
      <c r="FW78" s="86" t="e">
        <f ca="1">IF(FV78=1,_xll.RiskBinomial(1,Prob_illness_Noro_infection),0)</f>
        <v>#NAME?</v>
      </c>
      <c r="FY78" s="85" t="e">
        <f t="shared" ca="1" si="128"/>
        <v>#NAME?</v>
      </c>
      <c r="FZ78" s="40" t="e">
        <f ca="1">INT(FY78) + _xll.RiskBinomial(1,FY78-INT(FY78))</f>
        <v>#NAME?</v>
      </c>
      <c r="GA78" s="33" t="e">
        <f t="shared" ca="1" si="101"/>
        <v>#NAME?</v>
      </c>
      <c r="GB78" s="38" t="e">
        <f ca="1">_xll.RiskBinomial(1,GA78)</f>
        <v>#NAME?</v>
      </c>
      <c r="GC78" s="86" t="e">
        <f ca="1">IF(GB78=1,_xll.RiskBinomial(1,Prob_illness_Noro_infection),0)</f>
        <v>#NAME?</v>
      </c>
      <c r="GE78" s="85" t="e">
        <f t="shared" ca="1" si="129"/>
        <v>#NAME?</v>
      </c>
      <c r="GF78" s="40" t="e">
        <f ca="1">INT(GE78) + _xll.RiskBinomial(1,GE78-INT(GE78))</f>
        <v>#NAME?</v>
      </c>
      <c r="GG78" s="33" t="e">
        <f t="shared" ca="1" si="102"/>
        <v>#NAME?</v>
      </c>
      <c r="GH78" s="38" t="e">
        <f ca="1">_xll.RiskBinomial(1,GG78)</f>
        <v>#NAME?</v>
      </c>
      <c r="GI78" s="86" t="e">
        <f ca="1">IF(GH78=1,_xll.RiskBinomial(1,Prob_illness_Noro_infection),0)</f>
        <v>#NAME?</v>
      </c>
      <c r="GK78" s="85" t="e">
        <f t="shared" ca="1" si="130"/>
        <v>#NAME?</v>
      </c>
      <c r="GL78" s="40" t="e">
        <f ca="1">INT(GK78) + _xll.RiskBinomial(1,GK78-INT(GK78))</f>
        <v>#NAME?</v>
      </c>
      <c r="GM78" s="33" t="e">
        <f t="shared" ca="1" si="103"/>
        <v>#NAME?</v>
      </c>
      <c r="GN78" s="38" t="e">
        <f ca="1">_xll.RiskBinomial(1,GM78)</f>
        <v>#NAME?</v>
      </c>
      <c r="GO78" s="86" t="e">
        <f ca="1">IF(GN78=1,_xll.RiskBinomial(1,Prob_illness_Noro_infection),0)</f>
        <v>#NAME?</v>
      </c>
    </row>
    <row r="79" spans="2:197" x14ac:dyDescent="0.25">
      <c r="B79" s="106">
        <v>71</v>
      </c>
      <c r="C79" s="109" t="e">
        <f ca="1" xml:space="preserve"> _xll.RiskPert(Dur_Swim_hours_min,Dur_Swim_hours_mode,Dur_Swim_hours_max)</f>
        <v>#NAME?</v>
      </c>
      <c r="D79" s="33" t="e">
        <f ca="1">_xll.RiskLognorm(Primary_Ing_Rate_mL_per_hour_mean,Primary_Ing_Rate_mL_per_hour_sd, _xll.RiskTruncate(Primary_Ing_Rate_mL_per_hour_min,Primary_Ing_Rate_mL_per_hour_max))</f>
        <v>#NAME?</v>
      </c>
      <c r="E79" s="41" t="e">
        <f t="shared" ca="1" si="104"/>
        <v>#NAME?</v>
      </c>
      <c r="F79" s="33"/>
      <c r="G79" s="85" t="e">
        <f t="shared" ca="1" si="105"/>
        <v>#NAME?</v>
      </c>
      <c r="H79" s="40" t="e">
        <f ca="1">INT(G79) + _xll.RiskBinomial(1,G79-INT(G79))</f>
        <v>#NAME?</v>
      </c>
      <c r="I79" s="33" t="e">
        <f t="shared" ca="1" si="66"/>
        <v>#NAME?</v>
      </c>
      <c r="J79" s="38" t="e">
        <f ca="1">_xll.RiskBinomial(1,I79)</f>
        <v>#NAME?</v>
      </c>
      <c r="K79" s="86" t="e">
        <f ca="1">IF(J79=1,_xll.RiskBinomial(1,Prob_illness_Noro_infection),0)</f>
        <v>#NAME?</v>
      </c>
      <c r="L79" s="33"/>
      <c r="M79" s="85" t="e">
        <f t="shared" ca="1" si="67"/>
        <v>#NAME?</v>
      </c>
      <c r="N79" s="40" t="e">
        <f ca="1">INT(M79) + _xll.RiskBinomial(1,M79-INT(M79))</f>
        <v>#NAME?</v>
      </c>
      <c r="O79" s="33" t="e">
        <f t="shared" ca="1" si="68"/>
        <v>#NAME?</v>
      </c>
      <c r="P79" s="38" t="e">
        <f ca="1">_xll.RiskBinomial(1,O79)</f>
        <v>#NAME?</v>
      </c>
      <c r="Q79" s="86" t="e">
        <f ca="1">IF(P79=1,_xll.RiskBinomial(1,Prob_illness_Noro_infection),0)</f>
        <v>#NAME?</v>
      </c>
      <c r="R79" s="33"/>
      <c r="S79" s="85" t="e">
        <f t="shared" ca="1" si="69"/>
        <v>#NAME?</v>
      </c>
      <c r="T79" s="40" t="e">
        <f ca="1">INT(S79) + _xll.RiskBinomial(1,S79-INT(S79))</f>
        <v>#NAME?</v>
      </c>
      <c r="U79" s="33" t="e">
        <f t="shared" ca="1" si="70"/>
        <v>#NAME?</v>
      </c>
      <c r="V79" s="38" t="e">
        <f ca="1">_xll.RiskBinomial(1,U79)</f>
        <v>#NAME?</v>
      </c>
      <c r="W79" s="86" t="e">
        <f ca="1">IF(V79=1,_xll.RiskBinomial(1,Prob_illness_Noro_infection),0)</f>
        <v>#NAME?</v>
      </c>
      <c r="X79" s="33"/>
      <c r="Y79" s="85" t="e">
        <f t="shared" ca="1" si="71"/>
        <v>#NAME?</v>
      </c>
      <c r="Z79" s="40" t="e">
        <f ca="1">INT(Y79) + _xll.RiskBinomial(1,Y79-INT(Y79))</f>
        <v>#NAME?</v>
      </c>
      <c r="AA79" s="33" t="e">
        <f t="shared" ca="1" si="72"/>
        <v>#NAME?</v>
      </c>
      <c r="AB79" s="38" t="e">
        <f ca="1">_xll.RiskBinomial(1,AA79)</f>
        <v>#NAME?</v>
      </c>
      <c r="AC79" s="86" t="e">
        <f ca="1">IF(AB79=1,_xll.RiskBinomial(1,Prob_illness_Noro_infection),0)</f>
        <v>#NAME?</v>
      </c>
      <c r="AD79" s="33"/>
      <c r="AE79" s="85" t="e">
        <f t="shared" ca="1" si="73"/>
        <v>#NAME?</v>
      </c>
      <c r="AF79" s="40" t="e">
        <f ca="1">INT(AE79) + _xll.RiskBinomial(1,AE79-INT(AE79))</f>
        <v>#NAME?</v>
      </c>
      <c r="AG79" s="33" t="e">
        <f t="shared" ca="1" si="74"/>
        <v>#NAME?</v>
      </c>
      <c r="AH79" s="38" t="e">
        <f ca="1">_xll.RiskBinomial(1,AG79)</f>
        <v>#NAME?</v>
      </c>
      <c r="AI79" s="86" t="e">
        <f ca="1">IF(AH79=1,_xll.RiskBinomial(1,Prob_illness_Noro_infection),0)</f>
        <v>#NAME?</v>
      </c>
      <c r="AJ79" s="33"/>
      <c r="AK79" s="85" t="e">
        <f t="shared" ca="1" si="75"/>
        <v>#NAME?</v>
      </c>
      <c r="AL79" s="40" t="e">
        <f ca="1">INT(AK79) + _xll.RiskBinomial(1,AK79-INT(AK79))</f>
        <v>#NAME?</v>
      </c>
      <c r="AM79" s="33" t="e">
        <f t="shared" ca="1" si="76"/>
        <v>#NAME?</v>
      </c>
      <c r="AN79" s="38" t="e">
        <f ca="1">_xll.RiskBinomial(1,AM79)</f>
        <v>#NAME?</v>
      </c>
      <c r="AO79" s="86" t="e">
        <f ca="1">IF(AN79=1,_xll.RiskBinomial(1,Prob_illness_Noro_infection),0)</f>
        <v>#NAME?</v>
      </c>
      <c r="AP79" s="33"/>
      <c r="AQ79" s="85" t="e">
        <f t="shared" ca="1" si="77"/>
        <v>#NAME?</v>
      </c>
      <c r="AR79" s="40" t="e">
        <f ca="1">INT(AQ79) + _xll.RiskBinomial(1,AQ79-INT(AQ79))</f>
        <v>#NAME?</v>
      </c>
      <c r="AS79" s="33" t="e">
        <f t="shared" ca="1" si="78"/>
        <v>#NAME?</v>
      </c>
      <c r="AT79" s="38" t="e">
        <f ca="1">_xll.RiskBinomial(1,AS79)</f>
        <v>#NAME?</v>
      </c>
      <c r="AU79" s="86" t="e">
        <f ca="1">IF(AT79=1,_xll.RiskBinomial(1,Prob_illness_Noro_infection),0)</f>
        <v>#NAME?</v>
      </c>
      <c r="AV79" s="33"/>
      <c r="AW79" s="85" t="e">
        <f t="shared" ca="1" si="106"/>
        <v>#NAME?</v>
      </c>
      <c r="AX79" s="40" t="e">
        <f ca="1">INT(AW79) + _xll.RiskBinomial(1,AW79-INT(AW79))</f>
        <v>#NAME?</v>
      </c>
      <c r="AY79" s="33" t="e">
        <f t="shared" ca="1" si="79"/>
        <v>#NAME?</v>
      </c>
      <c r="AZ79" s="38" t="e">
        <f ca="1">_xll.RiskBinomial(1,AY79)</f>
        <v>#NAME?</v>
      </c>
      <c r="BA79" s="86" t="e">
        <f ca="1">IF(AZ79=1,_xll.RiskBinomial(1,Prob_illness_Noro_infection),0)</f>
        <v>#NAME?</v>
      </c>
      <c r="BC79" s="85" t="e">
        <f t="shared" ca="1" si="107"/>
        <v>#NAME?</v>
      </c>
      <c r="BD79" s="40" t="e">
        <f ca="1">INT(BC79) + _xll.RiskBinomial(1,BC79-INT(BC79))</f>
        <v>#NAME?</v>
      </c>
      <c r="BE79" s="33" t="e">
        <f t="shared" ca="1" si="80"/>
        <v>#NAME?</v>
      </c>
      <c r="BF79" s="38" t="e">
        <f ca="1">_xll.RiskBinomial(1,BE79)</f>
        <v>#NAME?</v>
      </c>
      <c r="BG79" s="86" t="e">
        <f ca="1">IF(BF79=1,_xll.RiskBinomial(1,Prob_illness_Noro_infection),0)</f>
        <v>#NAME?</v>
      </c>
      <c r="BI79" s="85" t="e">
        <f t="shared" ca="1" si="108"/>
        <v>#NAME?</v>
      </c>
      <c r="BJ79" s="40" t="e">
        <f ca="1">INT(BI79) + _xll.RiskBinomial(1,BI79-INT(BI79))</f>
        <v>#NAME?</v>
      </c>
      <c r="BK79" s="33" t="e">
        <f t="shared" ca="1" si="81"/>
        <v>#NAME?</v>
      </c>
      <c r="BL79" s="38" t="e">
        <f ca="1">_xll.RiskBinomial(1,BK79)</f>
        <v>#NAME?</v>
      </c>
      <c r="BM79" s="86" t="e">
        <f ca="1">IF(BL79=1,_xll.RiskBinomial(1,Prob_illness_Noro_infection),0)</f>
        <v>#NAME?</v>
      </c>
      <c r="BO79" s="85" t="e">
        <f t="shared" ca="1" si="109"/>
        <v>#NAME?</v>
      </c>
      <c r="BP79" s="40" t="e">
        <f ca="1">INT(BO79) + _xll.RiskBinomial(1,BO79-INT(BO79))</f>
        <v>#NAME?</v>
      </c>
      <c r="BQ79" s="33" t="e">
        <f t="shared" ca="1" si="82"/>
        <v>#NAME?</v>
      </c>
      <c r="BR79" s="38" t="e">
        <f ca="1">_xll.RiskBinomial(1,BQ79)</f>
        <v>#NAME?</v>
      </c>
      <c r="BS79" s="86" t="e">
        <f ca="1">IF(BR79=1,_xll.RiskBinomial(1,Prob_illness_Noro_infection),0)</f>
        <v>#NAME?</v>
      </c>
      <c r="BU79" s="85" t="e">
        <f t="shared" ca="1" si="110"/>
        <v>#NAME?</v>
      </c>
      <c r="BV79" s="40" t="e">
        <f ca="1">INT(BU79) + _xll.RiskBinomial(1,BU79-INT(BU79))</f>
        <v>#NAME?</v>
      </c>
      <c r="BW79" s="33" t="e">
        <f t="shared" ca="1" si="83"/>
        <v>#NAME?</v>
      </c>
      <c r="BX79" s="38" t="e">
        <f ca="1">_xll.RiskBinomial(1,BW79)</f>
        <v>#NAME?</v>
      </c>
      <c r="BY79" s="86" t="e">
        <f ca="1">IF(BX79=1,_xll.RiskBinomial(1,Prob_illness_Noro_infection),0)</f>
        <v>#NAME?</v>
      </c>
      <c r="CA79" s="85" t="e">
        <f t="shared" ca="1" si="111"/>
        <v>#NAME?</v>
      </c>
      <c r="CB79" s="40" t="e">
        <f ca="1">INT(CA79) + _xll.RiskBinomial(1,CA79-INT(CA79))</f>
        <v>#NAME?</v>
      </c>
      <c r="CC79" s="33" t="e">
        <f t="shared" ca="1" si="84"/>
        <v>#NAME?</v>
      </c>
      <c r="CD79" s="38" t="e">
        <f ca="1">_xll.RiskBinomial(1,CC79)</f>
        <v>#NAME?</v>
      </c>
      <c r="CE79" s="86" t="e">
        <f ca="1">IF(CD79=1,_xll.RiskBinomial(1,Prob_illness_Noro_infection),0)</f>
        <v>#NAME?</v>
      </c>
      <c r="CG79" s="85" t="e">
        <f t="shared" ca="1" si="112"/>
        <v>#NAME?</v>
      </c>
      <c r="CH79" s="40" t="e">
        <f ca="1">INT(CG79) + _xll.RiskBinomial(1,CG79-INT(CG79))</f>
        <v>#NAME?</v>
      </c>
      <c r="CI79" s="33" t="e">
        <f t="shared" ca="1" si="85"/>
        <v>#NAME?</v>
      </c>
      <c r="CJ79" s="38" t="e">
        <f ca="1">_xll.RiskBinomial(1,CI79)</f>
        <v>#NAME?</v>
      </c>
      <c r="CK79" s="86" t="e">
        <f ca="1">IF(CJ79=1,_xll.RiskBinomial(1,Prob_illness_Noro_infection),0)</f>
        <v>#NAME?</v>
      </c>
      <c r="CM79" s="85" t="e">
        <f t="shared" ca="1" si="113"/>
        <v>#NAME?</v>
      </c>
      <c r="CN79" s="40" t="e">
        <f ca="1">INT(CM79) + _xll.RiskBinomial(1,CM79-INT(CM79))</f>
        <v>#NAME?</v>
      </c>
      <c r="CO79" s="33" t="e">
        <f t="shared" ca="1" si="86"/>
        <v>#NAME?</v>
      </c>
      <c r="CP79" s="38" t="e">
        <f ca="1">_xll.RiskBinomial(1,CO79)</f>
        <v>#NAME?</v>
      </c>
      <c r="CQ79" s="86" t="e">
        <f ca="1">IF(CP79=1,_xll.RiskBinomial(1,Prob_illness_Noro_infection),0)</f>
        <v>#NAME?</v>
      </c>
      <c r="CS79" s="85" t="e">
        <f t="shared" ca="1" si="114"/>
        <v>#NAME?</v>
      </c>
      <c r="CT79" s="40" t="e">
        <f ca="1">INT(CS79) + _xll.RiskBinomial(1,CS79-INT(CS79))</f>
        <v>#NAME?</v>
      </c>
      <c r="CU79" s="33" t="e">
        <f t="shared" ca="1" si="87"/>
        <v>#NAME?</v>
      </c>
      <c r="CV79" s="38" t="e">
        <f ca="1">_xll.RiskBinomial(1,CU79)</f>
        <v>#NAME?</v>
      </c>
      <c r="CW79" s="86" t="e">
        <f ca="1">IF(CV79=1,_xll.RiskBinomial(1,Prob_illness_Noro_infection),0)</f>
        <v>#NAME?</v>
      </c>
      <c r="CY79" s="85" t="e">
        <f t="shared" ca="1" si="115"/>
        <v>#NAME?</v>
      </c>
      <c r="CZ79" s="40" t="e">
        <f ca="1">INT(CY79) + _xll.RiskBinomial(1,CY79-INT(CY79))</f>
        <v>#NAME?</v>
      </c>
      <c r="DA79" s="33" t="e">
        <f t="shared" ca="1" si="88"/>
        <v>#NAME?</v>
      </c>
      <c r="DB79" s="38" t="e">
        <f ca="1">_xll.RiskBinomial(1,DA79)</f>
        <v>#NAME?</v>
      </c>
      <c r="DC79" s="86" t="e">
        <f ca="1">IF(DB79=1,_xll.RiskBinomial(1,Prob_illness_Noro_infection),0)</f>
        <v>#NAME?</v>
      </c>
      <c r="DE79" s="85" t="e">
        <f t="shared" ca="1" si="116"/>
        <v>#NAME?</v>
      </c>
      <c r="DF79" s="40" t="e">
        <f ca="1">INT(DE79) + _xll.RiskBinomial(1,DE79-INT(DE79))</f>
        <v>#NAME?</v>
      </c>
      <c r="DG79" s="33" t="e">
        <f t="shared" ca="1" si="89"/>
        <v>#NAME?</v>
      </c>
      <c r="DH79" s="38" t="e">
        <f ca="1">_xll.RiskBinomial(1,DG79)</f>
        <v>#NAME?</v>
      </c>
      <c r="DI79" s="86" t="e">
        <f ca="1">IF(DH79=1,_xll.RiskBinomial(1,Prob_illness_Noro_infection),0)</f>
        <v>#NAME?</v>
      </c>
      <c r="DK79" s="85" t="e">
        <f t="shared" ca="1" si="117"/>
        <v>#NAME?</v>
      </c>
      <c r="DL79" s="40" t="e">
        <f ca="1">INT(DK79) + _xll.RiskBinomial(1,DK79-INT(DK79))</f>
        <v>#NAME?</v>
      </c>
      <c r="DM79" s="33" t="e">
        <f t="shared" ca="1" si="90"/>
        <v>#NAME?</v>
      </c>
      <c r="DN79" s="38" t="e">
        <f ca="1">_xll.RiskBinomial(1,DM79)</f>
        <v>#NAME?</v>
      </c>
      <c r="DO79" s="86" t="e">
        <f ca="1">IF(DN79=1,_xll.RiskBinomial(1,Prob_illness_Noro_infection),0)</f>
        <v>#NAME?</v>
      </c>
      <c r="DQ79" s="85" t="e">
        <f t="shared" ca="1" si="118"/>
        <v>#NAME?</v>
      </c>
      <c r="DR79" s="40" t="e">
        <f ca="1">INT(DQ79) + _xll.RiskBinomial(1,DQ79-INT(DQ79))</f>
        <v>#NAME?</v>
      </c>
      <c r="DS79" s="33" t="e">
        <f t="shared" ca="1" si="91"/>
        <v>#NAME?</v>
      </c>
      <c r="DT79" s="38" t="e">
        <f ca="1">_xll.RiskBinomial(1,DS79)</f>
        <v>#NAME?</v>
      </c>
      <c r="DU79" s="86" t="e">
        <f ca="1">IF(DT79=1,_xll.RiskBinomial(1,Prob_illness_Noro_infection),0)</f>
        <v>#NAME?</v>
      </c>
      <c r="DW79" s="85" t="e">
        <f t="shared" ca="1" si="119"/>
        <v>#NAME?</v>
      </c>
      <c r="DX79" s="40" t="e">
        <f ca="1">INT(DW79) + _xll.RiskBinomial(1,DW79-INT(DW79))</f>
        <v>#NAME?</v>
      </c>
      <c r="DY79" s="33" t="e">
        <f t="shared" ca="1" si="92"/>
        <v>#NAME?</v>
      </c>
      <c r="DZ79" s="38" t="e">
        <f ca="1">_xll.RiskBinomial(1,DY79)</f>
        <v>#NAME?</v>
      </c>
      <c r="EA79" s="86" t="e">
        <f ca="1">IF(DZ79=1,_xll.RiskBinomial(1,Prob_illness_Noro_infection),0)</f>
        <v>#NAME?</v>
      </c>
      <c r="EC79" s="85" t="e">
        <f t="shared" ca="1" si="120"/>
        <v>#NAME?</v>
      </c>
      <c r="ED79" s="40" t="e">
        <f ca="1">INT(EC79) + _xll.RiskBinomial(1,EC79-INT(EC79))</f>
        <v>#NAME?</v>
      </c>
      <c r="EE79" s="33" t="e">
        <f t="shared" ca="1" si="93"/>
        <v>#NAME?</v>
      </c>
      <c r="EF79" s="38" t="e">
        <f ca="1">_xll.RiskBinomial(1,EE79)</f>
        <v>#NAME?</v>
      </c>
      <c r="EG79" s="86" t="e">
        <f ca="1">IF(EF79=1,_xll.RiskBinomial(1,Prob_illness_Noro_infection),0)</f>
        <v>#NAME?</v>
      </c>
      <c r="EI79" s="85" t="e">
        <f t="shared" ca="1" si="121"/>
        <v>#NAME?</v>
      </c>
      <c r="EJ79" s="40" t="e">
        <f ca="1">INT(EI79) + _xll.RiskBinomial(1,EI79-INT(EI79))</f>
        <v>#NAME?</v>
      </c>
      <c r="EK79" s="33" t="e">
        <f t="shared" ca="1" si="94"/>
        <v>#NAME?</v>
      </c>
      <c r="EL79" s="38" t="e">
        <f ca="1">_xll.RiskBinomial(1,EK79)</f>
        <v>#NAME?</v>
      </c>
      <c r="EM79" s="86" t="e">
        <f ca="1">IF(EL79=1,_xll.RiskBinomial(1,Prob_illness_Noro_infection),0)</f>
        <v>#NAME?</v>
      </c>
      <c r="EO79" s="85" t="e">
        <f t="shared" ca="1" si="122"/>
        <v>#NAME?</v>
      </c>
      <c r="EP79" s="40" t="e">
        <f ca="1">INT(EO79) + _xll.RiskBinomial(1,EO79-INT(EO79))</f>
        <v>#NAME?</v>
      </c>
      <c r="EQ79" s="33" t="e">
        <f t="shared" ca="1" si="95"/>
        <v>#NAME?</v>
      </c>
      <c r="ER79" s="38" t="e">
        <f ca="1">_xll.RiskBinomial(1,EQ79)</f>
        <v>#NAME?</v>
      </c>
      <c r="ES79" s="86" t="e">
        <f ca="1">IF(ER79=1,_xll.RiskBinomial(1,Prob_illness_Noro_infection),0)</f>
        <v>#NAME?</v>
      </c>
      <c r="EU79" s="85" t="e">
        <f t="shared" ca="1" si="123"/>
        <v>#NAME?</v>
      </c>
      <c r="EV79" s="40" t="e">
        <f ca="1">INT(EU79) + _xll.RiskBinomial(1,EU79-INT(EU79))</f>
        <v>#NAME?</v>
      </c>
      <c r="EW79" s="33" t="e">
        <f t="shared" ca="1" si="96"/>
        <v>#NAME?</v>
      </c>
      <c r="EX79" s="38" t="e">
        <f ca="1">_xll.RiskBinomial(1,EW79)</f>
        <v>#NAME?</v>
      </c>
      <c r="EY79" s="86" t="e">
        <f ca="1">IF(EX79=1,_xll.RiskBinomial(1,Prob_illness_Noro_infection),0)</f>
        <v>#NAME?</v>
      </c>
      <c r="FA79" s="85" t="e">
        <f t="shared" ca="1" si="124"/>
        <v>#NAME?</v>
      </c>
      <c r="FB79" s="40" t="e">
        <f ca="1">INT(FA79) + _xll.RiskBinomial(1,FA79-INT(FA79))</f>
        <v>#NAME?</v>
      </c>
      <c r="FC79" s="33" t="e">
        <f t="shared" ca="1" si="97"/>
        <v>#NAME?</v>
      </c>
      <c r="FD79" s="38" t="e">
        <f ca="1">_xll.RiskBinomial(1,FC79)</f>
        <v>#NAME?</v>
      </c>
      <c r="FE79" s="86" t="e">
        <f ca="1">IF(FD79=1,_xll.RiskBinomial(1,Prob_illness_Noro_infection),0)</f>
        <v>#NAME?</v>
      </c>
      <c r="FG79" s="85" t="e">
        <f t="shared" ca="1" si="125"/>
        <v>#NAME?</v>
      </c>
      <c r="FH79" s="40" t="e">
        <f ca="1">INT(FG79) + _xll.RiskBinomial(1,FG79-INT(FG79))</f>
        <v>#NAME?</v>
      </c>
      <c r="FI79" s="33" t="e">
        <f t="shared" ca="1" si="98"/>
        <v>#NAME?</v>
      </c>
      <c r="FJ79" s="38" t="e">
        <f ca="1">_xll.RiskBinomial(1,FI79)</f>
        <v>#NAME?</v>
      </c>
      <c r="FK79" s="86" t="e">
        <f ca="1">IF(FJ79=1,_xll.RiskBinomial(1,Prob_illness_Noro_infection),0)</f>
        <v>#NAME?</v>
      </c>
      <c r="FM79" s="85" t="e">
        <f t="shared" ca="1" si="126"/>
        <v>#NAME?</v>
      </c>
      <c r="FN79" s="40" t="e">
        <f ca="1">INT(FM79) + _xll.RiskBinomial(1,FM79-INT(FM79))</f>
        <v>#NAME?</v>
      </c>
      <c r="FO79" s="33" t="e">
        <f t="shared" ca="1" si="99"/>
        <v>#NAME?</v>
      </c>
      <c r="FP79" s="38" t="e">
        <f ca="1">_xll.RiskBinomial(1,FO79)</f>
        <v>#NAME?</v>
      </c>
      <c r="FQ79" s="86" t="e">
        <f ca="1">IF(FP79=1,_xll.RiskBinomial(1,Prob_illness_Noro_infection),0)</f>
        <v>#NAME?</v>
      </c>
      <c r="FS79" s="85" t="e">
        <f t="shared" ca="1" si="127"/>
        <v>#NAME?</v>
      </c>
      <c r="FT79" s="40" t="e">
        <f ca="1">INT(FS79) + _xll.RiskBinomial(1,FS79-INT(FS79))</f>
        <v>#NAME?</v>
      </c>
      <c r="FU79" s="33" t="e">
        <f t="shared" ca="1" si="100"/>
        <v>#NAME?</v>
      </c>
      <c r="FV79" s="38" t="e">
        <f ca="1">_xll.RiskBinomial(1,FU79)</f>
        <v>#NAME?</v>
      </c>
      <c r="FW79" s="86" t="e">
        <f ca="1">IF(FV79=1,_xll.RiskBinomial(1,Prob_illness_Noro_infection),0)</f>
        <v>#NAME?</v>
      </c>
      <c r="FY79" s="85" t="e">
        <f t="shared" ca="1" si="128"/>
        <v>#NAME?</v>
      </c>
      <c r="FZ79" s="40" t="e">
        <f ca="1">INT(FY79) + _xll.RiskBinomial(1,FY79-INT(FY79))</f>
        <v>#NAME?</v>
      </c>
      <c r="GA79" s="33" t="e">
        <f t="shared" ca="1" si="101"/>
        <v>#NAME?</v>
      </c>
      <c r="GB79" s="38" t="e">
        <f ca="1">_xll.RiskBinomial(1,GA79)</f>
        <v>#NAME?</v>
      </c>
      <c r="GC79" s="86" t="e">
        <f ca="1">IF(GB79=1,_xll.RiskBinomial(1,Prob_illness_Noro_infection),0)</f>
        <v>#NAME?</v>
      </c>
      <c r="GE79" s="85" t="e">
        <f t="shared" ca="1" si="129"/>
        <v>#NAME?</v>
      </c>
      <c r="GF79" s="40" t="e">
        <f ca="1">INT(GE79) + _xll.RiskBinomial(1,GE79-INT(GE79))</f>
        <v>#NAME?</v>
      </c>
      <c r="GG79" s="33" t="e">
        <f t="shared" ca="1" si="102"/>
        <v>#NAME?</v>
      </c>
      <c r="GH79" s="38" t="e">
        <f ca="1">_xll.RiskBinomial(1,GG79)</f>
        <v>#NAME?</v>
      </c>
      <c r="GI79" s="86" t="e">
        <f ca="1">IF(GH79=1,_xll.RiskBinomial(1,Prob_illness_Noro_infection),0)</f>
        <v>#NAME?</v>
      </c>
      <c r="GK79" s="85" t="e">
        <f t="shared" ca="1" si="130"/>
        <v>#NAME?</v>
      </c>
      <c r="GL79" s="40" t="e">
        <f ca="1">INT(GK79) + _xll.RiskBinomial(1,GK79-INT(GK79))</f>
        <v>#NAME?</v>
      </c>
      <c r="GM79" s="33" t="e">
        <f t="shared" ca="1" si="103"/>
        <v>#NAME?</v>
      </c>
      <c r="GN79" s="38" t="e">
        <f ca="1">_xll.RiskBinomial(1,GM79)</f>
        <v>#NAME?</v>
      </c>
      <c r="GO79" s="86" t="e">
        <f ca="1">IF(GN79=1,_xll.RiskBinomial(1,Prob_illness_Noro_infection),0)</f>
        <v>#NAME?</v>
      </c>
    </row>
    <row r="80" spans="2:197" x14ac:dyDescent="0.25">
      <c r="B80" s="106">
        <v>72</v>
      </c>
      <c r="C80" s="109" t="e">
        <f ca="1" xml:space="preserve"> _xll.RiskPert(Dur_Swim_hours_min,Dur_Swim_hours_mode,Dur_Swim_hours_max)</f>
        <v>#NAME?</v>
      </c>
      <c r="D80" s="33" t="e">
        <f ca="1">_xll.RiskLognorm(Primary_Ing_Rate_mL_per_hour_mean,Primary_Ing_Rate_mL_per_hour_sd, _xll.RiskTruncate(Primary_Ing_Rate_mL_per_hour_min,Primary_Ing_Rate_mL_per_hour_max))</f>
        <v>#NAME?</v>
      </c>
      <c r="E80" s="41" t="e">
        <f t="shared" ca="1" si="104"/>
        <v>#NAME?</v>
      </c>
      <c r="F80" s="33"/>
      <c r="G80" s="85" t="e">
        <f t="shared" ca="1" si="105"/>
        <v>#NAME?</v>
      </c>
      <c r="H80" s="40" t="e">
        <f ca="1">INT(G80) + _xll.RiskBinomial(1,G80-INT(G80))</f>
        <v>#NAME?</v>
      </c>
      <c r="I80" s="33" t="e">
        <f t="shared" ca="1" si="66"/>
        <v>#NAME?</v>
      </c>
      <c r="J80" s="38" t="e">
        <f ca="1">_xll.RiskBinomial(1,I80)</f>
        <v>#NAME?</v>
      </c>
      <c r="K80" s="86" t="e">
        <f ca="1">IF(J80=1,_xll.RiskBinomial(1,Prob_illness_Noro_infection),0)</f>
        <v>#NAME?</v>
      </c>
      <c r="L80" s="33"/>
      <c r="M80" s="85" t="e">
        <f t="shared" ca="1" si="67"/>
        <v>#NAME?</v>
      </c>
      <c r="N80" s="40" t="e">
        <f ca="1">INT(M80) + _xll.RiskBinomial(1,M80-INT(M80))</f>
        <v>#NAME?</v>
      </c>
      <c r="O80" s="33" t="e">
        <f t="shared" ca="1" si="68"/>
        <v>#NAME?</v>
      </c>
      <c r="P80" s="38" t="e">
        <f ca="1">_xll.RiskBinomial(1,O80)</f>
        <v>#NAME?</v>
      </c>
      <c r="Q80" s="86" t="e">
        <f ca="1">IF(P80=1,_xll.RiskBinomial(1,Prob_illness_Noro_infection),0)</f>
        <v>#NAME?</v>
      </c>
      <c r="R80" s="33"/>
      <c r="S80" s="85" t="e">
        <f t="shared" ca="1" si="69"/>
        <v>#NAME?</v>
      </c>
      <c r="T80" s="40" t="e">
        <f ca="1">INT(S80) + _xll.RiskBinomial(1,S80-INT(S80))</f>
        <v>#NAME?</v>
      </c>
      <c r="U80" s="33" t="e">
        <f t="shared" ca="1" si="70"/>
        <v>#NAME?</v>
      </c>
      <c r="V80" s="38" t="e">
        <f ca="1">_xll.RiskBinomial(1,U80)</f>
        <v>#NAME?</v>
      </c>
      <c r="W80" s="86" t="e">
        <f ca="1">IF(V80=1,_xll.RiskBinomial(1,Prob_illness_Noro_infection),0)</f>
        <v>#NAME?</v>
      </c>
      <c r="X80" s="33"/>
      <c r="Y80" s="85" t="e">
        <f t="shared" ca="1" si="71"/>
        <v>#NAME?</v>
      </c>
      <c r="Z80" s="40" t="e">
        <f ca="1">INT(Y80) + _xll.RiskBinomial(1,Y80-INT(Y80))</f>
        <v>#NAME?</v>
      </c>
      <c r="AA80" s="33" t="e">
        <f t="shared" ca="1" si="72"/>
        <v>#NAME?</v>
      </c>
      <c r="AB80" s="38" t="e">
        <f ca="1">_xll.RiskBinomial(1,AA80)</f>
        <v>#NAME?</v>
      </c>
      <c r="AC80" s="86" t="e">
        <f ca="1">IF(AB80=1,_xll.RiskBinomial(1,Prob_illness_Noro_infection),0)</f>
        <v>#NAME?</v>
      </c>
      <c r="AD80" s="33"/>
      <c r="AE80" s="85" t="e">
        <f t="shared" ca="1" si="73"/>
        <v>#NAME?</v>
      </c>
      <c r="AF80" s="40" t="e">
        <f ca="1">INT(AE80) + _xll.RiskBinomial(1,AE80-INT(AE80))</f>
        <v>#NAME?</v>
      </c>
      <c r="AG80" s="33" t="e">
        <f t="shared" ca="1" si="74"/>
        <v>#NAME?</v>
      </c>
      <c r="AH80" s="38" t="e">
        <f ca="1">_xll.RiskBinomial(1,AG80)</f>
        <v>#NAME?</v>
      </c>
      <c r="AI80" s="86" t="e">
        <f ca="1">IF(AH80=1,_xll.RiskBinomial(1,Prob_illness_Noro_infection),0)</f>
        <v>#NAME?</v>
      </c>
      <c r="AJ80" s="33"/>
      <c r="AK80" s="85" t="e">
        <f t="shared" ca="1" si="75"/>
        <v>#NAME?</v>
      </c>
      <c r="AL80" s="40" t="e">
        <f ca="1">INT(AK80) + _xll.RiskBinomial(1,AK80-INT(AK80))</f>
        <v>#NAME?</v>
      </c>
      <c r="AM80" s="33" t="e">
        <f t="shared" ca="1" si="76"/>
        <v>#NAME?</v>
      </c>
      <c r="AN80" s="38" t="e">
        <f ca="1">_xll.RiskBinomial(1,AM80)</f>
        <v>#NAME?</v>
      </c>
      <c r="AO80" s="86" t="e">
        <f ca="1">IF(AN80=1,_xll.RiskBinomial(1,Prob_illness_Noro_infection),0)</f>
        <v>#NAME?</v>
      </c>
      <c r="AP80" s="33"/>
      <c r="AQ80" s="85" t="e">
        <f t="shared" ca="1" si="77"/>
        <v>#NAME?</v>
      </c>
      <c r="AR80" s="40" t="e">
        <f ca="1">INT(AQ80) + _xll.RiskBinomial(1,AQ80-INT(AQ80))</f>
        <v>#NAME?</v>
      </c>
      <c r="AS80" s="33" t="e">
        <f t="shared" ca="1" si="78"/>
        <v>#NAME?</v>
      </c>
      <c r="AT80" s="38" t="e">
        <f ca="1">_xll.RiskBinomial(1,AS80)</f>
        <v>#NAME?</v>
      </c>
      <c r="AU80" s="86" t="e">
        <f ca="1">IF(AT80=1,_xll.RiskBinomial(1,Prob_illness_Noro_infection),0)</f>
        <v>#NAME?</v>
      </c>
      <c r="AV80" s="33"/>
      <c r="AW80" s="85" t="e">
        <f t="shared" ca="1" si="106"/>
        <v>#NAME?</v>
      </c>
      <c r="AX80" s="40" t="e">
        <f ca="1">INT(AW80) + _xll.RiskBinomial(1,AW80-INT(AW80))</f>
        <v>#NAME?</v>
      </c>
      <c r="AY80" s="33" t="e">
        <f t="shared" ca="1" si="79"/>
        <v>#NAME?</v>
      </c>
      <c r="AZ80" s="38" t="e">
        <f ca="1">_xll.RiskBinomial(1,AY80)</f>
        <v>#NAME?</v>
      </c>
      <c r="BA80" s="86" t="e">
        <f ca="1">IF(AZ80=1,_xll.RiskBinomial(1,Prob_illness_Noro_infection),0)</f>
        <v>#NAME?</v>
      </c>
      <c r="BC80" s="85" t="e">
        <f t="shared" ca="1" si="107"/>
        <v>#NAME?</v>
      </c>
      <c r="BD80" s="40" t="e">
        <f ca="1">INT(BC80) + _xll.RiskBinomial(1,BC80-INT(BC80))</f>
        <v>#NAME?</v>
      </c>
      <c r="BE80" s="33" t="e">
        <f t="shared" ca="1" si="80"/>
        <v>#NAME?</v>
      </c>
      <c r="BF80" s="38" t="e">
        <f ca="1">_xll.RiskBinomial(1,BE80)</f>
        <v>#NAME?</v>
      </c>
      <c r="BG80" s="86" t="e">
        <f ca="1">IF(BF80=1,_xll.RiskBinomial(1,Prob_illness_Noro_infection),0)</f>
        <v>#NAME?</v>
      </c>
      <c r="BI80" s="85" t="e">
        <f t="shared" ca="1" si="108"/>
        <v>#NAME?</v>
      </c>
      <c r="BJ80" s="40" t="e">
        <f ca="1">INT(BI80) + _xll.RiskBinomial(1,BI80-INT(BI80))</f>
        <v>#NAME?</v>
      </c>
      <c r="BK80" s="33" t="e">
        <f t="shared" ca="1" si="81"/>
        <v>#NAME?</v>
      </c>
      <c r="BL80" s="38" t="e">
        <f ca="1">_xll.RiskBinomial(1,BK80)</f>
        <v>#NAME?</v>
      </c>
      <c r="BM80" s="86" t="e">
        <f ca="1">IF(BL80=1,_xll.RiskBinomial(1,Prob_illness_Noro_infection),0)</f>
        <v>#NAME?</v>
      </c>
      <c r="BO80" s="85" t="e">
        <f t="shared" ca="1" si="109"/>
        <v>#NAME?</v>
      </c>
      <c r="BP80" s="40" t="e">
        <f ca="1">INT(BO80) + _xll.RiskBinomial(1,BO80-INT(BO80))</f>
        <v>#NAME?</v>
      </c>
      <c r="BQ80" s="33" t="e">
        <f t="shared" ca="1" si="82"/>
        <v>#NAME?</v>
      </c>
      <c r="BR80" s="38" t="e">
        <f ca="1">_xll.RiskBinomial(1,BQ80)</f>
        <v>#NAME?</v>
      </c>
      <c r="BS80" s="86" t="e">
        <f ca="1">IF(BR80=1,_xll.RiskBinomial(1,Prob_illness_Noro_infection),0)</f>
        <v>#NAME?</v>
      </c>
      <c r="BU80" s="85" t="e">
        <f t="shared" ca="1" si="110"/>
        <v>#NAME?</v>
      </c>
      <c r="BV80" s="40" t="e">
        <f ca="1">INT(BU80) + _xll.RiskBinomial(1,BU80-INT(BU80))</f>
        <v>#NAME?</v>
      </c>
      <c r="BW80" s="33" t="e">
        <f t="shared" ca="1" si="83"/>
        <v>#NAME?</v>
      </c>
      <c r="BX80" s="38" t="e">
        <f ca="1">_xll.RiskBinomial(1,BW80)</f>
        <v>#NAME?</v>
      </c>
      <c r="BY80" s="86" t="e">
        <f ca="1">IF(BX80=1,_xll.RiskBinomial(1,Prob_illness_Noro_infection),0)</f>
        <v>#NAME?</v>
      </c>
      <c r="CA80" s="85" t="e">
        <f t="shared" ca="1" si="111"/>
        <v>#NAME?</v>
      </c>
      <c r="CB80" s="40" t="e">
        <f ca="1">INT(CA80) + _xll.RiskBinomial(1,CA80-INT(CA80))</f>
        <v>#NAME?</v>
      </c>
      <c r="CC80" s="33" t="e">
        <f t="shared" ca="1" si="84"/>
        <v>#NAME?</v>
      </c>
      <c r="CD80" s="38" t="e">
        <f ca="1">_xll.RiskBinomial(1,CC80)</f>
        <v>#NAME?</v>
      </c>
      <c r="CE80" s="86" t="e">
        <f ca="1">IF(CD80=1,_xll.RiskBinomial(1,Prob_illness_Noro_infection),0)</f>
        <v>#NAME?</v>
      </c>
      <c r="CG80" s="85" t="e">
        <f t="shared" ca="1" si="112"/>
        <v>#NAME?</v>
      </c>
      <c r="CH80" s="40" t="e">
        <f ca="1">INT(CG80) + _xll.RiskBinomial(1,CG80-INT(CG80))</f>
        <v>#NAME?</v>
      </c>
      <c r="CI80" s="33" t="e">
        <f t="shared" ca="1" si="85"/>
        <v>#NAME?</v>
      </c>
      <c r="CJ80" s="38" t="e">
        <f ca="1">_xll.RiskBinomial(1,CI80)</f>
        <v>#NAME?</v>
      </c>
      <c r="CK80" s="86" t="e">
        <f ca="1">IF(CJ80=1,_xll.RiskBinomial(1,Prob_illness_Noro_infection),0)</f>
        <v>#NAME?</v>
      </c>
      <c r="CM80" s="85" t="e">
        <f t="shared" ca="1" si="113"/>
        <v>#NAME?</v>
      </c>
      <c r="CN80" s="40" t="e">
        <f ca="1">INT(CM80) + _xll.RiskBinomial(1,CM80-INT(CM80))</f>
        <v>#NAME?</v>
      </c>
      <c r="CO80" s="33" t="e">
        <f t="shared" ca="1" si="86"/>
        <v>#NAME?</v>
      </c>
      <c r="CP80" s="38" t="e">
        <f ca="1">_xll.RiskBinomial(1,CO80)</f>
        <v>#NAME?</v>
      </c>
      <c r="CQ80" s="86" t="e">
        <f ca="1">IF(CP80=1,_xll.RiskBinomial(1,Prob_illness_Noro_infection),0)</f>
        <v>#NAME?</v>
      </c>
      <c r="CS80" s="85" t="e">
        <f t="shared" ca="1" si="114"/>
        <v>#NAME?</v>
      </c>
      <c r="CT80" s="40" t="e">
        <f ca="1">INT(CS80) + _xll.RiskBinomial(1,CS80-INT(CS80))</f>
        <v>#NAME?</v>
      </c>
      <c r="CU80" s="33" t="e">
        <f t="shared" ca="1" si="87"/>
        <v>#NAME?</v>
      </c>
      <c r="CV80" s="38" t="e">
        <f ca="1">_xll.RiskBinomial(1,CU80)</f>
        <v>#NAME?</v>
      </c>
      <c r="CW80" s="86" t="e">
        <f ca="1">IF(CV80=1,_xll.RiskBinomial(1,Prob_illness_Noro_infection),0)</f>
        <v>#NAME?</v>
      </c>
      <c r="CY80" s="85" t="e">
        <f t="shared" ca="1" si="115"/>
        <v>#NAME?</v>
      </c>
      <c r="CZ80" s="40" t="e">
        <f ca="1">INT(CY80) + _xll.RiskBinomial(1,CY80-INT(CY80))</f>
        <v>#NAME?</v>
      </c>
      <c r="DA80" s="33" t="e">
        <f t="shared" ca="1" si="88"/>
        <v>#NAME?</v>
      </c>
      <c r="DB80" s="38" t="e">
        <f ca="1">_xll.RiskBinomial(1,DA80)</f>
        <v>#NAME?</v>
      </c>
      <c r="DC80" s="86" t="e">
        <f ca="1">IF(DB80=1,_xll.RiskBinomial(1,Prob_illness_Noro_infection),0)</f>
        <v>#NAME?</v>
      </c>
      <c r="DE80" s="85" t="e">
        <f t="shared" ca="1" si="116"/>
        <v>#NAME?</v>
      </c>
      <c r="DF80" s="40" t="e">
        <f ca="1">INT(DE80) + _xll.RiskBinomial(1,DE80-INT(DE80))</f>
        <v>#NAME?</v>
      </c>
      <c r="DG80" s="33" t="e">
        <f t="shared" ca="1" si="89"/>
        <v>#NAME?</v>
      </c>
      <c r="DH80" s="38" t="e">
        <f ca="1">_xll.RiskBinomial(1,DG80)</f>
        <v>#NAME?</v>
      </c>
      <c r="DI80" s="86" t="e">
        <f ca="1">IF(DH80=1,_xll.RiskBinomial(1,Prob_illness_Noro_infection),0)</f>
        <v>#NAME?</v>
      </c>
      <c r="DK80" s="85" t="e">
        <f t="shared" ca="1" si="117"/>
        <v>#NAME?</v>
      </c>
      <c r="DL80" s="40" t="e">
        <f ca="1">INT(DK80) + _xll.RiskBinomial(1,DK80-INT(DK80))</f>
        <v>#NAME?</v>
      </c>
      <c r="DM80" s="33" t="e">
        <f t="shared" ca="1" si="90"/>
        <v>#NAME?</v>
      </c>
      <c r="DN80" s="38" t="e">
        <f ca="1">_xll.RiskBinomial(1,DM80)</f>
        <v>#NAME?</v>
      </c>
      <c r="DO80" s="86" t="e">
        <f ca="1">IF(DN80=1,_xll.RiskBinomial(1,Prob_illness_Noro_infection),0)</f>
        <v>#NAME?</v>
      </c>
      <c r="DQ80" s="85" t="e">
        <f t="shared" ca="1" si="118"/>
        <v>#NAME?</v>
      </c>
      <c r="DR80" s="40" t="e">
        <f ca="1">INT(DQ80) + _xll.RiskBinomial(1,DQ80-INT(DQ80))</f>
        <v>#NAME?</v>
      </c>
      <c r="DS80" s="33" t="e">
        <f t="shared" ca="1" si="91"/>
        <v>#NAME?</v>
      </c>
      <c r="DT80" s="38" t="e">
        <f ca="1">_xll.RiskBinomial(1,DS80)</f>
        <v>#NAME?</v>
      </c>
      <c r="DU80" s="86" t="e">
        <f ca="1">IF(DT80=1,_xll.RiskBinomial(1,Prob_illness_Noro_infection),0)</f>
        <v>#NAME?</v>
      </c>
      <c r="DW80" s="85" t="e">
        <f t="shared" ca="1" si="119"/>
        <v>#NAME?</v>
      </c>
      <c r="DX80" s="40" t="e">
        <f ca="1">INT(DW80) + _xll.RiskBinomial(1,DW80-INT(DW80))</f>
        <v>#NAME?</v>
      </c>
      <c r="DY80" s="33" t="e">
        <f t="shared" ca="1" si="92"/>
        <v>#NAME?</v>
      </c>
      <c r="DZ80" s="38" t="e">
        <f ca="1">_xll.RiskBinomial(1,DY80)</f>
        <v>#NAME?</v>
      </c>
      <c r="EA80" s="86" t="e">
        <f ca="1">IF(DZ80=1,_xll.RiskBinomial(1,Prob_illness_Noro_infection),0)</f>
        <v>#NAME?</v>
      </c>
      <c r="EC80" s="85" t="e">
        <f t="shared" ca="1" si="120"/>
        <v>#NAME?</v>
      </c>
      <c r="ED80" s="40" t="e">
        <f ca="1">INT(EC80) + _xll.RiskBinomial(1,EC80-INT(EC80))</f>
        <v>#NAME?</v>
      </c>
      <c r="EE80" s="33" t="e">
        <f t="shared" ca="1" si="93"/>
        <v>#NAME?</v>
      </c>
      <c r="EF80" s="38" t="e">
        <f ca="1">_xll.RiskBinomial(1,EE80)</f>
        <v>#NAME?</v>
      </c>
      <c r="EG80" s="86" t="e">
        <f ca="1">IF(EF80=1,_xll.RiskBinomial(1,Prob_illness_Noro_infection),0)</f>
        <v>#NAME?</v>
      </c>
      <c r="EI80" s="85" t="e">
        <f t="shared" ca="1" si="121"/>
        <v>#NAME?</v>
      </c>
      <c r="EJ80" s="40" t="e">
        <f ca="1">INT(EI80) + _xll.RiskBinomial(1,EI80-INT(EI80))</f>
        <v>#NAME?</v>
      </c>
      <c r="EK80" s="33" t="e">
        <f t="shared" ca="1" si="94"/>
        <v>#NAME?</v>
      </c>
      <c r="EL80" s="38" t="e">
        <f ca="1">_xll.RiskBinomial(1,EK80)</f>
        <v>#NAME?</v>
      </c>
      <c r="EM80" s="86" t="e">
        <f ca="1">IF(EL80=1,_xll.RiskBinomial(1,Prob_illness_Noro_infection),0)</f>
        <v>#NAME?</v>
      </c>
      <c r="EO80" s="85" t="e">
        <f t="shared" ca="1" si="122"/>
        <v>#NAME?</v>
      </c>
      <c r="EP80" s="40" t="e">
        <f ca="1">INT(EO80) + _xll.RiskBinomial(1,EO80-INT(EO80))</f>
        <v>#NAME?</v>
      </c>
      <c r="EQ80" s="33" t="e">
        <f t="shared" ca="1" si="95"/>
        <v>#NAME?</v>
      </c>
      <c r="ER80" s="38" t="e">
        <f ca="1">_xll.RiskBinomial(1,EQ80)</f>
        <v>#NAME?</v>
      </c>
      <c r="ES80" s="86" t="e">
        <f ca="1">IF(ER80=1,_xll.RiskBinomial(1,Prob_illness_Noro_infection),0)</f>
        <v>#NAME?</v>
      </c>
      <c r="EU80" s="85" t="e">
        <f t="shared" ca="1" si="123"/>
        <v>#NAME?</v>
      </c>
      <c r="EV80" s="40" t="e">
        <f ca="1">INT(EU80) + _xll.RiskBinomial(1,EU80-INT(EU80))</f>
        <v>#NAME?</v>
      </c>
      <c r="EW80" s="33" t="e">
        <f t="shared" ca="1" si="96"/>
        <v>#NAME?</v>
      </c>
      <c r="EX80" s="38" t="e">
        <f ca="1">_xll.RiskBinomial(1,EW80)</f>
        <v>#NAME?</v>
      </c>
      <c r="EY80" s="86" t="e">
        <f ca="1">IF(EX80=1,_xll.RiskBinomial(1,Prob_illness_Noro_infection),0)</f>
        <v>#NAME?</v>
      </c>
      <c r="FA80" s="85" t="e">
        <f t="shared" ca="1" si="124"/>
        <v>#NAME?</v>
      </c>
      <c r="FB80" s="40" t="e">
        <f ca="1">INT(FA80) + _xll.RiskBinomial(1,FA80-INT(FA80))</f>
        <v>#NAME?</v>
      </c>
      <c r="FC80" s="33" t="e">
        <f t="shared" ca="1" si="97"/>
        <v>#NAME?</v>
      </c>
      <c r="FD80" s="38" t="e">
        <f ca="1">_xll.RiskBinomial(1,FC80)</f>
        <v>#NAME?</v>
      </c>
      <c r="FE80" s="86" t="e">
        <f ca="1">IF(FD80=1,_xll.RiskBinomial(1,Prob_illness_Noro_infection),0)</f>
        <v>#NAME?</v>
      </c>
      <c r="FG80" s="85" t="e">
        <f t="shared" ca="1" si="125"/>
        <v>#NAME?</v>
      </c>
      <c r="FH80" s="40" t="e">
        <f ca="1">INT(FG80) + _xll.RiskBinomial(1,FG80-INT(FG80))</f>
        <v>#NAME?</v>
      </c>
      <c r="FI80" s="33" t="e">
        <f t="shared" ca="1" si="98"/>
        <v>#NAME?</v>
      </c>
      <c r="FJ80" s="38" t="e">
        <f ca="1">_xll.RiskBinomial(1,FI80)</f>
        <v>#NAME?</v>
      </c>
      <c r="FK80" s="86" t="e">
        <f ca="1">IF(FJ80=1,_xll.RiskBinomial(1,Prob_illness_Noro_infection),0)</f>
        <v>#NAME?</v>
      </c>
      <c r="FM80" s="85" t="e">
        <f t="shared" ca="1" si="126"/>
        <v>#NAME?</v>
      </c>
      <c r="FN80" s="40" t="e">
        <f ca="1">INT(FM80) + _xll.RiskBinomial(1,FM80-INT(FM80))</f>
        <v>#NAME?</v>
      </c>
      <c r="FO80" s="33" t="e">
        <f t="shared" ca="1" si="99"/>
        <v>#NAME?</v>
      </c>
      <c r="FP80" s="38" t="e">
        <f ca="1">_xll.RiskBinomial(1,FO80)</f>
        <v>#NAME?</v>
      </c>
      <c r="FQ80" s="86" t="e">
        <f ca="1">IF(FP80=1,_xll.RiskBinomial(1,Prob_illness_Noro_infection),0)</f>
        <v>#NAME?</v>
      </c>
      <c r="FS80" s="85" t="e">
        <f t="shared" ca="1" si="127"/>
        <v>#NAME?</v>
      </c>
      <c r="FT80" s="40" t="e">
        <f ca="1">INT(FS80) + _xll.RiskBinomial(1,FS80-INT(FS80))</f>
        <v>#NAME?</v>
      </c>
      <c r="FU80" s="33" t="e">
        <f t="shared" ca="1" si="100"/>
        <v>#NAME?</v>
      </c>
      <c r="FV80" s="38" t="e">
        <f ca="1">_xll.RiskBinomial(1,FU80)</f>
        <v>#NAME?</v>
      </c>
      <c r="FW80" s="86" t="e">
        <f ca="1">IF(FV80=1,_xll.RiskBinomial(1,Prob_illness_Noro_infection),0)</f>
        <v>#NAME?</v>
      </c>
      <c r="FY80" s="85" t="e">
        <f t="shared" ca="1" si="128"/>
        <v>#NAME?</v>
      </c>
      <c r="FZ80" s="40" t="e">
        <f ca="1">INT(FY80) + _xll.RiskBinomial(1,FY80-INT(FY80))</f>
        <v>#NAME?</v>
      </c>
      <c r="GA80" s="33" t="e">
        <f t="shared" ca="1" si="101"/>
        <v>#NAME?</v>
      </c>
      <c r="GB80" s="38" t="e">
        <f ca="1">_xll.RiskBinomial(1,GA80)</f>
        <v>#NAME?</v>
      </c>
      <c r="GC80" s="86" t="e">
        <f ca="1">IF(GB80=1,_xll.RiskBinomial(1,Prob_illness_Noro_infection),0)</f>
        <v>#NAME?</v>
      </c>
      <c r="GE80" s="85" t="e">
        <f t="shared" ca="1" si="129"/>
        <v>#NAME?</v>
      </c>
      <c r="GF80" s="40" t="e">
        <f ca="1">INT(GE80) + _xll.RiskBinomial(1,GE80-INT(GE80))</f>
        <v>#NAME?</v>
      </c>
      <c r="GG80" s="33" t="e">
        <f t="shared" ca="1" si="102"/>
        <v>#NAME?</v>
      </c>
      <c r="GH80" s="38" t="e">
        <f ca="1">_xll.RiskBinomial(1,GG80)</f>
        <v>#NAME?</v>
      </c>
      <c r="GI80" s="86" t="e">
        <f ca="1">IF(GH80=1,_xll.RiskBinomial(1,Prob_illness_Noro_infection),0)</f>
        <v>#NAME?</v>
      </c>
      <c r="GK80" s="85" t="e">
        <f t="shared" ca="1" si="130"/>
        <v>#NAME?</v>
      </c>
      <c r="GL80" s="40" t="e">
        <f ca="1">INT(GK80) + _xll.RiskBinomial(1,GK80-INT(GK80))</f>
        <v>#NAME?</v>
      </c>
      <c r="GM80" s="33" t="e">
        <f t="shared" ca="1" si="103"/>
        <v>#NAME?</v>
      </c>
      <c r="GN80" s="38" t="e">
        <f ca="1">_xll.RiskBinomial(1,GM80)</f>
        <v>#NAME?</v>
      </c>
      <c r="GO80" s="86" t="e">
        <f ca="1">IF(GN80=1,_xll.RiskBinomial(1,Prob_illness_Noro_infection),0)</f>
        <v>#NAME?</v>
      </c>
    </row>
    <row r="81" spans="2:197" x14ac:dyDescent="0.25">
      <c r="B81" s="106">
        <v>73</v>
      </c>
      <c r="C81" s="109" t="e">
        <f ca="1" xml:space="preserve"> _xll.RiskPert(Dur_Swim_hours_min,Dur_Swim_hours_mode,Dur_Swim_hours_max)</f>
        <v>#NAME?</v>
      </c>
      <c r="D81" s="33" t="e">
        <f ca="1">_xll.RiskLognorm(Primary_Ing_Rate_mL_per_hour_mean,Primary_Ing_Rate_mL_per_hour_sd, _xll.RiskTruncate(Primary_Ing_Rate_mL_per_hour_min,Primary_Ing_Rate_mL_per_hour_max))</f>
        <v>#NAME?</v>
      </c>
      <c r="E81" s="41" t="e">
        <f t="shared" ca="1" si="104"/>
        <v>#NAME?</v>
      </c>
      <c r="F81" s="33"/>
      <c r="G81" s="85" t="e">
        <f t="shared" ca="1" si="105"/>
        <v>#NAME?</v>
      </c>
      <c r="H81" s="40" t="e">
        <f ca="1">INT(G81) + _xll.RiskBinomial(1,G81-INT(G81))</f>
        <v>#NAME?</v>
      </c>
      <c r="I81" s="33" t="e">
        <f t="shared" ca="1" si="66"/>
        <v>#NAME?</v>
      </c>
      <c r="J81" s="38" t="e">
        <f ca="1">_xll.RiskBinomial(1,I81)</f>
        <v>#NAME?</v>
      </c>
      <c r="K81" s="86" t="e">
        <f ca="1">IF(J81=1,_xll.RiskBinomial(1,Prob_illness_Noro_infection),0)</f>
        <v>#NAME?</v>
      </c>
      <c r="L81" s="33"/>
      <c r="M81" s="85" t="e">
        <f t="shared" ca="1" si="67"/>
        <v>#NAME?</v>
      </c>
      <c r="N81" s="40" t="e">
        <f ca="1">INT(M81) + _xll.RiskBinomial(1,M81-INT(M81))</f>
        <v>#NAME?</v>
      </c>
      <c r="O81" s="33" t="e">
        <f t="shared" ca="1" si="68"/>
        <v>#NAME?</v>
      </c>
      <c r="P81" s="38" t="e">
        <f ca="1">_xll.RiskBinomial(1,O81)</f>
        <v>#NAME?</v>
      </c>
      <c r="Q81" s="86" t="e">
        <f ca="1">IF(P81=1,_xll.RiskBinomial(1,Prob_illness_Noro_infection),0)</f>
        <v>#NAME?</v>
      </c>
      <c r="R81" s="33"/>
      <c r="S81" s="85" t="e">
        <f t="shared" ca="1" si="69"/>
        <v>#NAME?</v>
      </c>
      <c r="T81" s="40" t="e">
        <f ca="1">INT(S81) + _xll.RiskBinomial(1,S81-INT(S81))</f>
        <v>#NAME?</v>
      </c>
      <c r="U81" s="33" t="e">
        <f t="shared" ca="1" si="70"/>
        <v>#NAME?</v>
      </c>
      <c r="V81" s="38" t="e">
        <f ca="1">_xll.RiskBinomial(1,U81)</f>
        <v>#NAME?</v>
      </c>
      <c r="W81" s="86" t="e">
        <f ca="1">IF(V81=1,_xll.RiskBinomial(1,Prob_illness_Noro_infection),0)</f>
        <v>#NAME?</v>
      </c>
      <c r="X81" s="33"/>
      <c r="Y81" s="85" t="e">
        <f t="shared" ca="1" si="71"/>
        <v>#NAME?</v>
      </c>
      <c r="Z81" s="40" t="e">
        <f ca="1">INT(Y81) + _xll.RiskBinomial(1,Y81-INT(Y81))</f>
        <v>#NAME?</v>
      </c>
      <c r="AA81" s="33" t="e">
        <f t="shared" ca="1" si="72"/>
        <v>#NAME?</v>
      </c>
      <c r="AB81" s="38" t="e">
        <f ca="1">_xll.RiskBinomial(1,AA81)</f>
        <v>#NAME?</v>
      </c>
      <c r="AC81" s="86" t="e">
        <f ca="1">IF(AB81=1,_xll.RiskBinomial(1,Prob_illness_Noro_infection),0)</f>
        <v>#NAME?</v>
      </c>
      <c r="AD81" s="33"/>
      <c r="AE81" s="85" t="e">
        <f t="shared" ca="1" si="73"/>
        <v>#NAME?</v>
      </c>
      <c r="AF81" s="40" t="e">
        <f ca="1">INT(AE81) + _xll.RiskBinomial(1,AE81-INT(AE81))</f>
        <v>#NAME?</v>
      </c>
      <c r="AG81" s="33" t="e">
        <f t="shared" ca="1" si="74"/>
        <v>#NAME?</v>
      </c>
      <c r="AH81" s="38" t="e">
        <f ca="1">_xll.RiskBinomial(1,AG81)</f>
        <v>#NAME?</v>
      </c>
      <c r="AI81" s="86" t="e">
        <f ca="1">IF(AH81=1,_xll.RiskBinomial(1,Prob_illness_Noro_infection),0)</f>
        <v>#NAME?</v>
      </c>
      <c r="AJ81" s="33"/>
      <c r="AK81" s="85" t="e">
        <f t="shared" ca="1" si="75"/>
        <v>#NAME?</v>
      </c>
      <c r="AL81" s="40" t="e">
        <f ca="1">INT(AK81) + _xll.RiskBinomial(1,AK81-INT(AK81))</f>
        <v>#NAME?</v>
      </c>
      <c r="AM81" s="33" t="e">
        <f t="shared" ca="1" si="76"/>
        <v>#NAME?</v>
      </c>
      <c r="AN81" s="38" t="e">
        <f ca="1">_xll.RiskBinomial(1,AM81)</f>
        <v>#NAME?</v>
      </c>
      <c r="AO81" s="86" t="e">
        <f ca="1">IF(AN81=1,_xll.RiskBinomial(1,Prob_illness_Noro_infection),0)</f>
        <v>#NAME?</v>
      </c>
      <c r="AP81" s="33"/>
      <c r="AQ81" s="85" t="e">
        <f t="shared" ca="1" si="77"/>
        <v>#NAME?</v>
      </c>
      <c r="AR81" s="40" t="e">
        <f ca="1">INT(AQ81) + _xll.RiskBinomial(1,AQ81-INT(AQ81))</f>
        <v>#NAME?</v>
      </c>
      <c r="AS81" s="33" t="e">
        <f t="shared" ca="1" si="78"/>
        <v>#NAME?</v>
      </c>
      <c r="AT81" s="38" t="e">
        <f ca="1">_xll.RiskBinomial(1,AS81)</f>
        <v>#NAME?</v>
      </c>
      <c r="AU81" s="86" t="e">
        <f ca="1">IF(AT81=1,_xll.RiskBinomial(1,Prob_illness_Noro_infection),0)</f>
        <v>#NAME?</v>
      </c>
      <c r="AV81" s="33"/>
      <c r="AW81" s="85" t="e">
        <f t="shared" ca="1" si="106"/>
        <v>#NAME?</v>
      </c>
      <c r="AX81" s="40" t="e">
        <f ca="1">INT(AW81) + _xll.RiskBinomial(1,AW81-INT(AW81))</f>
        <v>#NAME?</v>
      </c>
      <c r="AY81" s="33" t="e">
        <f t="shared" ca="1" si="79"/>
        <v>#NAME?</v>
      </c>
      <c r="AZ81" s="38" t="e">
        <f ca="1">_xll.RiskBinomial(1,AY81)</f>
        <v>#NAME?</v>
      </c>
      <c r="BA81" s="86" t="e">
        <f ca="1">IF(AZ81=1,_xll.RiskBinomial(1,Prob_illness_Noro_infection),0)</f>
        <v>#NAME?</v>
      </c>
      <c r="BC81" s="85" t="e">
        <f t="shared" ca="1" si="107"/>
        <v>#NAME?</v>
      </c>
      <c r="BD81" s="40" t="e">
        <f ca="1">INT(BC81) + _xll.RiskBinomial(1,BC81-INT(BC81))</f>
        <v>#NAME?</v>
      </c>
      <c r="BE81" s="33" t="e">
        <f t="shared" ca="1" si="80"/>
        <v>#NAME?</v>
      </c>
      <c r="BF81" s="38" t="e">
        <f ca="1">_xll.RiskBinomial(1,BE81)</f>
        <v>#NAME?</v>
      </c>
      <c r="BG81" s="86" t="e">
        <f ca="1">IF(BF81=1,_xll.RiskBinomial(1,Prob_illness_Noro_infection),0)</f>
        <v>#NAME?</v>
      </c>
      <c r="BI81" s="85" t="e">
        <f t="shared" ca="1" si="108"/>
        <v>#NAME?</v>
      </c>
      <c r="BJ81" s="40" t="e">
        <f ca="1">INT(BI81) + _xll.RiskBinomial(1,BI81-INT(BI81))</f>
        <v>#NAME?</v>
      </c>
      <c r="BK81" s="33" t="e">
        <f t="shared" ca="1" si="81"/>
        <v>#NAME?</v>
      </c>
      <c r="BL81" s="38" t="e">
        <f ca="1">_xll.RiskBinomial(1,BK81)</f>
        <v>#NAME?</v>
      </c>
      <c r="BM81" s="86" t="e">
        <f ca="1">IF(BL81=1,_xll.RiskBinomial(1,Prob_illness_Noro_infection),0)</f>
        <v>#NAME?</v>
      </c>
      <c r="BO81" s="85" t="e">
        <f t="shared" ca="1" si="109"/>
        <v>#NAME?</v>
      </c>
      <c r="BP81" s="40" t="e">
        <f ca="1">INT(BO81) + _xll.RiskBinomial(1,BO81-INT(BO81))</f>
        <v>#NAME?</v>
      </c>
      <c r="BQ81" s="33" t="e">
        <f t="shared" ca="1" si="82"/>
        <v>#NAME?</v>
      </c>
      <c r="BR81" s="38" t="e">
        <f ca="1">_xll.RiskBinomial(1,BQ81)</f>
        <v>#NAME?</v>
      </c>
      <c r="BS81" s="86" t="e">
        <f ca="1">IF(BR81=1,_xll.RiskBinomial(1,Prob_illness_Noro_infection),0)</f>
        <v>#NAME?</v>
      </c>
      <c r="BU81" s="85" t="e">
        <f t="shared" ca="1" si="110"/>
        <v>#NAME?</v>
      </c>
      <c r="BV81" s="40" t="e">
        <f ca="1">INT(BU81) + _xll.RiskBinomial(1,BU81-INT(BU81))</f>
        <v>#NAME?</v>
      </c>
      <c r="BW81" s="33" t="e">
        <f t="shared" ca="1" si="83"/>
        <v>#NAME?</v>
      </c>
      <c r="BX81" s="38" t="e">
        <f ca="1">_xll.RiskBinomial(1,BW81)</f>
        <v>#NAME?</v>
      </c>
      <c r="BY81" s="86" t="e">
        <f ca="1">IF(BX81=1,_xll.RiskBinomial(1,Prob_illness_Noro_infection),0)</f>
        <v>#NAME?</v>
      </c>
      <c r="CA81" s="85" t="e">
        <f t="shared" ca="1" si="111"/>
        <v>#NAME?</v>
      </c>
      <c r="CB81" s="40" t="e">
        <f ca="1">INT(CA81) + _xll.RiskBinomial(1,CA81-INT(CA81))</f>
        <v>#NAME?</v>
      </c>
      <c r="CC81" s="33" t="e">
        <f t="shared" ca="1" si="84"/>
        <v>#NAME?</v>
      </c>
      <c r="CD81" s="38" t="e">
        <f ca="1">_xll.RiskBinomial(1,CC81)</f>
        <v>#NAME?</v>
      </c>
      <c r="CE81" s="86" t="e">
        <f ca="1">IF(CD81=1,_xll.RiskBinomial(1,Prob_illness_Noro_infection),0)</f>
        <v>#NAME?</v>
      </c>
      <c r="CG81" s="85" t="e">
        <f t="shared" ca="1" si="112"/>
        <v>#NAME?</v>
      </c>
      <c r="CH81" s="40" t="e">
        <f ca="1">INT(CG81) + _xll.RiskBinomial(1,CG81-INT(CG81))</f>
        <v>#NAME?</v>
      </c>
      <c r="CI81" s="33" t="e">
        <f t="shared" ca="1" si="85"/>
        <v>#NAME?</v>
      </c>
      <c r="CJ81" s="38" t="e">
        <f ca="1">_xll.RiskBinomial(1,CI81)</f>
        <v>#NAME?</v>
      </c>
      <c r="CK81" s="86" t="e">
        <f ca="1">IF(CJ81=1,_xll.RiskBinomial(1,Prob_illness_Noro_infection),0)</f>
        <v>#NAME?</v>
      </c>
      <c r="CM81" s="85" t="e">
        <f t="shared" ca="1" si="113"/>
        <v>#NAME?</v>
      </c>
      <c r="CN81" s="40" t="e">
        <f ca="1">INT(CM81) + _xll.RiskBinomial(1,CM81-INT(CM81))</f>
        <v>#NAME?</v>
      </c>
      <c r="CO81" s="33" t="e">
        <f t="shared" ca="1" si="86"/>
        <v>#NAME?</v>
      </c>
      <c r="CP81" s="38" t="e">
        <f ca="1">_xll.RiskBinomial(1,CO81)</f>
        <v>#NAME?</v>
      </c>
      <c r="CQ81" s="86" t="e">
        <f ca="1">IF(CP81=1,_xll.RiskBinomial(1,Prob_illness_Noro_infection),0)</f>
        <v>#NAME?</v>
      </c>
      <c r="CS81" s="85" t="e">
        <f t="shared" ca="1" si="114"/>
        <v>#NAME?</v>
      </c>
      <c r="CT81" s="40" t="e">
        <f ca="1">INT(CS81) + _xll.RiskBinomial(1,CS81-INT(CS81))</f>
        <v>#NAME?</v>
      </c>
      <c r="CU81" s="33" t="e">
        <f t="shared" ca="1" si="87"/>
        <v>#NAME?</v>
      </c>
      <c r="CV81" s="38" t="e">
        <f ca="1">_xll.RiskBinomial(1,CU81)</f>
        <v>#NAME?</v>
      </c>
      <c r="CW81" s="86" t="e">
        <f ca="1">IF(CV81=1,_xll.RiskBinomial(1,Prob_illness_Noro_infection),0)</f>
        <v>#NAME?</v>
      </c>
      <c r="CY81" s="85" t="e">
        <f t="shared" ca="1" si="115"/>
        <v>#NAME?</v>
      </c>
      <c r="CZ81" s="40" t="e">
        <f ca="1">INT(CY81) + _xll.RiskBinomial(1,CY81-INT(CY81))</f>
        <v>#NAME?</v>
      </c>
      <c r="DA81" s="33" t="e">
        <f t="shared" ca="1" si="88"/>
        <v>#NAME?</v>
      </c>
      <c r="DB81" s="38" t="e">
        <f ca="1">_xll.RiskBinomial(1,DA81)</f>
        <v>#NAME?</v>
      </c>
      <c r="DC81" s="86" t="e">
        <f ca="1">IF(DB81=1,_xll.RiskBinomial(1,Prob_illness_Noro_infection),0)</f>
        <v>#NAME?</v>
      </c>
      <c r="DE81" s="85" t="e">
        <f t="shared" ca="1" si="116"/>
        <v>#NAME?</v>
      </c>
      <c r="DF81" s="40" t="e">
        <f ca="1">INT(DE81) + _xll.RiskBinomial(1,DE81-INT(DE81))</f>
        <v>#NAME?</v>
      </c>
      <c r="DG81" s="33" t="e">
        <f t="shared" ca="1" si="89"/>
        <v>#NAME?</v>
      </c>
      <c r="DH81" s="38" t="e">
        <f ca="1">_xll.RiskBinomial(1,DG81)</f>
        <v>#NAME?</v>
      </c>
      <c r="DI81" s="86" t="e">
        <f ca="1">IF(DH81=1,_xll.RiskBinomial(1,Prob_illness_Noro_infection),0)</f>
        <v>#NAME?</v>
      </c>
      <c r="DK81" s="85" t="e">
        <f t="shared" ca="1" si="117"/>
        <v>#NAME?</v>
      </c>
      <c r="DL81" s="40" t="e">
        <f ca="1">INT(DK81) + _xll.RiskBinomial(1,DK81-INT(DK81))</f>
        <v>#NAME?</v>
      </c>
      <c r="DM81" s="33" t="e">
        <f t="shared" ca="1" si="90"/>
        <v>#NAME?</v>
      </c>
      <c r="DN81" s="38" t="e">
        <f ca="1">_xll.RiskBinomial(1,DM81)</f>
        <v>#NAME?</v>
      </c>
      <c r="DO81" s="86" t="e">
        <f ca="1">IF(DN81=1,_xll.RiskBinomial(1,Prob_illness_Noro_infection),0)</f>
        <v>#NAME?</v>
      </c>
      <c r="DQ81" s="85" t="e">
        <f t="shared" ca="1" si="118"/>
        <v>#NAME?</v>
      </c>
      <c r="DR81" s="40" t="e">
        <f ca="1">INT(DQ81) + _xll.RiskBinomial(1,DQ81-INT(DQ81))</f>
        <v>#NAME?</v>
      </c>
      <c r="DS81" s="33" t="e">
        <f t="shared" ca="1" si="91"/>
        <v>#NAME?</v>
      </c>
      <c r="DT81" s="38" t="e">
        <f ca="1">_xll.RiskBinomial(1,DS81)</f>
        <v>#NAME?</v>
      </c>
      <c r="DU81" s="86" t="e">
        <f ca="1">IF(DT81=1,_xll.RiskBinomial(1,Prob_illness_Noro_infection),0)</f>
        <v>#NAME?</v>
      </c>
      <c r="DW81" s="85" t="e">
        <f t="shared" ca="1" si="119"/>
        <v>#NAME?</v>
      </c>
      <c r="DX81" s="40" t="e">
        <f ca="1">INT(DW81) + _xll.RiskBinomial(1,DW81-INT(DW81))</f>
        <v>#NAME?</v>
      </c>
      <c r="DY81" s="33" t="e">
        <f t="shared" ca="1" si="92"/>
        <v>#NAME?</v>
      </c>
      <c r="DZ81" s="38" t="e">
        <f ca="1">_xll.RiskBinomial(1,DY81)</f>
        <v>#NAME?</v>
      </c>
      <c r="EA81" s="86" t="e">
        <f ca="1">IF(DZ81=1,_xll.RiskBinomial(1,Prob_illness_Noro_infection),0)</f>
        <v>#NAME?</v>
      </c>
      <c r="EC81" s="85" t="e">
        <f t="shared" ca="1" si="120"/>
        <v>#NAME?</v>
      </c>
      <c r="ED81" s="40" t="e">
        <f ca="1">INT(EC81) + _xll.RiskBinomial(1,EC81-INT(EC81))</f>
        <v>#NAME?</v>
      </c>
      <c r="EE81" s="33" t="e">
        <f t="shared" ca="1" si="93"/>
        <v>#NAME?</v>
      </c>
      <c r="EF81" s="38" t="e">
        <f ca="1">_xll.RiskBinomial(1,EE81)</f>
        <v>#NAME?</v>
      </c>
      <c r="EG81" s="86" t="e">
        <f ca="1">IF(EF81=1,_xll.RiskBinomial(1,Prob_illness_Noro_infection),0)</f>
        <v>#NAME?</v>
      </c>
      <c r="EI81" s="85" t="e">
        <f t="shared" ca="1" si="121"/>
        <v>#NAME?</v>
      </c>
      <c r="EJ81" s="40" t="e">
        <f ca="1">INT(EI81) + _xll.RiskBinomial(1,EI81-INT(EI81))</f>
        <v>#NAME?</v>
      </c>
      <c r="EK81" s="33" t="e">
        <f t="shared" ca="1" si="94"/>
        <v>#NAME?</v>
      </c>
      <c r="EL81" s="38" t="e">
        <f ca="1">_xll.RiskBinomial(1,EK81)</f>
        <v>#NAME?</v>
      </c>
      <c r="EM81" s="86" t="e">
        <f ca="1">IF(EL81=1,_xll.RiskBinomial(1,Prob_illness_Noro_infection),0)</f>
        <v>#NAME?</v>
      </c>
      <c r="EO81" s="85" t="e">
        <f t="shared" ca="1" si="122"/>
        <v>#NAME?</v>
      </c>
      <c r="EP81" s="40" t="e">
        <f ca="1">INT(EO81) + _xll.RiskBinomial(1,EO81-INT(EO81))</f>
        <v>#NAME?</v>
      </c>
      <c r="EQ81" s="33" t="e">
        <f t="shared" ca="1" si="95"/>
        <v>#NAME?</v>
      </c>
      <c r="ER81" s="38" t="e">
        <f ca="1">_xll.RiskBinomial(1,EQ81)</f>
        <v>#NAME?</v>
      </c>
      <c r="ES81" s="86" t="e">
        <f ca="1">IF(ER81=1,_xll.RiskBinomial(1,Prob_illness_Noro_infection),0)</f>
        <v>#NAME?</v>
      </c>
      <c r="EU81" s="85" t="e">
        <f t="shared" ca="1" si="123"/>
        <v>#NAME?</v>
      </c>
      <c r="EV81" s="40" t="e">
        <f ca="1">INT(EU81) + _xll.RiskBinomial(1,EU81-INT(EU81))</f>
        <v>#NAME?</v>
      </c>
      <c r="EW81" s="33" t="e">
        <f t="shared" ca="1" si="96"/>
        <v>#NAME?</v>
      </c>
      <c r="EX81" s="38" t="e">
        <f ca="1">_xll.RiskBinomial(1,EW81)</f>
        <v>#NAME?</v>
      </c>
      <c r="EY81" s="86" t="e">
        <f ca="1">IF(EX81=1,_xll.RiskBinomial(1,Prob_illness_Noro_infection),0)</f>
        <v>#NAME?</v>
      </c>
      <c r="FA81" s="85" t="e">
        <f t="shared" ca="1" si="124"/>
        <v>#NAME?</v>
      </c>
      <c r="FB81" s="40" t="e">
        <f ca="1">INT(FA81) + _xll.RiskBinomial(1,FA81-INT(FA81))</f>
        <v>#NAME?</v>
      </c>
      <c r="FC81" s="33" t="e">
        <f t="shared" ca="1" si="97"/>
        <v>#NAME?</v>
      </c>
      <c r="FD81" s="38" t="e">
        <f ca="1">_xll.RiskBinomial(1,FC81)</f>
        <v>#NAME?</v>
      </c>
      <c r="FE81" s="86" t="e">
        <f ca="1">IF(FD81=1,_xll.RiskBinomial(1,Prob_illness_Noro_infection),0)</f>
        <v>#NAME?</v>
      </c>
      <c r="FG81" s="85" t="e">
        <f t="shared" ca="1" si="125"/>
        <v>#NAME?</v>
      </c>
      <c r="FH81" s="40" t="e">
        <f ca="1">INT(FG81) + _xll.RiskBinomial(1,FG81-INT(FG81))</f>
        <v>#NAME?</v>
      </c>
      <c r="FI81" s="33" t="e">
        <f t="shared" ca="1" si="98"/>
        <v>#NAME?</v>
      </c>
      <c r="FJ81" s="38" t="e">
        <f ca="1">_xll.RiskBinomial(1,FI81)</f>
        <v>#NAME?</v>
      </c>
      <c r="FK81" s="86" t="e">
        <f ca="1">IF(FJ81=1,_xll.RiskBinomial(1,Prob_illness_Noro_infection),0)</f>
        <v>#NAME?</v>
      </c>
      <c r="FM81" s="85" t="e">
        <f t="shared" ca="1" si="126"/>
        <v>#NAME?</v>
      </c>
      <c r="FN81" s="40" t="e">
        <f ca="1">INT(FM81) + _xll.RiskBinomial(1,FM81-INT(FM81))</f>
        <v>#NAME?</v>
      </c>
      <c r="FO81" s="33" t="e">
        <f t="shared" ca="1" si="99"/>
        <v>#NAME?</v>
      </c>
      <c r="FP81" s="38" t="e">
        <f ca="1">_xll.RiskBinomial(1,FO81)</f>
        <v>#NAME?</v>
      </c>
      <c r="FQ81" s="86" t="e">
        <f ca="1">IF(FP81=1,_xll.RiskBinomial(1,Prob_illness_Noro_infection),0)</f>
        <v>#NAME?</v>
      </c>
      <c r="FS81" s="85" t="e">
        <f t="shared" ca="1" si="127"/>
        <v>#NAME?</v>
      </c>
      <c r="FT81" s="40" t="e">
        <f ca="1">INT(FS81) + _xll.RiskBinomial(1,FS81-INT(FS81))</f>
        <v>#NAME?</v>
      </c>
      <c r="FU81" s="33" t="e">
        <f t="shared" ca="1" si="100"/>
        <v>#NAME?</v>
      </c>
      <c r="FV81" s="38" t="e">
        <f ca="1">_xll.RiskBinomial(1,FU81)</f>
        <v>#NAME?</v>
      </c>
      <c r="FW81" s="86" t="e">
        <f ca="1">IF(FV81=1,_xll.RiskBinomial(1,Prob_illness_Noro_infection),0)</f>
        <v>#NAME?</v>
      </c>
      <c r="FY81" s="85" t="e">
        <f t="shared" ca="1" si="128"/>
        <v>#NAME?</v>
      </c>
      <c r="FZ81" s="40" t="e">
        <f ca="1">INT(FY81) + _xll.RiskBinomial(1,FY81-INT(FY81))</f>
        <v>#NAME?</v>
      </c>
      <c r="GA81" s="33" t="e">
        <f t="shared" ca="1" si="101"/>
        <v>#NAME?</v>
      </c>
      <c r="GB81" s="38" t="e">
        <f ca="1">_xll.RiskBinomial(1,GA81)</f>
        <v>#NAME?</v>
      </c>
      <c r="GC81" s="86" t="e">
        <f ca="1">IF(GB81=1,_xll.RiskBinomial(1,Prob_illness_Noro_infection),0)</f>
        <v>#NAME?</v>
      </c>
      <c r="GE81" s="85" t="e">
        <f t="shared" ca="1" si="129"/>
        <v>#NAME?</v>
      </c>
      <c r="GF81" s="40" t="e">
        <f ca="1">INT(GE81) + _xll.RiskBinomial(1,GE81-INT(GE81))</f>
        <v>#NAME?</v>
      </c>
      <c r="GG81" s="33" t="e">
        <f t="shared" ca="1" si="102"/>
        <v>#NAME?</v>
      </c>
      <c r="GH81" s="38" t="e">
        <f ca="1">_xll.RiskBinomial(1,GG81)</f>
        <v>#NAME?</v>
      </c>
      <c r="GI81" s="86" t="e">
        <f ca="1">IF(GH81=1,_xll.RiskBinomial(1,Prob_illness_Noro_infection),0)</f>
        <v>#NAME?</v>
      </c>
      <c r="GK81" s="85" t="e">
        <f t="shared" ca="1" si="130"/>
        <v>#NAME?</v>
      </c>
      <c r="GL81" s="40" t="e">
        <f ca="1">INT(GK81) + _xll.RiskBinomial(1,GK81-INT(GK81))</f>
        <v>#NAME?</v>
      </c>
      <c r="GM81" s="33" t="e">
        <f t="shared" ca="1" si="103"/>
        <v>#NAME?</v>
      </c>
      <c r="GN81" s="38" t="e">
        <f ca="1">_xll.RiskBinomial(1,GM81)</f>
        <v>#NAME?</v>
      </c>
      <c r="GO81" s="86" t="e">
        <f ca="1">IF(GN81=1,_xll.RiskBinomial(1,Prob_illness_Noro_infection),0)</f>
        <v>#NAME?</v>
      </c>
    </row>
    <row r="82" spans="2:197" x14ac:dyDescent="0.25">
      <c r="B82" s="106">
        <v>74</v>
      </c>
      <c r="C82" s="109" t="e">
        <f ca="1" xml:space="preserve"> _xll.RiskPert(Dur_Swim_hours_min,Dur_Swim_hours_mode,Dur_Swim_hours_max)</f>
        <v>#NAME?</v>
      </c>
      <c r="D82" s="33" t="e">
        <f ca="1">_xll.RiskLognorm(Primary_Ing_Rate_mL_per_hour_mean,Primary_Ing_Rate_mL_per_hour_sd, _xll.RiskTruncate(Primary_Ing_Rate_mL_per_hour_min,Primary_Ing_Rate_mL_per_hour_max))</f>
        <v>#NAME?</v>
      </c>
      <c r="E82" s="41" t="e">
        <f t="shared" ca="1" si="104"/>
        <v>#NAME?</v>
      </c>
      <c r="F82" s="33"/>
      <c r="G82" s="85" t="e">
        <f t="shared" ca="1" si="105"/>
        <v>#NAME?</v>
      </c>
      <c r="H82" s="40" t="e">
        <f ca="1">INT(G82) + _xll.RiskBinomial(1,G82-INT(G82))</f>
        <v>#NAME?</v>
      </c>
      <c r="I82" s="33" t="e">
        <f t="shared" ca="1" si="66"/>
        <v>#NAME?</v>
      </c>
      <c r="J82" s="38" t="e">
        <f ca="1">_xll.RiskBinomial(1,I82)</f>
        <v>#NAME?</v>
      </c>
      <c r="K82" s="86" t="e">
        <f ca="1">IF(J82=1,_xll.RiskBinomial(1,Prob_illness_Noro_infection),0)</f>
        <v>#NAME?</v>
      </c>
      <c r="L82" s="33"/>
      <c r="M82" s="85" t="e">
        <f t="shared" ca="1" si="67"/>
        <v>#NAME?</v>
      </c>
      <c r="N82" s="40" t="e">
        <f ca="1">INT(M82) + _xll.RiskBinomial(1,M82-INT(M82))</f>
        <v>#NAME?</v>
      </c>
      <c r="O82" s="33" t="e">
        <f t="shared" ca="1" si="68"/>
        <v>#NAME?</v>
      </c>
      <c r="P82" s="38" t="e">
        <f ca="1">_xll.RiskBinomial(1,O82)</f>
        <v>#NAME?</v>
      </c>
      <c r="Q82" s="86" t="e">
        <f ca="1">IF(P82=1,_xll.RiskBinomial(1,Prob_illness_Noro_infection),0)</f>
        <v>#NAME?</v>
      </c>
      <c r="R82" s="33"/>
      <c r="S82" s="85" t="e">
        <f t="shared" ca="1" si="69"/>
        <v>#NAME?</v>
      </c>
      <c r="T82" s="40" t="e">
        <f ca="1">INT(S82) + _xll.RiskBinomial(1,S82-INT(S82))</f>
        <v>#NAME?</v>
      </c>
      <c r="U82" s="33" t="e">
        <f t="shared" ca="1" si="70"/>
        <v>#NAME?</v>
      </c>
      <c r="V82" s="38" t="e">
        <f ca="1">_xll.RiskBinomial(1,U82)</f>
        <v>#NAME?</v>
      </c>
      <c r="W82" s="86" t="e">
        <f ca="1">IF(V82=1,_xll.RiskBinomial(1,Prob_illness_Noro_infection),0)</f>
        <v>#NAME?</v>
      </c>
      <c r="X82" s="33"/>
      <c r="Y82" s="85" t="e">
        <f t="shared" ca="1" si="71"/>
        <v>#NAME?</v>
      </c>
      <c r="Z82" s="40" t="e">
        <f ca="1">INT(Y82) + _xll.RiskBinomial(1,Y82-INT(Y82))</f>
        <v>#NAME?</v>
      </c>
      <c r="AA82" s="33" t="e">
        <f t="shared" ca="1" si="72"/>
        <v>#NAME?</v>
      </c>
      <c r="AB82" s="38" t="e">
        <f ca="1">_xll.RiskBinomial(1,AA82)</f>
        <v>#NAME?</v>
      </c>
      <c r="AC82" s="86" t="e">
        <f ca="1">IF(AB82=1,_xll.RiskBinomial(1,Prob_illness_Noro_infection),0)</f>
        <v>#NAME?</v>
      </c>
      <c r="AD82" s="33"/>
      <c r="AE82" s="85" t="e">
        <f t="shared" ca="1" si="73"/>
        <v>#NAME?</v>
      </c>
      <c r="AF82" s="40" t="e">
        <f ca="1">INT(AE82) + _xll.RiskBinomial(1,AE82-INT(AE82))</f>
        <v>#NAME?</v>
      </c>
      <c r="AG82" s="33" t="e">
        <f t="shared" ca="1" si="74"/>
        <v>#NAME?</v>
      </c>
      <c r="AH82" s="38" t="e">
        <f ca="1">_xll.RiskBinomial(1,AG82)</f>
        <v>#NAME?</v>
      </c>
      <c r="AI82" s="86" t="e">
        <f ca="1">IF(AH82=1,_xll.RiskBinomial(1,Prob_illness_Noro_infection),0)</f>
        <v>#NAME?</v>
      </c>
      <c r="AJ82" s="33"/>
      <c r="AK82" s="85" t="e">
        <f t="shared" ca="1" si="75"/>
        <v>#NAME?</v>
      </c>
      <c r="AL82" s="40" t="e">
        <f ca="1">INT(AK82) + _xll.RiskBinomial(1,AK82-INT(AK82))</f>
        <v>#NAME?</v>
      </c>
      <c r="AM82" s="33" t="e">
        <f t="shared" ca="1" si="76"/>
        <v>#NAME?</v>
      </c>
      <c r="AN82" s="38" t="e">
        <f ca="1">_xll.RiskBinomial(1,AM82)</f>
        <v>#NAME?</v>
      </c>
      <c r="AO82" s="86" t="e">
        <f ca="1">IF(AN82=1,_xll.RiskBinomial(1,Prob_illness_Noro_infection),0)</f>
        <v>#NAME?</v>
      </c>
      <c r="AP82" s="33"/>
      <c r="AQ82" s="85" t="e">
        <f t="shared" ca="1" si="77"/>
        <v>#NAME?</v>
      </c>
      <c r="AR82" s="40" t="e">
        <f ca="1">INT(AQ82) + _xll.RiskBinomial(1,AQ82-INT(AQ82))</f>
        <v>#NAME?</v>
      </c>
      <c r="AS82" s="33" t="e">
        <f t="shared" ca="1" si="78"/>
        <v>#NAME?</v>
      </c>
      <c r="AT82" s="38" t="e">
        <f ca="1">_xll.RiskBinomial(1,AS82)</f>
        <v>#NAME?</v>
      </c>
      <c r="AU82" s="86" t="e">
        <f ca="1">IF(AT82=1,_xll.RiskBinomial(1,Prob_illness_Noro_infection),0)</f>
        <v>#NAME?</v>
      </c>
      <c r="AV82" s="33"/>
      <c r="AW82" s="85" t="e">
        <f t="shared" ca="1" si="106"/>
        <v>#NAME?</v>
      </c>
      <c r="AX82" s="40" t="e">
        <f ca="1">INT(AW82) + _xll.RiskBinomial(1,AW82-INT(AW82))</f>
        <v>#NAME?</v>
      </c>
      <c r="AY82" s="33" t="e">
        <f t="shared" ca="1" si="79"/>
        <v>#NAME?</v>
      </c>
      <c r="AZ82" s="38" t="e">
        <f ca="1">_xll.RiskBinomial(1,AY82)</f>
        <v>#NAME?</v>
      </c>
      <c r="BA82" s="86" t="e">
        <f ca="1">IF(AZ82=1,_xll.RiskBinomial(1,Prob_illness_Noro_infection),0)</f>
        <v>#NAME?</v>
      </c>
      <c r="BC82" s="85" t="e">
        <f t="shared" ca="1" si="107"/>
        <v>#NAME?</v>
      </c>
      <c r="BD82" s="40" t="e">
        <f ca="1">INT(BC82) + _xll.RiskBinomial(1,BC82-INT(BC82))</f>
        <v>#NAME?</v>
      </c>
      <c r="BE82" s="33" t="e">
        <f t="shared" ca="1" si="80"/>
        <v>#NAME?</v>
      </c>
      <c r="BF82" s="38" t="e">
        <f ca="1">_xll.RiskBinomial(1,BE82)</f>
        <v>#NAME?</v>
      </c>
      <c r="BG82" s="86" t="e">
        <f ca="1">IF(BF82=1,_xll.RiskBinomial(1,Prob_illness_Noro_infection),0)</f>
        <v>#NAME?</v>
      </c>
      <c r="BI82" s="85" t="e">
        <f t="shared" ca="1" si="108"/>
        <v>#NAME?</v>
      </c>
      <c r="BJ82" s="40" t="e">
        <f ca="1">INT(BI82) + _xll.RiskBinomial(1,BI82-INT(BI82))</f>
        <v>#NAME?</v>
      </c>
      <c r="BK82" s="33" t="e">
        <f t="shared" ca="1" si="81"/>
        <v>#NAME?</v>
      </c>
      <c r="BL82" s="38" t="e">
        <f ca="1">_xll.RiskBinomial(1,BK82)</f>
        <v>#NAME?</v>
      </c>
      <c r="BM82" s="86" t="e">
        <f ca="1">IF(BL82=1,_xll.RiskBinomial(1,Prob_illness_Noro_infection),0)</f>
        <v>#NAME?</v>
      </c>
      <c r="BO82" s="85" t="e">
        <f t="shared" ca="1" si="109"/>
        <v>#NAME?</v>
      </c>
      <c r="BP82" s="40" t="e">
        <f ca="1">INT(BO82) + _xll.RiskBinomial(1,BO82-INT(BO82))</f>
        <v>#NAME?</v>
      </c>
      <c r="BQ82" s="33" t="e">
        <f t="shared" ca="1" si="82"/>
        <v>#NAME?</v>
      </c>
      <c r="BR82" s="38" t="e">
        <f ca="1">_xll.RiskBinomial(1,BQ82)</f>
        <v>#NAME?</v>
      </c>
      <c r="BS82" s="86" t="e">
        <f ca="1">IF(BR82=1,_xll.RiskBinomial(1,Prob_illness_Noro_infection),0)</f>
        <v>#NAME?</v>
      </c>
      <c r="BU82" s="85" t="e">
        <f t="shared" ca="1" si="110"/>
        <v>#NAME?</v>
      </c>
      <c r="BV82" s="40" t="e">
        <f ca="1">INT(BU82) + _xll.RiskBinomial(1,BU82-INT(BU82))</f>
        <v>#NAME?</v>
      </c>
      <c r="BW82" s="33" t="e">
        <f t="shared" ca="1" si="83"/>
        <v>#NAME?</v>
      </c>
      <c r="BX82" s="38" t="e">
        <f ca="1">_xll.RiskBinomial(1,BW82)</f>
        <v>#NAME?</v>
      </c>
      <c r="BY82" s="86" t="e">
        <f ca="1">IF(BX82=1,_xll.RiskBinomial(1,Prob_illness_Noro_infection),0)</f>
        <v>#NAME?</v>
      </c>
      <c r="CA82" s="85" t="e">
        <f t="shared" ca="1" si="111"/>
        <v>#NAME?</v>
      </c>
      <c r="CB82" s="40" t="e">
        <f ca="1">INT(CA82) + _xll.RiskBinomial(1,CA82-INT(CA82))</f>
        <v>#NAME?</v>
      </c>
      <c r="CC82" s="33" t="e">
        <f t="shared" ca="1" si="84"/>
        <v>#NAME?</v>
      </c>
      <c r="CD82" s="38" t="e">
        <f ca="1">_xll.RiskBinomial(1,CC82)</f>
        <v>#NAME?</v>
      </c>
      <c r="CE82" s="86" t="e">
        <f ca="1">IF(CD82=1,_xll.RiskBinomial(1,Prob_illness_Noro_infection),0)</f>
        <v>#NAME?</v>
      </c>
      <c r="CG82" s="85" t="e">
        <f t="shared" ca="1" si="112"/>
        <v>#NAME?</v>
      </c>
      <c r="CH82" s="40" t="e">
        <f ca="1">INT(CG82) + _xll.RiskBinomial(1,CG82-INT(CG82))</f>
        <v>#NAME?</v>
      </c>
      <c r="CI82" s="33" t="e">
        <f t="shared" ca="1" si="85"/>
        <v>#NAME?</v>
      </c>
      <c r="CJ82" s="38" t="e">
        <f ca="1">_xll.RiskBinomial(1,CI82)</f>
        <v>#NAME?</v>
      </c>
      <c r="CK82" s="86" t="e">
        <f ca="1">IF(CJ82=1,_xll.RiskBinomial(1,Prob_illness_Noro_infection),0)</f>
        <v>#NAME?</v>
      </c>
      <c r="CM82" s="85" t="e">
        <f t="shared" ca="1" si="113"/>
        <v>#NAME?</v>
      </c>
      <c r="CN82" s="40" t="e">
        <f ca="1">INT(CM82) + _xll.RiskBinomial(1,CM82-INT(CM82))</f>
        <v>#NAME?</v>
      </c>
      <c r="CO82" s="33" t="e">
        <f t="shared" ca="1" si="86"/>
        <v>#NAME?</v>
      </c>
      <c r="CP82" s="38" t="e">
        <f ca="1">_xll.RiskBinomial(1,CO82)</f>
        <v>#NAME?</v>
      </c>
      <c r="CQ82" s="86" t="e">
        <f ca="1">IF(CP82=1,_xll.RiskBinomial(1,Prob_illness_Noro_infection),0)</f>
        <v>#NAME?</v>
      </c>
      <c r="CS82" s="85" t="e">
        <f t="shared" ca="1" si="114"/>
        <v>#NAME?</v>
      </c>
      <c r="CT82" s="40" t="e">
        <f ca="1">INT(CS82) + _xll.RiskBinomial(1,CS82-INT(CS82))</f>
        <v>#NAME?</v>
      </c>
      <c r="CU82" s="33" t="e">
        <f t="shared" ca="1" si="87"/>
        <v>#NAME?</v>
      </c>
      <c r="CV82" s="38" t="e">
        <f ca="1">_xll.RiskBinomial(1,CU82)</f>
        <v>#NAME?</v>
      </c>
      <c r="CW82" s="86" t="e">
        <f ca="1">IF(CV82=1,_xll.RiskBinomial(1,Prob_illness_Noro_infection),0)</f>
        <v>#NAME?</v>
      </c>
      <c r="CY82" s="85" t="e">
        <f t="shared" ca="1" si="115"/>
        <v>#NAME?</v>
      </c>
      <c r="CZ82" s="40" t="e">
        <f ca="1">INT(CY82) + _xll.RiskBinomial(1,CY82-INT(CY82))</f>
        <v>#NAME?</v>
      </c>
      <c r="DA82" s="33" t="e">
        <f t="shared" ca="1" si="88"/>
        <v>#NAME?</v>
      </c>
      <c r="DB82" s="38" t="e">
        <f ca="1">_xll.RiskBinomial(1,DA82)</f>
        <v>#NAME?</v>
      </c>
      <c r="DC82" s="86" t="e">
        <f ca="1">IF(DB82=1,_xll.RiskBinomial(1,Prob_illness_Noro_infection),0)</f>
        <v>#NAME?</v>
      </c>
      <c r="DE82" s="85" t="e">
        <f t="shared" ca="1" si="116"/>
        <v>#NAME?</v>
      </c>
      <c r="DF82" s="40" t="e">
        <f ca="1">INT(DE82) + _xll.RiskBinomial(1,DE82-INT(DE82))</f>
        <v>#NAME?</v>
      </c>
      <c r="DG82" s="33" t="e">
        <f t="shared" ca="1" si="89"/>
        <v>#NAME?</v>
      </c>
      <c r="DH82" s="38" t="e">
        <f ca="1">_xll.RiskBinomial(1,DG82)</f>
        <v>#NAME?</v>
      </c>
      <c r="DI82" s="86" t="e">
        <f ca="1">IF(DH82=1,_xll.RiskBinomial(1,Prob_illness_Noro_infection),0)</f>
        <v>#NAME?</v>
      </c>
      <c r="DK82" s="85" t="e">
        <f t="shared" ca="1" si="117"/>
        <v>#NAME?</v>
      </c>
      <c r="DL82" s="40" t="e">
        <f ca="1">INT(DK82) + _xll.RiskBinomial(1,DK82-INT(DK82))</f>
        <v>#NAME?</v>
      </c>
      <c r="DM82" s="33" t="e">
        <f t="shared" ca="1" si="90"/>
        <v>#NAME?</v>
      </c>
      <c r="DN82" s="38" t="e">
        <f ca="1">_xll.RiskBinomial(1,DM82)</f>
        <v>#NAME?</v>
      </c>
      <c r="DO82" s="86" t="e">
        <f ca="1">IF(DN82=1,_xll.RiskBinomial(1,Prob_illness_Noro_infection),0)</f>
        <v>#NAME?</v>
      </c>
      <c r="DQ82" s="85" t="e">
        <f t="shared" ca="1" si="118"/>
        <v>#NAME?</v>
      </c>
      <c r="DR82" s="40" t="e">
        <f ca="1">INT(DQ82) + _xll.RiskBinomial(1,DQ82-INT(DQ82))</f>
        <v>#NAME?</v>
      </c>
      <c r="DS82" s="33" t="e">
        <f t="shared" ca="1" si="91"/>
        <v>#NAME?</v>
      </c>
      <c r="DT82" s="38" t="e">
        <f ca="1">_xll.RiskBinomial(1,DS82)</f>
        <v>#NAME?</v>
      </c>
      <c r="DU82" s="86" t="e">
        <f ca="1">IF(DT82=1,_xll.RiskBinomial(1,Prob_illness_Noro_infection),0)</f>
        <v>#NAME?</v>
      </c>
      <c r="DW82" s="85" t="e">
        <f t="shared" ca="1" si="119"/>
        <v>#NAME?</v>
      </c>
      <c r="DX82" s="40" t="e">
        <f ca="1">INT(DW82) + _xll.RiskBinomial(1,DW82-INT(DW82))</f>
        <v>#NAME?</v>
      </c>
      <c r="DY82" s="33" t="e">
        <f t="shared" ca="1" si="92"/>
        <v>#NAME?</v>
      </c>
      <c r="DZ82" s="38" t="e">
        <f ca="1">_xll.RiskBinomial(1,DY82)</f>
        <v>#NAME?</v>
      </c>
      <c r="EA82" s="86" t="e">
        <f ca="1">IF(DZ82=1,_xll.RiskBinomial(1,Prob_illness_Noro_infection),0)</f>
        <v>#NAME?</v>
      </c>
      <c r="EC82" s="85" t="e">
        <f t="shared" ca="1" si="120"/>
        <v>#NAME?</v>
      </c>
      <c r="ED82" s="40" t="e">
        <f ca="1">INT(EC82) + _xll.RiskBinomial(1,EC82-INT(EC82))</f>
        <v>#NAME?</v>
      </c>
      <c r="EE82" s="33" t="e">
        <f t="shared" ca="1" si="93"/>
        <v>#NAME?</v>
      </c>
      <c r="EF82" s="38" t="e">
        <f ca="1">_xll.RiskBinomial(1,EE82)</f>
        <v>#NAME?</v>
      </c>
      <c r="EG82" s="86" t="e">
        <f ca="1">IF(EF82=1,_xll.RiskBinomial(1,Prob_illness_Noro_infection),0)</f>
        <v>#NAME?</v>
      </c>
      <c r="EI82" s="85" t="e">
        <f t="shared" ca="1" si="121"/>
        <v>#NAME?</v>
      </c>
      <c r="EJ82" s="40" t="e">
        <f ca="1">INT(EI82) + _xll.RiskBinomial(1,EI82-INT(EI82))</f>
        <v>#NAME?</v>
      </c>
      <c r="EK82" s="33" t="e">
        <f t="shared" ca="1" si="94"/>
        <v>#NAME?</v>
      </c>
      <c r="EL82" s="38" t="e">
        <f ca="1">_xll.RiskBinomial(1,EK82)</f>
        <v>#NAME?</v>
      </c>
      <c r="EM82" s="86" t="e">
        <f ca="1">IF(EL82=1,_xll.RiskBinomial(1,Prob_illness_Noro_infection),0)</f>
        <v>#NAME?</v>
      </c>
      <c r="EO82" s="85" t="e">
        <f t="shared" ca="1" si="122"/>
        <v>#NAME?</v>
      </c>
      <c r="EP82" s="40" t="e">
        <f ca="1">INT(EO82) + _xll.RiskBinomial(1,EO82-INT(EO82))</f>
        <v>#NAME?</v>
      </c>
      <c r="EQ82" s="33" t="e">
        <f t="shared" ca="1" si="95"/>
        <v>#NAME?</v>
      </c>
      <c r="ER82" s="38" t="e">
        <f ca="1">_xll.RiskBinomial(1,EQ82)</f>
        <v>#NAME?</v>
      </c>
      <c r="ES82" s="86" t="e">
        <f ca="1">IF(ER82=1,_xll.RiskBinomial(1,Prob_illness_Noro_infection),0)</f>
        <v>#NAME?</v>
      </c>
      <c r="EU82" s="85" t="e">
        <f t="shared" ca="1" si="123"/>
        <v>#NAME?</v>
      </c>
      <c r="EV82" s="40" t="e">
        <f ca="1">INT(EU82) + _xll.RiskBinomial(1,EU82-INT(EU82))</f>
        <v>#NAME?</v>
      </c>
      <c r="EW82" s="33" t="e">
        <f t="shared" ca="1" si="96"/>
        <v>#NAME?</v>
      </c>
      <c r="EX82" s="38" t="e">
        <f ca="1">_xll.RiskBinomial(1,EW82)</f>
        <v>#NAME?</v>
      </c>
      <c r="EY82" s="86" t="e">
        <f ca="1">IF(EX82=1,_xll.RiskBinomial(1,Prob_illness_Noro_infection),0)</f>
        <v>#NAME?</v>
      </c>
      <c r="FA82" s="85" t="e">
        <f t="shared" ca="1" si="124"/>
        <v>#NAME?</v>
      </c>
      <c r="FB82" s="40" t="e">
        <f ca="1">INT(FA82) + _xll.RiskBinomial(1,FA82-INT(FA82))</f>
        <v>#NAME?</v>
      </c>
      <c r="FC82" s="33" t="e">
        <f t="shared" ca="1" si="97"/>
        <v>#NAME?</v>
      </c>
      <c r="FD82" s="38" t="e">
        <f ca="1">_xll.RiskBinomial(1,FC82)</f>
        <v>#NAME?</v>
      </c>
      <c r="FE82" s="86" t="e">
        <f ca="1">IF(FD82=1,_xll.RiskBinomial(1,Prob_illness_Noro_infection),0)</f>
        <v>#NAME?</v>
      </c>
      <c r="FG82" s="85" t="e">
        <f t="shared" ca="1" si="125"/>
        <v>#NAME?</v>
      </c>
      <c r="FH82" s="40" t="e">
        <f ca="1">INT(FG82) + _xll.RiskBinomial(1,FG82-INT(FG82))</f>
        <v>#NAME?</v>
      </c>
      <c r="FI82" s="33" t="e">
        <f t="shared" ca="1" si="98"/>
        <v>#NAME?</v>
      </c>
      <c r="FJ82" s="38" t="e">
        <f ca="1">_xll.RiskBinomial(1,FI82)</f>
        <v>#NAME?</v>
      </c>
      <c r="FK82" s="86" t="e">
        <f ca="1">IF(FJ82=1,_xll.RiskBinomial(1,Prob_illness_Noro_infection),0)</f>
        <v>#NAME?</v>
      </c>
      <c r="FM82" s="85" t="e">
        <f t="shared" ca="1" si="126"/>
        <v>#NAME?</v>
      </c>
      <c r="FN82" s="40" t="e">
        <f ca="1">INT(FM82) + _xll.RiskBinomial(1,FM82-INT(FM82))</f>
        <v>#NAME?</v>
      </c>
      <c r="FO82" s="33" t="e">
        <f t="shared" ca="1" si="99"/>
        <v>#NAME?</v>
      </c>
      <c r="FP82" s="38" t="e">
        <f ca="1">_xll.RiskBinomial(1,FO82)</f>
        <v>#NAME?</v>
      </c>
      <c r="FQ82" s="86" t="e">
        <f ca="1">IF(FP82=1,_xll.RiskBinomial(1,Prob_illness_Noro_infection),0)</f>
        <v>#NAME?</v>
      </c>
      <c r="FS82" s="85" t="e">
        <f t="shared" ca="1" si="127"/>
        <v>#NAME?</v>
      </c>
      <c r="FT82" s="40" t="e">
        <f ca="1">INT(FS82) + _xll.RiskBinomial(1,FS82-INT(FS82))</f>
        <v>#NAME?</v>
      </c>
      <c r="FU82" s="33" t="e">
        <f t="shared" ca="1" si="100"/>
        <v>#NAME?</v>
      </c>
      <c r="FV82" s="38" t="e">
        <f ca="1">_xll.RiskBinomial(1,FU82)</f>
        <v>#NAME?</v>
      </c>
      <c r="FW82" s="86" t="e">
        <f ca="1">IF(FV82=1,_xll.RiskBinomial(1,Prob_illness_Noro_infection),0)</f>
        <v>#NAME?</v>
      </c>
      <c r="FY82" s="85" t="e">
        <f t="shared" ca="1" si="128"/>
        <v>#NAME?</v>
      </c>
      <c r="FZ82" s="40" t="e">
        <f ca="1">INT(FY82) + _xll.RiskBinomial(1,FY82-INT(FY82))</f>
        <v>#NAME?</v>
      </c>
      <c r="GA82" s="33" t="e">
        <f t="shared" ca="1" si="101"/>
        <v>#NAME?</v>
      </c>
      <c r="GB82" s="38" t="e">
        <f ca="1">_xll.RiskBinomial(1,GA82)</f>
        <v>#NAME?</v>
      </c>
      <c r="GC82" s="86" t="e">
        <f ca="1">IF(GB82=1,_xll.RiskBinomial(1,Prob_illness_Noro_infection),0)</f>
        <v>#NAME?</v>
      </c>
      <c r="GE82" s="85" t="e">
        <f t="shared" ca="1" si="129"/>
        <v>#NAME?</v>
      </c>
      <c r="GF82" s="40" t="e">
        <f ca="1">INT(GE82) + _xll.RiskBinomial(1,GE82-INT(GE82))</f>
        <v>#NAME?</v>
      </c>
      <c r="GG82" s="33" t="e">
        <f t="shared" ca="1" si="102"/>
        <v>#NAME?</v>
      </c>
      <c r="GH82" s="38" t="e">
        <f ca="1">_xll.RiskBinomial(1,GG82)</f>
        <v>#NAME?</v>
      </c>
      <c r="GI82" s="86" t="e">
        <f ca="1">IF(GH82=1,_xll.RiskBinomial(1,Prob_illness_Noro_infection),0)</f>
        <v>#NAME?</v>
      </c>
      <c r="GK82" s="85" t="e">
        <f t="shared" ca="1" si="130"/>
        <v>#NAME?</v>
      </c>
      <c r="GL82" s="40" t="e">
        <f ca="1">INT(GK82) + _xll.RiskBinomial(1,GK82-INT(GK82))</f>
        <v>#NAME?</v>
      </c>
      <c r="GM82" s="33" t="e">
        <f t="shared" ca="1" si="103"/>
        <v>#NAME?</v>
      </c>
      <c r="GN82" s="38" t="e">
        <f ca="1">_xll.RiskBinomial(1,GM82)</f>
        <v>#NAME?</v>
      </c>
      <c r="GO82" s="86" t="e">
        <f ca="1">IF(GN82=1,_xll.RiskBinomial(1,Prob_illness_Noro_infection),0)</f>
        <v>#NAME?</v>
      </c>
    </row>
    <row r="83" spans="2:197" x14ac:dyDescent="0.25">
      <c r="B83" s="106">
        <v>75</v>
      </c>
      <c r="C83" s="109" t="e">
        <f ca="1" xml:space="preserve"> _xll.RiskPert(Dur_Swim_hours_min,Dur_Swim_hours_mode,Dur_Swim_hours_max)</f>
        <v>#NAME?</v>
      </c>
      <c r="D83" s="33" t="e">
        <f ca="1">_xll.RiskLognorm(Primary_Ing_Rate_mL_per_hour_mean,Primary_Ing_Rate_mL_per_hour_sd, _xll.RiskTruncate(Primary_Ing_Rate_mL_per_hour_min,Primary_Ing_Rate_mL_per_hour_max))</f>
        <v>#NAME?</v>
      </c>
      <c r="E83" s="41" t="e">
        <f t="shared" ca="1" si="104"/>
        <v>#NAME?</v>
      </c>
      <c r="F83" s="33"/>
      <c r="G83" s="85" t="e">
        <f t="shared" ca="1" si="105"/>
        <v>#NAME?</v>
      </c>
      <c r="H83" s="40" t="e">
        <f ca="1">INT(G83) + _xll.RiskBinomial(1,G83-INT(G83))</f>
        <v>#NAME?</v>
      </c>
      <c r="I83" s="33" t="e">
        <f t="shared" ca="1" si="66"/>
        <v>#NAME?</v>
      </c>
      <c r="J83" s="38" t="e">
        <f ca="1">_xll.RiskBinomial(1,I83)</f>
        <v>#NAME?</v>
      </c>
      <c r="K83" s="86" t="e">
        <f ca="1">IF(J83=1,_xll.RiskBinomial(1,Prob_illness_Noro_infection),0)</f>
        <v>#NAME?</v>
      </c>
      <c r="L83" s="33"/>
      <c r="M83" s="85" t="e">
        <f t="shared" ca="1" si="67"/>
        <v>#NAME?</v>
      </c>
      <c r="N83" s="40" t="e">
        <f ca="1">INT(M83) + _xll.RiskBinomial(1,M83-INT(M83))</f>
        <v>#NAME?</v>
      </c>
      <c r="O83" s="33" t="e">
        <f t="shared" ca="1" si="68"/>
        <v>#NAME?</v>
      </c>
      <c r="P83" s="38" t="e">
        <f ca="1">_xll.RiskBinomial(1,O83)</f>
        <v>#NAME?</v>
      </c>
      <c r="Q83" s="86" t="e">
        <f ca="1">IF(P83=1,_xll.RiskBinomial(1,Prob_illness_Noro_infection),0)</f>
        <v>#NAME?</v>
      </c>
      <c r="R83" s="33"/>
      <c r="S83" s="85" t="e">
        <f t="shared" ca="1" si="69"/>
        <v>#NAME?</v>
      </c>
      <c r="T83" s="40" t="e">
        <f ca="1">INT(S83) + _xll.RiskBinomial(1,S83-INT(S83))</f>
        <v>#NAME?</v>
      </c>
      <c r="U83" s="33" t="e">
        <f t="shared" ca="1" si="70"/>
        <v>#NAME?</v>
      </c>
      <c r="V83" s="38" t="e">
        <f ca="1">_xll.RiskBinomial(1,U83)</f>
        <v>#NAME?</v>
      </c>
      <c r="W83" s="86" t="e">
        <f ca="1">IF(V83=1,_xll.RiskBinomial(1,Prob_illness_Noro_infection),0)</f>
        <v>#NAME?</v>
      </c>
      <c r="X83" s="33"/>
      <c r="Y83" s="85" t="e">
        <f t="shared" ca="1" si="71"/>
        <v>#NAME?</v>
      </c>
      <c r="Z83" s="40" t="e">
        <f ca="1">INT(Y83) + _xll.RiskBinomial(1,Y83-INT(Y83))</f>
        <v>#NAME?</v>
      </c>
      <c r="AA83" s="33" t="e">
        <f t="shared" ca="1" si="72"/>
        <v>#NAME?</v>
      </c>
      <c r="AB83" s="38" t="e">
        <f ca="1">_xll.RiskBinomial(1,AA83)</f>
        <v>#NAME?</v>
      </c>
      <c r="AC83" s="86" t="e">
        <f ca="1">IF(AB83=1,_xll.RiskBinomial(1,Prob_illness_Noro_infection),0)</f>
        <v>#NAME?</v>
      </c>
      <c r="AD83" s="33"/>
      <c r="AE83" s="85" t="e">
        <f t="shared" ca="1" si="73"/>
        <v>#NAME?</v>
      </c>
      <c r="AF83" s="40" t="e">
        <f ca="1">INT(AE83) + _xll.RiskBinomial(1,AE83-INT(AE83))</f>
        <v>#NAME?</v>
      </c>
      <c r="AG83" s="33" t="e">
        <f t="shared" ca="1" si="74"/>
        <v>#NAME?</v>
      </c>
      <c r="AH83" s="38" t="e">
        <f ca="1">_xll.RiskBinomial(1,AG83)</f>
        <v>#NAME?</v>
      </c>
      <c r="AI83" s="86" t="e">
        <f ca="1">IF(AH83=1,_xll.RiskBinomial(1,Prob_illness_Noro_infection),0)</f>
        <v>#NAME?</v>
      </c>
      <c r="AJ83" s="33"/>
      <c r="AK83" s="85" t="e">
        <f t="shared" ca="1" si="75"/>
        <v>#NAME?</v>
      </c>
      <c r="AL83" s="40" t="e">
        <f ca="1">INT(AK83) + _xll.RiskBinomial(1,AK83-INT(AK83))</f>
        <v>#NAME?</v>
      </c>
      <c r="AM83" s="33" t="e">
        <f t="shared" ca="1" si="76"/>
        <v>#NAME?</v>
      </c>
      <c r="AN83" s="38" t="e">
        <f ca="1">_xll.RiskBinomial(1,AM83)</f>
        <v>#NAME?</v>
      </c>
      <c r="AO83" s="86" t="e">
        <f ca="1">IF(AN83=1,_xll.RiskBinomial(1,Prob_illness_Noro_infection),0)</f>
        <v>#NAME?</v>
      </c>
      <c r="AP83" s="33"/>
      <c r="AQ83" s="85" t="e">
        <f t="shared" ca="1" si="77"/>
        <v>#NAME?</v>
      </c>
      <c r="AR83" s="40" t="e">
        <f ca="1">INT(AQ83) + _xll.RiskBinomial(1,AQ83-INT(AQ83))</f>
        <v>#NAME?</v>
      </c>
      <c r="AS83" s="33" t="e">
        <f t="shared" ca="1" si="78"/>
        <v>#NAME?</v>
      </c>
      <c r="AT83" s="38" t="e">
        <f ca="1">_xll.RiskBinomial(1,AS83)</f>
        <v>#NAME?</v>
      </c>
      <c r="AU83" s="86" t="e">
        <f ca="1">IF(AT83=1,_xll.RiskBinomial(1,Prob_illness_Noro_infection),0)</f>
        <v>#NAME?</v>
      </c>
      <c r="AV83" s="33"/>
      <c r="AW83" s="85" t="e">
        <f t="shared" ca="1" si="106"/>
        <v>#NAME?</v>
      </c>
      <c r="AX83" s="40" t="e">
        <f ca="1">INT(AW83) + _xll.RiskBinomial(1,AW83-INT(AW83))</f>
        <v>#NAME?</v>
      </c>
      <c r="AY83" s="33" t="e">
        <f t="shared" ca="1" si="79"/>
        <v>#NAME?</v>
      </c>
      <c r="AZ83" s="38" t="e">
        <f ca="1">_xll.RiskBinomial(1,AY83)</f>
        <v>#NAME?</v>
      </c>
      <c r="BA83" s="86" t="e">
        <f ca="1">IF(AZ83=1,_xll.RiskBinomial(1,Prob_illness_Noro_infection),0)</f>
        <v>#NAME?</v>
      </c>
      <c r="BC83" s="85" t="e">
        <f t="shared" ca="1" si="107"/>
        <v>#NAME?</v>
      </c>
      <c r="BD83" s="40" t="e">
        <f ca="1">INT(BC83) + _xll.RiskBinomial(1,BC83-INT(BC83))</f>
        <v>#NAME?</v>
      </c>
      <c r="BE83" s="33" t="e">
        <f t="shared" ca="1" si="80"/>
        <v>#NAME?</v>
      </c>
      <c r="BF83" s="38" t="e">
        <f ca="1">_xll.RiskBinomial(1,BE83)</f>
        <v>#NAME?</v>
      </c>
      <c r="BG83" s="86" t="e">
        <f ca="1">IF(BF83=1,_xll.RiskBinomial(1,Prob_illness_Noro_infection),0)</f>
        <v>#NAME?</v>
      </c>
      <c r="BI83" s="85" t="e">
        <f t="shared" ca="1" si="108"/>
        <v>#NAME?</v>
      </c>
      <c r="BJ83" s="40" t="e">
        <f ca="1">INT(BI83) + _xll.RiskBinomial(1,BI83-INT(BI83))</f>
        <v>#NAME?</v>
      </c>
      <c r="BK83" s="33" t="e">
        <f t="shared" ca="1" si="81"/>
        <v>#NAME?</v>
      </c>
      <c r="BL83" s="38" t="e">
        <f ca="1">_xll.RiskBinomial(1,BK83)</f>
        <v>#NAME?</v>
      </c>
      <c r="BM83" s="86" t="e">
        <f ca="1">IF(BL83=1,_xll.RiskBinomial(1,Prob_illness_Noro_infection),0)</f>
        <v>#NAME?</v>
      </c>
      <c r="BO83" s="85" t="e">
        <f t="shared" ca="1" si="109"/>
        <v>#NAME?</v>
      </c>
      <c r="BP83" s="40" t="e">
        <f ca="1">INT(BO83) + _xll.RiskBinomial(1,BO83-INT(BO83))</f>
        <v>#NAME?</v>
      </c>
      <c r="BQ83" s="33" t="e">
        <f t="shared" ca="1" si="82"/>
        <v>#NAME?</v>
      </c>
      <c r="BR83" s="38" t="e">
        <f ca="1">_xll.RiskBinomial(1,BQ83)</f>
        <v>#NAME?</v>
      </c>
      <c r="BS83" s="86" t="e">
        <f ca="1">IF(BR83=1,_xll.RiskBinomial(1,Prob_illness_Noro_infection),0)</f>
        <v>#NAME?</v>
      </c>
      <c r="BU83" s="85" t="e">
        <f t="shared" ca="1" si="110"/>
        <v>#NAME?</v>
      </c>
      <c r="BV83" s="40" t="e">
        <f ca="1">INT(BU83) + _xll.RiskBinomial(1,BU83-INT(BU83))</f>
        <v>#NAME?</v>
      </c>
      <c r="BW83" s="33" t="e">
        <f t="shared" ca="1" si="83"/>
        <v>#NAME?</v>
      </c>
      <c r="BX83" s="38" t="e">
        <f ca="1">_xll.RiskBinomial(1,BW83)</f>
        <v>#NAME?</v>
      </c>
      <c r="BY83" s="86" t="e">
        <f ca="1">IF(BX83=1,_xll.RiskBinomial(1,Prob_illness_Noro_infection),0)</f>
        <v>#NAME?</v>
      </c>
      <c r="CA83" s="85" t="e">
        <f t="shared" ca="1" si="111"/>
        <v>#NAME?</v>
      </c>
      <c r="CB83" s="40" t="e">
        <f ca="1">INT(CA83) + _xll.RiskBinomial(1,CA83-INT(CA83))</f>
        <v>#NAME?</v>
      </c>
      <c r="CC83" s="33" t="e">
        <f t="shared" ca="1" si="84"/>
        <v>#NAME?</v>
      </c>
      <c r="CD83" s="38" t="e">
        <f ca="1">_xll.RiskBinomial(1,CC83)</f>
        <v>#NAME?</v>
      </c>
      <c r="CE83" s="86" t="e">
        <f ca="1">IF(CD83=1,_xll.RiskBinomial(1,Prob_illness_Noro_infection),0)</f>
        <v>#NAME?</v>
      </c>
      <c r="CG83" s="85" t="e">
        <f t="shared" ca="1" si="112"/>
        <v>#NAME?</v>
      </c>
      <c r="CH83" s="40" t="e">
        <f ca="1">INT(CG83) + _xll.RiskBinomial(1,CG83-INT(CG83))</f>
        <v>#NAME?</v>
      </c>
      <c r="CI83" s="33" t="e">
        <f t="shared" ca="1" si="85"/>
        <v>#NAME?</v>
      </c>
      <c r="CJ83" s="38" t="e">
        <f ca="1">_xll.RiskBinomial(1,CI83)</f>
        <v>#NAME?</v>
      </c>
      <c r="CK83" s="86" t="e">
        <f ca="1">IF(CJ83=1,_xll.RiskBinomial(1,Prob_illness_Noro_infection),0)</f>
        <v>#NAME?</v>
      </c>
      <c r="CM83" s="85" t="e">
        <f t="shared" ca="1" si="113"/>
        <v>#NAME?</v>
      </c>
      <c r="CN83" s="40" t="e">
        <f ca="1">INT(CM83) + _xll.RiskBinomial(1,CM83-INT(CM83))</f>
        <v>#NAME?</v>
      </c>
      <c r="CO83" s="33" t="e">
        <f t="shared" ca="1" si="86"/>
        <v>#NAME?</v>
      </c>
      <c r="CP83" s="38" t="e">
        <f ca="1">_xll.RiskBinomial(1,CO83)</f>
        <v>#NAME?</v>
      </c>
      <c r="CQ83" s="86" t="e">
        <f ca="1">IF(CP83=1,_xll.RiskBinomial(1,Prob_illness_Noro_infection),0)</f>
        <v>#NAME?</v>
      </c>
      <c r="CS83" s="85" t="e">
        <f t="shared" ca="1" si="114"/>
        <v>#NAME?</v>
      </c>
      <c r="CT83" s="40" t="e">
        <f ca="1">INT(CS83) + _xll.RiskBinomial(1,CS83-INT(CS83))</f>
        <v>#NAME?</v>
      </c>
      <c r="CU83" s="33" t="e">
        <f t="shared" ca="1" si="87"/>
        <v>#NAME?</v>
      </c>
      <c r="CV83" s="38" t="e">
        <f ca="1">_xll.RiskBinomial(1,CU83)</f>
        <v>#NAME?</v>
      </c>
      <c r="CW83" s="86" t="e">
        <f ca="1">IF(CV83=1,_xll.RiskBinomial(1,Prob_illness_Noro_infection),0)</f>
        <v>#NAME?</v>
      </c>
      <c r="CY83" s="85" t="e">
        <f t="shared" ca="1" si="115"/>
        <v>#NAME?</v>
      </c>
      <c r="CZ83" s="40" t="e">
        <f ca="1">INT(CY83) + _xll.RiskBinomial(1,CY83-INT(CY83))</f>
        <v>#NAME?</v>
      </c>
      <c r="DA83" s="33" t="e">
        <f t="shared" ca="1" si="88"/>
        <v>#NAME?</v>
      </c>
      <c r="DB83" s="38" t="e">
        <f ca="1">_xll.RiskBinomial(1,DA83)</f>
        <v>#NAME?</v>
      </c>
      <c r="DC83" s="86" t="e">
        <f ca="1">IF(DB83=1,_xll.RiskBinomial(1,Prob_illness_Noro_infection),0)</f>
        <v>#NAME?</v>
      </c>
      <c r="DE83" s="85" t="e">
        <f t="shared" ca="1" si="116"/>
        <v>#NAME?</v>
      </c>
      <c r="DF83" s="40" t="e">
        <f ca="1">INT(DE83) + _xll.RiskBinomial(1,DE83-INT(DE83))</f>
        <v>#NAME?</v>
      </c>
      <c r="DG83" s="33" t="e">
        <f t="shared" ca="1" si="89"/>
        <v>#NAME?</v>
      </c>
      <c r="DH83" s="38" t="e">
        <f ca="1">_xll.RiskBinomial(1,DG83)</f>
        <v>#NAME?</v>
      </c>
      <c r="DI83" s="86" t="e">
        <f ca="1">IF(DH83=1,_xll.RiskBinomial(1,Prob_illness_Noro_infection),0)</f>
        <v>#NAME?</v>
      </c>
      <c r="DK83" s="85" t="e">
        <f t="shared" ca="1" si="117"/>
        <v>#NAME?</v>
      </c>
      <c r="DL83" s="40" t="e">
        <f ca="1">INT(DK83) + _xll.RiskBinomial(1,DK83-INT(DK83))</f>
        <v>#NAME?</v>
      </c>
      <c r="DM83" s="33" t="e">
        <f t="shared" ca="1" si="90"/>
        <v>#NAME?</v>
      </c>
      <c r="DN83" s="38" t="e">
        <f ca="1">_xll.RiskBinomial(1,DM83)</f>
        <v>#NAME?</v>
      </c>
      <c r="DO83" s="86" t="e">
        <f ca="1">IF(DN83=1,_xll.RiskBinomial(1,Prob_illness_Noro_infection),0)</f>
        <v>#NAME?</v>
      </c>
      <c r="DQ83" s="85" t="e">
        <f t="shared" ca="1" si="118"/>
        <v>#NAME?</v>
      </c>
      <c r="DR83" s="40" t="e">
        <f ca="1">INT(DQ83) + _xll.RiskBinomial(1,DQ83-INT(DQ83))</f>
        <v>#NAME?</v>
      </c>
      <c r="DS83" s="33" t="e">
        <f t="shared" ca="1" si="91"/>
        <v>#NAME?</v>
      </c>
      <c r="DT83" s="38" t="e">
        <f ca="1">_xll.RiskBinomial(1,DS83)</f>
        <v>#NAME?</v>
      </c>
      <c r="DU83" s="86" t="e">
        <f ca="1">IF(DT83=1,_xll.RiskBinomial(1,Prob_illness_Noro_infection),0)</f>
        <v>#NAME?</v>
      </c>
      <c r="DW83" s="85" t="e">
        <f t="shared" ca="1" si="119"/>
        <v>#NAME?</v>
      </c>
      <c r="DX83" s="40" t="e">
        <f ca="1">INT(DW83) + _xll.RiskBinomial(1,DW83-INT(DW83))</f>
        <v>#NAME?</v>
      </c>
      <c r="DY83" s="33" t="e">
        <f t="shared" ca="1" si="92"/>
        <v>#NAME?</v>
      </c>
      <c r="DZ83" s="38" t="e">
        <f ca="1">_xll.RiskBinomial(1,DY83)</f>
        <v>#NAME?</v>
      </c>
      <c r="EA83" s="86" t="e">
        <f ca="1">IF(DZ83=1,_xll.RiskBinomial(1,Prob_illness_Noro_infection),0)</f>
        <v>#NAME?</v>
      </c>
      <c r="EC83" s="85" t="e">
        <f t="shared" ca="1" si="120"/>
        <v>#NAME?</v>
      </c>
      <c r="ED83" s="40" t="e">
        <f ca="1">INT(EC83) + _xll.RiskBinomial(1,EC83-INT(EC83))</f>
        <v>#NAME?</v>
      </c>
      <c r="EE83" s="33" t="e">
        <f t="shared" ca="1" si="93"/>
        <v>#NAME?</v>
      </c>
      <c r="EF83" s="38" t="e">
        <f ca="1">_xll.RiskBinomial(1,EE83)</f>
        <v>#NAME?</v>
      </c>
      <c r="EG83" s="86" t="e">
        <f ca="1">IF(EF83=1,_xll.RiskBinomial(1,Prob_illness_Noro_infection),0)</f>
        <v>#NAME?</v>
      </c>
      <c r="EI83" s="85" t="e">
        <f t="shared" ca="1" si="121"/>
        <v>#NAME?</v>
      </c>
      <c r="EJ83" s="40" t="e">
        <f ca="1">INT(EI83) + _xll.RiskBinomial(1,EI83-INT(EI83))</f>
        <v>#NAME?</v>
      </c>
      <c r="EK83" s="33" t="e">
        <f t="shared" ca="1" si="94"/>
        <v>#NAME?</v>
      </c>
      <c r="EL83" s="38" t="e">
        <f ca="1">_xll.RiskBinomial(1,EK83)</f>
        <v>#NAME?</v>
      </c>
      <c r="EM83" s="86" t="e">
        <f ca="1">IF(EL83=1,_xll.RiskBinomial(1,Prob_illness_Noro_infection),0)</f>
        <v>#NAME?</v>
      </c>
      <c r="EO83" s="85" t="e">
        <f t="shared" ca="1" si="122"/>
        <v>#NAME?</v>
      </c>
      <c r="EP83" s="40" t="e">
        <f ca="1">INT(EO83) + _xll.RiskBinomial(1,EO83-INT(EO83))</f>
        <v>#NAME?</v>
      </c>
      <c r="EQ83" s="33" t="e">
        <f t="shared" ca="1" si="95"/>
        <v>#NAME?</v>
      </c>
      <c r="ER83" s="38" t="e">
        <f ca="1">_xll.RiskBinomial(1,EQ83)</f>
        <v>#NAME?</v>
      </c>
      <c r="ES83" s="86" t="e">
        <f ca="1">IF(ER83=1,_xll.RiskBinomial(1,Prob_illness_Noro_infection),0)</f>
        <v>#NAME?</v>
      </c>
      <c r="EU83" s="85" t="e">
        <f t="shared" ca="1" si="123"/>
        <v>#NAME?</v>
      </c>
      <c r="EV83" s="40" t="e">
        <f ca="1">INT(EU83) + _xll.RiskBinomial(1,EU83-INT(EU83))</f>
        <v>#NAME?</v>
      </c>
      <c r="EW83" s="33" t="e">
        <f t="shared" ca="1" si="96"/>
        <v>#NAME?</v>
      </c>
      <c r="EX83" s="38" t="e">
        <f ca="1">_xll.RiskBinomial(1,EW83)</f>
        <v>#NAME?</v>
      </c>
      <c r="EY83" s="86" t="e">
        <f ca="1">IF(EX83=1,_xll.RiskBinomial(1,Prob_illness_Noro_infection),0)</f>
        <v>#NAME?</v>
      </c>
      <c r="FA83" s="85" t="e">
        <f t="shared" ca="1" si="124"/>
        <v>#NAME?</v>
      </c>
      <c r="FB83" s="40" t="e">
        <f ca="1">INT(FA83) + _xll.RiskBinomial(1,FA83-INT(FA83))</f>
        <v>#NAME?</v>
      </c>
      <c r="FC83" s="33" t="e">
        <f t="shared" ca="1" si="97"/>
        <v>#NAME?</v>
      </c>
      <c r="FD83" s="38" t="e">
        <f ca="1">_xll.RiskBinomial(1,FC83)</f>
        <v>#NAME?</v>
      </c>
      <c r="FE83" s="86" t="e">
        <f ca="1">IF(FD83=1,_xll.RiskBinomial(1,Prob_illness_Noro_infection),0)</f>
        <v>#NAME?</v>
      </c>
      <c r="FG83" s="85" t="e">
        <f t="shared" ca="1" si="125"/>
        <v>#NAME?</v>
      </c>
      <c r="FH83" s="40" t="e">
        <f ca="1">INT(FG83) + _xll.RiskBinomial(1,FG83-INT(FG83))</f>
        <v>#NAME?</v>
      </c>
      <c r="FI83" s="33" t="e">
        <f t="shared" ca="1" si="98"/>
        <v>#NAME?</v>
      </c>
      <c r="FJ83" s="38" t="e">
        <f ca="1">_xll.RiskBinomial(1,FI83)</f>
        <v>#NAME?</v>
      </c>
      <c r="FK83" s="86" t="e">
        <f ca="1">IF(FJ83=1,_xll.RiskBinomial(1,Prob_illness_Noro_infection),0)</f>
        <v>#NAME?</v>
      </c>
      <c r="FM83" s="85" t="e">
        <f t="shared" ca="1" si="126"/>
        <v>#NAME?</v>
      </c>
      <c r="FN83" s="40" t="e">
        <f ca="1">INT(FM83) + _xll.RiskBinomial(1,FM83-INT(FM83))</f>
        <v>#NAME?</v>
      </c>
      <c r="FO83" s="33" t="e">
        <f t="shared" ca="1" si="99"/>
        <v>#NAME?</v>
      </c>
      <c r="FP83" s="38" t="e">
        <f ca="1">_xll.RiskBinomial(1,FO83)</f>
        <v>#NAME?</v>
      </c>
      <c r="FQ83" s="86" t="e">
        <f ca="1">IF(FP83=1,_xll.RiskBinomial(1,Prob_illness_Noro_infection),0)</f>
        <v>#NAME?</v>
      </c>
      <c r="FS83" s="85" t="e">
        <f t="shared" ca="1" si="127"/>
        <v>#NAME?</v>
      </c>
      <c r="FT83" s="40" t="e">
        <f ca="1">INT(FS83) + _xll.RiskBinomial(1,FS83-INT(FS83))</f>
        <v>#NAME?</v>
      </c>
      <c r="FU83" s="33" t="e">
        <f t="shared" ca="1" si="100"/>
        <v>#NAME?</v>
      </c>
      <c r="FV83" s="38" t="e">
        <f ca="1">_xll.RiskBinomial(1,FU83)</f>
        <v>#NAME?</v>
      </c>
      <c r="FW83" s="86" t="e">
        <f ca="1">IF(FV83=1,_xll.RiskBinomial(1,Prob_illness_Noro_infection),0)</f>
        <v>#NAME?</v>
      </c>
      <c r="FY83" s="85" t="e">
        <f t="shared" ca="1" si="128"/>
        <v>#NAME?</v>
      </c>
      <c r="FZ83" s="40" t="e">
        <f ca="1">INT(FY83) + _xll.RiskBinomial(1,FY83-INT(FY83))</f>
        <v>#NAME?</v>
      </c>
      <c r="GA83" s="33" t="e">
        <f t="shared" ca="1" si="101"/>
        <v>#NAME?</v>
      </c>
      <c r="GB83" s="38" t="e">
        <f ca="1">_xll.RiskBinomial(1,GA83)</f>
        <v>#NAME?</v>
      </c>
      <c r="GC83" s="86" t="e">
        <f ca="1">IF(GB83=1,_xll.RiskBinomial(1,Prob_illness_Noro_infection),0)</f>
        <v>#NAME?</v>
      </c>
      <c r="GE83" s="85" t="e">
        <f t="shared" ca="1" si="129"/>
        <v>#NAME?</v>
      </c>
      <c r="GF83" s="40" t="e">
        <f ca="1">INT(GE83) + _xll.RiskBinomial(1,GE83-INT(GE83))</f>
        <v>#NAME?</v>
      </c>
      <c r="GG83" s="33" t="e">
        <f t="shared" ca="1" si="102"/>
        <v>#NAME?</v>
      </c>
      <c r="GH83" s="38" t="e">
        <f ca="1">_xll.RiskBinomial(1,GG83)</f>
        <v>#NAME?</v>
      </c>
      <c r="GI83" s="86" t="e">
        <f ca="1">IF(GH83=1,_xll.RiskBinomial(1,Prob_illness_Noro_infection),0)</f>
        <v>#NAME?</v>
      </c>
      <c r="GK83" s="85" t="e">
        <f t="shared" ca="1" si="130"/>
        <v>#NAME?</v>
      </c>
      <c r="GL83" s="40" t="e">
        <f ca="1">INT(GK83) + _xll.RiskBinomial(1,GK83-INT(GK83))</f>
        <v>#NAME?</v>
      </c>
      <c r="GM83" s="33" t="e">
        <f t="shared" ca="1" si="103"/>
        <v>#NAME?</v>
      </c>
      <c r="GN83" s="38" t="e">
        <f ca="1">_xll.RiskBinomial(1,GM83)</f>
        <v>#NAME?</v>
      </c>
      <c r="GO83" s="86" t="e">
        <f ca="1">IF(GN83=1,_xll.RiskBinomial(1,Prob_illness_Noro_infection),0)</f>
        <v>#NAME?</v>
      </c>
    </row>
    <row r="84" spans="2:197" x14ac:dyDescent="0.25">
      <c r="B84" s="106">
        <v>76</v>
      </c>
      <c r="C84" s="109" t="e">
        <f ca="1" xml:space="preserve"> _xll.RiskPert(Dur_Swim_hours_min,Dur_Swim_hours_mode,Dur_Swim_hours_max)</f>
        <v>#NAME?</v>
      </c>
      <c r="D84" s="33" t="e">
        <f ca="1">_xll.RiskLognorm(Primary_Ing_Rate_mL_per_hour_mean,Primary_Ing_Rate_mL_per_hour_sd, _xll.RiskTruncate(Primary_Ing_Rate_mL_per_hour_min,Primary_Ing_Rate_mL_per_hour_max))</f>
        <v>#NAME?</v>
      </c>
      <c r="E84" s="41" t="e">
        <f t="shared" ca="1" si="104"/>
        <v>#NAME?</v>
      </c>
      <c r="F84" s="33"/>
      <c r="G84" s="85" t="e">
        <f t="shared" ca="1" si="105"/>
        <v>#NAME?</v>
      </c>
      <c r="H84" s="40" t="e">
        <f ca="1">INT(G84) + _xll.RiskBinomial(1,G84-INT(G84))</f>
        <v>#NAME?</v>
      </c>
      <c r="I84" s="33" t="e">
        <f t="shared" ca="1" si="66"/>
        <v>#NAME?</v>
      </c>
      <c r="J84" s="38" t="e">
        <f ca="1">_xll.RiskBinomial(1,I84)</f>
        <v>#NAME?</v>
      </c>
      <c r="K84" s="86" t="e">
        <f ca="1">IF(J84=1,_xll.RiskBinomial(1,Prob_illness_Noro_infection),0)</f>
        <v>#NAME?</v>
      </c>
      <c r="L84" s="33"/>
      <c r="M84" s="85" t="e">
        <f t="shared" ca="1" si="67"/>
        <v>#NAME?</v>
      </c>
      <c r="N84" s="40" t="e">
        <f ca="1">INT(M84) + _xll.RiskBinomial(1,M84-INT(M84))</f>
        <v>#NAME?</v>
      </c>
      <c r="O84" s="33" t="e">
        <f t="shared" ca="1" si="68"/>
        <v>#NAME?</v>
      </c>
      <c r="P84" s="38" t="e">
        <f ca="1">_xll.RiskBinomial(1,O84)</f>
        <v>#NAME?</v>
      </c>
      <c r="Q84" s="86" t="e">
        <f ca="1">IF(P84=1,_xll.RiskBinomial(1,Prob_illness_Noro_infection),0)</f>
        <v>#NAME?</v>
      </c>
      <c r="R84" s="33"/>
      <c r="S84" s="85" t="e">
        <f t="shared" ca="1" si="69"/>
        <v>#NAME?</v>
      </c>
      <c r="T84" s="40" t="e">
        <f ca="1">INT(S84) + _xll.RiskBinomial(1,S84-INT(S84))</f>
        <v>#NAME?</v>
      </c>
      <c r="U84" s="33" t="e">
        <f t="shared" ca="1" si="70"/>
        <v>#NAME?</v>
      </c>
      <c r="V84" s="38" t="e">
        <f ca="1">_xll.RiskBinomial(1,U84)</f>
        <v>#NAME?</v>
      </c>
      <c r="W84" s="86" t="e">
        <f ca="1">IF(V84=1,_xll.RiskBinomial(1,Prob_illness_Noro_infection),0)</f>
        <v>#NAME?</v>
      </c>
      <c r="X84" s="33"/>
      <c r="Y84" s="85" t="e">
        <f t="shared" ca="1" si="71"/>
        <v>#NAME?</v>
      </c>
      <c r="Z84" s="40" t="e">
        <f ca="1">INT(Y84) + _xll.RiskBinomial(1,Y84-INT(Y84))</f>
        <v>#NAME?</v>
      </c>
      <c r="AA84" s="33" t="e">
        <f t="shared" ca="1" si="72"/>
        <v>#NAME?</v>
      </c>
      <c r="AB84" s="38" t="e">
        <f ca="1">_xll.RiskBinomial(1,AA84)</f>
        <v>#NAME?</v>
      </c>
      <c r="AC84" s="86" t="e">
        <f ca="1">IF(AB84=1,_xll.RiskBinomial(1,Prob_illness_Noro_infection),0)</f>
        <v>#NAME?</v>
      </c>
      <c r="AD84" s="33"/>
      <c r="AE84" s="85" t="e">
        <f t="shared" ca="1" si="73"/>
        <v>#NAME?</v>
      </c>
      <c r="AF84" s="40" t="e">
        <f ca="1">INT(AE84) + _xll.RiskBinomial(1,AE84-INT(AE84))</f>
        <v>#NAME?</v>
      </c>
      <c r="AG84" s="33" t="e">
        <f t="shared" ca="1" si="74"/>
        <v>#NAME?</v>
      </c>
      <c r="AH84" s="38" t="e">
        <f ca="1">_xll.RiskBinomial(1,AG84)</f>
        <v>#NAME?</v>
      </c>
      <c r="AI84" s="86" t="e">
        <f ca="1">IF(AH84=1,_xll.RiskBinomial(1,Prob_illness_Noro_infection),0)</f>
        <v>#NAME?</v>
      </c>
      <c r="AJ84" s="33"/>
      <c r="AK84" s="85" t="e">
        <f t="shared" ca="1" si="75"/>
        <v>#NAME?</v>
      </c>
      <c r="AL84" s="40" t="e">
        <f ca="1">INT(AK84) + _xll.RiskBinomial(1,AK84-INT(AK84))</f>
        <v>#NAME?</v>
      </c>
      <c r="AM84" s="33" t="e">
        <f t="shared" ca="1" si="76"/>
        <v>#NAME?</v>
      </c>
      <c r="AN84" s="38" t="e">
        <f ca="1">_xll.RiskBinomial(1,AM84)</f>
        <v>#NAME?</v>
      </c>
      <c r="AO84" s="86" t="e">
        <f ca="1">IF(AN84=1,_xll.RiskBinomial(1,Prob_illness_Noro_infection),0)</f>
        <v>#NAME?</v>
      </c>
      <c r="AP84" s="33"/>
      <c r="AQ84" s="85" t="e">
        <f t="shared" ca="1" si="77"/>
        <v>#NAME?</v>
      </c>
      <c r="AR84" s="40" t="e">
        <f ca="1">INT(AQ84) + _xll.RiskBinomial(1,AQ84-INT(AQ84))</f>
        <v>#NAME?</v>
      </c>
      <c r="AS84" s="33" t="e">
        <f t="shared" ca="1" si="78"/>
        <v>#NAME?</v>
      </c>
      <c r="AT84" s="38" t="e">
        <f ca="1">_xll.RiskBinomial(1,AS84)</f>
        <v>#NAME?</v>
      </c>
      <c r="AU84" s="86" t="e">
        <f ca="1">IF(AT84=1,_xll.RiskBinomial(1,Prob_illness_Noro_infection),0)</f>
        <v>#NAME?</v>
      </c>
      <c r="AV84" s="33"/>
      <c r="AW84" s="85" t="e">
        <f t="shared" ca="1" si="106"/>
        <v>#NAME?</v>
      </c>
      <c r="AX84" s="40" t="e">
        <f ca="1">INT(AW84) + _xll.RiskBinomial(1,AW84-INT(AW84))</f>
        <v>#NAME?</v>
      </c>
      <c r="AY84" s="33" t="e">
        <f t="shared" ca="1" si="79"/>
        <v>#NAME?</v>
      </c>
      <c r="AZ84" s="38" t="e">
        <f ca="1">_xll.RiskBinomial(1,AY84)</f>
        <v>#NAME?</v>
      </c>
      <c r="BA84" s="86" t="e">
        <f ca="1">IF(AZ84=1,_xll.RiskBinomial(1,Prob_illness_Noro_infection),0)</f>
        <v>#NAME?</v>
      </c>
      <c r="BC84" s="85" t="e">
        <f t="shared" ca="1" si="107"/>
        <v>#NAME?</v>
      </c>
      <c r="BD84" s="40" t="e">
        <f ca="1">INT(BC84) + _xll.RiskBinomial(1,BC84-INT(BC84))</f>
        <v>#NAME?</v>
      </c>
      <c r="BE84" s="33" t="e">
        <f t="shared" ca="1" si="80"/>
        <v>#NAME?</v>
      </c>
      <c r="BF84" s="38" t="e">
        <f ca="1">_xll.RiskBinomial(1,BE84)</f>
        <v>#NAME?</v>
      </c>
      <c r="BG84" s="86" t="e">
        <f ca="1">IF(BF84=1,_xll.RiskBinomial(1,Prob_illness_Noro_infection),0)</f>
        <v>#NAME?</v>
      </c>
      <c r="BI84" s="85" t="e">
        <f t="shared" ca="1" si="108"/>
        <v>#NAME?</v>
      </c>
      <c r="BJ84" s="40" t="e">
        <f ca="1">INT(BI84) + _xll.RiskBinomial(1,BI84-INT(BI84))</f>
        <v>#NAME?</v>
      </c>
      <c r="BK84" s="33" t="e">
        <f t="shared" ca="1" si="81"/>
        <v>#NAME?</v>
      </c>
      <c r="BL84" s="38" t="e">
        <f ca="1">_xll.RiskBinomial(1,BK84)</f>
        <v>#NAME?</v>
      </c>
      <c r="BM84" s="86" t="e">
        <f ca="1">IF(BL84=1,_xll.RiskBinomial(1,Prob_illness_Noro_infection),0)</f>
        <v>#NAME?</v>
      </c>
      <c r="BO84" s="85" t="e">
        <f t="shared" ca="1" si="109"/>
        <v>#NAME?</v>
      </c>
      <c r="BP84" s="40" t="e">
        <f ca="1">INT(BO84) + _xll.RiskBinomial(1,BO84-INT(BO84))</f>
        <v>#NAME?</v>
      </c>
      <c r="BQ84" s="33" t="e">
        <f t="shared" ca="1" si="82"/>
        <v>#NAME?</v>
      </c>
      <c r="BR84" s="38" t="e">
        <f ca="1">_xll.RiskBinomial(1,BQ84)</f>
        <v>#NAME?</v>
      </c>
      <c r="BS84" s="86" t="e">
        <f ca="1">IF(BR84=1,_xll.RiskBinomial(1,Prob_illness_Noro_infection),0)</f>
        <v>#NAME?</v>
      </c>
      <c r="BU84" s="85" t="e">
        <f t="shared" ca="1" si="110"/>
        <v>#NAME?</v>
      </c>
      <c r="BV84" s="40" t="e">
        <f ca="1">INT(BU84) + _xll.RiskBinomial(1,BU84-INT(BU84))</f>
        <v>#NAME?</v>
      </c>
      <c r="BW84" s="33" t="e">
        <f t="shared" ca="1" si="83"/>
        <v>#NAME?</v>
      </c>
      <c r="BX84" s="38" t="e">
        <f ca="1">_xll.RiskBinomial(1,BW84)</f>
        <v>#NAME?</v>
      </c>
      <c r="BY84" s="86" t="e">
        <f ca="1">IF(BX84=1,_xll.RiskBinomial(1,Prob_illness_Noro_infection),0)</f>
        <v>#NAME?</v>
      </c>
      <c r="CA84" s="85" t="e">
        <f t="shared" ca="1" si="111"/>
        <v>#NAME?</v>
      </c>
      <c r="CB84" s="40" t="e">
        <f ca="1">INT(CA84) + _xll.RiskBinomial(1,CA84-INT(CA84))</f>
        <v>#NAME?</v>
      </c>
      <c r="CC84" s="33" t="e">
        <f t="shared" ca="1" si="84"/>
        <v>#NAME?</v>
      </c>
      <c r="CD84" s="38" t="e">
        <f ca="1">_xll.RiskBinomial(1,CC84)</f>
        <v>#NAME?</v>
      </c>
      <c r="CE84" s="86" t="e">
        <f ca="1">IF(CD84=1,_xll.RiskBinomial(1,Prob_illness_Noro_infection),0)</f>
        <v>#NAME?</v>
      </c>
      <c r="CG84" s="85" t="e">
        <f t="shared" ca="1" si="112"/>
        <v>#NAME?</v>
      </c>
      <c r="CH84" s="40" t="e">
        <f ca="1">INT(CG84) + _xll.RiskBinomial(1,CG84-INT(CG84))</f>
        <v>#NAME?</v>
      </c>
      <c r="CI84" s="33" t="e">
        <f t="shared" ca="1" si="85"/>
        <v>#NAME?</v>
      </c>
      <c r="CJ84" s="38" t="e">
        <f ca="1">_xll.RiskBinomial(1,CI84)</f>
        <v>#NAME?</v>
      </c>
      <c r="CK84" s="86" t="e">
        <f ca="1">IF(CJ84=1,_xll.RiskBinomial(1,Prob_illness_Noro_infection),0)</f>
        <v>#NAME?</v>
      </c>
      <c r="CM84" s="85" t="e">
        <f t="shared" ca="1" si="113"/>
        <v>#NAME?</v>
      </c>
      <c r="CN84" s="40" t="e">
        <f ca="1">INT(CM84) + _xll.RiskBinomial(1,CM84-INT(CM84))</f>
        <v>#NAME?</v>
      </c>
      <c r="CO84" s="33" t="e">
        <f t="shared" ca="1" si="86"/>
        <v>#NAME?</v>
      </c>
      <c r="CP84" s="38" t="e">
        <f ca="1">_xll.RiskBinomial(1,CO84)</f>
        <v>#NAME?</v>
      </c>
      <c r="CQ84" s="86" t="e">
        <f ca="1">IF(CP84=1,_xll.RiskBinomial(1,Prob_illness_Noro_infection),0)</f>
        <v>#NAME?</v>
      </c>
      <c r="CS84" s="85" t="e">
        <f t="shared" ca="1" si="114"/>
        <v>#NAME?</v>
      </c>
      <c r="CT84" s="40" t="e">
        <f ca="1">INT(CS84) + _xll.RiskBinomial(1,CS84-INT(CS84))</f>
        <v>#NAME?</v>
      </c>
      <c r="CU84" s="33" t="e">
        <f t="shared" ca="1" si="87"/>
        <v>#NAME?</v>
      </c>
      <c r="CV84" s="38" t="e">
        <f ca="1">_xll.RiskBinomial(1,CU84)</f>
        <v>#NAME?</v>
      </c>
      <c r="CW84" s="86" t="e">
        <f ca="1">IF(CV84=1,_xll.RiskBinomial(1,Prob_illness_Noro_infection),0)</f>
        <v>#NAME?</v>
      </c>
      <c r="CY84" s="85" t="e">
        <f t="shared" ca="1" si="115"/>
        <v>#NAME?</v>
      </c>
      <c r="CZ84" s="40" t="e">
        <f ca="1">INT(CY84) + _xll.RiskBinomial(1,CY84-INT(CY84))</f>
        <v>#NAME?</v>
      </c>
      <c r="DA84" s="33" t="e">
        <f t="shared" ca="1" si="88"/>
        <v>#NAME?</v>
      </c>
      <c r="DB84" s="38" t="e">
        <f ca="1">_xll.RiskBinomial(1,DA84)</f>
        <v>#NAME?</v>
      </c>
      <c r="DC84" s="86" t="e">
        <f ca="1">IF(DB84=1,_xll.RiskBinomial(1,Prob_illness_Noro_infection),0)</f>
        <v>#NAME?</v>
      </c>
      <c r="DE84" s="85" t="e">
        <f t="shared" ca="1" si="116"/>
        <v>#NAME?</v>
      </c>
      <c r="DF84" s="40" t="e">
        <f ca="1">INT(DE84) + _xll.RiskBinomial(1,DE84-INT(DE84))</f>
        <v>#NAME?</v>
      </c>
      <c r="DG84" s="33" t="e">
        <f t="shared" ca="1" si="89"/>
        <v>#NAME?</v>
      </c>
      <c r="DH84" s="38" t="e">
        <f ca="1">_xll.RiskBinomial(1,DG84)</f>
        <v>#NAME?</v>
      </c>
      <c r="DI84" s="86" t="e">
        <f ca="1">IF(DH84=1,_xll.RiskBinomial(1,Prob_illness_Noro_infection),0)</f>
        <v>#NAME?</v>
      </c>
      <c r="DK84" s="85" t="e">
        <f t="shared" ca="1" si="117"/>
        <v>#NAME?</v>
      </c>
      <c r="DL84" s="40" t="e">
        <f ca="1">INT(DK84) + _xll.RiskBinomial(1,DK84-INT(DK84))</f>
        <v>#NAME?</v>
      </c>
      <c r="DM84" s="33" t="e">
        <f t="shared" ca="1" si="90"/>
        <v>#NAME?</v>
      </c>
      <c r="DN84" s="38" t="e">
        <f ca="1">_xll.RiskBinomial(1,DM84)</f>
        <v>#NAME?</v>
      </c>
      <c r="DO84" s="86" t="e">
        <f ca="1">IF(DN84=1,_xll.RiskBinomial(1,Prob_illness_Noro_infection),0)</f>
        <v>#NAME?</v>
      </c>
      <c r="DQ84" s="85" t="e">
        <f t="shared" ca="1" si="118"/>
        <v>#NAME?</v>
      </c>
      <c r="DR84" s="40" t="e">
        <f ca="1">INT(DQ84) + _xll.RiskBinomial(1,DQ84-INT(DQ84))</f>
        <v>#NAME?</v>
      </c>
      <c r="DS84" s="33" t="e">
        <f t="shared" ca="1" si="91"/>
        <v>#NAME?</v>
      </c>
      <c r="DT84" s="38" t="e">
        <f ca="1">_xll.RiskBinomial(1,DS84)</f>
        <v>#NAME?</v>
      </c>
      <c r="DU84" s="86" t="e">
        <f ca="1">IF(DT84=1,_xll.RiskBinomial(1,Prob_illness_Noro_infection),0)</f>
        <v>#NAME?</v>
      </c>
      <c r="DW84" s="85" t="e">
        <f t="shared" ca="1" si="119"/>
        <v>#NAME?</v>
      </c>
      <c r="DX84" s="40" t="e">
        <f ca="1">INT(DW84) + _xll.RiskBinomial(1,DW84-INT(DW84))</f>
        <v>#NAME?</v>
      </c>
      <c r="DY84" s="33" t="e">
        <f t="shared" ca="1" si="92"/>
        <v>#NAME?</v>
      </c>
      <c r="DZ84" s="38" t="e">
        <f ca="1">_xll.RiskBinomial(1,DY84)</f>
        <v>#NAME?</v>
      </c>
      <c r="EA84" s="86" t="e">
        <f ca="1">IF(DZ84=1,_xll.RiskBinomial(1,Prob_illness_Noro_infection),0)</f>
        <v>#NAME?</v>
      </c>
      <c r="EC84" s="85" t="e">
        <f t="shared" ca="1" si="120"/>
        <v>#NAME?</v>
      </c>
      <c r="ED84" s="40" t="e">
        <f ca="1">INT(EC84) + _xll.RiskBinomial(1,EC84-INT(EC84))</f>
        <v>#NAME?</v>
      </c>
      <c r="EE84" s="33" t="e">
        <f t="shared" ca="1" si="93"/>
        <v>#NAME?</v>
      </c>
      <c r="EF84" s="38" t="e">
        <f ca="1">_xll.RiskBinomial(1,EE84)</f>
        <v>#NAME?</v>
      </c>
      <c r="EG84" s="86" t="e">
        <f ca="1">IF(EF84=1,_xll.RiskBinomial(1,Prob_illness_Noro_infection),0)</f>
        <v>#NAME?</v>
      </c>
      <c r="EI84" s="85" t="e">
        <f t="shared" ca="1" si="121"/>
        <v>#NAME?</v>
      </c>
      <c r="EJ84" s="40" t="e">
        <f ca="1">INT(EI84) + _xll.RiskBinomial(1,EI84-INT(EI84))</f>
        <v>#NAME?</v>
      </c>
      <c r="EK84" s="33" t="e">
        <f t="shared" ca="1" si="94"/>
        <v>#NAME?</v>
      </c>
      <c r="EL84" s="38" t="e">
        <f ca="1">_xll.RiskBinomial(1,EK84)</f>
        <v>#NAME?</v>
      </c>
      <c r="EM84" s="86" t="e">
        <f ca="1">IF(EL84=1,_xll.RiskBinomial(1,Prob_illness_Noro_infection),0)</f>
        <v>#NAME?</v>
      </c>
      <c r="EO84" s="85" t="e">
        <f t="shared" ca="1" si="122"/>
        <v>#NAME?</v>
      </c>
      <c r="EP84" s="40" t="e">
        <f ca="1">INT(EO84) + _xll.RiskBinomial(1,EO84-INT(EO84))</f>
        <v>#NAME?</v>
      </c>
      <c r="EQ84" s="33" t="e">
        <f t="shared" ca="1" si="95"/>
        <v>#NAME?</v>
      </c>
      <c r="ER84" s="38" t="e">
        <f ca="1">_xll.RiskBinomial(1,EQ84)</f>
        <v>#NAME?</v>
      </c>
      <c r="ES84" s="86" t="e">
        <f ca="1">IF(ER84=1,_xll.RiskBinomial(1,Prob_illness_Noro_infection),0)</f>
        <v>#NAME?</v>
      </c>
      <c r="EU84" s="85" t="e">
        <f t="shared" ca="1" si="123"/>
        <v>#NAME?</v>
      </c>
      <c r="EV84" s="40" t="e">
        <f ca="1">INT(EU84) + _xll.RiskBinomial(1,EU84-INT(EU84))</f>
        <v>#NAME?</v>
      </c>
      <c r="EW84" s="33" t="e">
        <f t="shared" ca="1" si="96"/>
        <v>#NAME?</v>
      </c>
      <c r="EX84" s="38" t="e">
        <f ca="1">_xll.RiskBinomial(1,EW84)</f>
        <v>#NAME?</v>
      </c>
      <c r="EY84" s="86" t="e">
        <f ca="1">IF(EX84=1,_xll.RiskBinomial(1,Prob_illness_Noro_infection),0)</f>
        <v>#NAME?</v>
      </c>
      <c r="FA84" s="85" t="e">
        <f t="shared" ca="1" si="124"/>
        <v>#NAME?</v>
      </c>
      <c r="FB84" s="40" t="e">
        <f ca="1">INT(FA84) + _xll.RiskBinomial(1,FA84-INT(FA84))</f>
        <v>#NAME?</v>
      </c>
      <c r="FC84" s="33" t="e">
        <f t="shared" ca="1" si="97"/>
        <v>#NAME?</v>
      </c>
      <c r="FD84" s="38" t="e">
        <f ca="1">_xll.RiskBinomial(1,FC84)</f>
        <v>#NAME?</v>
      </c>
      <c r="FE84" s="86" t="e">
        <f ca="1">IF(FD84=1,_xll.RiskBinomial(1,Prob_illness_Noro_infection),0)</f>
        <v>#NAME?</v>
      </c>
      <c r="FG84" s="85" t="e">
        <f t="shared" ca="1" si="125"/>
        <v>#NAME?</v>
      </c>
      <c r="FH84" s="40" t="e">
        <f ca="1">INT(FG84) + _xll.RiskBinomial(1,FG84-INT(FG84))</f>
        <v>#NAME?</v>
      </c>
      <c r="FI84" s="33" t="e">
        <f t="shared" ca="1" si="98"/>
        <v>#NAME?</v>
      </c>
      <c r="FJ84" s="38" t="e">
        <f ca="1">_xll.RiskBinomial(1,FI84)</f>
        <v>#NAME?</v>
      </c>
      <c r="FK84" s="86" t="e">
        <f ca="1">IF(FJ84=1,_xll.RiskBinomial(1,Prob_illness_Noro_infection),0)</f>
        <v>#NAME?</v>
      </c>
      <c r="FM84" s="85" t="e">
        <f t="shared" ca="1" si="126"/>
        <v>#NAME?</v>
      </c>
      <c r="FN84" s="40" t="e">
        <f ca="1">INT(FM84) + _xll.RiskBinomial(1,FM84-INT(FM84))</f>
        <v>#NAME?</v>
      </c>
      <c r="FO84" s="33" t="e">
        <f t="shared" ca="1" si="99"/>
        <v>#NAME?</v>
      </c>
      <c r="FP84" s="38" t="e">
        <f ca="1">_xll.RiskBinomial(1,FO84)</f>
        <v>#NAME?</v>
      </c>
      <c r="FQ84" s="86" t="e">
        <f ca="1">IF(FP84=1,_xll.RiskBinomial(1,Prob_illness_Noro_infection),0)</f>
        <v>#NAME?</v>
      </c>
      <c r="FS84" s="85" t="e">
        <f t="shared" ca="1" si="127"/>
        <v>#NAME?</v>
      </c>
      <c r="FT84" s="40" t="e">
        <f ca="1">INT(FS84) + _xll.RiskBinomial(1,FS84-INT(FS84))</f>
        <v>#NAME?</v>
      </c>
      <c r="FU84" s="33" t="e">
        <f t="shared" ca="1" si="100"/>
        <v>#NAME?</v>
      </c>
      <c r="FV84" s="38" t="e">
        <f ca="1">_xll.RiskBinomial(1,FU84)</f>
        <v>#NAME?</v>
      </c>
      <c r="FW84" s="86" t="e">
        <f ca="1">IF(FV84=1,_xll.RiskBinomial(1,Prob_illness_Noro_infection),0)</f>
        <v>#NAME?</v>
      </c>
      <c r="FY84" s="85" t="e">
        <f t="shared" ca="1" si="128"/>
        <v>#NAME?</v>
      </c>
      <c r="FZ84" s="40" t="e">
        <f ca="1">INT(FY84) + _xll.RiskBinomial(1,FY84-INT(FY84))</f>
        <v>#NAME?</v>
      </c>
      <c r="GA84" s="33" t="e">
        <f t="shared" ca="1" si="101"/>
        <v>#NAME?</v>
      </c>
      <c r="GB84" s="38" t="e">
        <f ca="1">_xll.RiskBinomial(1,GA84)</f>
        <v>#NAME?</v>
      </c>
      <c r="GC84" s="86" t="e">
        <f ca="1">IF(GB84=1,_xll.RiskBinomial(1,Prob_illness_Noro_infection),0)</f>
        <v>#NAME?</v>
      </c>
      <c r="GE84" s="85" t="e">
        <f t="shared" ca="1" si="129"/>
        <v>#NAME?</v>
      </c>
      <c r="GF84" s="40" t="e">
        <f ca="1">INT(GE84) + _xll.RiskBinomial(1,GE84-INT(GE84))</f>
        <v>#NAME?</v>
      </c>
      <c r="GG84" s="33" t="e">
        <f t="shared" ca="1" si="102"/>
        <v>#NAME?</v>
      </c>
      <c r="GH84" s="38" t="e">
        <f ca="1">_xll.RiskBinomial(1,GG84)</f>
        <v>#NAME?</v>
      </c>
      <c r="GI84" s="86" t="e">
        <f ca="1">IF(GH84=1,_xll.RiskBinomial(1,Prob_illness_Noro_infection),0)</f>
        <v>#NAME?</v>
      </c>
      <c r="GK84" s="85" t="e">
        <f t="shared" ca="1" si="130"/>
        <v>#NAME?</v>
      </c>
      <c r="GL84" s="40" t="e">
        <f ca="1">INT(GK84) + _xll.RiskBinomial(1,GK84-INT(GK84))</f>
        <v>#NAME?</v>
      </c>
      <c r="GM84" s="33" t="e">
        <f t="shared" ca="1" si="103"/>
        <v>#NAME?</v>
      </c>
      <c r="GN84" s="38" t="e">
        <f ca="1">_xll.RiskBinomial(1,GM84)</f>
        <v>#NAME?</v>
      </c>
      <c r="GO84" s="86" t="e">
        <f ca="1">IF(GN84=1,_xll.RiskBinomial(1,Prob_illness_Noro_infection),0)</f>
        <v>#NAME?</v>
      </c>
    </row>
    <row r="85" spans="2:197" x14ac:dyDescent="0.25">
      <c r="B85" s="106">
        <v>77</v>
      </c>
      <c r="C85" s="109" t="e">
        <f ca="1" xml:space="preserve"> _xll.RiskPert(Dur_Swim_hours_min,Dur_Swim_hours_mode,Dur_Swim_hours_max)</f>
        <v>#NAME?</v>
      </c>
      <c r="D85" s="33" t="e">
        <f ca="1">_xll.RiskLognorm(Primary_Ing_Rate_mL_per_hour_mean,Primary_Ing_Rate_mL_per_hour_sd, _xll.RiskTruncate(Primary_Ing_Rate_mL_per_hour_min,Primary_Ing_Rate_mL_per_hour_max))</f>
        <v>#NAME?</v>
      </c>
      <c r="E85" s="41" t="e">
        <f t="shared" ca="1" si="104"/>
        <v>#NAME?</v>
      </c>
      <c r="F85" s="33"/>
      <c r="G85" s="85" t="e">
        <f t="shared" ca="1" si="105"/>
        <v>#NAME?</v>
      </c>
      <c r="H85" s="40" t="e">
        <f ca="1">INT(G85) + _xll.RiskBinomial(1,G85-INT(G85))</f>
        <v>#NAME?</v>
      </c>
      <c r="I85" s="33" t="e">
        <f t="shared" ca="1" si="66"/>
        <v>#NAME?</v>
      </c>
      <c r="J85" s="38" t="e">
        <f ca="1">_xll.RiskBinomial(1,I85)</f>
        <v>#NAME?</v>
      </c>
      <c r="K85" s="86" t="e">
        <f ca="1">IF(J85=1,_xll.RiskBinomial(1,Prob_illness_Noro_infection),0)</f>
        <v>#NAME?</v>
      </c>
      <c r="L85" s="33"/>
      <c r="M85" s="85" t="e">
        <f t="shared" ca="1" si="67"/>
        <v>#NAME?</v>
      </c>
      <c r="N85" s="40" t="e">
        <f ca="1">INT(M85) + _xll.RiskBinomial(1,M85-INT(M85))</f>
        <v>#NAME?</v>
      </c>
      <c r="O85" s="33" t="e">
        <f t="shared" ca="1" si="68"/>
        <v>#NAME?</v>
      </c>
      <c r="P85" s="38" t="e">
        <f ca="1">_xll.RiskBinomial(1,O85)</f>
        <v>#NAME?</v>
      </c>
      <c r="Q85" s="86" t="e">
        <f ca="1">IF(P85=1,_xll.RiskBinomial(1,Prob_illness_Noro_infection),0)</f>
        <v>#NAME?</v>
      </c>
      <c r="R85" s="33"/>
      <c r="S85" s="85" t="e">
        <f t="shared" ca="1" si="69"/>
        <v>#NAME?</v>
      </c>
      <c r="T85" s="40" t="e">
        <f ca="1">INT(S85) + _xll.RiskBinomial(1,S85-INT(S85))</f>
        <v>#NAME?</v>
      </c>
      <c r="U85" s="33" t="e">
        <f t="shared" ca="1" si="70"/>
        <v>#NAME?</v>
      </c>
      <c r="V85" s="38" t="e">
        <f ca="1">_xll.RiskBinomial(1,U85)</f>
        <v>#NAME?</v>
      </c>
      <c r="W85" s="86" t="e">
        <f ca="1">IF(V85=1,_xll.RiskBinomial(1,Prob_illness_Noro_infection),0)</f>
        <v>#NAME?</v>
      </c>
      <c r="X85" s="33"/>
      <c r="Y85" s="85" t="e">
        <f t="shared" ca="1" si="71"/>
        <v>#NAME?</v>
      </c>
      <c r="Z85" s="40" t="e">
        <f ca="1">INT(Y85) + _xll.RiskBinomial(1,Y85-INT(Y85))</f>
        <v>#NAME?</v>
      </c>
      <c r="AA85" s="33" t="e">
        <f t="shared" ca="1" si="72"/>
        <v>#NAME?</v>
      </c>
      <c r="AB85" s="38" t="e">
        <f ca="1">_xll.RiskBinomial(1,AA85)</f>
        <v>#NAME?</v>
      </c>
      <c r="AC85" s="86" t="e">
        <f ca="1">IF(AB85=1,_xll.RiskBinomial(1,Prob_illness_Noro_infection),0)</f>
        <v>#NAME?</v>
      </c>
      <c r="AD85" s="33"/>
      <c r="AE85" s="85" t="e">
        <f t="shared" ca="1" si="73"/>
        <v>#NAME?</v>
      </c>
      <c r="AF85" s="40" t="e">
        <f ca="1">INT(AE85) + _xll.RiskBinomial(1,AE85-INT(AE85))</f>
        <v>#NAME?</v>
      </c>
      <c r="AG85" s="33" t="e">
        <f t="shared" ca="1" si="74"/>
        <v>#NAME?</v>
      </c>
      <c r="AH85" s="38" t="e">
        <f ca="1">_xll.RiskBinomial(1,AG85)</f>
        <v>#NAME?</v>
      </c>
      <c r="AI85" s="86" t="e">
        <f ca="1">IF(AH85=1,_xll.RiskBinomial(1,Prob_illness_Noro_infection),0)</f>
        <v>#NAME?</v>
      </c>
      <c r="AJ85" s="33"/>
      <c r="AK85" s="85" t="e">
        <f t="shared" ca="1" si="75"/>
        <v>#NAME?</v>
      </c>
      <c r="AL85" s="40" t="e">
        <f ca="1">INT(AK85) + _xll.RiskBinomial(1,AK85-INT(AK85))</f>
        <v>#NAME?</v>
      </c>
      <c r="AM85" s="33" t="e">
        <f t="shared" ca="1" si="76"/>
        <v>#NAME?</v>
      </c>
      <c r="AN85" s="38" t="e">
        <f ca="1">_xll.RiskBinomial(1,AM85)</f>
        <v>#NAME?</v>
      </c>
      <c r="AO85" s="86" t="e">
        <f ca="1">IF(AN85=1,_xll.RiskBinomial(1,Prob_illness_Noro_infection),0)</f>
        <v>#NAME?</v>
      </c>
      <c r="AP85" s="33"/>
      <c r="AQ85" s="85" t="e">
        <f t="shared" ca="1" si="77"/>
        <v>#NAME?</v>
      </c>
      <c r="AR85" s="40" t="e">
        <f ca="1">INT(AQ85) + _xll.RiskBinomial(1,AQ85-INT(AQ85))</f>
        <v>#NAME?</v>
      </c>
      <c r="AS85" s="33" t="e">
        <f t="shared" ca="1" si="78"/>
        <v>#NAME?</v>
      </c>
      <c r="AT85" s="38" t="e">
        <f ca="1">_xll.RiskBinomial(1,AS85)</f>
        <v>#NAME?</v>
      </c>
      <c r="AU85" s="86" t="e">
        <f ca="1">IF(AT85=1,_xll.RiskBinomial(1,Prob_illness_Noro_infection),0)</f>
        <v>#NAME?</v>
      </c>
      <c r="AV85" s="33"/>
      <c r="AW85" s="85" t="e">
        <f t="shared" ca="1" si="106"/>
        <v>#NAME?</v>
      </c>
      <c r="AX85" s="40" t="e">
        <f ca="1">INT(AW85) + _xll.RiskBinomial(1,AW85-INT(AW85))</f>
        <v>#NAME?</v>
      </c>
      <c r="AY85" s="33" t="e">
        <f t="shared" ca="1" si="79"/>
        <v>#NAME?</v>
      </c>
      <c r="AZ85" s="38" t="e">
        <f ca="1">_xll.RiskBinomial(1,AY85)</f>
        <v>#NAME?</v>
      </c>
      <c r="BA85" s="86" t="e">
        <f ca="1">IF(AZ85=1,_xll.RiskBinomial(1,Prob_illness_Noro_infection),0)</f>
        <v>#NAME?</v>
      </c>
      <c r="BC85" s="85" t="e">
        <f t="shared" ca="1" si="107"/>
        <v>#NAME?</v>
      </c>
      <c r="BD85" s="40" t="e">
        <f ca="1">INT(BC85) + _xll.RiskBinomial(1,BC85-INT(BC85))</f>
        <v>#NAME?</v>
      </c>
      <c r="BE85" s="33" t="e">
        <f t="shared" ca="1" si="80"/>
        <v>#NAME?</v>
      </c>
      <c r="BF85" s="38" t="e">
        <f ca="1">_xll.RiskBinomial(1,BE85)</f>
        <v>#NAME?</v>
      </c>
      <c r="BG85" s="86" t="e">
        <f ca="1">IF(BF85=1,_xll.RiskBinomial(1,Prob_illness_Noro_infection),0)</f>
        <v>#NAME?</v>
      </c>
      <c r="BI85" s="85" t="e">
        <f t="shared" ca="1" si="108"/>
        <v>#NAME?</v>
      </c>
      <c r="BJ85" s="40" t="e">
        <f ca="1">INT(BI85) + _xll.RiskBinomial(1,BI85-INT(BI85))</f>
        <v>#NAME?</v>
      </c>
      <c r="BK85" s="33" t="e">
        <f t="shared" ca="1" si="81"/>
        <v>#NAME?</v>
      </c>
      <c r="BL85" s="38" t="e">
        <f ca="1">_xll.RiskBinomial(1,BK85)</f>
        <v>#NAME?</v>
      </c>
      <c r="BM85" s="86" t="e">
        <f ca="1">IF(BL85=1,_xll.RiskBinomial(1,Prob_illness_Noro_infection),0)</f>
        <v>#NAME?</v>
      </c>
      <c r="BO85" s="85" t="e">
        <f t="shared" ca="1" si="109"/>
        <v>#NAME?</v>
      </c>
      <c r="BP85" s="40" t="e">
        <f ca="1">INT(BO85) + _xll.RiskBinomial(1,BO85-INT(BO85))</f>
        <v>#NAME?</v>
      </c>
      <c r="BQ85" s="33" t="e">
        <f t="shared" ca="1" si="82"/>
        <v>#NAME?</v>
      </c>
      <c r="BR85" s="38" t="e">
        <f ca="1">_xll.RiskBinomial(1,BQ85)</f>
        <v>#NAME?</v>
      </c>
      <c r="BS85" s="86" t="e">
        <f ca="1">IF(BR85=1,_xll.RiskBinomial(1,Prob_illness_Noro_infection),0)</f>
        <v>#NAME?</v>
      </c>
      <c r="BU85" s="85" t="e">
        <f t="shared" ca="1" si="110"/>
        <v>#NAME?</v>
      </c>
      <c r="BV85" s="40" t="e">
        <f ca="1">INT(BU85) + _xll.RiskBinomial(1,BU85-INT(BU85))</f>
        <v>#NAME?</v>
      </c>
      <c r="BW85" s="33" t="e">
        <f t="shared" ca="1" si="83"/>
        <v>#NAME?</v>
      </c>
      <c r="BX85" s="38" t="e">
        <f ca="1">_xll.RiskBinomial(1,BW85)</f>
        <v>#NAME?</v>
      </c>
      <c r="BY85" s="86" t="e">
        <f ca="1">IF(BX85=1,_xll.RiskBinomial(1,Prob_illness_Noro_infection),0)</f>
        <v>#NAME?</v>
      </c>
      <c r="CA85" s="85" t="e">
        <f t="shared" ca="1" si="111"/>
        <v>#NAME?</v>
      </c>
      <c r="CB85" s="40" t="e">
        <f ca="1">INT(CA85) + _xll.RiskBinomial(1,CA85-INT(CA85))</f>
        <v>#NAME?</v>
      </c>
      <c r="CC85" s="33" t="e">
        <f t="shared" ca="1" si="84"/>
        <v>#NAME?</v>
      </c>
      <c r="CD85" s="38" t="e">
        <f ca="1">_xll.RiskBinomial(1,CC85)</f>
        <v>#NAME?</v>
      </c>
      <c r="CE85" s="86" t="e">
        <f ca="1">IF(CD85=1,_xll.RiskBinomial(1,Prob_illness_Noro_infection),0)</f>
        <v>#NAME?</v>
      </c>
      <c r="CG85" s="85" t="e">
        <f t="shared" ca="1" si="112"/>
        <v>#NAME?</v>
      </c>
      <c r="CH85" s="40" t="e">
        <f ca="1">INT(CG85) + _xll.RiskBinomial(1,CG85-INT(CG85))</f>
        <v>#NAME?</v>
      </c>
      <c r="CI85" s="33" t="e">
        <f t="shared" ca="1" si="85"/>
        <v>#NAME?</v>
      </c>
      <c r="CJ85" s="38" t="e">
        <f ca="1">_xll.RiskBinomial(1,CI85)</f>
        <v>#NAME?</v>
      </c>
      <c r="CK85" s="86" t="e">
        <f ca="1">IF(CJ85=1,_xll.RiskBinomial(1,Prob_illness_Noro_infection),0)</f>
        <v>#NAME?</v>
      </c>
      <c r="CM85" s="85" t="e">
        <f t="shared" ca="1" si="113"/>
        <v>#NAME?</v>
      </c>
      <c r="CN85" s="40" t="e">
        <f ca="1">INT(CM85) + _xll.RiskBinomial(1,CM85-INT(CM85))</f>
        <v>#NAME?</v>
      </c>
      <c r="CO85" s="33" t="e">
        <f t="shared" ca="1" si="86"/>
        <v>#NAME?</v>
      </c>
      <c r="CP85" s="38" t="e">
        <f ca="1">_xll.RiskBinomial(1,CO85)</f>
        <v>#NAME?</v>
      </c>
      <c r="CQ85" s="86" t="e">
        <f ca="1">IF(CP85=1,_xll.RiskBinomial(1,Prob_illness_Noro_infection),0)</f>
        <v>#NAME?</v>
      </c>
      <c r="CS85" s="85" t="e">
        <f t="shared" ca="1" si="114"/>
        <v>#NAME?</v>
      </c>
      <c r="CT85" s="40" t="e">
        <f ca="1">INT(CS85) + _xll.RiskBinomial(1,CS85-INT(CS85))</f>
        <v>#NAME?</v>
      </c>
      <c r="CU85" s="33" t="e">
        <f t="shared" ca="1" si="87"/>
        <v>#NAME?</v>
      </c>
      <c r="CV85" s="38" t="e">
        <f ca="1">_xll.RiskBinomial(1,CU85)</f>
        <v>#NAME?</v>
      </c>
      <c r="CW85" s="86" t="e">
        <f ca="1">IF(CV85=1,_xll.RiskBinomial(1,Prob_illness_Noro_infection),0)</f>
        <v>#NAME?</v>
      </c>
      <c r="CY85" s="85" t="e">
        <f t="shared" ca="1" si="115"/>
        <v>#NAME?</v>
      </c>
      <c r="CZ85" s="40" t="e">
        <f ca="1">INT(CY85) + _xll.RiskBinomial(1,CY85-INT(CY85))</f>
        <v>#NAME?</v>
      </c>
      <c r="DA85" s="33" t="e">
        <f t="shared" ca="1" si="88"/>
        <v>#NAME?</v>
      </c>
      <c r="DB85" s="38" t="e">
        <f ca="1">_xll.RiskBinomial(1,DA85)</f>
        <v>#NAME?</v>
      </c>
      <c r="DC85" s="86" t="e">
        <f ca="1">IF(DB85=1,_xll.RiskBinomial(1,Prob_illness_Noro_infection),0)</f>
        <v>#NAME?</v>
      </c>
      <c r="DE85" s="85" t="e">
        <f t="shared" ca="1" si="116"/>
        <v>#NAME?</v>
      </c>
      <c r="DF85" s="40" t="e">
        <f ca="1">INT(DE85) + _xll.RiskBinomial(1,DE85-INT(DE85))</f>
        <v>#NAME?</v>
      </c>
      <c r="DG85" s="33" t="e">
        <f t="shared" ca="1" si="89"/>
        <v>#NAME?</v>
      </c>
      <c r="DH85" s="38" t="e">
        <f ca="1">_xll.RiskBinomial(1,DG85)</f>
        <v>#NAME?</v>
      </c>
      <c r="DI85" s="86" t="e">
        <f ca="1">IF(DH85=1,_xll.RiskBinomial(1,Prob_illness_Noro_infection),0)</f>
        <v>#NAME?</v>
      </c>
      <c r="DK85" s="85" t="e">
        <f t="shared" ca="1" si="117"/>
        <v>#NAME?</v>
      </c>
      <c r="DL85" s="40" t="e">
        <f ca="1">INT(DK85) + _xll.RiskBinomial(1,DK85-INT(DK85))</f>
        <v>#NAME?</v>
      </c>
      <c r="DM85" s="33" t="e">
        <f t="shared" ca="1" si="90"/>
        <v>#NAME?</v>
      </c>
      <c r="DN85" s="38" t="e">
        <f ca="1">_xll.RiskBinomial(1,DM85)</f>
        <v>#NAME?</v>
      </c>
      <c r="DO85" s="86" t="e">
        <f ca="1">IF(DN85=1,_xll.RiskBinomial(1,Prob_illness_Noro_infection),0)</f>
        <v>#NAME?</v>
      </c>
      <c r="DQ85" s="85" t="e">
        <f t="shared" ca="1" si="118"/>
        <v>#NAME?</v>
      </c>
      <c r="DR85" s="40" t="e">
        <f ca="1">INT(DQ85) + _xll.RiskBinomial(1,DQ85-INT(DQ85))</f>
        <v>#NAME?</v>
      </c>
      <c r="DS85" s="33" t="e">
        <f t="shared" ca="1" si="91"/>
        <v>#NAME?</v>
      </c>
      <c r="DT85" s="38" t="e">
        <f ca="1">_xll.RiskBinomial(1,DS85)</f>
        <v>#NAME?</v>
      </c>
      <c r="DU85" s="86" t="e">
        <f ca="1">IF(DT85=1,_xll.RiskBinomial(1,Prob_illness_Noro_infection),0)</f>
        <v>#NAME?</v>
      </c>
      <c r="DW85" s="85" t="e">
        <f t="shared" ca="1" si="119"/>
        <v>#NAME?</v>
      </c>
      <c r="DX85" s="40" t="e">
        <f ca="1">INT(DW85) + _xll.RiskBinomial(1,DW85-INT(DW85))</f>
        <v>#NAME?</v>
      </c>
      <c r="DY85" s="33" t="e">
        <f t="shared" ca="1" si="92"/>
        <v>#NAME?</v>
      </c>
      <c r="DZ85" s="38" t="e">
        <f ca="1">_xll.RiskBinomial(1,DY85)</f>
        <v>#NAME?</v>
      </c>
      <c r="EA85" s="86" t="e">
        <f ca="1">IF(DZ85=1,_xll.RiskBinomial(1,Prob_illness_Noro_infection),0)</f>
        <v>#NAME?</v>
      </c>
      <c r="EC85" s="85" t="e">
        <f t="shared" ca="1" si="120"/>
        <v>#NAME?</v>
      </c>
      <c r="ED85" s="40" t="e">
        <f ca="1">INT(EC85) + _xll.RiskBinomial(1,EC85-INT(EC85))</f>
        <v>#NAME?</v>
      </c>
      <c r="EE85" s="33" t="e">
        <f t="shared" ca="1" si="93"/>
        <v>#NAME?</v>
      </c>
      <c r="EF85" s="38" t="e">
        <f ca="1">_xll.RiskBinomial(1,EE85)</f>
        <v>#NAME?</v>
      </c>
      <c r="EG85" s="86" t="e">
        <f ca="1">IF(EF85=1,_xll.RiskBinomial(1,Prob_illness_Noro_infection),0)</f>
        <v>#NAME?</v>
      </c>
      <c r="EI85" s="85" t="e">
        <f t="shared" ca="1" si="121"/>
        <v>#NAME?</v>
      </c>
      <c r="EJ85" s="40" t="e">
        <f ca="1">INT(EI85) + _xll.RiskBinomial(1,EI85-INT(EI85))</f>
        <v>#NAME?</v>
      </c>
      <c r="EK85" s="33" t="e">
        <f t="shared" ca="1" si="94"/>
        <v>#NAME?</v>
      </c>
      <c r="EL85" s="38" t="e">
        <f ca="1">_xll.RiskBinomial(1,EK85)</f>
        <v>#NAME?</v>
      </c>
      <c r="EM85" s="86" t="e">
        <f ca="1">IF(EL85=1,_xll.RiskBinomial(1,Prob_illness_Noro_infection),0)</f>
        <v>#NAME?</v>
      </c>
      <c r="EO85" s="85" t="e">
        <f t="shared" ca="1" si="122"/>
        <v>#NAME?</v>
      </c>
      <c r="EP85" s="40" t="e">
        <f ca="1">INT(EO85) + _xll.RiskBinomial(1,EO85-INT(EO85))</f>
        <v>#NAME?</v>
      </c>
      <c r="EQ85" s="33" t="e">
        <f t="shared" ca="1" si="95"/>
        <v>#NAME?</v>
      </c>
      <c r="ER85" s="38" t="e">
        <f ca="1">_xll.RiskBinomial(1,EQ85)</f>
        <v>#NAME?</v>
      </c>
      <c r="ES85" s="86" t="e">
        <f ca="1">IF(ER85=1,_xll.RiskBinomial(1,Prob_illness_Noro_infection),0)</f>
        <v>#NAME?</v>
      </c>
      <c r="EU85" s="85" t="e">
        <f t="shared" ca="1" si="123"/>
        <v>#NAME?</v>
      </c>
      <c r="EV85" s="40" t="e">
        <f ca="1">INT(EU85) + _xll.RiskBinomial(1,EU85-INT(EU85))</f>
        <v>#NAME?</v>
      </c>
      <c r="EW85" s="33" t="e">
        <f t="shared" ca="1" si="96"/>
        <v>#NAME?</v>
      </c>
      <c r="EX85" s="38" t="e">
        <f ca="1">_xll.RiskBinomial(1,EW85)</f>
        <v>#NAME?</v>
      </c>
      <c r="EY85" s="86" t="e">
        <f ca="1">IF(EX85=1,_xll.RiskBinomial(1,Prob_illness_Noro_infection),0)</f>
        <v>#NAME?</v>
      </c>
      <c r="FA85" s="85" t="e">
        <f t="shared" ca="1" si="124"/>
        <v>#NAME?</v>
      </c>
      <c r="FB85" s="40" t="e">
        <f ca="1">INT(FA85) + _xll.RiskBinomial(1,FA85-INT(FA85))</f>
        <v>#NAME?</v>
      </c>
      <c r="FC85" s="33" t="e">
        <f t="shared" ca="1" si="97"/>
        <v>#NAME?</v>
      </c>
      <c r="FD85" s="38" t="e">
        <f ca="1">_xll.RiskBinomial(1,FC85)</f>
        <v>#NAME?</v>
      </c>
      <c r="FE85" s="86" t="e">
        <f ca="1">IF(FD85=1,_xll.RiskBinomial(1,Prob_illness_Noro_infection),0)</f>
        <v>#NAME?</v>
      </c>
      <c r="FG85" s="85" t="e">
        <f t="shared" ca="1" si="125"/>
        <v>#NAME?</v>
      </c>
      <c r="FH85" s="40" t="e">
        <f ca="1">INT(FG85) + _xll.RiskBinomial(1,FG85-INT(FG85))</f>
        <v>#NAME?</v>
      </c>
      <c r="FI85" s="33" t="e">
        <f t="shared" ca="1" si="98"/>
        <v>#NAME?</v>
      </c>
      <c r="FJ85" s="38" t="e">
        <f ca="1">_xll.RiskBinomial(1,FI85)</f>
        <v>#NAME?</v>
      </c>
      <c r="FK85" s="86" t="e">
        <f ca="1">IF(FJ85=1,_xll.RiskBinomial(1,Prob_illness_Noro_infection),0)</f>
        <v>#NAME?</v>
      </c>
      <c r="FM85" s="85" t="e">
        <f t="shared" ca="1" si="126"/>
        <v>#NAME?</v>
      </c>
      <c r="FN85" s="40" t="e">
        <f ca="1">INT(FM85) + _xll.RiskBinomial(1,FM85-INT(FM85))</f>
        <v>#NAME?</v>
      </c>
      <c r="FO85" s="33" t="e">
        <f t="shared" ca="1" si="99"/>
        <v>#NAME?</v>
      </c>
      <c r="FP85" s="38" t="e">
        <f ca="1">_xll.RiskBinomial(1,FO85)</f>
        <v>#NAME?</v>
      </c>
      <c r="FQ85" s="86" t="e">
        <f ca="1">IF(FP85=1,_xll.RiskBinomial(1,Prob_illness_Noro_infection),0)</f>
        <v>#NAME?</v>
      </c>
      <c r="FS85" s="85" t="e">
        <f t="shared" ca="1" si="127"/>
        <v>#NAME?</v>
      </c>
      <c r="FT85" s="40" t="e">
        <f ca="1">INT(FS85) + _xll.RiskBinomial(1,FS85-INT(FS85))</f>
        <v>#NAME?</v>
      </c>
      <c r="FU85" s="33" t="e">
        <f t="shared" ca="1" si="100"/>
        <v>#NAME?</v>
      </c>
      <c r="FV85" s="38" t="e">
        <f ca="1">_xll.RiskBinomial(1,FU85)</f>
        <v>#NAME?</v>
      </c>
      <c r="FW85" s="86" t="e">
        <f ca="1">IF(FV85=1,_xll.RiskBinomial(1,Prob_illness_Noro_infection),0)</f>
        <v>#NAME?</v>
      </c>
      <c r="FY85" s="85" t="e">
        <f t="shared" ca="1" si="128"/>
        <v>#NAME?</v>
      </c>
      <c r="FZ85" s="40" t="e">
        <f ca="1">INT(FY85) + _xll.RiskBinomial(1,FY85-INT(FY85))</f>
        <v>#NAME?</v>
      </c>
      <c r="GA85" s="33" t="e">
        <f t="shared" ca="1" si="101"/>
        <v>#NAME?</v>
      </c>
      <c r="GB85" s="38" t="e">
        <f ca="1">_xll.RiskBinomial(1,GA85)</f>
        <v>#NAME?</v>
      </c>
      <c r="GC85" s="86" t="e">
        <f ca="1">IF(GB85=1,_xll.RiskBinomial(1,Prob_illness_Noro_infection),0)</f>
        <v>#NAME?</v>
      </c>
      <c r="GE85" s="85" t="e">
        <f t="shared" ca="1" si="129"/>
        <v>#NAME?</v>
      </c>
      <c r="GF85" s="40" t="e">
        <f ca="1">INT(GE85) + _xll.RiskBinomial(1,GE85-INT(GE85))</f>
        <v>#NAME?</v>
      </c>
      <c r="GG85" s="33" t="e">
        <f t="shared" ca="1" si="102"/>
        <v>#NAME?</v>
      </c>
      <c r="GH85" s="38" t="e">
        <f ca="1">_xll.RiskBinomial(1,GG85)</f>
        <v>#NAME?</v>
      </c>
      <c r="GI85" s="86" t="e">
        <f ca="1">IF(GH85=1,_xll.RiskBinomial(1,Prob_illness_Noro_infection),0)</f>
        <v>#NAME?</v>
      </c>
      <c r="GK85" s="85" t="e">
        <f t="shared" ca="1" si="130"/>
        <v>#NAME?</v>
      </c>
      <c r="GL85" s="40" t="e">
        <f ca="1">INT(GK85) + _xll.RiskBinomial(1,GK85-INT(GK85))</f>
        <v>#NAME?</v>
      </c>
      <c r="GM85" s="33" t="e">
        <f t="shared" ca="1" si="103"/>
        <v>#NAME?</v>
      </c>
      <c r="GN85" s="38" t="e">
        <f ca="1">_xll.RiskBinomial(1,GM85)</f>
        <v>#NAME?</v>
      </c>
      <c r="GO85" s="86" t="e">
        <f ca="1">IF(GN85=1,_xll.RiskBinomial(1,Prob_illness_Noro_infection),0)</f>
        <v>#NAME?</v>
      </c>
    </row>
    <row r="86" spans="2:197" x14ac:dyDescent="0.25">
      <c r="B86" s="106">
        <v>78</v>
      </c>
      <c r="C86" s="109" t="e">
        <f ca="1" xml:space="preserve"> _xll.RiskPert(Dur_Swim_hours_min,Dur_Swim_hours_mode,Dur_Swim_hours_max)</f>
        <v>#NAME?</v>
      </c>
      <c r="D86" s="33" t="e">
        <f ca="1">_xll.RiskLognorm(Primary_Ing_Rate_mL_per_hour_mean,Primary_Ing_Rate_mL_per_hour_sd, _xll.RiskTruncate(Primary_Ing_Rate_mL_per_hour_min,Primary_Ing_Rate_mL_per_hour_max))</f>
        <v>#NAME?</v>
      </c>
      <c r="E86" s="41" t="e">
        <f t="shared" ca="1" si="104"/>
        <v>#NAME?</v>
      </c>
      <c r="F86" s="33"/>
      <c r="G86" s="85" t="e">
        <f t="shared" ca="1" si="105"/>
        <v>#NAME?</v>
      </c>
      <c r="H86" s="40" t="e">
        <f ca="1">INT(G86) + _xll.RiskBinomial(1,G86-INT(G86))</f>
        <v>#NAME?</v>
      </c>
      <c r="I86" s="33" t="e">
        <f t="shared" ca="1" si="66"/>
        <v>#NAME?</v>
      </c>
      <c r="J86" s="38" t="e">
        <f ca="1">_xll.RiskBinomial(1,I86)</f>
        <v>#NAME?</v>
      </c>
      <c r="K86" s="86" t="e">
        <f ca="1">IF(J86=1,_xll.RiskBinomial(1,Prob_illness_Noro_infection),0)</f>
        <v>#NAME?</v>
      </c>
      <c r="L86" s="33"/>
      <c r="M86" s="85" t="e">
        <f t="shared" ca="1" si="67"/>
        <v>#NAME?</v>
      </c>
      <c r="N86" s="40" t="e">
        <f ca="1">INT(M86) + _xll.RiskBinomial(1,M86-INT(M86))</f>
        <v>#NAME?</v>
      </c>
      <c r="O86" s="33" t="e">
        <f t="shared" ca="1" si="68"/>
        <v>#NAME?</v>
      </c>
      <c r="P86" s="38" t="e">
        <f ca="1">_xll.RiskBinomial(1,O86)</f>
        <v>#NAME?</v>
      </c>
      <c r="Q86" s="86" t="e">
        <f ca="1">IF(P86=1,_xll.RiskBinomial(1,Prob_illness_Noro_infection),0)</f>
        <v>#NAME?</v>
      </c>
      <c r="R86" s="33"/>
      <c r="S86" s="85" t="e">
        <f t="shared" ca="1" si="69"/>
        <v>#NAME?</v>
      </c>
      <c r="T86" s="40" t="e">
        <f ca="1">INT(S86) + _xll.RiskBinomial(1,S86-INT(S86))</f>
        <v>#NAME?</v>
      </c>
      <c r="U86" s="33" t="e">
        <f t="shared" ca="1" si="70"/>
        <v>#NAME?</v>
      </c>
      <c r="V86" s="38" t="e">
        <f ca="1">_xll.RiskBinomial(1,U86)</f>
        <v>#NAME?</v>
      </c>
      <c r="W86" s="86" t="e">
        <f ca="1">IF(V86=1,_xll.RiskBinomial(1,Prob_illness_Noro_infection),0)</f>
        <v>#NAME?</v>
      </c>
      <c r="X86" s="33"/>
      <c r="Y86" s="85" t="e">
        <f t="shared" ca="1" si="71"/>
        <v>#NAME?</v>
      </c>
      <c r="Z86" s="40" t="e">
        <f ca="1">INT(Y86) + _xll.RiskBinomial(1,Y86-INT(Y86))</f>
        <v>#NAME?</v>
      </c>
      <c r="AA86" s="33" t="e">
        <f t="shared" ca="1" si="72"/>
        <v>#NAME?</v>
      </c>
      <c r="AB86" s="38" t="e">
        <f ca="1">_xll.RiskBinomial(1,AA86)</f>
        <v>#NAME?</v>
      </c>
      <c r="AC86" s="86" t="e">
        <f ca="1">IF(AB86=1,_xll.RiskBinomial(1,Prob_illness_Noro_infection),0)</f>
        <v>#NAME?</v>
      </c>
      <c r="AD86" s="33"/>
      <c r="AE86" s="85" t="e">
        <f t="shared" ca="1" si="73"/>
        <v>#NAME?</v>
      </c>
      <c r="AF86" s="40" t="e">
        <f ca="1">INT(AE86) + _xll.RiskBinomial(1,AE86-INT(AE86))</f>
        <v>#NAME?</v>
      </c>
      <c r="AG86" s="33" t="e">
        <f t="shared" ca="1" si="74"/>
        <v>#NAME?</v>
      </c>
      <c r="AH86" s="38" t="e">
        <f ca="1">_xll.RiskBinomial(1,AG86)</f>
        <v>#NAME?</v>
      </c>
      <c r="AI86" s="86" t="e">
        <f ca="1">IF(AH86=1,_xll.RiskBinomial(1,Prob_illness_Noro_infection),0)</f>
        <v>#NAME?</v>
      </c>
      <c r="AJ86" s="33"/>
      <c r="AK86" s="85" t="e">
        <f t="shared" ca="1" si="75"/>
        <v>#NAME?</v>
      </c>
      <c r="AL86" s="40" t="e">
        <f ca="1">INT(AK86) + _xll.RiskBinomial(1,AK86-INT(AK86))</f>
        <v>#NAME?</v>
      </c>
      <c r="AM86" s="33" t="e">
        <f t="shared" ca="1" si="76"/>
        <v>#NAME?</v>
      </c>
      <c r="AN86" s="38" t="e">
        <f ca="1">_xll.RiskBinomial(1,AM86)</f>
        <v>#NAME?</v>
      </c>
      <c r="AO86" s="86" t="e">
        <f ca="1">IF(AN86=1,_xll.RiskBinomial(1,Prob_illness_Noro_infection),0)</f>
        <v>#NAME?</v>
      </c>
      <c r="AP86" s="33"/>
      <c r="AQ86" s="85" t="e">
        <f t="shared" ca="1" si="77"/>
        <v>#NAME?</v>
      </c>
      <c r="AR86" s="40" t="e">
        <f ca="1">INT(AQ86) + _xll.RiskBinomial(1,AQ86-INT(AQ86))</f>
        <v>#NAME?</v>
      </c>
      <c r="AS86" s="33" t="e">
        <f t="shared" ca="1" si="78"/>
        <v>#NAME?</v>
      </c>
      <c r="AT86" s="38" t="e">
        <f ca="1">_xll.RiskBinomial(1,AS86)</f>
        <v>#NAME?</v>
      </c>
      <c r="AU86" s="86" t="e">
        <f ca="1">IF(AT86=1,_xll.RiskBinomial(1,Prob_illness_Noro_infection),0)</f>
        <v>#NAME?</v>
      </c>
      <c r="AV86" s="33"/>
      <c r="AW86" s="85" t="e">
        <f t="shared" ca="1" si="106"/>
        <v>#NAME?</v>
      </c>
      <c r="AX86" s="40" t="e">
        <f ca="1">INT(AW86) + _xll.RiskBinomial(1,AW86-INT(AW86))</f>
        <v>#NAME?</v>
      </c>
      <c r="AY86" s="33" t="e">
        <f t="shared" ca="1" si="79"/>
        <v>#NAME?</v>
      </c>
      <c r="AZ86" s="38" t="e">
        <f ca="1">_xll.RiskBinomial(1,AY86)</f>
        <v>#NAME?</v>
      </c>
      <c r="BA86" s="86" t="e">
        <f ca="1">IF(AZ86=1,_xll.RiskBinomial(1,Prob_illness_Noro_infection),0)</f>
        <v>#NAME?</v>
      </c>
      <c r="BC86" s="85" t="e">
        <f t="shared" ca="1" si="107"/>
        <v>#NAME?</v>
      </c>
      <c r="BD86" s="40" t="e">
        <f ca="1">INT(BC86) + _xll.RiskBinomial(1,BC86-INT(BC86))</f>
        <v>#NAME?</v>
      </c>
      <c r="BE86" s="33" t="e">
        <f t="shared" ca="1" si="80"/>
        <v>#NAME?</v>
      </c>
      <c r="BF86" s="38" t="e">
        <f ca="1">_xll.RiskBinomial(1,BE86)</f>
        <v>#NAME?</v>
      </c>
      <c r="BG86" s="86" t="e">
        <f ca="1">IF(BF86=1,_xll.RiskBinomial(1,Prob_illness_Noro_infection),0)</f>
        <v>#NAME?</v>
      </c>
      <c r="BI86" s="85" t="e">
        <f t="shared" ca="1" si="108"/>
        <v>#NAME?</v>
      </c>
      <c r="BJ86" s="40" t="e">
        <f ca="1">INT(BI86) + _xll.RiskBinomial(1,BI86-INT(BI86))</f>
        <v>#NAME?</v>
      </c>
      <c r="BK86" s="33" t="e">
        <f t="shared" ca="1" si="81"/>
        <v>#NAME?</v>
      </c>
      <c r="BL86" s="38" t="e">
        <f ca="1">_xll.RiskBinomial(1,BK86)</f>
        <v>#NAME?</v>
      </c>
      <c r="BM86" s="86" t="e">
        <f ca="1">IF(BL86=1,_xll.RiskBinomial(1,Prob_illness_Noro_infection),0)</f>
        <v>#NAME?</v>
      </c>
      <c r="BO86" s="85" t="e">
        <f t="shared" ca="1" si="109"/>
        <v>#NAME?</v>
      </c>
      <c r="BP86" s="40" t="e">
        <f ca="1">INT(BO86) + _xll.RiskBinomial(1,BO86-INT(BO86))</f>
        <v>#NAME?</v>
      </c>
      <c r="BQ86" s="33" t="e">
        <f t="shared" ca="1" si="82"/>
        <v>#NAME?</v>
      </c>
      <c r="BR86" s="38" t="e">
        <f ca="1">_xll.RiskBinomial(1,BQ86)</f>
        <v>#NAME?</v>
      </c>
      <c r="BS86" s="86" t="e">
        <f ca="1">IF(BR86=1,_xll.RiskBinomial(1,Prob_illness_Noro_infection),0)</f>
        <v>#NAME?</v>
      </c>
      <c r="BU86" s="85" t="e">
        <f t="shared" ca="1" si="110"/>
        <v>#NAME?</v>
      </c>
      <c r="BV86" s="40" t="e">
        <f ca="1">INT(BU86) + _xll.RiskBinomial(1,BU86-INT(BU86))</f>
        <v>#NAME?</v>
      </c>
      <c r="BW86" s="33" t="e">
        <f t="shared" ca="1" si="83"/>
        <v>#NAME?</v>
      </c>
      <c r="BX86" s="38" t="e">
        <f ca="1">_xll.RiskBinomial(1,BW86)</f>
        <v>#NAME?</v>
      </c>
      <c r="BY86" s="86" t="e">
        <f ca="1">IF(BX86=1,_xll.RiskBinomial(1,Prob_illness_Noro_infection),0)</f>
        <v>#NAME?</v>
      </c>
      <c r="CA86" s="85" t="e">
        <f t="shared" ca="1" si="111"/>
        <v>#NAME?</v>
      </c>
      <c r="CB86" s="40" t="e">
        <f ca="1">INT(CA86) + _xll.RiskBinomial(1,CA86-INT(CA86))</f>
        <v>#NAME?</v>
      </c>
      <c r="CC86" s="33" t="e">
        <f t="shared" ca="1" si="84"/>
        <v>#NAME?</v>
      </c>
      <c r="CD86" s="38" t="e">
        <f ca="1">_xll.RiskBinomial(1,CC86)</f>
        <v>#NAME?</v>
      </c>
      <c r="CE86" s="86" t="e">
        <f ca="1">IF(CD86=1,_xll.RiskBinomial(1,Prob_illness_Noro_infection),0)</f>
        <v>#NAME?</v>
      </c>
      <c r="CG86" s="85" t="e">
        <f t="shared" ca="1" si="112"/>
        <v>#NAME?</v>
      </c>
      <c r="CH86" s="40" t="e">
        <f ca="1">INT(CG86) + _xll.RiskBinomial(1,CG86-INT(CG86))</f>
        <v>#NAME?</v>
      </c>
      <c r="CI86" s="33" t="e">
        <f t="shared" ca="1" si="85"/>
        <v>#NAME?</v>
      </c>
      <c r="CJ86" s="38" t="e">
        <f ca="1">_xll.RiskBinomial(1,CI86)</f>
        <v>#NAME?</v>
      </c>
      <c r="CK86" s="86" t="e">
        <f ca="1">IF(CJ86=1,_xll.RiskBinomial(1,Prob_illness_Noro_infection),0)</f>
        <v>#NAME?</v>
      </c>
      <c r="CM86" s="85" t="e">
        <f t="shared" ca="1" si="113"/>
        <v>#NAME?</v>
      </c>
      <c r="CN86" s="40" t="e">
        <f ca="1">INT(CM86) + _xll.RiskBinomial(1,CM86-INT(CM86))</f>
        <v>#NAME?</v>
      </c>
      <c r="CO86" s="33" t="e">
        <f t="shared" ca="1" si="86"/>
        <v>#NAME?</v>
      </c>
      <c r="CP86" s="38" t="e">
        <f ca="1">_xll.RiskBinomial(1,CO86)</f>
        <v>#NAME?</v>
      </c>
      <c r="CQ86" s="86" t="e">
        <f ca="1">IF(CP86=1,_xll.RiskBinomial(1,Prob_illness_Noro_infection),0)</f>
        <v>#NAME?</v>
      </c>
      <c r="CS86" s="85" t="e">
        <f t="shared" ca="1" si="114"/>
        <v>#NAME?</v>
      </c>
      <c r="CT86" s="40" t="e">
        <f ca="1">INT(CS86) + _xll.RiskBinomial(1,CS86-INT(CS86))</f>
        <v>#NAME?</v>
      </c>
      <c r="CU86" s="33" t="e">
        <f t="shared" ca="1" si="87"/>
        <v>#NAME?</v>
      </c>
      <c r="CV86" s="38" t="e">
        <f ca="1">_xll.RiskBinomial(1,CU86)</f>
        <v>#NAME?</v>
      </c>
      <c r="CW86" s="86" t="e">
        <f ca="1">IF(CV86=1,_xll.RiskBinomial(1,Prob_illness_Noro_infection),0)</f>
        <v>#NAME?</v>
      </c>
      <c r="CY86" s="85" t="e">
        <f t="shared" ca="1" si="115"/>
        <v>#NAME?</v>
      </c>
      <c r="CZ86" s="40" t="e">
        <f ca="1">INT(CY86) + _xll.RiskBinomial(1,CY86-INT(CY86))</f>
        <v>#NAME?</v>
      </c>
      <c r="DA86" s="33" t="e">
        <f t="shared" ca="1" si="88"/>
        <v>#NAME?</v>
      </c>
      <c r="DB86" s="38" t="e">
        <f ca="1">_xll.RiskBinomial(1,DA86)</f>
        <v>#NAME?</v>
      </c>
      <c r="DC86" s="86" t="e">
        <f ca="1">IF(DB86=1,_xll.RiskBinomial(1,Prob_illness_Noro_infection),0)</f>
        <v>#NAME?</v>
      </c>
      <c r="DE86" s="85" t="e">
        <f t="shared" ca="1" si="116"/>
        <v>#NAME?</v>
      </c>
      <c r="DF86" s="40" t="e">
        <f ca="1">INT(DE86) + _xll.RiskBinomial(1,DE86-INT(DE86))</f>
        <v>#NAME?</v>
      </c>
      <c r="DG86" s="33" t="e">
        <f t="shared" ca="1" si="89"/>
        <v>#NAME?</v>
      </c>
      <c r="DH86" s="38" t="e">
        <f ca="1">_xll.RiskBinomial(1,DG86)</f>
        <v>#NAME?</v>
      </c>
      <c r="DI86" s="86" t="e">
        <f ca="1">IF(DH86=1,_xll.RiskBinomial(1,Prob_illness_Noro_infection),0)</f>
        <v>#NAME?</v>
      </c>
      <c r="DK86" s="85" t="e">
        <f t="shared" ca="1" si="117"/>
        <v>#NAME?</v>
      </c>
      <c r="DL86" s="40" t="e">
        <f ca="1">INT(DK86) + _xll.RiskBinomial(1,DK86-INT(DK86))</f>
        <v>#NAME?</v>
      </c>
      <c r="DM86" s="33" t="e">
        <f t="shared" ca="1" si="90"/>
        <v>#NAME?</v>
      </c>
      <c r="DN86" s="38" t="e">
        <f ca="1">_xll.RiskBinomial(1,DM86)</f>
        <v>#NAME?</v>
      </c>
      <c r="DO86" s="86" t="e">
        <f ca="1">IF(DN86=1,_xll.RiskBinomial(1,Prob_illness_Noro_infection),0)</f>
        <v>#NAME?</v>
      </c>
      <c r="DQ86" s="85" t="e">
        <f t="shared" ca="1" si="118"/>
        <v>#NAME?</v>
      </c>
      <c r="DR86" s="40" t="e">
        <f ca="1">INT(DQ86) + _xll.RiskBinomial(1,DQ86-INT(DQ86))</f>
        <v>#NAME?</v>
      </c>
      <c r="DS86" s="33" t="e">
        <f t="shared" ca="1" si="91"/>
        <v>#NAME?</v>
      </c>
      <c r="DT86" s="38" t="e">
        <f ca="1">_xll.RiskBinomial(1,DS86)</f>
        <v>#NAME?</v>
      </c>
      <c r="DU86" s="86" t="e">
        <f ca="1">IF(DT86=1,_xll.RiskBinomial(1,Prob_illness_Noro_infection),0)</f>
        <v>#NAME?</v>
      </c>
      <c r="DW86" s="85" t="e">
        <f t="shared" ca="1" si="119"/>
        <v>#NAME?</v>
      </c>
      <c r="DX86" s="40" t="e">
        <f ca="1">INT(DW86) + _xll.RiskBinomial(1,DW86-INT(DW86))</f>
        <v>#NAME?</v>
      </c>
      <c r="DY86" s="33" t="e">
        <f t="shared" ca="1" si="92"/>
        <v>#NAME?</v>
      </c>
      <c r="DZ86" s="38" t="e">
        <f ca="1">_xll.RiskBinomial(1,DY86)</f>
        <v>#NAME?</v>
      </c>
      <c r="EA86" s="86" t="e">
        <f ca="1">IF(DZ86=1,_xll.RiskBinomial(1,Prob_illness_Noro_infection),0)</f>
        <v>#NAME?</v>
      </c>
      <c r="EC86" s="85" t="e">
        <f t="shared" ca="1" si="120"/>
        <v>#NAME?</v>
      </c>
      <c r="ED86" s="40" t="e">
        <f ca="1">INT(EC86) + _xll.RiskBinomial(1,EC86-INT(EC86))</f>
        <v>#NAME?</v>
      </c>
      <c r="EE86" s="33" t="e">
        <f t="shared" ca="1" si="93"/>
        <v>#NAME?</v>
      </c>
      <c r="EF86" s="38" t="e">
        <f ca="1">_xll.RiskBinomial(1,EE86)</f>
        <v>#NAME?</v>
      </c>
      <c r="EG86" s="86" t="e">
        <f ca="1">IF(EF86=1,_xll.RiskBinomial(1,Prob_illness_Noro_infection),0)</f>
        <v>#NAME?</v>
      </c>
      <c r="EI86" s="85" t="e">
        <f t="shared" ca="1" si="121"/>
        <v>#NAME?</v>
      </c>
      <c r="EJ86" s="40" t="e">
        <f ca="1">INT(EI86) + _xll.RiskBinomial(1,EI86-INT(EI86))</f>
        <v>#NAME?</v>
      </c>
      <c r="EK86" s="33" t="e">
        <f t="shared" ca="1" si="94"/>
        <v>#NAME?</v>
      </c>
      <c r="EL86" s="38" t="e">
        <f ca="1">_xll.RiskBinomial(1,EK86)</f>
        <v>#NAME?</v>
      </c>
      <c r="EM86" s="86" t="e">
        <f ca="1">IF(EL86=1,_xll.RiskBinomial(1,Prob_illness_Noro_infection),0)</f>
        <v>#NAME?</v>
      </c>
      <c r="EO86" s="85" t="e">
        <f t="shared" ca="1" si="122"/>
        <v>#NAME?</v>
      </c>
      <c r="EP86" s="40" t="e">
        <f ca="1">INT(EO86) + _xll.RiskBinomial(1,EO86-INT(EO86))</f>
        <v>#NAME?</v>
      </c>
      <c r="EQ86" s="33" t="e">
        <f t="shared" ca="1" si="95"/>
        <v>#NAME?</v>
      </c>
      <c r="ER86" s="38" t="e">
        <f ca="1">_xll.RiskBinomial(1,EQ86)</f>
        <v>#NAME?</v>
      </c>
      <c r="ES86" s="86" t="e">
        <f ca="1">IF(ER86=1,_xll.RiskBinomial(1,Prob_illness_Noro_infection),0)</f>
        <v>#NAME?</v>
      </c>
      <c r="EU86" s="85" t="e">
        <f t="shared" ca="1" si="123"/>
        <v>#NAME?</v>
      </c>
      <c r="EV86" s="40" t="e">
        <f ca="1">INT(EU86) + _xll.RiskBinomial(1,EU86-INT(EU86))</f>
        <v>#NAME?</v>
      </c>
      <c r="EW86" s="33" t="e">
        <f t="shared" ca="1" si="96"/>
        <v>#NAME?</v>
      </c>
      <c r="EX86" s="38" t="e">
        <f ca="1">_xll.RiskBinomial(1,EW86)</f>
        <v>#NAME?</v>
      </c>
      <c r="EY86" s="86" t="e">
        <f ca="1">IF(EX86=1,_xll.RiskBinomial(1,Prob_illness_Noro_infection),0)</f>
        <v>#NAME?</v>
      </c>
      <c r="FA86" s="85" t="e">
        <f t="shared" ca="1" si="124"/>
        <v>#NAME?</v>
      </c>
      <c r="FB86" s="40" t="e">
        <f ca="1">INT(FA86) + _xll.RiskBinomial(1,FA86-INT(FA86))</f>
        <v>#NAME?</v>
      </c>
      <c r="FC86" s="33" t="e">
        <f t="shared" ca="1" si="97"/>
        <v>#NAME?</v>
      </c>
      <c r="FD86" s="38" t="e">
        <f ca="1">_xll.RiskBinomial(1,FC86)</f>
        <v>#NAME?</v>
      </c>
      <c r="FE86" s="86" t="e">
        <f ca="1">IF(FD86=1,_xll.RiskBinomial(1,Prob_illness_Noro_infection),0)</f>
        <v>#NAME?</v>
      </c>
      <c r="FG86" s="85" t="e">
        <f t="shared" ca="1" si="125"/>
        <v>#NAME?</v>
      </c>
      <c r="FH86" s="40" t="e">
        <f ca="1">INT(FG86) + _xll.RiskBinomial(1,FG86-INT(FG86))</f>
        <v>#NAME?</v>
      </c>
      <c r="FI86" s="33" t="e">
        <f t="shared" ca="1" si="98"/>
        <v>#NAME?</v>
      </c>
      <c r="FJ86" s="38" t="e">
        <f ca="1">_xll.RiskBinomial(1,FI86)</f>
        <v>#NAME?</v>
      </c>
      <c r="FK86" s="86" t="e">
        <f ca="1">IF(FJ86=1,_xll.RiskBinomial(1,Prob_illness_Noro_infection),0)</f>
        <v>#NAME?</v>
      </c>
      <c r="FM86" s="85" t="e">
        <f t="shared" ca="1" si="126"/>
        <v>#NAME?</v>
      </c>
      <c r="FN86" s="40" t="e">
        <f ca="1">INT(FM86) + _xll.RiskBinomial(1,FM86-INT(FM86))</f>
        <v>#NAME?</v>
      </c>
      <c r="FO86" s="33" t="e">
        <f t="shared" ca="1" si="99"/>
        <v>#NAME?</v>
      </c>
      <c r="FP86" s="38" t="e">
        <f ca="1">_xll.RiskBinomial(1,FO86)</f>
        <v>#NAME?</v>
      </c>
      <c r="FQ86" s="86" t="e">
        <f ca="1">IF(FP86=1,_xll.RiskBinomial(1,Prob_illness_Noro_infection),0)</f>
        <v>#NAME?</v>
      </c>
      <c r="FS86" s="85" t="e">
        <f t="shared" ca="1" si="127"/>
        <v>#NAME?</v>
      </c>
      <c r="FT86" s="40" t="e">
        <f ca="1">INT(FS86) + _xll.RiskBinomial(1,FS86-INT(FS86))</f>
        <v>#NAME?</v>
      </c>
      <c r="FU86" s="33" t="e">
        <f t="shared" ca="1" si="100"/>
        <v>#NAME?</v>
      </c>
      <c r="FV86" s="38" t="e">
        <f ca="1">_xll.RiskBinomial(1,FU86)</f>
        <v>#NAME?</v>
      </c>
      <c r="FW86" s="86" t="e">
        <f ca="1">IF(FV86=1,_xll.RiskBinomial(1,Prob_illness_Noro_infection),0)</f>
        <v>#NAME?</v>
      </c>
      <c r="FY86" s="85" t="e">
        <f t="shared" ca="1" si="128"/>
        <v>#NAME?</v>
      </c>
      <c r="FZ86" s="40" t="e">
        <f ca="1">INT(FY86) + _xll.RiskBinomial(1,FY86-INT(FY86))</f>
        <v>#NAME?</v>
      </c>
      <c r="GA86" s="33" t="e">
        <f t="shared" ca="1" si="101"/>
        <v>#NAME?</v>
      </c>
      <c r="GB86" s="38" t="e">
        <f ca="1">_xll.RiskBinomial(1,GA86)</f>
        <v>#NAME?</v>
      </c>
      <c r="GC86" s="86" t="e">
        <f ca="1">IF(GB86=1,_xll.RiskBinomial(1,Prob_illness_Noro_infection),0)</f>
        <v>#NAME?</v>
      </c>
      <c r="GE86" s="85" t="e">
        <f t="shared" ca="1" si="129"/>
        <v>#NAME?</v>
      </c>
      <c r="GF86" s="40" t="e">
        <f ca="1">INT(GE86) + _xll.RiskBinomial(1,GE86-INT(GE86))</f>
        <v>#NAME?</v>
      </c>
      <c r="GG86" s="33" t="e">
        <f t="shared" ca="1" si="102"/>
        <v>#NAME?</v>
      </c>
      <c r="GH86" s="38" t="e">
        <f ca="1">_xll.RiskBinomial(1,GG86)</f>
        <v>#NAME?</v>
      </c>
      <c r="GI86" s="86" t="e">
        <f ca="1">IF(GH86=1,_xll.RiskBinomial(1,Prob_illness_Noro_infection),0)</f>
        <v>#NAME?</v>
      </c>
      <c r="GK86" s="85" t="e">
        <f t="shared" ca="1" si="130"/>
        <v>#NAME?</v>
      </c>
      <c r="GL86" s="40" t="e">
        <f ca="1">INT(GK86) + _xll.RiskBinomial(1,GK86-INT(GK86))</f>
        <v>#NAME?</v>
      </c>
      <c r="GM86" s="33" t="e">
        <f t="shared" ca="1" si="103"/>
        <v>#NAME?</v>
      </c>
      <c r="GN86" s="38" t="e">
        <f ca="1">_xll.RiskBinomial(1,GM86)</f>
        <v>#NAME?</v>
      </c>
      <c r="GO86" s="86" t="e">
        <f ca="1">IF(GN86=1,_xll.RiskBinomial(1,Prob_illness_Noro_infection),0)</f>
        <v>#NAME?</v>
      </c>
    </row>
    <row r="87" spans="2:197" x14ac:dyDescent="0.25">
      <c r="B87" s="106">
        <v>79</v>
      </c>
      <c r="C87" s="109" t="e">
        <f ca="1" xml:space="preserve"> _xll.RiskPert(Dur_Swim_hours_min,Dur_Swim_hours_mode,Dur_Swim_hours_max)</f>
        <v>#NAME?</v>
      </c>
      <c r="D87" s="33" t="e">
        <f ca="1">_xll.RiskLognorm(Primary_Ing_Rate_mL_per_hour_mean,Primary_Ing_Rate_mL_per_hour_sd, _xll.RiskTruncate(Primary_Ing_Rate_mL_per_hour_min,Primary_Ing_Rate_mL_per_hour_max))</f>
        <v>#NAME?</v>
      </c>
      <c r="E87" s="41" t="e">
        <f t="shared" ca="1" si="104"/>
        <v>#NAME?</v>
      </c>
      <c r="F87" s="33"/>
      <c r="G87" s="85" t="e">
        <f t="shared" ca="1" si="105"/>
        <v>#NAME?</v>
      </c>
      <c r="H87" s="40" t="e">
        <f ca="1">INT(G87) + _xll.RiskBinomial(1,G87-INT(G87))</f>
        <v>#NAME?</v>
      </c>
      <c r="I87" s="33" t="e">
        <f t="shared" ca="1" si="66"/>
        <v>#NAME?</v>
      </c>
      <c r="J87" s="38" t="e">
        <f ca="1">_xll.RiskBinomial(1,I87)</f>
        <v>#NAME?</v>
      </c>
      <c r="K87" s="86" t="e">
        <f ca="1">IF(J87=1,_xll.RiskBinomial(1,Prob_illness_Noro_infection),0)</f>
        <v>#NAME?</v>
      </c>
      <c r="L87" s="33"/>
      <c r="M87" s="85" t="e">
        <f t="shared" ca="1" si="67"/>
        <v>#NAME?</v>
      </c>
      <c r="N87" s="40" t="e">
        <f ca="1">INT(M87) + _xll.RiskBinomial(1,M87-INT(M87))</f>
        <v>#NAME?</v>
      </c>
      <c r="O87" s="33" t="e">
        <f t="shared" ca="1" si="68"/>
        <v>#NAME?</v>
      </c>
      <c r="P87" s="38" t="e">
        <f ca="1">_xll.RiskBinomial(1,O87)</f>
        <v>#NAME?</v>
      </c>
      <c r="Q87" s="86" t="e">
        <f ca="1">IF(P87=1,_xll.RiskBinomial(1,Prob_illness_Noro_infection),0)</f>
        <v>#NAME?</v>
      </c>
      <c r="R87" s="33"/>
      <c r="S87" s="85" t="e">
        <f t="shared" ca="1" si="69"/>
        <v>#NAME?</v>
      </c>
      <c r="T87" s="40" t="e">
        <f ca="1">INT(S87) + _xll.RiskBinomial(1,S87-INT(S87))</f>
        <v>#NAME?</v>
      </c>
      <c r="U87" s="33" t="e">
        <f t="shared" ca="1" si="70"/>
        <v>#NAME?</v>
      </c>
      <c r="V87" s="38" t="e">
        <f ca="1">_xll.RiskBinomial(1,U87)</f>
        <v>#NAME?</v>
      </c>
      <c r="W87" s="86" t="e">
        <f ca="1">IF(V87=1,_xll.RiskBinomial(1,Prob_illness_Noro_infection),0)</f>
        <v>#NAME?</v>
      </c>
      <c r="X87" s="33"/>
      <c r="Y87" s="85" t="e">
        <f t="shared" ca="1" si="71"/>
        <v>#NAME?</v>
      </c>
      <c r="Z87" s="40" t="e">
        <f ca="1">INT(Y87) + _xll.RiskBinomial(1,Y87-INT(Y87))</f>
        <v>#NAME?</v>
      </c>
      <c r="AA87" s="33" t="e">
        <f t="shared" ca="1" si="72"/>
        <v>#NAME?</v>
      </c>
      <c r="AB87" s="38" t="e">
        <f ca="1">_xll.RiskBinomial(1,AA87)</f>
        <v>#NAME?</v>
      </c>
      <c r="AC87" s="86" t="e">
        <f ca="1">IF(AB87=1,_xll.RiskBinomial(1,Prob_illness_Noro_infection),0)</f>
        <v>#NAME?</v>
      </c>
      <c r="AD87" s="33"/>
      <c r="AE87" s="85" t="e">
        <f t="shared" ca="1" si="73"/>
        <v>#NAME?</v>
      </c>
      <c r="AF87" s="40" t="e">
        <f ca="1">INT(AE87) + _xll.RiskBinomial(1,AE87-INT(AE87))</f>
        <v>#NAME?</v>
      </c>
      <c r="AG87" s="33" t="e">
        <f t="shared" ca="1" si="74"/>
        <v>#NAME?</v>
      </c>
      <c r="AH87" s="38" t="e">
        <f ca="1">_xll.RiskBinomial(1,AG87)</f>
        <v>#NAME?</v>
      </c>
      <c r="AI87" s="86" t="e">
        <f ca="1">IF(AH87=1,_xll.RiskBinomial(1,Prob_illness_Noro_infection),0)</f>
        <v>#NAME?</v>
      </c>
      <c r="AJ87" s="33"/>
      <c r="AK87" s="85" t="e">
        <f t="shared" ca="1" si="75"/>
        <v>#NAME?</v>
      </c>
      <c r="AL87" s="40" t="e">
        <f ca="1">INT(AK87) + _xll.RiskBinomial(1,AK87-INT(AK87))</f>
        <v>#NAME?</v>
      </c>
      <c r="AM87" s="33" t="e">
        <f t="shared" ca="1" si="76"/>
        <v>#NAME?</v>
      </c>
      <c r="AN87" s="38" t="e">
        <f ca="1">_xll.RiskBinomial(1,AM87)</f>
        <v>#NAME?</v>
      </c>
      <c r="AO87" s="86" t="e">
        <f ca="1">IF(AN87=1,_xll.RiskBinomial(1,Prob_illness_Noro_infection),0)</f>
        <v>#NAME?</v>
      </c>
      <c r="AP87" s="33"/>
      <c r="AQ87" s="85" t="e">
        <f t="shared" ca="1" si="77"/>
        <v>#NAME?</v>
      </c>
      <c r="AR87" s="40" t="e">
        <f ca="1">INT(AQ87) + _xll.RiskBinomial(1,AQ87-INT(AQ87))</f>
        <v>#NAME?</v>
      </c>
      <c r="AS87" s="33" t="e">
        <f t="shared" ca="1" si="78"/>
        <v>#NAME?</v>
      </c>
      <c r="AT87" s="38" t="e">
        <f ca="1">_xll.RiskBinomial(1,AS87)</f>
        <v>#NAME?</v>
      </c>
      <c r="AU87" s="86" t="e">
        <f ca="1">IF(AT87=1,_xll.RiskBinomial(1,Prob_illness_Noro_infection),0)</f>
        <v>#NAME?</v>
      </c>
      <c r="AV87" s="33"/>
      <c r="AW87" s="85" t="e">
        <f t="shared" ca="1" si="106"/>
        <v>#NAME?</v>
      </c>
      <c r="AX87" s="40" t="e">
        <f ca="1">INT(AW87) + _xll.RiskBinomial(1,AW87-INT(AW87))</f>
        <v>#NAME?</v>
      </c>
      <c r="AY87" s="33" t="e">
        <f t="shared" ca="1" si="79"/>
        <v>#NAME?</v>
      </c>
      <c r="AZ87" s="38" t="e">
        <f ca="1">_xll.RiskBinomial(1,AY87)</f>
        <v>#NAME?</v>
      </c>
      <c r="BA87" s="86" t="e">
        <f ca="1">IF(AZ87=1,_xll.RiskBinomial(1,Prob_illness_Noro_infection),0)</f>
        <v>#NAME?</v>
      </c>
      <c r="BC87" s="85" t="e">
        <f t="shared" ca="1" si="107"/>
        <v>#NAME?</v>
      </c>
      <c r="BD87" s="40" t="e">
        <f ca="1">INT(BC87) + _xll.RiskBinomial(1,BC87-INT(BC87))</f>
        <v>#NAME?</v>
      </c>
      <c r="BE87" s="33" t="e">
        <f t="shared" ca="1" si="80"/>
        <v>#NAME?</v>
      </c>
      <c r="BF87" s="38" t="e">
        <f ca="1">_xll.RiskBinomial(1,BE87)</f>
        <v>#NAME?</v>
      </c>
      <c r="BG87" s="86" t="e">
        <f ca="1">IF(BF87=1,_xll.RiskBinomial(1,Prob_illness_Noro_infection),0)</f>
        <v>#NAME?</v>
      </c>
      <c r="BI87" s="85" t="e">
        <f t="shared" ca="1" si="108"/>
        <v>#NAME?</v>
      </c>
      <c r="BJ87" s="40" t="e">
        <f ca="1">INT(BI87) + _xll.RiskBinomial(1,BI87-INT(BI87))</f>
        <v>#NAME?</v>
      </c>
      <c r="BK87" s="33" t="e">
        <f t="shared" ca="1" si="81"/>
        <v>#NAME?</v>
      </c>
      <c r="BL87" s="38" t="e">
        <f ca="1">_xll.RiskBinomial(1,BK87)</f>
        <v>#NAME?</v>
      </c>
      <c r="BM87" s="86" t="e">
        <f ca="1">IF(BL87=1,_xll.RiskBinomial(1,Prob_illness_Noro_infection),0)</f>
        <v>#NAME?</v>
      </c>
      <c r="BO87" s="85" t="e">
        <f t="shared" ca="1" si="109"/>
        <v>#NAME?</v>
      </c>
      <c r="BP87" s="40" t="e">
        <f ca="1">INT(BO87) + _xll.RiskBinomial(1,BO87-INT(BO87))</f>
        <v>#NAME?</v>
      </c>
      <c r="BQ87" s="33" t="e">
        <f t="shared" ca="1" si="82"/>
        <v>#NAME?</v>
      </c>
      <c r="BR87" s="38" t="e">
        <f ca="1">_xll.RiskBinomial(1,BQ87)</f>
        <v>#NAME?</v>
      </c>
      <c r="BS87" s="86" t="e">
        <f ca="1">IF(BR87=1,_xll.RiskBinomial(1,Prob_illness_Noro_infection),0)</f>
        <v>#NAME?</v>
      </c>
      <c r="BU87" s="85" t="e">
        <f t="shared" ca="1" si="110"/>
        <v>#NAME?</v>
      </c>
      <c r="BV87" s="40" t="e">
        <f ca="1">INT(BU87) + _xll.RiskBinomial(1,BU87-INT(BU87))</f>
        <v>#NAME?</v>
      </c>
      <c r="BW87" s="33" t="e">
        <f t="shared" ca="1" si="83"/>
        <v>#NAME?</v>
      </c>
      <c r="BX87" s="38" t="e">
        <f ca="1">_xll.RiskBinomial(1,BW87)</f>
        <v>#NAME?</v>
      </c>
      <c r="BY87" s="86" t="e">
        <f ca="1">IF(BX87=1,_xll.RiskBinomial(1,Prob_illness_Noro_infection),0)</f>
        <v>#NAME?</v>
      </c>
      <c r="CA87" s="85" t="e">
        <f t="shared" ca="1" si="111"/>
        <v>#NAME?</v>
      </c>
      <c r="CB87" s="40" t="e">
        <f ca="1">INT(CA87) + _xll.RiskBinomial(1,CA87-INT(CA87))</f>
        <v>#NAME?</v>
      </c>
      <c r="CC87" s="33" t="e">
        <f t="shared" ca="1" si="84"/>
        <v>#NAME?</v>
      </c>
      <c r="CD87" s="38" t="e">
        <f ca="1">_xll.RiskBinomial(1,CC87)</f>
        <v>#NAME?</v>
      </c>
      <c r="CE87" s="86" t="e">
        <f ca="1">IF(CD87=1,_xll.RiskBinomial(1,Prob_illness_Noro_infection),0)</f>
        <v>#NAME?</v>
      </c>
      <c r="CG87" s="85" t="e">
        <f t="shared" ca="1" si="112"/>
        <v>#NAME?</v>
      </c>
      <c r="CH87" s="40" t="e">
        <f ca="1">INT(CG87) + _xll.RiskBinomial(1,CG87-INT(CG87))</f>
        <v>#NAME?</v>
      </c>
      <c r="CI87" s="33" t="e">
        <f t="shared" ca="1" si="85"/>
        <v>#NAME?</v>
      </c>
      <c r="CJ87" s="38" t="e">
        <f ca="1">_xll.RiskBinomial(1,CI87)</f>
        <v>#NAME?</v>
      </c>
      <c r="CK87" s="86" t="e">
        <f ca="1">IF(CJ87=1,_xll.RiskBinomial(1,Prob_illness_Noro_infection),0)</f>
        <v>#NAME?</v>
      </c>
      <c r="CM87" s="85" t="e">
        <f t="shared" ca="1" si="113"/>
        <v>#NAME?</v>
      </c>
      <c r="CN87" s="40" t="e">
        <f ca="1">INT(CM87) + _xll.RiskBinomial(1,CM87-INT(CM87))</f>
        <v>#NAME?</v>
      </c>
      <c r="CO87" s="33" t="e">
        <f t="shared" ca="1" si="86"/>
        <v>#NAME?</v>
      </c>
      <c r="CP87" s="38" t="e">
        <f ca="1">_xll.RiskBinomial(1,CO87)</f>
        <v>#NAME?</v>
      </c>
      <c r="CQ87" s="86" t="e">
        <f ca="1">IF(CP87=1,_xll.RiskBinomial(1,Prob_illness_Noro_infection),0)</f>
        <v>#NAME?</v>
      </c>
      <c r="CS87" s="85" t="e">
        <f t="shared" ca="1" si="114"/>
        <v>#NAME?</v>
      </c>
      <c r="CT87" s="40" t="e">
        <f ca="1">INT(CS87) + _xll.RiskBinomial(1,CS87-INT(CS87))</f>
        <v>#NAME?</v>
      </c>
      <c r="CU87" s="33" t="e">
        <f t="shared" ca="1" si="87"/>
        <v>#NAME?</v>
      </c>
      <c r="CV87" s="38" t="e">
        <f ca="1">_xll.RiskBinomial(1,CU87)</f>
        <v>#NAME?</v>
      </c>
      <c r="CW87" s="86" t="e">
        <f ca="1">IF(CV87=1,_xll.RiskBinomial(1,Prob_illness_Noro_infection),0)</f>
        <v>#NAME?</v>
      </c>
      <c r="CY87" s="85" t="e">
        <f t="shared" ca="1" si="115"/>
        <v>#NAME?</v>
      </c>
      <c r="CZ87" s="40" t="e">
        <f ca="1">INT(CY87) + _xll.RiskBinomial(1,CY87-INT(CY87))</f>
        <v>#NAME?</v>
      </c>
      <c r="DA87" s="33" t="e">
        <f t="shared" ca="1" si="88"/>
        <v>#NAME?</v>
      </c>
      <c r="DB87" s="38" t="e">
        <f ca="1">_xll.RiskBinomial(1,DA87)</f>
        <v>#NAME?</v>
      </c>
      <c r="DC87" s="86" t="e">
        <f ca="1">IF(DB87=1,_xll.RiskBinomial(1,Prob_illness_Noro_infection),0)</f>
        <v>#NAME?</v>
      </c>
      <c r="DE87" s="85" t="e">
        <f t="shared" ca="1" si="116"/>
        <v>#NAME?</v>
      </c>
      <c r="DF87" s="40" t="e">
        <f ca="1">INT(DE87) + _xll.RiskBinomial(1,DE87-INT(DE87))</f>
        <v>#NAME?</v>
      </c>
      <c r="DG87" s="33" t="e">
        <f t="shared" ca="1" si="89"/>
        <v>#NAME?</v>
      </c>
      <c r="DH87" s="38" t="e">
        <f ca="1">_xll.RiskBinomial(1,DG87)</f>
        <v>#NAME?</v>
      </c>
      <c r="DI87" s="86" t="e">
        <f ca="1">IF(DH87=1,_xll.RiskBinomial(1,Prob_illness_Noro_infection),0)</f>
        <v>#NAME?</v>
      </c>
      <c r="DK87" s="85" t="e">
        <f t="shared" ca="1" si="117"/>
        <v>#NAME?</v>
      </c>
      <c r="DL87" s="40" t="e">
        <f ca="1">INT(DK87) + _xll.RiskBinomial(1,DK87-INT(DK87))</f>
        <v>#NAME?</v>
      </c>
      <c r="DM87" s="33" t="e">
        <f t="shared" ca="1" si="90"/>
        <v>#NAME?</v>
      </c>
      <c r="DN87" s="38" t="e">
        <f ca="1">_xll.RiskBinomial(1,DM87)</f>
        <v>#NAME?</v>
      </c>
      <c r="DO87" s="86" t="e">
        <f ca="1">IF(DN87=1,_xll.RiskBinomial(1,Prob_illness_Noro_infection),0)</f>
        <v>#NAME?</v>
      </c>
      <c r="DQ87" s="85" t="e">
        <f t="shared" ca="1" si="118"/>
        <v>#NAME?</v>
      </c>
      <c r="DR87" s="40" t="e">
        <f ca="1">INT(DQ87) + _xll.RiskBinomial(1,DQ87-INT(DQ87))</f>
        <v>#NAME?</v>
      </c>
      <c r="DS87" s="33" t="e">
        <f t="shared" ca="1" si="91"/>
        <v>#NAME?</v>
      </c>
      <c r="DT87" s="38" t="e">
        <f ca="1">_xll.RiskBinomial(1,DS87)</f>
        <v>#NAME?</v>
      </c>
      <c r="DU87" s="86" t="e">
        <f ca="1">IF(DT87=1,_xll.RiskBinomial(1,Prob_illness_Noro_infection),0)</f>
        <v>#NAME?</v>
      </c>
      <c r="DW87" s="85" t="e">
        <f t="shared" ca="1" si="119"/>
        <v>#NAME?</v>
      </c>
      <c r="DX87" s="40" t="e">
        <f ca="1">INT(DW87) + _xll.RiskBinomial(1,DW87-INT(DW87))</f>
        <v>#NAME?</v>
      </c>
      <c r="DY87" s="33" t="e">
        <f t="shared" ca="1" si="92"/>
        <v>#NAME?</v>
      </c>
      <c r="DZ87" s="38" t="e">
        <f ca="1">_xll.RiskBinomial(1,DY87)</f>
        <v>#NAME?</v>
      </c>
      <c r="EA87" s="86" t="e">
        <f ca="1">IF(DZ87=1,_xll.RiskBinomial(1,Prob_illness_Noro_infection),0)</f>
        <v>#NAME?</v>
      </c>
      <c r="EC87" s="85" t="e">
        <f t="shared" ca="1" si="120"/>
        <v>#NAME?</v>
      </c>
      <c r="ED87" s="40" t="e">
        <f ca="1">INT(EC87) + _xll.RiskBinomial(1,EC87-INT(EC87))</f>
        <v>#NAME?</v>
      </c>
      <c r="EE87" s="33" t="e">
        <f t="shared" ca="1" si="93"/>
        <v>#NAME?</v>
      </c>
      <c r="EF87" s="38" t="e">
        <f ca="1">_xll.RiskBinomial(1,EE87)</f>
        <v>#NAME?</v>
      </c>
      <c r="EG87" s="86" t="e">
        <f ca="1">IF(EF87=1,_xll.RiskBinomial(1,Prob_illness_Noro_infection),0)</f>
        <v>#NAME?</v>
      </c>
      <c r="EI87" s="85" t="e">
        <f t="shared" ca="1" si="121"/>
        <v>#NAME?</v>
      </c>
      <c r="EJ87" s="40" t="e">
        <f ca="1">INT(EI87) + _xll.RiskBinomial(1,EI87-INT(EI87))</f>
        <v>#NAME?</v>
      </c>
      <c r="EK87" s="33" t="e">
        <f t="shared" ca="1" si="94"/>
        <v>#NAME?</v>
      </c>
      <c r="EL87" s="38" t="e">
        <f ca="1">_xll.RiskBinomial(1,EK87)</f>
        <v>#NAME?</v>
      </c>
      <c r="EM87" s="86" t="e">
        <f ca="1">IF(EL87=1,_xll.RiskBinomial(1,Prob_illness_Noro_infection),0)</f>
        <v>#NAME?</v>
      </c>
      <c r="EO87" s="85" t="e">
        <f t="shared" ca="1" si="122"/>
        <v>#NAME?</v>
      </c>
      <c r="EP87" s="40" t="e">
        <f ca="1">INT(EO87) + _xll.RiskBinomial(1,EO87-INT(EO87))</f>
        <v>#NAME?</v>
      </c>
      <c r="EQ87" s="33" t="e">
        <f t="shared" ca="1" si="95"/>
        <v>#NAME?</v>
      </c>
      <c r="ER87" s="38" t="e">
        <f ca="1">_xll.RiskBinomial(1,EQ87)</f>
        <v>#NAME?</v>
      </c>
      <c r="ES87" s="86" t="e">
        <f ca="1">IF(ER87=1,_xll.RiskBinomial(1,Prob_illness_Noro_infection),0)</f>
        <v>#NAME?</v>
      </c>
      <c r="EU87" s="85" t="e">
        <f t="shared" ca="1" si="123"/>
        <v>#NAME?</v>
      </c>
      <c r="EV87" s="40" t="e">
        <f ca="1">INT(EU87) + _xll.RiskBinomial(1,EU87-INT(EU87))</f>
        <v>#NAME?</v>
      </c>
      <c r="EW87" s="33" t="e">
        <f t="shared" ca="1" si="96"/>
        <v>#NAME?</v>
      </c>
      <c r="EX87" s="38" t="e">
        <f ca="1">_xll.RiskBinomial(1,EW87)</f>
        <v>#NAME?</v>
      </c>
      <c r="EY87" s="86" t="e">
        <f ca="1">IF(EX87=1,_xll.RiskBinomial(1,Prob_illness_Noro_infection),0)</f>
        <v>#NAME?</v>
      </c>
      <c r="FA87" s="85" t="e">
        <f t="shared" ca="1" si="124"/>
        <v>#NAME?</v>
      </c>
      <c r="FB87" s="40" t="e">
        <f ca="1">INT(FA87) + _xll.RiskBinomial(1,FA87-INT(FA87))</f>
        <v>#NAME?</v>
      </c>
      <c r="FC87" s="33" t="e">
        <f t="shared" ca="1" si="97"/>
        <v>#NAME?</v>
      </c>
      <c r="FD87" s="38" t="e">
        <f ca="1">_xll.RiskBinomial(1,FC87)</f>
        <v>#NAME?</v>
      </c>
      <c r="FE87" s="86" t="e">
        <f ca="1">IF(FD87=1,_xll.RiskBinomial(1,Prob_illness_Noro_infection),0)</f>
        <v>#NAME?</v>
      </c>
      <c r="FG87" s="85" t="e">
        <f t="shared" ca="1" si="125"/>
        <v>#NAME?</v>
      </c>
      <c r="FH87" s="40" t="e">
        <f ca="1">INT(FG87) + _xll.RiskBinomial(1,FG87-INT(FG87))</f>
        <v>#NAME?</v>
      </c>
      <c r="FI87" s="33" t="e">
        <f t="shared" ca="1" si="98"/>
        <v>#NAME?</v>
      </c>
      <c r="FJ87" s="38" t="e">
        <f ca="1">_xll.RiskBinomial(1,FI87)</f>
        <v>#NAME?</v>
      </c>
      <c r="FK87" s="86" t="e">
        <f ca="1">IF(FJ87=1,_xll.RiskBinomial(1,Prob_illness_Noro_infection),0)</f>
        <v>#NAME?</v>
      </c>
      <c r="FM87" s="85" t="e">
        <f t="shared" ca="1" si="126"/>
        <v>#NAME?</v>
      </c>
      <c r="FN87" s="40" t="e">
        <f ca="1">INT(FM87) + _xll.RiskBinomial(1,FM87-INT(FM87))</f>
        <v>#NAME?</v>
      </c>
      <c r="FO87" s="33" t="e">
        <f t="shared" ca="1" si="99"/>
        <v>#NAME?</v>
      </c>
      <c r="FP87" s="38" t="e">
        <f ca="1">_xll.RiskBinomial(1,FO87)</f>
        <v>#NAME?</v>
      </c>
      <c r="FQ87" s="86" t="e">
        <f ca="1">IF(FP87=1,_xll.RiskBinomial(1,Prob_illness_Noro_infection),0)</f>
        <v>#NAME?</v>
      </c>
      <c r="FS87" s="85" t="e">
        <f t="shared" ca="1" si="127"/>
        <v>#NAME?</v>
      </c>
      <c r="FT87" s="40" t="e">
        <f ca="1">INT(FS87) + _xll.RiskBinomial(1,FS87-INT(FS87))</f>
        <v>#NAME?</v>
      </c>
      <c r="FU87" s="33" t="e">
        <f t="shared" ca="1" si="100"/>
        <v>#NAME?</v>
      </c>
      <c r="FV87" s="38" t="e">
        <f ca="1">_xll.RiskBinomial(1,FU87)</f>
        <v>#NAME?</v>
      </c>
      <c r="FW87" s="86" t="e">
        <f ca="1">IF(FV87=1,_xll.RiskBinomial(1,Prob_illness_Noro_infection),0)</f>
        <v>#NAME?</v>
      </c>
      <c r="FY87" s="85" t="e">
        <f t="shared" ca="1" si="128"/>
        <v>#NAME?</v>
      </c>
      <c r="FZ87" s="40" t="e">
        <f ca="1">INT(FY87) + _xll.RiskBinomial(1,FY87-INT(FY87))</f>
        <v>#NAME?</v>
      </c>
      <c r="GA87" s="33" t="e">
        <f t="shared" ca="1" si="101"/>
        <v>#NAME?</v>
      </c>
      <c r="GB87" s="38" t="e">
        <f ca="1">_xll.RiskBinomial(1,GA87)</f>
        <v>#NAME?</v>
      </c>
      <c r="GC87" s="86" t="e">
        <f ca="1">IF(GB87=1,_xll.RiskBinomial(1,Prob_illness_Noro_infection),0)</f>
        <v>#NAME?</v>
      </c>
      <c r="GE87" s="85" t="e">
        <f t="shared" ca="1" si="129"/>
        <v>#NAME?</v>
      </c>
      <c r="GF87" s="40" t="e">
        <f ca="1">INT(GE87) + _xll.RiskBinomial(1,GE87-INT(GE87))</f>
        <v>#NAME?</v>
      </c>
      <c r="GG87" s="33" t="e">
        <f t="shared" ca="1" si="102"/>
        <v>#NAME?</v>
      </c>
      <c r="GH87" s="38" t="e">
        <f ca="1">_xll.RiskBinomial(1,GG87)</f>
        <v>#NAME?</v>
      </c>
      <c r="GI87" s="86" t="e">
        <f ca="1">IF(GH87=1,_xll.RiskBinomial(1,Prob_illness_Noro_infection),0)</f>
        <v>#NAME?</v>
      </c>
      <c r="GK87" s="85" t="e">
        <f t="shared" ca="1" si="130"/>
        <v>#NAME?</v>
      </c>
      <c r="GL87" s="40" t="e">
        <f ca="1">INT(GK87) + _xll.RiskBinomial(1,GK87-INT(GK87))</f>
        <v>#NAME?</v>
      </c>
      <c r="GM87" s="33" t="e">
        <f t="shared" ca="1" si="103"/>
        <v>#NAME?</v>
      </c>
      <c r="GN87" s="38" t="e">
        <f ca="1">_xll.RiskBinomial(1,GM87)</f>
        <v>#NAME?</v>
      </c>
      <c r="GO87" s="86" t="e">
        <f ca="1">IF(GN87=1,_xll.RiskBinomial(1,Prob_illness_Noro_infection),0)</f>
        <v>#NAME?</v>
      </c>
    </row>
    <row r="88" spans="2:197" x14ac:dyDescent="0.25">
      <c r="B88" s="106">
        <v>80</v>
      </c>
      <c r="C88" s="109" t="e">
        <f ca="1" xml:space="preserve"> _xll.RiskPert(Dur_Swim_hours_min,Dur_Swim_hours_mode,Dur_Swim_hours_max)</f>
        <v>#NAME?</v>
      </c>
      <c r="D88" s="33" t="e">
        <f ca="1">_xll.RiskLognorm(Primary_Ing_Rate_mL_per_hour_mean,Primary_Ing_Rate_mL_per_hour_sd, _xll.RiskTruncate(Primary_Ing_Rate_mL_per_hour_min,Primary_Ing_Rate_mL_per_hour_max))</f>
        <v>#NAME?</v>
      </c>
      <c r="E88" s="41" t="e">
        <f t="shared" ca="1" si="104"/>
        <v>#NAME?</v>
      </c>
      <c r="F88" s="33"/>
      <c r="G88" s="85" t="e">
        <f t="shared" ca="1" si="105"/>
        <v>#NAME?</v>
      </c>
      <c r="H88" s="40" t="e">
        <f ca="1">INT(G88) + _xll.RiskBinomial(1,G88-INT(G88))</f>
        <v>#NAME?</v>
      </c>
      <c r="I88" s="33" t="e">
        <f t="shared" ca="1" si="66"/>
        <v>#NAME?</v>
      </c>
      <c r="J88" s="38" t="e">
        <f ca="1">_xll.RiskBinomial(1,I88)</f>
        <v>#NAME?</v>
      </c>
      <c r="K88" s="86" t="e">
        <f ca="1">IF(J88=1,_xll.RiskBinomial(1,Prob_illness_Noro_infection),0)</f>
        <v>#NAME?</v>
      </c>
      <c r="L88" s="33"/>
      <c r="M88" s="85" t="e">
        <f t="shared" ca="1" si="67"/>
        <v>#NAME?</v>
      </c>
      <c r="N88" s="40" t="e">
        <f ca="1">INT(M88) + _xll.RiskBinomial(1,M88-INT(M88))</f>
        <v>#NAME?</v>
      </c>
      <c r="O88" s="33" t="e">
        <f t="shared" ca="1" si="68"/>
        <v>#NAME?</v>
      </c>
      <c r="P88" s="38" t="e">
        <f ca="1">_xll.RiskBinomial(1,O88)</f>
        <v>#NAME?</v>
      </c>
      <c r="Q88" s="86" t="e">
        <f ca="1">IF(P88=1,_xll.RiskBinomial(1,Prob_illness_Noro_infection),0)</f>
        <v>#NAME?</v>
      </c>
      <c r="R88" s="33"/>
      <c r="S88" s="85" t="e">
        <f t="shared" ca="1" si="69"/>
        <v>#NAME?</v>
      </c>
      <c r="T88" s="40" t="e">
        <f ca="1">INT(S88) + _xll.RiskBinomial(1,S88-INT(S88))</f>
        <v>#NAME?</v>
      </c>
      <c r="U88" s="33" t="e">
        <f t="shared" ca="1" si="70"/>
        <v>#NAME?</v>
      </c>
      <c r="V88" s="38" t="e">
        <f ca="1">_xll.RiskBinomial(1,U88)</f>
        <v>#NAME?</v>
      </c>
      <c r="W88" s="86" t="e">
        <f ca="1">IF(V88=1,_xll.RiskBinomial(1,Prob_illness_Noro_infection),0)</f>
        <v>#NAME?</v>
      </c>
      <c r="X88" s="33"/>
      <c r="Y88" s="85" t="e">
        <f t="shared" ca="1" si="71"/>
        <v>#NAME?</v>
      </c>
      <c r="Z88" s="40" t="e">
        <f ca="1">INT(Y88) + _xll.RiskBinomial(1,Y88-INT(Y88))</f>
        <v>#NAME?</v>
      </c>
      <c r="AA88" s="33" t="e">
        <f t="shared" ca="1" si="72"/>
        <v>#NAME?</v>
      </c>
      <c r="AB88" s="38" t="e">
        <f ca="1">_xll.RiskBinomial(1,AA88)</f>
        <v>#NAME?</v>
      </c>
      <c r="AC88" s="86" t="e">
        <f ca="1">IF(AB88=1,_xll.RiskBinomial(1,Prob_illness_Noro_infection),0)</f>
        <v>#NAME?</v>
      </c>
      <c r="AD88" s="33"/>
      <c r="AE88" s="85" t="e">
        <f t="shared" ca="1" si="73"/>
        <v>#NAME?</v>
      </c>
      <c r="AF88" s="40" t="e">
        <f ca="1">INT(AE88) + _xll.RiskBinomial(1,AE88-INT(AE88))</f>
        <v>#NAME?</v>
      </c>
      <c r="AG88" s="33" t="e">
        <f t="shared" ca="1" si="74"/>
        <v>#NAME?</v>
      </c>
      <c r="AH88" s="38" t="e">
        <f ca="1">_xll.RiskBinomial(1,AG88)</f>
        <v>#NAME?</v>
      </c>
      <c r="AI88" s="86" t="e">
        <f ca="1">IF(AH88=1,_xll.RiskBinomial(1,Prob_illness_Noro_infection),0)</f>
        <v>#NAME?</v>
      </c>
      <c r="AJ88" s="33"/>
      <c r="AK88" s="85" t="e">
        <f t="shared" ca="1" si="75"/>
        <v>#NAME?</v>
      </c>
      <c r="AL88" s="40" t="e">
        <f ca="1">INT(AK88) + _xll.RiskBinomial(1,AK88-INT(AK88))</f>
        <v>#NAME?</v>
      </c>
      <c r="AM88" s="33" t="e">
        <f t="shared" ca="1" si="76"/>
        <v>#NAME?</v>
      </c>
      <c r="AN88" s="38" t="e">
        <f ca="1">_xll.RiskBinomial(1,AM88)</f>
        <v>#NAME?</v>
      </c>
      <c r="AO88" s="86" t="e">
        <f ca="1">IF(AN88=1,_xll.RiskBinomial(1,Prob_illness_Noro_infection),0)</f>
        <v>#NAME?</v>
      </c>
      <c r="AP88" s="33"/>
      <c r="AQ88" s="85" t="e">
        <f t="shared" ca="1" si="77"/>
        <v>#NAME?</v>
      </c>
      <c r="AR88" s="40" t="e">
        <f ca="1">INT(AQ88) + _xll.RiskBinomial(1,AQ88-INT(AQ88))</f>
        <v>#NAME?</v>
      </c>
      <c r="AS88" s="33" t="e">
        <f t="shared" ca="1" si="78"/>
        <v>#NAME?</v>
      </c>
      <c r="AT88" s="38" t="e">
        <f ca="1">_xll.RiskBinomial(1,AS88)</f>
        <v>#NAME?</v>
      </c>
      <c r="AU88" s="86" t="e">
        <f ca="1">IF(AT88=1,_xll.RiskBinomial(1,Prob_illness_Noro_infection),0)</f>
        <v>#NAME?</v>
      </c>
      <c r="AV88" s="33"/>
      <c r="AW88" s="85" t="e">
        <f t="shared" ca="1" si="106"/>
        <v>#NAME?</v>
      </c>
      <c r="AX88" s="40" t="e">
        <f ca="1">INT(AW88) + _xll.RiskBinomial(1,AW88-INT(AW88))</f>
        <v>#NAME?</v>
      </c>
      <c r="AY88" s="33" t="e">
        <f t="shared" ca="1" si="79"/>
        <v>#NAME?</v>
      </c>
      <c r="AZ88" s="38" t="e">
        <f ca="1">_xll.RiskBinomial(1,AY88)</f>
        <v>#NAME?</v>
      </c>
      <c r="BA88" s="86" t="e">
        <f ca="1">IF(AZ88=1,_xll.RiskBinomial(1,Prob_illness_Noro_infection),0)</f>
        <v>#NAME?</v>
      </c>
      <c r="BC88" s="85" t="e">
        <f t="shared" ca="1" si="107"/>
        <v>#NAME?</v>
      </c>
      <c r="BD88" s="40" t="e">
        <f ca="1">INT(BC88) + _xll.RiskBinomial(1,BC88-INT(BC88))</f>
        <v>#NAME?</v>
      </c>
      <c r="BE88" s="33" t="e">
        <f t="shared" ca="1" si="80"/>
        <v>#NAME?</v>
      </c>
      <c r="BF88" s="38" t="e">
        <f ca="1">_xll.RiskBinomial(1,BE88)</f>
        <v>#NAME?</v>
      </c>
      <c r="BG88" s="86" t="e">
        <f ca="1">IF(BF88=1,_xll.RiskBinomial(1,Prob_illness_Noro_infection),0)</f>
        <v>#NAME?</v>
      </c>
      <c r="BI88" s="85" t="e">
        <f t="shared" ca="1" si="108"/>
        <v>#NAME?</v>
      </c>
      <c r="BJ88" s="40" t="e">
        <f ca="1">INT(BI88) + _xll.RiskBinomial(1,BI88-INT(BI88))</f>
        <v>#NAME?</v>
      </c>
      <c r="BK88" s="33" t="e">
        <f t="shared" ca="1" si="81"/>
        <v>#NAME?</v>
      </c>
      <c r="BL88" s="38" t="e">
        <f ca="1">_xll.RiskBinomial(1,BK88)</f>
        <v>#NAME?</v>
      </c>
      <c r="BM88" s="86" t="e">
        <f ca="1">IF(BL88=1,_xll.RiskBinomial(1,Prob_illness_Noro_infection),0)</f>
        <v>#NAME?</v>
      </c>
      <c r="BO88" s="85" t="e">
        <f t="shared" ca="1" si="109"/>
        <v>#NAME?</v>
      </c>
      <c r="BP88" s="40" t="e">
        <f ca="1">INT(BO88) + _xll.RiskBinomial(1,BO88-INT(BO88))</f>
        <v>#NAME?</v>
      </c>
      <c r="BQ88" s="33" t="e">
        <f t="shared" ca="1" si="82"/>
        <v>#NAME?</v>
      </c>
      <c r="BR88" s="38" t="e">
        <f ca="1">_xll.RiskBinomial(1,BQ88)</f>
        <v>#NAME?</v>
      </c>
      <c r="BS88" s="86" t="e">
        <f ca="1">IF(BR88=1,_xll.RiskBinomial(1,Prob_illness_Noro_infection),0)</f>
        <v>#NAME?</v>
      </c>
      <c r="BU88" s="85" t="e">
        <f t="shared" ca="1" si="110"/>
        <v>#NAME?</v>
      </c>
      <c r="BV88" s="40" t="e">
        <f ca="1">INT(BU88) + _xll.RiskBinomial(1,BU88-INT(BU88))</f>
        <v>#NAME?</v>
      </c>
      <c r="BW88" s="33" t="e">
        <f t="shared" ca="1" si="83"/>
        <v>#NAME?</v>
      </c>
      <c r="BX88" s="38" t="e">
        <f ca="1">_xll.RiskBinomial(1,BW88)</f>
        <v>#NAME?</v>
      </c>
      <c r="BY88" s="86" t="e">
        <f ca="1">IF(BX88=1,_xll.RiskBinomial(1,Prob_illness_Noro_infection),0)</f>
        <v>#NAME?</v>
      </c>
      <c r="CA88" s="85" t="e">
        <f t="shared" ca="1" si="111"/>
        <v>#NAME?</v>
      </c>
      <c r="CB88" s="40" t="e">
        <f ca="1">INT(CA88) + _xll.RiskBinomial(1,CA88-INT(CA88))</f>
        <v>#NAME?</v>
      </c>
      <c r="CC88" s="33" t="e">
        <f t="shared" ca="1" si="84"/>
        <v>#NAME?</v>
      </c>
      <c r="CD88" s="38" t="e">
        <f ca="1">_xll.RiskBinomial(1,CC88)</f>
        <v>#NAME?</v>
      </c>
      <c r="CE88" s="86" t="e">
        <f ca="1">IF(CD88=1,_xll.RiskBinomial(1,Prob_illness_Noro_infection),0)</f>
        <v>#NAME?</v>
      </c>
      <c r="CG88" s="85" t="e">
        <f t="shared" ca="1" si="112"/>
        <v>#NAME?</v>
      </c>
      <c r="CH88" s="40" t="e">
        <f ca="1">INT(CG88) + _xll.RiskBinomial(1,CG88-INT(CG88))</f>
        <v>#NAME?</v>
      </c>
      <c r="CI88" s="33" t="e">
        <f t="shared" ca="1" si="85"/>
        <v>#NAME?</v>
      </c>
      <c r="CJ88" s="38" t="e">
        <f ca="1">_xll.RiskBinomial(1,CI88)</f>
        <v>#NAME?</v>
      </c>
      <c r="CK88" s="86" t="e">
        <f ca="1">IF(CJ88=1,_xll.RiskBinomial(1,Prob_illness_Noro_infection),0)</f>
        <v>#NAME?</v>
      </c>
      <c r="CM88" s="85" t="e">
        <f t="shared" ca="1" si="113"/>
        <v>#NAME?</v>
      </c>
      <c r="CN88" s="40" t="e">
        <f ca="1">INT(CM88) + _xll.RiskBinomial(1,CM88-INT(CM88))</f>
        <v>#NAME?</v>
      </c>
      <c r="CO88" s="33" t="e">
        <f t="shared" ca="1" si="86"/>
        <v>#NAME?</v>
      </c>
      <c r="CP88" s="38" t="e">
        <f ca="1">_xll.RiskBinomial(1,CO88)</f>
        <v>#NAME?</v>
      </c>
      <c r="CQ88" s="86" t="e">
        <f ca="1">IF(CP88=1,_xll.RiskBinomial(1,Prob_illness_Noro_infection),0)</f>
        <v>#NAME?</v>
      </c>
      <c r="CS88" s="85" t="e">
        <f t="shared" ca="1" si="114"/>
        <v>#NAME?</v>
      </c>
      <c r="CT88" s="40" t="e">
        <f ca="1">INT(CS88) + _xll.RiskBinomial(1,CS88-INT(CS88))</f>
        <v>#NAME?</v>
      </c>
      <c r="CU88" s="33" t="e">
        <f t="shared" ca="1" si="87"/>
        <v>#NAME?</v>
      </c>
      <c r="CV88" s="38" t="e">
        <f ca="1">_xll.RiskBinomial(1,CU88)</f>
        <v>#NAME?</v>
      </c>
      <c r="CW88" s="86" t="e">
        <f ca="1">IF(CV88=1,_xll.RiskBinomial(1,Prob_illness_Noro_infection),0)</f>
        <v>#NAME?</v>
      </c>
      <c r="CY88" s="85" t="e">
        <f t="shared" ca="1" si="115"/>
        <v>#NAME?</v>
      </c>
      <c r="CZ88" s="40" t="e">
        <f ca="1">INT(CY88) + _xll.RiskBinomial(1,CY88-INT(CY88))</f>
        <v>#NAME?</v>
      </c>
      <c r="DA88" s="33" t="e">
        <f t="shared" ca="1" si="88"/>
        <v>#NAME?</v>
      </c>
      <c r="DB88" s="38" t="e">
        <f ca="1">_xll.RiskBinomial(1,DA88)</f>
        <v>#NAME?</v>
      </c>
      <c r="DC88" s="86" t="e">
        <f ca="1">IF(DB88=1,_xll.RiskBinomial(1,Prob_illness_Noro_infection),0)</f>
        <v>#NAME?</v>
      </c>
      <c r="DE88" s="85" t="e">
        <f t="shared" ca="1" si="116"/>
        <v>#NAME?</v>
      </c>
      <c r="DF88" s="40" t="e">
        <f ca="1">INT(DE88) + _xll.RiskBinomial(1,DE88-INT(DE88))</f>
        <v>#NAME?</v>
      </c>
      <c r="DG88" s="33" t="e">
        <f t="shared" ca="1" si="89"/>
        <v>#NAME?</v>
      </c>
      <c r="DH88" s="38" t="e">
        <f ca="1">_xll.RiskBinomial(1,DG88)</f>
        <v>#NAME?</v>
      </c>
      <c r="DI88" s="86" t="e">
        <f ca="1">IF(DH88=1,_xll.RiskBinomial(1,Prob_illness_Noro_infection),0)</f>
        <v>#NAME?</v>
      </c>
      <c r="DK88" s="85" t="e">
        <f t="shared" ca="1" si="117"/>
        <v>#NAME?</v>
      </c>
      <c r="DL88" s="40" t="e">
        <f ca="1">INT(DK88) + _xll.RiskBinomial(1,DK88-INT(DK88))</f>
        <v>#NAME?</v>
      </c>
      <c r="DM88" s="33" t="e">
        <f t="shared" ca="1" si="90"/>
        <v>#NAME?</v>
      </c>
      <c r="DN88" s="38" t="e">
        <f ca="1">_xll.RiskBinomial(1,DM88)</f>
        <v>#NAME?</v>
      </c>
      <c r="DO88" s="86" t="e">
        <f ca="1">IF(DN88=1,_xll.RiskBinomial(1,Prob_illness_Noro_infection),0)</f>
        <v>#NAME?</v>
      </c>
      <c r="DQ88" s="85" t="e">
        <f t="shared" ca="1" si="118"/>
        <v>#NAME?</v>
      </c>
      <c r="DR88" s="40" t="e">
        <f ca="1">INT(DQ88) + _xll.RiskBinomial(1,DQ88-INT(DQ88))</f>
        <v>#NAME?</v>
      </c>
      <c r="DS88" s="33" t="e">
        <f t="shared" ca="1" si="91"/>
        <v>#NAME?</v>
      </c>
      <c r="DT88" s="38" t="e">
        <f ca="1">_xll.RiskBinomial(1,DS88)</f>
        <v>#NAME?</v>
      </c>
      <c r="DU88" s="86" t="e">
        <f ca="1">IF(DT88=1,_xll.RiskBinomial(1,Prob_illness_Noro_infection),0)</f>
        <v>#NAME?</v>
      </c>
      <c r="DW88" s="85" t="e">
        <f t="shared" ca="1" si="119"/>
        <v>#NAME?</v>
      </c>
      <c r="DX88" s="40" t="e">
        <f ca="1">INT(DW88) + _xll.RiskBinomial(1,DW88-INT(DW88))</f>
        <v>#NAME?</v>
      </c>
      <c r="DY88" s="33" t="e">
        <f t="shared" ca="1" si="92"/>
        <v>#NAME?</v>
      </c>
      <c r="DZ88" s="38" t="e">
        <f ca="1">_xll.RiskBinomial(1,DY88)</f>
        <v>#NAME?</v>
      </c>
      <c r="EA88" s="86" t="e">
        <f ca="1">IF(DZ88=1,_xll.RiskBinomial(1,Prob_illness_Noro_infection),0)</f>
        <v>#NAME?</v>
      </c>
      <c r="EC88" s="85" t="e">
        <f t="shared" ca="1" si="120"/>
        <v>#NAME?</v>
      </c>
      <c r="ED88" s="40" t="e">
        <f ca="1">INT(EC88) + _xll.RiskBinomial(1,EC88-INT(EC88))</f>
        <v>#NAME?</v>
      </c>
      <c r="EE88" s="33" t="e">
        <f t="shared" ca="1" si="93"/>
        <v>#NAME?</v>
      </c>
      <c r="EF88" s="38" t="e">
        <f ca="1">_xll.RiskBinomial(1,EE88)</f>
        <v>#NAME?</v>
      </c>
      <c r="EG88" s="86" t="e">
        <f ca="1">IF(EF88=1,_xll.RiskBinomial(1,Prob_illness_Noro_infection),0)</f>
        <v>#NAME?</v>
      </c>
      <c r="EI88" s="85" t="e">
        <f t="shared" ca="1" si="121"/>
        <v>#NAME?</v>
      </c>
      <c r="EJ88" s="40" t="e">
        <f ca="1">INT(EI88) + _xll.RiskBinomial(1,EI88-INT(EI88))</f>
        <v>#NAME?</v>
      </c>
      <c r="EK88" s="33" t="e">
        <f t="shared" ca="1" si="94"/>
        <v>#NAME?</v>
      </c>
      <c r="EL88" s="38" t="e">
        <f ca="1">_xll.RiskBinomial(1,EK88)</f>
        <v>#NAME?</v>
      </c>
      <c r="EM88" s="86" t="e">
        <f ca="1">IF(EL88=1,_xll.RiskBinomial(1,Prob_illness_Noro_infection),0)</f>
        <v>#NAME?</v>
      </c>
      <c r="EO88" s="85" t="e">
        <f t="shared" ca="1" si="122"/>
        <v>#NAME?</v>
      </c>
      <c r="EP88" s="40" t="e">
        <f ca="1">INT(EO88) + _xll.RiskBinomial(1,EO88-INT(EO88))</f>
        <v>#NAME?</v>
      </c>
      <c r="EQ88" s="33" t="e">
        <f t="shared" ca="1" si="95"/>
        <v>#NAME?</v>
      </c>
      <c r="ER88" s="38" t="e">
        <f ca="1">_xll.RiskBinomial(1,EQ88)</f>
        <v>#NAME?</v>
      </c>
      <c r="ES88" s="86" t="e">
        <f ca="1">IF(ER88=1,_xll.RiskBinomial(1,Prob_illness_Noro_infection),0)</f>
        <v>#NAME?</v>
      </c>
      <c r="EU88" s="85" t="e">
        <f t="shared" ca="1" si="123"/>
        <v>#NAME?</v>
      </c>
      <c r="EV88" s="40" t="e">
        <f ca="1">INT(EU88) + _xll.RiskBinomial(1,EU88-INT(EU88))</f>
        <v>#NAME?</v>
      </c>
      <c r="EW88" s="33" t="e">
        <f t="shared" ca="1" si="96"/>
        <v>#NAME?</v>
      </c>
      <c r="EX88" s="38" t="e">
        <f ca="1">_xll.RiskBinomial(1,EW88)</f>
        <v>#NAME?</v>
      </c>
      <c r="EY88" s="86" t="e">
        <f ca="1">IF(EX88=1,_xll.RiskBinomial(1,Prob_illness_Noro_infection),0)</f>
        <v>#NAME?</v>
      </c>
      <c r="FA88" s="85" t="e">
        <f t="shared" ca="1" si="124"/>
        <v>#NAME?</v>
      </c>
      <c r="FB88" s="40" t="e">
        <f ca="1">INT(FA88) + _xll.RiskBinomial(1,FA88-INT(FA88))</f>
        <v>#NAME?</v>
      </c>
      <c r="FC88" s="33" t="e">
        <f t="shared" ca="1" si="97"/>
        <v>#NAME?</v>
      </c>
      <c r="FD88" s="38" t="e">
        <f ca="1">_xll.RiskBinomial(1,FC88)</f>
        <v>#NAME?</v>
      </c>
      <c r="FE88" s="86" t="e">
        <f ca="1">IF(FD88=1,_xll.RiskBinomial(1,Prob_illness_Noro_infection),0)</f>
        <v>#NAME?</v>
      </c>
      <c r="FG88" s="85" t="e">
        <f t="shared" ca="1" si="125"/>
        <v>#NAME?</v>
      </c>
      <c r="FH88" s="40" t="e">
        <f ca="1">INT(FG88) + _xll.RiskBinomial(1,FG88-INT(FG88))</f>
        <v>#NAME?</v>
      </c>
      <c r="FI88" s="33" t="e">
        <f t="shared" ca="1" si="98"/>
        <v>#NAME?</v>
      </c>
      <c r="FJ88" s="38" t="e">
        <f ca="1">_xll.RiskBinomial(1,FI88)</f>
        <v>#NAME?</v>
      </c>
      <c r="FK88" s="86" t="e">
        <f ca="1">IF(FJ88=1,_xll.RiskBinomial(1,Prob_illness_Noro_infection),0)</f>
        <v>#NAME?</v>
      </c>
      <c r="FM88" s="85" t="e">
        <f t="shared" ca="1" si="126"/>
        <v>#NAME?</v>
      </c>
      <c r="FN88" s="40" t="e">
        <f ca="1">INT(FM88) + _xll.RiskBinomial(1,FM88-INT(FM88))</f>
        <v>#NAME?</v>
      </c>
      <c r="FO88" s="33" t="e">
        <f t="shared" ca="1" si="99"/>
        <v>#NAME?</v>
      </c>
      <c r="FP88" s="38" t="e">
        <f ca="1">_xll.RiskBinomial(1,FO88)</f>
        <v>#NAME?</v>
      </c>
      <c r="FQ88" s="86" t="e">
        <f ca="1">IF(FP88=1,_xll.RiskBinomial(1,Prob_illness_Noro_infection),0)</f>
        <v>#NAME?</v>
      </c>
      <c r="FS88" s="85" t="e">
        <f t="shared" ca="1" si="127"/>
        <v>#NAME?</v>
      </c>
      <c r="FT88" s="40" t="e">
        <f ca="1">INT(FS88) + _xll.RiskBinomial(1,FS88-INT(FS88))</f>
        <v>#NAME?</v>
      </c>
      <c r="FU88" s="33" t="e">
        <f t="shared" ca="1" si="100"/>
        <v>#NAME?</v>
      </c>
      <c r="FV88" s="38" t="e">
        <f ca="1">_xll.RiskBinomial(1,FU88)</f>
        <v>#NAME?</v>
      </c>
      <c r="FW88" s="86" t="e">
        <f ca="1">IF(FV88=1,_xll.RiskBinomial(1,Prob_illness_Noro_infection),0)</f>
        <v>#NAME?</v>
      </c>
      <c r="FY88" s="85" t="e">
        <f t="shared" ca="1" si="128"/>
        <v>#NAME?</v>
      </c>
      <c r="FZ88" s="40" t="e">
        <f ca="1">INT(FY88) + _xll.RiskBinomial(1,FY88-INT(FY88))</f>
        <v>#NAME?</v>
      </c>
      <c r="GA88" s="33" t="e">
        <f t="shared" ca="1" si="101"/>
        <v>#NAME?</v>
      </c>
      <c r="GB88" s="38" t="e">
        <f ca="1">_xll.RiskBinomial(1,GA88)</f>
        <v>#NAME?</v>
      </c>
      <c r="GC88" s="86" t="e">
        <f ca="1">IF(GB88=1,_xll.RiskBinomial(1,Prob_illness_Noro_infection),0)</f>
        <v>#NAME?</v>
      </c>
      <c r="GE88" s="85" t="e">
        <f t="shared" ca="1" si="129"/>
        <v>#NAME?</v>
      </c>
      <c r="GF88" s="40" t="e">
        <f ca="1">INT(GE88) + _xll.RiskBinomial(1,GE88-INT(GE88))</f>
        <v>#NAME?</v>
      </c>
      <c r="GG88" s="33" t="e">
        <f t="shared" ca="1" si="102"/>
        <v>#NAME?</v>
      </c>
      <c r="GH88" s="38" t="e">
        <f ca="1">_xll.RiskBinomial(1,GG88)</f>
        <v>#NAME?</v>
      </c>
      <c r="GI88" s="86" t="e">
        <f ca="1">IF(GH88=1,_xll.RiskBinomial(1,Prob_illness_Noro_infection),0)</f>
        <v>#NAME?</v>
      </c>
      <c r="GK88" s="85" t="e">
        <f t="shared" ca="1" si="130"/>
        <v>#NAME?</v>
      </c>
      <c r="GL88" s="40" t="e">
        <f ca="1">INT(GK88) + _xll.RiskBinomial(1,GK88-INT(GK88))</f>
        <v>#NAME?</v>
      </c>
      <c r="GM88" s="33" t="e">
        <f t="shared" ca="1" si="103"/>
        <v>#NAME?</v>
      </c>
      <c r="GN88" s="38" t="e">
        <f ca="1">_xll.RiskBinomial(1,GM88)</f>
        <v>#NAME?</v>
      </c>
      <c r="GO88" s="86" t="e">
        <f ca="1">IF(GN88=1,_xll.RiskBinomial(1,Prob_illness_Noro_infection),0)</f>
        <v>#NAME?</v>
      </c>
    </row>
    <row r="89" spans="2:197" x14ac:dyDescent="0.25">
      <c r="B89" s="106">
        <v>81</v>
      </c>
      <c r="C89" s="109" t="e">
        <f ca="1" xml:space="preserve"> _xll.RiskPert(Dur_Swim_hours_min,Dur_Swim_hours_mode,Dur_Swim_hours_max)</f>
        <v>#NAME?</v>
      </c>
      <c r="D89" s="33" t="e">
        <f ca="1">_xll.RiskLognorm(Primary_Ing_Rate_mL_per_hour_mean,Primary_Ing_Rate_mL_per_hour_sd, _xll.RiskTruncate(Primary_Ing_Rate_mL_per_hour_min,Primary_Ing_Rate_mL_per_hour_max))</f>
        <v>#NAME?</v>
      </c>
      <c r="E89" s="41" t="e">
        <f t="shared" ca="1" si="104"/>
        <v>#NAME?</v>
      </c>
      <c r="F89" s="33"/>
      <c r="G89" s="85" t="e">
        <f t="shared" ca="1" si="105"/>
        <v>#NAME?</v>
      </c>
      <c r="H89" s="40" t="e">
        <f ca="1">INT(G89) + _xll.RiskBinomial(1,G89-INT(G89))</f>
        <v>#NAME?</v>
      </c>
      <c r="I89" s="33" t="e">
        <f t="shared" ca="1" si="66"/>
        <v>#NAME?</v>
      </c>
      <c r="J89" s="38" t="e">
        <f ca="1">_xll.RiskBinomial(1,I89)</f>
        <v>#NAME?</v>
      </c>
      <c r="K89" s="86" t="e">
        <f ca="1">IF(J89=1,_xll.RiskBinomial(1,Prob_illness_Noro_infection),0)</f>
        <v>#NAME?</v>
      </c>
      <c r="L89" s="33"/>
      <c r="M89" s="85" t="e">
        <f t="shared" ca="1" si="67"/>
        <v>#NAME?</v>
      </c>
      <c r="N89" s="40" t="e">
        <f ca="1">INT(M89) + _xll.RiskBinomial(1,M89-INT(M89))</f>
        <v>#NAME?</v>
      </c>
      <c r="O89" s="33" t="e">
        <f t="shared" ca="1" si="68"/>
        <v>#NAME?</v>
      </c>
      <c r="P89" s="38" t="e">
        <f ca="1">_xll.RiskBinomial(1,O89)</f>
        <v>#NAME?</v>
      </c>
      <c r="Q89" s="86" t="e">
        <f ca="1">IF(P89=1,_xll.RiskBinomial(1,Prob_illness_Noro_infection),0)</f>
        <v>#NAME?</v>
      </c>
      <c r="R89" s="33"/>
      <c r="S89" s="85" t="e">
        <f t="shared" ca="1" si="69"/>
        <v>#NAME?</v>
      </c>
      <c r="T89" s="40" t="e">
        <f ca="1">INT(S89) + _xll.RiskBinomial(1,S89-INT(S89))</f>
        <v>#NAME?</v>
      </c>
      <c r="U89" s="33" t="e">
        <f t="shared" ca="1" si="70"/>
        <v>#NAME?</v>
      </c>
      <c r="V89" s="38" t="e">
        <f ca="1">_xll.RiskBinomial(1,U89)</f>
        <v>#NAME?</v>
      </c>
      <c r="W89" s="86" t="e">
        <f ca="1">IF(V89=1,_xll.RiskBinomial(1,Prob_illness_Noro_infection),0)</f>
        <v>#NAME?</v>
      </c>
      <c r="X89" s="33"/>
      <c r="Y89" s="85" t="e">
        <f t="shared" ca="1" si="71"/>
        <v>#NAME?</v>
      </c>
      <c r="Z89" s="40" t="e">
        <f ca="1">INT(Y89) + _xll.RiskBinomial(1,Y89-INT(Y89))</f>
        <v>#NAME?</v>
      </c>
      <c r="AA89" s="33" t="e">
        <f t="shared" ca="1" si="72"/>
        <v>#NAME?</v>
      </c>
      <c r="AB89" s="38" t="e">
        <f ca="1">_xll.RiskBinomial(1,AA89)</f>
        <v>#NAME?</v>
      </c>
      <c r="AC89" s="86" t="e">
        <f ca="1">IF(AB89=1,_xll.RiskBinomial(1,Prob_illness_Noro_infection),0)</f>
        <v>#NAME?</v>
      </c>
      <c r="AD89" s="33"/>
      <c r="AE89" s="85" t="e">
        <f t="shared" ca="1" si="73"/>
        <v>#NAME?</v>
      </c>
      <c r="AF89" s="40" t="e">
        <f ca="1">INT(AE89) + _xll.RiskBinomial(1,AE89-INT(AE89))</f>
        <v>#NAME?</v>
      </c>
      <c r="AG89" s="33" t="e">
        <f t="shared" ca="1" si="74"/>
        <v>#NAME?</v>
      </c>
      <c r="AH89" s="38" t="e">
        <f ca="1">_xll.RiskBinomial(1,AG89)</f>
        <v>#NAME?</v>
      </c>
      <c r="AI89" s="86" t="e">
        <f ca="1">IF(AH89=1,_xll.RiskBinomial(1,Prob_illness_Noro_infection),0)</f>
        <v>#NAME?</v>
      </c>
      <c r="AJ89" s="33"/>
      <c r="AK89" s="85" t="e">
        <f t="shared" ca="1" si="75"/>
        <v>#NAME?</v>
      </c>
      <c r="AL89" s="40" t="e">
        <f ca="1">INT(AK89) + _xll.RiskBinomial(1,AK89-INT(AK89))</f>
        <v>#NAME?</v>
      </c>
      <c r="AM89" s="33" t="e">
        <f t="shared" ca="1" si="76"/>
        <v>#NAME?</v>
      </c>
      <c r="AN89" s="38" t="e">
        <f ca="1">_xll.RiskBinomial(1,AM89)</f>
        <v>#NAME?</v>
      </c>
      <c r="AO89" s="86" t="e">
        <f ca="1">IF(AN89=1,_xll.RiskBinomial(1,Prob_illness_Noro_infection),0)</f>
        <v>#NAME?</v>
      </c>
      <c r="AP89" s="33"/>
      <c r="AQ89" s="85" t="e">
        <f t="shared" ca="1" si="77"/>
        <v>#NAME?</v>
      </c>
      <c r="AR89" s="40" t="e">
        <f ca="1">INT(AQ89) + _xll.RiskBinomial(1,AQ89-INT(AQ89))</f>
        <v>#NAME?</v>
      </c>
      <c r="AS89" s="33" t="e">
        <f t="shared" ca="1" si="78"/>
        <v>#NAME?</v>
      </c>
      <c r="AT89" s="38" t="e">
        <f ca="1">_xll.RiskBinomial(1,AS89)</f>
        <v>#NAME?</v>
      </c>
      <c r="AU89" s="86" t="e">
        <f ca="1">IF(AT89=1,_xll.RiskBinomial(1,Prob_illness_Noro_infection),0)</f>
        <v>#NAME?</v>
      </c>
      <c r="AV89" s="33"/>
      <c r="AW89" s="85" t="e">
        <f t="shared" ca="1" si="106"/>
        <v>#NAME?</v>
      </c>
      <c r="AX89" s="40" t="e">
        <f ca="1">INT(AW89) + _xll.RiskBinomial(1,AW89-INT(AW89))</f>
        <v>#NAME?</v>
      </c>
      <c r="AY89" s="33" t="e">
        <f t="shared" ca="1" si="79"/>
        <v>#NAME?</v>
      </c>
      <c r="AZ89" s="38" t="e">
        <f ca="1">_xll.RiskBinomial(1,AY89)</f>
        <v>#NAME?</v>
      </c>
      <c r="BA89" s="86" t="e">
        <f ca="1">IF(AZ89=1,_xll.RiskBinomial(1,Prob_illness_Noro_infection),0)</f>
        <v>#NAME?</v>
      </c>
      <c r="BC89" s="85" t="e">
        <f t="shared" ca="1" si="107"/>
        <v>#NAME?</v>
      </c>
      <c r="BD89" s="40" t="e">
        <f ca="1">INT(BC89) + _xll.RiskBinomial(1,BC89-INT(BC89))</f>
        <v>#NAME?</v>
      </c>
      <c r="BE89" s="33" t="e">
        <f t="shared" ca="1" si="80"/>
        <v>#NAME?</v>
      </c>
      <c r="BF89" s="38" t="e">
        <f ca="1">_xll.RiskBinomial(1,BE89)</f>
        <v>#NAME?</v>
      </c>
      <c r="BG89" s="86" t="e">
        <f ca="1">IF(BF89=1,_xll.RiskBinomial(1,Prob_illness_Noro_infection),0)</f>
        <v>#NAME?</v>
      </c>
      <c r="BI89" s="85" t="e">
        <f t="shared" ca="1" si="108"/>
        <v>#NAME?</v>
      </c>
      <c r="BJ89" s="40" t="e">
        <f ca="1">INT(BI89) + _xll.RiskBinomial(1,BI89-INT(BI89))</f>
        <v>#NAME?</v>
      </c>
      <c r="BK89" s="33" t="e">
        <f t="shared" ca="1" si="81"/>
        <v>#NAME?</v>
      </c>
      <c r="BL89" s="38" t="e">
        <f ca="1">_xll.RiskBinomial(1,BK89)</f>
        <v>#NAME?</v>
      </c>
      <c r="BM89" s="86" t="e">
        <f ca="1">IF(BL89=1,_xll.RiskBinomial(1,Prob_illness_Noro_infection),0)</f>
        <v>#NAME?</v>
      </c>
      <c r="BO89" s="85" t="e">
        <f t="shared" ca="1" si="109"/>
        <v>#NAME?</v>
      </c>
      <c r="BP89" s="40" t="e">
        <f ca="1">INT(BO89) + _xll.RiskBinomial(1,BO89-INT(BO89))</f>
        <v>#NAME?</v>
      </c>
      <c r="BQ89" s="33" t="e">
        <f t="shared" ca="1" si="82"/>
        <v>#NAME?</v>
      </c>
      <c r="BR89" s="38" t="e">
        <f ca="1">_xll.RiskBinomial(1,BQ89)</f>
        <v>#NAME?</v>
      </c>
      <c r="BS89" s="86" t="e">
        <f ca="1">IF(BR89=1,_xll.RiskBinomial(1,Prob_illness_Noro_infection),0)</f>
        <v>#NAME?</v>
      </c>
      <c r="BU89" s="85" t="e">
        <f t="shared" ca="1" si="110"/>
        <v>#NAME?</v>
      </c>
      <c r="BV89" s="40" t="e">
        <f ca="1">INT(BU89) + _xll.RiskBinomial(1,BU89-INT(BU89))</f>
        <v>#NAME?</v>
      </c>
      <c r="BW89" s="33" t="e">
        <f t="shared" ca="1" si="83"/>
        <v>#NAME?</v>
      </c>
      <c r="BX89" s="38" t="e">
        <f ca="1">_xll.RiskBinomial(1,BW89)</f>
        <v>#NAME?</v>
      </c>
      <c r="BY89" s="86" t="e">
        <f ca="1">IF(BX89=1,_xll.RiskBinomial(1,Prob_illness_Noro_infection),0)</f>
        <v>#NAME?</v>
      </c>
      <c r="CA89" s="85" t="e">
        <f t="shared" ca="1" si="111"/>
        <v>#NAME?</v>
      </c>
      <c r="CB89" s="40" t="e">
        <f ca="1">INT(CA89) + _xll.RiskBinomial(1,CA89-INT(CA89))</f>
        <v>#NAME?</v>
      </c>
      <c r="CC89" s="33" t="e">
        <f t="shared" ca="1" si="84"/>
        <v>#NAME?</v>
      </c>
      <c r="CD89" s="38" t="e">
        <f ca="1">_xll.RiskBinomial(1,CC89)</f>
        <v>#NAME?</v>
      </c>
      <c r="CE89" s="86" t="e">
        <f ca="1">IF(CD89=1,_xll.RiskBinomial(1,Prob_illness_Noro_infection),0)</f>
        <v>#NAME?</v>
      </c>
      <c r="CG89" s="85" t="e">
        <f t="shared" ca="1" si="112"/>
        <v>#NAME?</v>
      </c>
      <c r="CH89" s="40" t="e">
        <f ca="1">INT(CG89) + _xll.RiskBinomial(1,CG89-INT(CG89))</f>
        <v>#NAME?</v>
      </c>
      <c r="CI89" s="33" t="e">
        <f t="shared" ca="1" si="85"/>
        <v>#NAME?</v>
      </c>
      <c r="CJ89" s="38" t="e">
        <f ca="1">_xll.RiskBinomial(1,CI89)</f>
        <v>#NAME?</v>
      </c>
      <c r="CK89" s="86" t="e">
        <f ca="1">IF(CJ89=1,_xll.RiskBinomial(1,Prob_illness_Noro_infection),0)</f>
        <v>#NAME?</v>
      </c>
      <c r="CM89" s="85" t="e">
        <f t="shared" ca="1" si="113"/>
        <v>#NAME?</v>
      </c>
      <c r="CN89" s="40" t="e">
        <f ca="1">INT(CM89) + _xll.RiskBinomial(1,CM89-INT(CM89))</f>
        <v>#NAME?</v>
      </c>
      <c r="CO89" s="33" t="e">
        <f t="shared" ca="1" si="86"/>
        <v>#NAME?</v>
      </c>
      <c r="CP89" s="38" t="e">
        <f ca="1">_xll.RiskBinomial(1,CO89)</f>
        <v>#NAME?</v>
      </c>
      <c r="CQ89" s="86" t="e">
        <f ca="1">IF(CP89=1,_xll.RiskBinomial(1,Prob_illness_Noro_infection),0)</f>
        <v>#NAME?</v>
      </c>
      <c r="CS89" s="85" t="e">
        <f t="shared" ca="1" si="114"/>
        <v>#NAME?</v>
      </c>
      <c r="CT89" s="40" t="e">
        <f ca="1">INT(CS89) + _xll.RiskBinomial(1,CS89-INT(CS89))</f>
        <v>#NAME?</v>
      </c>
      <c r="CU89" s="33" t="e">
        <f t="shared" ca="1" si="87"/>
        <v>#NAME?</v>
      </c>
      <c r="CV89" s="38" t="e">
        <f ca="1">_xll.RiskBinomial(1,CU89)</f>
        <v>#NAME?</v>
      </c>
      <c r="CW89" s="86" t="e">
        <f ca="1">IF(CV89=1,_xll.RiskBinomial(1,Prob_illness_Noro_infection),0)</f>
        <v>#NAME?</v>
      </c>
      <c r="CY89" s="85" t="e">
        <f t="shared" ca="1" si="115"/>
        <v>#NAME?</v>
      </c>
      <c r="CZ89" s="40" t="e">
        <f ca="1">INT(CY89) + _xll.RiskBinomial(1,CY89-INT(CY89))</f>
        <v>#NAME?</v>
      </c>
      <c r="DA89" s="33" t="e">
        <f t="shared" ca="1" si="88"/>
        <v>#NAME?</v>
      </c>
      <c r="DB89" s="38" t="e">
        <f ca="1">_xll.RiskBinomial(1,DA89)</f>
        <v>#NAME?</v>
      </c>
      <c r="DC89" s="86" t="e">
        <f ca="1">IF(DB89=1,_xll.RiskBinomial(1,Prob_illness_Noro_infection),0)</f>
        <v>#NAME?</v>
      </c>
      <c r="DE89" s="85" t="e">
        <f t="shared" ca="1" si="116"/>
        <v>#NAME?</v>
      </c>
      <c r="DF89" s="40" t="e">
        <f ca="1">INT(DE89) + _xll.RiskBinomial(1,DE89-INT(DE89))</f>
        <v>#NAME?</v>
      </c>
      <c r="DG89" s="33" t="e">
        <f t="shared" ca="1" si="89"/>
        <v>#NAME?</v>
      </c>
      <c r="DH89" s="38" t="e">
        <f ca="1">_xll.RiskBinomial(1,DG89)</f>
        <v>#NAME?</v>
      </c>
      <c r="DI89" s="86" t="e">
        <f ca="1">IF(DH89=1,_xll.RiskBinomial(1,Prob_illness_Noro_infection),0)</f>
        <v>#NAME?</v>
      </c>
      <c r="DK89" s="85" t="e">
        <f t="shared" ca="1" si="117"/>
        <v>#NAME?</v>
      </c>
      <c r="DL89" s="40" t="e">
        <f ca="1">INT(DK89) + _xll.RiskBinomial(1,DK89-INT(DK89))</f>
        <v>#NAME?</v>
      </c>
      <c r="DM89" s="33" t="e">
        <f t="shared" ca="1" si="90"/>
        <v>#NAME?</v>
      </c>
      <c r="DN89" s="38" t="e">
        <f ca="1">_xll.RiskBinomial(1,DM89)</f>
        <v>#NAME?</v>
      </c>
      <c r="DO89" s="86" t="e">
        <f ca="1">IF(DN89=1,_xll.RiskBinomial(1,Prob_illness_Noro_infection),0)</f>
        <v>#NAME?</v>
      </c>
      <c r="DQ89" s="85" t="e">
        <f t="shared" ca="1" si="118"/>
        <v>#NAME?</v>
      </c>
      <c r="DR89" s="40" t="e">
        <f ca="1">INT(DQ89) + _xll.RiskBinomial(1,DQ89-INT(DQ89))</f>
        <v>#NAME?</v>
      </c>
      <c r="DS89" s="33" t="e">
        <f t="shared" ca="1" si="91"/>
        <v>#NAME?</v>
      </c>
      <c r="DT89" s="38" t="e">
        <f ca="1">_xll.RiskBinomial(1,DS89)</f>
        <v>#NAME?</v>
      </c>
      <c r="DU89" s="86" t="e">
        <f ca="1">IF(DT89=1,_xll.RiskBinomial(1,Prob_illness_Noro_infection),0)</f>
        <v>#NAME?</v>
      </c>
      <c r="DW89" s="85" t="e">
        <f t="shared" ca="1" si="119"/>
        <v>#NAME?</v>
      </c>
      <c r="DX89" s="40" t="e">
        <f ca="1">INT(DW89) + _xll.RiskBinomial(1,DW89-INT(DW89))</f>
        <v>#NAME?</v>
      </c>
      <c r="DY89" s="33" t="e">
        <f t="shared" ca="1" si="92"/>
        <v>#NAME?</v>
      </c>
      <c r="DZ89" s="38" t="e">
        <f ca="1">_xll.RiskBinomial(1,DY89)</f>
        <v>#NAME?</v>
      </c>
      <c r="EA89" s="86" t="e">
        <f ca="1">IF(DZ89=1,_xll.RiskBinomial(1,Prob_illness_Noro_infection),0)</f>
        <v>#NAME?</v>
      </c>
      <c r="EC89" s="85" t="e">
        <f t="shared" ca="1" si="120"/>
        <v>#NAME?</v>
      </c>
      <c r="ED89" s="40" t="e">
        <f ca="1">INT(EC89) + _xll.RiskBinomial(1,EC89-INT(EC89))</f>
        <v>#NAME?</v>
      </c>
      <c r="EE89" s="33" t="e">
        <f t="shared" ca="1" si="93"/>
        <v>#NAME?</v>
      </c>
      <c r="EF89" s="38" t="e">
        <f ca="1">_xll.RiskBinomial(1,EE89)</f>
        <v>#NAME?</v>
      </c>
      <c r="EG89" s="86" t="e">
        <f ca="1">IF(EF89=1,_xll.RiskBinomial(1,Prob_illness_Noro_infection),0)</f>
        <v>#NAME?</v>
      </c>
      <c r="EI89" s="85" t="e">
        <f t="shared" ca="1" si="121"/>
        <v>#NAME?</v>
      </c>
      <c r="EJ89" s="40" t="e">
        <f ca="1">INT(EI89) + _xll.RiskBinomial(1,EI89-INT(EI89))</f>
        <v>#NAME?</v>
      </c>
      <c r="EK89" s="33" t="e">
        <f t="shared" ca="1" si="94"/>
        <v>#NAME?</v>
      </c>
      <c r="EL89" s="38" t="e">
        <f ca="1">_xll.RiskBinomial(1,EK89)</f>
        <v>#NAME?</v>
      </c>
      <c r="EM89" s="86" t="e">
        <f ca="1">IF(EL89=1,_xll.RiskBinomial(1,Prob_illness_Noro_infection),0)</f>
        <v>#NAME?</v>
      </c>
      <c r="EO89" s="85" t="e">
        <f t="shared" ca="1" si="122"/>
        <v>#NAME?</v>
      </c>
      <c r="EP89" s="40" t="e">
        <f ca="1">INT(EO89) + _xll.RiskBinomial(1,EO89-INT(EO89))</f>
        <v>#NAME?</v>
      </c>
      <c r="EQ89" s="33" t="e">
        <f t="shared" ca="1" si="95"/>
        <v>#NAME?</v>
      </c>
      <c r="ER89" s="38" t="e">
        <f ca="1">_xll.RiskBinomial(1,EQ89)</f>
        <v>#NAME?</v>
      </c>
      <c r="ES89" s="86" t="e">
        <f ca="1">IF(ER89=1,_xll.RiskBinomial(1,Prob_illness_Noro_infection),0)</f>
        <v>#NAME?</v>
      </c>
      <c r="EU89" s="85" t="e">
        <f t="shared" ca="1" si="123"/>
        <v>#NAME?</v>
      </c>
      <c r="EV89" s="40" t="e">
        <f ca="1">INT(EU89) + _xll.RiskBinomial(1,EU89-INT(EU89))</f>
        <v>#NAME?</v>
      </c>
      <c r="EW89" s="33" t="e">
        <f t="shared" ca="1" si="96"/>
        <v>#NAME?</v>
      </c>
      <c r="EX89" s="38" t="e">
        <f ca="1">_xll.RiskBinomial(1,EW89)</f>
        <v>#NAME?</v>
      </c>
      <c r="EY89" s="86" t="e">
        <f ca="1">IF(EX89=1,_xll.RiskBinomial(1,Prob_illness_Noro_infection),0)</f>
        <v>#NAME?</v>
      </c>
      <c r="FA89" s="85" t="e">
        <f t="shared" ca="1" si="124"/>
        <v>#NAME?</v>
      </c>
      <c r="FB89" s="40" t="e">
        <f ca="1">INT(FA89) + _xll.RiskBinomial(1,FA89-INT(FA89))</f>
        <v>#NAME?</v>
      </c>
      <c r="FC89" s="33" t="e">
        <f t="shared" ca="1" si="97"/>
        <v>#NAME?</v>
      </c>
      <c r="FD89" s="38" t="e">
        <f ca="1">_xll.RiskBinomial(1,FC89)</f>
        <v>#NAME?</v>
      </c>
      <c r="FE89" s="86" t="e">
        <f ca="1">IF(FD89=1,_xll.RiskBinomial(1,Prob_illness_Noro_infection),0)</f>
        <v>#NAME?</v>
      </c>
      <c r="FG89" s="85" t="e">
        <f t="shared" ca="1" si="125"/>
        <v>#NAME?</v>
      </c>
      <c r="FH89" s="40" t="e">
        <f ca="1">INT(FG89) + _xll.RiskBinomial(1,FG89-INT(FG89))</f>
        <v>#NAME?</v>
      </c>
      <c r="FI89" s="33" t="e">
        <f t="shared" ca="1" si="98"/>
        <v>#NAME?</v>
      </c>
      <c r="FJ89" s="38" t="e">
        <f ca="1">_xll.RiskBinomial(1,FI89)</f>
        <v>#NAME?</v>
      </c>
      <c r="FK89" s="86" t="e">
        <f ca="1">IF(FJ89=1,_xll.RiskBinomial(1,Prob_illness_Noro_infection),0)</f>
        <v>#NAME?</v>
      </c>
      <c r="FM89" s="85" t="e">
        <f t="shared" ca="1" si="126"/>
        <v>#NAME?</v>
      </c>
      <c r="FN89" s="40" t="e">
        <f ca="1">INT(FM89) + _xll.RiskBinomial(1,FM89-INT(FM89))</f>
        <v>#NAME?</v>
      </c>
      <c r="FO89" s="33" t="e">
        <f t="shared" ca="1" si="99"/>
        <v>#NAME?</v>
      </c>
      <c r="FP89" s="38" t="e">
        <f ca="1">_xll.RiskBinomial(1,FO89)</f>
        <v>#NAME?</v>
      </c>
      <c r="FQ89" s="86" t="e">
        <f ca="1">IF(FP89=1,_xll.RiskBinomial(1,Prob_illness_Noro_infection),0)</f>
        <v>#NAME?</v>
      </c>
      <c r="FS89" s="85" t="e">
        <f t="shared" ca="1" si="127"/>
        <v>#NAME?</v>
      </c>
      <c r="FT89" s="40" t="e">
        <f ca="1">INT(FS89) + _xll.RiskBinomial(1,FS89-INT(FS89))</f>
        <v>#NAME?</v>
      </c>
      <c r="FU89" s="33" t="e">
        <f t="shared" ca="1" si="100"/>
        <v>#NAME?</v>
      </c>
      <c r="FV89" s="38" t="e">
        <f ca="1">_xll.RiskBinomial(1,FU89)</f>
        <v>#NAME?</v>
      </c>
      <c r="FW89" s="86" t="e">
        <f ca="1">IF(FV89=1,_xll.RiskBinomial(1,Prob_illness_Noro_infection),0)</f>
        <v>#NAME?</v>
      </c>
      <c r="FY89" s="85" t="e">
        <f t="shared" ca="1" si="128"/>
        <v>#NAME?</v>
      </c>
      <c r="FZ89" s="40" t="e">
        <f ca="1">INT(FY89) + _xll.RiskBinomial(1,FY89-INT(FY89))</f>
        <v>#NAME?</v>
      </c>
      <c r="GA89" s="33" t="e">
        <f t="shared" ca="1" si="101"/>
        <v>#NAME?</v>
      </c>
      <c r="GB89" s="38" t="e">
        <f ca="1">_xll.RiskBinomial(1,GA89)</f>
        <v>#NAME?</v>
      </c>
      <c r="GC89" s="86" t="e">
        <f ca="1">IF(GB89=1,_xll.RiskBinomial(1,Prob_illness_Noro_infection),0)</f>
        <v>#NAME?</v>
      </c>
      <c r="GE89" s="85" t="e">
        <f t="shared" ca="1" si="129"/>
        <v>#NAME?</v>
      </c>
      <c r="GF89" s="40" t="e">
        <f ca="1">INT(GE89) + _xll.RiskBinomial(1,GE89-INT(GE89))</f>
        <v>#NAME?</v>
      </c>
      <c r="GG89" s="33" t="e">
        <f t="shared" ca="1" si="102"/>
        <v>#NAME?</v>
      </c>
      <c r="GH89" s="38" t="e">
        <f ca="1">_xll.RiskBinomial(1,GG89)</f>
        <v>#NAME?</v>
      </c>
      <c r="GI89" s="86" t="e">
        <f ca="1">IF(GH89=1,_xll.RiskBinomial(1,Prob_illness_Noro_infection),0)</f>
        <v>#NAME?</v>
      </c>
      <c r="GK89" s="85" t="e">
        <f t="shared" ca="1" si="130"/>
        <v>#NAME?</v>
      </c>
      <c r="GL89" s="40" t="e">
        <f ca="1">INT(GK89) + _xll.RiskBinomial(1,GK89-INT(GK89))</f>
        <v>#NAME?</v>
      </c>
      <c r="GM89" s="33" t="e">
        <f t="shared" ca="1" si="103"/>
        <v>#NAME?</v>
      </c>
      <c r="GN89" s="38" t="e">
        <f ca="1">_xll.RiskBinomial(1,GM89)</f>
        <v>#NAME?</v>
      </c>
      <c r="GO89" s="86" t="e">
        <f ca="1">IF(GN89=1,_xll.RiskBinomial(1,Prob_illness_Noro_infection),0)</f>
        <v>#NAME?</v>
      </c>
    </row>
    <row r="90" spans="2:197" x14ac:dyDescent="0.25">
      <c r="B90" s="106">
        <v>82</v>
      </c>
      <c r="C90" s="109" t="e">
        <f ca="1" xml:space="preserve"> _xll.RiskPert(Dur_Swim_hours_min,Dur_Swim_hours_mode,Dur_Swim_hours_max)</f>
        <v>#NAME?</v>
      </c>
      <c r="D90" s="33" t="e">
        <f ca="1">_xll.RiskLognorm(Primary_Ing_Rate_mL_per_hour_mean,Primary_Ing_Rate_mL_per_hour_sd, _xll.RiskTruncate(Primary_Ing_Rate_mL_per_hour_min,Primary_Ing_Rate_mL_per_hour_max))</f>
        <v>#NAME?</v>
      </c>
      <c r="E90" s="41" t="e">
        <f t="shared" ca="1" si="104"/>
        <v>#NAME?</v>
      </c>
      <c r="F90" s="33"/>
      <c r="G90" s="85" t="e">
        <f t="shared" ca="1" si="105"/>
        <v>#NAME?</v>
      </c>
      <c r="H90" s="40" t="e">
        <f ca="1">INT(G90) + _xll.RiskBinomial(1,G90-INT(G90))</f>
        <v>#NAME?</v>
      </c>
      <c r="I90" s="33" t="e">
        <f t="shared" ca="1" si="66"/>
        <v>#NAME?</v>
      </c>
      <c r="J90" s="38" t="e">
        <f ca="1">_xll.RiskBinomial(1,I90)</f>
        <v>#NAME?</v>
      </c>
      <c r="K90" s="86" t="e">
        <f ca="1">IF(J90=1,_xll.RiskBinomial(1,Prob_illness_Noro_infection),0)</f>
        <v>#NAME?</v>
      </c>
      <c r="L90" s="33"/>
      <c r="M90" s="85" t="e">
        <f t="shared" ca="1" si="67"/>
        <v>#NAME?</v>
      </c>
      <c r="N90" s="40" t="e">
        <f ca="1">INT(M90) + _xll.RiskBinomial(1,M90-INT(M90))</f>
        <v>#NAME?</v>
      </c>
      <c r="O90" s="33" t="e">
        <f t="shared" ca="1" si="68"/>
        <v>#NAME?</v>
      </c>
      <c r="P90" s="38" t="e">
        <f ca="1">_xll.RiskBinomial(1,O90)</f>
        <v>#NAME?</v>
      </c>
      <c r="Q90" s="86" t="e">
        <f ca="1">IF(P90=1,_xll.RiskBinomial(1,Prob_illness_Noro_infection),0)</f>
        <v>#NAME?</v>
      </c>
      <c r="R90" s="33"/>
      <c r="S90" s="85" t="e">
        <f t="shared" ca="1" si="69"/>
        <v>#NAME?</v>
      </c>
      <c r="T90" s="40" t="e">
        <f ca="1">INT(S90) + _xll.RiskBinomial(1,S90-INT(S90))</f>
        <v>#NAME?</v>
      </c>
      <c r="U90" s="33" t="e">
        <f t="shared" ca="1" si="70"/>
        <v>#NAME?</v>
      </c>
      <c r="V90" s="38" t="e">
        <f ca="1">_xll.RiskBinomial(1,U90)</f>
        <v>#NAME?</v>
      </c>
      <c r="W90" s="86" t="e">
        <f ca="1">IF(V90=1,_xll.RiskBinomial(1,Prob_illness_Noro_infection),0)</f>
        <v>#NAME?</v>
      </c>
      <c r="X90" s="33"/>
      <c r="Y90" s="85" t="e">
        <f t="shared" ca="1" si="71"/>
        <v>#NAME?</v>
      </c>
      <c r="Z90" s="40" t="e">
        <f ca="1">INT(Y90) + _xll.RiskBinomial(1,Y90-INT(Y90))</f>
        <v>#NAME?</v>
      </c>
      <c r="AA90" s="33" t="e">
        <f t="shared" ca="1" si="72"/>
        <v>#NAME?</v>
      </c>
      <c r="AB90" s="38" t="e">
        <f ca="1">_xll.RiskBinomial(1,AA90)</f>
        <v>#NAME?</v>
      </c>
      <c r="AC90" s="86" t="e">
        <f ca="1">IF(AB90=1,_xll.RiskBinomial(1,Prob_illness_Noro_infection),0)</f>
        <v>#NAME?</v>
      </c>
      <c r="AD90" s="33"/>
      <c r="AE90" s="85" t="e">
        <f t="shared" ca="1" si="73"/>
        <v>#NAME?</v>
      </c>
      <c r="AF90" s="40" t="e">
        <f ca="1">INT(AE90) + _xll.RiskBinomial(1,AE90-INT(AE90))</f>
        <v>#NAME?</v>
      </c>
      <c r="AG90" s="33" t="e">
        <f t="shared" ca="1" si="74"/>
        <v>#NAME?</v>
      </c>
      <c r="AH90" s="38" t="e">
        <f ca="1">_xll.RiskBinomial(1,AG90)</f>
        <v>#NAME?</v>
      </c>
      <c r="AI90" s="86" t="e">
        <f ca="1">IF(AH90=1,_xll.RiskBinomial(1,Prob_illness_Noro_infection),0)</f>
        <v>#NAME?</v>
      </c>
      <c r="AJ90" s="33"/>
      <c r="AK90" s="85" t="e">
        <f t="shared" ca="1" si="75"/>
        <v>#NAME?</v>
      </c>
      <c r="AL90" s="40" t="e">
        <f ca="1">INT(AK90) + _xll.RiskBinomial(1,AK90-INT(AK90))</f>
        <v>#NAME?</v>
      </c>
      <c r="AM90" s="33" t="e">
        <f t="shared" ca="1" si="76"/>
        <v>#NAME?</v>
      </c>
      <c r="AN90" s="38" t="e">
        <f ca="1">_xll.RiskBinomial(1,AM90)</f>
        <v>#NAME?</v>
      </c>
      <c r="AO90" s="86" t="e">
        <f ca="1">IF(AN90=1,_xll.RiskBinomial(1,Prob_illness_Noro_infection),0)</f>
        <v>#NAME?</v>
      </c>
      <c r="AP90" s="33"/>
      <c r="AQ90" s="85" t="e">
        <f t="shared" ca="1" si="77"/>
        <v>#NAME?</v>
      </c>
      <c r="AR90" s="40" t="e">
        <f ca="1">INT(AQ90) + _xll.RiskBinomial(1,AQ90-INT(AQ90))</f>
        <v>#NAME?</v>
      </c>
      <c r="AS90" s="33" t="e">
        <f t="shared" ca="1" si="78"/>
        <v>#NAME?</v>
      </c>
      <c r="AT90" s="38" t="e">
        <f ca="1">_xll.RiskBinomial(1,AS90)</f>
        <v>#NAME?</v>
      </c>
      <c r="AU90" s="86" t="e">
        <f ca="1">IF(AT90=1,_xll.RiskBinomial(1,Prob_illness_Noro_infection),0)</f>
        <v>#NAME?</v>
      </c>
      <c r="AV90" s="33"/>
      <c r="AW90" s="85" t="e">
        <f t="shared" ca="1" si="106"/>
        <v>#NAME?</v>
      </c>
      <c r="AX90" s="40" t="e">
        <f ca="1">INT(AW90) + _xll.RiskBinomial(1,AW90-INT(AW90))</f>
        <v>#NAME?</v>
      </c>
      <c r="AY90" s="33" t="e">
        <f t="shared" ca="1" si="79"/>
        <v>#NAME?</v>
      </c>
      <c r="AZ90" s="38" t="e">
        <f ca="1">_xll.RiskBinomial(1,AY90)</f>
        <v>#NAME?</v>
      </c>
      <c r="BA90" s="86" t="e">
        <f ca="1">IF(AZ90=1,_xll.RiskBinomial(1,Prob_illness_Noro_infection),0)</f>
        <v>#NAME?</v>
      </c>
      <c r="BC90" s="85" t="e">
        <f t="shared" ca="1" si="107"/>
        <v>#NAME?</v>
      </c>
      <c r="BD90" s="40" t="e">
        <f ca="1">INT(BC90) + _xll.RiskBinomial(1,BC90-INT(BC90))</f>
        <v>#NAME?</v>
      </c>
      <c r="BE90" s="33" t="e">
        <f t="shared" ca="1" si="80"/>
        <v>#NAME?</v>
      </c>
      <c r="BF90" s="38" t="e">
        <f ca="1">_xll.RiskBinomial(1,BE90)</f>
        <v>#NAME?</v>
      </c>
      <c r="BG90" s="86" t="e">
        <f ca="1">IF(BF90=1,_xll.RiskBinomial(1,Prob_illness_Noro_infection),0)</f>
        <v>#NAME?</v>
      </c>
      <c r="BI90" s="85" t="e">
        <f t="shared" ca="1" si="108"/>
        <v>#NAME?</v>
      </c>
      <c r="BJ90" s="40" t="e">
        <f ca="1">INT(BI90) + _xll.RiskBinomial(1,BI90-INT(BI90))</f>
        <v>#NAME?</v>
      </c>
      <c r="BK90" s="33" t="e">
        <f t="shared" ca="1" si="81"/>
        <v>#NAME?</v>
      </c>
      <c r="BL90" s="38" t="e">
        <f ca="1">_xll.RiskBinomial(1,BK90)</f>
        <v>#NAME?</v>
      </c>
      <c r="BM90" s="86" t="e">
        <f ca="1">IF(BL90=1,_xll.RiskBinomial(1,Prob_illness_Noro_infection),0)</f>
        <v>#NAME?</v>
      </c>
      <c r="BO90" s="85" t="e">
        <f t="shared" ca="1" si="109"/>
        <v>#NAME?</v>
      </c>
      <c r="BP90" s="40" t="e">
        <f ca="1">INT(BO90) + _xll.RiskBinomial(1,BO90-INT(BO90))</f>
        <v>#NAME?</v>
      </c>
      <c r="BQ90" s="33" t="e">
        <f t="shared" ca="1" si="82"/>
        <v>#NAME?</v>
      </c>
      <c r="BR90" s="38" t="e">
        <f ca="1">_xll.RiskBinomial(1,BQ90)</f>
        <v>#NAME?</v>
      </c>
      <c r="BS90" s="86" t="e">
        <f ca="1">IF(BR90=1,_xll.RiskBinomial(1,Prob_illness_Noro_infection),0)</f>
        <v>#NAME?</v>
      </c>
      <c r="BU90" s="85" t="e">
        <f t="shared" ca="1" si="110"/>
        <v>#NAME?</v>
      </c>
      <c r="BV90" s="40" t="e">
        <f ca="1">INT(BU90) + _xll.RiskBinomial(1,BU90-INT(BU90))</f>
        <v>#NAME?</v>
      </c>
      <c r="BW90" s="33" t="e">
        <f t="shared" ca="1" si="83"/>
        <v>#NAME?</v>
      </c>
      <c r="BX90" s="38" t="e">
        <f ca="1">_xll.RiskBinomial(1,BW90)</f>
        <v>#NAME?</v>
      </c>
      <c r="BY90" s="86" t="e">
        <f ca="1">IF(BX90=1,_xll.RiskBinomial(1,Prob_illness_Noro_infection),0)</f>
        <v>#NAME?</v>
      </c>
      <c r="CA90" s="85" t="e">
        <f t="shared" ca="1" si="111"/>
        <v>#NAME?</v>
      </c>
      <c r="CB90" s="40" t="e">
        <f ca="1">INT(CA90) + _xll.RiskBinomial(1,CA90-INT(CA90))</f>
        <v>#NAME?</v>
      </c>
      <c r="CC90" s="33" t="e">
        <f t="shared" ca="1" si="84"/>
        <v>#NAME?</v>
      </c>
      <c r="CD90" s="38" t="e">
        <f ca="1">_xll.RiskBinomial(1,CC90)</f>
        <v>#NAME?</v>
      </c>
      <c r="CE90" s="86" t="e">
        <f ca="1">IF(CD90=1,_xll.RiskBinomial(1,Prob_illness_Noro_infection),0)</f>
        <v>#NAME?</v>
      </c>
      <c r="CG90" s="85" t="e">
        <f t="shared" ca="1" si="112"/>
        <v>#NAME?</v>
      </c>
      <c r="CH90" s="40" t="e">
        <f ca="1">INT(CG90) + _xll.RiskBinomial(1,CG90-INT(CG90))</f>
        <v>#NAME?</v>
      </c>
      <c r="CI90" s="33" t="e">
        <f t="shared" ca="1" si="85"/>
        <v>#NAME?</v>
      </c>
      <c r="CJ90" s="38" t="e">
        <f ca="1">_xll.RiskBinomial(1,CI90)</f>
        <v>#NAME?</v>
      </c>
      <c r="CK90" s="86" t="e">
        <f ca="1">IF(CJ90=1,_xll.RiskBinomial(1,Prob_illness_Noro_infection),0)</f>
        <v>#NAME?</v>
      </c>
      <c r="CM90" s="85" t="e">
        <f t="shared" ca="1" si="113"/>
        <v>#NAME?</v>
      </c>
      <c r="CN90" s="40" t="e">
        <f ca="1">INT(CM90) + _xll.RiskBinomial(1,CM90-INT(CM90))</f>
        <v>#NAME?</v>
      </c>
      <c r="CO90" s="33" t="e">
        <f t="shared" ca="1" si="86"/>
        <v>#NAME?</v>
      </c>
      <c r="CP90" s="38" t="e">
        <f ca="1">_xll.RiskBinomial(1,CO90)</f>
        <v>#NAME?</v>
      </c>
      <c r="CQ90" s="86" t="e">
        <f ca="1">IF(CP90=1,_xll.RiskBinomial(1,Prob_illness_Noro_infection),0)</f>
        <v>#NAME?</v>
      </c>
      <c r="CS90" s="85" t="e">
        <f t="shared" ca="1" si="114"/>
        <v>#NAME?</v>
      </c>
      <c r="CT90" s="40" t="e">
        <f ca="1">INT(CS90) + _xll.RiskBinomial(1,CS90-INT(CS90))</f>
        <v>#NAME?</v>
      </c>
      <c r="CU90" s="33" t="e">
        <f t="shared" ca="1" si="87"/>
        <v>#NAME?</v>
      </c>
      <c r="CV90" s="38" t="e">
        <f ca="1">_xll.RiskBinomial(1,CU90)</f>
        <v>#NAME?</v>
      </c>
      <c r="CW90" s="86" t="e">
        <f ca="1">IF(CV90=1,_xll.RiskBinomial(1,Prob_illness_Noro_infection),0)</f>
        <v>#NAME?</v>
      </c>
      <c r="CY90" s="85" t="e">
        <f t="shared" ca="1" si="115"/>
        <v>#NAME?</v>
      </c>
      <c r="CZ90" s="40" t="e">
        <f ca="1">INT(CY90) + _xll.RiskBinomial(1,CY90-INT(CY90))</f>
        <v>#NAME?</v>
      </c>
      <c r="DA90" s="33" t="e">
        <f t="shared" ca="1" si="88"/>
        <v>#NAME?</v>
      </c>
      <c r="DB90" s="38" t="e">
        <f ca="1">_xll.RiskBinomial(1,DA90)</f>
        <v>#NAME?</v>
      </c>
      <c r="DC90" s="86" t="e">
        <f ca="1">IF(DB90=1,_xll.RiskBinomial(1,Prob_illness_Noro_infection),0)</f>
        <v>#NAME?</v>
      </c>
      <c r="DE90" s="85" t="e">
        <f t="shared" ca="1" si="116"/>
        <v>#NAME?</v>
      </c>
      <c r="DF90" s="40" t="e">
        <f ca="1">INT(DE90) + _xll.RiskBinomial(1,DE90-INT(DE90))</f>
        <v>#NAME?</v>
      </c>
      <c r="DG90" s="33" t="e">
        <f t="shared" ca="1" si="89"/>
        <v>#NAME?</v>
      </c>
      <c r="DH90" s="38" t="e">
        <f ca="1">_xll.RiskBinomial(1,DG90)</f>
        <v>#NAME?</v>
      </c>
      <c r="DI90" s="86" t="e">
        <f ca="1">IF(DH90=1,_xll.RiskBinomial(1,Prob_illness_Noro_infection),0)</f>
        <v>#NAME?</v>
      </c>
      <c r="DK90" s="85" t="e">
        <f t="shared" ca="1" si="117"/>
        <v>#NAME?</v>
      </c>
      <c r="DL90" s="40" t="e">
        <f ca="1">INT(DK90) + _xll.RiskBinomial(1,DK90-INT(DK90))</f>
        <v>#NAME?</v>
      </c>
      <c r="DM90" s="33" t="e">
        <f t="shared" ca="1" si="90"/>
        <v>#NAME?</v>
      </c>
      <c r="DN90" s="38" t="e">
        <f ca="1">_xll.RiskBinomial(1,DM90)</f>
        <v>#NAME?</v>
      </c>
      <c r="DO90" s="86" t="e">
        <f ca="1">IF(DN90=1,_xll.RiskBinomial(1,Prob_illness_Noro_infection),0)</f>
        <v>#NAME?</v>
      </c>
      <c r="DQ90" s="85" t="e">
        <f t="shared" ca="1" si="118"/>
        <v>#NAME?</v>
      </c>
      <c r="DR90" s="40" t="e">
        <f ca="1">INT(DQ90) + _xll.RiskBinomial(1,DQ90-INT(DQ90))</f>
        <v>#NAME?</v>
      </c>
      <c r="DS90" s="33" t="e">
        <f t="shared" ca="1" si="91"/>
        <v>#NAME?</v>
      </c>
      <c r="DT90" s="38" t="e">
        <f ca="1">_xll.RiskBinomial(1,DS90)</f>
        <v>#NAME?</v>
      </c>
      <c r="DU90" s="86" t="e">
        <f ca="1">IF(DT90=1,_xll.RiskBinomial(1,Prob_illness_Noro_infection),0)</f>
        <v>#NAME?</v>
      </c>
      <c r="DW90" s="85" t="e">
        <f t="shared" ca="1" si="119"/>
        <v>#NAME?</v>
      </c>
      <c r="DX90" s="40" t="e">
        <f ca="1">INT(DW90) + _xll.RiskBinomial(1,DW90-INT(DW90))</f>
        <v>#NAME?</v>
      </c>
      <c r="DY90" s="33" t="e">
        <f t="shared" ca="1" si="92"/>
        <v>#NAME?</v>
      </c>
      <c r="DZ90" s="38" t="e">
        <f ca="1">_xll.RiskBinomial(1,DY90)</f>
        <v>#NAME?</v>
      </c>
      <c r="EA90" s="86" t="e">
        <f ca="1">IF(DZ90=1,_xll.RiskBinomial(1,Prob_illness_Noro_infection),0)</f>
        <v>#NAME?</v>
      </c>
      <c r="EC90" s="85" t="e">
        <f t="shared" ca="1" si="120"/>
        <v>#NAME?</v>
      </c>
      <c r="ED90" s="40" t="e">
        <f ca="1">INT(EC90) + _xll.RiskBinomial(1,EC90-INT(EC90))</f>
        <v>#NAME?</v>
      </c>
      <c r="EE90" s="33" t="e">
        <f t="shared" ca="1" si="93"/>
        <v>#NAME?</v>
      </c>
      <c r="EF90" s="38" t="e">
        <f ca="1">_xll.RiskBinomial(1,EE90)</f>
        <v>#NAME?</v>
      </c>
      <c r="EG90" s="86" t="e">
        <f ca="1">IF(EF90=1,_xll.RiskBinomial(1,Prob_illness_Noro_infection),0)</f>
        <v>#NAME?</v>
      </c>
      <c r="EI90" s="85" t="e">
        <f t="shared" ca="1" si="121"/>
        <v>#NAME?</v>
      </c>
      <c r="EJ90" s="40" t="e">
        <f ca="1">INT(EI90) + _xll.RiskBinomial(1,EI90-INT(EI90))</f>
        <v>#NAME?</v>
      </c>
      <c r="EK90" s="33" t="e">
        <f t="shared" ca="1" si="94"/>
        <v>#NAME?</v>
      </c>
      <c r="EL90" s="38" t="e">
        <f ca="1">_xll.RiskBinomial(1,EK90)</f>
        <v>#NAME?</v>
      </c>
      <c r="EM90" s="86" t="e">
        <f ca="1">IF(EL90=1,_xll.RiskBinomial(1,Prob_illness_Noro_infection),0)</f>
        <v>#NAME?</v>
      </c>
      <c r="EO90" s="85" t="e">
        <f t="shared" ca="1" si="122"/>
        <v>#NAME?</v>
      </c>
      <c r="EP90" s="40" t="e">
        <f ca="1">INT(EO90) + _xll.RiskBinomial(1,EO90-INT(EO90))</f>
        <v>#NAME?</v>
      </c>
      <c r="EQ90" s="33" t="e">
        <f t="shared" ca="1" si="95"/>
        <v>#NAME?</v>
      </c>
      <c r="ER90" s="38" t="e">
        <f ca="1">_xll.RiskBinomial(1,EQ90)</f>
        <v>#NAME?</v>
      </c>
      <c r="ES90" s="86" t="e">
        <f ca="1">IF(ER90=1,_xll.RiskBinomial(1,Prob_illness_Noro_infection),0)</f>
        <v>#NAME?</v>
      </c>
      <c r="EU90" s="85" t="e">
        <f t="shared" ca="1" si="123"/>
        <v>#NAME?</v>
      </c>
      <c r="EV90" s="40" t="e">
        <f ca="1">INT(EU90) + _xll.RiskBinomial(1,EU90-INT(EU90))</f>
        <v>#NAME?</v>
      </c>
      <c r="EW90" s="33" t="e">
        <f t="shared" ca="1" si="96"/>
        <v>#NAME?</v>
      </c>
      <c r="EX90" s="38" t="e">
        <f ca="1">_xll.RiskBinomial(1,EW90)</f>
        <v>#NAME?</v>
      </c>
      <c r="EY90" s="86" t="e">
        <f ca="1">IF(EX90=1,_xll.RiskBinomial(1,Prob_illness_Noro_infection),0)</f>
        <v>#NAME?</v>
      </c>
      <c r="FA90" s="85" t="e">
        <f t="shared" ca="1" si="124"/>
        <v>#NAME?</v>
      </c>
      <c r="FB90" s="40" t="e">
        <f ca="1">INT(FA90) + _xll.RiskBinomial(1,FA90-INT(FA90))</f>
        <v>#NAME?</v>
      </c>
      <c r="FC90" s="33" t="e">
        <f t="shared" ca="1" si="97"/>
        <v>#NAME?</v>
      </c>
      <c r="FD90" s="38" t="e">
        <f ca="1">_xll.RiskBinomial(1,FC90)</f>
        <v>#NAME?</v>
      </c>
      <c r="FE90" s="86" t="e">
        <f ca="1">IF(FD90=1,_xll.RiskBinomial(1,Prob_illness_Noro_infection),0)</f>
        <v>#NAME?</v>
      </c>
      <c r="FG90" s="85" t="e">
        <f t="shared" ca="1" si="125"/>
        <v>#NAME?</v>
      </c>
      <c r="FH90" s="40" t="e">
        <f ca="1">INT(FG90) + _xll.RiskBinomial(1,FG90-INT(FG90))</f>
        <v>#NAME?</v>
      </c>
      <c r="FI90" s="33" t="e">
        <f t="shared" ca="1" si="98"/>
        <v>#NAME?</v>
      </c>
      <c r="FJ90" s="38" t="e">
        <f ca="1">_xll.RiskBinomial(1,FI90)</f>
        <v>#NAME?</v>
      </c>
      <c r="FK90" s="86" t="e">
        <f ca="1">IF(FJ90=1,_xll.RiskBinomial(1,Prob_illness_Noro_infection),0)</f>
        <v>#NAME?</v>
      </c>
      <c r="FM90" s="85" t="e">
        <f t="shared" ca="1" si="126"/>
        <v>#NAME?</v>
      </c>
      <c r="FN90" s="40" t="e">
        <f ca="1">INT(FM90) + _xll.RiskBinomial(1,FM90-INT(FM90))</f>
        <v>#NAME?</v>
      </c>
      <c r="FO90" s="33" t="e">
        <f t="shared" ca="1" si="99"/>
        <v>#NAME?</v>
      </c>
      <c r="FP90" s="38" t="e">
        <f ca="1">_xll.RiskBinomial(1,FO90)</f>
        <v>#NAME?</v>
      </c>
      <c r="FQ90" s="86" t="e">
        <f ca="1">IF(FP90=1,_xll.RiskBinomial(1,Prob_illness_Noro_infection),0)</f>
        <v>#NAME?</v>
      </c>
      <c r="FS90" s="85" t="e">
        <f t="shared" ca="1" si="127"/>
        <v>#NAME?</v>
      </c>
      <c r="FT90" s="40" t="e">
        <f ca="1">INT(FS90) + _xll.RiskBinomial(1,FS90-INT(FS90))</f>
        <v>#NAME?</v>
      </c>
      <c r="FU90" s="33" t="e">
        <f t="shared" ca="1" si="100"/>
        <v>#NAME?</v>
      </c>
      <c r="FV90" s="38" t="e">
        <f ca="1">_xll.RiskBinomial(1,FU90)</f>
        <v>#NAME?</v>
      </c>
      <c r="FW90" s="86" t="e">
        <f ca="1">IF(FV90=1,_xll.RiskBinomial(1,Prob_illness_Noro_infection),0)</f>
        <v>#NAME?</v>
      </c>
      <c r="FY90" s="85" t="e">
        <f t="shared" ca="1" si="128"/>
        <v>#NAME?</v>
      </c>
      <c r="FZ90" s="40" t="e">
        <f ca="1">INT(FY90) + _xll.RiskBinomial(1,FY90-INT(FY90))</f>
        <v>#NAME?</v>
      </c>
      <c r="GA90" s="33" t="e">
        <f t="shared" ca="1" si="101"/>
        <v>#NAME?</v>
      </c>
      <c r="GB90" s="38" t="e">
        <f ca="1">_xll.RiskBinomial(1,GA90)</f>
        <v>#NAME?</v>
      </c>
      <c r="GC90" s="86" t="e">
        <f ca="1">IF(GB90=1,_xll.RiskBinomial(1,Prob_illness_Noro_infection),0)</f>
        <v>#NAME?</v>
      </c>
      <c r="GE90" s="85" t="e">
        <f t="shared" ca="1" si="129"/>
        <v>#NAME?</v>
      </c>
      <c r="GF90" s="40" t="e">
        <f ca="1">INT(GE90) + _xll.RiskBinomial(1,GE90-INT(GE90))</f>
        <v>#NAME?</v>
      </c>
      <c r="GG90" s="33" t="e">
        <f t="shared" ca="1" si="102"/>
        <v>#NAME?</v>
      </c>
      <c r="GH90" s="38" t="e">
        <f ca="1">_xll.RiskBinomial(1,GG90)</f>
        <v>#NAME?</v>
      </c>
      <c r="GI90" s="86" t="e">
        <f ca="1">IF(GH90=1,_xll.RiskBinomial(1,Prob_illness_Noro_infection),0)</f>
        <v>#NAME?</v>
      </c>
      <c r="GK90" s="85" t="e">
        <f t="shared" ca="1" si="130"/>
        <v>#NAME?</v>
      </c>
      <c r="GL90" s="40" t="e">
        <f ca="1">INT(GK90) + _xll.RiskBinomial(1,GK90-INT(GK90))</f>
        <v>#NAME?</v>
      </c>
      <c r="GM90" s="33" t="e">
        <f t="shared" ca="1" si="103"/>
        <v>#NAME?</v>
      </c>
      <c r="GN90" s="38" t="e">
        <f ca="1">_xll.RiskBinomial(1,GM90)</f>
        <v>#NAME?</v>
      </c>
      <c r="GO90" s="86" t="e">
        <f ca="1">IF(GN90=1,_xll.RiskBinomial(1,Prob_illness_Noro_infection),0)</f>
        <v>#NAME?</v>
      </c>
    </row>
    <row r="91" spans="2:197" x14ac:dyDescent="0.25">
      <c r="B91" s="106">
        <v>83</v>
      </c>
      <c r="C91" s="109" t="e">
        <f ca="1" xml:space="preserve"> _xll.RiskPert(Dur_Swim_hours_min,Dur_Swim_hours_mode,Dur_Swim_hours_max)</f>
        <v>#NAME?</v>
      </c>
      <c r="D91" s="33" t="e">
        <f ca="1">_xll.RiskLognorm(Primary_Ing_Rate_mL_per_hour_mean,Primary_Ing_Rate_mL_per_hour_sd, _xll.RiskTruncate(Primary_Ing_Rate_mL_per_hour_min,Primary_Ing_Rate_mL_per_hour_max))</f>
        <v>#NAME?</v>
      </c>
      <c r="E91" s="41" t="e">
        <f t="shared" ca="1" si="104"/>
        <v>#NAME?</v>
      </c>
      <c r="F91" s="33"/>
      <c r="G91" s="85" t="e">
        <f t="shared" ca="1" si="105"/>
        <v>#NAME?</v>
      </c>
      <c r="H91" s="40" t="e">
        <f ca="1">INT(G91) + _xll.RiskBinomial(1,G91-INT(G91))</f>
        <v>#NAME?</v>
      </c>
      <c r="I91" s="33" t="e">
        <f t="shared" ca="1" si="66"/>
        <v>#NAME?</v>
      </c>
      <c r="J91" s="38" t="e">
        <f ca="1">_xll.RiskBinomial(1,I91)</f>
        <v>#NAME?</v>
      </c>
      <c r="K91" s="86" t="e">
        <f ca="1">IF(J91=1,_xll.RiskBinomial(1,Prob_illness_Noro_infection),0)</f>
        <v>#NAME?</v>
      </c>
      <c r="L91" s="33"/>
      <c r="M91" s="85" t="e">
        <f t="shared" ca="1" si="67"/>
        <v>#NAME?</v>
      </c>
      <c r="N91" s="40" t="e">
        <f ca="1">INT(M91) + _xll.RiskBinomial(1,M91-INT(M91))</f>
        <v>#NAME?</v>
      </c>
      <c r="O91" s="33" t="e">
        <f t="shared" ca="1" si="68"/>
        <v>#NAME?</v>
      </c>
      <c r="P91" s="38" t="e">
        <f ca="1">_xll.RiskBinomial(1,O91)</f>
        <v>#NAME?</v>
      </c>
      <c r="Q91" s="86" t="e">
        <f ca="1">IF(P91=1,_xll.RiskBinomial(1,Prob_illness_Noro_infection),0)</f>
        <v>#NAME?</v>
      </c>
      <c r="R91" s="33"/>
      <c r="S91" s="85" t="e">
        <f t="shared" ca="1" si="69"/>
        <v>#NAME?</v>
      </c>
      <c r="T91" s="40" t="e">
        <f ca="1">INT(S91) + _xll.RiskBinomial(1,S91-INT(S91))</f>
        <v>#NAME?</v>
      </c>
      <c r="U91" s="33" t="e">
        <f t="shared" ca="1" si="70"/>
        <v>#NAME?</v>
      </c>
      <c r="V91" s="38" t="e">
        <f ca="1">_xll.RiskBinomial(1,U91)</f>
        <v>#NAME?</v>
      </c>
      <c r="W91" s="86" t="e">
        <f ca="1">IF(V91=1,_xll.RiskBinomial(1,Prob_illness_Noro_infection),0)</f>
        <v>#NAME?</v>
      </c>
      <c r="X91" s="33"/>
      <c r="Y91" s="85" t="e">
        <f t="shared" ca="1" si="71"/>
        <v>#NAME?</v>
      </c>
      <c r="Z91" s="40" t="e">
        <f ca="1">INT(Y91) + _xll.RiskBinomial(1,Y91-INT(Y91))</f>
        <v>#NAME?</v>
      </c>
      <c r="AA91" s="33" t="e">
        <f t="shared" ca="1" si="72"/>
        <v>#NAME?</v>
      </c>
      <c r="AB91" s="38" t="e">
        <f ca="1">_xll.RiskBinomial(1,AA91)</f>
        <v>#NAME?</v>
      </c>
      <c r="AC91" s="86" t="e">
        <f ca="1">IF(AB91=1,_xll.RiskBinomial(1,Prob_illness_Noro_infection),0)</f>
        <v>#NAME?</v>
      </c>
      <c r="AD91" s="33"/>
      <c r="AE91" s="85" t="e">
        <f t="shared" ca="1" si="73"/>
        <v>#NAME?</v>
      </c>
      <c r="AF91" s="40" t="e">
        <f ca="1">INT(AE91) + _xll.RiskBinomial(1,AE91-INT(AE91))</f>
        <v>#NAME?</v>
      </c>
      <c r="AG91" s="33" t="e">
        <f t="shared" ca="1" si="74"/>
        <v>#NAME?</v>
      </c>
      <c r="AH91" s="38" t="e">
        <f ca="1">_xll.RiskBinomial(1,AG91)</f>
        <v>#NAME?</v>
      </c>
      <c r="AI91" s="86" t="e">
        <f ca="1">IF(AH91=1,_xll.RiskBinomial(1,Prob_illness_Noro_infection),0)</f>
        <v>#NAME?</v>
      </c>
      <c r="AJ91" s="33"/>
      <c r="AK91" s="85" t="e">
        <f t="shared" ca="1" si="75"/>
        <v>#NAME?</v>
      </c>
      <c r="AL91" s="40" t="e">
        <f ca="1">INT(AK91) + _xll.RiskBinomial(1,AK91-INT(AK91))</f>
        <v>#NAME?</v>
      </c>
      <c r="AM91" s="33" t="e">
        <f t="shared" ca="1" si="76"/>
        <v>#NAME?</v>
      </c>
      <c r="AN91" s="38" t="e">
        <f ca="1">_xll.RiskBinomial(1,AM91)</f>
        <v>#NAME?</v>
      </c>
      <c r="AO91" s="86" t="e">
        <f ca="1">IF(AN91=1,_xll.RiskBinomial(1,Prob_illness_Noro_infection),0)</f>
        <v>#NAME?</v>
      </c>
      <c r="AP91" s="33"/>
      <c r="AQ91" s="85" t="e">
        <f t="shared" ca="1" si="77"/>
        <v>#NAME?</v>
      </c>
      <c r="AR91" s="40" t="e">
        <f ca="1">INT(AQ91) + _xll.RiskBinomial(1,AQ91-INT(AQ91))</f>
        <v>#NAME?</v>
      </c>
      <c r="AS91" s="33" t="e">
        <f t="shared" ca="1" si="78"/>
        <v>#NAME?</v>
      </c>
      <c r="AT91" s="38" t="e">
        <f ca="1">_xll.RiskBinomial(1,AS91)</f>
        <v>#NAME?</v>
      </c>
      <c r="AU91" s="86" t="e">
        <f ca="1">IF(AT91=1,_xll.RiskBinomial(1,Prob_illness_Noro_infection),0)</f>
        <v>#NAME?</v>
      </c>
      <c r="AV91" s="33"/>
      <c r="AW91" s="85" t="e">
        <f t="shared" ca="1" si="106"/>
        <v>#NAME?</v>
      </c>
      <c r="AX91" s="40" t="e">
        <f ca="1">INT(AW91) + _xll.RiskBinomial(1,AW91-INT(AW91))</f>
        <v>#NAME?</v>
      </c>
      <c r="AY91" s="33" t="e">
        <f t="shared" ca="1" si="79"/>
        <v>#NAME?</v>
      </c>
      <c r="AZ91" s="38" t="e">
        <f ca="1">_xll.RiskBinomial(1,AY91)</f>
        <v>#NAME?</v>
      </c>
      <c r="BA91" s="86" t="e">
        <f ca="1">IF(AZ91=1,_xll.RiskBinomial(1,Prob_illness_Noro_infection),0)</f>
        <v>#NAME?</v>
      </c>
      <c r="BC91" s="85" t="e">
        <f t="shared" ca="1" si="107"/>
        <v>#NAME?</v>
      </c>
      <c r="BD91" s="40" t="e">
        <f ca="1">INT(BC91) + _xll.RiskBinomial(1,BC91-INT(BC91))</f>
        <v>#NAME?</v>
      </c>
      <c r="BE91" s="33" t="e">
        <f t="shared" ca="1" si="80"/>
        <v>#NAME?</v>
      </c>
      <c r="BF91" s="38" t="e">
        <f ca="1">_xll.RiskBinomial(1,BE91)</f>
        <v>#NAME?</v>
      </c>
      <c r="BG91" s="86" t="e">
        <f ca="1">IF(BF91=1,_xll.RiskBinomial(1,Prob_illness_Noro_infection),0)</f>
        <v>#NAME?</v>
      </c>
      <c r="BI91" s="85" t="e">
        <f t="shared" ca="1" si="108"/>
        <v>#NAME?</v>
      </c>
      <c r="BJ91" s="40" t="e">
        <f ca="1">INT(BI91) + _xll.RiskBinomial(1,BI91-INT(BI91))</f>
        <v>#NAME?</v>
      </c>
      <c r="BK91" s="33" t="e">
        <f t="shared" ca="1" si="81"/>
        <v>#NAME?</v>
      </c>
      <c r="BL91" s="38" t="e">
        <f ca="1">_xll.RiskBinomial(1,BK91)</f>
        <v>#NAME?</v>
      </c>
      <c r="BM91" s="86" t="e">
        <f ca="1">IF(BL91=1,_xll.RiskBinomial(1,Prob_illness_Noro_infection),0)</f>
        <v>#NAME?</v>
      </c>
      <c r="BO91" s="85" t="e">
        <f t="shared" ca="1" si="109"/>
        <v>#NAME?</v>
      </c>
      <c r="BP91" s="40" t="e">
        <f ca="1">INT(BO91) + _xll.RiskBinomial(1,BO91-INT(BO91))</f>
        <v>#NAME?</v>
      </c>
      <c r="BQ91" s="33" t="e">
        <f t="shared" ca="1" si="82"/>
        <v>#NAME?</v>
      </c>
      <c r="BR91" s="38" t="e">
        <f ca="1">_xll.RiskBinomial(1,BQ91)</f>
        <v>#NAME?</v>
      </c>
      <c r="BS91" s="86" t="e">
        <f ca="1">IF(BR91=1,_xll.RiskBinomial(1,Prob_illness_Noro_infection),0)</f>
        <v>#NAME?</v>
      </c>
      <c r="BU91" s="85" t="e">
        <f t="shared" ca="1" si="110"/>
        <v>#NAME?</v>
      </c>
      <c r="BV91" s="40" t="e">
        <f ca="1">INT(BU91) + _xll.RiskBinomial(1,BU91-INT(BU91))</f>
        <v>#NAME?</v>
      </c>
      <c r="BW91" s="33" t="e">
        <f t="shared" ca="1" si="83"/>
        <v>#NAME?</v>
      </c>
      <c r="BX91" s="38" t="e">
        <f ca="1">_xll.RiskBinomial(1,BW91)</f>
        <v>#NAME?</v>
      </c>
      <c r="BY91" s="86" t="e">
        <f ca="1">IF(BX91=1,_xll.RiskBinomial(1,Prob_illness_Noro_infection),0)</f>
        <v>#NAME?</v>
      </c>
      <c r="CA91" s="85" t="e">
        <f t="shared" ca="1" si="111"/>
        <v>#NAME?</v>
      </c>
      <c r="CB91" s="40" t="e">
        <f ca="1">INT(CA91) + _xll.RiskBinomial(1,CA91-INT(CA91))</f>
        <v>#NAME?</v>
      </c>
      <c r="CC91" s="33" t="e">
        <f t="shared" ca="1" si="84"/>
        <v>#NAME?</v>
      </c>
      <c r="CD91" s="38" t="e">
        <f ca="1">_xll.RiskBinomial(1,CC91)</f>
        <v>#NAME?</v>
      </c>
      <c r="CE91" s="86" t="e">
        <f ca="1">IF(CD91=1,_xll.RiskBinomial(1,Prob_illness_Noro_infection),0)</f>
        <v>#NAME?</v>
      </c>
      <c r="CG91" s="85" t="e">
        <f t="shared" ca="1" si="112"/>
        <v>#NAME?</v>
      </c>
      <c r="CH91" s="40" t="e">
        <f ca="1">INT(CG91) + _xll.RiskBinomial(1,CG91-INT(CG91))</f>
        <v>#NAME?</v>
      </c>
      <c r="CI91" s="33" t="e">
        <f t="shared" ca="1" si="85"/>
        <v>#NAME?</v>
      </c>
      <c r="CJ91" s="38" t="e">
        <f ca="1">_xll.RiskBinomial(1,CI91)</f>
        <v>#NAME?</v>
      </c>
      <c r="CK91" s="86" t="e">
        <f ca="1">IF(CJ91=1,_xll.RiskBinomial(1,Prob_illness_Noro_infection),0)</f>
        <v>#NAME?</v>
      </c>
      <c r="CM91" s="85" t="e">
        <f t="shared" ca="1" si="113"/>
        <v>#NAME?</v>
      </c>
      <c r="CN91" s="40" t="e">
        <f ca="1">INT(CM91) + _xll.RiskBinomial(1,CM91-INT(CM91))</f>
        <v>#NAME?</v>
      </c>
      <c r="CO91" s="33" t="e">
        <f t="shared" ca="1" si="86"/>
        <v>#NAME?</v>
      </c>
      <c r="CP91" s="38" t="e">
        <f ca="1">_xll.RiskBinomial(1,CO91)</f>
        <v>#NAME?</v>
      </c>
      <c r="CQ91" s="86" t="e">
        <f ca="1">IF(CP91=1,_xll.RiskBinomial(1,Prob_illness_Noro_infection),0)</f>
        <v>#NAME?</v>
      </c>
      <c r="CS91" s="85" t="e">
        <f t="shared" ca="1" si="114"/>
        <v>#NAME?</v>
      </c>
      <c r="CT91" s="40" t="e">
        <f ca="1">INT(CS91) + _xll.RiskBinomial(1,CS91-INT(CS91))</f>
        <v>#NAME?</v>
      </c>
      <c r="CU91" s="33" t="e">
        <f t="shared" ca="1" si="87"/>
        <v>#NAME?</v>
      </c>
      <c r="CV91" s="38" t="e">
        <f ca="1">_xll.RiskBinomial(1,CU91)</f>
        <v>#NAME?</v>
      </c>
      <c r="CW91" s="86" t="e">
        <f ca="1">IF(CV91=1,_xll.RiskBinomial(1,Prob_illness_Noro_infection),0)</f>
        <v>#NAME?</v>
      </c>
      <c r="CY91" s="85" t="e">
        <f t="shared" ca="1" si="115"/>
        <v>#NAME?</v>
      </c>
      <c r="CZ91" s="40" t="e">
        <f ca="1">INT(CY91) + _xll.RiskBinomial(1,CY91-INT(CY91))</f>
        <v>#NAME?</v>
      </c>
      <c r="DA91" s="33" t="e">
        <f t="shared" ca="1" si="88"/>
        <v>#NAME?</v>
      </c>
      <c r="DB91" s="38" t="e">
        <f ca="1">_xll.RiskBinomial(1,DA91)</f>
        <v>#NAME?</v>
      </c>
      <c r="DC91" s="86" t="e">
        <f ca="1">IF(DB91=1,_xll.RiskBinomial(1,Prob_illness_Noro_infection),0)</f>
        <v>#NAME?</v>
      </c>
      <c r="DE91" s="85" t="e">
        <f t="shared" ca="1" si="116"/>
        <v>#NAME?</v>
      </c>
      <c r="DF91" s="40" t="e">
        <f ca="1">INT(DE91) + _xll.RiskBinomial(1,DE91-INT(DE91))</f>
        <v>#NAME?</v>
      </c>
      <c r="DG91" s="33" t="e">
        <f t="shared" ca="1" si="89"/>
        <v>#NAME?</v>
      </c>
      <c r="DH91" s="38" t="e">
        <f ca="1">_xll.RiskBinomial(1,DG91)</f>
        <v>#NAME?</v>
      </c>
      <c r="DI91" s="86" t="e">
        <f ca="1">IF(DH91=1,_xll.RiskBinomial(1,Prob_illness_Noro_infection),0)</f>
        <v>#NAME?</v>
      </c>
      <c r="DK91" s="85" t="e">
        <f t="shared" ca="1" si="117"/>
        <v>#NAME?</v>
      </c>
      <c r="DL91" s="40" t="e">
        <f ca="1">INT(DK91) + _xll.RiskBinomial(1,DK91-INT(DK91))</f>
        <v>#NAME?</v>
      </c>
      <c r="DM91" s="33" t="e">
        <f t="shared" ca="1" si="90"/>
        <v>#NAME?</v>
      </c>
      <c r="DN91" s="38" t="e">
        <f ca="1">_xll.RiskBinomial(1,DM91)</f>
        <v>#NAME?</v>
      </c>
      <c r="DO91" s="86" t="e">
        <f ca="1">IF(DN91=1,_xll.RiskBinomial(1,Prob_illness_Noro_infection),0)</f>
        <v>#NAME?</v>
      </c>
      <c r="DQ91" s="85" t="e">
        <f t="shared" ca="1" si="118"/>
        <v>#NAME?</v>
      </c>
      <c r="DR91" s="40" t="e">
        <f ca="1">INT(DQ91) + _xll.RiskBinomial(1,DQ91-INT(DQ91))</f>
        <v>#NAME?</v>
      </c>
      <c r="DS91" s="33" t="e">
        <f t="shared" ca="1" si="91"/>
        <v>#NAME?</v>
      </c>
      <c r="DT91" s="38" t="e">
        <f ca="1">_xll.RiskBinomial(1,DS91)</f>
        <v>#NAME?</v>
      </c>
      <c r="DU91" s="86" t="e">
        <f ca="1">IF(DT91=1,_xll.RiskBinomial(1,Prob_illness_Noro_infection),0)</f>
        <v>#NAME?</v>
      </c>
      <c r="DW91" s="85" t="e">
        <f t="shared" ca="1" si="119"/>
        <v>#NAME?</v>
      </c>
      <c r="DX91" s="40" t="e">
        <f ca="1">INT(DW91) + _xll.RiskBinomial(1,DW91-INT(DW91))</f>
        <v>#NAME?</v>
      </c>
      <c r="DY91" s="33" t="e">
        <f t="shared" ca="1" si="92"/>
        <v>#NAME?</v>
      </c>
      <c r="DZ91" s="38" t="e">
        <f ca="1">_xll.RiskBinomial(1,DY91)</f>
        <v>#NAME?</v>
      </c>
      <c r="EA91" s="86" t="e">
        <f ca="1">IF(DZ91=1,_xll.RiskBinomial(1,Prob_illness_Noro_infection),0)</f>
        <v>#NAME?</v>
      </c>
      <c r="EC91" s="85" t="e">
        <f t="shared" ca="1" si="120"/>
        <v>#NAME?</v>
      </c>
      <c r="ED91" s="40" t="e">
        <f ca="1">INT(EC91) + _xll.RiskBinomial(1,EC91-INT(EC91))</f>
        <v>#NAME?</v>
      </c>
      <c r="EE91" s="33" t="e">
        <f t="shared" ca="1" si="93"/>
        <v>#NAME?</v>
      </c>
      <c r="EF91" s="38" t="e">
        <f ca="1">_xll.RiskBinomial(1,EE91)</f>
        <v>#NAME?</v>
      </c>
      <c r="EG91" s="86" t="e">
        <f ca="1">IF(EF91=1,_xll.RiskBinomial(1,Prob_illness_Noro_infection),0)</f>
        <v>#NAME?</v>
      </c>
      <c r="EI91" s="85" t="e">
        <f t="shared" ca="1" si="121"/>
        <v>#NAME?</v>
      </c>
      <c r="EJ91" s="40" t="e">
        <f ca="1">INT(EI91) + _xll.RiskBinomial(1,EI91-INT(EI91))</f>
        <v>#NAME?</v>
      </c>
      <c r="EK91" s="33" t="e">
        <f t="shared" ca="1" si="94"/>
        <v>#NAME?</v>
      </c>
      <c r="EL91" s="38" t="e">
        <f ca="1">_xll.RiskBinomial(1,EK91)</f>
        <v>#NAME?</v>
      </c>
      <c r="EM91" s="86" t="e">
        <f ca="1">IF(EL91=1,_xll.RiskBinomial(1,Prob_illness_Noro_infection),0)</f>
        <v>#NAME?</v>
      </c>
      <c r="EO91" s="85" t="e">
        <f t="shared" ca="1" si="122"/>
        <v>#NAME?</v>
      </c>
      <c r="EP91" s="40" t="e">
        <f ca="1">INT(EO91) + _xll.RiskBinomial(1,EO91-INT(EO91))</f>
        <v>#NAME?</v>
      </c>
      <c r="EQ91" s="33" t="e">
        <f t="shared" ca="1" si="95"/>
        <v>#NAME?</v>
      </c>
      <c r="ER91" s="38" t="e">
        <f ca="1">_xll.RiskBinomial(1,EQ91)</f>
        <v>#NAME?</v>
      </c>
      <c r="ES91" s="86" t="e">
        <f ca="1">IF(ER91=1,_xll.RiskBinomial(1,Prob_illness_Noro_infection),0)</f>
        <v>#NAME?</v>
      </c>
      <c r="EU91" s="85" t="e">
        <f t="shared" ca="1" si="123"/>
        <v>#NAME?</v>
      </c>
      <c r="EV91" s="40" t="e">
        <f ca="1">INT(EU91) + _xll.RiskBinomial(1,EU91-INT(EU91))</f>
        <v>#NAME?</v>
      </c>
      <c r="EW91" s="33" t="e">
        <f t="shared" ca="1" si="96"/>
        <v>#NAME?</v>
      </c>
      <c r="EX91" s="38" t="e">
        <f ca="1">_xll.RiskBinomial(1,EW91)</f>
        <v>#NAME?</v>
      </c>
      <c r="EY91" s="86" t="e">
        <f ca="1">IF(EX91=1,_xll.RiskBinomial(1,Prob_illness_Noro_infection),0)</f>
        <v>#NAME?</v>
      </c>
      <c r="FA91" s="85" t="e">
        <f t="shared" ca="1" si="124"/>
        <v>#NAME?</v>
      </c>
      <c r="FB91" s="40" t="e">
        <f ca="1">INT(FA91) + _xll.RiskBinomial(1,FA91-INT(FA91))</f>
        <v>#NAME?</v>
      </c>
      <c r="FC91" s="33" t="e">
        <f t="shared" ca="1" si="97"/>
        <v>#NAME?</v>
      </c>
      <c r="FD91" s="38" t="e">
        <f ca="1">_xll.RiskBinomial(1,FC91)</f>
        <v>#NAME?</v>
      </c>
      <c r="FE91" s="86" t="e">
        <f ca="1">IF(FD91=1,_xll.RiskBinomial(1,Prob_illness_Noro_infection),0)</f>
        <v>#NAME?</v>
      </c>
      <c r="FG91" s="85" t="e">
        <f t="shared" ca="1" si="125"/>
        <v>#NAME?</v>
      </c>
      <c r="FH91" s="40" t="e">
        <f ca="1">INT(FG91) + _xll.RiskBinomial(1,FG91-INT(FG91))</f>
        <v>#NAME?</v>
      </c>
      <c r="FI91" s="33" t="e">
        <f t="shared" ca="1" si="98"/>
        <v>#NAME?</v>
      </c>
      <c r="FJ91" s="38" t="e">
        <f ca="1">_xll.RiskBinomial(1,FI91)</f>
        <v>#NAME?</v>
      </c>
      <c r="FK91" s="86" t="e">
        <f ca="1">IF(FJ91=1,_xll.RiskBinomial(1,Prob_illness_Noro_infection),0)</f>
        <v>#NAME?</v>
      </c>
      <c r="FM91" s="85" t="e">
        <f t="shared" ca="1" si="126"/>
        <v>#NAME?</v>
      </c>
      <c r="FN91" s="40" t="e">
        <f ca="1">INT(FM91) + _xll.RiskBinomial(1,FM91-INT(FM91))</f>
        <v>#NAME?</v>
      </c>
      <c r="FO91" s="33" t="e">
        <f t="shared" ca="1" si="99"/>
        <v>#NAME?</v>
      </c>
      <c r="FP91" s="38" t="e">
        <f ca="1">_xll.RiskBinomial(1,FO91)</f>
        <v>#NAME?</v>
      </c>
      <c r="FQ91" s="86" t="e">
        <f ca="1">IF(FP91=1,_xll.RiskBinomial(1,Prob_illness_Noro_infection),0)</f>
        <v>#NAME?</v>
      </c>
      <c r="FS91" s="85" t="e">
        <f t="shared" ca="1" si="127"/>
        <v>#NAME?</v>
      </c>
      <c r="FT91" s="40" t="e">
        <f ca="1">INT(FS91) + _xll.RiskBinomial(1,FS91-INT(FS91))</f>
        <v>#NAME?</v>
      </c>
      <c r="FU91" s="33" t="e">
        <f t="shared" ca="1" si="100"/>
        <v>#NAME?</v>
      </c>
      <c r="FV91" s="38" t="e">
        <f ca="1">_xll.RiskBinomial(1,FU91)</f>
        <v>#NAME?</v>
      </c>
      <c r="FW91" s="86" t="e">
        <f ca="1">IF(FV91=1,_xll.RiskBinomial(1,Prob_illness_Noro_infection),0)</f>
        <v>#NAME?</v>
      </c>
      <c r="FY91" s="85" t="e">
        <f t="shared" ca="1" si="128"/>
        <v>#NAME?</v>
      </c>
      <c r="FZ91" s="40" t="e">
        <f ca="1">INT(FY91) + _xll.RiskBinomial(1,FY91-INT(FY91))</f>
        <v>#NAME?</v>
      </c>
      <c r="GA91" s="33" t="e">
        <f t="shared" ca="1" si="101"/>
        <v>#NAME?</v>
      </c>
      <c r="GB91" s="38" t="e">
        <f ca="1">_xll.RiskBinomial(1,GA91)</f>
        <v>#NAME?</v>
      </c>
      <c r="GC91" s="86" t="e">
        <f ca="1">IF(GB91=1,_xll.RiskBinomial(1,Prob_illness_Noro_infection),0)</f>
        <v>#NAME?</v>
      </c>
      <c r="GE91" s="85" t="e">
        <f t="shared" ca="1" si="129"/>
        <v>#NAME?</v>
      </c>
      <c r="GF91" s="40" t="e">
        <f ca="1">INT(GE91) + _xll.RiskBinomial(1,GE91-INT(GE91))</f>
        <v>#NAME?</v>
      </c>
      <c r="GG91" s="33" t="e">
        <f t="shared" ca="1" si="102"/>
        <v>#NAME?</v>
      </c>
      <c r="GH91" s="38" t="e">
        <f ca="1">_xll.RiskBinomial(1,GG91)</f>
        <v>#NAME?</v>
      </c>
      <c r="GI91" s="86" t="e">
        <f ca="1">IF(GH91=1,_xll.RiskBinomial(1,Prob_illness_Noro_infection),0)</f>
        <v>#NAME?</v>
      </c>
      <c r="GK91" s="85" t="e">
        <f t="shared" ca="1" si="130"/>
        <v>#NAME?</v>
      </c>
      <c r="GL91" s="40" t="e">
        <f ca="1">INT(GK91) + _xll.RiskBinomial(1,GK91-INT(GK91))</f>
        <v>#NAME?</v>
      </c>
      <c r="GM91" s="33" t="e">
        <f t="shared" ca="1" si="103"/>
        <v>#NAME?</v>
      </c>
      <c r="GN91" s="38" t="e">
        <f ca="1">_xll.RiskBinomial(1,GM91)</f>
        <v>#NAME?</v>
      </c>
      <c r="GO91" s="86" t="e">
        <f ca="1">IF(GN91=1,_xll.RiskBinomial(1,Prob_illness_Noro_infection),0)</f>
        <v>#NAME?</v>
      </c>
    </row>
    <row r="92" spans="2:197" x14ac:dyDescent="0.25">
      <c r="B92" s="106">
        <v>84</v>
      </c>
      <c r="C92" s="109" t="e">
        <f ca="1" xml:space="preserve"> _xll.RiskPert(Dur_Swim_hours_min,Dur_Swim_hours_mode,Dur_Swim_hours_max)</f>
        <v>#NAME?</v>
      </c>
      <c r="D92" s="33" t="e">
        <f ca="1">_xll.RiskLognorm(Primary_Ing_Rate_mL_per_hour_mean,Primary_Ing_Rate_mL_per_hour_sd, _xll.RiskTruncate(Primary_Ing_Rate_mL_per_hour_min,Primary_Ing_Rate_mL_per_hour_max))</f>
        <v>#NAME?</v>
      </c>
      <c r="E92" s="41" t="e">
        <f t="shared" ca="1" si="104"/>
        <v>#NAME?</v>
      </c>
      <c r="F92" s="33"/>
      <c r="G92" s="85" t="e">
        <f t="shared" ca="1" si="105"/>
        <v>#NAME?</v>
      </c>
      <c r="H92" s="40" t="e">
        <f ca="1">INT(G92) + _xll.RiskBinomial(1,G92-INT(G92))</f>
        <v>#NAME?</v>
      </c>
      <c r="I92" s="33" t="e">
        <f t="shared" ca="1" si="66"/>
        <v>#NAME?</v>
      </c>
      <c r="J92" s="38" t="e">
        <f ca="1">_xll.RiskBinomial(1,I92)</f>
        <v>#NAME?</v>
      </c>
      <c r="K92" s="86" t="e">
        <f ca="1">IF(J92=1,_xll.RiskBinomial(1,Prob_illness_Noro_infection),0)</f>
        <v>#NAME?</v>
      </c>
      <c r="L92" s="33"/>
      <c r="M92" s="85" t="e">
        <f t="shared" ca="1" si="67"/>
        <v>#NAME?</v>
      </c>
      <c r="N92" s="40" t="e">
        <f ca="1">INT(M92) + _xll.RiskBinomial(1,M92-INT(M92))</f>
        <v>#NAME?</v>
      </c>
      <c r="O92" s="33" t="e">
        <f t="shared" ca="1" si="68"/>
        <v>#NAME?</v>
      </c>
      <c r="P92" s="38" t="e">
        <f ca="1">_xll.RiskBinomial(1,O92)</f>
        <v>#NAME?</v>
      </c>
      <c r="Q92" s="86" t="e">
        <f ca="1">IF(P92=1,_xll.RiskBinomial(1,Prob_illness_Noro_infection),0)</f>
        <v>#NAME?</v>
      </c>
      <c r="R92" s="33"/>
      <c r="S92" s="85" t="e">
        <f t="shared" ca="1" si="69"/>
        <v>#NAME?</v>
      </c>
      <c r="T92" s="40" t="e">
        <f ca="1">INT(S92) + _xll.RiskBinomial(1,S92-INT(S92))</f>
        <v>#NAME?</v>
      </c>
      <c r="U92" s="33" t="e">
        <f t="shared" ca="1" si="70"/>
        <v>#NAME?</v>
      </c>
      <c r="V92" s="38" t="e">
        <f ca="1">_xll.RiskBinomial(1,U92)</f>
        <v>#NAME?</v>
      </c>
      <c r="W92" s="86" t="e">
        <f ca="1">IF(V92=1,_xll.RiskBinomial(1,Prob_illness_Noro_infection),0)</f>
        <v>#NAME?</v>
      </c>
      <c r="X92" s="33"/>
      <c r="Y92" s="85" t="e">
        <f t="shared" ca="1" si="71"/>
        <v>#NAME?</v>
      </c>
      <c r="Z92" s="40" t="e">
        <f ca="1">INT(Y92) + _xll.RiskBinomial(1,Y92-INT(Y92))</f>
        <v>#NAME?</v>
      </c>
      <c r="AA92" s="33" t="e">
        <f t="shared" ca="1" si="72"/>
        <v>#NAME?</v>
      </c>
      <c r="AB92" s="38" t="e">
        <f ca="1">_xll.RiskBinomial(1,AA92)</f>
        <v>#NAME?</v>
      </c>
      <c r="AC92" s="86" t="e">
        <f ca="1">IF(AB92=1,_xll.RiskBinomial(1,Prob_illness_Noro_infection),0)</f>
        <v>#NAME?</v>
      </c>
      <c r="AD92" s="33"/>
      <c r="AE92" s="85" t="e">
        <f t="shared" ca="1" si="73"/>
        <v>#NAME?</v>
      </c>
      <c r="AF92" s="40" t="e">
        <f ca="1">INT(AE92) + _xll.RiskBinomial(1,AE92-INT(AE92))</f>
        <v>#NAME?</v>
      </c>
      <c r="AG92" s="33" t="e">
        <f t="shared" ca="1" si="74"/>
        <v>#NAME?</v>
      </c>
      <c r="AH92" s="38" t="e">
        <f ca="1">_xll.RiskBinomial(1,AG92)</f>
        <v>#NAME?</v>
      </c>
      <c r="AI92" s="86" t="e">
        <f ca="1">IF(AH92=1,_xll.RiskBinomial(1,Prob_illness_Noro_infection),0)</f>
        <v>#NAME?</v>
      </c>
      <c r="AJ92" s="33"/>
      <c r="AK92" s="85" t="e">
        <f t="shared" ca="1" si="75"/>
        <v>#NAME?</v>
      </c>
      <c r="AL92" s="40" t="e">
        <f ca="1">INT(AK92) + _xll.RiskBinomial(1,AK92-INT(AK92))</f>
        <v>#NAME?</v>
      </c>
      <c r="AM92" s="33" t="e">
        <f t="shared" ca="1" si="76"/>
        <v>#NAME?</v>
      </c>
      <c r="AN92" s="38" t="e">
        <f ca="1">_xll.RiskBinomial(1,AM92)</f>
        <v>#NAME?</v>
      </c>
      <c r="AO92" s="86" t="e">
        <f ca="1">IF(AN92=1,_xll.RiskBinomial(1,Prob_illness_Noro_infection),0)</f>
        <v>#NAME?</v>
      </c>
      <c r="AP92" s="33"/>
      <c r="AQ92" s="85" t="e">
        <f t="shared" ca="1" si="77"/>
        <v>#NAME?</v>
      </c>
      <c r="AR92" s="40" t="e">
        <f ca="1">INT(AQ92) + _xll.RiskBinomial(1,AQ92-INT(AQ92))</f>
        <v>#NAME?</v>
      </c>
      <c r="AS92" s="33" t="e">
        <f t="shared" ca="1" si="78"/>
        <v>#NAME?</v>
      </c>
      <c r="AT92" s="38" t="e">
        <f ca="1">_xll.RiskBinomial(1,AS92)</f>
        <v>#NAME?</v>
      </c>
      <c r="AU92" s="86" t="e">
        <f ca="1">IF(AT92=1,_xll.RiskBinomial(1,Prob_illness_Noro_infection),0)</f>
        <v>#NAME?</v>
      </c>
      <c r="AV92" s="33"/>
      <c r="AW92" s="85" t="e">
        <f t="shared" ca="1" si="106"/>
        <v>#NAME?</v>
      </c>
      <c r="AX92" s="40" t="e">
        <f ca="1">INT(AW92) + _xll.RiskBinomial(1,AW92-INT(AW92))</f>
        <v>#NAME?</v>
      </c>
      <c r="AY92" s="33" t="e">
        <f t="shared" ca="1" si="79"/>
        <v>#NAME?</v>
      </c>
      <c r="AZ92" s="38" t="e">
        <f ca="1">_xll.RiskBinomial(1,AY92)</f>
        <v>#NAME?</v>
      </c>
      <c r="BA92" s="86" t="e">
        <f ca="1">IF(AZ92=1,_xll.RiskBinomial(1,Prob_illness_Noro_infection),0)</f>
        <v>#NAME?</v>
      </c>
      <c r="BC92" s="85" t="e">
        <f t="shared" ca="1" si="107"/>
        <v>#NAME?</v>
      </c>
      <c r="BD92" s="40" t="e">
        <f ca="1">INT(BC92) + _xll.RiskBinomial(1,BC92-INT(BC92))</f>
        <v>#NAME?</v>
      </c>
      <c r="BE92" s="33" t="e">
        <f t="shared" ca="1" si="80"/>
        <v>#NAME?</v>
      </c>
      <c r="BF92" s="38" t="e">
        <f ca="1">_xll.RiskBinomial(1,BE92)</f>
        <v>#NAME?</v>
      </c>
      <c r="BG92" s="86" t="e">
        <f ca="1">IF(BF92=1,_xll.RiskBinomial(1,Prob_illness_Noro_infection),0)</f>
        <v>#NAME?</v>
      </c>
      <c r="BI92" s="85" t="e">
        <f t="shared" ca="1" si="108"/>
        <v>#NAME?</v>
      </c>
      <c r="BJ92" s="40" t="e">
        <f ca="1">INT(BI92) + _xll.RiskBinomial(1,BI92-INT(BI92))</f>
        <v>#NAME?</v>
      </c>
      <c r="BK92" s="33" t="e">
        <f t="shared" ca="1" si="81"/>
        <v>#NAME?</v>
      </c>
      <c r="BL92" s="38" t="e">
        <f ca="1">_xll.RiskBinomial(1,BK92)</f>
        <v>#NAME?</v>
      </c>
      <c r="BM92" s="86" t="e">
        <f ca="1">IF(BL92=1,_xll.RiskBinomial(1,Prob_illness_Noro_infection),0)</f>
        <v>#NAME?</v>
      </c>
      <c r="BO92" s="85" t="e">
        <f t="shared" ca="1" si="109"/>
        <v>#NAME?</v>
      </c>
      <c r="BP92" s="40" t="e">
        <f ca="1">INT(BO92) + _xll.RiskBinomial(1,BO92-INT(BO92))</f>
        <v>#NAME?</v>
      </c>
      <c r="BQ92" s="33" t="e">
        <f t="shared" ca="1" si="82"/>
        <v>#NAME?</v>
      </c>
      <c r="BR92" s="38" t="e">
        <f ca="1">_xll.RiskBinomial(1,BQ92)</f>
        <v>#NAME?</v>
      </c>
      <c r="BS92" s="86" t="e">
        <f ca="1">IF(BR92=1,_xll.RiskBinomial(1,Prob_illness_Noro_infection),0)</f>
        <v>#NAME?</v>
      </c>
      <c r="BU92" s="85" t="e">
        <f t="shared" ca="1" si="110"/>
        <v>#NAME?</v>
      </c>
      <c r="BV92" s="40" t="e">
        <f ca="1">INT(BU92) + _xll.RiskBinomial(1,BU92-INT(BU92))</f>
        <v>#NAME?</v>
      </c>
      <c r="BW92" s="33" t="e">
        <f t="shared" ca="1" si="83"/>
        <v>#NAME?</v>
      </c>
      <c r="BX92" s="38" t="e">
        <f ca="1">_xll.RiskBinomial(1,BW92)</f>
        <v>#NAME?</v>
      </c>
      <c r="BY92" s="86" t="e">
        <f ca="1">IF(BX92=1,_xll.RiskBinomial(1,Prob_illness_Noro_infection),0)</f>
        <v>#NAME?</v>
      </c>
      <c r="CA92" s="85" t="e">
        <f t="shared" ca="1" si="111"/>
        <v>#NAME?</v>
      </c>
      <c r="CB92" s="40" t="e">
        <f ca="1">INT(CA92) + _xll.RiskBinomial(1,CA92-INT(CA92))</f>
        <v>#NAME?</v>
      </c>
      <c r="CC92" s="33" t="e">
        <f t="shared" ca="1" si="84"/>
        <v>#NAME?</v>
      </c>
      <c r="CD92" s="38" t="e">
        <f ca="1">_xll.RiskBinomial(1,CC92)</f>
        <v>#NAME?</v>
      </c>
      <c r="CE92" s="86" t="e">
        <f ca="1">IF(CD92=1,_xll.RiskBinomial(1,Prob_illness_Noro_infection),0)</f>
        <v>#NAME?</v>
      </c>
      <c r="CG92" s="85" t="e">
        <f t="shared" ca="1" si="112"/>
        <v>#NAME?</v>
      </c>
      <c r="CH92" s="40" t="e">
        <f ca="1">INT(CG92) + _xll.RiskBinomial(1,CG92-INT(CG92))</f>
        <v>#NAME?</v>
      </c>
      <c r="CI92" s="33" t="e">
        <f t="shared" ca="1" si="85"/>
        <v>#NAME?</v>
      </c>
      <c r="CJ92" s="38" t="e">
        <f ca="1">_xll.RiskBinomial(1,CI92)</f>
        <v>#NAME?</v>
      </c>
      <c r="CK92" s="86" t="e">
        <f ca="1">IF(CJ92=1,_xll.RiskBinomial(1,Prob_illness_Noro_infection),0)</f>
        <v>#NAME?</v>
      </c>
      <c r="CM92" s="85" t="e">
        <f t="shared" ca="1" si="113"/>
        <v>#NAME?</v>
      </c>
      <c r="CN92" s="40" t="e">
        <f ca="1">INT(CM92) + _xll.RiskBinomial(1,CM92-INT(CM92))</f>
        <v>#NAME?</v>
      </c>
      <c r="CO92" s="33" t="e">
        <f t="shared" ca="1" si="86"/>
        <v>#NAME?</v>
      </c>
      <c r="CP92" s="38" t="e">
        <f ca="1">_xll.RiskBinomial(1,CO92)</f>
        <v>#NAME?</v>
      </c>
      <c r="CQ92" s="86" t="e">
        <f ca="1">IF(CP92=1,_xll.RiskBinomial(1,Prob_illness_Noro_infection),0)</f>
        <v>#NAME?</v>
      </c>
      <c r="CS92" s="85" t="e">
        <f t="shared" ca="1" si="114"/>
        <v>#NAME?</v>
      </c>
      <c r="CT92" s="40" t="e">
        <f ca="1">INT(CS92) + _xll.RiskBinomial(1,CS92-INT(CS92))</f>
        <v>#NAME?</v>
      </c>
      <c r="CU92" s="33" t="e">
        <f t="shared" ca="1" si="87"/>
        <v>#NAME?</v>
      </c>
      <c r="CV92" s="38" t="e">
        <f ca="1">_xll.RiskBinomial(1,CU92)</f>
        <v>#NAME?</v>
      </c>
      <c r="CW92" s="86" t="e">
        <f ca="1">IF(CV92=1,_xll.RiskBinomial(1,Prob_illness_Noro_infection),0)</f>
        <v>#NAME?</v>
      </c>
      <c r="CY92" s="85" t="e">
        <f t="shared" ca="1" si="115"/>
        <v>#NAME?</v>
      </c>
      <c r="CZ92" s="40" t="e">
        <f ca="1">INT(CY92) + _xll.RiskBinomial(1,CY92-INT(CY92))</f>
        <v>#NAME?</v>
      </c>
      <c r="DA92" s="33" t="e">
        <f t="shared" ca="1" si="88"/>
        <v>#NAME?</v>
      </c>
      <c r="DB92" s="38" t="e">
        <f ca="1">_xll.RiskBinomial(1,DA92)</f>
        <v>#NAME?</v>
      </c>
      <c r="DC92" s="86" t="e">
        <f ca="1">IF(DB92=1,_xll.RiskBinomial(1,Prob_illness_Noro_infection),0)</f>
        <v>#NAME?</v>
      </c>
      <c r="DE92" s="85" t="e">
        <f t="shared" ca="1" si="116"/>
        <v>#NAME?</v>
      </c>
      <c r="DF92" s="40" t="e">
        <f ca="1">INT(DE92) + _xll.RiskBinomial(1,DE92-INT(DE92))</f>
        <v>#NAME?</v>
      </c>
      <c r="DG92" s="33" t="e">
        <f t="shared" ca="1" si="89"/>
        <v>#NAME?</v>
      </c>
      <c r="DH92" s="38" t="e">
        <f ca="1">_xll.RiskBinomial(1,DG92)</f>
        <v>#NAME?</v>
      </c>
      <c r="DI92" s="86" t="e">
        <f ca="1">IF(DH92=1,_xll.RiskBinomial(1,Prob_illness_Noro_infection),0)</f>
        <v>#NAME?</v>
      </c>
      <c r="DK92" s="85" t="e">
        <f t="shared" ca="1" si="117"/>
        <v>#NAME?</v>
      </c>
      <c r="DL92" s="40" t="e">
        <f ca="1">INT(DK92) + _xll.RiskBinomial(1,DK92-INT(DK92))</f>
        <v>#NAME?</v>
      </c>
      <c r="DM92" s="33" t="e">
        <f t="shared" ca="1" si="90"/>
        <v>#NAME?</v>
      </c>
      <c r="DN92" s="38" t="e">
        <f ca="1">_xll.RiskBinomial(1,DM92)</f>
        <v>#NAME?</v>
      </c>
      <c r="DO92" s="86" t="e">
        <f ca="1">IF(DN92=1,_xll.RiskBinomial(1,Prob_illness_Noro_infection),0)</f>
        <v>#NAME?</v>
      </c>
      <c r="DQ92" s="85" t="e">
        <f t="shared" ca="1" si="118"/>
        <v>#NAME?</v>
      </c>
      <c r="DR92" s="40" t="e">
        <f ca="1">INT(DQ92) + _xll.RiskBinomial(1,DQ92-INT(DQ92))</f>
        <v>#NAME?</v>
      </c>
      <c r="DS92" s="33" t="e">
        <f t="shared" ca="1" si="91"/>
        <v>#NAME?</v>
      </c>
      <c r="DT92" s="38" t="e">
        <f ca="1">_xll.RiskBinomial(1,DS92)</f>
        <v>#NAME?</v>
      </c>
      <c r="DU92" s="86" t="e">
        <f ca="1">IF(DT92=1,_xll.RiskBinomial(1,Prob_illness_Noro_infection),0)</f>
        <v>#NAME?</v>
      </c>
      <c r="DW92" s="85" t="e">
        <f t="shared" ca="1" si="119"/>
        <v>#NAME?</v>
      </c>
      <c r="DX92" s="40" t="e">
        <f ca="1">INT(DW92) + _xll.RiskBinomial(1,DW92-INT(DW92))</f>
        <v>#NAME?</v>
      </c>
      <c r="DY92" s="33" t="e">
        <f t="shared" ca="1" si="92"/>
        <v>#NAME?</v>
      </c>
      <c r="DZ92" s="38" t="e">
        <f ca="1">_xll.RiskBinomial(1,DY92)</f>
        <v>#NAME?</v>
      </c>
      <c r="EA92" s="86" t="e">
        <f ca="1">IF(DZ92=1,_xll.RiskBinomial(1,Prob_illness_Noro_infection),0)</f>
        <v>#NAME?</v>
      </c>
      <c r="EC92" s="85" t="e">
        <f t="shared" ca="1" si="120"/>
        <v>#NAME?</v>
      </c>
      <c r="ED92" s="40" t="e">
        <f ca="1">INT(EC92) + _xll.RiskBinomial(1,EC92-INT(EC92))</f>
        <v>#NAME?</v>
      </c>
      <c r="EE92" s="33" t="e">
        <f t="shared" ca="1" si="93"/>
        <v>#NAME?</v>
      </c>
      <c r="EF92" s="38" t="e">
        <f ca="1">_xll.RiskBinomial(1,EE92)</f>
        <v>#NAME?</v>
      </c>
      <c r="EG92" s="86" t="e">
        <f ca="1">IF(EF92=1,_xll.RiskBinomial(1,Prob_illness_Noro_infection),0)</f>
        <v>#NAME?</v>
      </c>
      <c r="EI92" s="85" t="e">
        <f t="shared" ca="1" si="121"/>
        <v>#NAME?</v>
      </c>
      <c r="EJ92" s="40" t="e">
        <f ca="1">INT(EI92) + _xll.RiskBinomial(1,EI92-INT(EI92))</f>
        <v>#NAME?</v>
      </c>
      <c r="EK92" s="33" t="e">
        <f t="shared" ca="1" si="94"/>
        <v>#NAME?</v>
      </c>
      <c r="EL92" s="38" t="e">
        <f ca="1">_xll.RiskBinomial(1,EK92)</f>
        <v>#NAME?</v>
      </c>
      <c r="EM92" s="86" t="e">
        <f ca="1">IF(EL92=1,_xll.RiskBinomial(1,Prob_illness_Noro_infection),0)</f>
        <v>#NAME?</v>
      </c>
      <c r="EO92" s="85" t="e">
        <f t="shared" ca="1" si="122"/>
        <v>#NAME?</v>
      </c>
      <c r="EP92" s="40" t="e">
        <f ca="1">INT(EO92) + _xll.RiskBinomial(1,EO92-INT(EO92))</f>
        <v>#NAME?</v>
      </c>
      <c r="EQ92" s="33" t="e">
        <f t="shared" ca="1" si="95"/>
        <v>#NAME?</v>
      </c>
      <c r="ER92" s="38" t="e">
        <f ca="1">_xll.RiskBinomial(1,EQ92)</f>
        <v>#NAME?</v>
      </c>
      <c r="ES92" s="86" t="e">
        <f ca="1">IF(ER92=1,_xll.RiskBinomial(1,Prob_illness_Noro_infection),0)</f>
        <v>#NAME?</v>
      </c>
      <c r="EU92" s="85" t="e">
        <f t="shared" ca="1" si="123"/>
        <v>#NAME?</v>
      </c>
      <c r="EV92" s="40" t="e">
        <f ca="1">INT(EU92) + _xll.RiskBinomial(1,EU92-INT(EU92))</f>
        <v>#NAME?</v>
      </c>
      <c r="EW92" s="33" t="e">
        <f t="shared" ca="1" si="96"/>
        <v>#NAME?</v>
      </c>
      <c r="EX92" s="38" t="e">
        <f ca="1">_xll.RiskBinomial(1,EW92)</f>
        <v>#NAME?</v>
      </c>
      <c r="EY92" s="86" t="e">
        <f ca="1">IF(EX92=1,_xll.RiskBinomial(1,Prob_illness_Noro_infection),0)</f>
        <v>#NAME?</v>
      </c>
      <c r="FA92" s="85" t="e">
        <f t="shared" ca="1" si="124"/>
        <v>#NAME?</v>
      </c>
      <c r="FB92" s="40" t="e">
        <f ca="1">INT(FA92) + _xll.RiskBinomial(1,FA92-INT(FA92))</f>
        <v>#NAME?</v>
      </c>
      <c r="FC92" s="33" t="e">
        <f t="shared" ca="1" si="97"/>
        <v>#NAME?</v>
      </c>
      <c r="FD92" s="38" t="e">
        <f ca="1">_xll.RiskBinomial(1,FC92)</f>
        <v>#NAME?</v>
      </c>
      <c r="FE92" s="86" t="e">
        <f ca="1">IF(FD92=1,_xll.RiskBinomial(1,Prob_illness_Noro_infection),0)</f>
        <v>#NAME?</v>
      </c>
      <c r="FG92" s="85" t="e">
        <f t="shared" ca="1" si="125"/>
        <v>#NAME?</v>
      </c>
      <c r="FH92" s="40" t="e">
        <f ca="1">INT(FG92) + _xll.RiskBinomial(1,FG92-INT(FG92))</f>
        <v>#NAME?</v>
      </c>
      <c r="FI92" s="33" t="e">
        <f t="shared" ca="1" si="98"/>
        <v>#NAME?</v>
      </c>
      <c r="FJ92" s="38" t="e">
        <f ca="1">_xll.RiskBinomial(1,FI92)</f>
        <v>#NAME?</v>
      </c>
      <c r="FK92" s="86" t="e">
        <f ca="1">IF(FJ92=1,_xll.RiskBinomial(1,Prob_illness_Noro_infection),0)</f>
        <v>#NAME?</v>
      </c>
      <c r="FM92" s="85" t="e">
        <f t="shared" ca="1" si="126"/>
        <v>#NAME?</v>
      </c>
      <c r="FN92" s="40" t="e">
        <f ca="1">INT(FM92) + _xll.RiskBinomial(1,FM92-INT(FM92))</f>
        <v>#NAME?</v>
      </c>
      <c r="FO92" s="33" t="e">
        <f t="shared" ca="1" si="99"/>
        <v>#NAME?</v>
      </c>
      <c r="FP92" s="38" t="e">
        <f ca="1">_xll.RiskBinomial(1,FO92)</f>
        <v>#NAME?</v>
      </c>
      <c r="FQ92" s="86" t="e">
        <f ca="1">IF(FP92=1,_xll.RiskBinomial(1,Prob_illness_Noro_infection),0)</f>
        <v>#NAME?</v>
      </c>
      <c r="FS92" s="85" t="e">
        <f t="shared" ca="1" si="127"/>
        <v>#NAME?</v>
      </c>
      <c r="FT92" s="40" t="e">
        <f ca="1">INT(FS92) + _xll.RiskBinomial(1,FS92-INT(FS92))</f>
        <v>#NAME?</v>
      </c>
      <c r="FU92" s="33" t="e">
        <f t="shared" ca="1" si="100"/>
        <v>#NAME?</v>
      </c>
      <c r="FV92" s="38" t="e">
        <f ca="1">_xll.RiskBinomial(1,FU92)</f>
        <v>#NAME?</v>
      </c>
      <c r="FW92" s="86" t="e">
        <f ca="1">IF(FV92=1,_xll.RiskBinomial(1,Prob_illness_Noro_infection),0)</f>
        <v>#NAME?</v>
      </c>
      <c r="FY92" s="85" t="e">
        <f t="shared" ca="1" si="128"/>
        <v>#NAME?</v>
      </c>
      <c r="FZ92" s="40" t="e">
        <f ca="1">INT(FY92) + _xll.RiskBinomial(1,FY92-INT(FY92))</f>
        <v>#NAME?</v>
      </c>
      <c r="GA92" s="33" t="e">
        <f t="shared" ca="1" si="101"/>
        <v>#NAME?</v>
      </c>
      <c r="GB92" s="38" t="e">
        <f ca="1">_xll.RiskBinomial(1,GA92)</f>
        <v>#NAME?</v>
      </c>
      <c r="GC92" s="86" t="e">
        <f ca="1">IF(GB92=1,_xll.RiskBinomial(1,Prob_illness_Noro_infection),0)</f>
        <v>#NAME?</v>
      </c>
      <c r="GE92" s="85" t="e">
        <f t="shared" ca="1" si="129"/>
        <v>#NAME?</v>
      </c>
      <c r="GF92" s="40" t="e">
        <f ca="1">INT(GE92) + _xll.RiskBinomial(1,GE92-INT(GE92))</f>
        <v>#NAME?</v>
      </c>
      <c r="GG92" s="33" t="e">
        <f t="shared" ca="1" si="102"/>
        <v>#NAME?</v>
      </c>
      <c r="GH92" s="38" t="e">
        <f ca="1">_xll.RiskBinomial(1,GG92)</f>
        <v>#NAME?</v>
      </c>
      <c r="GI92" s="86" t="e">
        <f ca="1">IF(GH92=1,_xll.RiskBinomial(1,Prob_illness_Noro_infection),0)</f>
        <v>#NAME?</v>
      </c>
      <c r="GK92" s="85" t="e">
        <f t="shared" ca="1" si="130"/>
        <v>#NAME?</v>
      </c>
      <c r="GL92" s="40" t="e">
        <f ca="1">INT(GK92) + _xll.RiskBinomial(1,GK92-INT(GK92))</f>
        <v>#NAME?</v>
      </c>
      <c r="GM92" s="33" t="e">
        <f t="shared" ca="1" si="103"/>
        <v>#NAME?</v>
      </c>
      <c r="GN92" s="38" t="e">
        <f ca="1">_xll.RiskBinomial(1,GM92)</f>
        <v>#NAME?</v>
      </c>
      <c r="GO92" s="86" t="e">
        <f ca="1">IF(GN92=1,_xll.RiskBinomial(1,Prob_illness_Noro_infection),0)</f>
        <v>#NAME?</v>
      </c>
    </row>
    <row r="93" spans="2:197" x14ac:dyDescent="0.25">
      <c r="B93" s="106">
        <v>85</v>
      </c>
      <c r="C93" s="109" t="e">
        <f ca="1" xml:space="preserve"> _xll.RiskPert(Dur_Swim_hours_min,Dur_Swim_hours_mode,Dur_Swim_hours_max)</f>
        <v>#NAME?</v>
      </c>
      <c r="D93" s="33" t="e">
        <f ca="1">_xll.RiskLognorm(Primary_Ing_Rate_mL_per_hour_mean,Primary_Ing_Rate_mL_per_hour_sd, _xll.RiskTruncate(Primary_Ing_Rate_mL_per_hour_min,Primary_Ing_Rate_mL_per_hour_max))</f>
        <v>#NAME?</v>
      </c>
      <c r="E93" s="41" t="e">
        <f t="shared" ca="1" si="104"/>
        <v>#NAME?</v>
      </c>
      <c r="F93" s="33"/>
      <c r="G93" s="85" t="e">
        <f t="shared" ca="1" si="105"/>
        <v>#NAME?</v>
      </c>
      <c r="H93" s="40" t="e">
        <f ca="1">INT(G93) + _xll.RiskBinomial(1,G93-INT(G93))</f>
        <v>#NAME?</v>
      </c>
      <c r="I93" s="33" t="e">
        <f t="shared" ca="1" si="66"/>
        <v>#NAME?</v>
      </c>
      <c r="J93" s="38" t="e">
        <f ca="1">_xll.RiskBinomial(1,I93)</f>
        <v>#NAME?</v>
      </c>
      <c r="K93" s="86" t="e">
        <f ca="1">IF(J93=1,_xll.RiskBinomial(1,Prob_illness_Noro_infection),0)</f>
        <v>#NAME?</v>
      </c>
      <c r="L93" s="33"/>
      <c r="M93" s="85" t="e">
        <f t="shared" ca="1" si="67"/>
        <v>#NAME?</v>
      </c>
      <c r="N93" s="40" t="e">
        <f ca="1">INT(M93) + _xll.RiskBinomial(1,M93-INT(M93))</f>
        <v>#NAME?</v>
      </c>
      <c r="O93" s="33" t="e">
        <f t="shared" ca="1" si="68"/>
        <v>#NAME?</v>
      </c>
      <c r="P93" s="38" t="e">
        <f ca="1">_xll.RiskBinomial(1,O93)</f>
        <v>#NAME?</v>
      </c>
      <c r="Q93" s="86" t="e">
        <f ca="1">IF(P93=1,_xll.RiskBinomial(1,Prob_illness_Noro_infection),0)</f>
        <v>#NAME?</v>
      </c>
      <c r="R93" s="33"/>
      <c r="S93" s="85" t="e">
        <f t="shared" ca="1" si="69"/>
        <v>#NAME?</v>
      </c>
      <c r="T93" s="40" t="e">
        <f ca="1">INT(S93) + _xll.RiskBinomial(1,S93-INT(S93))</f>
        <v>#NAME?</v>
      </c>
      <c r="U93" s="33" t="e">
        <f t="shared" ca="1" si="70"/>
        <v>#NAME?</v>
      </c>
      <c r="V93" s="38" t="e">
        <f ca="1">_xll.RiskBinomial(1,U93)</f>
        <v>#NAME?</v>
      </c>
      <c r="W93" s="86" t="e">
        <f ca="1">IF(V93=1,_xll.RiskBinomial(1,Prob_illness_Noro_infection),0)</f>
        <v>#NAME?</v>
      </c>
      <c r="X93" s="33"/>
      <c r="Y93" s="85" t="e">
        <f t="shared" ca="1" si="71"/>
        <v>#NAME?</v>
      </c>
      <c r="Z93" s="40" t="e">
        <f ca="1">INT(Y93) + _xll.RiskBinomial(1,Y93-INT(Y93))</f>
        <v>#NAME?</v>
      </c>
      <c r="AA93" s="33" t="e">
        <f t="shared" ca="1" si="72"/>
        <v>#NAME?</v>
      </c>
      <c r="AB93" s="38" t="e">
        <f ca="1">_xll.RiskBinomial(1,AA93)</f>
        <v>#NAME?</v>
      </c>
      <c r="AC93" s="86" t="e">
        <f ca="1">IF(AB93=1,_xll.RiskBinomial(1,Prob_illness_Noro_infection),0)</f>
        <v>#NAME?</v>
      </c>
      <c r="AD93" s="33"/>
      <c r="AE93" s="85" t="e">
        <f t="shared" ca="1" si="73"/>
        <v>#NAME?</v>
      </c>
      <c r="AF93" s="40" t="e">
        <f ca="1">INT(AE93) + _xll.RiskBinomial(1,AE93-INT(AE93))</f>
        <v>#NAME?</v>
      </c>
      <c r="AG93" s="33" t="e">
        <f t="shared" ca="1" si="74"/>
        <v>#NAME?</v>
      </c>
      <c r="AH93" s="38" t="e">
        <f ca="1">_xll.RiskBinomial(1,AG93)</f>
        <v>#NAME?</v>
      </c>
      <c r="AI93" s="86" t="e">
        <f ca="1">IF(AH93=1,_xll.RiskBinomial(1,Prob_illness_Noro_infection),0)</f>
        <v>#NAME?</v>
      </c>
      <c r="AJ93" s="33"/>
      <c r="AK93" s="85" t="e">
        <f t="shared" ca="1" si="75"/>
        <v>#NAME?</v>
      </c>
      <c r="AL93" s="40" t="e">
        <f ca="1">INT(AK93) + _xll.RiskBinomial(1,AK93-INT(AK93))</f>
        <v>#NAME?</v>
      </c>
      <c r="AM93" s="33" t="e">
        <f t="shared" ca="1" si="76"/>
        <v>#NAME?</v>
      </c>
      <c r="AN93" s="38" t="e">
        <f ca="1">_xll.RiskBinomial(1,AM93)</f>
        <v>#NAME?</v>
      </c>
      <c r="AO93" s="86" t="e">
        <f ca="1">IF(AN93=1,_xll.RiskBinomial(1,Prob_illness_Noro_infection),0)</f>
        <v>#NAME?</v>
      </c>
      <c r="AP93" s="33"/>
      <c r="AQ93" s="85" t="e">
        <f t="shared" ca="1" si="77"/>
        <v>#NAME?</v>
      </c>
      <c r="AR93" s="40" t="e">
        <f ca="1">INT(AQ93) + _xll.RiskBinomial(1,AQ93-INT(AQ93))</f>
        <v>#NAME?</v>
      </c>
      <c r="AS93" s="33" t="e">
        <f t="shared" ca="1" si="78"/>
        <v>#NAME?</v>
      </c>
      <c r="AT93" s="38" t="e">
        <f ca="1">_xll.RiskBinomial(1,AS93)</f>
        <v>#NAME?</v>
      </c>
      <c r="AU93" s="86" t="e">
        <f ca="1">IF(AT93=1,_xll.RiskBinomial(1,Prob_illness_Noro_infection),0)</f>
        <v>#NAME?</v>
      </c>
      <c r="AV93" s="33"/>
      <c r="AW93" s="85" t="e">
        <f t="shared" ca="1" si="106"/>
        <v>#NAME?</v>
      </c>
      <c r="AX93" s="40" t="e">
        <f ca="1">INT(AW93) + _xll.RiskBinomial(1,AW93-INT(AW93))</f>
        <v>#NAME?</v>
      </c>
      <c r="AY93" s="33" t="e">
        <f t="shared" ca="1" si="79"/>
        <v>#NAME?</v>
      </c>
      <c r="AZ93" s="38" t="e">
        <f ca="1">_xll.RiskBinomial(1,AY93)</f>
        <v>#NAME?</v>
      </c>
      <c r="BA93" s="86" t="e">
        <f ca="1">IF(AZ93=1,_xll.RiskBinomial(1,Prob_illness_Noro_infection),0)</f>
        <v>#NAME?</v>
      </c>
      <c r="BC93" s="85" t="e">
        <f t="shared" ca="1" si="107"/>
        <v>#NAME?</v>
      </c>
      <c r="BD93" s="40" t="e">
        <f ca="1">INT(BC93) + _xll.RiskBinomial(1,BC93-INT(BC93))</f>
        <v>#NAME?</v>
      </c>
      <c r="BE93" s="33" t="e">
        <f t="shared" ca="1" si="80"/>
        <v>#NAME?</v>
      </c>
      <c r="BF93" s="38" t="e">
        <f ca="1">_xll.RiskBinomial(1,BE93)</f>
        <v>#NAME?</v>
      </c>
      <c r="BG93" s="86" t="e">
        <f ca="1">IF(BF93=1,_xll.RiskBinomial(1,Prob_illness_Noro_infection),0)</f>
        <v>#NAME?</v>
      </c>
      <c r="BI93" s="85" t="e">
        <f t="shared" ca="1" si="108"/>
        <v>#NAME?</v>
      </c>
      <c r="BJ93" s="40" t="e">
        <f ca="1">INT(BI93) + _xll.RiskBinomial(1,BI93-INT(BI93))</f>
        <v>#NAME?</v>
      </c>
      <c r="BK93" s="33" t="e">
        <f t="shared" ca="1" si="81"/>
        <v>#NAME?</v>
      </c>
      <c r="BL93" s="38" t="e">
        <f ca="1">_xll.RiskBinomial(1,BK93)</f>
        <v>#NAME?</v>
      </c>
      <c r="BM93" s="86" t="e">
        <f ca="1">IF(BL93=1,_xll.RiskBinomial(1,Prob_illness_Noro_infection),0)</f>
        <v>#NAME?</v>
      </c>
      <c r="BO93" s="85" t="e">
        <f t="shared" ca="1" si="109"/>
        <v>#NAME?</v>
      </c>
      <c r="BP93" s="40" t="e">
        <f ca="1">INT(BO93) + _xll.RiskBinomial(1,BO93-INT(BO93))</f>
        <v>#NAME?</v>
      </c>
      <c r="BQ93" s="33" t="e">
        <f t="shared" ca="1" si="82"/>
        <v>#NAME?</v>
      </c>
      <c r="BR93" s="38" t="e">
        <f ca="1">_xll.RiskBinomial(1,BQ93)</f>
        <v>#NAME?</v>
      </c>
      <c r="BS93" s="86" t="e">
        <f ca="1">IF(BR93=1,_xll.RiskBinomial(1,Prob_illness_Noro_infection),0)</f>
        <v>#NAME?</v>
      </c>
      <c r="BU93" s="85" t="e">
        <f t="shared" ca="1" si="110"/>
        <v>#NAME?</v>
      </c>
      <c r="BV93" s="40" t="e">
        <f ca="1">INT(BU93) + _xll.RiskBinomial(1,BU93-INT(BU93))</f>
        <v>#NAME?</v>
      </c>
      <c r="BW93" s="33" t="e">
        <f t="shared" ca="1" si="83"/>
        <v>#NAME?</v>
      </c>
      <c r="BX93" s="38" t="e">
        <f ca="1">_xll.RiskBinomial(1,BW93)</f>
        <v>#NAME?</v>
      </c>
      <c r="BY93" s="86" t="e">
        <f ca="1">IF(BX93=1,_xll.RiskBinomial(1,Prob_illness_Noro_infection),0)</f>
        <v>#NAME?</v>
      </c>
      <c r="CA93" s="85" t="e">
        <f t="shared" ca="1" si="111"/>
        <v>#NAME?</v>
      </c>
      <c r="CB93" s="40" t="e">
        <f ca="1">INT(CA93) + _xll.RiskBinomial(1,CA93-INT(CA93))</f>
        <v>#NAME?</v>
      </c>
      <c r="CC93" s="33" t="e">
        <f t="shared" ca="1" si="84"/>
        <v>#NAME?</v>
      </c>
      <c r="CD93" s="38" t="e">
        <f ca="1">_xll.RiskBinomial(1,CC93)</f>
        <v>#NAME?</v>
      </c>
      <c r="CE93" s="86" t="e">
        <f ca="1">IF(CD93=1,_xll.RiskBinomial(1,Prob_illness_Noro_infection),0)</f>
        <v>#NAME?</v>
      </c>
      <c r="CG93" s="85" t="e">
        <f t="shared" ca="1" si="112"/>
        <v>#NAME?</v>
      </c>
      <c r="CH93" s="40" t="e">
        <f ca="1">INT(CG93) + _xll.RiskBinomial(1,CG93-INT(CG93))</f>
        <v>#NAME?</v>
      </c>
      <c r="CI93" s="33" t="e">
        <f t="shared" ca="1" si="85"/>
        <v>#NAME?</v>
      </c>
      <c r="CJ93" s="38" t="e">
        <f ca="1">_xll.RiskBinomial(1,CI93)</f>
        <v>#NAME?</v>
      </c>
      <c r="CK93" s="86" t="e">
        <f ca="1">IF(CJ93=1,_xll.RiskBinomial(1,Prob_illness_Noro_infection),0)</f>
        <v>#NAME?</v>
      </c>
      <c r="CM93" s="85" t="e">
        <f t="shared" ca="1" si="113"/>
        <v>#NAME?</v>
      </c>
      <c r="CN93" s="40" t="e">
        <f ca="1">INT(CM93) + _xll.RiskBinomial(1,CM93-INT(CM93))</f>
        <v>#NAME?</v>
      </c>
      <c r="CO93" s="33" t="e">
        <f t="shared" ca="1" si="86"/>
        <v>#NAME?</v>
      </c>
      <c r="CP93" s="38" t="e">
        <f ca="1">_xll.RiskBinomial(1,CO93)</f>
        <v>#NAME?</v>
      </c>
      <c r="CQ93" s="86" t="e">
        <f ca="1">IF(CP93=1,_xll.RiskBinomial(1,Prob_illness_Noro_infection),0)</f>
        <v>#NAME?</v>
      </c>
      <c r="CS93" s="85" t="e">
        <f t="shared" ca="1" si="114"/>
        <v>#NAME?</v>
      </c>
      <c r="CT93" s="40" t="e">
        <f ca="1">INT(CS93) + _xll.RiskBinomial(1,CS93-INT(CS93))</f>
        <v>#NAME?</v>
      </c>
      <c r="CU93" s="33" t="e">
        <f t="shared" ca="1" si="87"/>
        <v>#NAME?</v>
      </c>
      <c r="CV93" s="38" t="e">
        <f ca="1">_xll.RiskBinomial(1,CU93)</f>
        <v>#NAME?</v>
      </c>
      <c r="CW93" s="86" t="e">
        <f ca="1">IF(CV93=1,_xll.RiskBinomial(1,Prob_illness_Noro_infection),0)</f>
        <v>#NAME?</v>
      </c>
      <c r="CY93" s="85" t="e">
        <f t="shared" ca="1" si="115"/>
        <v>#NAME?</v>
      </c>
      <c r="CZ93" s="40" t="e">
        <f ca="1">INT(CY93) + _xll.RiskBinomial(1,CY93-INT(CY93))</f>
        <v>#NAME?</v>
      </c>
      <c r="DA93" s="33" t="e">
        <f t="shared" ca="1" si="88"/>
        <v>#NAME?</v>
      </c>
      <c r="DB93" s="38" t="e">
        <f ca="1">_xll.RiskBinomial(1,DA93)</f>
        <v>#NAME?</v>
      </c>
      <c r="DC93" s="86" t="e">
        <f ca="1">IF(DB93=1,_xll.RiskBinomial(1,Prob_illness_Noro_infection),0)</f>
        <v>#NAME?</v>
      </c>
      <c r="DE93" s="85" t="e">
        <f t="shared" ca="1" si="116"/>
        <v>#NAME?</v>
      </c>
      <c r="DF93" s="40" t="e">
        <f ca="1">INT(DE93) + _xll.RiskBinomial(1,DE93-INT(DE93))</f>
        <v>#NAME?</v>
      </c>
      <c r="DG93" s="33" t="e">
        <f t="shared" ca="1" si="89"/>
        <v>#NAME?</v>
      </c>
      <c r="DH93" s="38" t="e">
        <f ca="1">_xll.RiskBinomial(1,DG93)</f>
        <v>#NAME?</v>
      </c>
      <c r="DI93" s="86" t="e">
        <f ca="1">IF(DH93=1,_xll.RiskBinomial(1,Prob_illness_Noro_infection),0)</f>
        <v>#NAME?</v>
      </c>
      <c r="DK93" s="85" t="e">
        <f t="shared" ca="1" si="117"/>
        <v>#NAME?</v>
      </c>
      <c r="DL93" s="40" t="e">
        <f ca="1">INT(DK93) + _xll.RiskBinomial(1,DK93-INT(DK93))</f>
        <v>#NAME?</v>
      </c>
      <c r="DM93" s="33" t="e">
        <f t="shared" ca="1" si="90"/>
        <v>#NAME?</v>
      </c>
      <c r="DN93" s="38" t="e">
        <f ca="1">_xll.RiskBinomial(1,DM93)</f>
        <v>#NAME?</v>
      </c>
      <c r="DO93" s="86" t="e">
        <f ca="1">IF(DN93=1,_xll.RiskBinomial(1,Prob_illness_Noro_infection),0)</f>
        <v>#NAME?</v>
      </c>
      <c r="DQ93" s="85" t="e">
        <f t="shared" ca="1" si="118"/>
        <v>#NAME?</v>
      </c>
      <c r="DR93" s="40" t="e">
        <f ca="1">INT(DQ93) + _xll.RiskBinomial(1,DQ93-INT(DQ93))</f>
        <v>#NAME?</v>
      </c>
      <c r="DS93" s="33" t="e">
        <f t="shared" ca="1" si="91"/>
        <v>#NAME?</v>
      </c>
      <c r="DT93" s="38" t="e">
        <f ca="1">_xll.RiskBinomial(1,DS93)</f>
        <v>#NAME?</v>
      </c>
      <c r="DU93" s="86" t="e">
        <f ca="1">IF(DT93=1,_xll.RiskBinomial(1,Prob_illness_Noro_infection),0)</f>
        <v>#NAME?</v>
      </c>
      <c r="DW93" s="85" t="e">
        <f t="shared" ca="1" si="119"/>
        <v>#NAME?</v>
      </c>
      <c r="DX93" s="40" t="e">
        <f ca="1">INT(DW93) + _xll.RiskBinomial(1,DW93-INT(DW93))</f>
        <v>#NAME?</v>
      </c>
      <c r="DY93" s="33" t="e">
        <f t="shared" ca="1" si="92"/>
        <v>#NAME?</v>
      </c>
      <c r="DZ93" s="38" t="e">
        <f ca="1">_xll.RiskBinomial(1,DY93)</f>
        <v>#NAME?</v>
      </c>
      <c r="EA93" s="86" t="e">
        <f ca="1">IF(DZ93=1,_xll.RiskBinomial(1,Prob_illness_Noro_infection),0)</f>
        <v>#NAME?</v>
      </c>
      <c r="EC93" s="85" t="e">
        <f t="shared" ca="1" si="120"/>
        <v>#NAME?</v>
      </c>
      <c r="ED93" s="40" t="e">
        <f ca="1">INT(EC93) + _xll.RiskBinomial(1,EC93-INT(EC93))</f>
        <v>#NAME?</v>
      </c>
      <c r="EE93" s="33" t="e">
        <f t="shared" ca="1" si="93"/>
        <v>#NAME?</v>
      </c>
      <c r="EF93" s="38" t="e">
        <f ca="1">_xll.RiskBinomial(1,EE93)</f>
        <v>#NAME?</v>
      </c>
      <c r="EG93" s="86" t="e">
        <f ca="1">IF(EF93=1,_xll.RiskBinomial(1,Prob_illness_Noro_infection),0)</f>
        <v>#NAME?</v>
      </c>
      <c r="EI93" s="85" t="e">
        <f t="shared" ca="1" si="121"/>
        <v>#NAME?</v>
      </c>
      <c r="EJ93" s="40" t="e">
        <f ca="1">INT(EI93) + _xll.RiskBinomial(1,EI93-INT(EI93))</f>
        <v>#NAME?</v>
      </c>
      <c r="EK93" s="33" t="e">
        <f t="shared" ca="1" si="94"/>
        <v>#NAME?</v>
      </c>
      <c r="EL93" s="38" t="e">
        <f ca="1">_xll.RiskBinomial(1,EK93)</f>
        <v>#NAME?</v>
      </c>
      <c r="EM93" s="86" t="e">
        <f ca="1">IF(EL93=1,_xll.RiskBinomial(1,Prob_illness_Noro_infection),0)</f>
        <v>#NAME?</v>
      </c>
      <c r="EO93" s="85" t="e">
        <f t="shared" ca="1" si="122"/>
        <v>#NAME?</v>
      </c>
      <c r="EP93" s="40" t="e">
        <f ca="1">INT(EO93) + _xll.RiskBinomial(1,EO93-INT(EO93))</f>
        <v>#NAME?</v>
      </c>
      <c r="EQ93" s="33" t="e">
        <f t="shared" ca="1" si="95"/>
        <v>#NAME?</v>
      </c>
      <c r="ER93" s="38" t="e">
        <f ca="1">_xll.RiskBinomial(1,EQ93)</f>
        <v>#NAME?</v>
      </c>
      <c r="ES93" s="86" t="e">
        <f ca="1">IF(ER93=1,_xll.RiskBinomial(1,Prob_illness_Noro_infection),0)</f>
        <v>#NAME?</v>
      </c>
      <c r="EU93" s="85" t="e">
        <f t="shared" ca="1" si="123"/>
        <v>#NAME?</v>
      </c>
      <c r="EV93" s="40" t="e">
        <f ca="1">INT(EU93) + _xll.RiskBinomial(1,EU93-INT(EU93))</f>
        <v>#NAME?</v>
      </c>
      <c r="EW93" s="33" t="e">
        <f t="shared" ca="1" si="96"/>
        <v>#NAME?</v>
      </c>
      <c r="EX93" s="38" t="e">
        <f ca="1">_xll.RiskBinomial(1,EW93)</f>
        <v>#NAME?</v>
      </c>
      <c r="EY93" s="86" t="e">
        <f ca="1">IF(EX93=1,_xll.RiskBinomial(1,Prob_illness_Noro_infection),0)</f>
        <v>#NAME?</v>
      </c>
      <c r="FA93" s="85" t="e">
        <f t="shared" ca="1" si="124"/>
        <v>#NAME?</v>
      </c>
      <c r="FB93" s="40" t="e">
        <f ca="1">INT(FA93) + _xll.RiskBinomial(1,FA93-INT(FA93))</f>
        <v>#NAME?</v>
      </c>
      <c r="FC93" s="33" t="e">
        <f t="shared" ca="1" si="97"/>
        <v>#NAME?</v>
      </c>
      <c r="FD93" s="38" t="e">
        <f ca="1">_xll.RiskBinomial(1,FC93)</f>
        <v>#NAME?</v>
      </c>
      <c r="FE93" s="86" t="e">
        <f ca="1">IF(FD93=1,_xll.RiskBinomial(1,Prob_illness_Noro_infection),0)</f>
        <v>#NAME?</v>
      </c>
      <c r="FG93" s="85" t="e">
        <f t="shared" ca="1" si="125"/>
        <v>#NAME?</v>
      </c>
      <c r="FH93" s="40" t="e">
        <f ca="1">INT(FG93) + _xll.RiskBinomial(1,FG93-INT(FG93))</f>
        <v>#NAME?</v>
      </c>
      <c r="FI93" s="33" t="e">
        <f t="shared" ca="1" si="98"/>
        <v>#NAME?</v>
      </c>
      <c r="FJ93" s="38" t="e">
        <f ca="1">_xll.RiskBinomial(1,FI93)</f>
        <v>#NAME?</v>
      </c>
      <c r="FK93" s="86" t="e">
        <f ca="1">IF(FJ93=1,_xll.RiskBinomial(1,Prob_illness_Noro_infection),0)</f>
        <v>#NAME?</v>
      </c>
      <c r="FM93" s="85" t="e">
        <f t="shared" ca="1" si="126"/>
        <v>#NAME?</v>
      </c>
      <c r="FN93" s="40" t="e">
        <f ca="1">INT(FM93) + _xll.RiskBinomial(1,FM93-INT(FM93))</f>
        <v>#NAME?</v>
      </c>
      <c r="FO93" s="33" t="e">
        <f t="shared" ca="1" si="99"/>
        <v>#NAME?</v>
      </c>
      <c r="FP93" s="38" t="e">
        <f ca="1">_xll.RiskBinomial(1,FO93)</f>
        <v>#NAME?</v>
      </c>
      <c r="FQ93" s="86" t="e">
        <f ca="1">IF(FP93=1,_xll.RiskBinomial(1,Prob_illness_Noro_infection),0)</f>
        <v>#NAME?</v>
      </c>
      <c r="FS93" s="85" t="e">
        <f t="shared" ca="1" si="127"/>
        <v>#NAME?</v>
      </c>
      <c r="FT93" s="40" t="e">
        <f ca="1">INT(FS93) + _xll.RiskBinomial(1,FS93-INT(FS93))</f>
        <v>#NAME?</v>
      </c>
      <c r="FU93" s="33" t="e">
        <f t="shared" ca="1" si="100"/>
        <v>#NAME?</v>
      </c>
      <c r="FV93" s="38" t="e">
        <f ca="1">_xll.RiskBinomial(1,FU93)</f>
        <v>#NAME?</v>
      </c>
      <c r="FW93" s="86" t="e">
        <f ca="1">IF(FV93=1,_xll.RiskBinomial(1,Prob_illness_Noro_infection),0)</f>
        <v>#NAME?</v>
      </c>
      <c r="FY93" s="85" t="e">
        <f t="shared" ca="1" si="128"/>
        <v>#NAME?</v>
      </c>
      <c r="FZ93" s="40" t="e">
        <f ca="1">INT(FY93) + _xll.RiskBinomial(1,FY93-INT(FY93))</f>
        <v>#NAME?</v>
      </c>
      <c r="GA93" s="33" t="e">
        <f t="shared" ca="1" si="101"/>
        <v>#NAME?</v>
      </c>
      <c r="GB93" s="38" t="e">
        <f ca="1">_xll.RiskBinomial(1,GA93)</f>
        <v>#NAME?</v>
      </c>
      <c r="GC93" s="86" t="e">
        <f ca="1">IF(GB93=1,_xll.RiskBinomial(1,Prob_illness_Noro_infection),0)</f>
        <v>#NAME?</v>
      </c>
      <c r="GE93" s="85" t="e">
        <f t="shared" ca="1" si="129"/>
        <v>#NAME?</v>
      </c>
      <c r="GF93" s="40" t="e">
        <f ca="1">INT(GE93) + _xll.RiskBinomial(1,GE93-INT(GE93))</f>
        <v>#NAME?</v>
      </c>
      <c r="GG93" s="33" t="e">
        <f t="shared" ca="1" si="102"/>
        <v>#NAME?</v>
      </c>
      <c r="GH93" s="38" t="e">
        <f ca="1">_xll.RiskBinomial(1,GG93)</f>
        <v>#NAME?</v>
      </c>
      <c r="GI93" s="86" t="e">
        <f ca="1">IF(GH93=1,_xll.RiskBinomial(1,Prob_illness_Noro_infection),0)</f>
        <v>#NAME?</v>
      </c>
      <c r="GK93" s="85" t="e">
        <f t="shared" ca="1" si="130"/>
        <v>#NAME?</v>
      </c>
      <c r="GL93" s="40" t="e">
        <f ca="1">INT(GK93) + _xll.RiskBinomial(1,GK93-INT(GK93))</f>
        <v>#NAME?</v>
      </c>
      <c r="GM93" s="33" t="e">
        <f t="shared" ca="1" si="103"/>
        <v>#NAME?</v>
      </c>
      <c r="GN93" s="38" t="e">
        <f ca="1">_xll.RiskBinomial(1,GM93)</f>
        <v>#NAME?</v>
      </c>
      <c r="GO93" s="86" t="e">
        <f ca="1">IF(GN93=1,_xll.RiskBinomial(1,Prob_illness_Noro_infection),0)</f>
        <v>#NAME?</v>
      </c>
    </row>
    <row r="94" spans="2:197" x14ac:dyDescent="0.25">
      <c r="B94" s="106">
        <v>86</v>
      </c>
      <c r="C94" s="109" t="e">
        <f ca="1" xml:space="preserve"> _xll.RiskPert(Dur_Swim_hours_min,Dur_Swim_hours_mode,Dur_Swim_hours_max)</f>
        <v>#NAME?</v>
      </c>
      <c r="D94" s="33" t="e">
        <f ca="1">_xll.RiskLognorm(Primary_Ing_Rate_mL_per_hour_mean,Primary_Ing_Rate_mL_per_hour_sd, _xll.RiskTruncate(Primary_Ing_Rate_mL_per_hour_min,Primary_Ing_Rate_mL_per_hour_max))</f>
        <v>#NAME?</v>
      </c>
      <c r="E94" s="41" t="e">
        <f t="shared" ca="1" si="104"/>
        <v>#NAME?</v>
      </c>
      <c r="F94" s="33"/>
      <c r="G94" s="85" t="e">
        <f t="shared" ca="1" si="105"/>
        <v>#NAME?</v>
      </c>
      <c r="H94" s="40" t="e">
        <f ca="1">INT(G94) + _xll.RiskBinomial(1,G94-INT(G94))</f>
        <v>#NAME?</v>
      </c>
      <c r="I94" s="33" t="e">
        <f t="shared" ca="1" si="66"/>
        <v>#NAME?</v>
      </c>
      <c r="J94" s="38" t="e">
        <f ca="1">_xll.RiskBinomial(1,I94)</f>
        <v>#NAME?</v>
      </c>
      <c r="K94" s="86" t="e">
        <f ca="1">IF(J94=1,_xll.RiskBinomial(1,Prob_illness_Noro_infection),0)</f>
        <v>#NAME?</v>
      </c>
      <c r="L94" s="33"/>
      <c r="M94" s="85" t="e">
        <f t="shared" ca="1" si="67"/>
        <v>#NAME?</v>
      </c>
      <c r="N94" s="40" t="e">
        <f ca="1">INT(M94) + _xll.RiskBinomial(1,M94-INT(M94))</f>
        <v>#NAME?</v>
      </c>
      <c r="O94" s="33" t="e">
        <f t="shared" ca="1" si="68"/>
        <v>#NAME?</v>
      </c>
      <c r="P94" s="38" t="e">
        <f ca="1">_xll.RiskBinomial(1,O94)</f>
        <v>#NAME?</v>
      </c>
      <c r="Q94" s="86" t="e">
        <f ca="1">IF(P94=1,_xll.RiskBinomial(1,Prob_illness_Noro_infection),0)</f>
        <v>#NAME?</v>
      </c>
      <c r="R94" s="33"/>
      <c r="S94" s="85" t="e">
        <f t="shared" ca="1" si="69"/>
        <v>#NAME?</v>
      </c>
      <c r="T94" s="40" t="e">
        <f ca="1">INT(S94) + _xll.RiskBinomial(1,S94-INT(S94))</f>
        <v>#NAME?</v>
      </c>
      <c r="U94" s="33" t="e">
        <f t="shared" ca="1" si="70"/>
        <v>#NAME?</v>
      </c>
      <c r="V94" s="38" t="e">
        <f ca="1">_xll.RiskBinomial(1,U94)</f>
        <v>#NAME?</v>
      </c>
      <c r="W94" s="86" t="e">
        <f ca="1">IF(V94=1,_xll.RiskBinomial(1,Prob_illness_Noro_infection),0)</f>
        <v>#NAME?</v>
      </c>
      <c r="X94" s="33"/>
      <c r="Y94" s="85" t="e">
        <f t="shared" ca="1" si="71"/>
        <v>#NAME?</v>
      </c>
      <c r="Z94" s="40" t="e">
        <f ca="1">INT(Y94) + _xll.RiskBinomial(1,Y94-INT(Y94))</f>
        <v>#NAME?</v>
      </c>
      <c r="AA94" s="33" t="e">
        <f t="shared" ca="1" si="72"/>
        <v>#NAME?</v>
      </c>
      <c r="AB94" s="38" t="e">
        <f ca="1">_xll.RiskBinomial(1,AA94)</f>
        <v>#NAME?</v>
      </c>
      <c r="AC94" s="86" t="e">
        <f ca="1">IF(AB94=1,_xll.RiskBinomial(1,Prob_illness_Noro_infection),0)</f>
        <v>#NAME?</v>
      </c>
      <c r="AD94" s="33"/>
      <c r="AE94" s="85" t="e">
        <f t="shared" ca="1" si="73"/>
        <v>#NAME?</v>
      </c>
      <c r="AF94" s="40" t="e">
        <f ca="1">INT(AE94) + _xll.RiskBinomial(1,AE94-INT(AE94))</f>
        <v>#NAME?</v>
      </c>
      <c r="AG94" s="33" t="e">
        <f t="shared" ca="1" si="74"/>
        <v>#NAME?</v>
      </c>
      <c r="AH94" s="38" t="e">
        <f ca="1">_xll.RiskBinomial(1,AG94)</f>
        <v>#NAME?</v>
      </c>
      <c r="AI94" s="86" t="e">
        <f ca="1">IF(AH94=1,_xll.RiskBinomial(1,Prob_illness_Noro_infection),0)</f>
        <v>#NAME?</v>
      </c>
      <c r="AJ94" s="33"/>
      <c r="AK94" s="85" t="e">
        <f t="shared" ca="1" si="75"/>
        <v>#NAME?</v>
      </c>
      <c r="AL94" s="40" t="e">
        <f ca="1">INT(AK94) + _xll.RiskBinomial(1,AK94-INT(AK94))</f>
        <v>#NAME?</v>
      </c>
      <c r="AM94" s="33" t="e">
        <f t="shared" ca="1" si="76"/>
        <v>#NAME?</v>
      </c>
      <c r="AN94" s="38" t="e">
        <f ca="1">_xll.RiskBinomial(1,AM94)</f>
        <v>#NAME?</v>
      </c>
      <c r="AO94" s="86" t="e">
        <f ca="1">IF(AN94=1,_xll.RiskBinomial(1,Prob_illness_Noro_infection),0)</f>
        <v>#NAME?</v>
      </c>
      <c r="AP94" s="33"/>
      <c r="AQ94" s="85" t="e">
        <f t="shared" ca="1" si="77"/>
        <v>#NAME?</v>
      </c>
      <c r="AR94" s="40" t="e">
        <f ca="1">INT(AQ94) + _xll.RiskBinomial(1,AQ94-INT(AQ94))</f>
        <v>#NAME?</v>
      </c>
      <c r="AS94" s="33" t="e">
        <f t="shared" ca="1" si="78"/>
        <v>#NAME?</v>
      </c>
      <c r="AT94" s="38" t="e">
        <f ca="1">_xll.RiskBinomial(1,AS94)</f>
        <v>#NAME?</v>
      </c>
      <c r="AU94" s="86" t="e">
        <f ca="1">IF(AT94=1,_xll.RiskBinomial(1,Prob_illness_Noro_infection),0)</f>
        <v>#NAME?</v>
      </c>
      <c r="AV94" s="33"/>
      <c r="AW94" s="85" t="e">
        <f t="shared" ca="1" si="106"/>
        <v>#NAME?</v>
      </c>
      <c r="AX94" s="40" t="e">
        <f ca="1">INT(AW94) + _xll.RiskBinomial(1,AW94-INT(AW94))</f>
        <v>#NAME?</v>
      </c>
      <c r="AY94" s="33" t="e">
        <f t="shared" ca="1" si="79"/>
        <v>#NAME?</v>
      </c>
      <c r="AZ94" s="38" t="e">
        <f ca="1">_xll.RiskBinomial(1,AY94)</f>
        <v>#NAME?</v>
      </c>
      <c r="BA94" s="86" t="e">
        <f ca="1">IF(AZ94=1,_xll.RiskBinomial(1,Prob_illness_Noro_infection),0)</f>
        <v>#NAME?</v>
      </c>
      <c r="BC94" s="85" t="e">
        <f t="shared" ca="1" si="107"/>
        <v>#NAME?</v>
      </c>
      <c r="BD94" s="40" t="e">
        <f ca="1">INT(BC94) + _xll.RiskBinomial(1,BC94-INT(BC94))</f>
        <v>#NAME?</v>
      </c>
      <c r="BE94" s="33" t="e">
        <f t="shared" ca="1" si="80"/>
        <v>#NAME?</v>
      </c>
      <c r="BF94" s="38" t="e">
        <f ca="1">_xll.RiskBinomial(1,BE94)</f>
        <v>#NAME?</v>
      </c>
      <c r="BG94" s="86" t="e">
        <f ca="1">IF(BF94=1,_xll.RiskBinomial(1,Prob_illness_Noro_infection),0)</f>
        <v>#NAME?</v>
      </c>
      <c r="BI94" s="85" t="e">
        <f t="shared" ca="1" si="108"/>
        <v>#NAME?</v>
      </c>
      <c r="BJ94" s="40" t="e">
        <f ca="1">INT(BI94) + _xll.RiskBinomial(1,BI94-INT(BI94))</f>
        <v>#NAME?</v>
      </c>
      <c r="BK94" s="33" t="e">
        <f t="shared" ca="1" si="81"/>
        <v>#NAME?</v>
      </c>
      <c r="BL94" s="38" t="e">
        <f ca="1">_xll.RiskBinomial(1,BK94)</f>
        <v>#NAME?</v>
      </c>
      <c r="BM94" s="86" t="e">
        <f ca="1">IF(BL94=1,_xll.RiskBinomial(1,Prob_illness_Noro_infection),0)</f>
        <v>#NAME?</v>
      </c>
      <c r="BO94" s="85" t="e">
        <f t="shared" ca="1" si="109"/>
        <v>#NAME?</v>
      </c>
      <c r="BP94" s="40" t="e">
        <f ca="1">INT(BO94) + _xll.RiskBinomial(1,BO94-INT(BO94))</f>
        <v>#NAME?</v>
      </c>
      <c r="BQ94" s="33" t="e">
        <f t="shared" ca="1" si="82"/>
        <v>#NAME?</v>
      </c>
      <c r="BR94" s="38" t="e">
        <f ca="1">_xll.RiskBinomial(1,BQ94)</f>
        <v>#NAME?</v>
      </c>
      <c r="BS94" s="86" t="e">
        <f ca="1">IF(BR94=1,_xll.RiskBinomial(1,Prob_illness_Noro_infection),0)</f>
        <v>#NAME?</v>
      </c>
      <c r="BU94" s="85" t="e">
        <f t="shared" ca="1" si="110"/>
        <v>#NAME?</v>
      </c>
      <c r="BV94" s="40" t="e">
        <f ca="1">INT(BU94) + _xll.RiskBinomial(1,BU94-INT(BU94))</f>
        <v>#NAME?</v>
      </c>
      <c r="BW94" s="33" t="e">
        <f t="shared" ca="1" si="83"/>
        <v>#NAME?</v>
      </c>
      <c r="BX94" s="38" t="e">
        <f ca="1">_xll.RiskBinomial(1,BW94)</f>
        <v>#NAME?</v>
      </c>
      <c r="BY94" s="86" t="e">
        <f ca="1">IF(BX94=1,_xll.RiskBinomial(1,Prob_illness_Noro_infection),0)</f>
        <v>#NAME?</v>
      </c>
      <c r="CA94" s="85" t="e">
        <f t="shared" ca="1" si="111"/>
        <v>#NAME?</v>
      </c>
      <c r="CB94" s="40" t="e">
        <f ca="1">INT(CA94) + _xll.RiskBinomial(1,CA94-INT(CA94))</f>
        <v>#NAME?</v>
      </c>
      <c r="CC94" s="33" t="e">
        <f t="shared" ca="1" si="84"/>
        <v>#NAME?</v>
      </c>
      <c r="CD94" s="38" t="e">
        <f ca="1">_xll.RiskBinomial(1,CC94)</f>
        <v>#NAME?</v>
      </c>
      <c r="CE94" s="86" t="e">
        <f ca="1">IF(CD94=1,_xll.RiskBinomial(1,Prob_illness_Noro_infection),0)</f>
        <v>#NAME?</v>
      </c>
      <c r="CG94" s="85" t="e">
        <f t="shared" ca="1" si="112"/>
        <v>#NAME?</v>
      </c>
      <c r="CH94" s="40" t="e">
        <f ca="1">INT(CG94) + _xll.RiskBinomial(1,CG94-INT(CG94))</f>
        <v>#NAME?</v>
      </c>
      <c r="CI94" s="33" t="e">
        <f t="shared" ca="1" si="85"/>
        <v>#NAME?</v>
      </c>
      <c r="CJ94" s="38" t="e">
        <f ca="1">_xll.RiskBinomial(1,CI94)</f>
        <v>#NAME?</v>
      </c>
      <c r="CK94" s="86" t="e">
        <f ca="1">IF(CJ94=1,_xll.RiskBinomial(1,Prob_illness_Noro_infection),0)</f>
        <v>#NAME?</v>
      </c>
      <c r="CM94" s="85" t="e">
        <f t="shared" ca="1" si="113"/>
        <v>#NAME?</v>
      </c>
      <c r="CN94" s="40" t="e">
        <f ca="1">INT(CM94) + _xll.RiskBinomial(1,CM94-INT(CM94))</f>
        <v>#NAME?</v>
      </c>
      <c r="CO94" s="33" t="e">
        <f t="shared" ca="1" si="86"/>
        <v>#NAME?</v>
      </c>
      <c r="CP94" s="38" t="e">
        <f ca="1">_xll.RiskBinomial(1,CO94)</f>
        <v>#NAME?</v>
      </c>
      <c r="CQ94" s="86" t="e">
        <f ca="1">IF(CP94=1,_xll.RiskBinomial(1,Prob_illness_Noro_infection),0)</f>
        <v>#NAME?</v>
      </c>
      <c r="CS94" s="85" t="e">
        <f t="shared" ca="1" si="114"/>
        <v>#NAME?</v>
      </c>
      <c r="CT94" s="40" t="e">
        <f ca="1">INT(CS94) + _xll.RiskBinomial(1,CS94-INT(CS94))</f>
        <v>#NAME?</v>
      </c>
      <c r="CU94" s="33" t="e">
        <f t="shared" ca="1" si="87"/>
        <v>#NAME?</v>
      </c>
      <c r="CV94" s="38" t="e">
        <f ca="1">_xll.RiskBinomial(1,CU94)</f>
        <v>#NAME?</v>
      </c>
      <c r="CW94" s="86" t="e">
        <f ca="1">IF(CV94=1,_xll.RiskBinomial(1,Prob_illness_Noro_infection),0)</f>
        <v>#NAME?</v>
      </c>
      <c r="CY94" s="85" t="e">
        <f t="shared" ca="1" si="115"/>
        <v>#NAME?</v>
      </c>
      <c r="CZ94" s="40" t="e">
        <f ca="1">INT(CY94) + _xll.RiskBinomial(1,CY94-INT(CY94))</f>
        <v>#NAME?</v>
      </c>
      <c r="DA94" s="33" t="e">
        <f t="shared" ca="1" si="88"/>
        <v>#NAME?</v>
      </c>
      <c r="DB94" s="38" t="e">
        <f ca="1">_xll.RiskBinomial(1,DA94)</f>
        <v>#NAME?</v>
      </c>
      <c r="DC94" s="86" t="e">
        <f ca="1">IF(DB94=1,_xll.RiskBinomial(1,Prob_illness_Noro_infection),0)</f>
        <v>#NAME?</v>
      </c>
      <c r="DE94" s="85" t="e">
        <f t="shared" ca="1" si="116"/>
        <v>#NAME?</v>
      </c>
      <c r="DF94" s="40" t="e">
        <f ca="1">INT(DE94) + _xll.RiskBinomial(1,DE94-INT(DE94))</f>
        <v>#NAME?</v>
      </c>
      <c r="DG94" s="33" t="e">
        <f t="shared" ca="1" si="89"/>
        <v>#NAME?</v>
      </c>
      <c r="DH94" s="38" t="e">
        <f ca="1">_xll.RiskBinomial(1,DG94)</f>
        <v>#NAME?</v>
      </c>
      <c r="DI94" s="86" t="e">
        <f ca="1">IF(DH94=1,_xll.RiskBinomial(1,Prob_illness_Noro_infection),0)</f>
        <v>#NAME?</v>
      </c>
      <c r="DK94" s="85" t="e">
        <f t="shared" ca="1" si="117"/>
        <v>#NAME?</v>
      </c>
      <c r="DL94" s="40" t="e">
        <f ca="1">INT(DK94) + _xll.RiskBinomial(1,DK94-INT(DK94))</f>
        <v>#NAME?</v>
      </c>
      <c r="DM94" s="33" t="e">
        <f t="shared" ca="1" si="90"/>
        <v>#NAME?</v>
      </c>
      <c r="DN94" s="38" t="e">
        <f ca="1">_xll.RiskBinomial(1,DM94)</f>
        <v>#NAME?</v>
      </c>
      <c r="DO94" s="86" t="e">
        <f ca="1">IF(DN94=1,_xll.RiskBinomial(1,Prob_illness_Noro_infection),0)</f>
        <v>#NAME?</v>
      </c>
      <c r="DQ94" s="85" t="e">
        <f t="shared" ca="1" si="118"/>
        <v>#NAME?</v>
      </c>
      <c r="DR94" s="40" t="e">
        <f ca="1">INT(DQ94) + _xll.RiskBinomial(1,DQ94-INT(DQ94))</f>
        <v>#NAME?</v>
      </c>
      <c r="DS94" s="33" t="e">
        <f t="shared" ca="1" si="91"/>
        <v>#NAME?</v>
      </c>
      <c r="DT94" s="38" t="e">
        <f ca="1">_xll.RiskBinomial(1,DS94)</f>
        <v>#NAME?</v>
      </c>
      <c r="DU94" s="86" t="e">
        <f ca="1">IF(DT94=1,_xll.RiskBinomial(1,Prob_illness_Noro_infection),0)</f>
        <v>#NAME?</v>
      </c>
      <c r="DW94" s="85" t="e">
        <f t="shared" ca="1" si="119"/>
        <v>#NAME?</v>
      </c>
      <c r="DX94" s="40" t="e">
        <f ca="1">INT(DW94) + _xll.RiskBinomial(1,DW94-INT(DW94))</f>
        <v>#NAME?</v>
      </c>
      <c r="DY94" s="33" t="e">
        <f t="shared" ca="1" si="92"/>
        <v>#NAME?</v>
      </c>
      <c r="DZ94" s="38" t="e">
        <f ca="1">_xll.RiskBinomial(1,DY94)</f>
        <v>#NAME?</v>
      </c>
      <c r="EA94" s="86" t="e">
        <f ca="1">IF(DZ94=1,_xll.RiskBinomial(1,Prob_illness_Noro_infection),0)</f>
        <v>#NAME?</v>
      </c>
      <c r="EC94" s="85" t="e">
        <f t="shared" ca="1" si="120"/>
        <v>#NAME?</v>
      </c>
      <c r="ED94" s="40" t="e">
        <f ca="1">INT(EC94) + _xll.RiskBinomial(1,EC94-INT(EC94))</f>
        <v>#NAME?</v>
      </c>
      <c r="EE94" s="33" t="e">
        <f t="shared" ca="1" si="93"/>
        <v>#NAME?</v>
      </c>
      <c r="EF94" s="38" t="e">
        <f ca="1">_xll.RiskBinomial(1,EE94)</f>
        <v>#NAME?</v>
      </c>
      <c r="EG94" s="86" t="e">
        <f ca="1">IF(EF94=1,_xll.RiskBinomial(1,Prob_illness_Noro_infection),0)</f>
        <v>#NAME?</v>
      </c>
      <c r="EI94" s="85" t="e">
        <f t="shared" ca="1" si="121"/>
        <v>#NAME?</v>
      </c>
      <c r="EJ94" s="40" t="e">
        <f ca="1">INT(EI94) + _xll.RiskBinomial(1,EI94-INT(EI94))</f>
        <v>#NAME?</v>
      </c>
      <c r="EK94" s="33" t="e">
        <f t="shared" ca="1" si="94"/>
        <v>#NAME?</v>
      </c>
      <c r="EL94" s="38" t="e">
        <f ca="1">_xll.RiskBinomial(1,EK94)</f>
        <v>#NAME?</v>
      </c>
      <c r="EM94" s="86" t="e">
        <f ca="1">IF(EL94=1,_xll.RiskBinomial(1,Prob_illness_Noro_infection),0)</f>
        <v>#NAME?</v>
      </c>
      <c r="EO94" s="85" t="e">
        <f t="shared" ca="1" si="122"/>
        <v>#NAME?</v>
      </c>
      <c r="EP94" s="40" t="e">
        <f ca="1">INT(EO94) + _xll.RiskBinomial(1,EO94-INT(EO94))</f>
        <v>#NAME?</v>
      </c>
      <c r="EQ94" s="33" t="e">
        <f t="shared" ca="1" si="95"/>
        <v>#NAME?</v>
      </c>
      <c r="ER94" s="38" t="e">
        <f ca="1">_xll.RiskBinomial(1,EQ94)</f>
        <v>#NAME?</v>
      </c>
      <c r="ES94" s="86" t="e">
        <f ca="1">IF(ER94=1,_xll.RiskBinomial(1,Prob_illness_Noro_infection),0)</f>
        <v>#NAME?</v>
      </c>
      <c r="EU94" s="85" t="e">
        <f t="shared" ca="1" si="123"/>
        <v>#NAME?</v>
      </c>
      <c r="EV94" s="40" t="e">
        <f ca="1">INT(EU94) + _xll.RiskBinomial(1,EU94-INT(EU94))</f>
        <v>#NAME?</v>
      </c>
      <c r="EW94" s="33" t="e">
        <f t="shared" ca="1" si="96"/>
        <v>#NAME?</v>
      </c>
      <c r="EX94" s="38" t="e">
        <f ca="1">_xll.RiskBinomial(1,EW94)</f>
        <v>#NAME?</v>
      </c>
      <c r="EY94" s="86" t="e">
        <f ca="1">IF(EX94=1,_xll.RiskBinomial(1,Prob_illness_Noro_infection),0)</f>
        <v>#NAME?</v>
      </c>
      <c r="FA94" s="85" t="e">
        <f t="shared" ca="1" si="124"/>
        <v>#NAME?</v>
      </c>
      <c r="FB94" s="40" t="e">
        <f ca="1">INT(FA94) + _xll.RiskBinomial(1,FA94-INT(FA94))</f>
        <v>#NAME?</v>
      </c>
      <c r="FC94" s="33" t="e">
        <f t="shared" ca="1" si="97"/>
        <v>#NAME?</v>
      </c>
      <c r="FD94" s="38" t="e">
        <f ca="1">_xll.RiskBinomial(1,FC94)</f>
        <v>#NAME?</v>
      </c>
      <c r="FE94" s="86" t="e">
        <f ca="1">IF(FD94=1,_xll.RiskBinomial(1,Prob_illness_Noro_infection),0)</f>
        <v>#NAME?</v>
      </c>
      <c r="FG94" s="85" t="e">
        <f t="shared" ca="1" si="125"/>
        <v>#NAME?</v>
      </c>
      <c r="FH94" s="40" t="e">
        <f ca="1">INT(FG94) + _xll.RiskBinomial(1,FG94-INT(FG94))</f>
        <v>#NAME?</v>
      </c>
      <c r="FI94" s="33" t="e">
        <f t="shared" ca="1" si="98"/>
        <v>#NAME?</v>
      </c>
      <c r="FJ94" s="38" t="e">
        <f ca="1">_xll.RiskBinomial(1,FI94)</f>
        <v>#NAME?</v>
      </c>
      <c r="FK94" s="86" t="e">
        <f ca="1">IF(FJ94=1,_xll.RiskBinomial(1,Prob_illness_Noro_infection),0)</f>
        <v>#NAME?</v>
      </c>
      <c r="FM94" s="85" t="e">
        <f t="shared" ca="1" si="126"/>
        <v>#NAME?</v>
      </c>
      <c r="FN94" s="40" t="e">
        <f ca="1">INT(FM94) + _xll.RiskBinomial(1,FM94-INT(FM94))</f>
        <v>#NAME?</v>
      </c>
      <c r="FO94" s="33" t="e">
        <f t="shared" ca="1" si="99"/>
        <v>#NAME?</v>
      </c>
      <c r="FP94" s="38" t="e">
        <f ca="1">_xll.RiskBinomial(1,FO94)</f>
        <v>#NAME?</v>
      </c>
      <c r="FQ94" s="86" t="e">
        <f ca="1">IF(FP94=1,_xll.RiskBinomial(1,Prob_illness_Noro_infection),0)</f>
        <v>#NAME?</v>
      </c>
      <c r="FS94" s="85" t="e">
        <f t="shared" ca="1" si="127"/>
        <v>#NAME?</v>
      </c>
      <c r="FT94" s="40" t="e">
        <f ca="1">INT(FS94) + _xll.RiskBinomial(1,FS94-INT(FS94))</f>
        <v>#NAME?</v>
      </c>
      <c r="FU94" s="33" t="e">
        <f t="shared" ca="1" si="100"/>
        <v>#NAME?</v>
      </c>
      <c r="FV94" s="38" t="e">
        <f ca="1">_xll.RiskBinomial(1,FU94)</f>
        <v>#NAME?</v>
      </c>
      <c r="FW94" s="86" t="e">
        <f ca="1">IF(FV94=1,_xll.RiskBinomial(1,Prob_illness_Noro_infection),0)</f>
        <v>#NAME?</v>
      </c>
      <c r="FY94" s="85" t="e">
        <f t="shared" ca="1" si="128"/>
        <v>#NAME?</v>
      </c>
      <c r="FZ94" s="40" t="e">
        <f ca="1">INT(FY94) + _xll.RiskBinomial(1,FY94-INT(FY94))</f>
        <v>#NAME?</v>
      </c>
      <c r="GA94" s="33" t="e">
        <f t="shared" ca="1" si="101"/>
        <v>#NAME?</v>
      </c>
      <c r="GB94" s="38" t="e">
        <f ca="1">_xll.RiskBinomial(1,GA94)</f>
        <v>#NAME?</v>
      </c>
      <c r="GC94" s="86" t="e">
        <f ca="1">IF(GB94=1,_xll.RiskBinomial(1,Prob_illness_Noro_infection),0)</f>
        <v>#NAME?</v>
      </c>
      <c r="GE94" s="85" t="e">
        <f t="shared" ca="1" si="129"/>
        <v>#NAME?</v>
      </c>
      <c r="GF94" s="40" t="e">
        <f ca="1">INT(GE94) + _xll.RiskBinomial(1,GE94-INT(GE94))</f>
        <v>#NAME?</v>
      </c>
      <c r="GG94" s="33" t="e">
        <f t="shared" ca="1" si="102"/>
        <v>#NAME?</v>
      </c>
      <c r="GH94" s="38" t="e">
        <f ca="1">_xll.RiskBinomial(1,GG94)</f>
        <v>#NAME?</v>
      </c>
      <c r="GI94" s="86" t="e">
        <f ca="1">IF(GH94=1,_xll.RiskBinomial(1,Prob_illness_Noro_infection),0)</f>
        <v>#NAME?</v>
      </c>
      <c r="GK94" s="85" t="e">
        <f t="shared" ca="1" si="130"/>
        <v>#NAME?</v>
      </c>
      <c r="GL94" s="40" t="e">
        <f ca="1">INT(GK94) + _xll.RiskBinomial(1,GK94-INT(GK94))</f>
        <v>#NAME?</v>
      </c>
      <c r="GM94" s="33" t="e">
        <f t="shared" ca="1" si="103"/>
        <v>#NAME?</v>
      </c>
      <c r="GN94" s="38" t="e">
        <f ca="1">_xll.RiskBinomial(1,GM94)</f>
        <v>#NAME?</v>
      </c>
      <c r="GO94" s="86" t="e">
        <f ca="1">IF(GN94=1,_xll.RiskBinomial(1,Prob_illness_Noro_infection),0)</f>
        <v>#NAME?</v>
      </c>
    </row>
    <row r="95" spans="2:197" x14ac:dyDescent="0.25">
      <c r="B95" s="106">
        <v>87</v>
      </c>
      <c r="C95" s="109" t="e">
        <f ca="1" xml:space="preserve"> _xll.RiskPert(Dur_Swim_hours_min,Dur_Swim_hours_mode,Dur_Swim_hours_max)</f>
        <v>#NAME?</v>
      </c>
      <c r="D95" s="33" t="e">
        <f ca="1">_xll.RiskLognorm(Primary_Ing_Rate_mL_per_hour_mean,Primary_Ing_Rate_mL_per_hour_sd, _xll.RiskTruncate(Primary_Ing_Rate_mL_per_hour_min,Primary_Ing_Rate_mL_per_hour_max))</f>
        <v>#NAME?</v>
      </c>
      <c r="E95" s="41" t="e">
        <f t="shared" ca="1" si="104"/>
        <v>#NAME?</v>
      </c>
      <c r="F95" s="33"/>
      <c r="G95" s="85" t="e">
        <f t="shared" ca="1" si="105"/>
        <v>#NAME?</v>
      </c>
      <c r="H95" s="40" t="e">
        <f ca="1">INT(G95) + _xll.RiskBinomial(1,G95-INT(G95))</f>
        <v>#NAME?</v>
      </c>
      <c r="I95" s="33" t="e">
        <f t="shared" ca="1" si="66"/>
        <v>#NAME?</v>
      </c>
      <c r="J95" s="38" t="e">
        <f ca="1">_xll.RiskBinomial(1,I95)</f>
        <v>#NAME?</v>
      </c>
      <c r="K95" s="86" t="e">
        <f ca="1">IF(J95=1,_xll.RiskBinomial(1,Prob_illness_Noro_infection),0)</f>
        <v>#NAME?</v>
      </c>
      <c r="L95" s="33"/>
      <c r="M95" s="85" t="e">
        <f t="shared" ca="1" si="67"/>
        <v>#NAME?</v>
      </c>
      <c r="N95" s="40" t="e">
        <f ca="1">INT(M95) + _xll.RiskBinomial(1,M95-INT(M95))</f>
        <v>#NAME?</v>
      </c>
      <c r="O95" s="33" t="e">
        <f t="shared" ca="1" si="68"/>
        <v>#NAME?</v>
      </c>
      <c r="P95" s="38" t="e">
        <f ca="1">_xll.RiskBinomial(1,O95)</f>
        <v>#NAME?</v>
      </c>
      <c r="Q95" s="86" t="e">
        <f ca="1">IF(P95=1,_xll.RiskBinomial(1,Prob_illness_Noro_infection),0)</f>
        <v>#NAME?</v>
      </c>
      <c r="R95" s="33"/>
      <c r="S95" s="85" t="e">
        <f t="shared" ca="1" si="69"/>
        <v>#NAME?</v>
      </c>
      <c r="T95" s="40" t="e">
        <f ca="1">INT(S95) + _xll.RiskBinomial(1,S95-INT(S95))</f>
        <v>#NAME?</v>
      </c>
      <c r="U95" s="33" t="e">
        <f t="shared" ca="1" si="70"/>
        <v>#NAME?</v>
      </c>
      <c r="V95" s="38" t="e">
        <f ca="1">_xll.RiskBinomial(1,U95)</f>
        <v>#NAME?</v>
      </c>
      <c r="W95" s="86" t="e">
        <f ca="1">IF(V95=1,_xll.RiskBinomial(1,Prob_illness_Noro_infection),0)</f>
        <v>#NAME?</v>
      </c>
      <c r="X95" s="33"/>
      <c r="Y95" s="85" t="e">
        <f t="shared" ca="1" si="71"/>
        <v>#NAME?</v>
      </c>
      <c r="Z95" s="40" t="e">
        <f ca="1">INT(Y95) + _xll.RiskBinomial(1,Y95-INT(Y95))</f>
        <v>#NAME?</v>
      </c>
      <c r="AA95" s="33" t="e">
        <f t="shared" ca="1" si="72"/>
        <v>#NAME?</v>
      </c>
      <c r="AB95" s="38" t="e">
        <f ca="1">_xll.RiskBinomial(1,AA95)</f>
        <v>#NAME?</v>
      </c>
      <c r="AC95" s="86" t="e">
        <f ca="1">IF(AB95=1,_xll.RiskBinomial(1,Prob_illness_Noro_infection),0)</f>
        <v>#NAME?</v>
      </c>
      <c r="AD95" s="33"/>
      <c r="AE95" s="85" t="e">
        <f t="shared" ca="1" si="73"/>
        <v>#NAME?</v>
      </c>
      <c r="AF95" s="40" t="e">
        <f ca="1">INT(AE95) + _xll.RiskBinomial(1,AE95-INT(AE95))</f>
        <v>#NAME?</v>
      </c>
      <c r="AG95" s="33" t="e">
        <f t="shared" ca="1" si="74"/>
        <v>#NAME?</v>
      </c>
      <c r="AH95" s="38" t="e">
        <f ca="1">_xll.RiskBinomial(1,AG95)</f>
        <v>#NAME?</v>
      </c>
      <c r="AI95" s="86" t="e">
        <f ca="1">IF(AH95=1,_xll.RiskBinomial(1,Prob_illness_Noro_infection),0)</f>
        <v>#NAME?</v>
      </c>
      <c r="AJ95" s="33"/>
      <c r="AK95" s="85" t="e">
        <f t="shared" ca="1" si="75"/>
        <v>#NAME?</v>
      </c>
      <c r="AL95" s="40" t="e">
        <f ca="1">INT(AK95) + _xll.RiskBinomial(1,AK95-INT(AK95))</f>
        <v>#NAME?</v>
      </c>
      <c r="AM95" s="33" t="e">
        <f t="shared" ca="1" si="76"/>
        <v>#NAME?</v>
      </c>
      <c r="AN95" s="38" t="e">
        <f ca="1">_xll.RiskBinomial(1,AM95)</f>
        <v>#NAME?</v>
      </c>
      <c r="AO95" s="86" t="e">
        <f ca="1">IF(AN95=1,_xll.RiskBinomial(1,Prob_illness_Noro_infection),0)</f>
        <v>#NAME?</v>
      </c>
      <c r="AP95" s="33"/>
      <c r="AQ95" s="85" t="e">
        <f t="shared" ca="1" si="77"/>
        <v>#NAME?</v>
      </c>
      <c r="AR95" s="40" t="e">
        <f ca="1">INT(AQ95) + _xll.RiskBinomial(1,AQ95-INT(AQ95))</f>
        <v>#NAME?</v>
      </c>
      <c r="AS95" s="33" t="e">
        <f t="shared" ca="1" si="78"/>
        <v>#NAME?</v>
      </c>
      <c r="AT95" s="38" t="e">
        <f ca="1">_xll.RiskBinomial(1,AS95)</f>
        <v>#NAME?</v>
      </c>
      <c r="AU95" s="86" t="e">
        <f ca="1">IF(AT95=1,_xll.RiskBinomial(1,Prob_illness_Noro_infection),0)</f>
        <v>#NAME?</v>
      </c>
      <c r="AV95" s="33"/>
      <c r="AW95" s="85" t="e">
        <f t="shared" ca="1" si="106"/>
        <v>#NAME?</v>
      </c>
      <c r="AX95" s="40" t="e">
        <f ca="1">INT(AW95) + _xll.RiskBinomial(1,AW95-INT(AW95))</f>
        <v>#NAME?</v>
      </c>
      <c r="AY95" s="33" t="e">
        <f t="shared" ca="1" si="79"/>
        <v>#NAME?</v>
      </c>
      <c r="AZ95" s="38" t="e">
        <f ca="1">_xll.RiskBinomial(1,AY95)</f>
        <v>#NAME?</v>
      </c>
      <c r="BA95" s="86" t="e">
        <f ca="1">IF(AZ95=1,_xll.RiskBinomial(1,Prob_illness_Noro_infection),0)</f>
        <v>#NAME?</v>
      </c>
      <c r="BC95" s="85" t="e">
        <f t="shared" ca="1" si="107"/>
        <v>#NAME?</v>
      </c>
      <c r="BD95" s="40" t="e">
        <f ca="1">INT(BC95) + _xll.RiskBinomial(1,BC95-INT(BC95))</f>
        <v>#NAME?</v>
      </c>
      <c r="BE95" s="33" t="e">
        <f t="shared" ca="1" si="80"/>
        <v>#NAME?</v>
      </c>
      <c r="BF95" s="38" t="e">
        <f ca="1">_xll.RiskBinomial(1,BE95)</f>
        <v>#NAME?</v>
      </c>
      <c r="BG95" s="86" t="e">
        <f ca="1">IF(BF95=1,_xll.RiskBinomial(1,Prob_illness_Noro_infection),0)</f>
        <v>#NAME?</v>
      </c>
      <c r="BI95" s="85" t="e">
        <f t="shared" ca="1" si="108"/>
        <v>#NAME?</v>
      </c>
      <c r="BJ95" s="40" t="e">
        <f ca="1">INT(BI95) + _xll.RiskBinomial(1,BI95-INT(BI95))</f>
        <v>#NAME?</v>
      </c>
      <c r="BK95" s="33" t="e">
        <f t="shared" ca="1" si="81"/>
        <v>#NAME?</v>
      </c>
      <c r="BL95" s="38" t="e">
        <f ca="1">_xll.RiskBinomial(1,BK95)</f>
        <v>#NAME?</v>
      </c>
      <c r="BM95" s="86" t="e">
        <f ca="1">IF(BL95=1,_xll.RiskBinomial(1,Prob_illness_Noro_infection),0)</f>
        <v>#NAME?</v>
      </c>
      <c r="BO95" s="85" t="e">
        <f t="shared" ca="1" si="109"/>
        <v>#NAME?</v>
      </c>
      <c r="BP95" s="40" t="e">
        <f ca="1">INT(BO95) + _xll.RiskBinomial(1,BO95-INT(BO95))</f>
        <v>#NAME?</v>
      </c>
      <c r="BQ95" s="33" t="e">
        <f t="shared" ca="1" si="82"/>
        <v>#NAME?</v>
      </c>
      <c r="BR95" s="38" t="e">
        <f ca="1">_xll.RiskBinomial(1,BQ95)</f>
        <v>#NAME?</v>
      </c>
      <c r="BS95" s="86" t="e">
        <f ca="1">IF(BR95=1,_xll.RiskBinomial(1,Prob_illness_Noro_infection),0)</f>
        <v>#NAME?</v>
      </c>
      <c r="BU95" s="85" t="e">
        <f t="shared" ca="1" si="110"/>
        <v>#NAME?</v>
      </c>
      <c r="BV95" s="40" t="e">
        <f ca="1">INT(BU95) + _xll.RiskBinomial(1,BU95-INT(BU95))</f>
        <v>#NAME?</v>
      </c>
      <c r="BW95" s="33" t="e">
        <f t="shared" ca="1" si="83"/>
        <v>#NAME?</v>
      </c>
      <c r="BX95" s="38" t="e">
        <f ca="1">_xll.RiskBinomial(1,BW95)</f>
        <v>#NAME?</v>
      </c>
      <c r="BY95" s="86" t="e">
        <f ca="1">IF(BX95=1,_xll.RiskBinomial(1,Prob_illness_Noro_infection),0)</f>
        <v>#NAME?</v>
      </c>
      <c r="CA95" s="85" t="e">
        <f t="shared" ca="1" si="111"/>
        <v>#NAME?</v>
      </c>
      <c r="CB95" s="40" t="e">
        <f ca="1">INT(CA95) + _xll.RiskBinomial(1,CA95-INT(CA95))</f>
        <v>#NAME?</v>
      </c>
      <c r="CC95" s="33" t="e">
        <f t="shared" ca="1" si="84"/>
        <v>#NAME?</v>
      </c>
      <c r="CD95" s="38" t="e">
        <f ca="1">_xll.RiskBinomial(1,CC95)</f>
        <v>#NAME?</v>
      </c>
      <c r="CE95" s="86" t="e">
        <f ca="1">IF(CD95=1,_xll.RiskBinomial(1,Prob_illness_Noro_infection),0)</f>
        <v>#NAME?</v>
      </c>
      <c r="CG95" s="85" t="e">
        <f t="shared" ca="1" si="112"/>
        <v>#NAME?</v>
      </c>
      <c r="CH95" s="40" t="e">
        <f ca="1">INT(CG95) + _xll.RiskBinomial(1,CG95-INT(CG95))</f>
        <v>#NAME?</v>
      </c>
      <c r="CI95" s="33" t="e">
        <f t="shared" ca="1" si="85"/>
        <v>#NAME?</v>
      </c>
      <c r="CJ95" s="38" t="e">
        <f ca="1">_xll.RiskBinomial(1,CI95)</f>
        <v>#NAME?</v>
      </c>
      <c r="CK95" s="86" t="e">
        <f ca="1">IF(CJ95=1,_xll.RiskBinomial(1,Prob_illness_Noro_infection),0)</f>
        <v>#NAME?</v>
      </c>
      <c r="CM95" s="85" t="e">
        <f t="shared" ca="1" si="113"/>
        <v>#NAME?</v>
      </c>
      <c r="CN95" s="40" t="e">
        <f ca="1">INT(CM95) + _xll.RiskBinomial(1,CM95-INT(CM95))</f>
        <v>#NAME?</v>
      </c>
      <c r="CO95" s="33" t="e">
        <f t="shared" ca="1" si="86"/>
        <v>#NAME?</v>
      </c>
      <c r="CP95" s="38" t="e">
        <f ca="1">_xll.RiskBinomial(1,CO95)</f>
        <v>#NAME?</v>
      </c>
      <c r="CQ95" s="86" t="e">
        <f ca="1">IF(CP95=1,_xll.RiskBinomial(1,Prob_illness_Noro_infection),0)</f>
        <v>#NAME?</v>
      </c>
      <c r="CS95" s="85" t="e">
        <f t="shared" ca="1" si="114"/>
        <v>#NAME?</v>
      </c>
      <c r="CT95" s="40" t="e">
        <f ca="1">INT(CS95) + _xll.RiskBinomial(1,CS95-INT(CS95))</f>
        <v>#NAME?</v>
      </c>
      <c r="CU95" s="33" t="e">
        <f t="shared" ca="1" si="87"/>
        <v>#NAME?</v>
      </c>
      <c r="CV95" s="38" t="e">
        <f ca="1">_xll.RiskBinomial(1,CU95)</f>
        <v>#NAME?</v>
      </c>
      <c r="CW95" s="86" t="e">
        <f ca="1">IF(CV95=1,_xll.RiskBinomial(1,Prob_illness_Noro_infection),0)</f>
        <v>#NAME?</v>
      </c>
      <c r="CY95" s="85" t="e">
        <f t="shared" ca="1" si="115"/>
        <v>#NAME?</v>
      </c>
      <c r="CZ95" s="40" t="e">
        <f ca="1">INT(CY95) + _xll.RiskBinomial(1,CY95-INT(CY95))</f>
        <v>#NAME?</v>
      </c>
      <c r="DA95" s="33" t="e">
        <f t="shared" ca="1" si="88"/>
        <v>#NAME?</v>
      </c>
      <c r="DB95" s="38" t="e">
        <f ca="1">_xll.RiskBinomial(1,DA95)</f>
        <v>#NAME?</v>
      </c>
      <c r="DC95" s="86" t="e">
        <f ca="1">IF(DB95=1,_xll.RiskBinomial(1,Prob_illness_Noro_infection),0)</f>
        <v>#NAME?</v>
      </c>
      <c r="DE95" s="85" t="e">
        <f t="shared" ca="1" si="116"/>
        <v>#NAME?</v>
      </c>
      <c r="DF95" s="40" t="e">
        <f ca="1">INT(DE95) + _xll.RiskBinomial(1,DE95-INT(DE95))</f>
        <v>#NAME?</v>
      </c>
      <c r="DG95" s="33" t="e">
        <f t="shared" ca="1" si="89"/>
        <v>#NAME?</v>
      </c>
      <c r="DH95" s="38" t="e">
        <f ca="1">_xll.RiskBinomial(1,DG95)</f>
        <v>#NAME?</v>
      </c>
      <c r="DI95" s="86" t="e">
        <f ca="1">IF(DH95=1,_xll.RiskBinomial(1,Prob_illness_Noro_infection),0)</f>
        <v>#NAME?</v>
      </c>
      <c r="DK95" s="85" t="e">
        <f t="shared" ca="1" si="117"/>
        <v>#NAME?</v>
      </c>
      <c r="DL95" s="40" t="e">
        <f ca="1">INT(DK95) + _xll.RiskBinomial(1,DK95-INT(DK95))</f>
        <v>#NAME?</v>
      </c>
      <c r="DM95" s="33" t="e">
        <f t="shared" ca="1" si="90"/>
        <v>#NAME?</v>
      </c>
      <c r="DN95" s="38" t="e">
        <f ca="1">_xll.RiskBinomial(1,DM95)</f>
        <v>#NAME?</v>
      </c>
      <c r="DO95" s="86" t="e">
        <f ca="1">IF(DN95=1,_xll.RiskBinomial(1,Prob_illness_Noro_infection),0)</f>
        <v>#NAME?</v>
      </c>
      <c r="DQ95" s="85" t="e">
        <f t="shared" ca="1" si="118"/>
        <v>#NAME?</v>
      </c>
      <c r="DR95" s="40" t="e">
        <f ca="1">INT(DQ95) + _xll.RiskBinomial(1,DQ95-INT(DQ95))</f>
        <v>#NAME?</v>
      </c>
      <c r="DS95" s="33" t="e">
        <f t="shared" ca="1" si="91"/>
        <v>#NAME?</v>
      </c>
      <c r="DT95" s="38" t="e">
        <f ca="1">_xll.RiskBinomial(1,DS95)</f>
        <v>#NAME?</v>
      </c>
      <c r="DU95" s="86" t="e">
        <f ca="1">IF(DT95=1,_xll.RiskBinomial(1,Prob_illness_Noro_infection),0)</f>
        <v>#NAME?</v>
      </c>
      <c r="DW95" s="85" t="e">
        <f t="shared" ca="1" si="119"/>
        <v>#NAME?</v>
      </c>
      <c r="DX95" s="40" t="e">
        <f ca="1">INT(DW95) + _xll.RiskBinomial(1,DW95-INT(DW95))</f>
        <v>#NAME?</v>
      </c>
      <c r="DY95" s="33" t="e">
        <f t="shared" ca="1" si="92"/>
        <v>#NAME?</v>
      </c>
      <c r="DZ95" s="38" t="e">
        <f ca="1">_xll.RiskBinomial(1,DY95)</f>
        <v>#NAME?</v>
      </c>
      <c r="EA95" s="86" t="e">
        <f ca="1">IF(DZ95=1,_xll.RiskBinomial(1,Prob_illness_Noro_infection),0)</f>
        <v>#NAME?</v>
      </c>
      <c r="EC95" s="85" t="e">
        <f t="shared" ca="1" si="120"/>
        <v>#NAME?</v>
      </c>
      <c r="ED95" s="40" t="e">
        <f ca="1">INT(EC95) + _xll.RiskBinomial(1,EC95-INT(EC95))</f>
        <v>#NAME?</v>
      </c>
      <c r="EE95" s="33" t="e">
        <f t="shared" ca="1" si="93"/>
        <v>#NAME?</v>
      </c>
      <c r="EF95" s="38" t="e">
        <f ca="1">_xll.RiskBinomial(1,EE95)</f>
        <v>#NAME?</v>
      </c>
      <c r="EG95" s="86" t="e">
        <f ca="1">IF(EF95=1,_xll.RiskBinomial(1,Prob_illness_Noro_infection),0)</f>
        <v>#NAME?</v>
      </c>
      <c r="EI95" s="85" t="e">
        <f t="shared" ca="1" si="121"/>
        <v>#NAME?</v>
      </c>
      <c r="EJ95" s="40" t="e">
        <f ca="1">INT(EI95) + _xll.RiskBinomial(1,EI95-INT(EI95))</f>
        <v>#NAME?</v>
      </c>
      <c r="EK95" s="33" t="e">
        <f t="shared" ca="1" si="94"/>
        <v>#NAME?</v>
      </c>
      <c r="EL95" s="38" t="e">
        <f ca="1">_xll.RiskBinomial(1,EK95)</f>
        <v>#NAME?</v>
      </c>
      <c r="EM95" s="86" t="e">
        <f ca="1">IF(EL95=1,_xll.RiskBinomial(1,Prob_illness_Noro_infection),0)</f>
        <v>#NAME?</v>
      </c>
      <c r="EO95" s="85" t="e">
        <f t="shared" ca="1" si="122"/>
        <v>#NAME?</v>
      </c>
      <c r="EP95" s="40" t="e">
        <f ca="1">INT(EO95) + _xll.RiskBinomial(1,EO95-INT(EO95))</f>
        <v>#NAME?</v>
      </c>
      <c r="EQ95" s="33" t="e">
        <f t="shared" ca="1" si="95"/>
        <v>#NAME?</v>
      </c>
      <c r="ER95" s="38" t="e">
        <f ca="1">_xll.RiskBinomial(1,EQ95)</f>
        <v>#NAME?</v>
      </c>
      <c r="ES95" s="86" t="e">
        <f ca="1">IF(ER95=1,_xll.RiskBinomial(1,Prob_illness_Noro_infection),0)</f>
        <v>#NAME?</v>
      </c>
      <c r="EU95" s="85" t="e">
        <f t="shared" ca="1" si="123"/>
        <v>#NAME?</v>
      </c>
      <c r="EV95" s="40" t="e">
        <f ca="1">INT(EU95) + _xll.RiskBinomial(1,EU95-INT(EU95))</f>
        <v>#NAME?</v>
      </c>
      <c r="EW95" s="33" t="e">
        <f t="shared" ca="1" si="96"/>
        <v>#NAME?</v>
      </c>
      <c r="EX95" s="38" t="e">
        <f ca="1">_xll.RiskBinomial(1,EW95)</f>
        <v>#NAME?</v>
      </c>
      <c r="EY95" s="86" t="e">
        <f ca="1">IF(EX95=1,_xll.RiskBinomial(1,Prob_illness_Noro_infection),0)</f>
        <v>#NAME?</v>
      </c>
      <c r="FA95" s="85" t="e">
        <f t="shared" ca="1" si="124"/>
        <v>#NAME?</v>
      </c>
      <c r="FB95" s="40" t="e">
        <f ca="1">INT(FA95) + _xll.RiskBinomial(1,FA95-INT(FA95))</f>
        <v>#NAME?</v>
      </c>
      <c r="FC95" s="33" t="e">
        <f t="shared" ca="1" si="97"/>
        <v>#NAME?</v>
      </c>
      <c r="FD95" s="38" t="e">
        <f ca="1">_xll.RiskBinomial(1,FC95)</f>
        <v>#NAME?</v>
      </c>
      <c r="FE95" s="86" t="e">
        <f ca="1">IF(FD95=1,_xll.RiskBinomial(1,Prob_illness_Noro_infection),0)</f>
        <v>#NAME?</v>
      </c>
      <c r="FG95" s="85" t="e">
        <f t="shared" ca="1" si="125"/>
        <v>#NAME?</v>
      </c>
      <c r="FH95" s="40" t="e">
        <f ca="1">INT(FG95) + _xll.RiskBinomial(1,FG95-INT(FG95))</f>
        <v>#NAME?</v>
      </c>
      <c r="FI95" s="33" t="e">
        <f t="shared" ca="1" si="98"/>
        <v>#NAME?</v>
      </c>
      <c r="FJ95" s="38" t="e">
        <f ca="1">_xll.RiskBinomial(1,FI95)</f>
        <v>#NAME?</v>
      </c>
      <c r="FK95" s="86" t="e">
        <f ca="1">IF(FJ95=1,_xll.RiskBinomial(1,Prob_illness_Noro_infection),0)</f>
        <v>#NAME?</v>
      </c>
      <c r="FM95" s="85" t="e">
        <f t="shared" ca="1" si="126"/>
        <v>#NAME?</v>
      </c>
      <c r="FN95" s="40" t="e">
        <f ca="1">INT(FM95) + _xll.RiskBinomial(1,FM95-INT(FM95))</f>
        <v>#NAME?</v>
      </c>
      <c r="FO95" s="33" t="e">
        <f t="shared" ca="1" si="99"/>
        <v>#NAME?</v>
      </c>
      <c r="FP95" s="38" t="e">
        <f ca="1">_xll.RiskBinomial(1,FO95)</f>
        <v>#NAME?</v>
      </c>
      <c r="FQ95" s="86" t="e">
        <f ca="1">IF(FP95=1,_xll.RiskBinomial(1,Prob_illness_Noro_infection),0)</f>
        <v>#NAME?</v>
      </c>
      <c r="FS95" s="85" t="e">
        <f t="shared" ca="1" si="127"/>
        <v>#NAME?</v>
      </c>
      <c r="FT95" s="40" t="e">
        <f ca="1">INT(FS95) + _xll.RiskBinomial(1,FS95-INT(FS95))</f>
        <v>#NAME?</v>
      </c>
      <c r="FU95" s="33" t="e">
        <f t="shared" ca="1" si="100"/>
        <v>#NAME?</v>
      </c>
      <c r="FV95" s="38" t="e">
        <f ca="1">_xll.RiskBinomial(1,FU95)</f>
        <v>#NAME?</v>
      </c>
      <c r="FW95" s="86" t="e">
        <f ca="1">IF(FV95=1,_xll.RiskBinomial(1,Prob_illness_Noro_infection),0)</f>
        <v>#NAME?</v>
      </c>
      <c r="FY95" s="85" t="e">
        <f t="shared" ca="1" si="128"/>
        <v>#NAME?</v>
      </c>
      <c r="FZ95" s="40" t="e">
        <f ca="1">INT(FY95) + _xll.RiskBinomial(1,FY95-INT(FY95))</f>
        <v>#NAME?</v>
      </c>
      <c r="GA95" s="33" t="e">
        <f t="shared" ca="1" si="101"/>
        <v>#NAME?</v>
      </c>
      <c r="GB95" s="38" t="e">
        <f ca="1">_xll.RiskBinomial(1,GA95)</f>
        <v>#NAME?</v>
      </c>
      <c r="GC95" s="86" t="e">
        <f ca="1">IF(GB95=1,_xll.RiskBinomial(1,Prob_illness_Noro_infection),0)</f>
        <v>#NAME?</v>
      </c>
      <c r="GE95" s="85" t="e">
        <f t="shared" ca="1" si="129"/>
        <v>#NAME?</v>
      </c>
      <c r="GF95" s="40" t="e">
        <f ca="1">INT(GE95) + _xll.RiskBinomial(1,GE95-INT(GE95))</f>
        <v>#NAME?</v>
      </c>
      <c r="GG95" s="33" t="e">
        <f t="shared" ca="1" si="102"/>
        <v>#NAME?</v>
      </c>
      <c r="GH95" s="38" t="e">
        <f ca="1">_xll.RiskBinomial(1,GG95)</f>
        <v>#NAME?</v>
      </c>
      <c r="GI95" s="86" t="e">
        <f ca="1">IF(GH95=1,_xll.RiskBinomial(1,Prob_illness_Noro_infection),0)</f>
        <v>#NAME?</v>
      </c>
      <c r="GK95" s="85" t="e">
        <f t="shared" ca="1" si="130"/>
        <v>#NAME?</v>
      </c>
      <c r="GL95" s="40" t="e">
        <f ca="1">INT(GK95) + _xll.RiskBinomial(1,GK95-INT(GK95))</f>
        <v>#NAME?</v>
      </c>
      <c r="GM95" s="33" t="e">
        <f t="shared" ca="1" si="103"/>
        <v>#NAME?</v>
      </c>
      <c r="GN95" s="38" t="e">
        <f ca="1">_xll.RiskBinomial(1,GM95)</f>
        <v>#NAME?</v>
      </c>
      <c r="GO95" s="86" t="e">
        <f ca="1">IF(GN95=1,_xll.RiskBinomial(1,Prob_illness_Noro_infection),0)</f>
        <v>#NAME?</v>
      </c>
    </row>
    <row r="96" spans="2:197" x14ac:dyDescent="0.25">
      <c r="B96" s="106">
        <v>88</v>
      </c>
      <c r="C96" s="109" t="e">
        <f ca="1" xml:space="preserve"> _xll.RiskPert(Dur_Swim_hours_min,Dur_Swim_hours_mode,Dur_Swim_hours_max)</f>
        <v>#NAME?</v>
      </c>
      <c r="D96" s="33" t="e">
        <f ca="1">_xll.RiskLognorm(Primary_Ing_Rate_mL_per_hour_mean,Primary_Ing_Rate_mL_per_hour_sd, _xll.RiskTruncate(Primary_Ing_Rate_mL_per_hour_min,Primary_Ing_Rate_mL_per_hour_max))</f>
        <v>#NAME?</v>
      </c>
      <c r="E96" s="41" t="e">
        <f t="shared" ca="1" si="104"/>
        <v>#NAME?</v>
      </c>
      <c r="F96" s="33"/>
      <c r="G96" s="85" t="e">
        <f t="shared" ca="1" si="105"/>
        <v>#NAME?</v>
      </c>
      <c r="H96" s="40" t="e">
        <f ca="1">INT(G96) + _xll.RiskBinomial(1,G96-INT(G96))</f>
        <v>#NAME?</v>
      </c>
      <c r="I96" s="33" t="e">
        <f t="shared" ca="1" si="66"/>
        <v>#NAME?</v>
      </c>
      <c r="J96" s="38" t="e">
        <f ca="1">_xll.RiskBinomial(1,I96)</f>
        <v>#NAME?</v>
      </c>
      <c r="K96" s="86" t="e">
        <f ca="1">IF(J96=1,_xll.RiskBinomial(1,Prob_illness_Noro_infection),0)</f>
        <v>#NAME?</v>
      </c>
      <c r="L96" s="33"/>
      <c r="M96" s="85" t="e">
        <f t="shared" ca="1" si="67"/>
        <v>#NAME?</v>
      </c>
      <c r="N96" s="40" t="e">
        <f ca="1">INT(M96) + _xll.RiskBinomial(1,M96-INT(M96))</f>
        <v>#NAME?</v>
      </c>
      <c r="O96" s="33" t="e">
        <f t="shared" ca="1" si="68"/>
        <v>#NAME?</v>
      </c>
      <c r="P96" s="38" t="e">
        <f ca="1">_xll.RiskBinomial(1,O96)</f>
        <v>#NAME?</v>
      </c>
      <c r="Q96" s="86" t="e">
        <f ca="1">IF(P96=1,_xll.RiskBinomial(1,Prob_illness_Noro_infection),0)</f>
        <v>#NAME?</v>
      </c>
      <c r="R96" s="33"/>
      <c r="S96" s="85" t="e">
        <f t="shared" ca="1" si="69"/>
        <v>#NAME?</v>
      </c>
      <c r="T96" s="40" t="e">
        <f ca="1">INT(S96) + _xll.RiskBinomial(1,S96-INT(S96))</f>
        <v>#NAME?</v>
      </c>
      <c r="U96" s="33" t="e">
        <f t="shared" ca="1" si="70"/>
        <v>#NAME?</v>
      </c>
      <c r="V96" s="38" t="e">
        <f ca="1">_xll.RiskBinomial(1,U96)</f>
        <v>#NAME?</v>
      </c>
      <c r="W96" s="86" t="e">
        <f ca="1">IF(V96=1,_xll.RiskBinomial(1,Prob_illness_Noro_infection),0)</f>
        <v>#NAME?</v>
      </c>
      <c r="X96" s="33"/>
      <c r="Y96" s="85" t="e">
        <f t="shared" ca="1" si="71"/>
        <v>#NAME?</v>
      </c>
      <c r="Z96" s="40" t="e">
        <f ca="1">INT(Y96) + _xll.RiskBinomial(1,Y96-INT(Y96))</f>
        <v>#NAME?</v>
      </c>
      <c r="AA96" s="33" t="e">
        <f t="shared" ca="1" si="72"/>
        <v>#NAME?</v>
      </c>
      <c r="AB96" s="38" t="e">
        <f ca="1">_xll.RiskBinomial(1,AA96)</f>
        <v>#NAME?</v>
      </c>
      <c r="AC96" s="86" t="e">
        <f ca="1">IF(AB96=1,_xll.RiskBinomial(1,Prob_illness_Noro_infection),0)</f>
        <v>#NAME?</v>
      </c>
      <c r="AD96" s="33"/>
      <c r="AE96" s="85" t="e">
        <f t="shared" ca="1" si="73"/>
        <v>#NAME?</v>
      </c>
      <c r="AF96" s="40" t="e">
        <f ca="1">INT(AE96) + _xll.RiskBinomial(1,AE96-INT(AE96))</f>
        <v>#NAME?</v>
      </c>
      <c r="AG96" s="33" t="e">
        <f t="shared" ca="1" si="74"/>
        <v>#NAME?</v>
      </c>
      <c r="AH96" s="38" t="e">
        <f ca="1">_xll.RiskBinomial(1,AG96)</f>
        <v>#NAME?</v>
      </c>
      <c r="AI96" s="86" t="e">
        <f ca="1">IF(AH96=1,_xll.RiskBinomial(1,Prob_illness_Noro_infection),0)</f>
        <v>#NAME?</v>
      </c>
      <c r="AJ96" s="33"/>
      <c r="AK96" s="85" t="e">
        <f t="shared" ca="1" si="75"/>
        <v>#NAME?</v>
      </c>
      <c r="AL96" s="40" t="e">
        <f ca="1">INT(AK96) + _xll.RiskBinomial(1,AK96-INT(AK96))</f>
        <v>#NAME?</v>
      </c>
      <c r="AM96" s="33" t="e">
        <f t="shared" ca="1" si="76"/>
        <v>#NAME?</v>
      </c>
      <c r="AN96" s="38" t="e">
        <f ca="1">_xll.RiskBinomial(1,AM96)</f>
        <v>#NAME?</v>
      </c>
      <c r="AO96" s="86" t="e">
        <f ca="1">IF(AN96=1,_xll.RiskBinomial(1,Prob_illness_Noro_infection),0)</f>
        <v>#NAME?</v>
      </c>
      <c r="AP96" s="33"/>
      <c r="AQ96" s="85" t="e">
        <f t="shared" ca="1" si="77"/>
        <v>#NAME?</v>
      </c>
      <c r="AR96" s="40" t="e">
        <f ca="1">INT(AQ96) + _xll.RiskBinomial(1,AQ96-INT(AQ96))</f>
        <v>#NAME?</v>
      </c>
      <c r="AS96" s="33" t="e">
        <f t="shared" ca="1" si="78"/>
        <v>#NAME?</v>
      </c>
      <c r="AT96" s="38" t="e">
        <f ca="1">_xll.RiskBinomial(1,AS96)</f>
        <v>#NAME?</v>
      </c>
      <c r="AU96" s="86" t="e">
        <f ca="1">IF(AT96=1,_xll.RiskBinomial(1,Prob_illness_Noro_infection),0)</f>
        <v>#NAME?</v>
      </c>
      <c r="AV96" s="33"/>
      <c r="AW96" s="85" t="e">
        <f t="shared" ca="1" si="106"/>
        <v>#NAME?</v>
      </c>
      <c r="AX96" s="40" t="e">
        <f ca="1">INT(AW96) + _xll.RiskBinomial(1,AW96-INT(AW96))</f>
        <v>#NAME?</v>
      </c>
      <c r="AY96" s="33" t="e">
        <f t="shared" ca="1" si="79"/>
        <v>#NAME?</v>
      </c>
      <c r="AZ96" s="38" t="e">
        <f ca="1">_xll.RiskBinomial(1,AY96)</f>
        <v>#NAME?</v>
      </c>
      <c r="BA96" s="86" t="e">
        <f ca="1">IF(AZ96=1,_xll.RiskBinomial(1,Prob_illness_Noro_infection),0)</f>
        <v>#NAME?</v>
      </c>
      <c r="BC96" s="85" t="e">
        <f t="shared" ca="1" si="107"/>
        <v>#NAME?</v>
      </c>
      <c r="BD96" s="40" t="e">
        <f ca="1">INT(BC96) + _xll.RiskBinomial(1,BC96-INT(BC96))</f>
        <v>#NAME?</v>
      </c>
      <c r="BE96" s="33" t="e">
        <f t="shared" ca="1" si="80"/>
        <v>#NAME?</v>
      </c>
      <c r="BF96" s="38" t="e">
        <f ca="1">_xll.RiskBinomial(1,BE96)</f>
        <v>#NAME?</v>
      </c>
      <c r="BG96" s="86" t="e">
        <f ca="1">IF(BF96=1,_xll.RiskBinomial(1,Prob_illness_Noro_infection),0)</f>
        <v>#NAME?</v>
      </c>
      <c r="BI96" s="85" t="e">
        <f t="shared" ca="1" si="108"/>
        <v>#NAME?</v>
      </c>
      <c r="BJ96" s="40" t="e">
        <f ca="1">INT(BI96) + _xll.RiskBinomial(1,BI96-INT(BI96))</f>
        <v>#NAME?</v>
      </c>
      <c r="BK96" s="33" t="e">
        <f t="shared" ca="1" si="81"/>
        <v>#NAME?</v>
      </c>
      <c r="BL96" s="38" t="e">
        <f ca="1">_xll.RiskBinomial(1,BK96)</f>
        <v>#NAME?</v>
      </c>
      <c r="BM96" s="86" t="e">
        <f ca="1">IF(BL96=1,_xll.RiskBinomial(1,Prob_illness_Noro_infection),0)</f>
        <v>#NAME?</v>
      </c>
      <c r="BO96" s="85" t="e">
        <f t="shared" ca="1" si="109"/>
        <v>#NAME?</v>
      </c>
      <c r="BP96" s="40" t="e">
        <f ca="1">INT(BO96) + _xll.RiskBinomial(1,BO96-INT(BO96))</f>
        <v>#NAME?</v>
      </c>
      <c r="BQ96" s="33" t="e">
        <f t="shared" ca="1" si="82"/>
        <v>#NAME?</v>
      </c>
      <c r="BR96" s="38" t="e">
        <f ca="1">_xll.RiskBinomial(1,BQ96)</f>
        <v>#NAME?</v>
      </c>
      <c r="BS96" s="86" t="e">
        <f ca="1">IF(BR96=1,_xll.RiskBinomial(1,Prob_illness_Noro_infection),0)</f>
        <v>#NAME?</v>
      </c>
      <c r="BU96" s="85" t="e">
        <f t="shared" ca="1" si="110"/>
        <v>#NAME?</v>
      </c>
      <c r="BV96" s="40" t="e">
        <f ca="1">INT(BU96) + _xll.RiskBinomial(1,BU96-INT(BU96))</f>
        <v>#NAME?</v>
      </c>
      <c r="BW96" s="33" t="e">
        <f t="shared" ca="1" si="83"/>
        <v>#NAME?</v>
      </c>
      <c r="BX96" s="38" t="e">
        <f ca="1">_xll.RiskBinomial(1,BW96)</f>
        <v>#NAME?</v>
      </c>
      <c r="BY96" s="86" t="e">
        <f ca="1">IF(BX96=1,_xll.RiskBinomial(1,Prob_illness_Noro_infection),0)</f>
        <v>#NAME?</v>
      </c>
      <c r="CA96" s="85" t="e">
        <f t="shared" ca="1" si="111"/>
        <v>#NAME?</v>
      </c>
      <c r="CB96" s="40" t="e">
        <f ca="1">INT(CA96) + _xll.RiskBinomial(1,CA96-INT(CA96))</f>
        <v>#NAME?</v>
      </c>
      <c r="CC96" s="33" t="e">
        <f t="shared" ca="1" si="84"/>
        <v>#NAME?</v>
      </c>
      <c r="CD96" s="38" t="e">
        <f ca="1">_xll.RiskBinomial(1,CC96)</f>
        <v>#NAME?</v>
      </c>
      <c r="CE96" s="86" t="e">
        <f ca="1">IF(CD96=1,_xll.RiskBinomial(1,Prob_illness_Noro_infection),0)</f>
        <v>#NAME?</v>
      </c>
      <c r="CG96" s="85" t="e">
        <f t="shared" ca="1" si="112"/>
        <v>#NAME?</v>
      </c>
      <c r="CH96" s="40" t="e">
        <f ca="1">INT(CG96) + _xll.RiskBinomial(1,CG96-INT(CG96))</f>
        <v>#NAME?</v>
      </c>
      <c r="CI96" s="33" t="e">
        <f t="shared" ca="1" si="85"/>
        <v>#NAME?</v>
      </c>
      <c r="CJ96" s="38" t="e">
        <f ca="1">_xll.RiskBinomial(1,CI96)</f>
        <v>#NAME?</v>
      </c>
      <c r="CK96" s="86" t="e">
        <f ca="1">IF(CJ96=1,_xll.RiskBinomial(1,Prob_illness_Noro_infection),0)</f>
        <v>#NAME?</v>
      </c>
      <c r="CM96" s="85" t="e">
        <f t="shared" ca="1" si="113"/>
        <v>#NAME?</v>
      </c>
      <c r="CN96" s="40" t="e">
        <f ca="1">INT(CM96) + _xll.RiskBinomial(1,CM96-INT(CM96))</f>
        <v>#NAME?</v>
      </c>
      <c r="CO96" s="33" t="e">
        <f t="shared" ca="1" si="86"/>
        <v>#NAME?</v>
      </c>
      <c r="CP96" s="38" t="e">
        <f ca="1">_xll.RiskBinomial(1,CO96)</f>
        <v>#NAME?</v>
      </c>
      <c r="CQ96" s="86" t="e">
        <f ca="1">IF(CP96=1,_xll.RiskBinomial(1,Prob_illness_Noro_infection),0)</f>
        <v>#NAME?</v>
      </c>
      <c r="CS96" s="85" t="e">
        <f t="shared" ca="1" si="114"/>
        <v>#NAME?</v>
      </c>
      <c r="CT96" s="40" t="e">
        <f ca="1">INT(CS96) + _xll.RiskBinomial(1,CS96-INT(CS96))</f>
        <v>#NAME?</v>
      </c>
      <c r="CU96" s="33" t="e">
        <f t="shared" ca="1" si="87"/>
        <v>#NAME?</v>
      </c>
      <c r="CV96" s="38" t="e">
        <f ca="1">_xll.RiskBinomial(1,CU96)</f>
        <v>#NAME?</v>
      </c>
      <c r="CW96" s="86" t="e">
        <f ca="1">IF(CV96=1,_xll.RiskBinomial(1,Prob_illness_Noro_infection),0)</f>
        <v>#NAME?</v>
      </c>
      <c r="CY96" s="85" t="e">
        <f t="shared" ca="1" si="115"/>
        <v>#NAME?</v>
      </c>
      <c r="CZ96" s="40" t="e">
        <f ca="1">INT(CY96) + _xll.RiskBinomial(1,CY96-INT(CY96))</f>
        <v>#NAME?</v>
      </c>
      <c r="DA96" s="33" t="e">
        <f t="shared" ca="1" si="88"/>
        <v>#NAME?</v>
      </c>
      <c r="DB96" s="38" t="e">
        <f ca="1">_xll.RiskBinomial(1,DA96)</f>
        <v>#NAME?</v>
      </c>
      <c r="DC96" s="86" t="e">
        <f ca="1">IF(DB96=1,_xll.RiskBinomial(1,Prob_illness_Noro_infection),0)</f>
        <v>#NAME?</v>
      </c>
      <c r="DE96" s="85" t="e">
        <f t="shared" ca="1" si="116"/>
        <v>#NAME?</v>
      </c>
      <c r="DF96" s="40" t="e">
        <f ca="1">INT(DE96) + _xll.RiskBinomial(1,DE96-INT(DE96))</f>
        <v>#NAME?</v>
      </c>
      <c r="DG96" s="33" t="e">
        <f t="shared" ca="1" si="89"/>
        <v>#NAME?</v>
      </c>
      <c r="DH96" s="38" t="e">
        <f ca="1">_xll.RiskBinomial(1,DG96)</f>
        <v>#NAME?</v>
      </c>
      <c r="DI96" s="86" t="e">
        <f ca="1">IF(DH96=1,_xll.RiskBinomial(1,Prob_illness_Noro_infection),0)</f>
        <v>#NAME?</v>
      </c>
      <c r="DK96" s="85" t="e">
        <f t="shared" ca="1" si="117"/>
        <v>#NAME?</v>
      </c>
      <c r="DL96" s="40" t="e">
        <f ca="1">INT(DK96) + _xll.RiskBinomial(1,DK96-INT(DK96))</f>
        <v>#NAME?</v>
      </c>
      <c r="DM96" s="33" t="e">
        <f t="shared" ca="1" si="90"/>
        <v>#NAME?</v>
      </c>
      <c r="DN96" s="38" t="e">
        <f ca="1">_xll.RiskBinomial(1,DM96)</f>
        <v>#NAME?</v>
      </c>
      <c r="DO96" s="86" t="e">
        <f ca="1">IF(DN96=1,_xll.RiskBinomial(1,Prob_illness_Noro_infection),0)</f>
        <v>#NAME?</v>
      </c>
      <c r="DQ96" s="85" t="e">
        <f t="shared" ca="1" si="118"/>
        <v>#NAME?</v>
      </c>
      <c r="DR96" s="40" t="e">
        <f ca="1">INT(DQ96) + _xll.RiskBinomial(1,DQ96-INT(DQ96))</f>
        <v>#NAME?</v>
      </c>
      <c r="DS96" s="33" t="e">
        <f t="shared" ca="1" si="91"/>
        <v>#NAME?</v>
      </c>
      <c r="DT96" s="38" t="e">
        <f ca="1">_xll.RiskBinomial(1,DS96)</f>
        <v>#NAME?</v>
      </c>
      <c r="DU96" s="86" t="e">
        <f ca="1">IF(DT96=1,_xll.RiskBinomial(1,Prob_illness_Noro_infection),0)</f>
        <v>#NAME?</v>
      </c>
      <c r="DW96" s="85" t="e">
        <f t="shared" ca="1" si="119"/>
        <v>#NAME?</v>
      </c>
      <c r="DX96" s="40" t="e">
        <f ca="1">INT(DW96) + _xll.RiskBinomial(1,DW96-INT(DW96))</f>
        <v>#NAME?</v>
      </c>
      <c r="DY96" s="33" t="e">
        <f t="shared" ca="1" si="92"/>
        <v>#NAME?</v>
      </c>
      <c r="DZ96" s="38" t="e">
        <f ca="1">_xll.RiskBinomial(1,DY96)</f>
        <v>#NAME?</v>
      </c>
      <c r="EA96" s="86" t="e">
        <f ca="1">IF(DZ96=1,_xll.RiskBinomial(1,Prob_illness_Noro_infection),0)</f>
        <v>#NAME?</v>
      </c>
      <c r="EC96" s="85" t="e">
        <f t="shared" ca="1" si="120"/>
        <v>#NAME?</v>
      </c>
      <c r="ED96" s="40" t="e">
        <f ca="1">INT(EC96) + _xll.RiskBinomial(1,EC96-INT(EC96))</f>
        <v>#NAME?</v>
      </c>
      <c r="EE96" s="33" t="e">
        <f t="shared" ca="1" si="93"/>
        <v>#NAME?</v>
      </c>
      <c r="EF96" s="38" t="e">
        <f ca="1">_xll.RiskBinomial(1,EE96)</f>
        <v>#NAME?</v>
      </c>
      <c r="EG96" s="86" t="e">
        <f ca="1">IF(EF96=1,_xll.RiskBinomial(1,Prob_illness_Noro_infection),0)</f>
        <v>#NAME?</v>
      </c>
      <c r="EI96" s="85" t="e">
        <f t="shared" ca="1" si="121"/>
        <v>#NAME?</v>
      </c>
      <c r="EJ96" s="40" t="e">
        <f ca="1">INT(EI96) + _xll.RiskBinomial(1,EI96-INT(EI96))</f>
        <v>#NAME?</v>
      </c>
      <c r="EK96" s="33" t="e">
        <f t="shared" ca="1" si="94"/>
        <v>#NAME?</v>
      </c>
      <c r="EL96" s="38" t="e">
        <f ca="1">_xll.RiskBinomial(1,EK96)</f>
        <v>#NAME?</v>
      </c>
      <c r="EM96" s="86" t="e">
        <f ca="1">IF(EL96=1,_xll.RiskBinomial(1,Prob_illness_Noro_infection),0)</f>
        <v>#NAME?</v>
      </c>
      <c r="EO96" s="85" t="e">
        <f t="shared" ca="1" si="122"/>
        <v>#NAME?</v>
      </c>
      <c r="EP96" s="40" t="e">
        <f ca="1">INT(EO96) + _xll.RiskBinomial(1,EO96-INT(EO96))</f>
        <v>#NAME?</v>
      </c>
      <c r="EQ96" s="33" t="e">
        <f t="shared" ca="1" si="95"/>
        <v>#NAME?</v>
      </c>
      <c r="ER96" s="38" t="e">
        <f ca="1">_xll.RiskBinomial(1,EQ96)</f>
        <v>#NAME?</v>
      </c>
      <c r="ES96" s="86" t="e">
        <f ca="1">IF(ER96=1,_xll.RiskBinomial(1,Prob_illness_Noro_infection),0)</f>
        <v>#NAME?</v>
      </c>
      <c r="EU96" s="85" t="e">
        <f t="shared" ca="1" si="123"/>
        <v>#NAME?</v>
      </c>
      <c r="EV96" s="40" t="e">
        <f ca="1">INT(EU96) + _xll.RiskBinomial(1,EU96-INT(EU96))</f>
        <v>#NAME?</v>
      </c>
      <c r="EW96" s="33" t="e">
        <f t="shared" ca="1" si="96"/>
        <v>#NAME?</v>
      </c>
      <c r="EX96" s="38" t="e">
        <f ca="1">_xll.RiskBinomial(1,EW96)</f>
        <v>#NAME?</v>
      </c>
      <c r="EY96" s="86" t="e">
        <f ca="1">IF(EX96=1,_xll.RiskBinomial(1,Prob_illness_Noro_infection),0)</f>
        <v>#NAME?</v>
      </c>
      <c r="FA96" s="85" t="e">
        <f t="shared" ca="1" si="124"/>
        <v>#NAME?</v>
      </c>
      <c r="FB96" s="40" t="e">
        <f ca="1">INT(FA96) + _xll.RiskBinomial(1,FA96-INT(FA96))</f>
        <v>#NAME?</v>
      </c>
      <c r="FC96" s="33" t="e">
        <f t="shared" ca="1" si="97"/>
        <v>#NAME?</v>
      </c>
      <c r="FD96" s="38" t="e">
        <f ca="1">_xll.RiskBinomial(1,FC96)</f>
        <v>#NAME?</v>
      </c>
      <c r="FE96" s="86" t="e">
        <f ca="1">IF(FD96=1,_xll.RiskBinomial(1,Prob_illness_Noro_infection),0)</f>
        <v>#NAME?</v>
      </c>
      <c r="FG96" s="85" t="e">
        <f t="shared" ca="1" si="125"/>
        <v>#NAME?</v>
      </c>
      <c r="FH96" s="40" t="e">
        <f ca="1">INT(FG96) + _xll.RiskBinomial(1,FG96-INT(FG96))</f>
        <v>#NAME?</v>
      </c>
      <c r="FI96" s="33" t="e">
        <f t="shared" ca="1" si="98"/>
        <v>#NAME?</v>
      </c>
      <c r="FJ96" s="38" t="e">
        <f ca="1">_xll.RiskBinomial(1,FI96)</f>
        <v>#NAME?</v>
      </c>
      <c r="FK96" s="86" t="e">
        <f ca="1">IF(FJ96=1,_xll.RiskBinomial(1,Prob_illness_Noro_infection),0)</f>
        <v>#NAME?</v>
      </c>
      <c r="FM96" s="85" t="e">
        <f t="shared" ca="1" si="126"/>
        <v>#NAME?</v>
      </c>
      <c r="FN96" s="40" t="e">
        <f ca="1">INT(FM96) + _xll.RiskBinomial(1,FM96-INT(FM96))</f>
        <v>#NAME?</v>
      </c>
      <c r="FO96" s="33" t="e">
        <f t="shared" ca="1" si="99"/>
        <v>#NAME?</v>
      </c>
      <c r="FP96" s="38" t="e">
        <f ca="1">_xll.RiskBinomial(1,FO96)</f>
        <v>#NAME?</v>
      </c>
      <c r="FQ96" s="86" t="e">
        <f ca="1">IF(FP96=1,_xll.RiskBinomial(1,Prob_illness_Noro_infection),0)</f>
        <v>#NAME?</v>
      </c>
      <c r="FS96" s="85" t="e">
        <f t="shared" ca="1" si="127"/>
        <v>#NAME?</v>
      </c>
      <c r="FT96" s="40" t="e">
        <f ca="1">INT(FS96) + _xll.RiskBinomial(1,FS96-INT(FS96))</f>
        <v>#NAME?</v>
      </c>
      <c r="FU96" s="33" t="e">
        <f t="shared" ca="1" si="100"/>
        <v>#NAME?</v>
      </c>
      <c r="FV96" s="38" t="e">
        <f ca="1">_xll.RiskBinomial(1,FU96)</f>
        <v>#NAME?</v>
      </c>
      <c r="FW96" s="86" t="e">
        <f ca="1">IF(FV96=1,_xll.RiskBinomial(1,Prob_illness_Noro_infection),0)</f>
        <v>#NAME?</v>
      </c>
      <c r="FY96" s="85" t="e">
        <f t="shared" ca="1" si="128"/>
        <v>#NAME?</v>
      </c>
      <c r="FZ96" s="40" t="e">
        <f ca="1">INT(FY96) + _xll.RiskBinomial(1,FY96-INT(FY96))</f>
        <v>#NAME?</v>
      </c>
      <c r="GA96" s="33" t="e">
        <f t="shared" ca="1" si="101"/>
        <v>#NAME?</v>
      </c>
      <c r="GB96" s="38" t="e">
        <f ca="1">_xll.RiskBinomial(1,GA96)</f>
        <v>#NAME?</v>
      </c>
      <c r="GC96" s="86" t="e">
        <f ca="1">IF(GB96=1,_xll.RiskBinomial(1,Prob_illness_Noro_infection),0)</f>
        <v>#NAME?</v>
      </c>
      <c r="GE96" s="85" t="e">
        <f t="shared" ca="1" si="129"/>
        <v>#NAME?</v>
      </c>
      <c r="GF96" s="40" t="e">
        <f ca="1">INT(GE96) + _xll.RiskBinomial(1,GE96-INT(GE96))</f>
        <v>#NAME?</v>
      </c>
      <c r="GG96" s="33" t="e">
        <f t="shared" ca="1" si="102"/>
        <v>#NAME?</v>
      </c>
      <c r="GH96" s="38" t="e">
        <f ca="1">_xll.RiskBinomial(1,GG96)</f>
        <v>#NAME?</v>
      </c>
      <c r="GI96" s="86" t="e">
        <f ca="1">IF(GH96=1,_xll.RiskBinomial(1,Prob_illness_Noro_infection),0)</f>
        <v>#NAME?</v>
      </c>
      <c r="GK96" s="85" t="e">
        <f t="shared" ca="1" si="130"/>
        <v>#NAME?</v>
      </c>
      <c r="GL96" s="40" t="e">
        <f ca="1">INT(GK96) + _xll.RiskBinomial(1,GK96-INT(GK96))</f>
        <v>#NAME?</v>
      </c>
      <c r="GM96" s="33" t="e">
        <f t="shared" ca="1" si="103"/>
        <v>#NAME?</v>
      </c>
      <c r="GN96" s="38" t="e">
        <f ca="1">_xll.RiskBinomial(1,GM96)</f>
        <v>#NAME?</v>
      </c>
      <c r="GO96" s="86" t="e">
        <f ca="1">IF(GN96=1,_xll.RiskBinomial(1,Prob_illness_Noro_infection),0)</f>
        <v>#NAME?</v>
      </c>
    </row>
    <row r="97" spans="2:197" x14ac:dyDescent="0.25">
      <c r="B97" s="106">
        <v>89</v>
      </c>
      <c r="C97" s="109" t="e">
        <f ca="1" xml:space="preserve"> _xll.RiskPert(Dur_Swim_hours_min,Dur_Swim_hours_mode,Dur_Swim_hours_max)</f>
        <v>#NAME?</v>
      </c>
      <c r="D97" s="33" t="e">
        <f ca="1">_xll.RiskLognorm(Primary_Ing_Rate_mL_per_hour_mean,Primary_Ing_Rate_mL_per_hour_sd, _xll.RiskTruncate(Primary_Ing_Rate_mL_per_hour_min,Primary_Ing_Rate_mL_per_hour_max))</f>
        <v>#NAME?</v>
      </c>
      <c r="E97" s="41" t="e">
        <f t="shared" ca="1" si="104"/>
        <v>#NAME?</v>
      </c>
      <c r="F97" s="33"/>
      <c r="G97" s="85" t="e">
        <f t="shared" ca="1" si="105"/>
        <v>#NAME?</v>
      </c>
      <c r="H97" s="40" t="e">
        <f ca="1">INT(G97) + _xll.RiskBinomial(1,G97-INT(G97))</f>
        <v>#NAME?</v>
      </c>
      <c r="I97" s="33" t="e">
        <f t="shared" ca="1" si="66"/>
        <v>#NAME?</v>
      </c>
      <c r="J97" s="38" t="e">
        <f ca="1">_xll.RiskBinomial(1,I97)</f>
        <v>#NAME?</v>
      </c>
      <c r="K97" s="86" t="e">
        <f ca="1">IF(J97=1,_xll.RiskBinomial(1,Prob_illness_Noro_infection),0)</f>
        <v>#NAME?</v>
      </c>
      <c r="L97" s="33"/>
      <c r="M97" s="85" t="e">
        <f t="shared" ca="1" si="67"/>
        <v>#NAME?</v>
      </c>
      <c r="N97" s="40" t="e">
        <f ca="1">INT(M97) + _xll.RiskBinomial(1,M97-INT(M97))</f>
        <v>#NAME?</v>
      </c>
      <c r="O97" s="33" t="e">
        <f t="shared" ca="1" si="68"/>
        <v>#NAME?</v>
      </c>
      <c r="P97" s="38" t="e">
        <f ca="1">_xll.RiskBinomial(1,O97)</f>
        <v>#NAME?</v>
      </c>
      <c r="Q97" s="86" t="e">
        <f ca="1">IF(P97=1,_xll.RiskBinomial(1,Prob_illness_Noro_infection),0)</f>
        <v>#NAME?</v>
      </c>
      <c r="R97" s="33"/>
      <c r="S97" s="85" t="e">
        <f t="shared" ca="1" si="69"/>
        <v>#NAME?</v>
      </c>
      <c r="T97" s="40" t="e">
        <f ca="1">INT(S97) + _xll.RiskBinomial(1,S97-INT(S97))</f>
        <v>#NAME?</v>
      </c>
      <c r="U97" s="33" t="e">
        <f t="shared" ca="1" si="70"/>
        <v>#NAME?</v>
      </c>
      <c r="V97" s="38" t="e">
        <f ca="1">_xll.RiskBinomial(1,U97)</f>
        <v>#NAME?</v>
      </c>
      <c r="W97" s="86" t="e">
        <f ca="1">IF(V97=1,_xll.RiskBinomial(1,Prob_illness_Noro_infection),0)</f>
        <v>#NAME?</v>
      </c>
      <c r="X97" s="33"/>
      <c r="Y97" s="85" t="e">
        <f t="shared" ca="1" si="71"/>
        <v>#NAME?</v>
      </c>
      <c r="Z97" s="40" t="e">
        <f ca="1">INT(Y97) + _xll.RiskBinomial(1,Y97-INT(Y97))</f>
        <v>#NAME?</v>
      </c>
      <c r="AA97" s="33" t="e">
        <f t="shared" ca="1" si="72"/>
        <v>#NAME?</v>
      </c>
      <c r="AB97" s="38" t="e">
        <f ca="1">_xll.RiskBinomial(1,AA97)</f>
        <v>#NAME?</v>
      </c>
      <c r="AC97" s="86" t="e">
        <f ca="1">IF(AB97=1,_xll.RiskBinomial(1,Prob_illness_Noro_infection),0)</f>
        <v>#NAME?</v>
      </c>
      <c r="AD97" s="33"/>
      <c r="AE97" s="85" t="e">
        <f t="shared" ca="1" si="73"/>
        <v>#NAME?</v>
      </c>
      <c r="AF97" s="40" t="e">
        <f ca="1">INT(AE97) + _xll.RiskBinomial(1,AE97-INT(AE97))</f>
        <v>#NAME?</v>
      </c>
      <c r="AG97" s="33" t="e">
        <f t="shared" ca="1" si="74"/>
        <v>#NAME?</v>
      </c>
      <c r="AH97" s="38" t="e">
        <f ca="1">_xll.RiskBinomial(1,AG97)</f>
        <v>#NAME?</v>
      </c>
      <c r="AI97" s="86" t="e">
        <f ca="1">IF(AH97=1,_xll.RiskBinomial(1,Prob_illness_Noro_infection),0)</f>
        <v>#NAME?</v>
      </c>
      <c r="AJ97" s="33"/>
      <c r="AK97" s="85" t="e">
        <f t="shared" ca="1" si="75"/>
        <v>#NAME?</v>
      </c>
      <c r="AL97" s="40" t="e">
        <f ca="1">INT(AK97) + _xll.RiskBinomial(1,AK97-INT(AK97))</f>
        <v>#NAME?</v>
      </c>
      <c r="AM97" s="33" t="e">
        <f t="shared" ca="1" si="76"/>
        <v>#NAME?</v>
      </c>
      <c r="AN97" s="38" t="e">
        <f ca="1">_xll.RiskBinomial(1,AM97)</f>
        <v>#NAME?</v>
      </c>
      <c r="AO97" s="86" t="e">
        <f ca="1">IF(AN97=1,_xll.RiskBinomial(1,Prob_illness_Noro_infection),0)</f>
        <v>#NAME?</v>
      </c>
      <c r="AP97" s="33"/>
      <c r="AQ97" s="85" t="e">
        <f t="shared" ca="1" si="77"/>
        <v>#NAME?</v>
      </c>
      <c r="AR97" s="40" t="e">
        <f ca="1">INT(AQ97) + _xll.RiskBinomial(1,AQ97-INT(AQ97))</f>
        <v>#NAME?</v>
      </c>
      <c r="AS97" s="33" t="e">
        <f t="shared" ca="1" si="78"/>
        <v>#NAME?</v>
      </c>
      <c r="AT97" s="38" t="e">
        <f ca="1">_xll.RiskBinomial(1,AS97)</f>
        <v>#NAME?</v>
      </c>
      <c r="AU97" s="86" t="e">
        <f ca="1">IF(AT97=1,_xll.RiskBinomial(1,Prob_illness_Noro_infection),0)</f>
        <v>#NAME?</v>
      </c>
      <c r="AV97" s="33"/>
      <c r="AW97" s="85" t="e">
        <f t="shared" ca="1" si="106"/>
        <v>#NAME?</v>
      </c>
      <c r="AX97" s="40" t="e">
        <f ca="1">INT(AW97) + _xll.RiskBinomial(1,AW97-INT(AW97))</f>
        <v>#NAME?</v>
      </c>
      <c r="AY97" s="33" t="e">
        <f t="shared" ca="1" si="79"/>
        <v>#NAME?</v>
      </c>
      <c r="AZ97" s="38" t="e">
        <f ca="1">_xll.RiskBinomial(1,AY97)</f>
        <v>#NAME?</v>
      </c>
      <c r="BA97" s="86" t="e">
        <f ca="1">IF(AZ97=1,_xll.RiskBinomial(1,Prob_illness_Noro_infection),0)</f>
        <v>#NAME?</v>
      </c>
      <c r="BC97" s="85" t="e">
        <f t="shared" ca="1" si="107"/>
        <v>#NAME?</v>
      </c>
      <c r="BD97" s="40" t="e">
        <f ca="1">INT(BC97) + _xll.RiskBinomial(1,BC97-INT(BC97))</f>
        <v>#NAME?</v>
      </c>
      <c r="BE97" s="33" t="e">
        <f t="shared" ca="1" si="80"/>
        <v>#NAME?</v>
      </c>
      <c r="BF97" s="38" t="e">
        <f ca="1">_xll.RiskBinomial(1,BE97)</f>
        <v>#NAME?</v>
      </c>
      <c r="BG97" s="86" t="e">
        <f ca="1">IF(BF97=1,_xll.RiskBinomial(1,Prob_illness_Noro_infection),0)</f>
        <v>#NAME?</v>
      </c>
      <c r="BI97" s="85" t="e">
        <f t="shared" ca="1" si="108"/>
        <v>#NAME?</v>
      </c>
      <c r="BJ97" s="40" t="e">
        <f ca="1">INT(BI97) + _xll.RiskBinomial(1,BI97-INT(BI97))</f>
        <v>#NAME?</v>
      </c>
      <c r="BK97" s="33" t="e">
        <f t="shared" ca="1" si="81"/>
        <v>#NAME?</v>
      </c>
      <c r="BL97" s="38" t="e">
        <f ca="1">_xll.RiskBinomial(1,BK97)</f>
        <v>#NAME?</v>
      </c>
      <c r="BM97" s="86" t="e">
        <f ca="1">IF(BL97=1,_xll.RiskBinomial(1,Prob_illness_Noro_infection),0)</f>
        <v>#NAME?</v>
      </c>
      <c r="BO97" s="85" t="e">
        <f t="shared" ca="1" si="109"/>
        <v>#NAME?</v>
      </c>
      <c r="BP97" s="40" t="e">
        <f ca="1">INT(BO97) + _xll.RiskBinomial(1,BO97-INT(BO97))</f>
        <v>#NAME?</v>
      </c>
      <c r="BQ97" s="33" t="e">
        <f t="shared" ca="1" si="82"/>
        <v>#NAME?</v>
      </c>
      <c r="BR97" s="38" t="e">
        <f ca="1">_xll.RiskBinomial(1,BQ97)</f>
        <v>#NAME?</v>
      </c>
      <c r="BS97" s="86" t="e">
        <f ca="1">IF(BR97=1,_xll.RiskBinomial(1,Prob_illness_Noro_infection),0)</f>
        <v>#NAME?</v>
      </c>
      <c r="BU97" s="85" t="e">
        <f t="shared" ca="1" si="110"/>
        <v>#NAME?</v>
      </c>
      <c r="BV97" s="40" t="e">
        <f ca="1">INT(BU97) + _xll.RiskBinomial(1,BU97-INT(BU97))</f>
        <v>#NAME?</v>
      </c>
      <c r="BW97" s="33" t="e">
        <f t="shared" ca="1" si="83"/>
        <v>#NAME?</v>
      </c>
      <c r="BX97" s="38" t="e">
        <f ca="1">_xll.RiskBinomial(1,BW97)</f>
        <v>#NAME?</v>
      </c>
      <c r="BY97" s="86" t="e">
        <f ca="1">IF(BX97=1,_xll.RiskBinomial(1,Prob_illness_Noro_infection),0)</f>
        <v>#NAME?</v>
      </c>
      <c r="CA97" s="85" t="e">
        <f t="shared" ca="1" si="111"/>
        <v>#NAME?</v>
      </c>
      <c r="CB97" s="40" t="e">
        <f ca="1">INT(CA97) + _xll.RiskBinomial(1,CA97-INT(CA97))</f>
        <v>#NAME?</v>
      </c>
      <c r="CC97" s="33" t="e">
        <f t="shared" ca="1" si="84"/>
        <v>#NAME?</v>
      </c>
      <c r="CD97" s="38" t="e">
        <f ca="1">_xll.RiskBinomial(1,CC97)</f>
        <v>#NAME?</v>
      </c>
      <c r="CE97" s="86" t="e">
        <f ca="1">IF(CD97=1,_xll.RiskBinomial(1,Prob_illness_Noro_infection),0)</f>
        <v>#NAME?</v>
      </c>
      <c r="CG97" s="85" t="e">
        <f t="shared" ca="1" si="112"/>
        <v>#NAME?</v>
      </c>
      <c r="CH97" s="40" t="e">
        <f ca="1">INT(CG97) + _xll.RiskBinomial(1,CG97-INT(CG97))</f>
        <v>#NAME?</v>
      </c>
      <c r="CI97" s="33" t="e">
        <f t="shared" ca="1" si="85"/>
        <v>#NAME?</v>
      </c>
      <c r="CJ97" s="38" t="e">
        <f ca="1">_xll.RiskBinomial(1,CI97)</f>
        <v>#NAME?</v>
      </c>
      <c r="CK97" s="86" t="e">
        <f ca="1">IF(CJ97=1,_xll.RiskBinomial(1,Prob_illness_Noro_infection),0)</f>
        <v>#NAME?</v>
      </c>
      <c r="CM97" s="85" t="e">
        <f t="shared" ca="1" si="113"/>
        <v>#NAME?</v>
      </c>
      <c r="CN97" s="40" t="e">
        <f ca="1">INT(CM97) + _xll.RiskBinomial(1,CM97-INT(CM97))</f>
        <v>#NAME?</v>
      </c>
      <c r="CO97" s="33" t="e">
        <f t="shared" ca="1" si="86"/>
        <v>#NAME?</v>
      </c>
      <c r="CP97" s="38" t="e">
        <f ca="1">_xll.RiskBinomial(1,CO97)</f>
        <v>#NAME?</v>
      </c>
      <c r="CQ97" s="86" t="e">
        <f ca="1">IF(CP97=1,_xll.RiskBinomial(1,Prob_illness_Noro_infection),0)</f>
        <v>#NAME?</v>
      </c>
      <c r="CS97" s="85" t="e">
        <f t="shared" ca="1" si="114"/>
        <v>#NAME?</v>
      </c>
      <c r="CT97" s="40" t="e">
        <f ca="1">INT(CS97) + _xll.RiskBinomial(1,CS97-INT(CS97))</f>
        <v>#NAME?</v>
      </c>
      <c r="CU97" s="33" t="e">
        <f t="shared" ca="1" si="87"/>
        <v>#NAME?</v>
      </c>
      <c r="CV97" s="38" t="e">
        <f ca="1">_xll.RiskBinomial(1,CU97)</f>
        <v>#NAME?</v>
      </c>
      <c r="CW97" s="86" t="e">
        <f ca="1">IF(CV97=1,_xll.RiskBinomial(1,Prob_illness_Noro_infection),0)</f>
        <v>#NAME?</v>
      </c>
      <c r="CY97" s="85" t="e">
        <f t="shared" ca="1" si="115"/>
        <v>#NAME?</v>
      </c>
      <c r="CZ97" s="40" t="e">
        <f ca="1">INT(CY97) + _xll.RiskBinomial(1,CY97-INT(CY97))</f>
        <v>#NAME?</v>
      </c>
      <c r="DA97" s="33" t="e">
        <f t="shared" ca="1" si="88"/>
        <v>#NAME?</v>
      </c>
      <c r="DB97" s="38" t="e">
        <f ca="1">_xll.RiskBinomial(1,DA97)</f>
        <v>#NAME?</v>
      </c>
      <c r="DC97" s="86" t="e">
        <f ca="1">IF(DB97=1,_xll.RiskBinomial(1,Prob_illness_Noro_infection),0)</f>
        <v>#NAME?</v>
      </c>
      <c r="DE97" s="85" t="e">
        <f t="shared" ca="1" si="116"/>
        <v>#NAME?</v>
      </c>
      <c r="DF97" s="40" t="e">
        <f ca="1">INT(DE97) + _xll.RiskBinomial(1,DE97-INT(DE97))</f>
        <v>#NAME?</v>
      </c>
      <c r="DG97" s="33" t="e">
        <f t="shared" ca="1" si="89"/>
        <v>#NAME?</v>
      </c>
      <c r="DH97" s="38" t="e">
        <f ca="1">_xll.RiskBinomial(1,DG97)</f>
        <v>#NAME?</v>
      </c>
      <c r="DI97" s="86" t="e">
        <f ca="1">IF(DH97=1,_xll.RiskBinomial(1,Prob_illness_Noro_infection),0)</f>
        <v>#NAME?</v>
      </c>
      <c r="DK97" s="85" t="e">
        <f t="shared" ca="1" si="117"/>
        <v>#NAME?</v>
      </c>
      <c r="DL97" s="40" t="e">
        <f ca="1">INT(DK97) + _xll.RiskBinomial(1,DK97-INT(DK97))</f>
        <v>#NAME?</v>
      </c>
      <c r="DM97" s="33" t="e">
        <f t="shared" ca="1" si="90"/>
        <v>#NAME?</v>
      </c>
      <c r="DN97" s="38" t="e">
        <f ca="1">_xll.RiskBinomial(1,DM97)</f>
        <v>#NAME?</v>
      </c>
      <c r="DO97" s="86" t="e">
        <f ca="1">IF(DN97=1,_xll.RiskBinomial(1,Prob_illness_Noro_infection),0)</f>
        <v>#NAME?</v>
      </c>
      <c r="DQ97" s="85" t="e">
        <f t="shared" ca="1" si="118"/>
        <v>#NAME?</v>
      </c>
      <c r="DR97" s="40" t="e">
        <f ca="1">INT(DQ97) + _xll.RiskBinomial(1,DQ97-INT(DQ97))</f>
        <v>#NAME?</v>
      </c>
      <c r="DS97" s="33" t="e">
        <f t="shared" ca="1" si="91"/>
        <v>#NAME?</v>
      </c>
      <c r="DT97" s="38" t="e">
        <f ca="1">_xll.RiskBinomial(1,DS97)</f>
        <v>#NAME?</v>
      </c>
      <c r="DU97" s="86" t="e">
        <f ca="1">IF(DT97=1,_xll.RiskBinomial(1,Prob_illness_Noro_infection),0)</f>
        <v>#NAME?</v>
      </c>
      <c r="DW97" s="85" t="e">
        <f t="shared" ca="1" si="119"/>
        <v>#NAME?</v>
      </c>
      <c r="DX97" s="40" t="e">
        <f ca="1">INT(DW97) + _xll.RiskBinomial(1,DW97-INT(DW97))</f>
        <v>#NAME?</v>
      </c>
      <c r="DY97" s="33" t="e">
        <f t="shared" ca="1" si="92"/>
        <v>#NAME?</v>
      </c>
      <c r="DZ97" s="38" t="e">
        <f ca="1">_xll.RiskBinomial(1,DY97)</f>
        <v>#NAME?</v>
      </c>
      <c r="EA97" s="86" t="e">
        <f ca="1">IF(DZ97=1,_xll.RiskBinomial(1,Prob_illness_Noro_infection),0)</f>
        <v>#NAME?</v>
      </c>
      <c r="EC97" s="85" t="e">
        <f t="shared" ca="1" si="120"/>
        <v>#NAME?</v>
      </c>
      <c r="ED97" s="40" t="e">
        <f ca="1">INT(EC97) + _xll.RiskBinomial(1,EC97-INT(EC97))</f>
        <v>#NAME?</v>
      </c>
      <c r="EE97" s="33" t="e">
        <f t="shared" ca="1" si="93"/>
        <v>#NAME?</v>
      </c>
      <c r="EF97" s="38" t="e">
        <f ca="1">_xll.RiskBinomial(1,EE97)</f>
        <v>#NAME?</v>
      </c>
      <c r="EG97" s="86" t="e">
        <f ca="1">IF(EF97=1,_xll.RiskBinomial(1,Prob_illness_Noro_infection),0)</f>
        <v>#NAME?</v>
      </c>
      <c r="EI97" s="85" t="e">
        <f t="shared" ca="1" si="121"/>
        <v>#NAME?</v>
      </c>
      <c r="EJ97" s="40" t="e">
        <f ca="1">INT(EI97) + _xll.RiskBinomial(1,EI97-INT(EI97))</f>
        <v>#NAME?</v>
      </c>
      <c r="EK97" s="33" t="e">
        <f t="shared" ca="1" si="94"/>
        <v>#NAME?</v>
      </c>
      <c r="EL97" s="38" t="e">
        <f ca="1">_xll.RiskBinomial(1,EK97)</f>
        <v>#NAME?</v>
      </c>
      <c r="EM97" s="86" t="e">
        <f ca="1">IF(EL97=1,_xll.RiskBinomial(1,Prob_illness_Noro_infection),0)</f>
        <v>#NAME?</v>
      </c>
      <c r="EO97" s="85" t="e">
        <f t="shared" ca="1" si="122"/>
        <v>#NAME?</v>
      </c>
      <c r="EP97" s="40" t="e">
        <f ca="1">INT(EO97) + _xll.RiskBinomial(1,EO97-INT(EO97))</f>
        <v>#NAME?</v>
      </c>
      <c r="EQ97" s="33" t="e">
        <f t="shared" ca="1" si="95"/>
        <v>#NAME?</v>
      </c>
      <c r="ER97" s="38" t="e">
        <f ca="1">_xll.RiskBinomial(1,EQ97)</f>
        <v>#NAME?</v>
      </c>
      <c r="ES97" s="86" t="e">
        <f ca="1">IF(ER97=1,_xll.RiskBinomial(1,Prob_illness_Noro_infection),0)</f>
        <v>#NAME?</v>
      </c>
      <c r="EU97" s="85" t="e">
        <f t="shared" ca="1" si="123"/>
        <v>#NAME?</v>
      </c>
      <c r="EV97" s="40" t="e">
        <f ca="1">INT(EU97) + _xll.RiskBinomial(1,EU97-INT(EU97))</f>
        <v>#NAME?</v>
      </c>
      <c r="EW97" s="33" t="e">
        <f t="shared" ca="1" si="96"/>
        <v>#NAME?</v>
      </c>
      <c r="EX97" s="38" t="e">
        <f ca="1">_xll.RiskBinomial(1,EW97)</f>
        <v>#NAME?</v>
      </c>
      <c r="EY97" s="86" t="e">
        <f ca="1">IF(EX97=1,_xll.RiskBinomial(1,Prob_illness_Noro_infection),0)</f>
        <v>#NAME?</v>
      </c>
      <c r="FA97" s="85" t="e">
        <f t="shared" ca="1" si="124"/>
        <v>#NAME?</v>
      </c>
      <c r="FB97" s="40" t="e">
        <f ca="1">INT(FA97) + _xll.RiskBinomial(1,FA97-INT(FA97))</f>
        <v>#NAME?</v>
      </c>
      <c r="FC97" s="33" t="e">
        <f t="shared" ca="1" si="97"/>
        <v>#NAME?</v>
      </c>
      <c r="FD97" s="38" t="e">
        <f ca="1">_xll.RiskBinomial(1,FC97)</f>
        <v>#NAME?</v>
      </c>
      <c r="FE97" s="86" t="e">
        <f ca="1">IF(FD97=1,_xll.RiskBinomial(1,Prob_illness_Noro_infection),0)</f>
        <v>#NAME?</v>
      </c>
      <c r="FG97" s="85" t="e">
        <f t="shared" ca="1" si="125"/>
        <v>#NAME?</v>
      </c>
      <c r="FH97" s="40" t="e">
        <f ca="1">INT(FG97) + _xll.RiskBinomial(1,FG97-INT(FG97))</f>
        <v>#NAME?</v>
      </c>
      <c r="FI97" s="33" t="e">
        <f t="shared" ca="1" si="98"/>
        <v>#NAME?</v>
      </c>
      <c r="FJ97" s="38" t="e">
        <f ca="1">_xll.RiskBinomial(1,FI97)</f>
        <v>#NAME?</v>
      </c>
      <c r="FK97" s="86" t="e">
        <f ca="1">IF(FJ97=1,_xll.RiskBinomial(1,Prob_illness_Noro_infection),0)</f>
        <v>#NAME?</v>
      </c>
      <c r="FM97" s="85" t="e">
        <f t="shared" ca="1" si="126"/>
        <v>#NAME?</v>
      </c>
      <c r="FN97" s="40" t="e">
        <f ca="1">INT(FM97) + _xll.RiskBinomial(1,FM97-INT(FM97))</f>
        <v>#NAME?</v>
      </c>
      <c r="FO97" s="33" t="e">
        <f t="shared" ca="1" si="99"/>
        <v>#NAME?</v>
      </c>
      <c r="FP97" s="38" t="e">
        <f ca="1">_xll.RiskBinomial(1,FO97)</f>
        <v>#NAME?</v>
      </c>
      <c r="FQ97" s="86" t="e">
        <f ca="1">IF(FP97=1,_xll.RiskBinomial(1,Prob_illness_Noro_infection),0)</f>
        <v>#NAME?</v>
      </c>
      <c r="FS97" s="85" t="e">
        <f t="shared" ca="1" si="127"/>
        <v>#NAME?</v>
      </c>
      <c r="FT97" s="40" t="e">
        <f ca="1">INT(FS97) + _xll.RiskBinomial(1,FS97-INT(FS97))</f>
        <v>#NAME?</v>
      </c>
      <c r="FU97" s="33" t="e">
        <f t="shared" ca="1" si="100"/>
        <v>#NAME?</v>
      </c>
      <c r="FV97" s="38" t="e">
        <f ca="1">_xll.RiskBinomial(1,FU97)</f>
        <v>#NAME?</v>
      </c>
      <c r="FW97" s="86" t="e">
        <f ca="1">IF(FV97=1,_xll.RiskBinomial(1,Prob_illness_Noro_infection),0)</f>
        <v>#NAME?</v>
      </c>
      <c r="FY97" s="85" t="e">
        <f t="shared" ca="1" si="128"/>
        <v>#NAME?</v>
      </c>
      <c r="FZ97" s="40" t="e">
        <f ca="1">INT(FY97) + _xll.RiskBinomial(1,FY97-INT(FY97))</f>
        <v>#NAME?</v>
      </c>
      <c r="GA97" s="33" t="e">
        <f t="shared" ca="1" si="101"/>
        <v>#NAME?</v>
      </c>
      <c r="GB97" s="38" t="e">
        <f ca="1">_xll.RiskBinomial(1,GA97)</f>
        <v>#NAME?</v>
      </c>
      <c r="GC97" s="86" t="e">
        <f ca="1">IF(GB97=1,_xll.RiskBinomial(1,Prob_illness_Noro_infection),0)</f>
        <v>#NAME?</v>
      </c>
      <c r="GE97" s="85" t="e">
        <f t="shared" ca="1" si="129"/>
        <v>#NAME?</v>
      </c>
      <c r="GF97" s="40" t="e">
        <f ca="1">INT(GE97) + _xll.RiskBinomial(1,GE97-INT(GE97))</f>
        <v>#NAME?</v>
      </c>
      <c r="GG97" s="33" t="e">
        <f t="shared" ca="1" si="102"/>
        <v>#NAME?</v>
      </c>
      <c r="GH97" s="38" t="e">
        <f ca="1">_xll.RiskBinomial(1,GG97)</f>
        <v>#NAME?</v>
      </c>
      <c r="GI97" s="86" t="e">
        <f ca="1">IF(GH97=1,_xll.RiskBinomial(1,Prob_illness_Noro_infection),0)</f>
        <v>#NAME?</v>
      </c>
      <c r="GK97" s="85" t="e">
        <f t="shared" ca="1" si="130"/>
        <v>#NAME?</v>
      </c>
      <c r="GL97" s="40" t="e">
        <f ca="1">INT(GK97) + _xll.RiskBinomial(1,GK97-INT(GK97))</f>
        <v>#NAME?</v>
      </c>
      <c r="GM97" s="33" t="e">
        <f t="shared" ca="1" si="103"/>
        <v>#NAME?</v>
      </c>
      <c r="GN97" s="38" t="e">
        <f ca="1">_xll.RiskBinomial(1,GM97)</f>
        <v>#NAME?</v>
      </c>
      <c r="GO97" s="86" t="e">
        <f ca="1">IF(GN97=1,_xll.RiskBinomial(1,Prob_illness_Noro_infection),0)</f>
        <v>#NAME?</v>
      </c>
    </row>
    <row r="98" spans="2:197" x14ac:dyDescent="0.25">
      <c r="B98" s="106">
        <v>90</v>
      </c>
      <c r="C98" s="109" t="e">
        <f ca="1" xml:space="preserve"> _xll.RiskPert(Dur_Swim_hours_min,Dur_Swim_hours_mode,Dur_Swim_hours_max)</f>
        <v>#NAME?</v>
      </c>
      <c r="D98" s="33" t="e">
        <f ca="1">_xll.RiskLognorm(Primary_Ing_Rate_mL_per_hour_mean,Primary_Ing_Rate_mL_per_hour_sd, _xll.RiskTruncate(Primary_Ing_Rate_mL_per_hour_min,Primary_Ing_Rate_mL_per_hour_max))</f>
        <v>#NAME?</v>
      </c>
      <c r="E98" s="41" t="e">
        <f t="shared" ca="1" si="104"/>
        <v>#NAME?</v>
      </c>
      <c r="F98" s="33"/>
      <c r="G98" s="85" t="e">
        <f t="shared" ca="1" si="105"/>
        <v>#NAME?</v>
      </c>
      <c r="H98" s="40" t="e">
        <f ca="1">INT(G98) + _xll.RiskBinomial(1,G98-INT(G98))</f>
        <v>#NAME?</v>
      </c>
      <c r="I98" s="33" t="e">
        <f t="shared" ca="1" si="66"/>
        <v>#NAME?</v>
      </c>
      <c r="J98" s="38" t="e">
        <f ca="1">_xll.RiskBinomial(1,I98)</f>
        <v>#NAME?</v>
      </c>
      <c r="K98" s="86" t="e">
        <f ca="1">IF(J98=1,_xll.RiskBinomial(1,Prob_illness_Noro_infection),0)</f>
        <v>#NAME?</v>
      </c>
      <c r="L98" s="33"/>
      <c r="M98" s="85" t="e">
        <f t="shared" ca="1" si="67"/>
        <v>#NAME?</v>
      </c>
      <c r="N98" s="40" t="e">
        <f ca="1">INT(M98) + _xll.RiskBinomial(1,M98-INT(M98))</f>
        <v>#NAME?</v>
      </c>
      <c r="O98" s="33" t="e">
        <f t="shared" ca="1" si="68"/>
        <v>#NAME?</v>
      </c>
      <c r="P98" s="38" t="e">
        <f ca="1">_xll.RiskBinomial(1,O98)</f>
        <v>#NAME?</v>
      </c>
      <c r="Q98" s="86" t="e">
        <f ca="1">IF(P98=1,_xll.RiskBinomial(1,Prob_illness_Noro_infection),0)</f>
        <v>#NAME?</v>
      </c>
      <c r="R98" s="33"/>
      <c r="S98" s="85" t="e">
        <f t="shared" ca="1" si="69"/>
        <v>#NAME?</v>
      </c>
      <c r="T98" s="40" t="e">
        <f ca="1">INT(S98) + _xll.RiskBinomial(1,S98-INT(S98))</f>
        <v>#NAME?</v>
      </c>
      <c r="U98" s="33" t="e">
        <f t="shared" ca="1" si="70"/>
        <v>#NAME?</v>
      </c>
      <c r="V98" s="38" t="e">
        <f ca="1">_xll.RiskBinomial(1,U98)</f>
        <v>#NAME?</v>
      </c>
      <c r="W98" s="86" t="e">
        <f ca="1">IF(V98=1,_xll.RiskBinomial(1,Prob_illness_Noro_infection),0)</f>
        <v>#NAME?</v>
      </c>
      <c r="X98" s="33"/>
      <c r="Y98" s="85" t="e">
        <f t="shared" ca="1" si="71"/>
        <v>#NAME?</v>
      </c>
      <c r="Z98" s="40" t="e">
        <f ca="1">INT(Y98) + _xll.RiskBinomial(1,Y98-INT(Y98))</f>
        <v>#NAME?</v>
      </c>
      <c r="AA98" s="33" t="e">
        <f t="shared" ca="1" si="72"/>
        <v>#NAME?</v>
      </c>
      <c r="AB98" s="38" t="e">
        <f ca="1">_xll.RiskBinomial(1,AA98)</f>
        <v>#NAME?</v>
      </c>
      <c r="AC98" s="86" t="e">
        <f ca="1">IF(AB98=1,_xll.RiskBinomial(1,Prob_illness_Noro_infection),0)</f>
        <v>#NAME?</v>
      </c>
      <c r="AD98" s="33"/>
      <c r="AE98" s="85" t="e">
        <f t="shared" ca="1" si="73"/>
        <v>#NAME?</v>
      </c>
      <c r="AF98" s="40" t="e">
        <f ca="1">INT(AE98) + _xll.RiskBinomial(1,AE98-INT(AE98))</f>
        <v>#NAME?</v>
      </c>
      <c r="AG98" s="33" t="e">
        <f t="shared" ca="1" si="74"/>
        <v>#NAME?</v>
      </c>
      <c r="AH98" s="38" t="e">
        <f ca="1">_xll.RiskBinomial(1,AG98)</f>
        <v>#NAME?</v>
      </c>
      <c r="AI98" s="86" t="e">
        <f ca="1">IF(AH98=1,_xll.RiskBinomial(1,Prob_illness_Noro_infection),0)</f>
        <v>#NAME?</v>
      </c>
      <c r="AJ98" s="33"/>
      <c r="AK98" s="85" t="e">
        <f t="shared" ca="1" si="75"/>
        <v>#NAME?</v>
      </c>
      <c r="AL98" s="40" t="e">
        <f ca="1">INT(AK98) + _xll.RiskBinomial(1,AK98-INT(AK98))</f>
        <v>#NAME?</v>
      </c>
      <c r="AM98" s="33" t="e">
        <f t="shared" ca="1" si="76"/>
        <v>#NAME?</v>
      </c>
      <c r="AN98" s="38" t="e">
        <f ca="1">_xll.RiskBinomial(1,AM98)</f>
        <v>#NAME?</v>
      </c>
      <c r="AO98" s="86" t="e">
        <f ca="1">IF(AN98=1,_xll.RiskBinomial(1,Prob_illness_Noro_infection),0)</f>
        <v>#NAME?</v>
      </c>
      <c r="AP98" s="33"/>
      <c r="AQ98" s="85" t="e">
        <f t="shared" ca="1" si="77"/>
        <v>#NAME?</v>
      </c>
      <c r="AR98" s="40" t="e">
        <f ca="1">INT(AQ98) + _xll.RiskBinomial(1,AQ98-INT(AQ98))</f>
        <v>#NAME?</v>
      </c>
      <c r="AS98" s="33" t="e">
        <f t="shared" ca="1" si="78"/>
        <v>#NAME?</v>
      </c>
      <c r="AT98" s="38" t="e">
        <f ca="1">_xll.RiskBinomial(1,AS98)</f>
        <v>#NAME?</v>
      </c>
      <c r="AU98" s="86" t="e">
        <f ca="1">IF(AT98=1,_xll.RiskBinomial(1,Prob_illness_Noro_infection),0)</f>
        <v>#NAME?</v>
      </c>
      <c r="AV98" s="33"/>
      <c r="AW98" s="85" t="e">
        <f t="shared" ca="1" si="106"/>
        <v>#NAME?</v>
      </c>
      <c r="AX98" s="40" t="e">
        <f ca="1">INT(AW98) + _xll.RiskBinomial(1,AW98-INT(AW98))</f>
        <v>#NAME?</v>
      </c>
      <c r="AY98" s="33" t="e">
        <f t="shared" ca="1" si="79"/>
        <v>#NAME?</v>
      </c>
      <c r="AZ98" s="38" t="e">
        <f ca="1">_xll.RiskBinomial(1,AY98)</f>
        <v>#NAME?</v>
      </c>
      <c r="BA98" s="86" t="e">
        <f ca="1">IF(AZ98=1,_xll.RiskBinomial(1,Prob_illness_Noro_infection),0)</f>
        <v>#NAME?</v>
      </c>
      <c r="BC98" s="85" t="e">
        <f t="shared" ca="1" si="107"/>
        <v>#NAME?</v>
      </c>
      <c r="BD98" s="40" t="e">
        <f ca="1">INT(BC98) + _xll.RiskBinomial(1,BC98-INT(BC98))</f>
        <v>#NAME?</v>
      </c>
      <c r="BE98" s="33" t="e">
        <f t="shared" ca="1" si="80"/>
        <v>#NAME?</v>
      </c>
      <c r="BF98" s="38" t="e">
        <f ca="1">_xll.RiskBinomial(1,BE98)</f>
        <v>#NAME?</v>
      </c>
      <c r="BG98" s="86" t="e">
        <f ca="1">IF(BF98=1,_xll.RiskBinomial(1,Prob_illness_Noro_infection),0)</f>
        <v>#NAME?</v>
      </c>
      <c r="BI98" s="85" t="e">
        <f t="shared" ca="1" si="108"/>
        <v>#NAME?</v>
      </c>
      <c r="BJ98" s="40" t="e">
        <f ca="1">INT(BI98) + _xll.RiskBinomial(1,BI98-INT(BI98))</f>
        <v>#NAME?</v>
      </c>
      <c r="BK98" s="33" t="e">
        <f t="shared" ca="1" si="81"/>
        <v>#NAME?</v>
      </c>
      <c r="BL98" s="38" t="e">
        <f ca="1">_xll.RiskBinomial(1,BK98)</f>
        <v>#NAME?</v>
      </c>
      <c r="BM98" s="86" t="e">
        <f ca="1">IF(BL98=1,_xll.RiskBinomial(1,Prob_illness_Noro_infection),0)</f>
        <v>#NAME?</v>
      </c>
      <c r="BO98" s="85" t="e">
        <f t="shared" ca="1" si="109"/>
        <v>#NAME?</v>
      </c>
      <c r="BP98" s="40" t="e">
        <f ca="1">INT(BO98) + _xll.RiskBinomial(1,BO98-INT(BO98))</f>
        <v>#NAME?</v>
      </c>
      <c r="BQ98" s="33" t="e">
        <f t="shared" ca="1" si="82"/>
        <v>#NAME?</v>
      </c>
      <c r="BR98" s="38" t="e">
        <f ca="1">_xll.RiskBinomial(1,BQ98)</f>
        <v>#NAME?</v>
      </c>
      <c r="BS98" s="86" t="e">
        <f ca="1">IF(BR98=1,_xll.RiskBinomial(1,Prob_illness_Noro_infection),0)</f>
        <v>#NAME?</v>
      </c>
      <c r="BU98" s="85" t="e">
        <f t="shared" ca="1" si="110"/>
        <v>#NAME?</v>
      </c>
      <c r="BV98" s="40" t="e">
        <f ca="1">INT(BU98) + _xll.RiskBinomial(1,BU98-INT(BU98))</f>
        <v>#NAME?</v>
      </c>
      <c r="BW98" s="33" t="e">
        <f t="shared" ca="1" si="83"/>
        <v>#NAME?</v>
      </c>
      <c r="BX98" s="38" t="e">
        <f ca="1">_xll.RiskBinomial(1,BW98)</f>
        <v>#NAME?</v>
      </c>
      <c r="BY98" s="86" t="e">
        <f ca="1">IF(BX98=1,_xll.RiskBinomial(1,Prob_illness_Noro_infection),0)</f>
        <v>#NAME?</v>
      </c>
      <c r="CA98" s="85" t="e">
        <f t="shared" ca="1" si="111"/>
        <v>#NAME?</v>
      </c>
      <c r="CB98" s="40" t="e">
        <f ca="1">INT(CA98) + _xll.RiskBinomial(1,CA98-INT(CA98))</f>
        <v>#NAME?</v>
      </c>
      <c r="CC98" s="33" t="e">
        <f t="shared" ca="1" si="84"/>
        <v>#NAME?</v>
      </c>
      <c r="CD98" s="38" t="e">
        <f ca="1">_xll.RiskBinomial(1,CC98)</f>
        <v>#NAME?</v>
      </c>
      <c r="CE98" s="86" t="e">
        <f ca="1">IF(CD98=1,_xll.RiskBinomial(1,Prob_illness_Noro_infection),0)</f>
        <v>#NAME?</v>
      </c>
      <c r="CG98" s="85" t="e">
        <f t="shared" ca="1" si="112"/>
        <v>#NAME?</v>
      </c>
      <c r="CH98" s="40" t="e">
        <f ca="1">INT(CG98) + _xll.RiskBinomial(1,CG98-INT(CG98))</f>
        <v>#NAME?</v>
      </c>
      <c r="CI98" s="33" t="e">
        <f t="shared" ca="1" si="85"/>
        <v>#NAME?</v>
      </c>
      <c r="CJ98" s="38" t="e">
        <f ca="1">_xll.RiskBinomial(1,CI98)</f>
        <v>#NAME?</v>
      </c>
      <c r="CK98" s="86" t="e">
        <f ca="1">IF(CJ98=1,_xll.RiskBinomial(1,Prob_illness_Noro_infection),0)</f>
        <v>#NAME?</v>
      </c>
      <c r="CM98" s="85" t="e">
        <f t="shared" ca="1" si="113"/>
        <v>#NAME?</v>
      </c>
      <c r="CN98" s="40" t="e">
        <f ca="1">INT(CM98) + _xll.RiskBinomial(1,CM98-INT(CM98))</f>
        <v>#NAME?</v>
      </c>
      <c r="CO98" s="33" t="e">
        <f t="shared" ca="1" si="86"/>
        <v>#NAME?</v>
      </c>
      <c r="CP98" s="38" t="e">
        <f ca="1">_xll.RiskBinomial(1,CO98)</f>
        <v>#NAME?</v>
      </c>
      <c r="CQ98" s="86" t="e">
        <f ca="1">IF(CP98=1,_xll.RiskBinomial(1,Prob_illness_Noro_infection),0)</f>
        <v>#NAME?</v>
      </c>
      <c r="CS98" s="85" t="e">
        <f t="shared" ca="1" si="114"/>
        <v>#NAME?</v>
      </c>
      <c r="CT98" s="40" t="e">
        <f ca="1">INT(CS98) + _xll.RiskBinomial(1,CS98-INT(CS98))</f>
        <v>#NAME?</v>
      </c>
      <c r="CU98" s="33" t="e">
        <f t="shared" ca="1" si="87"/>
        <v>#NAME?</v>
      </c>
      <c r="CV98" s="38" t="e">
        <f ca="1">_xll.RiskBinomial(1,CU98)</f>
        <v>#NAME?</v>
      </c>
      <c r="CW98" s="86" t="e">
        <f ca="1">IF(CV98=1,_xll.RiskBinomial(1,Prob_illness_Noro_infection),0)</f>
        <v>#NAME?</v>
      </c>
      <c r="CY98" s="85" t="e">
        <f t="shared" ca="1" si="115"/>
        <v>#NAME?</v>
      </c>
      <c r="CZ98" s="40" t="e">
        <f ca="1">INT(CY98) + _xll.RiskBinomial(1,CY98-INT(CY98))</f>
        <v>#NAME?</v>
      </c>
      <c r="DA98" s="33" t="e">
        <f t="shared" ca="1" si="88"/>
        <v>#NAME?</v>
      </c>
      <c r="DB98" s="38" t="e">
        <f ca="1">_xll.RiskBinomial(1,DA98)</f>
        <v>#NAME?</v>
      </c>
      <c r="DC98" s="86" t="e">
        <f ca="1">IF(DB98=1,_xll.RiskBinomial(1,Prob_illness_Noro_infection),0)</f>
        <v>#NAME?</v>
      </c>
      <c r="DE98" s="85" t="e">
        <f t="shared" ca="1" si="116"/>
        <v>#NAME?</v>
      </c>
      <c r="DF98" s="40" t="e">
        <f ca="1">INT(DE98) + _xll.RiskBinomial(1,DE98-INT(DE98))</f>
        <v>#NAME?</v>
      </c>
      <c r="DG98" s="33" t="e">
        <f t="shared" ca="1" si="89"/>
        <v>#NAME?</v>
      </c>
      <c r="DH98" s="38" t="e">
        <f ca="1">_xll.RiskBinomial(1,DG98)</f>
        <v>#NAME?</v>
      </c>
      <c r="DI98" s="86" t="e">
        <f ca="1">IF(DH98=1,_xll.RiskBinomial(1,Prob_illness_Noro_infection),0)</f>
        <v>#NAME?</v>
      </c>
      <c r="DK98" s="85" t="e">
        <f t="shared" ca="1" si="117"/>
        <v>#NAME?</v>
      </c>
      <c r="DL98" s="40" t="e">
        <f ca="1">INT(DK98) + _xll.RiskBinomial(1,DK98-INT(DK98))</f>
        <v>#NAME?</v>
      </c>
      <c r="DM98" s="33" t="e">
        <f t="shared" ca="1" si="90"/>
        <v>#NAME?</v>
      </c>
      <c r="DN98" s="38" t="e">
        <f ca="1">_xll.RiskBinomial(1,DM98)</f>
        <v>#NAME?</v>
      </c>
      <c r="DO98" s="86" t="e">
        <f ca="1">IF(DN98=1,_xll.RiskBinomial(1,Prob_illness_Noro_infection),0)</f>
        <v>#NAME?</v>
      </c>
      <c r="DQ98" s="85" t="e">
        <f t="shared" ca="1" si="118"/>
        <v>#NAME?</v>
      </c>
      <c r="DR98" s="40" t="e">
        <f ca="1">INT(DQ98) + _xll.RiskBinomial(1,DQ98-INT(DQ98))</f>
        <v>#NAME?</v>
      </c>
      <c r="DS98" s="33" t="e">
        <f t="shared" ca="1" si="91"/>
        <v>#NAME?</v>
      </c>
      <c r="DT98" s="38" t="e">
        <f ca="1">_xll.RiskBinomial(1,DS98)</f>
        <v>#NAME?</v>
      </c>
      <c r="DU98" s="86" t="e">
        <f ca="1">IF(DT98=1,_xll.RiskBinomial(1,Prob_illness_Noro_infection),0)</f>
        <v>#NAME?</v>
      </c>
      <c r="DW98" s="85" t="e">
        <f t="shared" ca="1" si="119"/>
        <v>#NAME?</v>
      </c>
      <c r="DX98" s="40" t="e">
        <f ca="1">INT(DW98) + _xll.RiskBinomial(1,DW98-INT(DW98))</f>
        <v>#NAME?</v>
      </c>
      <c r="DY98" s="33" t="e">
        <f t="shared" ca="1" si="92"/>
        <v>#NAME?</v>
      </c>
      <c r="DZ98" s="38" t="e">
        <f ca="1">_xll.RiskBinomial(1,DY98)</f>
        <v>#NAME?</v>
      </c>
      <c r="EA98" s="86" t="e">
        <f ca="1">IF(DZ98=1,_xll.RiskBinomial(1,Prob_illness_Noro_infection),0)</f>
        <v>#NAME?</v>
      </c>
      <c r="EC98" s="85" t="e">
        <f t="shared" ca="1" si="120"/>
        <v>#NAME?</v>
      </c>
      <c r="ED98" s="40" t="e">
        <f ca="1">INT(EC98) + _xll.RiskBinomial(1,EC98-INT(EC98))</f>
        <v>#NAME?</v>
      </c>
      <c r="EE98" s="33" t="e">
        <f t="shared" ca="1" si="93"/>
        <v>#NAME?</v>
      </c>
      <c r="EF98" s="38" t="e">
        <f ca="1">_xll.RiskBinomial(1,EE98)</f>
        <v>#NAME?</v>
      </c>
      <c r="EG98" s="86" t="e">
        <f ca="1">IF(EF98=1,_xll.RiskBinomial(1,Prob_illness_Noro_infection),0)</f>
        <v>#NAME?</v>
      </c>
      <c r="EI98" s="85" t="e">
        <f t="shared" ca="1" si="121"/>
        <v>#NAME?</v>
      </c>
      <c r="EJ98" s="40" t="e">
        <f ca="1">INT(EI98) + _xll.RiskBinomial(1,EI98-INT(EI98))</f>
        <v>#NAME?</v>
      </c>
      <c r="EK98" s="33" t="e">
        <f t="shared" ca="1" si="94"/>
        <v>#NAME?</v>
      </c>
      <c r="EL98" s="38" t="e">
        <f ca="1">_xll.RiskBinomial(1,EK98)</f>
        <v>#NAME?</v>
      </c>
      <c r="EM98" s="86" t="e">
        <f ca="1">IF(EL98=1,_xll.RiskBinomial(1,Prob_illness_Noro_infection),0)</f>
        <v>#NAME?</v>
      </c>
      <c r="EO98" s="85" t="e">
        <f t="shared" ca="1" si="122"/>
        <v>#NAME?</v>
      </c>
      <c r="EP98" s="40" t="e">
        <f ca="1">INT(EO98) + _xll.RiskBinomial(1,EO98-INT(EO98))</f>
        <v>#NAME?</v>
      </c>
      <c r="EQ98" s="33" t="e">
        <f t="shared" ca="1" si="95"/>
        <v>#NAME?</v>
      </c>
      <c r="ER98" s="38" t="e">
        <f ca="1">_xll.RiskBinomial(1,EQ98)</f>
        <v>#NAME?</v>
      </c>
      <c r="ES98" s="86" t="e">
        <f ca="1">IF(ER98=1,_xll.RiskBinomial(1,Prob_illness_Noro_infection),0)</f>
        <v>#NAME?</v>
      </c>
      <c r="EU98" s="85" t="e">
        <f t="shared" ca="1" si="123"/>
        <v>#NAME?</v>
      </c>
      <c r="EV98" s="40" t="e">
        <f ca="1">INT(EU98) + _xll.RiskBinomial(1,EU98-INT(EU98))</f>
        <v>#NAME?</v>
      </c>
      <c r="EW98" s="33" t="e">
        <f t="shared" ca="1" si="96"/>
        <v>#NAME?</v>
      </c>
      <c r="EX98" s="38" t="e">
        <f ca="1">_xll.RiskBinomial(1,EW98)</f>
        <v>#NAME?</v>
      </c>
      <c r="EY98" s="86" t="e">
        <f ca="1">IF(EX98=1,_xll.RiskBinomial(1,Prob_illness_Noro_infection),0)</f>
        <v>#NAME?</v>
      </c>
      <c r="FA98" s="85" t="e">
        <f t="shared" ca="1" si="124"/>
        <v>#NAME?</v>
      </c>
      <c r="FB98" s="40" t="e">
        <f ca="1">INT(FA98) + _xll.RiskBinomial(1,FA98-INT(FA98))</f>
        <v>#NAME?</v>
      </c>
      <c r="FC98" s="33" t="e">
        <f t="shared" ca="1" si="97"/>
        <v>#NAME?</v>
      </c>
      <c r="FD98" s="38" t="e">
        <f ca="1">_xll.RiskBinomial(1,FC98)</f>
        <v>#NAME?</v>
      </c>
      <c r="FE98" s="86" t="e">
        <f ca="1">IF(FD98=1,_xll.RiskBinomial(1,Prob_illness_Noro_infection),0)</f>
        <v>#NAME?</v>
      </c>
      <c r="FG98" s="85" t="e">
        <f t="shared" ca="1" si="125"/>
        <v>#NAME?</v>
      </c>
      <c r="FH98" s="40" t="e">
        <f ca="1">INT(FG98) + _xll.RiskBinomial(1,FG98-INT(FG98))</f>
        <v>#NAME?</v>
      </c>
      <c r="FI98" s="33" t="e">
        <f t="shared" ca="1" si="98"/>
        <v>#NAME?</v>
      </c>
      <c r="FJ98" s="38" t="e">
        <f ca="1">_xll.RiskBinomial(1,FI98)</f>
        <v>#NAME?</v>
      </c>
      <c r="FK98" s="86" t="e">
        <f ca="1">IF(FJ98=1,_xll.RiskBinomial(1,Prob_illness_Noro_infection),0)</f>
        <v>#NAME?</v>
      </c>
      <c r="FM98" s="85" t="e">
        <f t="shared" ca="1" si="126"/>
        <v>#NAME?</v>
      </c>
      <c r="FN98" s="40" t="e">
        <f ca="1">INT(FM98) + _xll.RiskBinomial(1,FM98-INT(FM98))</f>
        <v>#NAME?</v>
      </c>
      <c r="FO98" s="33" t="e">
        <f t="shared" ca="1" si="99"/>
        <v>#NAME?</v>
      </c>
      <c r="FP98" s="38" t="e">
        <f ca="1">_xll.RiskBinomial(1,FO98)</f>
        <v>#NAME?</v>
      </c>
      <c r="FQ98" s="86" t="e">
        <f ca="1">IF(FP98=1,_xll.RiskBinomial(1,Prob_illness_Noro_infection),0)</f>
        <v>#NAME?</v>
      </c>
      <c r="FS98" s="85" t="e">
        <f t="shared" ca="1" si="127"/>
        <v>#NAME?</v>
      </c>
      <c r="FT98" s="40" t="e">
        <f ca="1">INT(FS98) + _xll.RiskBinomial(1,FS98-INT(FS98))</f>
        <v>#NAME?</v>
      </c>
      <c r="FU98" s="33" t="e">
        <f t="shared" ca="1" si="100"/>
        <v>#NAME?</v>
      </c>
      <c r="FV98" s="38" t="e">
        <f ca="1">_xll.RiskBinomial(1,FU98)</f>
        <v>#NAME?</v>
      </c>
      <c r="FW98" s="86" t="e">
        <f ca="1">IF(FV98=1,_xll.RiskBinomial(1,Prob_illness_Noro_infection),0)</f>
        <v>#NAME?</v>
      </c>
      <c r="FY98" s="85" t="e">
        <f t="shared" ca="1" si="128"/>
        <v>#NAME?</v>
      </c>
      <c r="FZ98" s="40" t="e">
        <f ca="1">INT(FY98) + _xll.RiskBinomial(1,FY98-INT(FY98))</f>
        <v>#NAME?</v>
      </c>
      <c r="GA98" s="33" t="e">
        <f t="shared" ca="1" si="101"/>
        <v>#NAME?</v>
      </c>
      <c r="GB98" s="38" t="e">
        <f ca="1">_xll.RiskBinomial(1,GA98)</f>
        <v>#NAME?</v>
      </c>
      <c r="GC98" s="86" t="e">
        <f ca="1">IF(GB98=1,_xll.RiskBinomial(1,Prob_illness_Noro_infection),0)</f>
        <v>#NAME?</v>
      </c>
      <c r="GE98" s="85" t="e">
        <f t="shared" ca="1" si="129"/>
        <v>#NAME?</v>
      </c>
      <c r="GF98" s="40" t="e">
        <f ca="1">INT(GE98) + _xll.RiskBinomial(1,GE98-INT(GE98))</f>
        <v>#NAME?</v>
      </c>
      <c r="GG98" s="33" t="e">
        <f t="shared" ca="1" si="102"/>
        <v>#NAME?</v>
      </c>
      <c r="GH98" s="38" t="e">
        <f ca="1">_xll.RiskBinomial(1,GG98)</f>
        <v>#NAME?</v>
      </c>
      <c r="GI98" s="86" t="e">
        <f ca="1">IF(GH98=1,_xll.RiskBinomial(1,Prob_illness_Noro_infection),0)</f>
        <v>#NAME?</v>
      </c>
      <c r="GK98" s="85" t="e">
        <f t="shared" ca="1" si="130"/>
        <v>#NAME?</v>
      </c>
      <c r="GL98" s="40" t="e">
        <f ca="1">INT(GK98) + _xll.RiskBinomial(1,GK98-INT(GK98))</f>
        <v>#NAME?</v>
      </c>
      <c r="GM98" s="33" t="e">
        <f t="shared" ca="1" si="103"/>
        <v>#NAME?</v>
      </c>
      <c r="GN98" s="38" t="e">
        <f ca="1">_xll.RiskBinomial(1,GM98)</f>
        <v>#NAME?</v>
      </c>
      <c r="GO98" s="86" t="e">
        <f ca="1">IF(GN98=1,_xll.RiskBinomial(1,Prob_illness_Noro_infection),0)</f>
        <v>#NAME?</v>
      </c>
    </row>
    <row r="99" spans="2:197" x14ac:dyDescent="0.25">
      <c r="B99" s="106">
        <v>91</v>
      </c>
      <c r="C99" s="109" t="e">
        <f ca="1" xml:space="preserve"> _xll.RiskPert(Dur_Swim_hours_min,Dur_Swim_hours_mode,Dur_Swim_hours_max)</f>
        <v>#NAME?</v>
      </c>
      <c r="D99" s="33" t="e">
        <f ca="1">_xll.RiskLognorm(Primary_Ing_Rate_mL_per_hour_mean,Primary_Ing_Rate_mL_per_hour_sd, _xll.RiskTruncate(Primary_Ing_Rate_mL_per_hour_min,Primary_Ing_Rate_mL_per_hour_max))</f>
        <v>#NAME?</v>
      </c>
      <c r="E99" s="41" t="e">
        <f t="shared" ca="1" si="104"/>
        <v>#NAME?</v>
      </c>
      <c r="F99" s="33"/>
      <c r="G99" s="85" t="e">
        <f t="shared" ca="1" si="105"/>
        <v>#NAME?</v>
      </c>
      <c r="H99" s="40" t="e">
        <f ca="1">INT(G99) + _xll.RiskBinomial(1,G99-INT(G99))</f>
        <v>#NAME?</v>
      </c>
      <c r="I99" s="33" t="e">
        <f t="shared" ca="1" si="66"/>
        <v>#NAME?</v>
      </c>
      <c r="J99" s="38" t="e">
        <f ca="1">_xll.RiskBinomial(1,I99)</f>
        <v>#NAME?</v>
      </c>
      <c r="K99" s="86" t="e">
        <f ca="1">IF(J99=1,_xll.RiskBinomial(1,Prob_illness_Noro_infection),0)</f>
        <v>#NAME?</v>
      </c>
      <c r="L99" s="33"/>
      <c r="M99" s="85" t="e">
        <f t="shared" ca="1" si="67"/>
        <v>#NAME?</v>
      </c>
      <c r="N99" s="40" t="e">
        <f ca="1">INT(M99) + _xll.RiskBinomial(1,M99-INT(M99))</f>
        <v>#NAME?</v>
      </c>
      <c r="O99" s="33" t="e">
        <f t="shared" ca="1" si="68"/>
        <v>#NAME?</v>
      </c>
      <c r="P99" s="38" t="e">
        <f ca="1">_xll.RiskBinomial(1,O99)</f>
        <v>#NAME?</v>
      </c>
      <c r="Q99" s="86" t="e">
        <f ca="1">IF(P99=1,_xll.RiskBinomial(1,Prob_illness_Noro_infection),0)</f>
        <v>#NAME?</v>
      </c>
      <c r="R99" s="33"/>
      <c r="S99" s="85" t="e">
        <f t="shared" ca="1" si="69"/>
        <v>#NAME?</v>
      </c>
      <c r="T99" s="40" t="e">
        <f ca="1">INT(S99) + _xll.RiskBinomial(1,S99-INT(S99))</f>
        <v>#NAME?</v>
      </c>
      <c r="U99" s="33" t="e">
        <f t="shared" ca="1" si="70"/>
        <v>#NAME?</v>
      </c>
      <c r="V99" s="38" t="e">
        <f ca="1">_xll.RiskBinomial(1,U99)</f>
        <v>#NAME?</v>
      </c>
      <c r="W99" s="86" t="e">
        <f ca="1">IF(V99=1,_xll.RiskBinomial(1,Prob_illness_Noro_infection),0)</f>
        <v>#NAME?</v>
      </c>
      <c r="X99" s="33"/>
      <c r="Y99" s="85" t="e">
        <f t="shared" ca="1" si="71"/>
        <v>#NAME?</v>
      </c>
      <c r="Z99" s="40" t="e">
        <f ca="1">INT(Y99) + _xll.RiskBinomial(1,Y99-INT(Y99))</f>
        <v>#NAME?</v>
      </c>
      <c r="AA99" s="33" t="e">
        <f t="shared" ca="1" si="72"/>
        <v>#NAME?</v>
      </c>
      <c r="AB99" s="38" t="e">
        <f ca="1">_xll.RiskBinomial(1,AA99)</f>
        <v>#NAME?</v>
      </c>
      <c r="AC99" s="86" t="e">
        <f ca="1">IF(AB99=1,_xll.RiskBinomial(1,Prob_illness_Noro_infection),0)</f>
        <v>#NAME?</v>
      </c>
      <c r="AD99" s="33"/>
      <c r="AE99" s="85" t="e">
        <f t="shared" ca="1" si="73"/>
        <v>#NAME?</v>
      </c>
      <c r="AF99" s="40" t="e">
        <f ca="1">INT(AE99) + _xll.RiskBinomial(1,AE99-INT(AE99))</f>
        <v>#NAME?</v>
      </c>
      <c r="AG99" s="33" t="e">
        <f t="shared" ca="1" si="74"/>
        <v>#NAME?</v>
      </c>
      <c r="AH99" s="38" t="e">
        <f ca="1">_xll.RiskBinomial(1,AG99)</f>
        <v>#NAME?</v>
      </c>
      <c r="AI99" s="86" t="e">
        <f ca="1">IF(AH99=1,_xll.RiskBinomial(1,Prob_illness_Noro_infection),0)</f>
        <v>#NAME?</v>
      </c>
      <c r="AJ99" s="33"/>
      <c r="AK99" s="85" t="e">
        <f t="shared" ca="1" si="75"/>
        <v>#NAME?</v>
      </c>
      <c r="AL99" s="40" t="e">
        <f ca="1">INT(AK99) + _xll.RiskBinomial(1,AK99-INT(AK99))</f>
        <v>#NAME?</v>
      </c>
      <c r="AM99" s="33" t="e">
        <f t="shared" ca="1" si="76"/>
        <v>#NAME?</v>
      </c>
      <c r="AN99" s="38" t="e">
        <f ca="1">_xll.RiskBinomial(1,AM99)</f>
        <v>#NAME?</v>
      </c>
      <c r="AO99" s="86" t="e">
        <f ca="1">IF(AN99=1,_xll.RiskBinomial(1,Prob_illness_Noro_infection),0)</f>
        <v>#NAME?</v>
      </c>
      <c r="AP99" s="33"/>
      <c r="AQ99" s="85" t="e">
        <f t="shared" ca="1" si="77"/>
        <v>#NAME?</v>
      </c>
      <c r="AR99" s="40" t="e">
        <f ca="1">INT(AQ99) + _xll.RiskBinomial(1,AQ99-INT(AQ99))</f>
        <v>#NAME?</v>
      </c>
      <c r="AS99" s="33" t="e">
        <f t="shared" ca="1" si="78"/>
        <v>#NAME?</v>
      </c>
      <c r="AT99" s="38" t="e">
        <f ca="1">_xll.RiskBinomial(1,AS99)</f>
        <v>#NAME?</v>
      </c>
      <c r="AU99" s="86" t="e">
        <f ca="1">IF(AT99=1,_xll.RiskBinomial(1,Prob_illness_Noro_infection),0)</f>
        <v>#NAME?</v>
      </c>
      <c r="AV99" s="33"/>
      <c r="AW99" s="85" t="e">
        <f t="shared" ca="1" si="106"/>
        <v>#NAME?</v>
      </c>
      <c r="AX99" s="40" t="e">
        <f ca="1">INT(AW99) + _xll.RiskBinomial(1,AW99-INT(AW99))</f>
        <v>#NAME?</v>
      </c>
      <c r="AY99" s="33" t="e">
        <f t="shared" ca="1" si="79"/>
        <v>#NAME?</v>
      </c>
      <c r="AZ99" s="38" t="e">
        <f ca="1">_xll.RiskBinomial(1,AY99)</f>
        <v>#NAME?</v>
      </c>
      <c r="BA99" s="86" t="e">
        <f ca="1">IF(AZ99=1,_xll.RiskBinomial(1,Prob_illness_Noro_infection),0)</f>
        <v>#NAME?</v>
      </c>
      <c r="BC99" s="85" t="e">
        <f t="shared" ca="1" si="107"/>
        <v>#NAME?</v>
      </c>
      <c r="BD99" s="40" t="e">
        <f ca="1">INT(BC99) + _xll.RiskBinomial(1,BC99-INT(BC99))</f>
        <v>#NAME?</v>
      </c>
      <c r="BE99" s="33" t="e">
        <f t="shared" ca="1" si="80"/>
        <v>#NAME?</v>
      </c>
      <c r="BF99" s="38" t="e">
        <f ca="1">_xll.RiskBinomial(1,BE99)</f>
        <v>#NAME?</v>
      </c>
      <c r="BG99" s="86" t="e">
        <f ca="1">IF(BF99=1,_xll.RiskBinomial(1,Prob_illness_Noro_infection),0)</f>
        <v>#NAME?</v>
      </c>
      <c r="BI99" s="85" t="e">
        <f t="shared" ca="1" si="108"/>
        <v>#NAME?</v>
      </c>
      <c r="BJ99" s="40" t="e">
        <f ca="1">INT(BI99) + _xll.RiskBinomial(1,BI99-INT(BI99))</f>
        <v>#NAME?</v>
      </c>
      <c r="BK99" s="33" t="e">
        <f t="shared" ca="1" si="81"/>
        <v>#NAME?</v>
      </c>
      <c r="BL99" s="38" t="e">
        <f ca="1">_xll.RiskBinomial(1,BK99)</f>
        <v>#NAME?</v>
      </c>
      <c r="BM99" s="86" t="e">
        <f ca="1">IF(BL99=1,_xll.RiskBinomial(1,Prob_illness_Noro_infection),0)</f>
        <v>#NAME?</v>
      </c>
      <c r="BO99" s="85" t="e">
        <f t="shared" ca="1" si="109"/>
        <v>#NAME?</v>
      </c>
      <c r="BP99" s="40" t="e">
        <f ca="1">INT(BO99) + _xll.RiskBinomial(1,BO99-INT(BO99))</f>
        <v>#NAME?</v>
      </c>
      <c r="BQ99" s="33" t="e">
        <f t="shared" ca="1" si="82"/>
        <v>#NAME?</v>
      </c>
      <c r="BR99" s="38" t="e">
        <f ca="1">_xll.RiskBinomial(1,BQ99)</f>
        <v>#NAME?</v>
      </c>
      <c r="BS99" s="86" t="e">
        <f ca="1">IF(BR99=1,_xll.RiskBinomial(1,Prob_illness_Noro_infection),0)</f>
        <v>#NAME?</v>
      </c>
      <c r="BU99" s="85" t="e">
        <f t="shared" ca="1" si="110"/>
        <v>#NAME?</v>
      </c>
      <c r="BV99" s="40" t="e">
        <f ca="1">INT(BU99) + _xll.RiskBinomial(1,BU99-INT(BU99))</f>
        <v>#NAME?</v>
      </c>
      <c r="BW99" s="33" t="e">
        <f t="shared" ca="1" si="83"/>
        <v>#NAME?</v>
      </c>
      <c r="BX99" s="38" t="e">
        <f ca="1">_xll.RiskBinomial(1,BW99)</f>
        <v>#NAME?</v>
      </c>
      <c r="BY99" s="86" t="e">
        <f ca="1">IF(BX99=1,_xll.RiskBinomial(1,Prob_illness_Noro_infection),0)</f>
        <v>#NAME?</v>
      </c>
      <c r="CA99" s="85" t="e">
        <f t="shared" ca="1" si="111"/>
        <v>#NAME?</v>
      </c>
      <c r="CB99" s="40" t="e">
        <f ca="1">INT(CA99) + _xll.RiskBinomial(1,CA99-INT(CA99))</f>
        <v>#NAME?</v>
      </c>
      <c r="CC99" s="33" t="e">
        <f t="shared" ca="1" si="84"/>
        <v>#NAME?</v>
      </c>
      <c r="CD99" s="38" t="e">
        <f ca="1">_xll.RiskBinomial(1,CC99)</f>
        <v>#NAME?</v>
      </c>
      <c r="CE99" s="86" t="e">
        <f ca="1">IF(CD99=1,_xll.RiskBinomial(1,Prob_illness_Noro_infection),0)</f>
        <v>#NAME?</v>
      </c>
      <c r="CG99" s="85" t="e">
        <f t="shared" ca="1" si="112"/>
        <v>#NAME?</v>
      </c>
      <c r="CH99" s="40" t="e">
        <f ca="1">INT(CG99) + _xll.RiskBinomial(1,CG99-INT(CG99))</f>
        <v>#NAME?</v>
      </c>
      <c r="CI99" s="33" t="e">
        <f t="shared" ca="1" si="85"/>
        <v>#NAME?</v>
      </c>
      <c r="CJ99" s="38" t="e">
        <f ca="1">_xll.RiskBinomial(1,CI99)</f>
        <v>#NAME?</v>
      </c>
      <c r="CK99" s="86" t="e">
        <f ca="1">IF(CJ99=1,_xll.RiskBinomial(1,Prob_illness_Noro_infection),0)</f>
        <v>#NAME?</v>
      </c>
      <c r="CM99" s="85" t="e">
        <f t="shared" ca="1" si="113"/>
        <v>#NAME?</v>
      </c>
      <c r="CN99" s="40" t="e">
        <f ca="1">INT(CM99) + _xll.RiskBinomial(1,CM99-INT(CM99))</f>
        <v>#NAME?</v>
      </c>
      <c r="CO99" s="33" t="e">
        <f t="shared" ca="1" si="86"/>
        <v>#NAME?</v>
      </c>
      <c r="CP99" s="38" t="e">
        <f ca="1">_xll.RiskBinomial(1,CO99)</f>
        <v>#NAME?</v>
      </c>
      <c r="CQ99" s="86" t="e">
        <f ca="1">IF(CP99=1,_xll.RiskBinomial(1,Prob_illness_Noro_infection),0)</f>
        <v>#NAME?</v>
      </c>
      <c r="CS99" s="85" t="e">
        <f t="shared" ca="1" si="114"/>
        <v>#NAME?</v>
      </c>
      <c r="CT99" s="40" t="e">
        <f ca="1">INT(CS99) + _xll.RiskBinomial(1,CS99-INT(CS99))</f>
        <v>#NAME?</v>
      </c>
      <c r="CU99" s="33" t="e">
        <f t="shared" ca="1" si="87"/>
        <v>#NAME?</v>
      </c>
      <c r="CV99" s="38" t="e">
        <f ca="1">_xll.RiskBinomial(1,CU99)</f>
        <v>#NAME?</v>
      </c>
      <c r="CW99" s="86" t="e">
        <f ca="1">IF(CV99=1,_xll.RiskBinomial(1,Prob_illness_Noro_infection),0)</f>
        <v>#NAME?</v>
      </c>
      <c r="CY99" s="85" t="e">
        <f t="shared" ca="1" si="115"/>
        <v>#NAME?</v>
      </c>
      <c r="CZ99" s="40" t="e">
        <f ca="1">INT(CY99) + _xll.RiskBinomial(1,CY99-INT(CY99))</f>
        <v>#NAME?</v>
      </c>
      <c r="DA99" s="33" t="e">
        <f t="shared" ca="1" si="88"/>
        <v>#NAME?</v>
      </c>
      <c r="DB99" s="38" t="e">
        <f ca="1">_xll.RiskBinomial(1,DA99)</f>
        <v>#NAME?</v>
      </c>
      <c r="DC99" s="86" t="e">
        <f ca="1">IF(DB99=1,_xll.RiskBinomial(1,Prob_illness_Noro_infection),0)</f>
        <v>#NAME?</v>
      </c>
      <c r="DE99" s="85" t="e">
        <f t="shared" ca="1" si="116"/>
        <v>#NAME?</v>
      </c>
      <c r="DF99" s="40" t="e">
        <f ca="1">INT(DE99) + _xll.RiskBinomial(1,DE99-INT(DE99))</f>
        <v>#NAME?</v>
      </c>
      <c r="DG99" s="33" t="e">
        <f t="shared" ca="1" si="89"/>
        <v>#NAME?</v>
      </c>
      <c r="DH99" s="38" t="e">
        <f ca="1">_xll.RiskBinomial(1,DG99)</f>
        <v>#NAME?</v>
      </c>
      <c r="DI99" s="86" t="e">
        <f ca="1">IF(DH99=1,_xll.RiskBinomial(1,Prob_illness_Noro_infection),0)</f>
        <v>#NAME?</v>
      </c>
      <c r="DK99" s="85" t="e">
        <f t="shared" ca="1" si="117"/>
        <v>#NAME?</v>
      </c>
      <c r="DL99" s="40" t="e">
        <f ca="1">INT(DK99) + _xll.RiskBinomial(1,DK99-INT(DK99))</f>
        <v>#NAME?</v>
      </c>
      <c r="DM99" s="33" t="e">
        <f t="shared" ca="1" si="90"/>
        <v>#NAME?</v>
      </c>
      <c r="DN99" s="38" t="e">
        <f ca="1">_xll.RiskBinomial(1,DM99)</f>
        <v>#NAME?</v>
      </c>
      <c r="DO99" s="86" t="e">
        <f ca="1">IF(DN99=1,_xll.RiskBinomial(1,Prob_illness_Noro_infection),0)</f>
        <v>#NAME?</v>
      </c>
      <c r="DQ99" s="85" t="e">
        <f t="shared" ca="1" si="118"/>
        <v>#NAME?</v>
      </c>
      <c r="DR99" s="40" t="e">
        <f ca="1">INT(DQ99) + _xll.RiskBinomial(1,DQ99-INT(DQ99))</f>
        <v>#NAME?</v>
      </c>
      <c r="DS99" s="33" t="e">
        <f t="shared" ca="1" si="91"/>
        <v>#NAME?</v>
      </c>
      <c r="DT99" s="38" t="e">
        <f ca="1">_xll.RiskBinomial(1,DS99)</f>
        <v>#NAME?</v>
      </c>
      <c r="DU99" s="86" t="e">
        <f ca="1">IF(DT99=1,_xll.RiskBinomial(1,Prob_illness_Noro_infection),0)</f>
        <v>#NAME?</v>
      </c>
      <c r="DW99" s="85" t="e">
        <f t="shared" ca="1" si="119"/>
        <v>#NAME?</v>
      </c>
      <c r="DX99" s="40" t="e">
        <f ca="1">INT(DW99) + _xll.RiskBinomial(1,DW99-INT(DW99))</f>
        <v>#NAME?</v>
      </c>
      <c r="DY99" s="33" t="e">
        <f t="shared" ca="1" si="92"/>
        <v>#NAME?</v>
      </c>
      <c r="DZ99" s="38" t="e">
        <f ca="1">_xll.RiskBinomial(1,DY99)</f>
        <v>#NAME?</v>
      </c>
      <c r="EA99" s="86" t="e">
        <f ca="1">IF(DZ99=1,_xll.RiskBinomial(1,Prob_illness_Noro_infection),0)</f>
        <v>#NAME?</v>
      </c>
      <c r="EC99" s="85" t="e">
        <f t="shared" ca="1" si="120"/>
        <v>#NAME?</v>
      </c>
      <c r="ED99" s="40" t="e">
        <f ca="1">INT(EC99) + _xll.RiskBinomial(1,EC99-INT(EC99))</f>
        <v>#NAME?</v>
      </c>
      <c r="EE99" s="33" t="e">
        <f t="shared" ca="1" si="93"/>
        <v>#NAME?</v>
      </c>
      <c r="EF99" s="38" t="e">
        <f ca="1">_xll.RiskBinomial(1,EE99)</f>
        <v>#NAME?</v>
      </c>
      <c r="EG99" s="86" t="e">
        <f ca="1">IF(EF99=1,_xll.RiskBinomial(1,Prob_illness_Noro_infection),0)</f>
        <v>#NAME?</v>
      </c>
      <c r="EI99" s="85" t="e">
        <f t="shared" ca="1" si="121"/>
        <v>#NAME?</v>
      </c>
      <c r="EJ99" s="40" t="e">
        <f ca="1">INT(EI99) + _xll.RiskBinomial(1,EI99-INT(EI99))</f>
        <v>#NAME?</v>
      </c>
      <c r="EK99" s="33" t="e">
        <f t="shared" ca="1" si="94"/>
        <v>#NAME?</v>
      </c>
      <c r="EL99" s="38" t="e">
        <f ca="1">_xll.RiskBinomial(1,EK99)</f>
        <v>#NAME?</v>
      </c>
      <c r="EM99" s="86" t="e">
        <f ca="1">IF(EL99=1,_xll.RiskBinomial(1,Prob_illness_Noro_infection),0)</f>
        <v>#NAME?</v>
      </c>
      <c r="EO99" s="85" t="e">
        <f t="shared" ca="1" si="122"/>
        <v>#NAME?</v>
      </c>
      <c r="EP99" s="40" t="e">
        <f ca="1">INT(EO99) + _xll.RiskBinomial(1,EO99-INT(EO99))</f>
        <v>#NAME?</v>
      </c>
      <c r="EQ99" s="33" t="e">
        <f t="shared" ca="1" si="95"/>
        <v>#NAME?</v>
      </c>
      <c r="ER99" s="38" t="e">
        <f ca="1">_xll.RiskBinomial(1,EQ99)</f>
        <v>#NAME?</v>
      </c>
      <c r="ES99" s="86" t="e">
        <f ca="1">IF(ER99=1,_xll.RiskBinomial(1,Prob_illness_Noro_infection),0)</f>
        <v>#NAME?</v>
      </c>
      <c r="EU99" s="85" t="e">
        <f t="shared" ca="1" si="123"/>
        <v>#NAME?</v>
      </c>
      <c r="EV99" s="40" t="e">
        <f ca="1">INT(EU99) + _xll.RiskBinomial(1,EU99-INT(EU99))</f>
        <v>#NAME?</v>
      </c>
      <c r="EW99" s="33" t="e">
        <f t="shared" ca="1" si="96"/>
        <v>#NAME?</v>
      </c>
      <c r="EX99" s="38" t="e">
        <f ca="1">_xll.RiskBinomial(1,EW99)</f>
        <v>#NAME?</v>
      </c>
      <c r="EY99" s="86" t="e">
        <f ca="1">IF(EX99=1,_xll.RiskBinomial(1,Prob_illness_Noro_infection),0)</f>
        <v>#NAME?</v>
      </c>
      <c r="FA99" s="85" t="e">
        <f t="shared" ca="1" si="124"/>
        <v>#NAME?</v>
      </c>
      <c r="FB99" s="40" t="e">
        <f ca="1">INT(FA99) + _xll.RiskBinomial(1,FA99-INT(FA99))</f>
        <v>#NAME?</v>
      </c>
      <c r="FC99" s="33" t="e">
        <f t="shared" ca="1" si="97"/>
        <v>#NAME?</v>
      </c>
      <c r="FD99" s="38" t="e">
        <f ca="1">_xll.RiskBinomial(1,FC99)</f>
        <v>#NAME?</v>
      </c>
      <c r="FE99" s="86" t="e">
        <f ca="1">IF(FD99=1,_xll.RiskBinomial(1,Prob_illness_Noro_infection),0)</f>
        <v>#NAME?</v>
      </c>
      <c r="FG99" s="85" t="e">
        <f t="shared" ca="1" si="125"/>
        <v>#NAME?</v>
      </c>
      <c r="FH99" s="40" t="e">
        <f ca="1">INT(FG99) + _xll.RiskBinomial(1,FG99-INT(FG99))</f>
        <v>#NAME?</v>
      </c>
      <c r="FI99" s="33" t="e">
        <f t="shared" ca="1" si="98"/>
        <v>#NAME?</v>
      </c>
      <c r="FJ99" s="38" t="e">
        <f ca="1">_xll.RiskBinomial(1,FI99)</f>
        <v>#NAME?</v>
      </c>
      <c r="FK99" s="86" t="e">
        <f ca="1">IF(FJ99=1,_xll.RiskBinomial(1,Prob_illness_Noro_infection),0)</f>
        <v>#NAME?</v>
      </c>
      <c r="FM99" s="85" t="e">
        <f t="shared" ca="1" si="126"/>
        <v>#NAME?</v>
      </c>
      <c r="FN99" s="40" t="e">
        <f ca="1">INT(FM99) + _xll.RiskBinomial(1,FM99-INT(FM99))</f>
        <v>#NAME?</v>
      </c>
      <c r="FO99" s="33" t="e">
        <f t="shared" ca="1" si="99"/>
        <v>#NAME?</v>
      </c>
      <c r="FP99" s="38" t="e">
        <f ca="1">_xll.RiskBinomial(1,FO99)</f>
        <v>#NAME?</v>
      </c>
      <c r="FQ99" s="86" t="e">
        <f ca="1">IF(FP99=1,_xll.RiskBinomial(1,Prob_illness_Noro_infection),0)</f>
        <v>#NAME?</v>
      </c>
      <c r="FS99" s="85" t="e">
        <f t="shared" ca="1" si="127"/>
        <v>#NAME?</v>
      </c>
      <c r="FT99" s="40" t="e">
        <f ca="1">INT(FS99) + _xll.RiskBinomial(1,FS99-INT(FS99))</f>
        <v>#NAME?</v>
      </c>
      <c r="FU99" s="33" t="e">
        <f t="shared" ca="1" si="100"/>
        <v>#NAME?</v>
      </c>
      <c r="FV99" s="38" t="e">
        <f ca="1">_xll.RiskBinomial(1,FU99)</f>
        <v>#NAME?</v>
      </c>
      <c r="FW99" s="86" t="e">
        <f ca="1">IF(FV99=1,_xll.RiskBinomial(1,Prob_illness_Noro_infection),0)</f>
        <v>#NAME?</v>
      </c>
      <c r="FY99" s="85" t="e">
        <f t="shared" ca="1" si="128"/>
        <v>#NAME?</v>
      </c>
      <c r="FZ99" s="40" t="e">
        <f ca="1">INT(FY99) + _xll.RiskBinomial(1,FY99-INT(FY99))</f>
        <v>#NAME?</v>
      </c>
      <c r="GA99" s="33" t="e">
        <f t="shared" ca="1" si="101"/>
        <v>#NAME?</v>
      </c>
      <c r="GB99" s="38" t="e">
        <f ca="1">_xll.RiskBinomial(1,GA99)</f>
        <v>#NAME?</v>
      </c>
      <c r="GC99" s="86" t="e">
        <f ca="1">IF(GB99=1,_xll.RiskBinomial(1,Prob_illness_Noro_infection),0)</f>
        <v>#NAME?</v>
      </c>
      <c r="GE99" s="85" t="e">
        <f t="shared" ca="1" si="129"/>
        <v>#NAME?</v>
      </c>
      <c r="GF99" s="40" t="e">
        <f ca="1">INT(GE99) + _xll.RiskBinomial(1,GE99-INT(GE99))</f>
        <v>#NAME?</v>
      </c>
      <c r="GG99" s="33" t="e">
        <f t="shared" ca="1" si="102"/>
        <v>#NAME?</v>
      </c>
      <c r="GH99" s="38" t="e">
        <f ca="1">_xll.RiskBinomial(1,GG99)</f>
        <v>#NAME?</v>
      </c>
      <c r="GI99" s="86" t="e">
        <f ca="1">IF(GH99=1,_xll.RiskBinomial(1,Prob_illness_Noro_infection),0)</f>
        <v>#NAME?</v>
      </c>
      <c r="GK99" s="85" t="e">
        <f t="shared" ca="1" si="130"/>
        <v>#NAME?</v>
      </c>
      <c r="GL99" s="40" t="e">
        <f ca="1">INT(GK99) + _xll.RiskBinomial(1,GK99-INT(GK99))</f>
        <v>#NAME?</v>
      </c>
      <c r="GM99" s="33" t="e">
        <f t="shared" ca="1" si="103"/>
        <v>#NAME?</v>
      </c>
      <c r="GN99" s="38" t="e">
        <f ca="1">_xll.RiskBinomial(1,GM99)</f>
        <v>#NAME?</v>
      </c>
      <c r="GO99" s="86" t="e">
        <f ca="1">IF(GN99=1,_xll.RiskBinomial(1,Prob_illness_Noro_infection),0)</f>
        <v>#NAME?</v>
      </c>
    </row>
    <row r="100" spans="2:197" x14ac:dyDescent="0.25">
      <c r="B100" s="106">
        <v>92</v>
      </c>
      <c r="C100" s="109" t="e">
        <f ca="1" xml:space="preserve"> _xll.RiskPert(Dur_Swim_hours_min,Dur_Swim_hours_mode,Dur_Swim_hours_max)</f>
        <v>#NAME?</v>
      </c>
      <c r="D100" s="33" t="e">
        <f ca="1">_xll.RiskLognorm(Primary_Ing_Rate_mL_per_hour_mean,Primary_Ing_Rate_mL_per_hour_sd, _xll.RiskTruncate(Primary_Ing_Rate_mL_per_hour_min,Primary_Ing_Rate_mL_per_hour_max))</f>
        <v>#NAME?</v>
      </c>
      <c r="E100" s="41" t="e">
        <f t="shared" ca="1" si="104"/>
        <v>#NAME?</v>
      </c>
      <c r="F100" s="33"/>
      <c r="G100" s="85" t="e">
        <f t="shared" ca="1" si="105"/>
        <v>#NAME?</v>
      </c>
      <c r="H100" s="40" t="e">
        <f ca="1">INT(G100) + _xll.RiskBinomial(1,G100-INT(G100))</f>
        <v>#NAME?</v>
      </c>
      <c r="I100" s="33" t="e">
        <f t="shared" ca="1" si="66"/>
        <v>#NAME?</v>
      </c>
      <c r="J100" s="38" t="e">
        <f ca="1">_xll.RiskBinomial(1,I100)</f>
        <v>#NAME?</v>
      </c>
      <c r="K100" s="86" t="e">
        <f ca="1">IF(J100=1,_xll.RiskBinomial(1,Prob_illness_Noro_infection),0)</f>
        <v>#NAME?</v>
      </c>
      <c r="L100" s="33"/>
      <c r="M100" s="85" t="e">
        <f t="shared" ca="1" si="67"/>
        <v>#NAME?</v>
      </c>
      <c r="N100" s="40" t="e">
        <f ca="1">INT(M100) + _xll.RiskBinomial(1,M100-INT(M100))</f>
        <v>#NAME?</v>
      </c>
      <c r="O100" s="33" t="e">
        <f t="shared" ca="1" si="68"/>
        <v>#NAME?</v>
      </c>
      <c r="P100" s="38" t="e">
        <f ca="1">_xll.RiskBinomial(1,O100)</f>
        <v>#NAME?</v>
      </c>
      <c r="Q100" s="86" t="e">
        <f ca="1">IF(P100=1,_xll.RiskBinomial(1,Prob_illness_Noro_infection),0)</f>
        <v>#NAME?</v>
      </c>
      <c r="R100" s="33"/>
      <c r="S100" s="85" t="e">
        <f t="shared" ca="1" si="69"/>
        <v>#NAME?</v>
      </c>
      <c r="T100" s="40" t="e">
        <f ca="1">INT(S100) + _xll.RiskBinomial(1,S100-INT(S100))</f>
        <v>#NAME?</v>
      </c>
      <c r="U100" s="33" t="e">
        <f t="shared" ca="1" si="70"/>
        <v>#NAME?</v>
      </c>
      <c r="V100" s="38" t="e">
        <f ca="1">_xll.RiskBinomial(1,U100)</f>
        <v>#NAME?</v>
      </c>
      <c r="W100" s="86" t="e">
        <f ca="1">IF(V100=1,_xll.RiskBinomial(1,Prob_illness_Noro_infection),0)</f>
        <v>#NAME?</v>
      </c>
      <c r="X100" s="33"/>
      <c r="Y100" s="85" t="e">
        <f t="shared" ca="1" si="71"/>
        <v>#NAME?</v>
      </c>
      <c r="Z100" s="40" t="e">
        <f ca="1">INT(Y100) + _xll.RiskBinomial(1,Y100-INT(Y100))</f>
        <v>#NAME?</v>
      </c>
      <c r="AA100" s="33" t="e">
        <f t="shared" ca="1" si="72"/>
        <v>#NAME?</v>
      </c>
      <c r="AB100" s="38" t="e">
        <f ca="1">_xll.RiskBinomial(1,AA100)</f>
        <v>#NAME?</v>
      </c>
      <c r="AC100" s="86" t="e">
        <f ca="1">IF(AB100=1,_xll.RiskBinomial(1,Prob_illness_Noro_infection),0)</f>
        <v>#NAME?</v>
      </c>
      <c r="AD100" s="33"/>
      <c r="AE100" s="85" t="e">
        <f t="shared" ca="1" si="73"/>
        <v>#NAME?</v>
      </c>
      <c r="AF100" s="40" t="e">
        <f ca="1">INT(AE100) + _xll.RiskBinomial(1,AE100-INT(AE100))</f>
        <v>#NAME?</v>
      </c>
      <c r="AG100" s="33" t="e">
        <f t="shared" ca="1" si="74"/>
        <v>#NAME?</v>
      </c>
      <c r="AH100" s="38" t="e">
        <f ca="1">_xll.RiskBinomial(1,AG100)</f>
        <v>#NAME?</v>
      </c>
      <c r="AI100" s="86" t="e">
        <f ca="1">IF(AH100=1,_xll.RiskBinomial(1,Prob_illness_Noro_infection),0)</f>
        <v>#NAME?</v>
      </c>
      <c r="AJ100" s="33"/>
      <c r="AK100" s="85" t="e">
        <f t="shared" ca="1" si="75"/>
        <v>#NAME?</v>
      </c>
      <c r="AL100" s="40" t="e">
        <f ca="1">INT(AK100) + _xll.RiskBinomial(1,AK100-INT(AK100))</f>
        <v>#NAME?</v>
      </c>
      <c r="AM100" s="33" t="e">
        <f t="shared" ca="1" si="76"/>
        <v>#NAME?</v>
      </c>
      <c r="AN100" s="38" t="e">
        <f ca="1">_xll.RiskBinomial(1,AM100)</f>
        <v>#NAME?</v>
      </c>
      <c r="AO100" s="86" t="e">
        <f ca="1">IF(AN100=1,_xll.RiskBinomial(1,Prob_illness_Noro_infection),0)</f>
        <v>#NAME?</v>
      </c>
      <c r="AP100" s="33"/>
      <c r="AQ100" s="85" t="e">
        <f t="shared" ca="1" si="77"/>
        <v>#NAME?</v>
      </c>
      <c r="AR100" s="40" t="e">
        <f ca="1">INT(AQ100) + _xll.RiskBinomial(1,AQ100-INT(AQ100))</f>
        <v>#NAME?</v>
      </c>
      <c r="AS100" s="33" t="e">
        <f t="shared" ca="1" si="78"/>
        <v>#NAME?</v>
      </c>
      <c r="AT100" s="38" t="e">
        <f ca="1">_xll.RiskBinomial(1,AS100)</f>
        <v>#NAME?</v>
      </c>
      <c r="AU100" s="86" t="e">
        <f ca="1">IF(AT100=1,_xll.RiskBinomial(1,Prob_illness_Noro_infection),0)</f>
        <v>#NAME?</v>
      </c>
      <c r="AV100" s="33"/>
      <c r="AW100" s="85" t="e">
        <f t="shared" ca="1" si="106"/>
        <v>#NAME?</v>
      </c>
      <c r="AX100" s="40" t="e">
        <f ca="1">INT(AW100) + _xll.RiskBinomial(1,AW100-INT(AW100))</f>
        <v>#NAME?</v>
      </c>
      <c r="AY100" s="33" t="e">
        <f t="shared" ca="1" si="79"/>
        <v>#NAME?</v>
      </c>
      <c r="AZ100" s="38" t="e">
        <f ca="1">_xll.RiskBinomial(1,AY100)</f>
        <v>#NAME?</v>
      </c>
      <c r="BA100" s="86" t="e">
        <f ca="1">IF(AZ100=1,_xll.RiskBinomial(1,Prob_illness_Noro_infection),0)</f>
        <v>#NAME?</v>
      </c>
      <c r="BC100" s="85" t="e">
        <f t="shared" ca="1" si="107"/>
        <v>#NAME?</v>
      </c>
      <c r="BD100" s="40" t="e">
        <f ca="1">INT(BC100) + _xll.RiskBinomial(1,BC100-INT(BC100))</f>
        <v>#NAME?</v>
      </c>
      <c r="BE100" s="33" t="e">
        <f t="shared" ca="1" si="80"/>
        <v>#NAME?</v>
      </c>
      <c r="BF100" s="38" t="e">
        <f ca="1">_xll.RiskBinomial(1,BE100)</f>
        <v>#NAME?</v>
      </c>
      <c r="BG100" s="86" t="e">
        <f ca="1">IF(BF100=1,_xll.RiskBinomial(1,Prob_illness_Noro_infection),0)</f>
        <v>#NAME?</v>
      </c>
      <c r="BI100" s="85" t="e">
        <f t="shared" ca="1" si="108"/>
        <v>#NAME?</v>
      </c>
      <c r="BJ100" s="40" t="e">
        <f ca="1">INT(BI100) + _xll.RiskBinomial(1,BI100-INT(BI100))</f>
        <v>#NAME?</v>
      </c>
      <c r="BK100" s="33" t="e">
        <f t="shared" ca="1" si="81"/>
        <v>#NAME?</v>
      </c>
      <c r="BL100" s="38" t="e">
        <f ca="1">_xll.RiskBinomial(1,BK100)</f>
        <v>#NAME?</v>
      </c>
      <c r="BM100" s="86" t="e">
        <f ca="1">IF(BL100=1,_xll.RiskBinomial(1,Prob_illness_Noro_infection),0)</f>
        <v>#NAME?</v>
      </c>
      <c r="BO100" s="85" t="e">
        <f t="shared" ca="1" si="109"/>
        <v>#NAME?</v>
      </c>
      <c r="BP100" s="40" t="e">
        <f ca="1">INT(BO100) + _xll.RiskBinomial(1,BO100-INT(BO100))</f>
        <v>#NAME?</v>
      </c>
      <c r="BQ100" s="33" t="e">
        <f t="shared" ca="1" si="82"/>
        <v>#NAME?</v>
      </c>
      <c r="BR100" s="38" t="e">
        <f ca="1">_xll.RiskBinomial(1,BQ100)</f>
        <v>#NAME?</v>
      </c>
      <c r="BS100" s="86" t="e">
        <f ca="1">IF(BR100=1,_xll.RiskBinomial(1,Prob_illness_Noro_infection),0)</f>
        <v>#NAME?</v>
      </c>
      <c r="BU100" s="85" t="e">
        <f t="shared" ca="1" si="110"/>
        <v>#NAME?</v>
      </c>
      <c r="BV100" s="40" t="e">
        <f ca="1">INT(BU100) + _xll.RiskBinomial(1,BU100-INT(BU100))</f>
        <v>#NAME?</v>
      </c>
      <c r="BW100" s="33" t="e">
        <f t="shared" ca="1" si="83"/>
        <v>#NAME?</v>
      </c>
      <c r="BX100" s="38" t="e">
        <f ca="1">_xll.RiskBinomial(1,BW100)</f>
        <v>#NAME?</v>
      </c>
      <c r="BY100" s="86" t="e">
        <f ca="1">IF(BX100=1,_xll.RiskBinomial(1,Prob_illness_Noro_infection),0)</f>
        <v>#NAME?</v>
      </c>
      <c r="CA100" s="85" t="e">
        <f t="shared" ca="1" si="111"/>
        <v>#NAME?</v>
      </c>
      <c r="CB100" s="40" t="e">
        <f ca="1">INT(CA100) + _xll.RiskBinomial(1,CA100-INT(CA100))</f>
        <v>#NAME?</v>
      </c>
      <c r="CC100" s="33" t="e">
        <f t="shared" ca="1" si="84"/>
        <v>#NAME?</v>
      </c>
      <c r="CD100" s="38" t="e">
        <f ca="1">_xll.RiskBinomial(1,CC100)</f>
        <v>#NAME?</v>
      </c>
      <c r="CE100" s="86" t="e">
        <f ca="1">IF(CD100=1,_xll.RiskBinomial(1,Prob_illness_Noro_infection),0)</f>
        <v>#NAME?</v>
      </c>
      <c r="CG100" s="85" t="e">
        <f t="shared" ca="1" si="112"/>
        <v>#NAME?</v>
      </c>
      <c r="CH100" s="40" t="e">
        <f ca="1">INT(CG100) + _xll.RiskBinomial(1,CG100-INT(CG100))</f>
        <v>#NAME?</v>
      </c>
      <c r="CI100" s="33" t="e">
        <f t="shared" ca="1" si="85"/>
        <v>#NAME?</v>
      </c>
      <c r="CJ100" s="38" t="e">
        <f ca="1">_xll.RiskBinomial(1,CI100)</f>
        <v>#NAME?</v>
      </c>
      <c r="CK100" s="86" t="e">
        <f ca="1">IF(CJ100=1,_xll.RiskBinomial(1,Prob_illness_Noro_infection),0)</f>
        <v>#NAME?</v>
      </c>
      <c r="CM100" s="85" t="e">
        <f t="shared" ca="1" si="113"/>
        <v>#NAME?</v>
      </c>
      <c r="CN100" s="40" t="e">
        <f ca="1">INT(CM100) + _xll.RiskBinomial(1,CM100-INT(CM100))</f>
        <v>#NAME?</v>
      </c>
      <c r="CO100" s="33" t="e">
        <f t="shared" ca="1" si="86"/>
        <v>#NAME?</v>
      </c>
      <c r="CP100" s="38" t="e">
        <f ca="1">_xll.RiskBinomial(1,CO100)</f>
        <v>#NAME?</v>
      </c>
      <c r="CQ100" s="86" t="e">
        <f ca="1">IF(CP100=1,_xll.RiskBinomial(1,Prob_illness_Noro_infection),0)</f>
        <v>#NAME?</v>
      </c>
      <c r="CS100" s="85" t="e">
        <f t="shared" ca="1" si="114"/>
        <v>#NAME?</v>
      </c>
      <c r="CT100" s="40" t="e">
        <f ca="1">INT(CS100) + _xll.RiskBinomial(1,CS100-INT(CS100))</f>
        <v>#NAME?</v>
      </c>
      <c r="CU100" s="33" t="e">
        <f t="shared" ca="1" si="87"/>
        <v>#NAME?</v>
      </c>
      <c r="CV100" s="38" t="e">
        <f ca="1">_xll.RiskBinomial(1,CU100)</f>
        <v>#NAME?</v>
      </c>
      <c r="CW100" s="86" t="e">
        <f ca="1">IF(CV100=1,_xll.RiskBinomial(1,Prob_illness_Noro_infection),0)</f>
        <v>#NAME?</v>
      </c>
      <c r="CY100" s="85" t="e">
        <f t="shared" ca="1" si="115"/>
        <v>#NAME?</v>
      </c>
      <c r="CZ100" s="40" t="e">
        <f ca="1">INT(CY100) + _xll.RiskBinomial(1,CY100-INT(CY100))</f>
        <v>#NAME?</v>
      </c>
      <c r="DA100" s="33" t="e">
        <f t="shared" ca="1" si="88"/>
        <v>#NAME?</v>
      </c>
      <c r="DB100" s="38" t="e">
        <f ca="1">_xll.RiskBinomial(1,DA100)</f>
        <v>#NAME?</v>
      </c>
      <c r="DC100" s="86" t="e">
        <f ca="1">IF(DB100=1,_xll.RiskBinomial(1,Prob_illness_Noro_infection),0)</f>
        <v>#NAME?</v>
      </c>
      <c r="DE100" s="85" t="e">
        <f t="shared" ca="1" si="116"/>
        <v>#NAME?</v>
      </c>
      <c r="DF100" s="40" t="e">
        <f ca="1">INT(DE100) + _xll.RiskBinomial(1,DE100-INT(DE100))</f>
        <v>#NAME?</v>
      </c>
      <c r="DG100" s="33" t="e">
        <f t="shared" ca="1" si="89"/>
        <v>#NAME?</v>
      </c>
      <c r="DH100" s="38" t="e">
        <f ca="1">_xll.RiskBinomial(1,DG100)</f>
        <v>#NAME?</v>
      </c>
      <c r="DI100" s="86" t="e">
        <f ca="1">IF(DH100=1,_xll.RiskBinomial(1,Prob_illness_Noro_infection),0)</f>
        <v>#NAME?</v>
      </c>
      <c r="DK100" s="85" t="e">
        <f t="shared" ca="1" si="117"/>
        <v>#NAME?</v>
      </c>
      <c r="DL100" s="40" t="e">
        <f ca="1">INT(DK100) + _xll.RiskBinomial(1,DK100-INT(DK100))</f>
        <v>#NAME?</v>
      </c>
      <c r="DM100" s="33" t="e">
        <f t="shared" ca="1" si="90"/>
        <v>#NAME?</v>
      </c>
      <c r="DN100" s="38" t="e">
        <f ca="1">_xll.RiskBinomial(1,DM100)</f>
        <v>#NAME?</v>
      </c>
      <c r="DO100" s="86" t="e">
        <f ca="1">IF(DN100=1,_xll.RiskBinomial(1,Prob_illness_Noro_infection),0)</f>
        <v>#NAME?</v>
      </c>
      <c r="DQ100" s="85" t="e">
        <f t="shared" ca="1" si="118"/>
        <v>#NAME?</v>
      </c>
      <c r="DR100" s="40" t="e">
        <f ca="1">INT(DQ100) + _xll.RiskBinomial(1,DQ100-INT(DQ100))</f>
        <v>#NAME?</v>
      </c>
      <c r="DS100" s="33" t="e">
        <f t="shared" ca="1" si="91"/>
        <v>#NAME?</v>
      </c>
      <c r="DT100" s="38" t="e">
        <f ca="1">_xll.RiskBinomial(1,DS100)</f>
        <v>#NAME?</v>
      </c>
      <c r="DU100" s="86" t="e">
        <f ca="1">IF(DT100=1,_xll.RiskBinomial(1,Prob_illness_Noro_infection),0)</f>
        <v>#NAME?</v>
      </c>
      <c r="DW100" s="85" t="e">
        <f t="shared" ca="1" si="119"/>
        <v>#NAME?</v>
      </c>
      <c r="DX100" s="40" t="e">
        <f ca="1">INT(DW100) + _xll.RiskBinomial(1,DW100-INT(DW100))</f>
        <v>#NAME?</v>
      </c>
      <c r="DY100" s="33" t="e">
        <f t="shared" ca="1" si="92"/>
        <v>#NAME?</v>
      </c>
      <c r="DZ100" s="38" t="e">
        <f ca="1">_xll.RiskBinomial(1,DY100)</f>
        <v>#NAME?</v>
      </c>
      <c r="EA100" s="86" t="e">
        <f ca="1">IF(DZ100=1,_xll.RiskBinomial(1,Prob_illness_Noro_infection),0)</f>
        <v>#NAME?</v>
      </c>
      <c r="EC100" s="85" t="e">
        <f t="shared" ca="1" si="120"/>
        <v>#NAME?</v>
      </c>
      <c r="ED100" s="40" t="e">
        <f ca="1">INT(EC100) + _xll.RiskBinomial(1,EC100-INT(EC100))</f>
        <v>#NAME?</v>
      </c>
      <c r="EE100" s="33" t="e">
        <f t="shared" ca="1" si="93"/>
        <v>#NAME?</v>
      </c>
      <c r="EF100" s="38" t="e">
        <f ca="1">_xll.RiskBinomial(1,EE100)</f>
        <v>#NAME?</v>
      </c>
      <c r="EG100" s="86" t="e">
        <f ca="1">IF(EF100=1,_xll.RiskBinomial(1,Prob_illness_Noro_infection),0)</f>
        <v>#NAME?</v>
      </c>
      <c r="EI100" s="85" t="e">
        <f t="shared" ca="1" si="121"/>
        <v>#NAME?</v>
      </c>
      <c r="EJ100" s="40" t="e">
        <f ca="1">INT(EI100) + _xll.RiskBinomial(1,EI100-INT(EI100))</f>
        <v>#NAME?</v>
      </c>
      <c r="EK100" s="33" t="e">
        <f t="shared" ca="1" si="94"/>
        <v>#NAME?</v>
      </c>
      <c r="EL100" s="38" t="e">
        <f ca="1">_xll.RiskBinomial(1,EK100)</f>
        <v>#NAME?</v>
      </c>
      <c r="EM100" s="86" t="e">
        <f ca="1">IF(EL100=1,_xll.RiskBinomial(1,Prob_illness_Noro_infection),0)</f>
        <v>#NAME?</v>
      </c>
      <c r="EO100" s="85" t="e">
        <f t="shared" ca="1" si="122"/>
        <v>#NAME?</v>
      </c>
      <c r="EP100" s="40" t="e">
        <f ca="1">INT(EO100) + _xll.RiskBinomial(1,EO100-INT(EO100))</f>
        <v>#NAME?</v>
      </c>
      <c r="EQ100" s="33" t="e">
        <f t="shared" ca="1" si="95"/>
        <v>#NAME?</v>
      </c>
      <c r="ER100" s="38" t="e">
        <f ca="1">_xll.RiskBinomial(1,EQ100)</f>
        <v>#NAME?</v>
      </c>
      <c r="ES100" s="86" t="e">
        <f ca="1">IF(ER100=1,_xll.RiskBinomial(1,Prob_illness_Noro_infection),0)</f>
        <v>#NAME?</v>
      </c>
      <c r="EU100" s="85" t="e">
        <f t="shared" ca="1" si="123"/>
        <v>#NAME?</v>
      </c>
      <c r="EV100" s="40" t="e">
        <f ca="1">INT(EU100) + _xll.RiskBinomial(1,EU100-INT(EU100))</f>
        <v>#NAME?</v>
      </c>
      <c r="EW100" s="33" t="e">
        <f t="shared" ca="1" si="96"/>
        <v>#NAME?</v>
      </c>
      <c r="EX100" s="38" t="e">
        <f ca="1">_xll.RiskBinomial(1,EW100)</f>
        <v>#NAME?</v>
      </c>
      <c r="EY100" s="86" t="e">
        <f ca="1">IF(EX100=1,_xll.RiskBinomial(1,Prob_illness_Noro_infection),0)</f>
        <v>#NAME?</v>
      </c>
      <c r="FA100" s="85" t="e">
        <f t="shared" ca="1" si="124"/>
        <v>#NAME?</v>
      </c>
      <c r="FB100" s="40" t="e">
        <f ca="1">INT(FA100) + _xll.RiskBinomial(1,FA100-INT(FA100))</f>
        <v>#NAME?</v>
      </c>
      <c r="FC100" s="33" t="e">
        <f t="shared" ca="1" si="97"/>
        <v>#NAME?</v>
      </c>
      <c r="FD100" s="38" t="e">
        <f ca="1">_xll.RiskBinomial(1,FC100)</f>
        <v>#NAME?</v>
      </c>
      <c r="FE100" s="86" t="e">
        <f ca="1">IF(FD100=1,_xll.RiskBinomial(1,Prob_illness_Noro_infection),0)</f>
        <v>#NAME?</v>
      </c>
      <c r="FG100" s="85" t="e">
        <f t="shared" ca="1" si="125"/>
        <v>#NAME?</v>
      </c>
      <c r="FH100" s="40" t="e">
        <f ca="1">INT(FG100) + _xll.RiskBinomial(1,FG100-INT(FG100))</f>
        <v>#NAME?</v>
      </c>
      <c r="FI100" s="33" t="e">
        <f t="shared" ca="1" si="98"/>
        <v>#NAME?</v>
      </c>
      <c r="FJ100" s="38" t="e">
        <f ca="1">_xll.RiskBinomial(1,FI100)</f>
        <v>#NAME?</v>
      </c>
      <c r="FK100" s="86" t="e">
        <f ca="1">IF(FJ100=1,_xll.RiskBinomial(1,Prob_illness_Noro_infection),0)</f>
        <v>#NAME?</v>
      </c>
      <c r="FM100" s="85" t="e">
        <f t="shared" ca="1" si="126"/>
        <v>#NAME?</v>
      </c>
      <c r="FN100" s="40" t="e">
        <f ca="1">INT(FM100) + _xll.RiskBinomial(1,FM100-INT(FM100))</f>
        <v>#NAME?</v>
      </c>
      <c r="FO100" s="33" t="e">
        <f t="shared" ca="1" si="99"/>
        <v>#NAME?</v>
      </c>
      <c r="FP100" s="38" t="e">
        <f ca="1">_xll.RiskBinomial(1,FO100)</f>
        <v>#NAME?</v>
      </c>
      <c r="FQ100" s="86" t="e">
        <f ca="1">IF(FP100=1,_xll.RiskBinomial(1,Prob_illness_Noro_infection),0)</f>
        <v>#NAME?</v>
      </c>
      <c r="FS100" s="85" t="e">
        <f t="shared" ca="1" si="127"/>
        <v>#NAME?</v>
      </c>
      <c r="FT100" s="40" t="e">
        <f ca="1">INT(FS100) + _xll.RiskBinomial(1,FS100-INT(FS100))</f>
        <v>#NAME?</v>
      </c>
      <c r="FU100" s="33" t="e">
        <f t="shared" ca="1" si="100"/>
        <v>#NAME?</v>
      </c>
      <c r="FV100" s="38" t="e">
        <f ca="1">_xll.RiskBinomial(1,FU100)</f>
        <v>#NAME?</v>
      </c>
      <c r="FW100" s="86" t="e">
        <f ca="1">IF(FV100=1,_xll.RiskBinomial(1,Prob_illness_Noro_infection),0)</f>
        <v>#NAME?</v>
      </c>
      <c r="FY100" s="85" t="e">
        <f t="shared" ca="1" si="128"/>
        <v>#NAME?</v>
      </c>
      <c r="FZ100" s="40" t="e">
        <f ca="1">INT(FY100) + _xll.RiskBinomial(1,FY100-INT(FY100))</f>
        <v>#NAME?</v>
      </c>
      <c r="GA100" s="33" t="e">
        <f t="shared" ca="1" si="101"/>
        <v>#NAME?</v>
      </c>
      <c r="GB100" s="38" t="e">
        <f ca="1">_xll.RiskBinomial(1,GA100)</f>
        <v>#NAME?</v>
      </c>
      <c r="GC100" s="86" t="e">
        <f ca="1">IF(GB100=1,_xll.RiskBinomial(1,Prob_illness_Noro_infection),0)</f>
        <v>#NAME?</v>
      </c>
      <c r="GE100" s="85" t="e">
        <f t="shared" ca="1" si="129"/>
        <v>#NAME?</v>
      </c>
      <c r="GF100" s="40" t="e">
        <f ca="1">INT(GE100) + _xll.RiskBinomial(1,GE100-INT(GE100))</f>
        <v>#NAME?</v>
      </c>
      <c r="GG100" s="33" t="e">
        <f t="shared" ca="1" si="102"/>
        <v>#NAME?</v>
      </c>
      <c r="GH100" s="38" t="e">
        <f ca="1">_xll.RiskBinomial(1,GG100)</f>
        <v>#NAME?</v>
      </c>
      <c r="GI100" s="86" t="e">
        <f ca="1">IF(GH100=1,_xll.RiskBinomial(1,Prob_illness_Noro_infection),0)</f>
        <v>#NAME?</v>
      </c>
      <c r="GK100" s="85" t="e">
        <f t="shared" ca="1" si="130"/>
        <v>#NAME?</v>
      </c>
      <c r="GL100" s="40" t="e">
        <f ca="1">INT(GK100) + _xll.RiskBinomial(1,GK100-INT(GK100))</f>
        <v>#NAME?</v>
      </c>
      <c r="GM100" s="33" t="e">
        <f t="shared" ca="1" si="103"/>
        <v>#NAME?</v>
      </c>
      <c r="GN100" s="38" t="e">
        <f ca="1">_xll.RiskBinomial(1,GM100)</f>
        <v>#NAME?</v>
      </c>
      <c r="GO100" s="86" t="e">
        <f ca="1">IF(GN100=1,_xll.RiskBinomial(1,Prob_illness_Noro_infection),0)</f>
        <v>#NAME?</v>
      </c>
    </row>
    <row r="101" spans="2:197" x14ac:dyDescent="0.25">
      <c r="B101" s="106">
        <v>93</v>
      </c>
      <c r="C101" s="109" t="e">
        <f ca="1" xml:space="preserve"> _xll.RiskPert(Dur_Swim_hours_min,Dur_Swim_hours_mode,Dur_Swim_hours_max)</f>
        <v>#NAME?</v>
      </c>
      <c r="D101" s="33" t="e">
        <f ca="1">_xll.RiskLognorm(Primary_Ing_Rate_mL_per_hour_mean,Primary_Ing_Rate_mL_per_hour_sd, _xll.RiskTruncate(Primary_Ing_Rate_mL_per_hour_min,Primary_Ing_Rate_mL_per_hour_max))</f>
        <v>#NAME?</v>
      </c>
      <c r="E101" s="41" t="e">
        <f t="shared" ca="1" si="104"/>
        <v>#NAME?</v>
      </c>
      <c r="F101" s="33"/>
      <c r="G101" s="85" t="e">
        <f t="shared" ca="1" si="105"/>
        <v>#NAME?</v>
      </c>
      <c r="H101" s="40" t="e">
        <f ca="1">INT(G101) + _xll.RiskBinomial(1,G101-INT(G101))</f>
        <v>#NAME?</v>
      </c>
      <c r="I101" s="33" t="e">
        <f t="shared" ca="1" si="66"/>
        <v>#NAME?</v>
      </c>
      <c r="J101" s="38" t="e">
        <f ca="1">_xll.RiskBinomial(1,I101)</f>
        <v>#NAME?</v>
      </c>
      <c r="K101" s="86" t="e">
        <f ca="1">IF(J101=1,_xll.RiskBinomial(1,Prob_illness_Noro_infection),0)</f>
        <v>#NAME?</v>
      </c>
      <c r="L101" s="33"/>
      <c r="M101" s="85" t="e">
        <f t="shared" ca="1" si="67"/>
        <v>#NAME?</v>
      </c>
      <c r="N101" s="40" t="e">
        <f ca="1">INT(M101) + _xll.RiskBinomial(1,M101-INT(M101))</f>
        <v>#NAME?</v>
      </c>
      <c r="O101" s="33" t="e">
        <f t="shared" ca="1" si="68"/>
        <v>#NAME?</v>
      </c>
      <c r="P101" s="38" t="e">
        <f ca="1">_xll.RiskBinomial(1,O101)</f>
        <v>#NAME?</v>
      </c>
      <c r="Q101" s="86" t="e">
        <f ca="1">IF(P101=1,_xll.RiskBinomial(1,Prob_illness_Noro_infection),0)</f>
        <v>#NAME?</v>
      </c>
      <c r="R101" s="33"/>
      <c r="S101" s="85" t="e">
        <f t="shared" ca="1" si="69"/>
        <v>#NAME?</v>
      </c>
      <c r="T101" s="40" t="e">
        <f ca="1">INT(S101) + _xll.RiskBinomial(1,S101-INT(S101))</f>
        <v>#NAME?</v>
      </c>
      <c r="U101" s="33" t="e">
        <f t="shared" ca="1" si="70"/>
        <v>#NAME?</v>
      </c>
      <c r="V101" s="38" t="e">
        <f ca="1">_xll.RiskBinomial(1,U101)</f>
        <v>#NAME?</v>
      </c>
      <c r="W101" s="86" t="e">
        <f ca="1">IF(V101=1,_xll.RiskBinomial(1,Prob_illness_Noro_infection),0)</f>
        <v>#NAME?</v>
      </c>
      <c r="X101" s="33"/>
      <c r="Y101" s="85" t="e">
        <f t="shared" ca="1" si="71"/>
        <v>#NAME?</v>
      </c>
      <c r="Z101" s="40" t="e">
        <f ca="1">INT(Y101) + _xll.RiskBinomial(1,Y101-INT(Y101))</f>
        <v>#NAME?</v>
      </c>
      <c r="AA101" s="33" t="e">
        <f t="shared" ca="1" si="72"/>
        <v>#NAME?</v>
      </c>
      <c r="AB101" s="38" t="e">
        <f ca="1">_xll.RiskBinomial(1,AA101)</f>
        <v>#NAME?</v>
      </c>
      <c r="AC101" s="86" t="e">
        <f ca="1">IF(AB101=1,_xll.RiskBinomial(1,Prob_illness_Noro_infection),0)</f>
        <v>#NAME?</v>
      </c>
      <c r="AD101" s="33"/>
      <c r="AE101" s="85" t="e">
        <f t="shared" ca="1" si="73"/>
        <v>#NAME?</v>
      </c>
      <c r="AF101" s="40" t="e">
        <f ca="1">INT(AE101) + _xll.RiskBinomial(1,AE101-INT(AE101))</f>
        <v>#NAME?</v>
      </c>
      <c r="AG101" s="33" t="e">
        <f t="shared" ca="1" si="74"/>
        <v>#NAME?</v>
      </c>
      <c r="AH101" s="38" t="e">
        <f ca="1">_xll.RiskBinomial(1,AG101)</f>
        <v>#NAME?</v>
      </c>
      <c r="AI101" s="86" t="e">
        <f ca="1">IF(AH101=1,_xll.RiskBinomial(1,Prob_illness_Noro_infection),0)</f>
        <v>#NAME?</v>
      </c>
      <c r="AJ101" s="33"/>
      <c r="AK101" s="85" t="e">
        <f t="shared" ca="1" si="75"/>
        <v>#NAME?</v>
      </c>
      <c r="AL101" s="40" t="e">
        <f ca="1">INT(AK101) + _xll.RiskBinomial(1,AK101-INT(AK101))</f>
        <v>#NAME?</v>
      </c>
      <c r="AM101" s="33" t="e">
        <f t="shared" ca="1" si="76"/>
        <v>#NAME?</v>
      </c>
      <c r="AN101" s="38" t="e">
        <f ca="1">_xll.RiskBinomial(1,AM101)</f>
        <v>#NAME?</v>
      </c>
      <c r="AO101" s="86" t="e">
        <f ca="1">IF(AN101=1,_xll.RiskBinomial(1,Prob_illness_Noro_infection),0)</f>
        <v>#NAME?</v>
      </c>
      <c r="AP101" s="33"/>
      <c r="AQ101" s="85" t="e">
        <f t="shared" ca="1" si="77"/>
        <v>#NAME?</v>
      </c>
      <c r="AR101" s="40" t="e">
        <f ca="1">INT(AQ101) + _xll.RiskBinomial(1,AQ101-INT(AQ101))</f>
        <v>#NAME?</v>
      </c>
      <c r="AS101" s="33" t="e">
        <f t="shared" ca="1" si="78"/>
        <v>#NAME?</v>
      </c>
      <c r="AT101" s="38" t="e">
        <f ca="1">_xll.RiskBinomial(1,AS101)</f>
        <v>#NAME?</v>
      </c>
      <c r="AU101" s="86" t="e">
        <f ca="1">IF(AT101=1,_xll.RiskBinomial(1,Prob_illness_Noro_infection),0)</f>
        <v>#NAME?</v>
      </c>
      <c r="AV101" s="33"/>
      <c r="AW101" s="85" t="e">
        <f t="shared" ca="1" si="106"/>
        <v>#NAME?</v>
      </c>
      <c r="AX101" s="40" t="e">
        <f ca="1">INT(AW101) + _xll.RiskBinomial(1,AW101-INT(AW101))</f>
        <v>#NAME?</v>
      </c>
      <c r="AY101" s="33" t="e">
        <f t="shared" ca="1" si="79"/>
        <v>#NAME?</v>
      </c>
      <c r="AZ101" s="38" t="e">
        <f ca="1">_xll.RiskBinomial(1,AY101)</f>
        <v>#NAME?</v>
      </c>
      <c r="BA101" s="86" t="e">
        <f ca="1">IF(AZ101=1,_xll.RiskBinomial(1,Prob_illness_Noro_infection),0)</f>
        <v>#NAME?</v>
      </c>
      <c r="BC101" s="85" t="e">
        <f t="shared" ca="1" si="107"/>
        <v>#NAME?</v>
      </c>
      <c r="BD101" s="40" t="e">
        <f ca="1">INT(BC101) + _xll.RiskBinomial(1,BC101-INT(BC101))</f>
        <v>#NAME?</v>
      </c>
      <c r="BE101" s="33" t="e">
        <f t="shared" ca="1" si="80"/>
        <v>#NAME?</v>
      </c>
      <c r="BF101" s="38" t="e">
        <f ca="1">_xll.RiskBinomial(1,BE101)</f>
        <v>#NAME?</v>
      </c>
      <c r="BG101" s="86" t="e">
        <f ca="1">IF(BF101=1,_xll.RiskBinomial(1,Prob_illness_Noro_infection),0)</f>
        <v>#NAME?</v>
      </c>
      <c r="BI101" s="85" t="e">
        <f t="shared" ca="1" si="108"/>
        <v>#NAME?</v>
      </c>
      <c r="BJ101" s="40" t="e">
        <f ca="1">INT(BI101) + _xll.RiskBinomial(1,BI101-INT(BI101))</f>
        <v>#NAME?</v>
      </c>
      <c r="BK101" s="33" t="e">
        <f t="shared" ca="1" si="81"/>
        <v>#NAME?</v>
      </c>
      <c r="BL101" s="38" t="e">
        <f ca="1">_xll.RiskBinomial(1,BK101)</f>
        <v>#NAME?</v>
      </c>
      <c r="BM101" s="86" t="e">
        <f ca="1">IF(BL101=1,_xll.RiskBinomial(1,Prob_illness_Noro_infection),0)</f>
        <v>#NAME?</v>
      </c>
      <c r="BO101" s="85" t="e">
        <f t="shared" ca="1" si="109"/>
        <v>#NAME?</v>
      </c>
      <c r="BP101" s="40" t="e">
        <f ca="1">INT(BO101) + _xll.RiskBinomial(1,BO101-INT(BO101))</f>
        <v>#NAME?</v>
      </c>
      <c r="BQ101" s="33" t="e">
        <f t="shared" ca="1" si="82"/>
        <v>#NAME?</v>
      </c>
      <c r="BR101" s="38" t="e">
        <f ca="1">_xll.RiskBinomial(1,BQ101)</f>
        <v>#NAME?</v>
      </c>
      <c r="BS101" s="86" t="e">
        <f ca="1">IF(BR101=1,_xll.RiskBinomial(1,Prob_illness_Noro_infection),0)</f>
        <v>#NAME?</v>
      </c>
      <c r="BU101" s="85" t="e">
        <f t="shared" ca="1" si="110"/>
        <v>#NAME?</v>
      </c>
      <c r="BV101" s="40" t="e">
        <f ca="1">INT(BU101) + _xll.RiskBinomial(1,BU101-INT(BU101))</f>
        <v>#NAME?</v>
      </c>
      <c r="BW101" s="33" t="e">
        <f t="shared" ca="1" si="83"/>
        <v>#NAME?</v>
      </c>
      <c r="BX101" s="38" t="e">
        <f ca="1">_xll.RiskBinomial(1,BW101)</f>
        <v>#NAME?</v>
      </c>
      <c r="BY101" s="86" t="e">
        <f ca="1">IF(BX101=1,_xll.RiskBinomial(1,Prob_illness_Noro_infection),0)</f>
        <v>#NAME?</v>
      </c>
      <c r="CA101" s="85" t="e">
        <f t="shared" ca="1" si="111"/>
        <v>#NAME?</v>
      </c>
      <c r="CB101" s="40" t="e">
        <f ca="1">INT(CA101) + _xll.RiskBinomial(1,CA101-INT(CA101))</f>
        <v>#NAME?</v>
      </c>
      <c r="CC101" s="33" t="e">
        <f t="shared" ca="1" si="84"/>
        <v>#NAME?</v>
      </c>
      <c r="CD101" s="38" t="e">
        <f ca="1">_xll.RiskBinomial(1,CC101)</f>
        <v>#NAME?</v>
      </c>
      <c r="CE101" s="86" t="e">
        <f ca="1">IF(CD101=1,_xll.RiskBinomial(1,Prob_illness_Noro_infection),0)</f>
        <v>#NAME?</v>
      </c>
      <c r="CG101" s="85" t="e">
        <f t="shared" ca="1" si="112"/>
        <v>#NAME?</v>
      </c>
      <c r="CH101" s="40" t="e">
        <f ca="1">INT(CG101) + _xll.RiskBinomial(1,CG101-INT(CG101))</f>
        <v>#NAME?</v>
      </c>
      <c r="CI101" s="33" t="e">
        <f t="shared" ca="1" si="85"/>
        <v>#NAME?</v>
      </c>
      <c r="CJ101" s="38" t="e">
        <f ca="1">_xll.RiskBinomial(1,CI101)</f>
        <v>#NAME?</v>
      </c>
      <c r="CK101" s="86" t="e">
        <f ca="1">IF(CJ101=1,_xll.RiskBinomial(1,Prob_illness_Noro_infection),0)</f>
        <v>#NAME?</v>
      </c>
      <c r="CM101" s="85" t="e">
        <f t="shared" ca="1" si="113"/>
        <v>#NAME?</v>
      </c>
      <c r="CN101" s="40" t="e">
        <f ca="1">INT(CM101) + _xll.RiskBinomial(1,CM101-INT(CM101))</f>
        <v>#NAME?</v>
      </c>
      <c r="CO101" s="33" t="e">
        <f t="shared" ca="1" si="86"/>
        <v>#NAME?</v>
      </c>
      <c r="CP101" s="38" t="e">
        <f ca="1">_xll.RiskBinomial(1,CO101)</f>
        <v>#NAME?</v>
      </c>
      <c r="CQ101" s="86" t="e">
        <f ca="1">IF(CP101=1,_xll.RiskBinomial(1,Prob_illness_Noro_infection),0)</f>
        <v>#NAME?</v>
      </c>
      <c r="CS101" s="85" t="e">
        <f t="shared" ca="1" si="114"/>
        <v>#NAME?</v>
      </c>
      <c r="CT101" s="40" t="e">
        <f ca="1">INT(CS101) + _xll.RiskBinomial(1,CS101-INT(CS101))</f>
        <v>#NAME?</v>
      </c>
      <c r="CU101" s="33" t="e">
        <f t="shared" ca="1" si="87"/>
        <v>#NAME?</v>
      </c>
      <c r="CV101" s="38" t="e">
        <f ca="1">_xll.RiskBinomial(1,CU101)</f>
        <v>#NAME?</v>
      </c>
      <c r="CW101" s="86" t="e">
        <f ca="1">IF(CV101=1,_xll.RiskBinomial(1,Prob_illness_Noro_infection),0)</f>
        <v>#NAME?</v>
      </c>
      <c r="CY101" s="85" t="e">
        <f t="shared" ca="1" si="115"/>
        <v>#NAME?</v>
      </c>
      <c r="CZ101" s="40" t="e">
        <f ca="1">INT(CY101) + _xll.RiskBinomial(1,CY101-INT(CY101))</f>
        <v>#NAME?</v>
      </c>
      <c r="DA101" s="33" t="e">
        <f t="shared" ca="1" si="88"/>
        <v>#NAME?</v>
      </c>
      <c r="DB101" s="38" t="e">
        <f ca="1">_xll.RiskBinomial(1,DA101)</f>
        <v>#NAME?</v>
      </c>
      <c r="DC101" s="86" t="e">
        <f ca="1">IF(DB101=1,_xll.RiskBinomial(1,Prob_illness_Noro_infection),0)</f>
        <v>#NAME?</v>
      </c>
      <c r="DE101" s="85" t="e">
        <f t="shared" ca="1" si="116"/>
        <v>#NAME?</v>
      </c>
      <c r="DF101" s="40" t="e">
        <f ca="1">INT(DE101) + _xll.RiskBinomial(1,DE101-INT(DE101))</f>
        <v>#NAME?</v>
      </c>
      <c r="DG101" s="33" t="e">
        <f t="shared" ca="1" si="89"/>
        <v>#NAME?</v>
      </c>
      <c r="DH101" s="38" t="e">
        <f ca="1">_xll.RiskBinomial(1,DG101)</f>
        <v>#NAME?</v>
      </c>
      <c r="DI101" s="86" t="e">
        <f ca="1">IF(DH101=1,_xll.RiskBinomial(1,Prob_illness_Noro_infection),0)</f>
        <v>#NAME?</v>
      </c>
      <c r="DK101" s="85" t="e">
        <f t="shared" ca="1" si="117"/>
        <v>#NAME?</v>
      </c>
      <c r="DL101" s="40" t="e">
        <f ca="1">INT(DK101) + _xll.RiskBinomial(1,DK101-INT(DK101))</f>
        <v>#NAME?</v>
      </c>
      <c r="DM101" s="33" t="e">
        <f t="shared" ca="1" si="90"/>
        <v>#NAME?</v>
      </c>
      <c r="DN101" s="38" t="e">
        <f ca="1">_xll.RiskBinomial(1,DM101)</f>
        <v>#NAME?</v>
      </c>
      <c r="DO101" s="86" t="e">
        <f ca="1">IF(DN101=1,_xll.RiskBinomial(1,Prob_illness_Noro_infection),0)</f>
        <v>#NAME?</v>
      </c>
      <c r="DQ101" s="85" t="e">
        <f t="shared" ca="1" si="118"/>
        <v>#NAME?</v>
      </c>
      <c r="DR101" s="40" t="e">
        <f ca="1">INT(DQ101) + _xll.RiskBinomial(1,DQ101-INT(DQ101))</f>
        <v>#NAME?</v>
      </c>
      <c r="DS101" s="33" t="e">
        <f t="shared" ca="1" si="91"/>
        <v>#NAME?</v>
      </c>
      <c r="DT101" s="38" t="e">
        <f ca="1">_xll.RiskBinomial(1,DS101)</f>
        <v>#NAME?</v>
      </c>
      <c r="DU101" s="86" t="e">
        <f ca="1">IF(DT101=1,_xll.RiskBinomial(1,Prob_illness_Noro_infection),0)</f>
        <v>#NAME?</v>
      </c>
      <c r="DW101" s="85" t="e">
        <f t="shared" ca="1" si="119"/>
        <v>#NAME?</v>
      </c>
      <c r="DX101" s="40" t="e">
        <f ca="1">INT(DW101) + _xll.RiskBinomial(1,DW101-INT(DW101))</f>
        <v>#NAME?</v>
      </c>
      <c r="DY101" s="33" t="e">
        <f t="shared" ca="1" si="92"/>
        <v>#NAME?</v>
      </c>
      <c r="DZ101" s="38" t="e">
        <f ca="1">_xll.RiskBinomial(1,DY101)</f>
        <v>#NAME?</v>
      </c>
      <c r="EA101" s="86" t="e">
        <f ca="1">IF(DZ101=1,_xll.RiskBinomial(1,Prob_illness_Noro_infection),0)</f>
        <v>#NAME?</v>
      </c>
      <c r="EC101" s="85" t="e">
        <f t="shared" ca="1" si="120"/>
        <v>#NAME?</v>
      </c>
      <c r="ED101" s="40" t="e">
        <f ca="1">INT(EC101) + _xll.RiskBinomial(1,EC101-INT(EC101))</f>
        <v>#NAME?</v>
      </c>
      <c r="EE101" s="33" t="e">
        <f t="shared" ca="1" si="93"/>
        <v>#NAME?</v>
      </c>
      <c r="EF101" s="38" t="e">
        <f ca="1">_xll.RiskBinomial(1,EE101)</f>
        <v>#NAME?</v>
      </c>
      <c r="EG101" s="86" t="e">
        <f ca="1">IF(EF101=1,_xll.RiskBinomial(1,Prob_illness_Noro_infection),0)</f>
        <v>#NAME?</v>
      </c>
      <c r="EI101" s="85" t="e">
        <f t="shared" ca="1" si="121"/>
        <v>#NAME?</v>
      </c>
      <c r="EJ101" s="40" t="e">
        <f ca="1">INT(EI101) + _xll.RiskBinomial(1,EI101-INT(EI101))</f>
        <v>#NAME?</v>
      </c>
      <c r="EK101" s="33" t="e">
        <f t="shared" ca="1" si="94"/>
        <v>#NAME?</v>
      </c>
      <c r="EL101" s="38" t="e">
        <f ca="1">_xll.RiskBinomial(1,EK101)</f>
        <v>#NAME?</v>
      </c>
      <c r="EM101" s="86" t="e">
        <f ca="1">IF(EL101=1,_xll.RiskBinomial(1,Prob_illness_Noro_infection),0)</f>
        <v>#NAME?</v>
      </c>
      <c r="EO101" s="85" t="e">
        <f t="shared" ca="1" si="122"/>
        <v>#NAME?</v>
      </c>
      <c r="EP101" s="40" t="e">
        <f ca="1">INT(EO101) + _xll.RiskBinomial(1,EO101-INT(EO101))</f>
        <v>#NAME?</v>
      </c>
      <c r="EQ101" s="33" t="e">
        <f t="shared" ca="1" si="95"/>
        <v>#NAME?</v>
      </c>
      <c r="ER101" s="38" t="e">
        <f ca="1">_xll.RiskBinomial(1,EQ101)</f>
        <v>#NAME?</v>
      </c>
      <c r="ES101" s="86" t="e">
        <f ca="1">IF(ER101=1,_xll.RiskBinomial(1,Prob_illness_Noro_infection),0)</f>
        <v>#NAME?</v>
      </c>
      <c r="EU101" s="85" t="e">
        <f t="shared" ca="1" si="123"/>
        <v>#NAME?</v>
      </c>
      <c r="EV101" s="40" t="e">
        <f ca="1">INT(EU101) + _xll.RiskBinomial(1,EU101-INT(EU101))</f>
        <v>#NAME?</v>
      </c>
      <c r="EW101" s="33" t="e">
        <f t="shared" ca="1" si="96"/>
        <v>#NAME?</v>
      </c>
      <c r="EX101" s="38" t="e">
        <f ca="1">_xll.RiskBinomial(1,EW101)</f>
        <v>#NAME?</v>
      </c>
      <c r="EY101" s="86" t="e">
        <f ca="1">IF(EX101=1,_xll.RiskBinomial(1,Prob_illness_Noro_infection),0)</f>
        <v>#NAME?</v>
      </c>
      <c r="FA101" s="85" t="e">
        <f t="shared" ca="1" si="124"/>
        <v>#NAME?</v>
      </c>
      <c r="FB101" s="40" t="e">
        <f ca="1">INT(FA101) + _xll.RiskBinomial(1,FA101-INT(FA101))</f>
        <v>#NAME?</v>
      </c>
      <c r="FC101" s="33" t="e">
        <f t="shared" ca="1" si="97"/>
        <v>#NAME?</v>
      </c>
      <c r="FD101" s="38" t="e">
        <f ca="1">_xll.RiskBinomial(1,FC101)</f>
        <v>#NAME?</v>
      </c>
      <c r="FE101" s="86" t="e">
        <f ca="1">IF(FD101=1,_xll.RiskBinomial(1,Prob_illness_Noro_infection),0)</f>
        <v>#NAME?</v>
      </c>
      <c r="FG101" s="85" t="e">
        <f t="shared" ca="1" si="125"/>
        <v>#NAME?</v>
      </c>
      <c r="FH101" s="40" t="e">
        <f ca="1">INT(FG101) + _xll.RiskBinomial(1,FG101-INT(FG101))</f>
        <v>#NAME?</v>
      </c>
      <c r="FI101" s="33" t="e">
        <f t="shared" ca="1" si="98"/>
        <v>#NAME?</v>
      </c>
      <c r="FJ101" s="38" t="e">
        <f ca="1">_xll.RiskBinomial(1,FI101)</f>
        <v>#NAME?</v>
      </c>
      <c r="FK101" s="86" t="e">
        <f ca="1">IF(FJ101=1,_xll.RiskBinomial(1,Prob_illness_Noro_infection),0)</f>
        <v>#NAME?</v>
      </c>
      <c r="FM101" s="85" t="e">
        <f t="shared" ca="1" si="126"/>
        <v>#NAME?</v>
      </c>
      <c r="FN101" s="40" t="e">
        <f ca="1">INT(FM101) + _xll.RiskBinomial(1,FM101-INT(FM101))</f>
        <v>#NAME?</v>
      </c>
      <c r="FO101" s="33" t="e">
        <f t="shared" ca="1" si="99"/>
        <v>#NAME?</v>
      </c>
      <c r="FP101" s="38" t="e">
        <f ca="1">_xll.RiskBinomial(1,FO101)</f>
        <v>#NAME?</v>
      </c>
      <c r="FQ101" s="86" t="e">
        <f ca="1">IF(FP101=1,_xll.RiskBinomial(1,Prob_illness_Noro_infection),0)</f>
        <v>#NAME?</v>
      </c>
      <c r="FS101" s="85" t="e">
        <f t="shared" ca="1" si="127"/>
        <v>#NAME?</v>
      </c>
      <c r="FT101" s="40" t="e">
        <f ca="1">INT(FS101) + _xll.RiskBinomial(1,FS101-INT(FS101))</f>
        <v>#NAME?</v>
      </c>
      <c r="FU101" s="33" t="e">
        <f t="shared" ca="1" si="100"/>
        <v>#NAME?</v>
      </c>
      <c r="FV101" s="38" t="e">
        <f ca="1">_xll.RiskBinomial(1,FU101)</f>
        <v>#NAME?</v>
      </c>
      <c r="FW101" s="86" t="e">
        <f ca="1">IF(FV101=1,_xll.RiskBinomial(1,Prob_illness_Noro_infection),0)</f>
        <v>#NAME?</v>
      </c>
      <c r="FY101" s="85" t="e">
        <f t="shared" ca="1" si="128"/>
        <v>#NAME?</v>
      </c>
      <c r="FZ101" s="40" t="e">
        <f ca="1">INT(FY101) + _xll.RiskBinomial(1,FY101-INT(FY101))</f>
        <v>#NAME?</v>
      </c>
      <c r="GA101" s="33" t="e">
        <f t="shared" ca="1" si="101"/>
        <v>#NAME?</v>
      </c>
      <c r="GB101" s="38" t="e">
        <f ca="1">_xll.RiskBinomial(1,GA101)</f>
        <v>#NAME?</v>
      </c>
      <c r="GC101" s="86" t="e">
        <f ca="1">IF(GB101=1,_xll.RiskBinomial(1,Prob_illness_Noro_infection),0)</f>
        <v>#NAME?</v>
      </c>
      <c r="GE101" s="85" t="e">
        <f t="shared" ca="1" si="129"/>
        <v>#NAME?</v>
      </c>
      <c r="GF101" s="40" t="e">
        <f ca="1">INT(GE101) + _xll.RiskBinomial(1,GE101-INT(GE101))</f>
        <v>#NAME?</v>
      </c>
      <c r="GG101" s="33" t="e">
        <f t="shared" ca="1" si="102"/>
        <v>#NAME?</v>
      </c>
      <c r="GH101" s="38" t="e">
        <f ca="1">_xll.RiskBinomial(1,GG101)</f>
        <v>#NAME?</v>
      </c>
      <c r="GI101" s="86" t="e">
        <f ca="1">IF(GH101=1,_xll.RiskBinomial(1,Prob_illness_Noro_infection),0)</f>
        <v>#NAME?</v>
      </c>
      <c r="GK101" s="85" t="e">
        <f t="shared" ca="1" si="130"/>
        <v>#NAME?</v>
      </c>
      <c r="GL101" s="40" t="e">
        <f ca="1">INT(GK101) + _xll.RiskBinomial(1,GK101-INT(GK101))</f>
        <v>#NAME?</v>
      </c>
      <c r="GM101" s="33" t="e">
        <f t="shared" ca="1" si="103"/>
        <v>#NAME?</v>
      </c>
      <c r="GN101" s="38" t="e">
        <f ca="1">_xll.RiskBinomial(1,GM101)</f>
        <v>#NAME?</v>
      </c>
      <c r="GO101" s="86" t="e">
        <f ca="1">IF(GN101=1,_xll.RiskBinomial(1,Prob_illness_Noro_infection),0)</f>
        <v>#NAME?</v>
      </c>
    </row>
    <row r="102" spans="2:197" x14ac:dyDescent="0.25">
      <c r="B102" s="106">
        <v>94</v>
      </c>
      <c r="C102" s="109" t="e">
        <f ca="1" xml:space="preserve"> _xll.RiskPert(Dur_Swim_hours_min,Dur_Swim_hours_mode,Dur_Swim_hours_max)</f>
        <v>#NAME?</v>
      </c>
      <c r="D102" s="33" t="e">
        <f ca="1">_xll.RiskLognorm(Primary_Ing_Rate_mL_per_hour_mean,Primary_Ing_Rate_mL_per_hour_sd, _xll.RiskTruncate(Primary_Ing_Rate_mL_per_hour_min,Primary_Ing_Rate_mL_per_hour_max))</f>
        <v>#NAME?</v>
      </c>
      <c r="E102" s="41" t="e">
        <f t="shared" ca="1" si="104"/>
        <v>#NAME?</v>
      </c>
      <c r="F102" s="33"/>
      <c r="G102" s="85" t="e">
        <f t="shared" ca="1" si="105"/>
        <v>#NAME?</v>
      </c>
      <c r="H102" s="40" t="e">
        <f ca="1">INT(G102) + _xll.RiskBinomial(1,G102-INT(G102))</f>
        <v>#NAME?</v>
      </c>
      <c r="I102" s="33" t="e">
        <f t="shared" ca="1" si="66"/>
        <v>#NAME?</v>
      </c>
      <c r="J102" s="38" t="e">
        <f ca="1">_xll.RiskBinomial(1,I102)</f>
        <v>#NAME?</v>
      </c>
      <c r="K102" s="86" t="e">
        <f ca="1">IF(J102=1,_xll.RiskBinomial(1,Prob_illness_Noro_infection),0)</f>
        <v>#NAME?</v>
      </c>
      <c r="L102" s="33"/>
      <c r="M102" s="85" t="e">
        <f t="shared" ca="1" si="67"/>
        <v>#NAME?</v>
      </c>
      <c r="N102" s="40" t="e">
        <f ca="1">INT(M102) + _xll.RiskBinomial(1,M102-INT(M102))</f>
        <v>#NAME?</v>
      </c>
      <c r="O102" s="33" t="e">
        <f t="shared" ca="1" si="68"/>
        <v>#NAME?</v>
      </c>
      <c r="P102" s="38" t="e">
        <f ca="1">_xll.RiskBinomial(1,O102)</f>
        <v>#NAME?</v>
      </c>
      <c r="Q102" s="86" t="e">
        <f ca="1">IF(P102=1,_xll.RiskBinomial(1,Prob_illness_Noro_infection),0)</f>
        <v>#NAME?</v>
      </c>
      <c r="R102" s="33"/>
      <c r="S102" s="85" t="e">
        <f t="shared" ca="1" si="69"/>
        <v>#NAME?</v>
      </c>
      <c r="T102" s="40" t="e">
        <f ca="1">INT(S102) + _xll.RiskBinomial(1,S102-INT(S102))</f>
        <v>#NAME?</v>
      </c>
      <c r="U102" s="33" t="e">
        <f t="shared" ca="1" si="70"/>
        <v>#NAME?</v>
      </c>
      <c r="V102" s="38" t="e">
        <f ca="1">_xll.RiskBinomial(1,U102)</f>
        <v>#NAME?</v>
      </c>
      <c r="W102" s="86" t="e">
        <f ca="1">IF(V102=1,_xll.RiskBinomial(1,Prob_illness_Noro_infection),0)</f>
        <v>#NAME?</v>
      </c>
      <c r="X102" s="33"/>
      <c r="Y102" s="85" t="e">
        <f t="shared" ca="1" si="71"/>
        <v>#NAME?</v>
      </c>
      <c r="Z102" s="40" t="e">
        <f ca="1">INT(Y102) + _xll.RiskBinomial(1,Y102-INT(Y102))</f>
        <v>#NAME?</v>
      </c>
      <c r="AA102" s="33" t="e">
        <f t="shared" ca="1" si="72"/>
        <v>#NAME?</v>
      </c>
      <c r="AB102" s="38" t="e">
        <f ca="1">_xll.RiskBinomial(1,AA102)</f>
        <v>#NAME?</v>
      </c>
      <c r="AC102" s="86" t="e">
        <f ca="1">IF(AB102=1,_xll.RiskBinomial(1,Prob_illness_Noro_infection),0)</f>
        <v>#NAME?</v>
      </c>
      <c r="AD102" s="33"/>
      <c r="AE102" s="85" t="e">
        <f t="shared" ca="1" si="73"/>
        <v>#NAME?</v>
      </c>
      <c r="AF102" s="40" t="e">
        <f ca="1">INT(AE102) + _xll.RiskBinomial(1,AE102-INT(AE102))</f>
        <v>#NAME?</v>
      </c>
      <c r="AG102" s="33" t="e">
        <f t="shared" ca="1" si="74"/>
        <v>#NAME?</v>
      </c>
      <c r="AH102" s="38" t="e">
        <f ca="1">_xll.RiskBinomial(1,AG102)</f>
        <v>#NAME?</v>
      </c>
      <c r="AI102" s="86" t="e">
        <f ca="1">IF(AH102=1,_xll.RiskBinomial(1,Prob_illness_Noro_infection),0)</f>
        <v>#NAME?</v>
      </c>
      <c r="AJ102" s="33"/>
      <c r="AK102" s="85" t="e">
        <f t="shared" ca="1" si="75"/>
        <v>#NAME?</v>
      </c>
      <c r="AL102" s="40" t="e">
        <f ca="1">INT(AK102) + _xll.RiskBinomial(1,AK102-INT(AK102))</f>
        <v>#NAME?</v>
      </c>
      <c r="AM102" s="33" t="e">
        <f t="shared" ca="1" si="76"/>
        <v>#NAME?</v>
      </c>
      <c r="AN102" s="38" t="e">
        <f ca="1">_xll.RiskBinomial(1,AM102)</f>
        <v>#NAME?</v>
      </c>
      <c r="AO102" s="86" t="e">
        <f ca="1">IF(AN102=1,_xll.RiskBinomial(1,Prob_illness_Noro_infection),0)</f>
        <v>#NAME?</v>
      </c>
      <c r="AP102" s="33"/>
      <c r="AQ102" s="85" t="e">
        <f t="shared" ca="1" si="77"/>
        <v>#NAME?</v>
      </c>
      <c r="AR102" s="40" t="e">
        <f ca="1">INT(AQ102) + _xll.RiskBinomial(1,AQ102-INT(AQ102))</f>
        <v>#NAME?</v>
      </c>
      <c r="AS102" s="33" t="e">
        <f t="shared" ca="1" si="78"/>
        <v>#NAME?</v>
      </c>
      <c r="AT102" s="38" t="e">
        <f ca="1">_xll.RiskBinomial(1,AS102)</f>
        <v>#NAME?</v>
      </c>
      <c r="AU102" s="86" t="e">
        <f ca="1">IF(AT102=1,_xll.RiskBinomial(1,Prob_illness_Noro_infection),0)</f>
        <v>#NAME?</v>
      </c>
      <c r="AV102" s="33"/>
      <c r="AW102" s="85" t="e">
        <f t="shared" ca="1" si="106"/>
        <v>#NAME?</v>
      </c>
      <c r="AX102" s="40" t="e">
        <f ca="1">INT(AW102) + _xll.RiskBinomial(1,AW102-INT(AW102))</f>
        <v>#NAME?</v>
      </c>
      <c r="AY102" s="33" t="e">
        <f t="shared" ca="1" si="79"/>
        <v>#NAME?</v>
      </c>
      <c r="AZ102" s="38" t="e">
        <f ca="1">_xll.RiskBinomial(1,AY102)</f>
        <v>#NAME?</v>
      </c>
      <c r="BA102" s="86" t="e">
        <f ca="1">IF(AZ102=1,_xll.RiskBinomial(1,Prob_illness_Noro_infection),0)</f>
        <v>#NAME?</v>
      </c>
      <c r="BC102" s="85" t="e">
        <f t="shared" ca="1" si="107"/>
        <v>#NAME?</v>
      </c>
      <c r="BD102" s="40" t="e">
        <f ca="1">INT(BC102) + _xll.RiskBinomial(1,BC102-INT(BC102))</f>
        <v>#NAME?</v>
      </c>
      <c r="BE102" s="33" t="e">
        <f t="shared" ca="1" si="80"/>
        <v>#NAME?</v>
      </c>
      <c r="BF102" s="38" t="e">
        <f ca="1">_xll.RiskBinomial(1,BE102)</f>
        <v>#NAME?</v>
      </c>
      <c r="BG102" s="86" t="e">
        <f ca="1">IF(BF102=1,_xll.RiskBinomial(1,Prob_illness_Noro_infection),0)</f>
        <v>#NAME?</v>
      </c>
      <c r="BI102" s="85" t="e">
        <f t="shared" ca="1" si="108"/>
        <v>#NAME?</v>
      </c>
      <c r="BJ102" s="40" t="e">
        <f ca="1">INT(BI102) + _xll.RiskBinomial(1,BI102-INT(BI102))</f>
        <v>#NAME?</v>
      </c>
      <c r="BK102" s="33" t="e">
        <f t="shared" ca="1" si="81"/>
        <v>#NAME?</v>
      </c>
      <c r="BL102" s="38" t="e">
        <f ca="1">_xll.RiskBinomial(1,BK102)</f>
        <v>#NAME?</v>
      </c>
      <c r="BM102" s="86" t="e">
        <f ca="1">IF(BL102=1,_xll.RiskBinomial(1,Prob_illness_Noro_infection),0)</f>
        <v>#NAME?</v>
      </c>
      <c r="BO102" s="85" t="e">
        <f t="shared" ca="1" si="109"/>
        <v>#NAME?</v>
      </c>
      <c r="BP102" s="40" t="e">
        <f ca="1">INT(BO102) + _xll.RiskBinomial(1,BO102-INT(BO102))</f>
        <v>#NAME?</v>
      </c>
      <c r="BQ102" s="33" t="e">
        <f t="shared" ca="1" si="82"/>
        <v>#NAME?</v>
      </c>
      <c r="BR102" s="38" t="e">
        <f ca="1">_xll.RiskBinomial(1,BQ102)</f>
        <v>#NAME?</v>
      </c>
      <c r="BS102" s="86" t="e">
        <f ca="1">IF(BR102=1,_xll.RiskBinomial(1,Prob_illness_Noro_infection),0)</f>
        <v>#NAME?</v>
      </c>
      <c r="BU102" s="85" t="e">
        <f t="shared" ca="1" si="110"/>
        <v>#NAME?</v>
      </c>
      <c r="BV102" s="40" t="e">
        <f ca="1">INT(BU102) + _xll.RiskBinomial(1,BU102-INT(BU102))</f>
        <v>#NAME?</v>
      </c>
      <c r="BW102" s="33" t="e">
        <f t="shared" ca="1" si="83"/>
        <v>#NAME?</v>
      </c>
      <c r="BX102" s="38" t="e">
        <f ca="1">_xll.RiskBinomial(1,BW102)</f>
        <v>#NAME?</v>
      </c>
      <c r="BY102" s="86" t="e">
        <f ca="1">IF(BX102=1,_xll.RiskBinomial(1,Prob_illness_Noro_infection),0)</f>
        <v>#NAME?</v>
      </c>
      <c r="CA102" s="85" t="e">
        <f t="shared" ca="1" si="111"/>
        <v>#NAME?</v>
      </c>
      <c r="CB102" s="40" t="e">
        <f ca="1">INT(CA102) + _xll.RiskBinomial(1,CA102-INT(CA102))</f>
        <v>#NAME?</v>
      </c>
      <c r="CC102" s="33" t="e">
        <f t="shared" ca="1" si="84"/>
        <v>#NAME?</v>
      </c>
      <c r="CD102" s="38" t="e">
        <f ca="1">_xll.RiskBinomial(1,CC102)</f>
        <v>#NAME?</v>
      </c>
      <c r="CE102" s="86" t="e">
        <f ca="1">IF(CD102=1,_xll.RiskBinomial(1,Prob_illness_Noro_infection),0)</f>
        <v>#NAME?</v>
      </c>
      <c r="CG102" s="85" t="e">
        <f t="shared" ca="1" si="112"/>
        <v>#NAME?</v>
      </c>
      <c r="CH102" s="40" t="e">
        <f ca="1">INT(CG102) + _xll.RiskBinomial(1,CG102-INT(CG102))</f>
        <v>#NAME?</v>
      </c>
      <c r="CI102" s="33" t="e">
        <f t="shared" ca="1" si="85"/>
        <v>#NAME?</v>
      </c>
      <c r="CJ102" s="38" t="e">
        <f ca="1">_xll.RiskBinomial(1,CI102)</f>
        <v>#NAME?</v>
      </c>
      <c r="CK102" s="86" t="e">
        <f ca="1">IF(CJ102=1,_xll.RiskBinomial(1,Prob_illness_Noro_infection),0)</f>
        <v>#NAME?</v>
      </c>
      <c r="CM102" s="85" t="e">
        <f t="shared" ca="1" si="113"/>
        <v>#NAME?</v>
      </c>
      <c r="CN102" s="40" t="e">
        <f ca="1">INT(CM102) + _xll.RiskBinomial(1,CM102-INT(CM102))</f>
        <v>#NAME?</v>
      </c>
      <c r="CO102" s="33" t="e">
        <f t="shared" ca="1" si="86"/>
        <v>#NAME?</v>
      </c>
      <c r="CP102" s="38" t="e">
        <f ca="1">_xll.RiskBinomial(1,CO102)</f>
        <v>#NAME?</v>
      </c>
      <c r="CQ102" s="86" t="e">
        <f ca="1">IF(CP102=1,_xll.RiskBinomial(1,Prob_illness_Noro_infection),0)</f>
        <v>#NAME?</v>
      </c>
      <c r="CS102" s="85" t="e">
        <f t="shared" ca="1" si="114"/>
        <v>#NAME?</v>
      </c>
      <c r="CT102" s="40" t="e">
        <f ca="1">INT(CS102) + _xll.RiskBinomial(1,CS102-INT(CS102))</f>
        <v>#NAME?</v>
      </c>
      <c r="CU102" s="33" t="e">
        <f t="shared" ca="1" si="87"/>
        <v>#NAME?</v>
      </c>
      <c r="CV102" s="38" t="e">
        <f ca="1">_xll.RiskBinomial(1,CU102)</f>
        <v>#NAME?</v>
      </c>
      <c r="CW102" s="86" t="e">
        <f ca="1">IF(CV102=1,_xll.RiskBinomial(1,Prob_illness_Noro_infection),0)</f>
        <v>#NAME?</v>
      </c>
      <c r="CY102" s="85" t="e">
        <f t="shared" ca="1" si="115"/>
        <v>#NAME?</v>
      </c>
      <c r="CZ102" s="40" t="e">
        <f ca="1">INT(CY102) + _xll.RiskBinomial(1,CY102-INT(CY102))</f>
        <v>#NAME?</v>
      </c>
      <c r="DA102" s="33" t="e">
        <f t="shared" ca="1" si="88"/>
        <v>#NAME?</v>
      </c>
      <c r="DB102" s="38" t="e">
        <f ca="1">_xll.RiskBinomial(1,DA102)</f>
        <v>#NAME?</v>
      </c>
      <c r="DC102" s="86" t="e">
        <f ca="1">IF(DB102=1,_xll.RiskBinomial(1,Prob_illness_Noro_infection),0)</f>
        <v>#NAME?</v>
      </c>
      <c r="DE102" s="85" t="e">
        <f t="shared" ca="1" si="116"/>
        <v>#NAME?</v>
      </c>
      <c r="DF102" s="40" t="e">
        <f ca="1">INT(DE102) + _xll.RiskBinomial(1,DE102-INT(DE102))</f>
        <v>#NAME?</v>
      </c>
      <c r="DG102" s="33" t="e">
        <f t="shared" ca="1" si="89"/>
        <v>#NAME?</v>
      </c>
      <c r="DH102" s="38" t="e">
        <f ca="1">_xll.RiskBinomial(1,DG102)</f>
        <v>#NAME?</v>
      </c>
      <c r="DI102" s="86" t="e">
        <f ca="1">IF(DH102=1,_xll.RiskBinomial(1,Prob_illness_Noro_infection),0)</f>
        <v>#NAME?</v>
      </c>
      <c r="DK102" s="85" t="e">
        <f t="shared" ca="1" si="117"/>
        <v>#NAME?</v>
      </c>
      <c r="DL102" s="40" t="e">
        <f ca="1">INT(DK102) + _xll.RiskBinomial(1,DK102-INT(DK102))</f>
        <v>#NAME?</v>
      </c>
      <c r="DM102" s="33" t="e">
        <f t="shared" ca="1" si="90"/>
        <v>#NAME?</v>
      </c>
      <c r="DN102" s="38" t="e">
        <f ca="1">_xll.RiskBinomial(1,DM102)</f>
        <v>#NAME?</v>
      </c>
      <c r="DO102" s="86" t="e">
        <f ca="1">IF(DN102=1,_xll.RiskBinomial(1,Prob_illness_Noro_infection),0)</f>
        <v>#NAME?</v>
      </c>
      <c r="DQ102" s="85" t="e">
        <f t="shared" ca="1" si="118"/>
        <v>#NAME?</v>
      </c>
      <c r="DR102" s="40" t="e">
        <f ca="1">INT(DQ102) + _xll.RiskBinomial(1,DQ102-INT(DQ102))</f>
        <v>#NAME?</v>
      </c>
      <c r="DS102" s="33" t="e">
        <f t="shared" ca="1" si="91"/>
        <v>#NAME?</v>
      </c>
      <c r="DT102" s="38" t="e">
        <f ca="1">_xll.RiskBinomial(1,DS102)</f>
        <v>#NAME?</v>
      </c>
      <c r="DU102" s="86" t="e">
        <f ca="1">IF(DT102=1,_xll.RiskBinomial(1,Prob_illness_Noro_infection),0)</f>
        <v>#NAME?</v>
      </c>
      <c r="DW102" s="85" t="e">
        <f t="shared" ca="1" si="119"/>
        <v>#NAME?</v>
      </c>
      <c r="DX102" s="40" t="e">
        <f ca="1">INT(DW102) + _xll.RiskBinomial(1,DW102-INT(DW102))</f>
        <v>#NAME?</v>
      </c>
      <c r="DY102" s="33" t="e">
        <f t="shared" ca="1" si="92"/>
        <v>#NAME?</v>
      </c>
      <c r="DZ102" s="38" t="e">
        <f ca="1">_xll.RiskBinomial(1,DY102)</f>
        <v>#NAME?</v>
      </c>
      <c r="EA102" s="86" t="e">
        <f ca="1">IF(DZ102=1,_xll.RiskBinomial(1,Prob_illness_Noro_infection),0)</f>
        <v>#NAME?</v>
      </c>
      <c r="EC102" s="85" t="e">
        <f t="shared" ca="1" si="120"/>
        <v>#NAME?</v>
      </c>
      <c r="ED102" s="40" t="e">
        <f ca="1">INT(EC102) + _xll.RiskBinomial(1,EC102-INT(EC102))</f>
        <v>#NAME?</v>
      </c>
      <c r="EE102" s="33" t="e">
        <f t="shared" ca="1" si="93"/>
        <v>#NAME?</v>
      </c>
      <c r="EF102" s="38" t="e">
        <f ca="1">_xll.RiskBinomial(1,EE102)</f>
        <v>#NAME?</v>
      </c>
      <c r="EG102" s="86" t="e">
        <f ca="1">IF(EF102=1,_xll.RiskBinomial(1,Prob_illness_Noro_infection),0)</f>
        <v>#NAME?</v>
      </c>
      <c r="EI102" s="85" t="e">
        <f t="shared" ca="1" si="121"/>
        <v>#NAME?</v>
      </c>
      <c r="EJ102" s="40" t="e">
        <f ca="1">INT(EI102) + _xll.RiskBinomial(1,EI102-INT(EI102))</f>
        <v>#NAME?</v>
      </c>
      <c r="EK102" s="33" t="e">
        <f t="shared" ca="1" si="94"/>
        <v>#NAME?</v>
      </c>
      <c r="EL102" s="38" t="e">
        <f ca="1">_xll.RiskBinomial(1,EK102)</f>
        <v>#NAME?</v>
      </c>
      <c r="EM102" s="86" t="e">
        <f ca="1">IF(EL102=1,_xll.RiskBinomial(1,Prob_illness_Noro_infection),0)</f>
        <v>#NAME?</v>
      </c>
      <c r="EO102" s="85" t="e">
        <f t="shared" ca="1" si="122"/>
        <v>#NAME?</v>
      </c>
      <c r="EP102" s="40" t="e">
        <f ca="1">INT(EO102) + _xll.RiskBinomial(1,EO102-INT(EO102))</f>
        <v>#NAME?</v>
      </c>
      <c r="EQ102" s="33" t="e">
        <f t="shared" ca="1" si="95"/>
        <v>#NAME?</v>
      </c>
      <c r="ER102" s="38" t="e">
        <f ca="1">_xll.RiskBinomial(1,EQ102)</f>
        <v>#NAME?</v>
      </c>
      <c r="ES102" s="86" t="e">
        <f ca="1">IF(ER102=1,_xll.RiskBinomial(1,Prob_illness_Noro_infection),0)</f>
        <v>#NAME?</v>
      </c>
      <c r="EU102" s="85" t="e">
        <f t="shared" ca="1" si="123"/>
        <v>#NAME?</v>
      </c>
      <c r="EV102" s="40" t="e">
        <f ca="1">INT(EU102) + _xll.RiskBinomial(1,EU102-INT(EU102))</f>
        <v>#NAME?</v>
      </c>
      <c r="EW102" s="33" t="e">
        <f t="shared" ca="1" si="96"/>
        <v>#NAME?</v>
      </c>
      <c r="EX102" s="38" t="e">
        <f ca="1">_xll.RiskBinomial(1,EW102)</f>
        <v>#NAME?</v>
      </c>
      <c r="EY102" s="86" t="e">
        <f ca="1">IF(EX102=1,_xll.RiskBinomial(1,Prob_illness_Noro_infection),0)</f>
        <v>#NAME?</v>
      </c>
      <c r="FA102" s="85" t="e">
        <f t="shared" ca="1" si="124"/>
        <v>#NAME?</v>
      </c>
      <c r="FB102" s="40" t="e">
        <f ca="1">INT(FA102) + _xll.RiskBinomial(1,FA102-INT(FA102))</f>
        <v>#NAME?</v>
      </c>
      <c r="FC102" s="33" t="e">
        <f t="shared" ca="1" si="97"/>
        <v>#NAME?</v>
      </c>
      <c r="FD102" s="38" t="e">
        <f ca="1">_xll.RiskBinomial(1,FC102)</f>
        <v>#NAME?</v>
      </c>
      <c r="FE102" s="86" t="e">
        <f ca="1">IF(FD102=1,_xll.RiskBinomial(1,Prob_illness_Noro_infection),0)</f>
        <v>#NAME?</v>
      </c>
      <c r="FG102" s="85" t="e">
        <f t="shared" ca="1" si="125"/>
        <v>#NAME?</v>
      </c>
      <c r="FH102" s="40" t="e">
        <f ca="1">INT(FG102) + _xll.RiskBinomial(1,FG102-INT(FG102))</f>
        <v>#NAME?</v>
      </c>
      <c r="FI102" s="33" t="e">
        <f t="shared" ca="1" si="98"/>
        <v>#NAME?</v>
      </c>
      <c r="FJ102" s="38" t="e">
        <f ca="1">_xll.RiskBinomial(1,FI102)</f>
        <v>#NAME?</v>
      </c>
      <c r="FK102" s="86" t="e">
        <f ca="1">IF(FJ102=1,_xll.RiskBinomial(1,Prob_illness_Noro_infection),0)</f>
        <v>#NAME?</v>
      </c>
      <c r="FM102" s="85" t="e">
        <f t="shared" ca="1" si="126"/>
        <v>#NAME?</v>
      </c>
      <c r="FN102" s="40" t="e">
        <f ca="1">INT(FM102) + _xll.RiskBinomial(1,FM102-INT(FM102))</f>
        <v>#NAME?</v>
      </c>
      <c r="FO102" s="33" t="e">
        <f t="shared" ca="1" si="99"/>
        <v>#NAME?</v>
      </c>
      <c r="FP102" s="38" t="e">
        <f ca="1">_xll.RiskBinomial(1,FO102)</f>
        <v>#NAME?</v>
      </c>
      <c r="FQ102" s="86" t="e">
        <f ca="1">IF(FP102=1,_xll.RiskBinomial(1,Prob_illness_Noro_infection),0)</f>
        <v>#NAME?</v>
      </c>
      <c r="FS102" s="85" t="e">
        <f t="shared" ca="1" si="127"/>
        <v>#NAME?</v>
      </c>
      <c r="FT102" s="40" t="e">
        <f ca="1">INT(FS102) + _xll.RiskBinomial(1,FS102-INT(FS102))</f>
        <v>#NAME?</v>
      </c>
      <c r="FU102" s="33" t="e">
        <f t="shared" ca="1" si="100"/>
        <v>#NAME?</v>
      </c>
      <c r="FV102" s="38" t="e">
        <f ca="1">_xll.RiskBinomial(1,FU102)</f>
        <v>#NAME?</v>
      </c>
      <c r="FW102" s="86" t="e">
        <f ca="1">IF(FV102=1,_xll.RiskBinomial(1,Prob_illness_Noro_infection),0)</f>
        <v>#NAME?</v>
      </c>
      <c r="FY102" s="85" t="e">
        <f t="shared" ca="1" si="128"/>
        <v>#NAME?</v>
      </c>
      <c r="FZ102" s="40" t="e">
        <f ca="1">INT(FY102) + _xll.RiskBinomial(1,FY102-INT(FY102))</f>
        <v>#NAME?</v>
      </c>
      <c r="GA102" s="33" t="e">
        <f t="shared" ca="1" si="101"/>
        <v>#NAME?</v>
      </c>
      <c r="GB102" s="38" t="e">
        <f ca="1">_xll.RiskBinomial(1,GA102)</f>
        <v>#NAME?</v>
      </c>
      <c r="GC102" s="86" t="e">
        <f ca="1">IF(GB102=1,_xll.RiskBinomial(1,Prob_illness_Noro_infection),0)</f>
        <v>#NAME?</v>
      </c>
      <c r="GE102" s="85" t="e">
        <f t="shared" ca="1" si="129"/>
        <v>#NAME?</v>
      </c>
      <c r="GF102" s="40" t="e">
        <f ca="1">INT(GE102) + _xll.RiskBinomial(1,GE102-INT(GE102))</f>
        <v>#NAME?</v>
      </c>
      <c r="GG102" s="33" t="e">
        <f t="shared" ca="1" si="102"/>
        <v>#NAME?</v>
      </c>
      <c r="GH102" s="38" t="e">
        <f ca="1">_xll.RiskBinomial(1,GG102)</f>
        <v>#NAME?</v>
      </c>
      <c r="GI102" s="86" t="e">
        <f ca="1">IF(GH102=1,_xll.RiskBinomial(1,Prob_illness_Noro_infection),0)</f>
        <v>#NAME?</v>
      </c>
      <c r="GK102" s="85" t="e">
        <f t="shared" ca="1" si="130"/>
        <v>#NAME?</v>
      </c>
      <c r="GL102" s="40" t="e">
        <f ca="1">INT(GK102) + _xll.RiskBinomial(1,GK102-INT(GK102))</f>
        <v>#NAME?</v>
      </c>
      <c r="GM102" s="33" t="e">
        <f t="shared" ca="1" si="103"/>
        <v>#NAME?</v>
      </c>
      <c r="GN102" s="38" t="e">
        <f ca="1">_xll.RiskBinomial(1,GM102)</f>
        <v>#NAME?</v>
      </c>
      <c r="GO102" s="86" t="e">
        <f ca="1">IF(GN102=1,_xll.RiskBinomial(1,Prob_illness_Noro_infection),0)</f>
        <v>#NAME?</v>
      </c>
    </row>
    <row r="103" spans="2:197" x14ac:dyDescent="0.25">
      <c r="B103" s="106">
        <v>95</v>
      </c>
      <c r="C103" s="109" t="e">
        <f ca="1" xml:space="preserve"> _xll.RiskPert(Dur_Swim_hours_min,Dur_Swim_hours_mode,Dur_Swim_hours_max)</f>
        <v>#NAME?</v>
      </c>
      <c r="D103" s="33" t="e">
        <f ca="1">_xll.RiskLognorm(Primary_Ing_Rate_mL_per_hour_mean,Primary_Ing_Rate_mL_per_hour_sd, _xll.RiskTruncate(Primary_Ing_Rate_mL_per_hour_min,Primary_Ing_Rate_mL_per_hour_max))</f>
        <v>#NAME?</v>
      </c>
      <c r="E103" s="41" t="e">
        <f t="shared" ca="1" si="104"/>
        <v>#NAME?</v>
      </c>
      <c r="F103" s="33"/>
      <c r="G103" s="85" t="e">
        <f t="shared" ca="1" si="105"/>
        <v>#NAME?</v>
      </c>
      <c r="H103" s="40" t="e">
        <f ca="1">INT(G103) + _xll.RiskBinomial(1,G103-INT(G103))</f>
        <v>#NAME?</v>
      </c>
      <c r="I103" s="33" t="e">
        <f t="shared" ca="1" si="66"/>
        <v>#NAME?</v>
      </c>
      <c r="J103" s="38" t="e">
        <f ca="1">_xll.RiskBinomial(1,I103)</f>
        <v>#NAME?</v>
      </c>
      <c r="K103" s="86" t="e">
        <f ca="1">IF(J103=1,_xll.RiskBinomial(1,Prob_illness_Noro_infection),0)</f>
        <v>#NAME?</v>
      </c>
      <c r="L103" s="33"/>
      <c r="M103" s="85" t="e">
        <f t="shared" ca="1" si="67"/>
        <v>#NAME?</v>
      </c>
      <c r="N103" s="40" t="e">
        <f ca="1">INT(M103) + _xll.RiskBinomial(1,M103-INT(M103))</f>
        <v>#NAME?</v>
      </c>
      <c r="O103" s="33" t="e">
        <f t="shared" ca="1" si="68"/>
        <v>#NAME?</v>
      </c>
      <c r="P103" s="38" t="e">
        <f ca="1">_xll.RiskBinomial(1,O103)</f>
        <v>#NAME?</v>
      </c>
      <c r="Q103" s="86" t="e">
        <f ca="1">IF(P103=1,_xll.RiskBinomial(1,Prob_illness_Noro_infection),0)</f>
        <v>#NAME?</v>
      </c>
      <c r="R103" s="33"/>
      <c r="S103" s="85" t="e">
        <f t="shared" ca="1" si="69"/>
        <v>#NAME?</v>
      </c>
      <c r="T103" s="40" t="e">
        <f ca="1">INT(S103) + _xll.RiskBinomial(1,S103-INT(S103))</f>
        <v>#NAME?</v>
      </c>
      <c r="U103" s="33" t="e">
        <f t="shared" ca="1" si="70"/>
        <v>#NAME?</v>
      </c>
      <c r="V103" s="38" t="e">
        <f ca="1">_xll.RiskBinomial(1,U103)</f>
        <v>#NAME?</v>
      </c>
      <c r="W103" s="86" t="e">
        <f ca="1">IF(V103=1,_xll.RiskBinomial(1,Prob_illness_Noro_infection),0)</f>
        <v>#NAME?</v>
      </c>
      <c r="X103" s="33"/>
      <c r="Y103" s="85" t="e">
        <f t="shared" ca="1" si="71"/>
        <v>#NAME?</v>
      </c>
      <c r="Z103" s="40" t="e">
        <f ca="1">INT(Y103) + _xll.RiskBinomial(1,Y103-INT(Y103))</f>
        <v>#NAME?</v>
      </c>
      <c r="AA103" s="33" t="e">
        <f t="shared" ca="1" si="72"/>
        <v>#NAME?</v>
      </c>
      <c r="AB103" s="38" t="e">
        <f ca="1">_xll.RiskBinomial(1,AA103)</f>
        <v>#NAME?</v>
      </c>
      <c r="AC103" s="86" t="e">
        <f ca="1">IF(AB103=1,_xll.RiskBinomial(1,Prob_illness_Noro_infection),0)</f>
        <v>#NAME?</v>
      </c>
      <c r="AD103" s="33"/>
      <c r="AE103" s="85" t="e">
        <f t="shared" ca="1" si="73"/>
        <v>#NAME?</v>
      </c>
      <c r="AF103" s="40" t="e">
        <f ca="1">INT(AE103) + _xll.RiskBinomial(1,AE103-INT(AE103))</f>
        <v>#NAME?</v>
      </c>
      <c r="AG103" s="33" t="e">
        <f t="shared" ca="1" si="74"/>
        <v>#NAME?</v>
      </c>
      <c r="AH103" s="38" t="e">
        <f ca="1">_xll.RiskBinomial(1,AG103)</f>
        <v>#NAME?</v>
      </c>
      <c r="AI103" s="86" t="e">
        <f ca="1">IF(AH103=1,_xll.RiskBinomial(1,Prob_illness_Noro_infection),0)</f>
        <v>#NAME?</v>
      </c>
      <c r="AJ103" s="33"/>
      <c r="AK103" s="85" t="e">
        <f t="shared" ca="1" si="75"/>
        <v>#NAME?</v>
      </c>
      <c r="AL103" s="40" t="e">
        <f ca="1">INT(AK103) + _xll.RiskBinomial(1,AK103-INT(AK103))</f>
        <v>#NAME?</v>
      </c>
      <c r="AM103" s="33" t="e">
        <f t="shared" ca="1" si="76"/>
        <v>#NAME?</v>
      </c>
      <c r="AN103" s="38" t="e">
        <f ca="1">_xll.RiskBinomial(1,AM103)</f>
        <v>#NAME?</v>
      </c>
      <c r="AO103" s="86" t="e">
        <f ca="1">IF(AN103=1,_xll.RiskBinomial(1,Prob_illness_Noro_infection),0)</f>
        <v>#NAME?</v>
      </c>
      <c r="AP103" s="33"/>
      <c r="AQ103" s="85" t="e">
        <f t="shared" ca="1" si="77"/>
        <v>#NAME?</v>
      </c>
      <c r="AR103" s="40" t="e">
        <f ca="1">INT(AQ103) + _xll.RiskBinomial(1,AQ103-INT(AQ103))</f>
        <v>#NAME?</v>
      </c>
      <c r="AS103" s="33" t="e">
        <f t="shared" ca="1" si="78"/>
        <v>#NAME?</v>
      </c>
      <c r="AT103" s="38" t="e">
        <f ca="1">_xll.RiskBinomial(1,AS103)</f>
        <v>#NAME?</v>
      </c>
      <c r="AU103" s="86" t="e">
        <f ca="1">IF(AT103=1,_xll.RiskBinomial(1,Prob_illness_Noro_infection),0)</f>
        <v>#NAME?</v>
      </c>
      <c r="AV103" s="33"/>
      <c r="AW103" s="85" t="e">
        <f t="shared" ca="1" si="106"/>
        <v>#NAME?</v>
      </c>
      <c r="AX103" s="40" t="e">
        <f ca="1">INT(AW103) + _xll.RiskBinomial(1,AW103-INT(AW103))</f>
        <v>#NAME?</v>
      </c>
      <c r="AY103" s="33" t="e">
        <f t="shared" ca="1" si="79"/>
        <v>#NAME?</v>
      </c>
      <c r="AZ103" s="38" t="e">
        <f ca="1">_xll.RiskBinomial(1,AY103)</f>
        <v>#NAME?</v>
      </c>
      <c r="BA103" s="86" t="e">
        <f ca="1">IF(AZ103=1,_xll.RiskBinomial(1,Prob_illness_Noro_infection),0)</f>
        <v>#NAME?</v>
      </c>
      <c r="BC103" s="85" t="e">
        <f t="shared" ca="1" si="107"/>
        <v>#NAME?</v>
      </c>
      <c r="BD103" s="40" t="e">
        <f ca="1">INT(BC103) + _xll.RiskBinomial(1,BC103-INT(BC103))</f>
        <v>#NAME?</v>
      </c>
      <c r="BE103" s="33" t="e">
        <f t="shared" ca="1" si="80"/>
        <v>#NAME?</v>
      </c>
      <c r="BF103" s="38" t="e">
        <f ca="1">_xll.RiskBinomial(1,BE103)</f>
        <v>#NAME?</v>
      </c>
      <c r="BG103" s="86" t="e">
        <f ca="1">IF(BF103=1,_xll.RiskBinomial(1,Prob_illness_Noro_infection),0)</f>
        <v>#NAME?</v>
      </c>
      <c r="BI103" s="85" t="e">
        <f t="shared" ca="1" si="108"/>
        <v>#NAME?</v>
      </c>
      <c r="BJ103" s="40" t="e">
        <f ca="1">INT(BI103) + _xll.RiskBinomial(1,BI103-INT(BI103))</f>
        <v>#NAME?</v>
      </c>
      <c r="BK103" s="33" t="e">
        <f t="shared" ca="1" si="81"/>
        <v>#NAME?</v>
      </c>
      <c r="BL103" s="38" t="e">
        <f ca="1">_xll.RiskBinomial(1,BK103)</f>
        <v>#NAME?</v>
      </c>
      <c r="BM103" s="86" t="e">
        <f ca="1">IF(BL103=1,_xll.RiskBinomial(1,Prob_illness_Noro_infection),0)</f>
        <v>#NAME?</v>
      </c>
      <c r="BO103" s="85" t="e">
        <f t="shared" ca="1" si="109"/>
        <v>#NAME?</v>
      </c>
      <c r="BP103" s="40" t="e">
        <f ca="1">INT(BO103) + _xll.RiskBinomial(1,BO103-INT(BO103))</f>
        <v>#NAME?</v>
      </c>
      <c r="BQ103" s="33" t="e">
        <f t="shared" ca="1" si="82"/>
        <v>#NAME?</v>
      </c>
      <c r="BR103" s="38" t="e">
        <f ca="1">_xll.RiskBinomial(1,BQ103)</f>
        <v>#NAME?</v>
      </c>
      <c r="BS103" s="86" t="e">
        <f ca="1">IF(BR103=1,_xll.RiskBinomial(1,Prob_illness_Noro_infection),0)</f>
        <v>#NAME?</v>
      </c>
      <c r="BU103" s="85" t="e">
        <f t="shared" ca="1" si="110"/>
        <v>#NAME?</v>
      </c>
      <c r="BV103" s="40" t="e">
        <f ca="1">INT(BU103) + _xll.RiskBinomial(1,BU103-INT(BU103))</f>
        <v>#NAME?</v>
      </c>
      <c r="BW103" s="33" t="e">
        <f t="shared" ca="1" si="83"/>
        <v>#NAME?</v>
      </c>
      <c r="BX103" s="38" t="e">
        <f ca="1">_xll.RiskBinomial(1,BW103)</f>
        <v>#NAME?</v>
      </c>
      <c r="BY103" s="86" t="e">
        <f ca="1">IF(BX103=1,_xll.RiskBinomial(1,Prob_illness_Noro_infection),0)</f>
        <v>#NAME?</v>
      </c>
      <c r="CA103" s="85" t="e">
        <f t="shared" ca="1" si="111"/>
        <v>#NAME?</v>
      </c>
      <c r="CB103" s="40" t="e">
        <f ca="1">INT(CA103) + _xll.RiskBinomial(1,CA103-INT(CA103))</f>
        <v>#NAME?</v>
      </c>
      <c r="CC103" s="33" t="e">
        <f t="shared" ca="1" si="84"/>
        <v>#NAME?</v>
      </c>
      <c r="CD103" s="38" t="e">
        <f ca="1">_xll.RiskBinomial(1,CC103)</f>
        <v>#NAME?</v>
      </c>
      <c r="CE103" s="86" t="e">
        <f ca="1">IF(CD103=1,_xll.RiskBinomial(1,Prob_illness_Noro_infection),0)</f>
        <v>#NAME?</v>
      </c>
      <c r="CG103" s="85" t="e">
        <f t="shared" ca="1" si="112"/>
        <v>#NAME?</v>
      </c>
      <c r="CH103" s="40" t="e">
        <f ca="1">INT(CG103) + _xll.RiskBinomial(1,CG103-INT(CG103))</f>
        <v>#NAME?</v>
      </c>
      <c r="CI103" s="33" t="e">
        <f t="shared" ca="1" si="85"/>
        <v>#NAME?</v>
      </c>
      <c r="CJ103" s="38" t="e">
        <f ca="1">_xll.RiskBinomial(1,CI103)</f>
        <v>#NAME?</v>
      </c>
      <c r="CK103" s="86" t="e">
        <f ca="1">IF(CJ103=1,_xll.RiskBinomial(1,Prob_illness_Noro_infection),0)</f>
        <v>#NAME?</v>
      </c>
      <c r="CM103" s="85" t="e">
        <f t="shared" ca="1" si="113"/>
        <v>#NAME?</v>
      </c>
      <c r="CN103" s="40" t="e">
        <f ca="1">INT(CM103) + _xll.RiskBinomial(1,CM103-INT(CM103))</f>
        <v>#NAME?</v>
      </c>
      <c r="CO103" s="33" t="e">
        <f t="shared" ca="1" si="86"/>
        <v>#NAME?</v>
      </c>
      <c r="CP103" s="38" t="e">
        <f ca="1">_xll.RiskBinomial(1,CO103)</f>
        <v>#NAME?</v>
      </c>
      <c r="CQ103" s="86" t="e">
        <f ca="1">IF(CP103=1,_xll.RiskBinomial(1,Prob_illness_Noro_infection),0)</f>
        <v>#NAME?</v>
      </c>
      <c r="CS103" s="85" t="e">
        <f t="shared" ca="1" si="114"/>
        <v>#NAME?</v>
      </c>
      <c r="CT103" s="40" t="e">
        <f ca="1">INT(CS103) + _xll.RiskBinomial(1,CS103-INT(CS103))</f>
        <v>#NAME?</v>
      </c>
      <c r="CU103" s="33" t="e">
        <f t="shared" ca="1" si="87"/>
        <v>#NAME?</v>
      </c>
      <c r="CV103" s="38" t="e">
        <f ca="1">_xll.RiskBinomial(1,CU103)</f>
        <v>#NAME?</v>
      </c>
      <c r="CW103" s="86" t="e">
        <f ca="1">IF(CV103=1,_xll.RiskBinomial(1,Prob_illness_Noro_infection),0)</f>
        <v>#NAME?</v>
      </c>
      <c r="CY103" s="85" t="e">
        <f t="shared" ca="1" si="115"/>
        <v>#NAME?</v>
      </c>
      <c r="CZ103" s="40" t="e">
        <f ca="1">INT(CY103) + _xll.RiskBinomial(1,CY103-INT(CY103))</f>
        <v>#NAME?</v>
      </c>
      <c r="DA103" s="33" t="e">
        <f t="shared" ca="1" si="88"/>
        <v>#NAME?</v>
      </c>
      <c r="DB103" s="38" t="e">
        <f ca="1">_xll.RiskBinomial(1,DA103)</f>
        <v>#NAME?</v>
      </c>
      <c r="DC103" s="86" t="e">
        <f ca="1">IF(DB103=1,_xll.RiskBinomial(1,Prob_illness_Noro_infection),0)</f>
        <v>#NAME?</v>
      </c>
      <c r="DE103" s="85" t="e">
        <f t="shared" ca="1" si="116"/>
        <v>#NAME?</v>
      </c>
      <c r="DF103" s="40" t="e">
        <f ca="1">INT(DE103) + _xll.RiskBinomial(1,DE103-INT(DE103))</f>
        <v>#NAME?</v>
      </c>
      <c r="DG103" s="33" t="e">
        <f t="shared" ca="1" si="89"/>
        <v>#NAME?</v>
      </c>
      <c r="DH103" s="38" t="e">
        <f ca="1">_xll.RiskBinomial(1,DG103)</f>
        <v>#NAME?</v>
      </c>
      <c r="DI103" s="86" t="e">
        <f ca="1">IF(DH103=1,_xll.RiskBinomial(1,Prob_illness_Noro_infection),0)</f>
        <v>#NAME?</v>
      </c>
      <c r="DK103" s="85" t="e">
        <f t="shared" ca="1" si="117"/>
        <v>#NAME?</v>
      </c>
      <c r="DL103" s="40" t="e">
        <f ca="1">INT(DK103) + _xll.RiskBinomial(1,DK103-INT(DK103))</f>
        <v>#NAME?</v>
      </c>
      <c r="DM103" s="33" t="e">
        <f t="shared" ca="1" si="90"/>
        <v>#NAME?</v>
      </c>
      <c r="DN103" s="38" t="e">
        <f ca="1">_xll.RiskBinomial(1,DM103)</f>
        <v>#NAME?</v>
      </c>
      <c r="DO103" s="86" t="e">
        <f ca="1">IF(DN103=1,_xll.RiskBinomial(1,Prob_illness_Noro_infection),0)</f>
        <v>#NAME?</v>
      </c>
      <c r="DQ103" s="85" t="e">
        <f t="shared" ca="1" si="118"/>
        <v>#NAME?</v>
      </c>
      <c r="DR103" s="40" t="e">
        <f ca="1">INT(DQ103) + _xll.RiskBinomial(1,DQ103-INT(DQ103))</f>
        <v>#NAME?</v>
      </c>
      <c r="DS103" s="33" t="e">
        <f t="shared" ca="1" si="91"/>
        <v>#NAME?</v>
      </c>
      <c r="DT103" s="38" t="e">
        <f ca="1">_xll.RiskBinomial(1,DS103)</f>
        <v>#NAME?</v>
      </c>
      <c r="DU103" s="86" t="e">
        <f ca="1">IF(DT103=1,_xll.RiskBinomial(1,Prob_illness_Noro_infection),0)</f>
        <v>#NAME?</v>
      </c>
      <c r="DW103" s="85" t="e">
        <f t="shared" ca="1" si="119"/>
        <v>#NAME?</v>
      </c>
      <c r="DX103" s="40" t="e">
        <f ca="1">INT(DW103) + _xll.RiskBinomial(1,DW103-INT(DW103))</f>
        <v>#NAME?</v>
      </c>
      <c r="DY103" s="33" t="e">
        <f t="shared" ca="1" si="92"/>
        <v>#NAME?</v>
      </c>
      <c r="DZ103" s="38" t="e">
        <f ca="1">_xll.RiskBinomial(1,DY103)</f>
        <v>#NAME?</v>
      </c>
      <c r="EA103" s="86" t="e">
        <f ca="1">IF(DZ103=1,_xll.RiskBinomial(1,Prob_illness_Noro_infection),0)</f>
        <v>#NAME?</v>
      </c>
      <c r="EC103" s="85" t="e">
        <f t="shared" ca="1" si="120"/>
        <v>#NAME?</v>
      </c>
      <c r="ED103" s="40" t="e">
        <f ca="1">INT(EC103) + _xll.RiskBinomial(1,EC103-INT(EC103))</f>
        <v>#NAME?</v>
      </c>
      <c r="EE103" s="33" t="e">
        <f t="shared" ca="1" si="93"/>
        <v>#NAME?</v>
      </c>
      <c r="EF103" s="38" t="e">
        <f ca="1">_xll.RiskBinomial(1,EE103)</f>
        <v>#NAME?</v>
      </c>
      <c r="EG103" s="86" t="e">
        <f ca="1">IF(EF103=1,_xll.RiskBinomial(1,Prob_illness_Noro_infection),0)</f>
        <v>#NAME?</v>
      </c>
      <c r="EI103" s="85" t="e">
        <f t="shared" ca="1" si="121"/>
        <v>#NAME?</v>
      </c>
      <c r="EJ103" s="40" t="e">
        <f ca="1">INT(EI103) + _xll.RiskBinomial(1,EI103-INT(EI103))</f>
        <v>#NAME?</v>
      </c>
      <c r="EK103" s="33" t="e">
        <f t="shared" ca="1" si="94"/>
        <v>#NAME?</v>
      </c>
      <c r="EL103" s="38" t="e">
        <f ca="1">_xll.RiskBinomial(1,EK103)</f>
        <v>#NAME?</v>
      </c>
      <c r="EM103" s="86" t="e">
        <f ca="1">IF(EL103=1,_xll.RiskBinomial(1,Prob_illness_Noro_infection),0)</f>
        <v>#NAME?</v>
      </c>
      <c r="EO103" s="85" t="e">
        <f t="shared" ca="1" si="122"/>
        <v>#NAME?</v>
      </c>
      <c r="EP103" s="40" t="e">
        <f ca="1">INT(EO103) + _xll.RiskBinomial(1,EO103-INT(EO103))</f>
        <v>#NAME?</v>
      </c>
      <c r="EQ103" s="33" t="e">
        <f t="shared" ca="1" si="95"/>
        <v>#NAME?</v>
      </c>
      <c r="ER103" s="38" t="e">
        <f ca="1">_xll.RiskBinomial(1,EQ103)</f>
        <v>#NAME?</v>
      </c>
      <c r="ES103" s="86" t="e">
        <f ca="1">IF(ER103=1,_xll.RiskBinomial(1,Prob_illness_Noro_infection),0)</f>
        <v>#NAME?</v>
      </c>
      <c r="EU103" s="85" t="e">
        <f t="shared" ca="1" si="123"/>
        <v>#NAME?</v>
      </c>
      <c r="EV103" s="40" t="e">
        <f ca="1">INT(EU103) + _xll.RiskBinomial(1,EU103-INT(EU103))</f>
        <v>#NAME?</v>
      </c>
      <c r="EW103" s="33" t="e">
        <f t="shared" ca="1" si="96"/>
        <v>#NAME?</v>
      </c>
      <c r="EX103" s="38" t="e">
        <f ca="1">_xll.RiskBinomial(1,EW103)</f>
        <v>#NAME?</v>
      </c>
      <c r="EY103" s="86" t="e">
        <f ca="1">IF(EX103=1,_xll.RiskBinomial(1,Prob_illness_Noro_infection),0)</f>
        <v>#NAME?</v>
      </c>
      <c r="FA103" s="85" t="e">
        <f t="shared" ca="1" si="124"/>
        <v>#NAME?</v>
      </c>
      <c r="FB103" s="40" t="e">
        <f ca="1">INT(FA103) + _xll.RiskBinomial(1,FA103-INT(FA103))</f>
        <v>#NAME?</v>
      </c>
      <c r="FC103" s="33" t="e">
        <f t="shared" ca="1" si="97"/>
        <v>#NAME?</v>
      </c>
      <c r="FD103" s="38" t="e">
        <f ca="1">_xll.RiskBinomial(1,FC103)</f>
        <v>#NAME?</v>
      </c>
      <c r="FE103" s="86" t="e">
        <f ca="1">IF(FD103=1,_xll.RiskBinomial(1,Prob_illness_Noro_infection),0)</f>
        <v>#NAME?</v>
      </c>
      <c r="FG103" s="85" t="e">
        <f t="shared" ca="1" si="125"/>
        <v>#NAME?</v>
      </c>
      <c r="FH103" s="40" t="e">
        <f ca="1">INT(FG103) + _xll.RiskBinomial(1,FG103-INT(FG103))</f>
        <v>#NAME?</v>
      </c>
      <c r="FI103" s="33" t="e">
        <f t="shared" ca="1" si="98"/>
        <v>#NAME?</v>
      </c>
      <c r="FJ103" s="38" t="e">
        <f ca="1">_xll.RiskBinomial(1,FI103)</f>
        <v>#NAME?</v>
      </c>
      <c r="FK103" s="86" t="e">
        <f ca="1">IF(FJ103=1,_xll.RiskBinomial(1,Prob_illness_Noro_infection),0)</f>
        <v>#NAME?</v>
      </c>
      <c r="FM103" s="85" t="e">
        <f t="shared" ca="1" si="126"/>
        <v>#NAME?</v>
      </c>
      <c r="FN103" s="40" t="e">
        <f ca="1">INT(FM103) + _xll.RiskBinomial(1,FM103-INT(FM103))</f>
        <v>#NAME?</v>
      </c>
      <c r="FO103" s="33" t="e">
        <f t="shared" ca="1" si="99"/>
        <v>#NAME?</v>
      </c>
      <c r="FP103" s="38" t="e">
        <f ca="1">_xll.RiskBinomial(1,FO103)</f>
        <v>#NAME?</v>
      </c>
      <c r="FQ103" s="86" t="e">
        <f ca="1">IF(FP103=1,_xll.RiskBinomial(1,Prob_illness_Noro_infection),0)</f>
        <v>#NAME?</v>
      </c>
      <c r="FS103" s="85" t="e">
        <f t="shared" ca="1" si="127"/>
        <v>#NAME?</v>
      </c>
      <c r="FT103" s="40" t="e">
        <f ca="1">INT(FS103) + _xll.RiskBinomial(1,FS103-INT(FS103))</f>
        <v>#NAME?</v>
      </c>
      <c r="FU103" s="33" t="e">
        <f t="shared" ca="1" si="100"/>
        <v>#NAME?</v>
      </c>
      <c r="FV103" s="38" t="e">
        <f ca="1">_xll.RiskBinomial(1,FU103)</f>
        <v>#NAME?</v>
      </c>
      <c r="FW103" s="86" t="e">
        <f ca="1">IF(FV103=1,_xll.RiskBinomial(1,Prob_illness_Noro_infection),0)</f>
        <v>#NAME?</v>
      </c>
      <c r="FY103" s="85" t="e">
        <f t="shared" ca="1" si="128"/>
        <v>#NAME?</v>
      </c>
      <c r="FZ103" s="40" t="e">
        <f ca="1">INT(FY103) + _xll.RiskBinomial(1,FY103-INT(FY103))</f>
        <v>#NAME?</v>
      </c>
      <c r="GA103" s="33" t="e">
        <f t="shared" ca="1" si="101"/>
        <v>#NAME?</v>
      </c>
      <c r="GB103" s="38" t="e">
        <f ca="1">_xll.RiskBinomial(1,GA103)</f>
        <v>#NAME?</v>
      </c>
      <c r="GC103" s="86" t="e">
        <f ca="1">IF(GB103=1,_xll.RiskBinomial(1,Prob_illness_Noro_infection),0)</f>
        <v>#NAME?</v>
      </c>
      <c r="GE103" s="85" t="e">
        <f t="shared" ca="1" si="129"/>
        <v>#NAME?</v>
      </c>
      <c r="GF103" s="40" t="e">
        <f ca="1">INT(GE103) + _xll.RiskBinomial(1,GE103-INT(GE103))</f>
        <v>#NAME?</v>
      </c>
      <c r="GG103" s="33" t="e">
        <f t="shared" ca="1" si="102"/>
        <v>#NAME?</v>
      </c>
      <c r="GH103" s="38" t="e">
        <f ca="1">_xll.RiskBinomial(1,GG103)</f>
        <v>#NAME?</v>
      </c>
      <c r="GI103" s="86" t="e">
        <f ca="1">IF(GH103=1,_xll.RiskBinomial(1,Prob_illness_Noro_infection),0)</f>
        <v>#NAME?</v>
      </c>
      <c r="GK103" s="85" t="e">
        <f t="shared" ca="1" si="130"/>
        <v>#NAME?</v>
      </c>
      <c r="GL103" s="40" t="e">
        <f ca="1">INT(GK103) + _xll.RiskBinomial(1,GK103-INT(GK103))</f>
        <v>#NAME?</v>
      </c>
      <c r="GM103" s="33" t="e">
        <f t="shared" ca="1" si="103"/>
        <v>#NAME?</v>
      </c>
      <c r="GN103" s="38" t="e">
        <f ca="1">_xll.RiskBinomial(1,GM103)</f>
        <v>#NAME?</v>
      </c>
      <c r="GO103" s="86" t="e">
        <f ca="1">IF(GN103=1,_xll.RiskBinomial(1,Prob_illness_Noro_infection),0)</f>
        <v>#NAME?</v>
      </c>
    </row>
    <row r="104" spans="2:197" x14ac:dyDescent="0.25">
      <c r="B104" s="106">
        <v>96</v>
      </c>
      <c r="C104" s="109" t="e">
        <f ca="1" xml:space="preserve"> _xll.RiskPert(Dur_Swim_hours_min,Dur_Swim_hours_mode,Dur_Swim_hours_max)</f>
        <v>#NAME?</v>
      </c>
      <c r="D104" s="33" t="e">
        <f ca="1">_xll.RiskLognorm(Primary_Ing_Rate_mL_per_hour_mean,Primary_Ing_Rate_mL_per_hour_sd, _xll.RiskTruncate(Primary_Ing_Rate_mL_per_hour_min,Primary_Ing_Rate_mL_per_hour_max))</f>
        <v>#NAME?</v>
      </c>
      <c r="E104" s="41" t="e">
        <f t="shared" ca="1" si="104"/>
        <v>#NAME?</v>
      </c>
      <c r="F104" s="33"/>
      <c r="G104" s="85" t="e">
        <f t="shared" ca="1" si="105"/>
        <v>#NAME?</v>
      </c>
      <c r="H104" s="40" t="e">
        <f ca="1">INT(G104) + _xll.RiskBinomial(1,G104-INT(G104))</f>
        <v>#NAME?</v>
      </c>
      <c r="I104" s="33" t="e">
        <f t="shared" ca="1" si="66"/>
        <v>#NAME?</v>
      </c>
      <c r="J104" s="38" t="e">
        <f ca="1">_xll.RiskBinomial(1,I104)</f>
        <v>#NAME?</v>
      </c>
      <c r="K104" s="86" t="e">
        <f ca="1">IF(J104=1,_xll.RiskBinomial(1,Prob_illness_Noro_infection),0)</f>
        <v>#NAME?</v>
      </c>
      <c r="L104" s="33"/>
      <c r="M104" s="85" t="e">
        <f t="shared" ca="1" si="67"/>
        <v>#NAME?</v>
      </c>
      <c r="N104" s="40" t="e">
        <f ca="1">INT(M104) + _xll.RiskBinomial(1,M104-INT(M104))</f>
        <v>#NAME?</v>
      </c>
      <c r="O104" s="33" t="e">
        <f t="shared" ca="1" si="68"/>
        <v>#NAME?</v>
      </c>
      <c r="P104" s="38" t="e">
        <f ca="1">_xll.RiskBinomial(1,O104)</f>
        <v>#NAME?</v>
      </c>
      <c r="Q104" s="86" t="e">
        <f ca="1">IF(P104=1,_xll.RiskBinomial(1,Prob_illness_Noro_infection),0)</f>
        <v>#NAME?</v>
      </c>
      <c r="R104" s="33"/>
      <c r="S104" s="85" t="e">
        <f t="shared" ca="1" si="69"/>
        <v>#NAME?</v>
      </c>
      <c r="T104" s="40" t="e">
        <f ca="1">INT(S104) + _xll.RiskBinomial(1,S104-INT(S104))</f>
        <v>#NAME?</v>
      </c>
      <c r="U104" s="33" t="e">
        <f t="shared" ca="1" si="70"/>
        <v>#NAME?</v>
      </c>
      <c r="V104" s="38" t="e">
        <f ca="1">_xll.RiskBinomial(1,U104)</f>
        <v>#NAME?</v>
      </c>
      <c r="W104" s="86" t="e">
        <f ca="1">IF(V104=1,_xll.RiskBinomial(1,Prob_illness_Noro_infection),0)</f>
        <v>#NAME?</v>
      </c>
      <c r="X104" s="33"/>
      <c r="Y104" s="85" t="e">
        <f t="shared" ca="1" si="71"/>
        <v>#NAME?</v>
      </c>
      <c r="Z104" s="40" t="e">
        <f ca="1">INT(Y104) + _xll.RiskBinomial(1,Y104-INT(Y104))</f>
        <v>#NAME?</v>
      </c>
      <c r="AA104" s="33" t="e">
        <f t="shared" ca="1" si="72"/>
        <v>#NAME?</v>
      </c>
      <c r="AB104" s="38" t="e">
        <f ca="1">_xll.RiskBinomial(1,AA104)</f>
        <v>#NAME?</v>
      </c>
      <c r="AC104" s="86" t="e">
        <f ca="1">IF(AB104=1,_xll.RiskBinomial(1,Prob_illness_Noro_infection),0)</f>
        <v>#NAME?</v>
      </c>
      <c r="AD104" s="33"/>
      <c r="AE104" s="85" t="e">
        <f t="shared" ca="1" si="73"/>
        <v>#NAME?</v>
      </c>
      <c r="AF104" s="40" t="e">
        <f ca="1">INT(AE104) + _xll.RiskBinomial(1,AE104-INT(AE104))</f>
        <v>#NAME?</v>
      </c>
      <c r="AG104" s="33" t="e">
        <f t="shared" ca="1" si="74"/>
        <v>#NAME?</v>
      </c>
      <c r="AH104" s="38" t="e">
        <f ca="1">_xll.RiskBinomial(1,AG104)</f>
        <v>#NAME?</v>
      </c>
      <c r="AI104" s="86" t="e">
        <f ca="1">IF(AH104=1,_xll.RiskBinomial(1,Prob_illness_Noro_infection),0)</f>
        <v>#NAME?</v>
      </c>
      <c r="AJ104" s="33"/>
      <c r="AK104" s="85" t="e">
        <f t="shared" ca="1" si="75"/>
        <v>#NAME?</v>
      </c>
      <c r="AL104" s="40" t="e">
        <f ca="1">INT(AK104) + _xll.RiskBinomial(1,AK104-INT(AK104))</f>
        <v>#NAME?</v>
      </c>
      <c r="AM104" s="33" t="e">
        <f t="shared" ca="1" si="76"/>
        <v>#NAME?</v>
      </c>
      <c r="AN104" s="38" t="e">
        <f ca="1">_xll.RiskBinomial(1,AM104)</f>
        <v>#NAME?</v>
      </c>
      <c r="AO104" s="86" t="e">
        <f ca="1">IF(AN104=1,_xll.RiskBinomial(1,Prob_illness_Noro_infection),0)</f>
        <v>#NAME?</v>
      </c>
      <c r="AP104" s="33"/>
      <c r="AQ104" s="85" t="e">
        <f t="shared" ca="1" si="77"/>
        <v>#NAME?</v>
      </c>
      <c r="AR104" s="40" t="e">
        <f ca="1">INT(AQ104) + _xll.RiskBinomial(1,AQ104-INT(AQ104))</f>
        <v>#NAME?</v>
      </c>
      <c r="AS104" s="33" t="e">
        <f t="shared" ca="1" si="78"/>
        <v>#NAME?</v>
      </c>
      <c r="AT104" s="38" t="e">
        <f ca="1">_xll.RiskBinomial(1,AS104)</f>
        <v>#NAME?</v>
      </c>
      <c r="AU104" s="86" t="e">
        <f ca="1">IF(AT104=1,_xll.RiskBinomial(1,Prob_illness_Noro_infection),0)</f>
        <v>#NAME?</v>
      </c>
      <c r="AV104" s="33"/>
      <c r="AW104" s="85" t="e">
        <f t="shared" ca="1" si="106"/>
        <v>#NAME?</v>
      </c>
      <c r="AX104" s="40" t="e">
        <f ca="1">INT(AW104) + _xll.RiskBinomial(1,AW104-INT(AW104))</f>
        <v>#NAME?</v>
      </c>
      <c r="AY104" s="33" t="e">
        <f t="shared" ca="1" si="79"/>
        <v>#NAME?</v>
      </c>
      <c r="AZ104" s="38" t="e">
        <f ca="1">_xll.RiskBinomial(1,AY104)</f>
        <v>#NAME?</v>
      </c>
      <c r="BA104" s="86" t="e">
        <f ca="1">IF(AZ104=1,_xll.RiskBinomial(1,Prob_illness_Noro_infection),0)</f>
        <v>#NAME?</v>
      </c>
      <c r="BC104" s="85" t="e">
        <f t="shared" ca="1" si="107"/>
        <v>#NAME?</v>
      </c>
      <c r="BD104" s="40" t="e">
        <f ca="1">INT(BC104) + _xll.RiskBinomial(1,BC104-INT(BC104))</f>
        <v>#NAME?</v>
      </c>
      <c r="BE104" s="33" t="e">
        <f t="shared" ca="1" si="80"/>
        <v>#NAME?</v>
      </c>
      <c r="BF104" s="38" t="e">
        <f ca="1">_xll.RiskBinomial(1,BE104)</f>
        <v>#NAME?</v>
      </c>
      <c r="BG104" s="86" t="e">
        <f ca="1">IF(BF104=1,_xll.RiskBinomial(1,Prob_illness_Noro_infection),0)</f>
        <v>#NAME?</v>
      </c>
      <c r="BI104" s="85" t="e">
        <f t="shared" ca="1" si="108"/>
        <v>#NAME?</v>
      </c>
      <c r="BJ104" s="40" t="e">
        <f ca="1">INT(BI104) + _xll.RiskBinomial(1,BI104-INT(BI104))</f>
        <v>#NAME?</v>
      </c>
      <c r="BK104" s="33" t="e">
        <f t="shared" ca="1" si="81"/>
        <v>#NAME?</v>
      </c>
      <c r="BL104" s="38" t="e">
        <f ca="1">_xll.RiskBinomial(1,BK104)</f>
        <v>#NAME?</v>
      </c>
      <c r="BM104" s="86" t="e">
        <f ca="1">IF(BL104=1,_xll.RiskBinomial(1,Prob_illness_Noro_infection),0)</f>
        <v>#NAME?</v>
      </c>
      <c r="BO104" s="85" t="e">
        <f t="shared" ca="1" si="109"/>
        <v>#NAME?</v>
      </c>
      <c r="BP104" s="40" t="e">
        <f ca="1">INT(BO104) + _xll.RiskBinomial(1,BO104-INT(BO104))</f>
        <v>#NAME?</v>
      </c>
      <c r="BQ104" s="33" t="e">
        <f t="shared" ca="1" si="82"/>
        <v>#NAME?</v>
      </c>
      <c r="BR104" s="38" t="e">
        <f ca="1">_xll.RiskBinomial(1,BQ104)</f>
        <v>#NAME?</v>
      </c>
      <c r="BS104" s="86" t="e">
        <f ca="1">IF(BR104=1,_xll.RiskBinomial(1,Prob_illness_Noro_infection),0)</f>
        <v>#NAME?</v>
      </c>
      <c r="BU104" s="85" t="e">
        <f t="shared" ca="1" si="110"/>
        <v>#NAME?</v>
      </c>
      <c r="BV104" s="40" t="e">
        <f ca="1">INT(BU104) + _xll.RiskBinomial(1,BU104-INT(BU104))</f>
        <v>#NAME?</v>
      </c>
      <c r="BW104" s="33" t="e">
        <f t="shared" ca="1" si="83"/>
        <v>#NAME?</v>
      </c>
      <c r="BX104" s="38" t="e">
        <f ca="1">_xll.RiskBinomial(1,BW104)</f>
        <v>#NAME?</v>
      </c>
      <c r="BY104" s="86" t="e">
        <f ca="1">IF(BX104=1,_xll.RiskBinomial(1,Prob_illness_Noro_infection),0)</f>
        <v>#NAME?</v>
      </c>
      <c r="CA104" s="85" t="e">
        <f t="shared" ca="1" si="111"/>
        <v>#NAME?</v>
      </c>
      <c r="CB104" s="40" t="e">
        <f ca="1">INT(CA104) + _xll.RiskBinomial(1,CA104-INT(CA104))</f>
        <v>#NAME?</v>
      </c>
      <c r="CC104" s="33" t="e">
        <f t="shared" ca="1" si="84"/>
        <v>#NAME?</v>
      </c>
      <c r="CD104" s="38" t="e">
        <f ca="1">_xll.RiskBinomial(1,CC104)</f>
        <v>#NAME?</v>
      </c>
      <c r="CE104" s="86" t="e">
        <f ca="1">IF(CD104=1,_xll.RiskBinomial(1,Prob_illness_Noro_infection),0)</f>
        <v>#NAME?</v>
      </c>
      <c r="CG104" s="85" t="e">
        <f t="shared" ca="1" si="112"/>
        <v>#NAME?</v>
      </c>
      <c r="CH104" s="40" t="e">
        <f ca="1">INT(CG104) + _xll.RiskBinomial(1,CG104-INT(CG104))</f>
        <v>#NAME?</v>
      </c>
      <c r="CI104" s="33" t="e">
        <f t="shared" ca="1" si="85"/>
        <v>#NAME?</v>
      </c>
      <c r="CJ104" s="38" t="e">
        <f ca="1">_xll.RiskBinomial(1,CI104)</f>
        <v>#NAME?</v>
      </c>
      <c r="CK104" s="86" t="e">
        <f ca="1">IF(CJ104=1,_xll.RiskBinomial(1,Prob_illness_Noro_infection),0)</f>
        <v>#NAME?</v>
      </c>
      <c r="CM104" s="85" t="e">
        <f t="shared" ca="1" si="113"/>
        <v>#NAME?</v>
      </c>
      <c r="CN104" s="40" t="e">
        <f ca="1">INT(CM104) + _xll.RiskBinomial(1,CM104-INT(CM104))</f>
        <v>#NAME?</v>
      </c>
      <c r="CO104" s="33" t="e">
        <f t="shared" ca="1" si="86"/>
        <v>#NAME?</v>
      </c>
      <c r="CP104" s="38" t="e">
        <f ca="1">_xll.RiskBinomial(1,CO104)</f>
        <v>#NAME?</v>
      </c>
      <c r="CQ104" s="86" t="e">
        <f ca="1">IF(CP104=1,_xll.RiskBinomial(1,Prob_illness_Noro_infection),0)</f>
        <v>#NAME?</v>
      </c>
      <c r="CS104" s="85" t="e">
        <f t="shared" ca="1" si="114"/>
        <v>#NAME?</v>
      </c>
      <c r="CT104" s="40" t="e">
        <f ca="1">INT(CS104) + _xll.RiskBinomial(1,CS104-INT(CS104))</f>
        <v>#NAME?</v>
      </c>
      <c r="CU104" s="33" t="e">
        <f t="shared" ca="1" si="87"/>
        <v>#NAME?</v>
      </c>
      <c r="CV104" s="38" t="e">
        <f ca="1">_xll.RiskBinomial(1,CU104)</f>
        <v>#NAME?</v>
      </c>
      <c r="CW104" s="86" t="e">
        <f ca="1">IF(CV104=1,_xll.RiskBinomial(1,Prob_illness_Noro_infection),0)</f>
        <v>#NAME?</v>
      </c>
      <c r="CY104" s="85" t="e">
        <f t="shared" ca="1" si="115"/>
        <v>#NAME?</v>
      </c>
      <c r="CZ104" s="40" t="e">
        <f ca="1">INT(CY104) + _xll.RiskBinomial(1,CY104-INT(CY104))</f>
        <v>#NAME?</v>
      </c>
      <c r="DA104" s="33" t="e">
        <f t="shared" ca="1" si="88"/>
        <v>#NAME?</v>
      </c>
      <c r="DB104" s="38" t="e">
        <f ca="1">_xll.RiskBinomial(1,DA104)</f>
        <v>#NAME?</v>
      </c>
      <c r="DC104" s="86" t="e">
        <f ca="1">IF(DB104=1,_xll.RiskBinomial(1,Prob_illness_Noro_infection),0)</f>
        <v>#NAME?</v>
      </c>
      <c r="DE104" s="85" t="e">
        <f t="shared" ca="1" si="116"/>
        <v>#NAME?</v>
      </c>
      <c r="DF104" s="40" t="e">
        <f ca="1">INT(DE104) + _xll.RiskBinomial(1,DE104-INT(DE104))</f>
        <v>#NAME?</v>
      </c>
      <c r="DG104" s="33" t="e">
        <f t="shared" ca="1" si="89"/>
        <v>#NAME?</v>
      </c>
      <c r="DH104" s="38" t="e">
        <f ca="1">_xll.RiskBinomial(1,DG104)</f>
        <v>#NAME?</v>
      </c>
      <c r="DI104" s="86" t="e">
        <f ca="1">IF(DH104=1,_xll.RiskBinomial(1,Prob_illness_Noro_infection),0)</f>
        <v>#NAME?</v>
      </c>
      <c r="DK104" s="85" t="e">
        <f t="shared" ca="1" si="117"/>
        <v>#NAME?</v>
      </c>
      <c r="DL104" s="40" t="e">
        <f ca="1">INT(DK104) + _xll.RiskBinomial(1,DK104-INT(DK104))</f>
        <v>#NAME?</v>
      </c>
      <c r="DM104" s="33" t="e">
        <f t="shared" ca="1" si="90"/>
        <v>#NAME?</v>
      </c>
      <c r="DN104" s="38" t="e">
        <f ca="1">_xll.RiskBinomial(1,DM104)</f>
        <v>#NAME?</v>
      </c>
      <c r="DO104" s="86" t="e">
        <f ca="1">IF(DN104=1,_xll.RiskBinomial(1,Prob_illness_Noro_infection),0)</f>
        <v>#NAME?</v>
      </c>
      <c r="DQ104" s="85" t="e">
        <f t="shared" ca="1" si="118"/>
        <v>#NAME?</v>
      </c>
      <c r="DR104" s="40" t="e">
        <f ca="1">INT(DQ104) + _xll.RiskBinomial(1,DQ104-INT(DQ104))</f>
        <v>#NAME?</v>
      </c>
      <c r="DS104" s="33" t="e">
        <f t="shared" ca="1" si="91"/>
        <v>#NAME?</v>
      </c>
      <c r="DT104" s="38" t="e">
        <f ca="1">_xll.RiskBinomial(1,DS104)</f>
        <v>#NAME?</v>
      </c>
      <c r="DU104" s="86" t="e">
        <f ca="1">IF(DT104=1,_xll.RiskBinomial(1,Prob_illness_Noro_infection),0)</f>
        <v>#NAME?</v>
      </c>
      <c r="DW104" s="85" t="e">
        <f t="shared" ca="1" si="119"/>
        <v>#NAME?</v>
      </c>
      <c r="DX104" s="40" t="e">
        <f ca="1">INT(DW104) + _xll.RiskBinomial(1,DW104-INT(DW104))</f>
        <v>#NAME?</v>
      </c>
      <c r="DY104" s="33" t="e">
        <f t="shared" ca="1" si="92"/>
        <v>#NAME?</v>
      </c>
      <c r="DZ104" s="38" t="e">
        <f ca="1">_xll.RiskBinomial(1,DY104)</f>
        <v>#NAME?</v>
      </c>
      <c r="EA104" s="86" t="e">
        <f ca="1">IF(DZ104=1,_xll.RiskBinomial(1,Prob_illness_Noro_infection),0)</f>
        <v>#NAME?</v>
      </c>
      <c r="EC104" s="85" t="e">
        <f t="shared" ca="1" si="120"/>
        <v>#NAME?</v>
      </c>
      <c r="ED104" s="40" t="e">
        <f ca="1">INT(EC104) + _xll.RiskBinomial(1,EC104-INT(EC104))</f>
        <v>#NAME?</v>
      </c>
      <c r="EE104" s="33" t="e">
        <f t="shared" ca="1" si="93"/>
        <v>#NAME?</v>
      </c>
      <c r="EF104" s="38" t="e">
        <f ca="1">_xll.RiskBinomial(1,EE104)</f>
        <v>#NAME?</v>
      </c>
      <c r="EG104" s="86" t="e">
        <f ca="1">IF(EF104=1,_xll.RiskBinomial(1,Prob_illness_Noro_infection),0)</f>
        <v>#NAME?</v>
      </c>
      <c r="EI104" s="85" t="e">
        <f t="shared" ca="1" si="121"/>
        <v>#NAME?</v>
      </c>
      <c r="EJ104" s="40" t="e">
        <f ca="1">INT(EI104) + _xll.RiskBinomial(1,EI104-INT(EI104))</f>
        <v>#NAME?</v>
      </c>
      <c r="EK104" s="33" t="e">
        <f t="shared" ca="1" si="94"/>
        <v>#NAME?</v>
      </c>
      <c r="EL104" s="38" t="e">
        <f ca="1">_xll.RiskBinomial(1,EK104)</f>
        <v>#NAME?</v>
      </c>
      <c r="EM104" s="86" t="e">
        <f ca="1">IF(EL104=1,_xll.RiskBinomial(1,Prob_illness_Noro_infection),0)</f>
        <v>#NAME?</v>
      </c>
      <c r="EO104" s="85" t="e">
        <f t="shared" ca="1" si="122"/>
        <v>#NAME?</v>
      </c>
      <c r="EP104" s="40" t="e">
        <f ca="1">INT(EO104) + _xll.RiskBinomial(1,EO104-INT(EO104))</f>
        <v>#NAME?</v>
      </c>
      <c r="EQ104" s="33" t="e">
        <f t="shared" ca="1" si="95"/>
        <v>#NAME?</v>
      </c>
      <c r="ER104" s="38" t="e">
        <f ca="1">_xll.RiskBinomial(1,EQ104)</f>
        <v>#NAME?</v>
      </c>
      <c r="ES104" s="86" t="e">
        <f ca="1">IF(ER104=1,_xll.RiskBinomial(1,Prob_illness_Noro_infection),0)</f>
        <v>#NAME?</v>
      </c>
      <c r="EU104" s="85" t="e">
        <f t="shared" ca="1" si="123"/>
        <v>#NAME?</v>
      </c>
      <c r="EV104" s="40" t="e">
        <f ca="1">INT(EU104) + _xll.RiskBinomial(1,EU104-INT(EU104))</f>
        <v>#NAME?</v>
      </c>
      <c r="EW104" s="33" t="e">
        <f t="shared" ca="1" si="96"/>
        <v>#NAME?</v>
      </c>
      <c r="EX104" s="38" t="e">
        <f ca="1">_xll.RiskBinomial(1,EW104)</f>
        <v>#NAME?</v>
      </c>
      <c r="EY104" s="86" t="e">
        <f ca="1">IF(EX104=1,_xll.RiskBinomial(1,Prob_illness_Noro_infection),0)</f>
        <v>#NAME?</v>
      </c>
      <c r="FA104" s="85" t="e">
        <f t="shared" ca="1" si="124"/>
        <v>#NAME?</v>
      </c>
      <c r="FB104" s="40" t="e">
        <f ca="1">INT(FA104) + _xll.RiskBinomial(1,FA104-INT(FA104))</f>
        <v>#NAME?</v>
      </c>
      <c r="FC104" s="33" t="e">
        <f t="shared" ca="1" si="97"/>
        <v>#NAME?</v>
      </c>
      <c r="FD104" s="38" t="e">
        <f ca="1">_xll.RiskBinomial(1,FC104)</f>
        <v>#NAME?</v>
      </c>
      <c r="FE104" s="86" t="e">
        <f ca="1">IF(FD104=1,_xll.RiskBinomial(1,Prob_illness_Noro_infection),0)</f>
        <v>#NAME?</v>
      </c>
      <c r="FG104" s="85" t="e">
        <f t="shared" ca="1" si="125"/>
        <v>#NAME?</v>
      </c>
      <c r="FH104" s="40" t="e">
        <f ca="1">INT(FG104) + _xll.RiskBinomial(1,FG104-INT(FG104))</f>
        <v>#NAME?</v>
      </c>
      <c r="FI104" s="33" t="e">
        <f t="shared" ca="1" si="98"/>
        <v>#NAME?</v>
      </c>
      <c r="FJ104" s="38" t="e">
        <f ca="1">_xll.RiskBinomial(1,FI104)</f>
        <v>#NAME?</v>
      </c>
      <c r="FK104" s="86" t="e">
        <f ca="1">IF(FJ104=1,_xll.RiskBinomial(1,Prob_illness_Noro_infection),0)</f>
        <v>#NAME?</v>
      </c>
      <c r="FM104" s="85" t="e">
        <f t="shared" ca="1" si="126"/>
        <v>#NAME?</v>
      </c>
      <c r="FN104" s="40" t="e">
        <f ca="1">INT(FM104) + _xll.RiskBinomial(1,FM104-INT(FM104))</f>
        <v>#NAME?</v>
      </c>
      <c r="FO104" s="33" t="e">
        <f t="shared" ca="1" si="99"/>
        <v>#NAME?</v>
      </c>
      <c r="FP104" s="38" t="e">
        <f ca="1">_xll.RiskBinomial(1,FO104)</f>
        <v>#NAME?</v>
      </c>
      <c r="FQ104" s="86" t="e">
        <f ca="1">IF(FP104=1,_xll.RiskBinomial(1,Prob_illness_Noro_infection),0)</f>
        <v>#NAME?</v>
      </c>
      <c r="FS104" s="85" t="e">
        <f t="shared" ca="1" si="127"/>
        <v>#NAME?</v>
      </c>
      <c r="FT104" s="40" t="e">
        <f ca="1">INT(FS104) + _xll.RiskBinomial(1,FS104-INT(FS104))</f>
        <v>#NAME?</v>
      </c>
      <c r="FU104" s="33" t="e">
        <f t="shared" ca="1" si="100"/>
        <v>#NAME?</v>
      </c>
      <c r="FV104" s="38" t="e">
        <f ca="1">_xll.RiskBinomial(1,FU104)</f>
        <v>#NAME?</v>
      </c>
      <c r="FW104" s="86" t="e">
        <f ca="1">IF(FV104=1,_xll.RiskBinomial(1,Prob_illness_Noro_infection),0)</f>
        <v>#NAME?</v>
      </c>
      <c r="FY104" s="85" t="e">
        <f t="shared" ca="1" si="128"/>
        <v>#NAME?</v>
      </c>
      <c r="FZ104" s="40" t="e">
        <f ca="1">INT(FY104) + _xll.RiskBinomial(1,FY104-INT(FY104))</f>
        <v>#NAME?</v>
      </c>
      <c r="GA104" s="33" t="e">
        <f t="shared" ca="1" si="101"/>
        <v>#NAME?</v>
      </c>
      <c r="GB104" s="38" t="e">
        <f ca="1">_xll.RiskBinomial(1,GA104)</f>
        <v>#NAME?</v>
      </c>
      <c r="GC104" s="86" t="e">
        <f ca="1">IF(GB104=1,_xll.RiskBinomial(1,Prob_illness_Noro_infection),0)</f>
        <v>#NAME?</v>
      </c>
      <c r="GE104" s="85" t="e">
        <f t="shared" ca="1" si="129"/>
        <v>#NAME?</v>
      </c>
      <c r="GF104" s="40" t="e">
        <f ca="1">INT(GE104) + _xll.RiskBinomial(1,GE104-INT(GE104))</f>
        <v>#NAME?</v>
      </c>
      <c r="GG104" s="33" t="e">
        <f t="shared" ca="1" si="102"/>
        <v>#NAME?</v>
      </c>
      <c r="GH104" s="38" t="e">
        <f ca="1">_xll.RiskBinomial(1,GG104)</f>
        <v>#NAME?</v>
      </c>
      <c r="GI104" s="86" t="e">
        <f ca="1">IF(GH104=1,_xll.RiskBinomial(1,Prob_illness_Noro_infection),0)</f>
        <v>#NAME?</v>
      </c>
      <c r="GK104" s="85" t="e">
        <f t="shared" ca="1" si="130"/>
        <v>#NAME?</v>
      </c>
      <c r="GL104" s="40" t="e">
        <f ca="1">INT(GK104) + _xll.RiskBinomial(1,GK104-INT(GK104))</f>
        <v>#NAME?</v>
      </c>
      <c r="GM104" s="33" t="e">
        <f t="shared" ca="1" si="103"/>
        <v>#NAME?</v>
      </c>
      <c r="GN104" s="38" t="e">
        <f ca="1">_xll.RiskBinomial(1,GM104)</f>
        <v>#NAME?</v>
      </c>
      <c r="GO104" s="86" t="e">
        <f ca="1">IF(GN104=1,_xll.RiskBinomial(1,Prob_illness_Noro_infection),0)</f>
        <v>#NAME?</v>
      </c>
    </row>
    <row r="105" spans="2:197" x14ac:dyDescent="0.25">
      <c r="B105" s="106">
        <v>97</v>
      </c>
      <c r="C105" s="109" t="e">
        <f ca="1" xml:space="preserve"> _xll.RiskPert(Dur_Swim_hours_min,Dur_Swim_hours_mode,Dur_Swim_hours_max)</f>
        <v>#NAME?</v>
      </c>
      <c r="D105" s="33" t="e">
        <f ca="1">_xll.RiskLognorm(Primary_Ing_Rate_mL_per_hour_mean,Primary_Ing_Rate_mL_per_hour_sd, _xll.RiskTruncate(Primary_Ing_Rate_mL_per_hour_min,Primary_Ing_Rate_mL_per_hour_max))</f>
        <v>#NAME?</v>
      </c>
      <c r="E105" s="41" t="e">
        <f t="shared" ca="1" si="104"/>
        <v>#NAME?</v>
      </c>
      <c r="F105" s="33"/>
      <c r="G105" s="85" t="e">
        <f t="shared" ca="1" si="105"/>
        <v>#NAME?</v>
      </c>
      <c r="H105" s="40" t="e">
        <f ca="1">INT(G105) + _xll.RiskBinomial(1,G105-INT(G105))</f>
        <v>#NAME?</v>
      </c>
      <c r="I105" s="33" t="e">
        <f t="shared" ca="1" si="66"/>
        <v>#NAME?</v>
      </c>
      <c r="J105" s="38" t="e">
        <f ca="1">_xll.RiskBinomial(1,I105)</f>
        <v>#NAME?</v>
      </c>
      <c r="K105" s="86" t="e">
        <f ca="1">IF(J105=1,_xll.RiskBinomial(1,Prob_illness_Noro_infection),0)</f>
        <v>#NAME?</v>
      </c>
      <c r="L105" s="33"/>
      <c r="M105" s="85" t="e">
        <f t="shared" ca="1" si="67"/>
        <v>#NAME?</v>
      </c>
      <c r="N105" s="40" t="e">
        <f ca="1">INT(M105) + _xll.RiskBinomial(1,M105-INT(M105))</f>
        <v>#NAME?</v>
      </c>
      <c r="O105" s="33" t="e">
        <f t="shared" ca="1" si="68"/>
        <v>#NAME?</v>
      </c>
      <c r="P105" s="38" t="e">
        <f ca="1">_xll.RiskBinomial(1,O105)</f>
        <v>#NAME?</v>
      </c>
      <c r="Q105" s="86" t="e">
        <f ca="1">IF(P105=1,_xll.RiskBinomial(1,Prob_illness_Noro_infection),0)</f>
        <v>#NAME?</v>
      </c>
      <c r="R105" s="33"/>
      <c r="S105" s="85" t="e">
        <f t="shared" ca="1" si="69"/>
        <v>#NAME?</v>
      </c>
      <c r="T105" s="40" t="e">
        <f ca="1">INT(S105) + _xll.RiskBinomial(1,S105-INT(S105))</f>
        <v>#NAME?</v>
      </c>
      <c r="U105" s="33" t="e">
        <f t="shared" ca="1" si="70"/>
        <v>#NAME?</v>
      </c>
      <c r="V105" s="38" t="e">
        <f ca="1">_xll.RiskBinomial(1,U105)</f>
        <v>#NAME?</v>
      </c>
      <c r="W105" s="86" t="e">
        <f ca="1">IF(V105=1,_xll.RiskBinomial(1,Prob_illness_Noro_infection),0)</f>
        <v>#NAME?</v>
      </c>
      <c r="X105" s="33"/>
      <c r="Y105" s="85" t="e">
        <f t="shared" ca="1" si="71"/>
        <v>#NAME?</v>
      </c>
      <c r="Z105" s="40" t="e">
        <f ca="1">INT(Y105) + _xll.RiskBinomial(1,Y105-INT(Y105))</f>
        <v>#NAME?</v>
      </c>
      <c r="AA105" s="33" t="e">
        <f t="shared" ca="1" si="72"/>
        <v>#NAME?</v>
      </c>
      <c r="AB105" s="38" t="e">
        <f ca="1">_xll.RiskBinomial(1,AA105)</f>
        <v>#NAME?</v>
      </c>
      <c r="AC105" s="86" t="e">
        <f ca="1">IF(AB105=1,_xll.RiskBinomial(1,Prob_illness_Noro_infection),0)</f>
        <v>#NAME?</v>
      </c>
      <c r="AD105" s="33"/>
      <c r="AE105" s="85" t="e">
        <f t="shared" ca="1" si="73"/>
        <v>#NAME?</v>
      </c>
      <c r="AF105" s="40" t="e">
        <f ca="1">INT(AE105) + _xll.RiskBinomial(1,AE105-INT(AE105))</f>
        <v>#NAME?</v>
      </c>
      <c r="AG105" s="33" t="e">
        <f t="shared" ca="1" si="74"/>
        <v>#NAME?</v>
      </c>
      <c r="AH105" s="38" t="e">
        <f ca="1">_xll.RiskBinomial(1,AG105)</f>
        <v>#NAME?</v>
      </c>
      <c r="AI105" s="86" t="e">
        <f ca="1">IF(AH105=1,_xll.RiskBinomial(1,Prob_illness_Noro_infection),0)</f>
        <v>#NAME?</v>
      </c>
      <c r="AJ105" s="33"/>
      <c r="AK105" s="85" t="e">
        <f t="shared" ca="1" si="75"/>
        <v>#NAME?</v>
      </c>
      <c r="AL105" s="40" t="e">
        <f ca="1">INT(AK105) + _xll.RiskBinomial(1,AK105-INT(AK105))</f>
        <v>#NAME?</v>
      </c>
      <c r="AM105" s="33" t="e">
        <f t="shared" ca="1" si="76"/>
        <v>#NAME?</v>
      </c>
      <c r="AN105" s="38" t="e">
        <f ca="1">_xll.RiskBinomial(1,AM105)</f>
        <v>#NAME?</v>
      </c>
      <c r="AO105" s="86" t="e">
        <f ca="1">IF(AN105=1,_xll.RiskBinomial(1,Prob_illness_Noro_infection),0)</f>
        <v>#NAME?</v>
      </c>
      <c r="AP105" s="33"/>
      <c r="AQ105" s="85" t="e">
        <f t="shared" ca="1" si="77"/>
        <v>#NAME?</v>
      </c>
      <c r="AR105" s="40" t="e">
        <f ca="1">INT(AQ105) + _xll.RiskBinomial(1,AQ105-INT(AQ105))</f>
        <v>#NAME?</v>
      </c>
      <c r="AS105" s="33" t="e">
        <f t="shared" ca="1" si="78"/>
        <v>#NAME?</v>
      </c>
      <c r="AT105" s="38" t="e">
        <f ca="1">_xll.RiskBinomial(1,AS105)</f>
        <v>#NAME?</v>
      </c>
      <c r="AU105" s="86" t="e">
        <f ca="1">IF(AT105=1,_xll.RiskBinomial(1,Prob_illness_Noro_infection),0)</f>
        <v>#NAME?</v>
      </c>
      <c r="AV105" s="33"/>
      <c r="AW105" s="85" t="e">
        <f t="shared" ca="1" si="106"/>
        <v>#NAME?</v>
      </c>
      <c r="AX105" s="40" t="e">
        <f ca="1">INT(AW105) + _xll.RiskBinomial(1,AW105-INT(AW105))</f>
        <v>#NAME?</v>
      </c>
      <c r="AY105" s="33" t="e">
        <f t="shared" ca="1" si="79"/>
        <v>#NAME?</v>
      </c>
      <c r="AZ105" s="38" t="e">
        <f ca="1">_xll.RiskBinomial(1,AY105)</f>
        <v>#NAME?</v>
      </c>
      <c r="BA105" s="86" t="e">
        <f ca="1">IF(AZ105=1,_xll.RiskBinomial(1,Prob_illness_Noro_infection),0)</f>
        <v>#NAME?</v>
      </c>
      <c r="BC105" s="85" t="e">
        <f t="shared" ca="1" si="107"/>
        <v>#NAME?</v>
      </c>
      <c r="BD105" s="40" t="e">
        <f ca="1">INT(BC105) + _xll.RiskBinomial(1,BC105-INT(BC105))</f>
        <v>#NAME?</v>
      </c>
      <c r="BE105" s="33" t="e">
        <f t="shared" ca="1" si="80"/>
        <v>#NAME?</v>
      </c>
      <c r="BF105" s="38" t="e">
        <f ca="1">_xll.RiskBinomial(1,BE105)</f>
        <v>#NAME?</v>
      </c>
      <c r="BG105" s="86" t="e">
        <f ca="1">IF(BF105=1,_xll.RiskBinomial(1,Prob_illness_Noro_infection),0)</f>
        <v>#NAME?</v>
      </c>
      <c r="BI105" s="85" t="e">
        <f t="shared" ca="1" si="108"/>
        <v>#NAME?</v>
      </c>
      <c r="BJ105" s="40" t="e">
        <f ca="1">INT(BI105) + _xll.RiskBinomial(1,BI105-INT(BI105))</f>
        <v>#NAME?</v>
      </c>
      <c r="BK105" s="33" t="e">
        <f t="shared" ca="1" si="81"/>
        <v>#NAME?</v>
      </c>
      <c r="BL105" s="38" t="e">
        <f ca="1">_xll.RiskBinomial(1,BK105)</f>
        <v>#NAME?</v>
      </c>
      <c r="BM105" s="86" t="e">
        <f ca="1">IF(BL105=1,_xll.RiskBinomial(1,Prob_illness_Noro_infection),0)</f>
        <v>#NAME?</v>
      </c>
      <c r="BO105" s="85" t="e">
        <f t="shared" ca="1" si="109"/>
        <v>#NAME?</v>
      </c>
      <c r="BP105" s="40" t="e">
        <f ca="1">INT(BO105) + _xll.RiskBinomial(1,BO105-INT(BO105))</f>
        <v>#NAME?</v>
      </c>
      <c r="BQ105" s="33" t="e">
        <f t="shared" ca="1" si="82"/>
        <v>#NAME?</v>
      </c>
      <c r="BR105" s="38" t="e">
        <f ca="1">_xll.RiskBinomial(1,BQ105)</f>
        <v>#NAME?</v>
      </c>
      <c r="BS105" s="86" t="e">
        <f ca="1">IF(BR105=1,_xll.RiskBinomial(1,Prob_illness_Noro_infection),0)</f>
        <v>#NAME?</v>
      </c>
      <c r="BU105" s="85" t="e">
        <f t="shared" ca="1" si="110"/>
        <v>#NAME?</v>
      </c>
      <c r="BV105" s="40" t="e">
        <f ca="1">INT(BU105) + _xll.RiskBinomial(1,BU105-INT(BU105))</f>
        <v>#NAME?</v>
      </c>
      <c r="BW105" s="33" t="e">
        <f t="shared" ca="1" si="83"/>
        <v>#NAME?</v>
      </c>
      <c r="BX105" s="38" t="e">
        <f ca="1">_xll.RiskBinomial(1,BW105)</f>
        <v>#NAME?</v>
      </c>
      <c r="BY105" s="86" t="e">
        <f ca="1">IF(BX105=1,_xll.RiskBinomial(1,Prob_illness_Noro_infection),0)</f>
        <v>#NAME?</v>
      </c>
      <c r="CA105" s="85" t="e">
        <f t="shared" ca="1" si="111"/>
        <v>#NAME?</v>
      </c>
      <c r="CB105" s="40" t="e">
        <f ca="1">INT(CA105) + _xll.RiskBinomial(1,CA105-INT(CA105))</f>
        <v>#NAME?</v>
      </c>
      <c r="CC105" s="33" t="e">
        <f t="shared" ca="1" si="84"/>
        <v>#NAME?</v>
      </c>
      <c r="CD105" s="38" t="e">
        <f ca="1">_xll.RiskBinomial(1,CC105)</f>
        <v>#NAME?</v>
      </c>
      <c r="CE105" s="86" t="e">
        <f ca="1">IF(CD105=1,_xll.RiskBinomial(1,Prob_illness_Noro_infection),0)</f>
        <v>#NAME?</v>
      </c>
      <c r="CG105" s="85" t="e">
        <f t="shared" ca="1" si="112"/>
        <v>#NAME?</v>
      </c>
      <c r="CH105" s="40" t="e">
        <f ca="1">INT(CG105) + _xll.RiskBinomial(1,CG105-INT(CG105))</f>
        <v>#NAME?</v>
      </c>
      <c r="CI105" s="33" t="e">
        <f t="shared" ca="1" si="85"/>
        <v>#NAME?</v>
      </c>
      <c r="CJ105" s="38" t="e">
        <f ca="1">_xll.RiskBinomial(1,CI105)</f>
        <v>#NAME?</v>
      </c>
      <c r="CK105" s="86" t="e">
        <f ca="1">IF(CJ105=1,_xll.RiskBinomial(1,Prob_illness_Noro_infection),0)</f>
        <v>#NAME?</v>
      </c>
      <c r="CM105" s="85" t="e">
        <f t="shared" ca="1" si="113"/>
        <v>#NAME?</v>
      </c>
      <c r="CN105" s="40" t="e">
        <f ca="1">INT(CM105) + _xll.RiskBinomial(1,CM105-INT(CM105))</f>
        <v>#NAME?</v>
      </c>
      <c r="CO105" s="33" t="e">
        <f t="shared" ca="1" si="86"/>
        <v>#NAME?</v>
      </c>
      <c r="CP105" s="38" t="e">
        <f ca="1">_xll.RiskBinomial(1,CO105)</f>
        <v>#NAME?</v>
      </c>
      <c r="CQ105" s="86" t="e">
        <f ca="1">IF(CP105=1,_xll.RiskBinomial(1,Prob_illness_Noro_infection),0)</f>
        <v>#NAME?</v>
      </c>
      <c r="CS105" s="85" t="e">
        <f t="shared" ca="1" si="114"/>
        <v>#NAME?</v>
      </c>
      <c r="CT105" s="40" t="e">
        <f ca="1">INT(CS105) + _xll.RiskBinomial(1,CS105-INT(CS105))</f>
        <v>#NAME?</v>
      </c>
      <c r="CU105" s="33" t="e">
        <f t="shared" ca="1" si="87"/>
        <v>#NAME?</v>
      </c>
      <c r="CV105" s="38" t="e">
        <f ca="1">_xll.RiskBinomial(1,CU105)</f>
        <v>#NAME?</v>
      </c>
      <c r="CW105" s="86" t="e">
        <f ca="1">IF(CV105=1,_xll.RiskBinomial(1,Prob_illness_Noro_infection),0)</f>
        <v>#NAME?</v>
      </c>
      <c r="CY105" s="85" t="e">
        <f t="shared" ca="1" si="115"/>
        <v>#NAME?</v>
      </c>
      <c r="CZ105" s="40" t="e">
        <f ca="1">INT(CY105) + _xll.RiskBinomial(1,CY105-INT(CY105))</f>
        <v>#NAME?</v>
      </c>
      <c r="DA105" s="33" t="e">
        <f t="shared" ca="1" si="88"/>
        <v>#NAME?</v>
      </c>
      <c r="DB105" s="38" t="e">
        <f ca="1">_xll.RiskBinomial(1,DA105)</f>
        <v>#NAME?</v>
      </c>
      <c r="DC105" s="86" t="e">
        <f ca="1">IF(DB105=1,_xll.RiskBinomial(1,Prob_illness_Noro_infection),0)</f>
        <v>#NAME?</v>
      </c>
      <c r="DE105" s="85" t="e">
        <f t="shared" ca="1" si="116"/>
        <v>#NAME?</v>
      </c>
      <c r="DF105" s="40" t="e">
        <f ca="1">INT(DE105) + _xll.RiskBinomial(1,DE105-INT(DE105))</f>
        <v>#NAME?</v>
      </c>
      <c r="DG105" s="33" t="e">
        <f t="shared" ca="1" si="89"/>
        <v>#NAME?</v>
      </c>
      <c r="DH105" s="38" t="e">
        <f ca="1">_xll.RiskBinomial(1,DG105)</f>
        <v>#NAME?</v>
      </c>
      <c r="DI105" s="86" t="e">
        <f ca="1">IF(DH105=1,_xll.RiskBinomial(1,Prob_illness_Noro_infection),0)</f>
        <v>#NAME?</v>
      </c>
      <c r="DK105" s="85" t="e">
        <f t="shared" ca="1" si="117"/>
        <v>#NAME?</v>
      </c>
      <c r="DL105" s="40" t="e">
        <f ca="1">INT(DK105) + _xll.RiskBinomial(1,DK105-INT(DK105))</f>
        <v>#NAME?</v>
      </c>
      <c r="DM105" s="33" t="e">
        <f t="shared" ca="1" si="90"/>
        <v>#NAME?</v>
      </c>
      <c r="DN105" s="38" t="e">
        <f ca="1">_xll.RiskBinomial(1,DM105)</f>
        <v>#NAME?</v>
      </c>
      <c r="DO105" s="86" t="e">
        <f ca="1">IF(DN105=1,_xll.RiskBinomial(1,Prob_illness_Noro_infection),0)</f>
        <v>#NAME?</v>
      </c>
      <c r="DQ105" s="85" t="e">
        <f t="shared" ca="1" si="118"/>
        <v>#NAME?</v>
      </c>
      <c r="DR105" s="40" t="e">
        <f ca="1">INT(DQ105) + _xll.RiskBinomial(1,DQ105-INT(DQ105))</f>
        <v>#NAME?</v>
      </c>
      <c r="DS105" s="33" t="e">
        <f t="shared" ca="1" si="91"/>
        <v>#NAME?</v>
      </c>
      <c r="DT105" s="38" t="e">
        <f ca="1">_xll.RiskBinomial(1,DS105)</f>
        <v>#NAME?</v>
      </c>
      <c r="DU105" s="86" t="e">
        <f ca="1">IF(DT105=1,_xll.RiskBinomial(1,Prob_illness_Noro_infection),0)</f>
        <v>#NAME?</v>
      </c>
      <c r="DW105" s="85" t="e">
        <f t="shared" ca="1" si="119"/>
        <v>#NAME?</v>
      </c>
      <c r="DX105" s="40" t="e">
        <f ca="1">INT(DW105) + _xll.RiskBinomial(1,DW105-INT(DW105))</f>
        <v>#NAME?</v>
      </c>
      <c r="DY105" s="33" t="e">
        <f t="shared" ca="1" si="92"/>
        <v>#NAME?</v>
      </c>
      <c r="DZ105" s="38" t="e">
        <f ca="1">_xll.RiskBinomial(1,DY105)</f>
        <v>#NAME?</v>
      </c>
      <c r="EA105" s="86" t="e">
        <f ca="1">IF(DZ105=1,_xll.RiskBinomial(1,Prob_illness_Noro_infection),0)</f>
        <v>#NAME?</v>
      </c>
      <c r="EC105" s="85" t="e">
        <f t="shared" ca="1" si="120"/>
        <v>#NAME?</v>
      </c>
      <c r="ED105" s="40" t="e">
        <f ca="1">INT(EC105) + _xll.RiskBinomial(1,EC105-INT(EC105))</f>
        <v>#NAME?</v>
      </c>
      <c r="EE105" s="33" t="e">
        <f t="shared" ca="1" si="93"/>
        <v>#NAME?</v>
      </c>
      <c r="EF105" s="38" t="e">
        <f ca="1">_xll.RiskBinomial(1,EE105)</f>
        <v>#NAME?</v>
      </c>
      <c r="EG105" s="86" t="e">
        <f ca="1">IF(EF105=1,_xll.RiskBinomial(1,Prob_illness_Noro_infection),0)</f>
        <v>#NAME?</v>
      </c>
      <c r="EI105" s="85" t="e">
        <f t="shared" ca="1" si="121"/>
        <v>#NAME?</v>
      </c>
      <c r="EJ105" s="40" t="e">
        <f ca="1">INT(EI105) + _xll.RiskBinomial(1,EI105-INT(EI105))</f>
        <v>#NAME?</v>
      </c>
      <c r="EK105" s="33" t="e">
        <f t="shared" ca="1" si="94"/>
        <v>#NAME?</v>
      </c>
      <c r="EL105" s="38" t="e">
        <f ca="1">_xll.RiskBinomial(1,EK105)</f>
        <v>#NAME?</v>
      </c>
      <c r="EM105" s="86" t="e">
        <f ca="1">IF(EL105=1,_xll.RiskBinomial(1,Prob_illness_Noro_infection),0)</f>
        <v>#NAME?</v>
      </c>
      <c r="EO105" s="85" t="e">
        <f t="shared" ca="1" si="122"/>
        <v>#NAME?</v>
      </c>
      <c r="EP105" s="40" t="e">
        <f ca="1">INT(EO105) + _xll.RiskBinomial(1,EO105-INT(EO105))</f>
        <v>#NAME?</v>
      </c>
      <c r="EQ105" s="33" t="e">
        <f t="shared" ca="1" si="95"/>
        <v>#NAME?</v>
      </c>
      <c r="ER105" s="38" t="e">
        <f ca="1">_xll.RiskBinomial(1,EQ105)</f>
        <v>#NAME?</v>
      </c>
      <c r="ES105" s="86" t="e">
        <f ca="1">IF(ER105=1,_xll.RiskBinomial(1,Prob_illness_Noro_infection),0)</f>
        <v>#NAME?</v>
      </c>
      <c r="EU105" s="85" t="e">
        <f t="shared" ca="1" si="123"/>
        <v>#NAME?</v>
      </c>
      <c r="EV105" s="40" t="e">
        <f ca="1">INT(EU105) + _xll.RiskBinomial(1,EU105-INT(EU105))</f>
        <v>#NAME?</v>
      </c>
      <c r="EW105" s="33" t="e">
        <f t="shared" ca="1" si="96"/>
        <v>#NAME?</v>
      </c>
      <c r="EX105" s="38" t="e">
        <f ca="1">_xll.RiskBinomial(1,EW105)</f>
        <v>#NAME?</v>
      </c>
      <c r="EY105" s="86" t="e">
        <f ca="1">IF(EX105=1,_xll.RiskBinomial(1,Prob_illness_Noro_infection),0)</f>
        <v>#NAME?</v>
      </c>
      <c r="FA105" s="85" t="e">
        <f t="shared" ca="1" si="124"/>
        <v>#NAME?</v>
      </c>
      <c r="FB105" s="40" t="e">
        <f ca="1">INT(FA105) + _xll.RiskBinomial(1,FA105-INT(FA105))</f>
        <v>#NAME?</v>
      </c>
      <c r="FC105" s="33" t="e">
        <f t="shared" ca="1" si="97"/>
        <v>#NAME?</v>
      </c>
      <c r="FD105" s="38" t="e">
        <f ca="1">_xll.RiskBinomial(1,FC105)</f>
        <v>#NAME?</v>
      </c>
      <c r="FE105" s="86" t="e">
        <f ca="1">IF(FD105=1,_xll.RiskBinomial(1,Prob_illness_Noro_infection),0)</f>
        <v>#NAME?</v>
      </c>
      <c r="FG105" s="85" t="e">
        <f t="shared" ca="1" si="125"/>
        <v>#NAME?</v>
      </c>
      <c r="FH105" s="40" t="e">
        <f ca="1">INT(FG105) + _xll.RiskBinomial(1,FG105-INT(FG105))</f>
        <v>#NAME?</v>
      </c>
      <c r="FI105" s="33" t="e">
        <f t="shared" ca="1" si="98"/>
        <v>#NAME?</v>
      </c>
      <c r="FJ105" s="38" t="e">
        <f ca="1">_xll.RiskBinomial(1,FI105)</f>
        <v>#NAME?</v>
      </c>
      <c r="FK105" s="86" t="e">
        <f ca="1">IF(FJ105=1,_xll.RiskBinomial(1,Prob_illness_Noro_infection),0)</f>
        <v>#NAME?</v>
      </c>
      <c r="FM105" s="85" t="e">
        <f t="shared" ca="1" si="126"/>
        <v>#NAME?</v>
      </c>
      <c r="FN105" s="40" t="e">
        <f ca="1">INT(FM105) + _xll.RiskBinomial(1,FM105-INT(FM105))</f>
        <v>#NAME?</v>
      </c>
      <c r="FO105" s="33" t="e">
        <f t="shared" ca="1" si="99"/>
        <v>#NAME?</v>
      </c>
      <c r="FP105" s="38" t="e">
        <f ca="1">_xll.RiskBinomial(1,FO105)</f>
        <v>#NAME?</v>
      </c>
      <c r="FQ105" s="86" t="e">
        <f ca="1">IF(FP105=1,_xll.RiskBinomial(1,Prob_illness_Noro_infection),0)</f>
        <v>#NAME?</v>
      </c>
      <c r="FS105" s="85" t="e">
        <f t="shared" ca="1" si="127"/>
        <v>#NAME?</v>
      </c>
      <c r="FT105" s="40" t="e">
        <f ca="1">INT(FS105) + _xll.RiskBinomial(1,FS105-INT(FS105))</f>
        <v>#NAME?</v>
      </c>
      <c r="FU105" s="33" t="e">
        <f t="shared" ca="1" si="100"/>
        <v>#NAME?</v>
      </c>
      <c r="FV105" s="38" t="e">
        <f ca="1">_xll.RiskBinomial(1,FU105)</f>
        <v>#NAME?</v>
      </c>
      <c r="FW105" s="86" t="e">
        <f ca="1">IF(FV105=1,_xll.RiskBinomial(1,Prob_illness_Noro_infection),0)</f>
        <v>#NAME?</v>
      </c>
      <c r="FY105" s="85" t="e">
        <f t="shared" ca="1" si="128"/>
        <v>#NAME?</v>
      </c>
      <c r="FZ105" s="40" t="e">
        <f ca="1">INT(FY105) + _xll.RiskBinomial(1,FY105-INT(FY105))</f>
        <v>#NAME?</v>
      </c>
      <c r="GA105" s="33" t="e">
        <f t="shared" ca="1" si="101"/>
        <v>#NAME?</v>
      </c>
      <c r="GB105" s="38" t="e">
        <f ca="1">_xll.RiskBinomial(1,GA105)</f>
        <v>#NAME?</v>
      </c>
      <c r="GC105" s="86" t="e">
        <f ca="1">IF(GB105=1,_xll.RiskBinomial(1,Prob_illness_Noro_infection),0)</f>
        <v>#NAME?</v>
      </c>
      <c r="GE105" s="85" t="e">
        <f t="shared" ca="1" si="129"/>
        <v>#NAME?</v>
      </c>
      <c r="GF105" s="40" t="e">
        <f ca="1">INT(GE105) + _xll.RiskBinomial(1,GE105-INT(GE105))</f>
        <v>#NAME?</v>
      </c>
      <c r="GG105" s="33" t="e">
        <f t="shared" ca="1" si="102"/>
        <v>#NAME?</v>
      </c>
      <c r="GH105" s="38" t="e">
        <f ca="1">_xll.RiskBinomial(1,GG105)</f>
        <v>#NAME?</v>
      </c>
      <c r="GI105" s="86" t="e">
        <f ca="1">IF(GH105=1,_xll.RiskBinomial(1,Prob_illness_Noro_infection),0)</f>
        <v>#NAME?</v>
      </c>
      <c r="GK105" s="85" t="e">
        <f t="shared" ca="1" si="130"/>
        <v>#NAME?</v>
      </c>
      <c r="GL105" s="40" t="e">
        <f ca="1">INT(GK105) + _xll.RiskBinomial(1,GK105-INT(GK105))</f>
        <v>#NAME?</v>
      </c>
      <c r="GM105" s="33" t="e">
        <f t="shared" ca="1" si="103"/>
        <v>#NAME?</v>
      </c>
      <c r="GN105" s="38" t="e">
        <f ca="1">_xll.RiskBinomial(1,GM105)</f>
        <v>#NAME?</v>
      </c>
      <c r="GO105" s="86" t="e">
        <f ca="1">IF(GN105=1,_xll.RiskBinomial(1,Prob_illness_Noro_infection),0)</f>
        <v>#NAME?</v>
      </c>
    </row>
    <row r="106" spans="2:197" x14ac:dyDescent="0.25">
      <c r="B106" s="106">
        <v>98</v>
      </c>
      <c r="C106" s="109" t="e">
        <f ca="1" xml:space="preserve"> _xll.RiskPert(Dur_Swim_hours_min,Dur_Swim_hours_mode,Dur_Swim_hours_max)</f>
        <v>#NAME?</v>
      </c>
      <c r="D106" s="33" t="e">
        <f ca="1">_xll.RiskLognorm(Primary_Ing_Rate_mL_per_hour_mean,Primary_Ing_Rate_mL_per_hour_sd, _xll.RiskTruncate(Primary_Ing_Rate_mL_per_hour_min,Primary_Ing_Rate_mL_per_hour_max))</f>
        <v>#NAME?</v>
      </c>
      <c r="E106" s="41" t="e">
        <f t="shared" ca="1" si="104"/>
        <v>#NAME?</v>
      </c>
      <c r="F106" s="33"/>
      <c r="G106" s="85" t="e">
        <f t="shared" ca="1" si="105"/>
        <v>#NAME?</v>
      </c>
      <c r="H106" s="40" t="e">
        <f ca="1">INT(G106) + _xll.RiskBinomial(1,G106-INT(G106))</f>
        <v>#NAME?</v>
      </c>
      <c r="I106" s="33" t="e">
        <f t="shared" ca="1" si="66"/>
        <v>#NAME?</v>
      </c>
      <c r="J106" s="38" t="e">
        <f ca="1">_xll.RiskBinomial(1,I106)</f>
        <v>#NAME?</v>
      </c>
      <c r="K106" s="86" t="e">
        <f ca="1">IF(J106=1,_xll.RiskBinomial(1,Prob_illness_Noro_infection),0)</f>
        <v>#NAME?</v>
      </c>
      <c r="L106" s="33"/>
      <c r="M106" s="85" t="e">
        <f t="shared" ca="1" si="67"/>
        <v>#NAME?</v>
      </c>
      <c r="N106" s="40" t="e">
        <f ca="1">INT(M106) + _xll.RiskBinomial(1,M106-INT(M106))</f>
        <v>#NAME?</v>
      </c>
      <c r="O106" s="33" t="e">
        <f t="shared" ca="1" si="68"/>
        <v>#NAME?</v>
      </c>
      <c r="P106" s="38" t="e">
        <f ca="1">_xll.RiskBinomial(1,O106)</f>
        <v>#NAME?</v>
      </c>
      <c r="Q106" s="86" t="e">
        <f ca="1">IF(P106=1,_xll.RiskBinomial(1,Prob_illness_Noro_infection),0)</f>
        <v>#NAME?</v>
      </c>
      <c r="R106" s="33"/>
      <c r="S106" s="85" t="e">
        <f t="shared" ca="1" si="69"/>
        <v>#NAME?</v>
      </c>
      <c r="T106" s="40" t="e">
        <f ca="1">INT(S106) + _xll.RiskBinomial(1,S106-INT(S106))</f>
        <v>#NAME?</v>
      </c>
      <c r="U106" s="33" t="e">
        <f t="shared" ca="1" si="70"/>
        <v>#NAME?</v>
      </c>
      <c r="V106" s="38" t="e">
        <f ca="1">_xll.RiskBinomial(1,U106)</f>
        <v>#NAME?</v>
      </c>
      <c r="W106" s="86" t="e">
        <f ca="1">IF(V106=1,_xll.RiskBinomial(1,Prob_illness_Noro_infection),0)</f>
        <v>#NAME?</v>
      </c>
      <c r="X106" s="33"/>
      <c r="Y106" s="85" t="e">
        <f t="shared" ca="1" si="71"/>
        <v>#NAME?</v>
      </c>
      <c r="Z106" s="40" t="e">
        <f ca="1">INT(Y106) + _xll.RiskBinomial(1,Y106-INT(Y106))</f>
        <v>#NAME?</v>
      </c>
      <c r="AA106" s="33" t="e">
        <f t="shared" ca="1" si="72"/>
        <v>#NAME?</v>
      </c>
      <c r="AB106" s="38" t="e">
        <f ca="1">_xll.RiskBinomial(1,AA106)</f>
        <v>#NAME?</v>
      </c>
      <c r="AC106" s="86" t="e">
        <f ca="1">IF(AB106=1,_xll.RiskBinomial(1,Prob_illness_Noro_infection),0)</f>
        <v>#NAME?</v>
      </c>
      <c r="AD106" s="33"/>
      <c r="AE106" s="85" t="e">
        <f t="shared" ca="1" si="73"/>
        <v>#NAME?</v>
      </c>
      <c r="AF106" s="40" t="e">
        <f ca="1">INT(AE106) + _xll.RiskBinomial(1,AE106-INT(AE106))</f>
        <v>#NAME?</v>
      </c>
      <c r="AG106" s="33" t="e">
        <f t="shared" ca="1" si="74"/>
        <v>#NAME?</v>
      </c>
      <c r="AH106" s="38" t="e">
        <f ca="1">_xll.RiskBinomial(1,AG106)</f>
        <v>#NAME?</v>
      </c>
      <c r="AI106" s="86" t="e">
        <f ca="1">IF(AH106=1,_xll.RiskBinomial(1,Prob_illness_Noro_infection),0)</f>
        <v>#NAME?</v>
      </c>
      <c r="AJ106" s="33"/>
      <c r="AK106" s="85" t="e">
        <f t="shared" ca="1" si="75"/>
        <v>#NAME?</v>
      </c>
      <c r="AL106" s="40" t="e">
        <f ca="1">INT(AK106) + _xll.RiskBinomial(1,AK106-INT(AK106))</f>
        <v>#NAME?</v>
      </c>
      <c r="AM106" s="33" t="e">
        <f t="shared" ca="1" si="76"/>
        <v>#NAME?</v>
      </c>
      <c r="AN106" s="38" t="e">
        <f ca="1">_xll.RiskBinomial(1,AM106)</f>
        <v>#NAME?</v>
      </c>
      <c r="AO106" s="86" t="e">
        <f ca="1">IF(AN106=1,_xll.RiskBinomial(1,Prob_illness_Noro_infection),0)</f>
        <v>#NAME?</v>
      </c>
      <c r="AP106" s="33"/>
      <c r="AQ106" s="85" t="e">
        <f t="shared" ca="1" si="77"/>
        <v>#NAME?</v>
      </c>
      <c r="AR106" s="40" t="e">
        <f ca="1">INT(AQ106) + _xll.RiskBinomial(1,AQ106-INT(AQ106))</f>
        <v>#NAME?</v>
      </c>
      <c r="AS106" s="33" t="e">
        <f t="shared" ca="1" si="78"/>
        <v>#NAME?</v>
      </c>
      <c r="AT106" s="38" t="e">
        <f ca="1">_xll.RiskBinomial(1,AS106)</f>
        <v>#NAME?</v>
      </c>
      <c r="AU106" s="86" t="e">
        <f ca="1">IF(AT106=1,_xll.RiskBinomial(1,Prob_illness_Noro_infection),0)</f>
        <v>#NAME?</v>
      </c>
      <c r="AV106" s="33"/>
      <c r="AW106" s="85" t="e">
        <f t="shared" ca="1" si="106"/>
        <v>#NAME?</v>
      </c>
      <c r="AX106" s="40" t="e">
        <f ca="1">INT(AW106) + _xll.RiskBinomial(1,AW106-INT(AW106))</f>
        <v>#NAME?</v>
      </c>
      <c r="AY106" s="33" t="e">
        <f t="shared" ca="1" si="79"/>
        <v>#NAME?</v>
      </c>
      <c r="AZ106" s="38" t="e">
        <f ca="1">_xll.RiskBinomial(1,AY106)</f>
        <v>#NAME?</v>
      </c>
      <c r="BA106" s="86" t="e">
        <f ca="1">IF(AZ106=1,_xll.RiskBinomial(1,Prob_illness_Noro_infection),0)</f>
        <v>#NAME?</v>
      </c>
      <c r="BC106" s="85" t="e">
        <f t="shared" ca="1" si="107"/>
        <v>#NAME?</v>
      </c>
      <c r="BD106" s="40" t="e">
        <f ca="1">INT(BC106) + _xll.RiskBinomial(1,BC106-INT(BC106))</f>
        <v>#NAME?</v>
      </c>
      <c r="BE106" s="33" t="e">
        <f t="shared" ca="1" si="80"/>
        <v>#NAME?</v>
      </c>
      <c r="BF106" s="38" t="e">
        <f ca="1">_xll.RiskBinomial(1,BE106)</f>
        <v>#NAME?</v>
      </c>
      <c r="BG106" s="86" t="e">
        <f ca="1">IF(BF106=1,_xll.RiskBinomial(1,Prob_illness_Noro_infection),0)</f>
        <v>#NAME?</v>
      </c>
      <c r="BI106" s="85" t="e">
        <f t="shared" ca="1" si="108"/>
        <v>#NAME?</v>
      </c>
      <c r="BJ106" s="40" t="e">
        <f ca="1">INT(BI106) + _xll.RiskBinomial(1,BI106-INT(BI106))</f>
        <v>#NAME?</v>
      </c>
      <c r="BK106" s="33" t="e">
        <f t="shared" ca="1" si="81"/>
        <v>#NAME?</v>
      </c>
      <c r="BL106" s="38" t="e">
        <f ca="1">_xll.RiskBinomial(1,BK106)</f>
        <v>#NAME?</v>
      </c>
      <c r="BM106" s="86" t="e">
        <f ca="1">IF(BL106=1,_xll.RiskBinomial(1,Prob_illness_Noro_infection),0)</f>
        <v>#NAME?</v>
      </c>
      <c r="BO106" s="85" t="e">
        <f t="shared" ca="1" si="109"/>
        <v>#NAME?</v>
      </c>
      <c r="BP106" s="40" t="e">
        <f ca="1">INT(BO106) + _xll.RiskBinomial(1,BO106-INT(BO106))</f>
        <v>#NAME?</v>
      </c>
      <c r="BQ106" s="33" t="e">
        <f t="shared" ca="1" si="82"/>
        <v>#NAME?</v>
      </c>
      <c r="BR106" s="38" t="e">
        <f ca="1">_xll.RiskBinomial(1,BQ106)</f>
        <v>#NAME?</v>
      </c>
      <c r="BS106" s="86" t="e">
        <f ca="1">IF(BR106=1,_xll.RiskBinomial(1,Prob_illness_Noro_infection),0)</f>
        <v>#NAME?</v>
      </c>
      <c r="BU106" s="85" t="e">
        <f t="shared" ca="1" si="110"/>
        <v>#NAME?</v>
      </c>
      <c r="BV106" s="40" t="e">
        <f ca="1">INT(BU106) + _xll.RiskBinomial(1,BU106-INT(BU106))</f>
        <v>#NAME?</v>
      </c>
      <c r="BW106" s="33" t="e">
        <f t="shared" ca="1" si="83"/>
        <v>#NAME?</v>
      </c>
      <c r="BX106" s="38" t="e">
        <f ca="1">_xll.RiskBinomial(1,BW106)</f>
        <v>#NAME?</v>
      </c>
      <c r="BY106" s="86" t="e">
        <f ca="1">IF(BX106=1,_xll.RiskBinomial(1,Prob_illness_Noro_infection),0)</f>
        <v>#NAME?</v>
      </c>
      <c r="CA106" s="85" t="e">
        <f t="shared" ca="1" si="111"/>
        <v>#NAME?</v>
      </c>
      <c r="CB106" s="40" t="e">
        <f ca="1">INT(CA106) + _xll.RiskBinomial(1,CA106-INT(CA106))</f>
        <v>#NAME?</v>
      </c>
      <c r="CC106" s="33" t="e">
        <f t="shared" ca="1" si="84"/>
        <v>#NAME?</v>
      </c>
      <c r="CD106" s="38" t="e">
        <f ca="1">_xll.RiskBinomial(1,CC106)</f>
        <v>#NAME?</v>
      </c>
      <c r="CE106" s="86" t="e">
        <f ca="1">IF(CD106=1,_xll.RiskBinomial(1,Prob_illness_Noro_infection),0)</f>
        <v>#NAME?</v>
      </c>
      <c r="CG106" s="85" t="e">
        <f t="shared" ca="1" si="112"/>
        <v>#NAME?</v>
      </c>
      <c r="CH106" s="40" t="e">
        <f ca="1">INT(CG106) + _xll.RiskBinomial(1,CG106-INT(CG106))</f>
        <v>#NAME?</v>
      </c>
      <c r="CI106" s="33" t="e">
        <f t="shared" ca="1" si="85"/>
        <v>#NAME?</v>
      </c>
      <c r="CJ106" s="38" t="e">
        <f ca="1">_xll.RiskBinomial(1,CI106)</f>
        <v>#NAME?</v>
      </c>
      <c r="CK106" s="86" t="e">
        <f ca="1">IF(CJ106=1,_xll.RiskBinomial(1,Prob_illness_Noro_infection),0)</f>
        <v>#NAME?</v>
      </c>
      <c r="CM106" s="85" t="e">
        <f t="shared" ca="1" si="113"/>
        <v>#NAME?</v>
      </c>
      <c r="CN106" s="40" t="e">
        <f ca="1">INT(CM106) + _xll.RiskBinomial(1,CM106-INT(CM106))</f>
        <v>#NAME?</v>
      </c>
      <c r="CO106" s="33" t="e">
        <f t="shared" ca="1" si="86"/>
        <v>#NAME?</v>
      </c>
      <c r="CP106" s="38" t="e">
        <f ca="1">_xll.RiskBinomial(1,CO106)</f>
        <v>#NAME?</v>
      </c>
      <c r="CQ106" s="86" t="e">
        <f ca="1">IF(CP106=1,_xll.RiskBinomial(1,Prob_illness_Noro_infection),0)</f>
        <v>#NAME?</v>
      </c>
      <c r="CS106" s="85" t="e">
        <f t="shared" ca="1" si="114"/>
        <v>#NAME?</v>
      </c>
      <c r="CT106" s="40" t="e">
        <f ca="1">INT(CS106) + _xll.RiskBinomial(1,CS106-INT(CS106))</f>
        <v>#NAME?</v>
      </c>
      <c r="CU106" s="33" t="e">
        <f t="shared" ca="1" si="87"/>
        <v>#NAME?</v>
      </c>
      <c r="CV106" s="38" t="e">
        <f ca="1">_xll.RiskBinomial(1,CU106)</f>
        <v>#NAME?</v>
      </c>
      <c r="CW106" s="86" t="e">
        <f ca="1">IF(CV106=1,_xll.RiskBinomial(1,Prob_illness_Noro_infection),0)</f>
        <v>#NAME?</v>
      </c>
      <c r="CY106" s="85" t="e">
        <f t="shared" ca="1" si="115"/>
        <v>#NAME?</v>
      </c>
      <c r="CZ106" s="40" t="e">
        <f ca="1">INT(CY106) + _xll.RiskBinomial(1,CY106-INT(CY106))</f>
        <v>#NAME?</v>
      </c>
      <c r="DA106" s="33" t="e">
        <f t="shared" ca="1" si="88"/>
        <v>#NAME?</v>
      </c>
      <c r="DB106" s="38" t="e">
        <f ca="1">_xll.RiskBinomial(1,DA106)</f>
        <v>#NAME?</v>
      </c>
      <c r="DC106" s="86" t="e">
        <f ca="1">IF(DB106=1,_xll.RiskBinomial(1,Prob_illness_Noro_infection),0)</f>
        <v>#NAME?</v>
      </c>
      <c r="DE106" s="85" t="e">
        <f t="shared" ca="1" si="116"/>
        <v>#NAME?</v>
      </c>
      <c r="DF106" s="40" t="e">
        <f ca="1">INT(DE106) + _xll.RiskBinomial(1,DE106-INT(DE106))</f>
        <v>#NAME?</v>
      </c>
      <c r="DG106" s="33" t="e">
        <f t="shared" ca="1" si="89"/>
        <v>#NAME?</v>
      </c>
      <c r="DH106" s="38" t="e">
        <f ca="1">_xll.RiskBinomial(1,DG106)</f>
        <v>#NAME?</v>
      </c>
      <c r="DI106" s="86" t="e">
        <f ca="1">IF(DH106=1,_xll.RiskBinomial(1,Prob_illness_Noro_infection),0)</f>
        <v>#NAME?</v>
      </c>
      <c r="DK106" s="85" t="e">
        <f t="shared" ca="1" si="117"/>
        <v>#NAME?</v>
      </c>
      <c r="DL106" s="40" t="e">
        <f ca="1">INT(DK106) + _xll.RiskBinomial(1,DK106-INT(DK106))</f>
        <v>#NAME?</v>
      </c>
      <c r="DM106" s="33" t="e">
        <f t="shared" ca="1" si="90"/>
        <v>#NAME?</v>
      </c>
      <c r="DN106" s="38" t="e">
        <f ca="1">_xll.RiskBinomial(1,DM106)</f>
        <v>#NAME?</v>
      </c>
      <c r="DO106" s="86" t="e">
        <f ca="1">IF(DN106=1,_xll.RiskBinomial(1,Prob_illness_Noro_infection),0)</f>
        <v>#NAME?</v>
      </c>
      <c r="DQ106" s="85" t="e">
        <f t="shared" ca="1" si="118"/>
        <v>#NAME?</v>
      </c>
      <c r="DR106" s="40" t="e">
        <f ca="1">INT(DQ106) + _xll.RiskBinomial(1,DQ106-INT(DQ106))</f>
        <v>#NAME?</v>
      </c>
      <c r="DS106" s="33" t="e">
        <f t="shared" ca="1" si="91"/>
        <v>#NAME?</v>
      </c>
      <c r="DT106" s="38" t="e">
        <f ca="1">_xll.RiskBinomial(1,DS106)</f>
        <v>#NAME?</v>
      </c>
      <c r="DU106" s="86" t="e">
        <f ca="1">IF(DT106=1,_xll.RiskBinomial(1,Prob_illness_Noro_infection),0)</f>
        <v>#NAME?</v>
      </c>
      <c r="DW106" s="85" t="e">
        <f t="shared" ca="1" si="119"/>
        <v>#NAME?</v>
      </c>
      <c r="DX106" s="40" t="e">
        <f ca="1">INT(DW106) + _xll.RiskBinomial(1,DW106-INT(DW106))</f>
        <v>#NAME?</v>
      </c>
      <c r="DY106" s="33" t="e">
        <f t="shared" ca="1" si="92"/>
        <v>#NAME?</v>
      </c>
      <c r="DZ106" s="38" t="e">
        <f ca="1">_xll.RiskBinomial(1,DY106)</f>
        <v>#NAME?</v>
      </c>
      <c r="EA106" s="86" t="e">
        <f ca="1">IF(DZ106=1,_xll.RiskBinomial(1,Prob_illness_Noro_infection),0)</f>
        <v>#NAME?</v>
      </c>
      <c r="EC106" s="85" t="e">
        <f t="shared" ca="1" si="120"/>
        <v>#NAME?</v>
      </c>
      <c r="ED106" s="40" t="e">
        <f ca="1">INT(EC106) + _xll.RiskBinomial(1,EC106-INT(EC106))</f>
        <v>#NAME?</v>
      </c>
      <c r="EE106" s="33" t="e">
        <f t="shared" ca="1" si="93"/>
        <v>#NAME?</v>
      </c>
      <c r="EF106" s="38" t="e">
        <f ca="1">_xll.RiskBinomial(1,EE106)</f>
        <v>#NAME?</v>
      </c>
      <c r="EG106" s="86" t="e">
        <f ca="1">IF(EF106=1,_xll.RiskBinomial(1,Prob_illness_Noro_infection),0)</f>
        <v>#NAME?</v>
      </c>
      <c r="EI106" s="85" t="e">
        <f t="shared" ca="1" si="121"/>
        <v>#NAME?</v>
      </c>
      <c r="EJ106" s="40" t="e">
        <f ca="1">INT(EI106) + _xll.RiskBinomial(1,EI106-INT(EI106))</f>
        <v>#NAME?</v>
      </c>
      <c r="EK106" s="33" t="e">
        <f t="shared" ca="1" si="94"/>
        <v>#NAME?</v>
      </c>
      <c r="EL106" s="38" t="e">
        <f ca="1">_xll.RiskBinomial(1,EK106)</f>
        <v>#NAME?</v>
      </c>
      <c r="EM106" s="86" t="e">
        <f ca="1">IF(EL106=1,_xll.RiskBinomial(1,Prob_illness_Noro_infection),0)</f>
        <v>#NAME?</v>
      </c>
      <c r="EO106" s="85" t="e">
        <f t="shared" ca="1" si="122"/>
        <v>#NAME?</v>
      </c>
      <c r="EP106" s="40" t="e">
        <f ca="1">INT(EO106) + _xll.RiskBinomial(1,EO106-INT(EO106))</f>
        <v>#NAME?</v>
      </c>
      <c r="EQ106" s="33" t="e">
        <f t="shared" ca="1" si="95"/>
        <v>#NAME?</v>
      </c>
      <c r="ER106" s="38" t="e">
        <f ca="1">_xll.RiskBinomial(1,EQ106)</f>
        <v>#NAME?</v>
      </c>
      <c r="ES106" s="86" t="e">
        <f ca="1">IF(ER106=1,_xll.RiskBinomial(1,Prob_illness_Noro_infection),0)</f>
        <v>#NAME?</v>
      </c>
      <c r="EU106" s="85" t="e">
        <f t="shared" ca="1" si="123"/>
        <v>#NAME?</v>
      </c>
      <c r="EV106" s="40" t="e">
        <f ca="1">INT(EU106) + _xll.RiskBinomial(1,EU106-INT(EU106))</f>
        <v>#NAME?</v>
      </c>
      <c r="EW106" s="33" t="e">
        <f t="shared" ca="1" si="96"/>
        <v>#NAME?</v>
      </c>
      <c r="EX106" s="38" t="e">
        <f ca="1">_xll.RiskBinomial(1,EW106)</f>
        <v>#NAME?</v>
      </c>
      <c r="EY106" s="86" t="e">
        <f ca="1">IF(EX106=1,_xll.RiskBinomial(1,Prob_illness_Noro_infection),0)</f>
        <v>#NAME?</v>
      </c>
      <c r="FA106" s="85" t="e">
        <f t="shared" ca="1" si="124"/>
        <v>#NAME?</v>
      </c>
      <c r="FB106" s="40" t="e">
        <f ca="1">INT(FA106) + _xll.RiskBinomial(1,FA106-INT(FA106))</f>
        <v>#NAME?</v>
      </c>
      <c r="FC106" s="33" t="e">
        <f t="shared" ca="1" si="97"/>
        <v>#NAME?</v>
      </c>
      <c r="FD106" s="38" t="e">
        <f ca="1">_xll.RiskBinomial(1,FC106)</f>
        <v>#NAME?</v>
      </c>
      <c r="FE106" s="86" t="e">
        <f ca="1">IF(FD106=1,_xll.RiskBinomial(1,Prob_illness_Noro_infection),0)</f>
        <v>#NAME?</v>
      </c>
      <c r="FG106" s="85" t="e">
        <f t="shared" ca="1" si="125"/>
        <v>#NAME?</v>
      </c>
      <c r="FH106" s="40" t="e">
        <f ca="1">INT(FG106) + _xll.RiskBinomial(1,FG106-INT(FG106))</f>
        <v>#NAME?</v>
      </c>
      <c r="FI106" s="33" t="e">
        <f t="shared" ca="1" si="98"/>
        <v>#NAME?</v>
      </c>
      <c r="FJ106" s="38" t="e">
        <f ca="1">_xll.RiskBinomial(1,FI106)</f>
        <v>#NAME?</v>
      </c>
      <c r="FK106" s="86" t="e">
        <f ca="1">IF(FJ106=1,_xll.RiskBinomial(1,Prob_illness_Noro_infection),0)</f>
        <v>#NAME?</v>
      </c>
      <c r="FM106" s="85" t="e">
        <f t="shared" ca="1" si="126"/>
        <v>#NAME?</v>
      </c>
      <c r="FN106" s="40" t="e">
        <f ca="1">INT(FM106) + _xll.RiskBinomial(1,FM106-INT(FM106))</f>
        <v>#NAME?</v>
      </c>
      <c r="FO106" s="33" t="e">
        <f t="shared" ca="1" si="99"/>
        <v>#NAME?</v>
      </c>
      <c r="FP106" s="38" t="e">
        <f ca="1">_xll.RiskBinomial(1,FO106)</f>
        <v>#NAME?</v>
      </c>
      <c r="FQ106" s="86" t="e">
        <f ca="1">IF(FP106=1,_xll.RiskBinomial(1,Prob_illness_Noro_infection),0)</f>
        <v>#NAME?</v>
      </c>
      <c r="FS106" s="85" t="e">
        <f t="shared" ca="1" si="127"/>
        <v>#NAME?</v>
      </c>
      <c r="FT106" s="40" t="e">
        <f ca="1">INT(FS106) + _xll.RiskBinomial(1,FS106-INT(FS106))</f>
        <v>#NAME?</v>
      </c>
      <c r="FU106" s="33" t="e">
        <f t="shared" ca="1" si="100"/>
        <v>#NAME?</v>
      </c>
      <c r="FV106" s="38" t="e">
        <f ca="1">_xll.RiskBinomial(1,FU106)</f>
        <v>#NAME?</v>
      </c>
      <c r="FW106" s="86" t="e">
        <f ca="1">IF(FV106=1,_xll.RiskBinomial(1,Prob_illness_Noro_infection),0)</f>
        <v>#NAME?</v>
      </c>
      <c r="FY106" s="85" t="e">
        <f t="shared" ca="1" si="128"/>
        <v>#NAME?</v>
      </c>
      <c r="FZ106" s="40" t="e">
        <f ca="1">INT(FY106) + _xll.RiskBinomial(1,FY106-INT(FY106))</f>
        <v>#NAME?</v>
      </c>
      <c r="GA106" s="33" t="e">
        <f t="shared" ca="1" si="101"/>
        <v>#NAME?</v>
      </c>
      <c r="GB106" s="38" t="e">
        <f ca="1">_xll.RiskBinomial(1,GA106)</f>
        <v>#NAME?</v>
      </c>
      <c r="GC106" s="86" t="e">
        <f ca="1">IF(GB106=1,_xll.RiskBinomial(1,Prob_illness_Noro_infection),0)</f>
        <v>#NAME?</v>
      </c>
      <c r="GE106" s="85" t="e">
        <f t="shared" ca="1" si="129"/>
        <v>#NAME?</v>
      </c>
      <c r="GF106" s="40" t="e">
        <f ca="1">INT(GE106) + _xll.RiskBinomial(1,GE106-INT(GE106))</f>
        <v>#NAME?</v>
      </c>
      <c r="GG106" s="33" t="e">
        <f t="shared" ca="1" si="102"/>
        <v>#NAME?</v>
      </c>
      <c r="GH106" s="38" t="e">
        <f ca="1">_xll.RiskBinomial(1,GG106)</f>
        <v>#NAME?</v>
      </c>
      <c r="GI106" s="86" t="e">
        <f ca="1">IF(GH106=1,_xll.RiskBinomial(1,Prob_illness_Noro_infection),0)</f>
        <v>#NAME?</v>
      </c>
      <c r="GK106" s="85" t="e">
        <f t="shared" ca="1" si="130"/>
        <v>#NAME?</v>
      </c>
      <c r="GL106" s="40" t="e">
        <f ca="1">INT(GK106) + _xll.RiskBinomial(1,GK106-INT(GK106))</f>
        <v>#NAME?</v>
      </c>
      <c r="GM106" s="33" t="e">
        <f t="shared" ca="1" si="103"/>
        <v>#NAME?</v>
      </c>
      <c r="GN106" s="38" t="e">
        <f ca="1">_xll.RiskBinomial(1,GM106)</f>
        <v>#NAME?</v>
      </c>
      <c r="GO106" s="86" t="e">
        <f ca="1">IF(GN106=1,_xll.RiskBinomial(1,Prob_illness_Noro_infection),0)</f>
        <v>#NAME?</v>
      </c>
    </row>
    <row r="107" spans="2:197" x14ac:dyDescent="0.25">
      <c r="B107" s="106">
        <v>99</v>
      </c>
      <c r="C107" s="109" t="e">
        <f ca="1" xml:space="preserve"> _xll.RiskPert(Dur_Swim_hours_min,Dur_Swim_hours_mode,Dur_Swim_hours_max)</f>
        <v>#NAME?</v>
      </c>
      <c r="D107" s="33" t="e">
        <f ca="1">_xll.RiskLognorm(Primary_Ing_Rate_mL_per_hour_mean,Primary_Ing_Rate_mL_per_hour_sd, _xll.RiskTruncate(Primary_Ing_Rate_mL_per_hour_min,Primary_Ing_Rate_mL_per_hour_max))</f>
        <v>#NAME?</v>
      </c>
      <c r="E107" s="41" t="e">
        <f t="shared" ca="1" si="104"/>
        <v>#NAME?</v>
      </c>
      <c r="F107" s="33"/>
      <c r="G107" s="85" t="e">
        <f t="shared" ca="1" si="105"/>
        <v>#NAME?</v>
      </c>
      <c r="H107" s="40" t="e">
        <f ca="1">INT(G107) + _xll.RiskBinomial(1,G107-INT(G107))</f>
        <v>#NAME?</v>
      </c>
      <c r="I107" s="33" t="e">
        <f t="shared" ca="1" si="66"/>
        <v>#NAME?</v>
      </c>
      <c r="J107" s="38" t="e">
        <f ca="1">_xll.RiskBinomial(1,I107)</f>
        <v>#NAME?</v>
      </c>
      <c r="K107" s="86" t="e">
        <f ca="1">IF(J107=1,_xll.RiskBinomial(1,Prob_illness_Noro_infection),0)</f>
        <v>#NAME?</v>
      </c>
      <c r="L107" s="33"/>
      <c r="M107" s="85" t="e">
        <f t="shared" ca="1" si="67"/>
        <v>#NAME?</v>
      </c>
      <c r="N107" s="40" t="e">
        <f ca="1">INT(M107) + _xll.RiskBinomial(1,M107-INT(M107))</f>
        <v>#NAME?</v>
      </c>
      <c r="O107" s="33" t="e">
        <f t="shared" ca="1" si="68"/>
        <v>#NAME?</v>
      </c>
      <c r="P107" s="38" t="e">
        <f ca="1">_xll.RiskBinomial(1,O107)</f>
        <v>#NAME?</v>
      </c>
      <c r="Q107" s="86" t="e">
        <f ca="1">IF(P107=1,_xll.RiskBinomial(1,Prob_illness_Noro_infection),0)</f>
        <v>#NAME?</v>
      </c>
      <c r="R107" s="33"/>
      <c r="S107" s="85" t="e">
        <f t="shared" ca="1" si="69"/>
        <v>#NAME?</v>
      </c>
      <c r="T107" s="40" t="e">
        <f ca="1">INT(S107) + _xll.RiskBinomial(1,S107-INT(S107))</f>
        <v>#NAME?</v>
      </c>
      <c r="U107" s="33" t="e">
        <f t="shared" ca="1" si="70"/>
        <v>#NAME?</v>
      </c>
      <c r="V107" s="38" t="e">
        <f ca="1">_xll.RiskBinomial(1,U107)</f>
        <v>#NAME?</v>
      </c>
      <c r="W107" s="86" t="e">
        <f ca="1">IF(V107=1,_xll.RiskBinomial(1,Prob_illness_Noro_infection),0)</f>
        <v>#NAME?</v>
      </c>
      <c r="X107" s="33"/>
      <c r="Y107" s="85" t="e">
        <f t="shared" ca="1" si="71"/>
        <v>#NAME?</v>
      </c>
      <c r="Z107" s="40" t="e">
        <f ca="1">INT(Y107) + _xll.RiskBinomial(1,Y107-INT(Y107))</f>
        <v>#NAME?</v>
      </c>
      <c r="AA107" s="33" t="e">
        <f t="shared" ca="1" si="72"/>
        <v>#NAME?</v>
      </c>
      <c r="AB107" s="38" t="e">
        <f ca="1">_xll.RiskBinomial(1,AA107)</f>
        <v>#NAME?</v>
      </c>
      <c r="AC107" s="86" t="e">
        <f ca="1">IF(AB107=1,_xll.RiskBinomial(1,Prob_illness_Noro_infection),0)</f>
        <v>#NAME?</v>
      </c>
      <c r="AD107" s="33"/>
      <c r="AE107" s="85" t="e">
        <f t="shared" ca="1" si="73"/>
        <v>#NAME?</v>
      </c>
      <c r="AF107" s="40" t="e">
        <f ca="1">INT(AE107) + _xll.RiskBinomial(1,AE107-INT(AE107))</f>
        <v>#NAME?</v>
      </c>
      <c r="AG107" s="33" t="e">
        <f t="shared" ca="1" si="74"/>
        <v>#NAME?</v>
      </c>
      <c r="AH107" s="38" t="e">
        <f ca="1">_xll.RiskBinomial(1,AG107)</f>
        <v>#NAME?</v>
      </c>
      <c r="AI107" s="86" t="e">
        <f ca="1">IF(AH107=1,_xll.RiskBinomial(1,Prob_illness_Noro_infection),0)</f>
        <v>#NAME?</v>
      </c>
      <c r="AJ107" s="33"/>
      <c r="AK107" s="85" t="e">
        <f t="shared" ca="1" si="75"/>
        <v>#NAME?</v>
      </c>
      <c r="AL107" s="40" t="e">
        <f ca="1">INT(AK107) + _xll.RiskBinomial(1,AK107-INT(AK107))</f>
        <v>#NAME?</v>
      </c>
      <c r="AM107" s="33" t="e">
        <f t="shared" ca="1" si="76"/>
        <v>#NAME?</v>
      </c>
      <c r="AN107" s="38" t="e">
        <f ca="1">_xll.RiskBinomial(1,AM107)</f>
        <v>#NAME?</v>
      </c>
      <c r="AO107" s="86" t="e">
        <f ca="1">IF(AN107=1,_xll.RiskBinomial(1,Prob_illness_Noro_infection),0)</f>
        <v>#NAME?</v>
      </c>
      <c r="AP107" s="33"/>
      <c r="AQ107" s="85" t="e">
        <f t="shared" ca="1" si="77"/>
        <v>#NAME?</v>
      </c>
      <c r="AR107" s="40" t="e">
        <f ca="1">INT(AQ107) + _xll.RiskBinomial(1,AQ107-INT(AQ107))</f>
        <v>#NAME?</v>
      </c>
      <c r="AS107" s="33" t="e">
        <f t="shared" ca="1" si="78"/>
        <v>#NAME?</v>
      </c>
      <c r="AT107" s="38" t="e">
        <f ca="1">_xll.RiskBinomial(1,AS107)</f>
        <v>#NAME?</v>
      </c>
      <c r="AU107" s="86" t="e">
        <f ca="1">IF(AT107=1,_xll.RiskBinomial(1,Prob_illness_Noro_infection),0)</f>
        <v>#NAME?</v>
      </c>
      <c r="AV107" s="33"/>
      <c r="AW107" s="85" t="e">
        <f t="shared" ca="1" si="106"/>
        <v>#NAME?</v>
      </c>
      <c r="AX107" s="40" t="e">
        <f ca="1">INT(AW107) + _xll.RiskBinomial(1,AW107-INT(AW107))</f>
        <v>#NAME?</v>
      </c>
      <c r="AY107" s="33" t="e">
        <f t="shared" ca="1" si="79"/>
        <v>#NAME?</v>
      </c>
      <c r="AZ107" s="38" t="e">
        <f ca="1">_xll.RiskBinomial(1,AY107)</f>
        <v>#NAME?</v>
      </c>
      <c r="BA107" s="86" t="e">
        <f ca="1">IF(AZ107=1,_xll.RiskBinomial(1,Prob_illness_Noro_infection),0)</f>
        <v>#NAME?</v>
      </c>
      <c r="BC107" s="85" t="e">
        <f t="shared" ca="1" si="107"/>
        <v>#NAME?</v>
      </c>
      <c r="BD107" s="40" t="e">
        <f ca="1">INT(BC107) + _xll.RiskBinomial(1,BC107-INT(BC107))</f>
        <v>#NAME?</v>
      </c>
      <c r="BE107" s="33" t="e">
        <f t="shared" ca="1" si="80"/>
        <v>#NAME?</v>
      </c>
      <c r="BF107" s="38" t="e">
        <f ca="1">_xll.RiskBinomial(1,BE107)</f>
        <v>#NAME?</v>
      </c>
      <c r="BG107" s="86" t="e">
        <f ca="1">IF(BF107=1,_xll.RiskBinomial(1,Prob_illness_Noro_infection),0)</f>
        <v>#NAME?</v>
      </c>
      <c r="BI107" s="85" t="e">
        <f t="shared" ca="1" si="108"/>
        <v>#NAME?</v>
      </c>
      <c r="BJ107" s="40" t="e">
        <f ca="1">INT(BI107) + _xll.RiskBinomial(1,BI107-INT(BI107))</f>
        <v>#NAME?</v>
      </c>
      <c r="BK107" s="33" t="e">
        <f t="shared" ca="1" si="81"/>
        <v>#NAME?</v>
      </c>
      <c r="BL107" s="38" t="e">
        <f ca="1">_xll.RiskBinomial(1,BK107)</f>
        <v>#NAME?</v>
      </c>
      <c r="BM107" s="86" t="e">
        <f ca="1">IF(BL107=1,_xll.RiskBinomial(1,Prob_illness_Noro_infection),0)</f>
        <v>#NAME?</v>
      </c>
      <c r="BO107" s="85" t="e">
        <f t="shared" ca="1" si="109"/>
        <v>#NAME?</v>
      </c>
      <c r="BP107" s="40" t="e">
        <f ca="1">INT(BO107) + _xll.RiskBinomial(1,BO107-INT(BO107))</f>
        <v>#NAME?</v>
      </c>
      <c r="BQ107" s="33" t="e">
        <f t="shared" ca="1" si="82"/>
        <v>#NAME?</v>
      </c>
      <c r="BR107" s="38" t="e">
        <f ca="1">_xll.RiskBinomial(1,BQ107)</f>
        <v>#NAME?</v>
      </c>
      <c r="BS107" s="86" t="e">
        <f ca="1">IF(BR107=1,_xll.RiskBinomial(1,Prob_illness_Noro_infection),0)</f>
        <v>#NAME?</v>
      </c>
      <c r="BU107" s="85" t="e">
        <f t="shared" ca="1" si="110"/>
        <v>#NAME?</v>
      </c>
      <c r="BV107" s="40" t="e">
        <f ca="1">INT(BU107) + _xll.RiskBinomial(1,BU107-INT(BU107))</f>
        <v>#NAME?</v>
      </c>
      <c r="BW107" s="33" t="e">
        <f t="shared" ca="1" si="83"/>
        <v>#NAME?</v>
      </c>
      <c r="BX107" s="38" t="e">
        <f ca="1">_xll.RiskBinomial(1,BW107)</f>
        <v>#NAME?</v>
      </c>
      <c r="BY107" s="86" t="e">
        <f ca="1">IF(BX107=1,_xll.RiskBinomial(1,Prob_illness_Noro_infection),0)</f>
        <v>#NAME?</v>
      </c>
      <c r="CA107" s="85" t="e">
        <f t="shared" ca="1" si="111"/>
        <v>#NAME?</v>
      </c>
      <c r="CB107" s="40" t="e">
        <f ca="1">INT(CA107) + _xll.RiskBinomial(1,CA107-INT(CA107))</f>
        <v>#NAME?</v>
      </c>
      <c r="CC107" s="33" t="e">
        <f t="shared" ca="1" si="84"/>
        <v>#NAME?</v>
      </c>
      <c r="CD107" s="38" t="e">
        <f ca="1">_xll.RiskBinomial(1,CC107)</f>
        <v>#NAME?</v>
      </c>
      <c r="CE107" s="86" t="e">
        <f ca="1">IF(CD107=1,_xll.RiskBinomial(1,Prob_illness_Noro_infection),0)</f>
        <v>#NAME?</v>
      </c>
      <c r="CG107" s="85" t="e">
        <f t="shared" ca="1" si="112"/>
        <v>#NAME?</v>
      </c>
      <c r="CH107" s="40" t="e">
        <f ca="1">INT(CG107) + _xll.RiskBinomial(1,CG107-INT(CG107))</f>
        <v>#NAME?</v>
      </c>
      <c r="CI107" s="33" t="e">
        <f t="shared" ca="1" si="85"/>
        <v>#NAME?</v>
      </c>
      <c r="CJ107" s="38" t="e">
        <f ca="1">_xll.RiskBinomial(1,CI107)</f>
        <v>#NAME?</v>
      </c>
      <c r="CK107" s="86" t="e">
        <f ca="1">IF(CJ107=1,_xll.RiskBinomial(1,Prob_illness_Noro_infection),0)</f>
        <v>#NAME?</v>
      </c>
      <c r="CM107" s="85" t="e">
        <f t="shared" ca="1" si="113"/>
        <v>#NAME?</v>
      </c>
      <c r="CN107" s="40" t="e">
        <f ca="1">INT(CM107) + _xll.RiskBinomial(1,CM107-INT(CM107))</f>
        <v>#NAME?</v>
      </c>
      <c r="CO107" s="33" t="e">
        <f t="shared" ca="1" si="86"/>
        <v>#NAME?</v>
      </c>
      <c r="CP107" s="38" t="e">
        <f ca="1">_xll.RiskBinomial(1,CO107)</f>
        <v>#NAME?</v>
      </c>
      <c r="CQ107" s="86" t="e">
        <f ca="1">IF(CP107=1,_xll.RiskBinomial(1,Prob_illness_Noro_infection),0)</f>
        <v>#NAME?</v>
      </c>
      <c r="CS107" s="85" t="e">
        <f t="shared" ca="1" si="114"/>
        <v>#NAME?</v>
      </c>
      <c r="CT107" s="40" t="e">
        <f ca="1">INT(CS107) + _xll.RiskBinomial(1,CS107-INT(CS107))</f>
        <v>#NAME?</v>
      </c>
      <c r="CU107" s="33" t="e">
        <f t="shared" ca="1" si="87"/>
        <v>#NAME?</v>
      </c>
      <c r="CV107" s="38" t="e">
        <f ca="1">_xll.RiskBinomial(1,CU107)</f>
        <v>#NAME?</v>
      </c>
      <c r="CW107" s="86" t="e">
        <f ca="1">IF(CV107=1,_xll.RiskBinomial(1,Prob_illness_Noro_infection),0)</f>
        <v>#NAME?</v>
      </c>
      <c r="CY107" s="85" t="e">
        <f t="shared" ca="1" si="115"/>
        <v>#NAME?</v>
      </c>
      <c r="CZ107" s="40" t="e">
        <f ca="1">INT(CY107) + _xll.RiskBinomial(1,CY107-INT(CY107))</f>
        <v>#NAME?</v>
      </c>
      <c r="DA107" s="33" t="e">
        <f t="shared" ca="1" si="88"/>
        <v>#NAME?</v>
      </c>
      <c r="DB107" s="38" t="e">
        <f ca="1">_xll.RiskBinomial(1,DA107)</f>
        <v>#NAME?</v>
      </c>
      <c r="DC107" s="86" t="e">
        <f ca="1">IF(DB107=1,_xll.RiskBinomial(1,Prob_illness_Noro_infection),0)</f>
        <v>#NAME?</v>
      </c>
      <c r="DE107" s="85" t="e">
        <f t="shared" ca="1" si="116"/>
        <v>#NAME?</v>
      </c>
      <c r="DF107" s="40" t="e">
        <f ca="1">INT(DE107) + _xll.RiskBinomial(1,DE107-INT(DE107))</f>
        <v>#NAME?</v>
      </c>
      <c r="DG107" s="33" t="e">
        <f t="shared" ca="1" si="89"/>
        <v>#NAME?</v>
      </c>
      <c r="DH107" s="38" t="e">
        <f ca="1">_xll.RiskBinomial(1,DG107)</f>
        <v>#NAME?</v>
      </c>
      <c r="DI107" s="86" t="e">
        <f ca="1">IF(DH107=1,_xll.RiskBinomial(1,Prob_illness_Noro_infection),0)</f>
        <v>#NAME?</v>
      </c>
      <c r="DK107" s="85" t="e">
        <f t="shared" ca="1" si="117"/>
        <v>#NAME?</v>
      </c>
      <c r="DL107" s="40" t="e">
        <f ca="1">INT(DK107) + _xll.RiskBinomial(1,DK107-INT(DK107))</f>
        <v>#NAME?</v>
      </c>
      <c r="DM107" s="33" t="e">
        <f t="shared" ca="1" si="90"/>
        <v>#NAME?</v>
      </c>
      <c r="DN107" s="38" t="e">
        <f ca="1">_xll.RiskBinomial(1,DM107)</f>
        <v>#NAME?</v>
      </c>
      <c r="DO107" s="86" t="e">
        <f ca="1">IF(DN107=1,_xll.RiskBinomial(1,Prob_illness_Noro_infection),0)</f>
        <v>#NAME?</v>
      </c>
      <c r="DQ107" s="85" t="e">
        <f t="shared" ca="1" si="118"/>
        <v>#NAME?</v>
      </c>
      <c r="DR107" s="40" t="e">
        <f ca="1">INT(DQ107) + _xll.RiskBinomial(1,DQ107-INT(DQ107))</f>
        <v>#NAME?</v>
      </c>
      <c r="DS107" s="33" t="e">
        <f t="shared" ca="1" si="91"/>
        <v>#NAME?</v>
      </c>
      <c r="DT107" s="38" t="e">
        <f ca="1">_xll.RiskBinomial(1,DS107)</f>
        <v>#NAME?</v>
      </c>
      <c r="DU107" s="86" t="e">
        <f ca="1">IF(DT107=1,_xll.RiskBinomial(1,Prob_illness_Noro_infection),0)</f>
        <v>#NAME?</v>
      </c>
      <c r="DW107" s="85" t="e">
        <f t="shared" ca="1" si="119"/>
        <v>#NAME?</v>
      </c>
      <c r="DX107" s="40" t="e">
        <f ca="1">INT(DW107) + _xll.RiskBinomial(1,DW107-INT(DW107))</f>
        <v>#NAME?</v>
      </c>
      <c r="DY107" s="33" t="e">
        <f t="shared" ca="1" si="92"/>
        <v>#NAME?</v>
      </c>
      <c r="DZ107" s="38" t="e">
        <f ca="1">_xll.RiskBinomial(1,DY107)</f>
        <v>#NAME?</v>
      </c>
      <c r="EA107" s="86" t="e">
        <f ca="1">IF(DZ107=1,_xll.RiskBinomial(1,Prob_illness_Noro_infection),0)</f>
        <v>#NAME?</v>
      </c>
      <c r="EC107" s="85" t="e">
        <f t="shared" ca="1" si="120"/>
        <v>#NAME?</v>
      </c>
      <c r="ED107" s="40" t="e">
        <f ca="1">INT(EC107) + _xll.RiskBinomial(1,EC107-INT(EC107))</f>
        <v>#NAME?</v>
      </c>
      <c r="EE107" s="33" t="e">
        <f t="shared" ca="1" si="93"/>
        <v>#NAME?</v>
      </c>
      <c r="EF107" s="38" t="e">
        <f ca="1">_xll.RiskBinomial(1,EE107)</f>
        <v>#NAME?</v>
      </c>
      <c r="EG107" s="86" t="e">
        <f ca="1">IF(EF107=1,_xll.RiskBinomial(1,Prob_illness_Noro_infection),0)</f>
        <v>#NAME?</v>
      </c>
      <c r="EI107" s="85" t="e">
        <f t="shared" ca="1" si="121"/>
        <v>#NAME?</v>
      </c>
      <c r="EJ107" s="40" t="e">
        <f ca="1">INT(EI107) + _xll.RiskBinomial(1,EI107-INT(EI107))</f>
        <v>#NAME?</v>
      </c>
      <c r="EK107" s="33" t="e">
        <f t="shared" ca="1" si="94"/>
        <v>#NAME?</v>
      </c>
      <c r="EL107" s="38" t="e">
        <f ca="1">_xll.RiskBinomial(1,EK107)</f>
        <v>#NAME?</v>
      </c>
      <c r="EM107" s="86" t="e">
        <f ca="1">IF(EL107=1,_xll.RiskBinomial(1,Prob_illness_Noro_infection),0)</f>
        <v>#NAME?</v>
      </c>
      <c r="EO107" s="85" t="e">
        <f t="shared" ca="1" si="122"/>
        <v>#NAME?</v>
      </c>
      <c r="EP107" s="40" t="e">
        <f ca="1">INT(EO107) + _xll.RiskBinomial(1,EO107-INT(EO107))</f>
        <v>#NAME?</v>
      </c>
      <c r="EQ107" s="33" t="e">
        <f t="shared" ca="1" si="95"/>
        <v>#NAME?</v>
      </c>
      <c r="ER107" s="38" t="e">
        <f ca="1">_xll.RiskBinomial(1,EQ107)</f>
        <v>#NAME?</v>
      </c>
      <c r="ES107" s="86" t="e">
        <f ca="1">IF(ER107=1,_xll.RiskBinomial(1,Prob_illness_Noro_infection),0)</f>
        <v>#NAME?</v>
      </c>
      <c r="EU107" s="85" t="e">
        <f t="shared" ca="1" si="123"/>
        <v>#NAME?</v>
      </c>
      <c r="EV107" s="40" t="e">
        <f ca="1">INT(EU107) + _xll.RiskBinomial(1,EU107-INT(EU107))</f>
        <v>#NAME?</v>
      </c>
      <c r="EW107" s="33" t="e">
        <f t="shared" ca="1" si="96"/>
        <v>#NAME?</v>
      </c>
      <c r="EX107" s="38" t="e">
        <f ca="1">_xll.RiskBinomial(1,EW107)</f>
        <v>#NAME?</v>
      </c>
      <c r="EY107" s="86" t="e">
        <f ca="1">IF(EX107=1,_xll.RiskBinomial(1,Prob_illness_Noro_infection),0)</f>
        <v>#NAME?</v>
      </c>
      <c r="FA107" s="85" t="e">
        <f t="shared" ca="1" si="124"/>
        <v>#NAME?</v>
      </c>
      <c r="FB107" s="40" t="e">
        <f ca="1">INT(FA107) + _xll.RiskBinomial(1,FA107-INT(FA107))</f>
        <v>#NAME?</v>
      </c>
      <c r="FC107" s="33" t="e">
        <f t="shared" ca="1" si="97"/>
        <v>#NAME?</v>
      </c>
      <c r="FD107" s="38" t="e">
        <f ca="1">_xll.RiskBinomial(1,FC107)</f>
        <v>#NAME?</v>
      </c>
      <c r="FE107" s="86" t="e">
        <f ca="1">IF(FD107=1,_xll.RiskBinomial(1,Prob_illness_Noro_infection),0)</f>
        <v>#NAME?</v>
      </c>
      <c r="FG107" s="85" t="e">
        <f t="shared" ca="1" si="125"/>
        <v>#NAME?</v>
      </c>
      <c r="FH107" s="40" t="e">
        <f ca="1">INT(FG107) + _xll.RiskBinomial(1,FG107-INT(FG107))</f>
        <v>#NAME?</v>
      </c>
      <c r="FI107" s="33" t="e">
        <f t="shared" ca="1" si="98"/>
        <v>#NAME?</v>
      </c>
      <c r="FJ107" s="38" t="e">
        <f ca="1">_xll.RiskBinomial(1,FI107)</f>
        <v>#NAME?</v>
      </c>
      <c r="FK107" s="86" t="e">
        <f ca="1">IF(FJ107=1,_xll.RiskBinomial(1,Prob_illness_Noro_infection),0)</f>
        <v>#NAME?</v>
      </c>
      <c r="FM107" s="85" t="e">
        <f t="shared" ca="1" si="126"/>
        <v>#NAME?</v>
      </c>
      <c r="FN107" s="40" t="e">
        <f ca="1">INT(FM107) + _xll.RiskBinomial(1,FM107-INT(FM107))</f>
        <v>#NAME?</v>
      </c>
      <c r="FO107" s="33" t="e">
        <f t="shared" ca="1" si="99"/>
        <v>#NAME?</v>
      </c>
      <c r="FP107" s="38" t="e">
        <f ca="1">_xll.RiskBinomial(1,FO107)</f>
        <v>#NAME?</v>
      </c>
      <c r="FQ107" s="86" t="e">
        <f ca="1">IF(FP107=1,_xll.RiskBinomial(1,Prob_illness_Noro_infection),0)</f>
        <v>#NAME?</v>
      </c>
      <c r="FS107" s="85" t="e">
        <f t="shared" ca="1" si="127"/>
        <v>#NAME?</v>
      </c>
      <c r="FT107" s="40" t="e">
        <f ca="1">INT(FS107) + _xll.RiskBinomial(1,FS107-INT(FS107))</f>
        <v>#NAME?</v>
      </c>
      <c r="FU107" s="33" t="e">
        <f t="shared" ca="1" si="100"/>
        <v>#NAME?</v>
      </c>
      <c r="FV107" s="38" t="e">
        <f ca="1">_xll.RiskBinomial(1,FU107)</f>
        <v>#NAME?</v>
      </c>
      <c r="FW107" s="86" t="e">
        <f ca="1">IF(FV107=1,_xll.RiskBinomial(1,Prob_illness_Noro_infection),0)</f>
        <v>#NAME?</v>
      </c>
      <c r="FY107" s="85" t="e">
        <f t="shared" ca="1" si="128"/>
        <v>#NAME?</v>
      </c>
      <c r="FZ107" s="40" t="e">
        <f ca="1">INT(FY107) + _xll.RiskBinomial(1,FY107-INT(FY107))</f>
        <v>#NAME?</v>
      </c>
      <c r="GA107" s="33" t="e">
        <f t="shared" ca="1" si="101"/>
        <v>#NAME?</v>
      </c>
      <c r="GB107" s="38" t="e">
        <f ca="1">_xll.RiskBinomial(1,GA107)</f>
        <v>#NAME?</v>
      </c>
      <c r="GC107" s="86" t="e">
        <f ca="1">IF(GB107=1,_xll.RiskBinomial(1,Prob_illness_Noro_infection),0)</f>
        <v>#NAME?</v>
      </c>
      <c r="GE107" s="85" t="e">
        <f t="shared" ca="1" si="129"/>
        <v>#NAME?</v>
      </c>
      <c r="GF107" s="40" t="e">
        <f ca="1">INT(GE107) + _xll.RiskBinomial(1,GE107-INT(GE107))</f>
        <v>#NAME?</v>
      </c>
      <c r="GG107" s="33" t="e">
        <f t="shared" ca="1" si="102"/>
        <v>#NAME?</v>
      </c>
      <c r="GH107" s="38" t="e">
        <f ca="1">_xll.RiskBinomial(1,GG107)</f>
        <v>#NAME?</v>
      </c>
      <c r="GI107" s="86" t="e">
        <f ca="1">IF(GH107=1,_xll.RiskBinomial(1,Prob_illness_Noro_infection),0)</f>
        <v>#NAME?</v>
      </c>
      <c r="GK107" s="85" t="e">
        <f t="shared" ca="1" si="130"/>
        <v>#NAME?</v>
      </c>
      <c r="GL107" s="40" t="e">
        <f ca="1">INT(GK107) + _xll.RiskBinomial(1,GK107-INT(GK107))</f>
        <v>#NAME?</v>
      </c>
      <c r="GM107" s="33" t="e">
        <f t="shared" ca="1" si="103"/>
        <v>#NAME?</v>
      </c>
      <c r="GN107" s="38" t="e">
        <f ca="1">_xll.RiskBinomial(1,GM107)</f>
        <v>#NAME?</v>
      </c>
      <c r="GO107" s="86" t="e">
        <f ca="1">IF(GN107=1,_xll.RiskBinomial(1,Prob_illness_Noro_infection),0)</f>
        <v>#NAME?</v>
      </c>
    </row>
    <row r="108" spans="2:197" ht="12" thickBot="1" x14ac:dyDescent="0.3">
      <c r="B108" s="107">
        <v>100</v>
      </c>
      <c r="C108" s="110" t="e">
        <f ca="1" xml:space="preserve"> _xll.RiskPert(Dur_Swim_hours_min,Dur_Swim_hours_mode,Dur_Swim_hours_max)</f>
        <v>#NAME?</v>
      </c>
      <c r="D108" s="33" t="e">
        <f ca="1">_xll.RiskLognorm(Primary_Ing_Rate_mL_per_hour_mean,Primary_Ing_Rate_mL_per_hour_sd, _xll.RiskTruncate(Primary_Ing_Rate_mL_per_hour_min,Primary_Ing_Rate_mL_per_hour_max))</f>
        <v>#NAME?</v>
      </c>
      <c r="E108" s="60" t="e">
        <f t="shared" ca="1" si="104"/>
        <v>#NAME?</v>
      </c>
      <c r="F108" s="33"/>
      <c r="G108" s="87" t="e">
        <f t="shared" ca="1" si="105"/>
        <v>#NAME?</v>
      </c>
      <c r="H108" s="59" t="e">
        <f ca="1">INT(G108) + _xll.RiskBinomial(1,G108-INT(G108))</f>
        <v>#NAME?</v>
      </c>
      <c r="I108" s="33" t="e">
        <f t="shared" ca="1" si="66"/>
        <v>#NAME?</v>
      </c>
      <c r="J108" s="57" t="e">
        <f ca="1">_xll.RiskBinomial(1,I108)</f>
        <v>#NAME?</v>
      </c>
      <c r="K108" s="86" t="e">
        <f ca="1">IF(J108=1,_xll.RiskBinomial(1,Prob_illness_Noro_infection),0)</f>
        <v>#NAME?</v>
      </c>
      <c r="L108" s="33"/>
      <c r="M108" s="87" t="e">
        <f t="shared" ca="1" si="67"/>
        <v>#NAME?</v>
      </c>
      <c r="N108" s="59" t="e">
        <f ca="1">INT(M108) + _xll.RiskBinomial(1,M108-INT(M108))</f>
        <v>#NAME?</v>
      </c>
      <c r="O108" s="33" t="e">
        <f t="shared" ca="1" si="68"/>
        <v>#NAME?</v>
      </c>
      <c r="P108" s="57" t="e">
        <f ca="1">_xll.RiskBinomial(1,O108)</f>
        <v>#NAME?</v>
      </c>
      <c r="Q108" s="86" t="e">
        <f ca="1">IF(P108=1,_xll.RiskBinomial(1,Prob_illness_Noro_infection),0)</f>
        <v>#NAME?</v>
      </c>
      <c r="R108" s="33"/>
      <c r="S108" s="87" t="e">
        <f t="shared" ca="1" si="69"/>
        <v>#NAME?</v>
      </c>
      <c r="T108" s="59" t="e">
        <f ca="1">INT(S108) + _xll.RiskBinomial(1,S108-INT(S108))</f>
        <v>#NAME?</v>
      </c>
      <c r="U108" s="33" t="e">
        <f t="shared" ca="1" si="70"/>
        <v>#NAME?</v>
      </c>
      <c r="V108" s="57" t="e">
        <f ca="1">_xll.RiskBinomial(1,U108)</f>
        <v>#NAME?</v>
      </c>
      <c r="W108" s="86" t="e">
        <f ca="1">IF(V108=1,_xll.RiskBinomial(1,Prob_illness_Noro_infection),0)</f>
        <v>#NAME?</v>
      </c>
      <c r="X108" s="33"/>
      <c r="Y108" s="87" t="e">
        <f t="shared" ca="1" si="71"/>
        <v>#NAME?</v>
      </c>
      <c r="Z108" s="59" t="e">
        <f ca="1">INT(Y108) + _xll.RiskBinomial(1,Y108-INT(Y108))</f>
        <v>#NAME?</v>
      </c>
      <c r="AA108" s="33" t="e">
        <f t="shared" ca="1" si="72"/>
        <v>#NAME?</v>
      </c>
      <c r="AB108" s="57" t="e">
        <f ca="1">_xll.RiskBinomial(1,AA108)</f>
        <v>#NAME?</v>
      </c>
      <c r="AC108" s="86" t="e">
        <f ca="1">IF(AB108=1,_xll.RiskBinomial(1,Prob_illness_Noro_infection),0)</f>
        <v>#NAME?</v>
      </c>
      <c r="AD108" s="33"/>
      <c r="AE108" s="87" t="e">
        <f t="shared" ca="1" si="73"/>
        <v>#NAME?</v>
      </c>
      <c r="AF108" s="59" t="e">
        <f ca="1">INT(AE108) + _xll.RiskBinomial(1,AE108-INT(AE108))</f>
        <v>#NAME?</v>
      </c>
      <c r="AG108" s="33" t="e">
        <f t="shared" ca="1" si="74"/>
        <v>#NAME?</v>
      </c>
      <c r="AH108" s="57" t="e">
        <f ca="1">_xll.RiskBinomial(1,AG108)</f>
        <v>#NAME?</v>
      </c>
      <c r="AI108" s="86" t="e">
        <f ca="1">IF(AH108=1,_xll.RiskBinomial(1,Prob_illness_Noro_infection),0)</f>
        <v>#NAME?</v>
      </c>
      <c r="AJ108" s="33"/>
      <c r="AK108" s="87" t="e">
        <f t="shared" ca="1" si="75"/>
        <v>#NAME?</v>
      </c>
      <c r="AL108" s="59" t="e">
        <f ca="1">INT(AK108) + _xll.RiskBinomial(1,AK108-INT(AK108))</f>
        <v>#NAME?</v>
      </c>
      <c r="AM108" s="33" t="e">
        <f t="shared" ca="1" si="76"/>
        <v>#NAME?</v>
      </c>
      <c r="AN108" s="57" t="e">
        <f ca="1">_xll.RiskBinomial(1,AM108)</f>
        <v>#NAME?</v>
      </c>
      <c r="AO108" s="86" t="e">
        <f ca="1">IF(AN108=1,_xll.RiskBinomial(1,Prob_illness_Noro_infection),0)</f>
        <v>#NAME?</v>
      </c>
      <c r="AP108" s="33"/>
      <c r="AQ108" s="87" t="e">
        <f t="shared" ca="1" si="77"/>
        <v>#NAME?</v>
      </c>
      <c r="AR108" s="59" t="e">
        <f ca="1">INT(AQ108) + _xll.RiskBinomial(1,AQ108-INT(AQ108))</f>
        <v>#NAME?</v>
      </c>
      <c r="AS108" s="33" t="e">
        <f t="shared" ca="1" si="78"/>
        <v>#NAME?</v>
      </c>
      <c r="AT108" s="57" t="e">
        <f ca="1">_xll.RiskBinomial(1,AS108)</f>
        <v>#NAME?</v>
      </c>
      <c r="AU108" s="86" t="e">
        <f ca="1">IF(AT108=1,_xll.RiskBinomial(1,Prob_illness_Noro_infection),0)</f>
        <v>#NAME?</v>
      </c>
      <c r="AV108" s="33"/>
      <c r="AW108" s="87" t="e">
        <f t="shared" ca="1" si="106"/>
        <v>#NAME?</v>
      </c>
      <c r="AX108" s="59" t="e">
        <f ca="1">INT(AW108) + _xll.RiskBinomial(1,AW108-INT(AW108))</f>
        <v>#NAME?</v>
      </c>
      <c r="AY108" s="33" t="e">
        <f t="shared" ca="1" si="79"/>
        <v>#NAME?</v>
      </c>
      <c r="AZ108" s="57" t="e">
        <f ca="1">_xll.RiskBinomial(1,AY108)</f>
        <v>#NAME?</v>
      </c>
      <c r="BA108" s="86" t="e">
        <f ca="1">IF(AZ108=1,_xll.RiskBinomial(1,Prob_illness_Noro_infection),0)</f>
        <v>#NAME?</v>
      </c>
      <c r="BC108" s="87" t="e">
        <f t="shared" ca="1" si="107"/>
        <v>#NAME?</v>
      </c>
      <c r="BD108" s="59" t="e">
        <f ca="1">INT(BC108) + _xll.RiskBinomial(1,BC108-INT(BC108))</f>
        <v>#NAME?</v>
      </c>
      <c r="BE108" s="33" t="e">
        <f t="shared" ca="1" si="80"/>
        <v>#NAME?</v>
      </c>
      <c r="BF108" s="57" t="e">
        <f ca="1">_xll.RiskBinomial(1,BE108)</f>
        <v>#NAME?</v>
      </c>
      <c r="BG108" s="86" t="e">
        <f ca="1">IF(BF108=1,_xll.RiskBinomial(1,Prob_illness_Noro_infection),0)</f>
        <v>#NAME?</v>
      </c>
      <c r="BI108" s="87" t="e">
        <f t="shared" ca="1" si="108"/>
        <v>#NAME?</v>
      </c>
      <c r="BJ108" s="59" t="e">
        <f ca="1">INT(BI108) + _xll.RiskBinomial(1,BI108-INT(BI108))</f>
        <v>#NAME?</v>
      </c>
      <c r="BK108" s="33" t="e">
        <f t="shared" ca="1" si="81"/>
        <v>#NAME?</v>
      </c>
      <c r="BL108" s="57" t="e">
        <f ca="1">_xll.RiskBinomial(1,BK108)</f>
        <v>#NAME?</v>
      </c>
      <c r="BM108" s="86" t="e">
        <f ca="1">IF(BL108=1,_xll.RiskBinomial(1,Prob_illness_Noro_infection),0)</f>
        <v>#NAME?</v>
      </c>
      <c r="BO108" s="87" t="e">
        <f t="shared" ca="1" si="109"/>
        <v>#NAME?</v>
      </c>
      <c r="BP108" s="59" t="e">
        <f ca="1">INT(BO108) + _xll.RiskBinomial(1,BO108-INT(BO108))</f>
        <v>#NAME?</v>
      </c>
      <c r="BQ108" s="33" t="e">
        <f t="shared" ca="1" si="82"/>
        <v>#NAME?</v>
      </c>
      <c r="BR108" s="57" t="e">
        <f ca="1">_xll.RiskBinomial(1,BQ108)</f>
        <v>#NAME?</v>
      </c>
      <c r="BS108" s="86" t="e">
        <f ca="1">IF(BR108=1,_xll.RiskBinomial(1,Prob_illness_Noro_infection),0)</f>
        <v>#NAME?</v>
      </c>
      <c r="BU108" s="87" t="e">
        <f t="shared" ca="1" si="110"/>
        <v>#NAME?</v>
      </c>
      <c r="BV108" s="59" t="e">
        <f ca="1">INT(BU108) + _xll.RiskBinomial(1,BU108-INT(BU108))</f>
        <v>#NAME?</v>
      </c>
      <c r="BW108" s="33" t="e">
        <f t="shared" ca="1" si="83"/>
        <v>#NAME?</v>
      </c>
      <c r="BX108" s="57" t="e">
        <f ca="1">_xll.RiskBinomial(1,BW108)</f>
        <v>#NAME?</v>
      </c>
      <c r="BY108" s="86" t="e">
        <f ca="1">IF(BX108=1,_xll.RiskBinomial(1,Prob_illness_Noro_infection),0)</f>
        <v>#NAME?</v>
      </c>
      <c r="CA108" s="87" t="e">
        <f t="shared" ca="1" si="111"/>
        <v>#NAME?</v>
      </c>
      <c r="CB108" s="59" t="e">
        <f ca="1">INT(CA108) + _xll.RiskBinomial(1,CA108-INT(CA108))</f>
        <v>#NAME?</v>
      </c>
      <c r="CC108" s="33" t="e">
        <f t="shared" ca="1" si="84"/>
        <v>#NAME?</v>
      </c>
      <c r="CD108" s="57" t="e">
        <f ca="1">_xll.RiskBinomial(1,CC108)</f>
        <v>#NAME?</v>
      </c>
      <c r="CE108" s="86" t="e">
        <f ca="1">IF(CD108=1,_xll.RiskBinomial(1,Prob_illness_Noro_infection),0)</f>
        <v>#NAME?</v>
      </c>
      <c r="CG108" s="87" t="e">
        <f t="shared" ca="1" si="112"/>
        <v>#NAME?</v>
      </c>
      <c r="CH108" s="59" t="e">
        <f ca="1">INT(CG108) + _xll.RiskBinomial(1,CG108-INT(CG108))</f>
        <v>#NAME?</v>
      </c>
      <c r="CI108" s="33" t="e">
        <f t="shared" ca="1" si="85"/>
        <v>#NAME?</v>
      </c>
      <c r="CJ108" s="57" t="e">
        <f ca="1">_xll.RiskBinomial(1,CI108)</f>
        <v>#NAME?</v>
      </c>
      <c r="CK108" s="86" t="e">
        <f ca="1">IF(CJ108=1,_xll.RiskBinomial(1,Prob_illness_Noro_infection),0)</f>
        <v>#NAME?</v>
      </c>
      <c r="CM108" s="87" t="e">
        <f t="shared" ca="1" si="113"/>
        <v>#NAME?</v>
      </c>
      <c r="CN108" s="59" t="e">
        <f ca="1">INT(CM108) + _xll.RiskBinomial(1,CM108-INT(CM108))</f>
        <v>#NAME?</v>
      </c>
      <c r="CO108" s="33" t="e">
        <f t="shared" ca="1" si="86"/>
        <v>#NAME?</v>
      </c>
      <c r="CP108" s="57" t="e">
        <f ca="1">_xll.RiskBinomial(1,CO108)</f>
        <v>#NAME?</v>
      </c>
      <c r="CQ108" s="86" t="e">
        <f ca="1">IF(CP108=1,_xll.RiskBinomial(1,Prob_illness_Noro_infection),0)</f>
        <v>#NAME?</v>
      </c>
      <c r="CS108" s="87" t="e">
        <f t="shared" ca="1" si="114"/>
        <v>#NAME?</v>
      </c>
      <c r="CT108" s="59" t="e">
        <f ca="1">INT(CS108) + _xll.RiskBinomial(1,CS108-INT(CS108))</f>
        <v>#NAME?</v>
      </c>
      <c r="CU108" s="33" t="e">
        <f t="shared" ca="1" si="87"/>
        <v>#NAME?</v>
      </c>
      <c r="CV108" s="57" t="e">
        <f ca="1">_xll.RiskBinomial(1,CU108)</f>
        <v>#NAME?</v>
      </c>
      <c r="CW108" s="86" t="e">
        <f ca="1">IF(CV108=1,_xll.RiskBinomial(1,Prob_illness_Noro_infection),0)</f>
        <v>#NAME?</v>
      </c>
      <c r="CY108" s="87" t="e">
        <f t="shared" ca="1" si="115"/>
        <v>#NAME?</v>
      </c>
      <c r="CZ108" s="59" t="e">
        <f ca="1">INT(CY108) + _xll.RiskBinomial(1,CY108-INT(CY108))</f>
        <v>#NAME?</v>
      </c>
      <c r="DA108" s="33" t="e">
        <f t="shared" ca="1" si="88"/>
        <v>#NAME?</v>
      </c>
      <c r="DB108" s="57" t="e">
        <f ca="1">_xll.RiskBinomial(1,DA108)</f>
        <v>#NAME?</v>
      </c>
      <c r="DC108" s="86" t="e">
        <f ca="1">IF(DB108=1,_xll.RiskBinomial(1,Prob_illness_Noro_infection),0)</f>
        <v>#NAME?</v>
      </c>
      <c r="DE108" s="87" t="e">
        <f t="shared" ca="1" si="116"/>
        <v>#NAME?</v>
      </c>
      <c r="DF108" s="59" t="e">
        <f ca="1">INT(DE108) + _xll.RiskBinomial(1,DE108-INT(DE108))</f>
        <v>#NAME?</v>
      </c>
      <c r="DG108" s="33" t="e">
        <f t="shared" ca="1" si="89"/>
        <v>#NAME?</v>
      </c>
      <c r="DH108" s="57" t="e">
        <f ca="1">_xll.RiskBinomial(1,DG108)</f>
        <v>#NAME?</v>
      </c>
      <c r="DI108" s="86" t="e">
        <f ca="1">IF(DH108=1,_xll.RiskBinomial(1,Prob_illness_Noro_infection),0)</f>
        <v>#NAME?</v>
      </c>
      <c r="DK108" s="87" t="e">
        <f t="shared" ca="1" si="117"/>
        <v>#NAME?</v>
      </c>
      <c r="DL108" s="59" t="e">
        <f ca="1">INT(DK108) + _xll.RiskBinomial(1,DK108-INT(DK108))</f>
        <v>#NAME?</v>
      </c>
      <c r="DM108" s="33" t="e">
        <f t="shared" ca="1" si="90"/>
        <v>#NAME?</v>
      </c>
      <c r="DN108" s="57" t="e">
        <f ca="1">_xll.RiskBinomial(1,DM108)</f>
        <v>#NAME?</v>
      </c>
      <c r="DO108" s="86" t="e">
        <f ca="1">IF(DN108=1,_xll.RiskBinomial(1,Prob_illness_Noro_infection),0)</f>
        <v>#NAME?</v>
      </c>
      <c r="DQ108" s="87" t="e">
        <f t="shared" ca="1" si="118"/>
        <v>#NAME?</v>
      </c>
      <c r="DR108" s="59" t="e">
        <f ca="1">INT(DQ108) + _xll.RiskBinomial(1,DQ108-INT(DQ108))</f>
        <v>#NAME?</v>
      </c>
      <c r="DS108" s="33" t="e">
        <f t="shared" ca="1" si="91"/>
        <v>#NAME?</v>
      </c>
      <c r="DT108" s="57" t="e">
        <f ca="1">_xll.RiskBinomial(1,DS108)</f>
        <v>#NAME?</v>
      </c>
      <c r="DU108" s="86" t="e">
        <f ca="1">IF(DT108=1,_xll.RiskBinomial(1,Prob_illness_Noro_infection),0)</f>
        <v>#NAME?</v>
      </c>
      <c r="DW108" s="87" t="e">
        <f t="shared" ca="1" si="119"/>
        <v>#NAME?</v>
      </c>
      <c r="DX108" s="59" t="e">
        <f ca="1">INT(DW108) + _xll.RiskBinomial(1,DW108-INT(DW108))</f>
        <v>#NAME?</v>
      </c>
      <c r="DY108" s="33" t="e">
        <f t="shared" ca="1" si="92"/>
        <v>#NAME?</v>
      </c>
      <c r="DZ108" s="57" t="e">
        <f ca="1">_xll.RiskBinomial(1,DY108)</f>
        <v>#NAME?</v>
      </c>
      <c r="EA108" s="86" t="e">
        <f ca="1">IF(DZ108=1,_xll.RiskBinomial(1,Prob_illness_Noro_infection),0)</f>
        <v>#NAME?</v>
      </c>
      <c r="EC108" s="87" t="e">
        <f t="shared" ca="1" si="120"/>
        <v>#NAME?</v>
      </c>
      <c r="ED108" s="59" t="e">
        <f ca="1">INT(EC108) + _xll.RiskBinomial(1,EC108-INT(EC108))</f>
        <v>#NAME?</v>
      </c>
      <c r="EE108" s="33" t="e">
        <f t="shared" ca="1" si="93"/>
        <v>#NAME?</v>
      </c>
      <c r="EF108" s="57" t="e">
        <f ca="1">_xll.RiskBinomial(1,EE108)</f>
        <v>#NAME?</v>
      </c>
      <c r="EG108" s="86" t="e">
        <f ca="1">IF(EF108=1,_xll.RiskBinomial(1,Prob_illness_Noro_infection),0)</f>
        <v>#NAME?</v>
      </c>
      <c r="EI108" s="87" t="e">
        <f t="shared" ca="1" si="121"/>
        <v>#NAME?</v>
      </c>
      <c r="EJ108" s="59" t="e">
        <f ca="1">INT(EI108) + _xll.RiskBinomial(1,EI108-INT(EI108))</f>
        <v>#NAME?</v>
      </c>
      <c r="EK108" s="33" t="e">
        <f t="shared" ca="1" si="94"/>
        <v>#NAME?</v>
      </c>
      <c r="EL108" s="57" t="e">
        <f ca="1">_xll.RiskBinomial(1,EK108)</f>
        <v>#NAME?</v>
      </c>
      <c r="EM108" s="86" t="e">
        <f ca="1">IF(EL108=1,_xll.RiskBinomial(1,Prob_illness_Noro_infection),0)</f>
        <v>#NAME?</v>
      </c>
      <c r="EO108" s="87" t="e">
        <f t="shared" ca="1" si="122"/>
        <v>#NAME?</v>
      </c>
      <c r="EP108" s="59" t="e">
        <f ca="1">INT(EO108) + _xll.RiskBinomial(1,EO108-INT(EO108))</f>
        <v>#NAME?</v>
      </c>
      <c r="EQ108" s="33" t="e">
        <f t="shared" ca="1" si="95"/>
        <v>#NAME?</v>
      </c>
      <c r="ER108" s="57" t="e">
        <f ca="1">_xll.RiskBinomial(1,EQ108)</f>
        <v>#NAME?</v>
      </c>
      <c r="ES108" s="86" t="e">
        <f ca="1">IF(ER108=1,_xll.RiskBinomial(1,Prob_illness_Noro_infection),0)</f>
        <v>#NAME?</v>
      </c>
      <c r="EU108" s="87" t="e">
        <f t="shared" ca="1" si="123"/>
        <v>#NAME?</v>
      </c>
      <c r="EV108" s="59" t="e">
        <f ca="1">INT(EU108) + _xll.RiskBinomial(1,EU108-INT(EU108))</f>
        <v>#NAME?</v>
      </c>
      <c r="EW108" s="33" t="e">
        <f t="shared" ca="1" si="96"/>
        <v>#NAME?</v>
      </c>
      <c r="EX108" s="57" t="e">
        <f ca="1">_xll.RiskBinomial(1,EW108)</f>
        <v>#NAME?</v>
      </c>
      <c r="EY108" s="86" t="e">
        <f ca="1">IF(EX108=1,_xll.RiskBinomial(1,Prob_illness_Noro_infection),0)</f>
        <v>#NAME?</v>
      </c>
      <c r="FA108" s="87" t="e">
        <f t="shared" ca="1" si="124"/>
        <v>#NAME?</v>
      </c>
      <c r="FB108" s="59" t="e">
        <f ca="1">INT(FA108) + _xll.RiskBinomial(1,FA108-INT(FA108))</f>
        <v>#NAME?</v>
      </c>
      <c r="FC108" s="33" t="e">
        <f t="shared" ca="1" si="97"/>
        <v>#NAME?</v>
      </c>
      <c r="FD108" s="57" t="e">
        <f ca="1">_xll.RiskBinomial(1,FC108)</f>
        <v>#NAME?</v>
      </c>
      <c r="FE108" s="86" t="e">
        <f ca="1">IF(FD108=1,_xll.RiskBinomial(1,Prob_illness_Noro_infection),0)</f>
        <v>#NAME?</v>
      </c>
      <c r="FG108" s="87" t="e">
        <f t="shared" ca="1" si="125"/>
        <v>#NAME?</v>
      </c>
      <c r="FH108" s="59" t="e">
        <f ca="1">INT(FG108) + _xll.RiskBinomial(1,FG108-INT(FG108))</f>
        <v>#NAME?</v>
      </c>
      <c r="FI108" s="33" t="e">
        <f t="shared" ca="1" si="98"/>
        <v>#NAME?</v>
      </c>
      <c r="FJ108" s="57" t="e">
        <f ca="1">_xll.RiskBinomial(1,FI108)</f>
        <v>#NAME?</v>
      </c>
      <c r="FK108" s="86" t="e">
        <f ca="1">IF(FJ108=1,_xll.RiskBinomial(1,Prob_illness_Noro_infection),0)</f>
        <v>#NAME?</v>
      </c>
      <c r="FM108" s="87" t="e">
        <f t="shared" ca="1" si="126"/>
        <v>#NAME?</v>
      </c>
      <c r="FN108" s="59" t="e">
        <f ca="1">INT(FM108) + _xll.RiskBinomial(1,FM108-INT(FM108))</f>
        <v>#NAME?</v>
      </c>
      <c r="FO108" s="33" t="e">
        <f t="shared" ca="1" si="99"/>
        <v>#NAME?</v>
      </c>
      <c r="FP108" s="57" t="e">
        <f ca="1">_xll.RiskBinomial(1,FO108)</f>
        <v>#NAME?</v>
      </c>
      <c r="FQ108" s="86" t="e">
        <f ca="1">IF(FP108=1,_xll.RiskBinomial(1,Prob_illness_Noro_infection),0)</f>
        <v>#NAME?</v>
      </c>
      <c r="FS108" s="87" t="e">
        <f t="shared" ca="1" si="127"/>
        <v>#NAME?</v>
      </c>
      <c r="FT108" s="59" t="e">
        <f ca="1">INT(FS108) + _xll.RiskBinomial(1,FS108-INT(FS108))</f>
        <v>#NAME?</v>
      </c>
      <c r="FU108" s="33" t="e">
        <f t="shared" ca="1" si="100"/>
        <v>#NAME?</v>
      </c>
      <c r="FV108" s="57" t="e">
        <f ca="1">_xll.RiskBinomial(1,FU108)</f>
        <v>#NAME?</v>
      </c>
      <c r="FW108" s="86" t="e">
        <f ca="1">IF(FV108=1,_xll.RiskBinomial(1,Prob_illness_Noro_infection),0)</f>
        <v>#NAME?</v>
      </c>
      <c r="FY108" s="87" t="e">
        <f t="shared" ca="1" si="128"/>
        <v>#NAME?</v>
      </c>
      <c r="FZ108" s="59" t="e">
        <f ca="1">INT(FY108) + _xll.RiskBinomial(1,FY108-INT(FY108))</f>
        <v>#NAME?</v>
      </c>
      <c r="GA108" s="33" t="e">
        <f t="shared" ca="1" si="101"/>
        <v>#NAME?</v>
      </c>
      <c r="GB108" s="57" t="e">
        <f ca="1">_xll.RiskBinomial(1,GA108)</f>
        <v>#NAME?</v>
      </c>
      <c r="GC108" s="86" t="e">
        <f ca="1">IF(GB108=1,_xll.RiskBinomial(1,Prob_illness_Noro_infection),0)</f>
        <v>#NAME?</v>
      </c>
      <c r="GE108" s="87" t="e">
        <f t="shared" ca="1" si="129"/>
        <v>#NAME?</v>
      </c>
      <c r="GF108" s="59" t="e">
        <f ca="1">INT(GE108) + _xll.RiskBinomial(1,GE108-INT(GE108))</f>
        <v>#NAME?</v>
      </c>
      <c r="GG108" s="33" t="e">
        <f t="shared" ca="1" si="102"/>
        <v>#NAME?</v>
      </c>
      <c r="GH108" s="57" t="e">
        <f ca="1">_xll.RiskBinomial(1,GG108)</f>
        <v>#NAME?</v>
      </c>
      <c r="GI108" s="86" t="e">
        <f ca="1">IF(GH108=1,_xll.RiskBinomial(1,Prob_illness_Noro_infection),0)</f>
        <v>#NAME?</v>
      </c>
      <c r="GK108" s="87" t="e">
        <f t="shared" ca="1" si="130"/>
        <v>#NAME?</v>
      </c>
      <c r="GL108" s="59" t="e">
        <f ca="1">INT(GK108) + _xll.RiskBinomial(1,GK108-INT(GK108))</f>
        <v>#NAME?</v>
      </c>
      <c r="GM108" s="33" t="e">
        <f t="shared" ca="1" si="103"/>
        <v>#NAME?</v>
      </c>
      <c r="GN108" s="57" t="e">
        <f ca="1">_xll.RiskBinomial(1,GM108)</f>
        <v>#NAME?</v>
      </c>
      <c r="GO108" s="86" t="e">
        <f ca="1">IF(GN108=1,_xll.RiskBinomial(1,Prob_illness_Noro_infection),0)</f>
        <v>#NAME?</v>
      </c>
    </row>
    <row r="109" spans="2:197" ht="12" thickBot="1" x14ac:dyDescent="0.3">
      <c r="F109" s="33"/>
      <c r="I109" s="88"/>
      <c r="J109" s="89" t="e">
        <f ca="1">SUM(J9:J108)</f>
        <v>#NAME?</v>
      </c>
      <c r="K109" s="89" t="e">
        <f ca="1">SUM(K9:K108)</f>
        <v>#NAME?</v>
      </c>
      <c r="L109" s="33"/>
      <c r="O109" s="88"/>
      <c r="P109" s="89" t="e">
        <f ca="1">SUM(P9:P108)</f>
        <v>#NAME?</v>
      </c>
      <c r="Q109" s="89" t="e">
        <f ca="1">SUM(Q9:Q108)</f>
        <v>#NAME?</v>
      </c>
      <c r="R109" s="33"/>
      <c r="U109" s="88"/>
      <c r="V109" s="89" t="e">
        <f ca="1">SUM(V9:V108)</f>
        <v>#NAME?</v>
      </c>
      <c r="W109" s="89" t="e">
        <f ca="1">SUM(W9:W108)</f>
        <v>#NAME?</v>
      </c>
      <c r="X109" s="33"/>
      <c r="AA109" s="88"/>
      <c r="AB109" s="89" t="e">
        <f ca="1">SUM(AB9:AB108)</f>
        <v>#NAME?</v>
      </c>
      <c r="AC109" s="89" t="e">
        <f ca="1">SUM(AC9:AC108)</f>
        <v>#NAME?</v>
      </c>
      <c r="AD109" s="33"/>
      <c r="AG109" s="88"/>
      <c r="AH109" s="89" t="e">
        <f ca="1">SUM(AH9:AH108)</f>
        <v>#NAME?</v>
      </c>
      <c r="AI109" s="89" t="e">
        <f ca="1">SUM(AI9:AI108)</f>
        <v>#NAME?</v>
      </c>
      <c r="AJ109" s="33"/>
      <c r="AM109" s="88"/>
      <c r="AN109" s="89" t="e">
        <f ca="1">SUM(AN9:AN108)</f>
        <v>#NAME?</v>
      </c>
      <c r="AO109" s="89" t="e">
        <f ca="1">SUM(AO9:AO108)</f>
        <v>#NAME?</v>
      </c>
      <c r="AP109" s="33"/>
      <c r="AS109" s="88"/>
      <c r="AT109" s="89" t="e">
        <f ca="1">SUM(AT9:AT108)</f>
        <v>#NAME?</v>
      </c>
      <c r="AU109" s="89" t="e">
        <f ca="1">SUM(AU9:AU108)</f>
        <v>#NAME?</v>
      </c>
      <c r="AV109" s="33"/>
      <c r="AY109" s="88"/>
      <c r="AZ109" s="89" t="e">
        <f ca="1">SUM(AZ9:AZ108)</f>
        <v>#NAME?</v>
      </c>
      <c r="BA109" s="89" t="e">
        <f ca="1">SUM(BA9:BA108)</f>
        <v>#NAME?</v>
      </c>
      <c r="BE109" s="88"/>
      <c r="BF109" s="89" t="e">
        <f ca="1">SUM(BF9:BF108)</f>
        <v>#NAME?</v>
      </c>
      <c r="BG109" s="89" t="e">
        <f ca="1">SUM(BG9:BG108)</f>
        <v>#NAME?</v>
      </c>
      <c r="BK109" s="88"/>
      <c r="BL109" s="89" t="e">
        <f ca="1">SUM(BL9:BL108)</f>
        <v>#NAME?</v>
      </c>
      <c r="BM109" s="89" t="e">
        <f ca="1">SUM(BM9:BM108)</f>
        <v>#NAME?</v>
      </c>
      <c r="BQ109" s="88"/>
      <c r="BR109" s="89" t="e">
        <f ca="1">SUM(BR9:BR108)</f>
        <v>#NAME?</v>
      </c>
      <c r="BS109" s="89" t="e">
        <f ca="1">SUM(BS9:BS108)</f>
        <v>#NAME?</v>
      </c>
      <c r="BW109" s="88"/>
      <c r="BX109" s="89" t="e">
        <f ca="1">SUM(BX9:BX108)</f>
        <v>#NAME?</v>
      </c>
      <c r="BY109" s="89" t="e">
        <f ca="1">SUM(BY9:BY108)</f>
        <v>#NAME?</v>
      </c>
      <c r="CC109" s="88"/>
      <c r="CD109" s="89" t="e">
        <f ca="1">SUM(CD9:CD108)</f>
        <v>#NAME?</v>
      </c>
      <c r="CE109" s="89" t="e">
        <f ca="1">SUM(CE9:CE108)</f>
        <v>#NAME?</v>
      </c>
      <c r="CI109" s="88"/>
      <c r="CJ109" s="89" t="e">
        <f ca="1">SUM(CJ9:CJ108)</f>
        <v>#NAME?</v>
      </c>
      <c r="CK109" s="89" t="e">
        <f ca="1">SUM(CK9:CK108)</f>
        <v>#NAME?</v>
      </c>
      <c r="CO109" s="88"/>
      <c r="CP109" s="89" t="e">
        <f ca="1">SUM(CP9:CP108)</f>
        <v>#NAME?</v>
      </c>
      <c r="CQ109" s="89" t="e">
        <f ca="1">SUM(CQ9:CQ108)</f>
        <v>#NAME?</v>
      </c>
      <c r="CU109" s="88"/>
      <c r="CV109" s="89" t="e">
        <f ca="1">SUM(CV9:CV108)</f>
        <v>#NAME?</v>
      </c>
      <c r="CW109" s="89" t="e">
        <f ca="1">SUM(CW9:CW108)</f>
        <v>#NAME?</v>
      </c>
      <c r="DA109" s="88"/>
      <c r="DB109" s="89" t="e">
        <f ca="1">SUM(DB9:DB108)</f>
        <v>#NAME?</v>
      </c>
      <c r="DC109" s="89" t="e">
        <f ca="1">SUM(DC9:DC108)</f>
        <v>#NAME?</v>
      </c>
      <c r="DG109" s="88"/>
      <c r="DH109" s="89" t="e">
        <f ca="1">SUM(DH9:DH108)</f>
        <v>#NAME?</v>
      </c>
      <c r="DI109" s="89" t="e">
        <f ca="1">SUM(DI9:DI108)</f>
        <v>#NAME?</v>
      </c>
      <c r="DM109" s="88"/>
      <c r="DN109" s="89" t="e">
        <f ca="1">SUM(DN9:DN108)</f>
        <v>#NAME?</v>
      </c>
      <c r="DO109" s="89" t="e">
        <f ca="1">SUM(DO9:DO108)</f>
        <v>#NAME?</v>
      </c>
      <c r="DS109" s="88"/>
      <c r="DT109" s="89" t="e">
        <f ca="1">SUM(DT9:DT108)</f>
        <v>#NAME?</v>
      </c>
      <c r="DU109" s="89" t="e">
        <f ca="1">SUM(DU9:DU108)</f>
        <v>#NAME?</v>
      </c>
      <c r="DY109" s="88"/>
      <c r="DZ109" s="89" t="e">
        <f ca="1">SUM(DZ9:DZ108)</f>
        <v>#NAME?</v>
      </c>
      <c r="EA109" s="89" t="e">
        <f ca="1">SUM(EA9:EA108)</f>
        <v>#NAME?</v>
      </c>
      <c r="EE109" s="88"/>
      <c r="EF109" s="89" t="e">
        <f ca="1">SUM(EF9:EF108)</f>
        <v>#NAME?</v>
      </c>
      <c r="EG109" s="89" t="e">
        <f ca="1">SUM(EG9:EG108)</f>
        <v>#NAME?</v>
      </c>
      <c r="EK109" s="88"/>
      <c r="EL109" s="89" t="e">
        <f ca="1">SUM(EL9:EL108)</f>
        <v>#NAME?</v>
      </c>
      <c r="EM109" s="89" t="e">
        <f ca="1">SUM(EM9:EM108)</f>
        <v>#NAME?</v>
      </c>
      <c r="EQ109" s="88"/>
      <c r="ER109" s="89" t="e">
        <f ca="1">SUM(ER9:ER108)</f>
        <v>#NAME?</v>
      </c>
      <c r="ES109" s="89" t="e">
        <f ca="1">SUM(ES9:ES108)</f>
        <v>#NAME?</v>
      </c>
      <c r="EW109" s="88"/>
      <c r="EX109" s="89" t="e">
        <f ca="1">SUM(EX9:EX108)</f>
        <v>#NAME?</v>
      </c>
      <c r="EY109" s="89" t="e">
        <f ca="1">SUM(EY9:EY108)</f>
        <v>#NAME?</v>
      </c>
      <c r="FC109" s="88"/>
      <c r="FD109" s="89" t="e">
        <f ca="1">SUM(FD9:FD108)</f>
        <v>#NAME?</v>
      </c>
      <c r="FE109" s="89" t="e">
        <f ca="1">SUM(FE9:FE108)</f>
        <v>#NAME?</v>
      </c>
      <c r="FI109" s="88"/>
      <c r="FJ109" s="89" t="e">
        <f ca="1">SUM(FJ9:FJ108)</f>
        <v>#NAME?</v>
      </c>
      <c r="FK109" s="89" t="e">
        <f ca="1">SUM(FK9:FK108)</f>
        <v>#NAME?</v>
      </c>
      <c r="FO109" s="88"/>
      <c r="FP109" s="89" t="e">
        <f ca="1">SUM(FP9:FP108)</f>
        <v>#NAME?</v>
      </c>
      <c r="FQ109" s="89" t="e">
        <f ca="1">SUM(FQ9:FQ108)</f>
        <v>#NAME?</v>
      </c>
      <c r="FU109" s="88"/>
      <c r="FV109" s="89" t="e">
        <f ca="1">SUM(FV9:FV108)</f>
        <v>#NAME?</v>
      </c>
      <c r="FW109" s="89" t="e">
        <f ca="1">SUM(FW9:FW108)</f>
        <v>#NAME?</v>
      </c>
      <c r="GA109" s="88"/>
      <c r="GB109" s="89" t="e">
        <f ca="1">SUM(GB9:GB108)</f>
        <v>#NAME?</v>
      </c>
      <c r="GC109" s="89" t="e">
        <f ca="1">SUM(GC9:GC108)</f>
        <v>#NAME?</v>
      </c>
      <c r="GG109" s="88"/>
      <c r="GH109" s="89" t="e">
        <f ca="1">SUM(GH9:GH108)</f>
        <v>#NAME?</v>
      </c>
      <c r="GI109" s="89" t="e">
        <f ca="1">SUM(GI9:GI108)</f>
        <v>#NAME?</v>
      </c>
      <c r="GM109" s="88"/>
      <c r="GN109" s="89" t="e">
        <f ca="1">SUM(GN9:GN108)</f>
        <v>#NAME?</v>
      </c>
      <c r="GO109" s="89" t="e">
        <f ca="1">SUM(GO9:GO108)</f>
        <v>#NAME?</v>
      </c>
    </row>
    <row r="110" spans="2:197" x14ac:dyDescent="0.25">
      <c r="F110" s="33"/>
      <c r="L110" s="33"/>
      <c r="R110" s="33"/>
      <c r="X110" s="33"/>
      <c r="AD110" s="33"/>
      <c r="AJ110" s="33"/>
      <c r="AP110" s="33"/>
      <c r="AV110" s="33"/>
    </row>
    <row r="111" spans="2:197" x14ac:dyDescent="0.25">
      <c r="F111" s="33"/>
      <c r="L111" s="33"/>
      <c r="R111" s="33"/>
      <c r="X111" s="33"/>
      <c r="AD111" s="33"/>
      <c r="AJ111" s="33"/>
      <c r="AP111" s="33"/>
      <c r="AV111" s="33"/>
    </row>
    <row r="112" spans="2:197" x14ac:dyDescent="0.25">
      <c r="F112" s="33"/>
      <c r="L112" s="33"/>
      <c r="R112" s="33"/>
      <c r="X112" s="33"/>
      <c r="AD112" s="33"/>
      <c r="AJ112" s="33"/>
      <c r="AP112" s="33"/>
      <c r="AV112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S42"/>
  <sheetViews>
    <sheetView topLeftCell="A13" workbookViewId="0">
      <selection activeCell="K31" sqref="K31"/>
    </sheetView>
  </sheetViews>
  <sheetFormatPr defaultRowHeight="14.5" x14ac:dyDescent="0.35"/>
  <cols>
    <col min="1" max="1" width="2.81640625" customWidth="1"/>
    <col min="2" max="2" width="21.1796875" customWidth="1"/>
    <col min="3" max="5" width="10.54296875" bestFit="1" customWidth="1"/>
    <col min="6" max="6" width="11.1796875" bestFit="1" customWidth="1"/>
    <col min="7" max="8" width="10.1796875" bestFit="1" customWidth="1"/>
    <col min="9" max="9" width="10.54296875" bestFit="1" customWidth="1"/>
    <col min="10" max="10" width="12.7265625" customWidth="1"/>
    <col min="11" max="11" width="17.81640625" customWidth="1"/>
    <col min="12" max="12" width="9" customWidth="1"/>
    <col min="13" max="13" width="28.81640625" customWidth="1"/>
    <col min="14" max="14" width="10.54296875" bestFit="1" customWidth="1"/>
  </cols>
  <sheetData>
    <row r="2" spans="2:15" x14ac:dyDescent="0.35">
      <c r="B2" s="2" t="s">
        <v>33</v>
      </c>
    </row>
    <row r="3" spans="2:15" x14ac:dyDescent="0.35">
      <c r="B3" t="s">
        <v>34</v>
      </c>
      <c r="C3" s="33"/>
      <c r="D3" s="33"/>
      <c r="E3" s="33"/>
      <c r="F3" s="38"/>
      <c r="G3" s="6"/>
      <c r="H3" s="39"/>
      <c r="I3" s="33"/>
      <c r="J3" s="38"/>
      <c r="K3" s="6"/>
      <c r="L3" s="6"/>
      <c r="M3" s="6"/>
      <c r="N3" s="6"/>
      <c r="O3" s="6"/>
    </row>
    <row r="4" spans="2:15" x14ac:dyDescent="0.35">
      <c r="B4" t="s">
        <v>35</v>
      </c>
      <c r="C4" s="40"/>
      <c r="D4" s="40"/>
      <c r="E4" s="40"/>
      <c r="F4" s="38"/>
      <c r="G4" s="40"/>
      <c r="H4" s="61"/>
      <c r="I4" s="40"/>
      <c r="J4" s="40"/>
      <c r="K4" s="62"/>
      <c r="L4" s="6"/>
      <c r="M4" s="6"/>
      <c r="N4" s="6"/>
      <c r="O4" s="6"/>
    </row>
    <row r="5" spans="2:15" x14ac:dyDescent="0.35">
      <c r="B5" t="s">
        <v>36</v>
      </c>
      <c r="C5" s="40"/>
      <c r="D5" s="40"/>
      <c r="E5" s="40"/>
      <c r="F5" s="38"/>
      <c r="G5" s="40"/>
      <c r="H5" s="61"/>
      <c r="I5" s="40"/>
      <c r="J5" s="40"/>
      <c r="K5" s="62"/>
      <c r="L5" s="6"/>
      <c r="M5" s="6"/>
      <c r="N5" s="6"/>
      <c r="O5" s="6"/>
    </row>
    <row r="6" spans="2:15" ht="15" x14ac:dyDescent="0.4">
      <c r="B6" t="s">
        <v>37</v>
      </c>
      <c r="C6" s="40"/>
      <c r="D6" s="40"/>
      <c r="E6" s="40"/>
      <c r="F6" s="38"/>
      <c r="G6" s="40"/>
      <c r="H6" s="61"/>
      <c r="I6" s="40"/>
      <c r="J6" s="40"/>
      <c r="K6" s="62"/>
      <c r="L6" s="6"/>
      <c r="M6" s="6"/>
      <c r="N6" s="6"/>
      <c r="O6" s="6"/>
    </row>
    <row r="7" spans="2:15" x14ac:dyDescent="0.35">
      <c r="B7" s="63" t="s">
        <v>38</v>
      </c>
      <c r="C7" s="40"/>
      <c r="D7" s="40"/>
      <c r="E7" s="40"/>
      <c r="F7" s="38"/>
      <c r="G7" s="40"/>
      <c r="H7" s="61"/>
      <c r="I7" s="40"/>
      <c r="J7" s="40"/>
      <c r="K7" s="62"/>
      <c r="L7" s="6"/>
      <c r="M7" s="6"/>
      <c r="N7" s="6"/>
      <c r="O7" s="6"/>
    </row>
    <row r="8" spans="2:15" x14ac:dyDescent="0.35">
      <c r="B8" s="63" t="s">
        <v>39</v>
      </c>
      <c r="C8" s="40"/>
      <c r="D8" s="40"/>
      <c r="E8" s="40"/>
      <c r="F8" s="38"/>
      <c r="G8" s="40"/>
      <c r="H8" s="61"/>
      <c r="I8" s="40"/>
      <c r="J8" s="40"/>
      <c r="K8" s="62"/>
      <c r="L8" s="6"/>
      <c r="M8" s="6"/>
      <c r="N8" s="6"/>
      <c r="O8" s="6"/>
    </row>
    <row r="9" spans="2:15" x14ac:dyDescent="0.35">
      <c r="B9" s="63" t="s">
        <v>40</v>
      </c>
      <c r="C9" s="40"/>
      <c r="D9" s="40"/>
      <c r="E9" s="40"/>
      <c r="F9" s="38"/>
      <c r="G9" s="40"/>
      <c r="H9" s="61"/>
      <c r="I9" s="40"/>
      <c r="J9" s="40"/>
      <c r="K9" s="62"/>
      <c r="L9" s="6"/>
      <c r="M9" s="6"/>
      <c r="N9" s="6"/>
      <c r="O9" s="6"/>
    </row>
    <row r="10" spans="2:15" x14ac:dyDescent="0.35">
      <c r="B10" s="63"/>
      <c r="C10" s="40"/>
      <c r="D10" s="40"/>
      <c r="E10" s="40"/>
      <c r="F10" s="38"/>
      <c r="G10" s="40"/>
      <c r="H10" s="61"/>
      <c r="I10" s="40"/>
      <c r="J10" s="40"/>
      <c r="K10" s="62"/>
      <c r="L10" s="6"/>
      <c r="M10" s="6"/>
      <c r="N10" s="6"/>
      <c r="O10" s="6"/>
    </row>
    <row r="11" spans="2:15" x14ac:dyDescent="0.35">
      <c r="B11" s="63" t="s">
        <v>41</v>
      </c>
      <c r="C11" s="40"/>
      <c r="D11" s="40"/>
      <c r="E11" s="40"/>
      <c r="F11" s="38"/>
      <c r="G11" s="40"/>
      <c r="H11" s="61"/>
      <c r="I11" s="40"/>
      <c r="J11" s="40"/>
      <c r="K11" s="62"/>
      <c r="L11" s="6"/>
      <c r="M11" s="6"/>
      <c r="N11" s="6"/>
      <c r="O11" s="6"/>
    </row>
    <row r="12" spans="2:15" x14ac:dyDescent="0.35">
      <c r="B12" s="63"/>
      <c r="C12" s="6"/>
      <c r="D12" s="6"/>
      <c r="E12" s="33"/>
      <c r="F12" s="38"/>
      <c r="G12" s="46"/>
      <c r="H12" s="46"/>
      <c r="I12" s="38"/>
      <c r="J12" s="6"/>
      <c r="K12" s="6"/>
      <c r="L12" s="6"/>
      <c r="M12" s="6"/>
      <c r="N12" s="6"/>
      <c r="O12" s="6"/>
    </row>
    <row r="13" spans="2:15" x14ac:dyDescent="0.35">
      <c r="B13" s="64" t="s">
        <v>42</v>
      </c>
      <c r="C13" s="46" t="s">
        <v>43</v>
      </c>
      <c r="G13" s="46"/>
    </row>
    <row r="14" spans="2:15" x14ac:dyDescent="0.35">
      <c r="B14" s="63"/>
    </row>
    <row r="15" spans="2:15" ht="16" x14ac:dyDescent="0.4">
      <c r="B15" s="65" t="s">
        <v>44</v>
      </c>
      <c r="C15" s="4" t="s">
        <v>45</v>
      </c>
    </row>
    <row r="16" spans="2:15" x14ac:dyDescent="0.35">
      <c r="B16" s="65"/>
      <c r="C16" s="4"/>
    </row>
    <row r="17" spans="2:15" x14ac:dyDescent="0.35">
      <c r="B17" s="64" t="s">
        <v>46</v>
      </c>
      <c r="C17" s="46" t="s">
        <v>47</v>
      </c>
    </row>
    <row r="18" spans="2:15" x14ac:dyDescent="0.35">
      <c r="B18" s="65"/>
    </row>
    <row r="19" spans="2:15" ht="15.5" x14ac:dyDescent="0.4">
      <c r="B19" t="s">
        <v>48</v>
      </c>
    </row>
    <row r="20" spans="2:15" x14ac:dyDescent="0.35">
      <c r="B20" t="s">
        <v>49</v>
      </c>
    </row>
    <row r="21" spans="2:15" x14ac:dyDescent="0.35">
      <c r="B21" t="s">
        <v>50</v>
      </c>
    </row>
    <row r="22" spans="2:15" x14ac:dyDescent="0.35">
      <c r="B22" t="s">
        <v>51</v>
      </c>
    </row>
    <row r="23" spans="2:15" x14ac:dyDescent="0.35">
      <c r="C23" s="33"/>
      <c r="D23" s="33"/>
      <c r="E23" s="33"/>
      <c r="F23" s="38"/>
      <c r="G23" s="6"/>
      <c r="H23" s="39"/>
      <c r="I23" s="33"/>
      <c r="J23" s="38"/>
      <c r="K23" s="6"/>
      <c r="L23" s="6"/>
      <c r="M23" s="6"/>
      <c r="N23" s="6"/>
      <c r="O23" s="6"/>
    </row>
    <row r="24" spans="2:15" ht="15" x14ac:dyDescent="0.4">
      <c r="B24" s="124" t="s">
        <v>90</v>
      </c>
    </row>
    <row r="26" spans="2:15" x14ac:dyDescent="0.35">
      <c r="C26" s="20"/>
      <c r="D26" s="118"/>
      <c r="E26" s="6"/>
      <c r="F26" s="6"/>
      <c r="H26" s="6"/>
      <c r="I26" s="6"/>
      <c r="J26" s="6"/>
      <c r="K26" s="6"/>
    </row>
    <row r="27" spans="2:15" x14ac:dyDescent="0.35">
      <c r="C27" s="20"/>
      <c r="E27" s="6"/>
      <c r="F27" s="6"/>
      <c r="G27" s="20"/>
      <c r="H27" s="66"/>
    </row>
    <row r="28" spans="2:15" x14ac:dyDescent="0.35">
      <c r="C28" s="20"/>
      <c r="D28" s="6"/>
      <c r="E28" s="6"/>
      <c r="F28" s="6"/>
      <c r="G28" s="20"/>
      <c r="H28" s="66"/>
      <c r="I28" s="66"/>
    </row>
    <row r="29" spans="2:15" ht="15" thickBot="1" x14ac:dyDescent="0.4">
      <c r="C29" s="20"/>
      <c r="D29" s="6"/>
      <c r="E29" s="6"/>
      <c r="F29" s="6"/>
      <c r="G29" s="20"/>
      <c r="H29" s="66"/>
      <c r="I29" s="66"/>
      <c r="M29" s="20"/>
    </row>
    <row r="30" spans="2:15" x14ac:dyDescent="0.35">
      <c r="D30" s="99" t="s">
        <v>54</v>
      </c>
      <c r="E30" s="100" t="s">
        <v>55</v>
      </c>
      <c r="F30" s="101" t="s">
        <v>56</v>
      </c>
      <c r="G30" s="100" t="s">
        <v>57</v>
      </c>
      <c r="H30" s="102" t="s">
        <v>58</v>
      </c>
      <c r="I30" s="102" t="s">
        <v>59</v>
      </c>
      <c r="J30" s="100" t="s">
        <v>60</v>
      </c>
      <c r="K30" s="146" t="s">
        <v>61</v>
      </c>
      <c r="L30" s="158"/>
      <c r="M30" s="159" t="s">
        <v>105</v>
      </c>
      <c r="N30" s="22" t="s">
        <v>52</v>
      </c>
      <c r="O30" s="23" t="s">
        <v>53</v>
      </c>
    </row>
    <row r="31" spans="2:15" ht="15" thickBot="1" x14ac:dyDescent="0.4">
      <c r="C31" t="s">
        <v>74</v>
      </c>
      <c r="D31" s="68">
        <f xml:space="preserve"> Nor_Conc_in_Effluent_min</f>
        <v>10</v>
      </c>
      <c r="E31" s="98">
        <f xml:space="preserve"> Nor_Conc_in_Effluent_median</f>
        <v>1000</v>
      </c>
      <c r="F31" s="69">
        <f>0.5*(E31 + G31 +1/H31 - SQRT((G31-E31)^2 + 1/(H31^2) + E31*(2-8*N31)/H31 + G31*(2-8*O31)/H31))</f>
        <v>1890.101822730554</v>
      </c>
      <c r="G31" s="98">
        <f xml:space="preserve"> Nor_Conc_in_Effluent_max</f>
        <v>100000</v>
      </c>
      <c r="H31" s="69">
        <f>1/(E31-D31)</f>
        <v>1.0101010101010101E-3</v>
      </c>
      <c r="I31" s="69">
        <f>2*N31/(G31-F31)</f>
        <v>1.0192651491627832E-6</v>
      </c>
      <c r="J31" s="69">
        <f>H31*(E31-D31)/2 + (H31+I31)*(F31-E31)/2 + I31*(G31-F31)/2</f>
        <v>0.99999999999999911</v>
      </c>
      <c r="K31" s="147" t="e">
        <f ca="1" xml:space="preserve"> _xll.RiskGeneral(D31,G31,E31:F31,H31:I31)/ Norovirus_method_harmonisation_factor</f>
        <v>#NAME?</v>
      </c>
      <c r="L31" s="16"/>
      <c r="M31" s="163">
        <f>Nor_xp</f>
        <v>95</v>
      </c>
      <c r="N31" s="67">
        <f>(100-M31)/100</f>
        <v>0.05</v>
      </c>
      <c r="O31" s="67">
        <f>(M31-50)/100</f>
        <v>0.45</v>
      </c>
    </row>
    <row r="42" spans="19:19" x14ac:dyDescent="0.35">
      <c r="S42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14"/>
  <sheetViews>
    <sheetView workbookViewId="0">
      <selection activeCell="L9" sqref="L9"/>
    </sheetView>
  </sheetViews>
  <sheetFormatPr defaultRowHeight="14.5" x14ac:dyDescent="0.35"/>
  <cols>
    <col min="2" max="2" width="13.453125" customWidth="1"/>
  </cols>
  <sheetData>
    <row r="1" spans="2:9" ht="15" thickBot="1" x14ac:dyDescent="0.4"/>
    <row r="2" spans="2:9" x14ac:dyDescent="0.35">
      <c r="B2" s="27" t="s">
        <v>10</v>
      </c>
      <c r="C2" s="28"/>
      <c r="D2" s="28"/>
      <c r="E2" s="28"/>
      <c r="F2" s="29"/>
      <c r="G2" s="30"/>
      <c r="H2" s="31"/>
      <c r="I2" s="32"/>
    </row>
    <row r="3" spans="2:9" x14ac:dyDescent="0.35">
      <c r="B3" s="37" t="s">
        <v>12</v>
      </c>
      <c r="C3" s="33"/>
      <c r="D3" s="33"/>
      <c r="E3" s="33"/>
      <c r="F3" s="38"/>
      <c r="G3" s="39"/>
      <c r="H3" s="40"/>
      <c r="I3" s="41"/>
    </row>
    <row r="4" spans="2:9" x14ac:dyDescent="0.35">
      <c r="B4" s="45" t="s">
        <v>14</v>
      </c>
      <c r="C4" s="46" t="s">
        <v>15</v>
      </c>
      <c r="D4" s="33"/>
      <c r="E4" s="33"/>
      <c r="F4" s="38"/>
      <c r="G4" s="39"/>
      <c r="H4" s="40"/>
      <c r="I4" s="41"/>
    </row>
    <row r="5" spans="2:9" x14ac:dyDescent="0.35">
      <c r="B5" s="45"/>
      <c r="C5" s="46" t="s">
        <v>16</v>
      </c>
      <c r="D5" s="33"/>
      <c r="E5" s="33"/>
      <c r="F5" s="38"/>
      <c r="G5" s="39"/>
      <c r="H5" s="40"/>
      <c r="I5" s="41"/>
    </row>
    <row r="6" spans="2:9" x14ac:dyDescent="0.35">
      <c r="B6" s="45" t="s">
        <v>18</v>
      </c>
      <c r="C6" s="46" t="s">
        <v>19</v>
      </c>
      <c r="D6" s="33"/>
      <c r="E6" s="33"/>
      <c r="F6" s="38"/>
      <c r="G6" s="39"/>
      <c r="H6" s="40"/>
      <c r="I6" s="41"/>
    </row>
    <row r="7" spans="2:9" x14ac:dyDescent="0.35">
      <c r="B7" s="45"/>
      <c r="C7" s="46" t="s">
        <v>21</v>
      </c>
      <c r="D7" s="33"/>
      <c r="E7" s="33"/>
      <c r="F7" s="38"/>
      <c r="G7" s="39"/>
      <c r="H7" s="40"/>
      <c r="I7" s="41"/>
    </row>
    <row r="8" spans="2:9" x14ac:dyDescent="0.35">
      <c r="B8" s="45" t="s">
        <v>22</v>
      </c>
      <c r="C8" s="46" t="s">
        <v>23</v>
      </c>
      <c r="D8" s="33"/>
      <c r="E8" s="33"/>
      <c r="F8" s="38"/>
      <c r="G8" s="39"/>
      <c r="H8" s="40"/>
      <c r="I8" s="41"/>
    </row>
    <row r="9" spans="2:9" x14ac:dyDescent="0.35">
      <c r="B9" s="45"/>
      <c r="C9" s="46" t="s">
        <v>24</v>
      </c>
      <c r="D9" s="33"/>
      <c r="E9" s="33"/>
      <c r="F9" s="38"/>
      <c r="G9" s="39"/>
      <c r="H9" s="40"/>
      <c r="I9" s="41"/>
    </row>
    <row r="10" spans="2:9" x14ac:dyDescent="0.35">
      <c r="B10" s="45"/>
      <c r="C10" s="46" t="s">
        <v>25</v>
      </c>
      <c r="D10" s="33"/>
      <c r="E10" s="33"/>
      <c r="F10" s="38"/>
      <c r="G10" s="39"/>
      <c r="H10" s="40"/>
      <c r="I10" s="41"/>
    </row>
    <row r="11" spans="2:9" x14ac:dyDescent="0.35">
      <c r="B11" s="45"/>
      <c r="C11" s="46" t="s">
        <v>26</v>
      </c>
      <c r="D11" s="33"/>
      <c r="E11" s="33"/>
      <c r="F11" s="38"/>
      <c r="G11" s="39"/>
      <c r="H11" s="40"/>
      <c r="I11" s="41"/>
    </row>
    <row r="12" spans="2:9" x14ac:dyDescent="0.35">
      <c r="B12" s="45"/>
      <c r="C12" s="46" t="s">
        <v>27</v>
      </c>
      <c r="D12" s="33"/>
      <c r="E12" s="33"/>
      <c r="F12" s="38"/>
      <c r="G12" s="39"/>
      <c r="H12" s="40"/>
      <c r="I12" s="41"/>
    </row>
    <row r="13" spans="2:9" x14ac:dyDescent="0.35">
      <c r="B13" s="45" t="s">
        <v>28</v>
      </c>
      <c r="C13" s="46" t="s">
        <v>29</v>
      </c>
      <c r="D13" s="33"/>
      <c r="E13" s="33"/>
      <c r="F13" s="38"/>
      <c r="G13" s="39"/>
      <c r="H13" s="40"/>
      <c r="I13" s="41"/>
    </row>
    <row r="14" spans="2:9" ht="15" thickBot="1" x14ac:dyDescent="0.4">
      <c r="B14" s="54" t="s">
        <v>30</v>
      </c>
      <c r="C14" s="55" t="s">
        <v>29</v>
      </c>
      <c r="D14" s="56"/>
      <c r="E14" s="56"/>
      <c r="F14" s="57"/>
      <c r="G14" s="58"/>
      <c r="H14" s="59"/>
      <c r="I14" s="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DE14-B252-470B-A7AA-0D8D7613A67D}">
  <sheetPr>
    <outlinePr summaryBelow="0" summaryRight="0"/>
  </sheetPr>
  <dimension ref="B1:BN46"/>
  <sheetViews>
    <sheetView showGridLines="0" workbookViewId="0">
      <selection activeCell="K11" sqref="K11"/>
    </sheetView>
  </sheetViews>
  <sheetFormatPr defaultRowHeight="14.5" outlineLevelRow="1" x14ac:dyDescent="0.35"/>
  <cols>
    <col min="1" max="1" width="0.26953125" customWidth="1"/>
    <col min="2" max="66" width="13.6328125" customWidth="1"/>
  </cols>
  <sheetData>
    <row r="1" spans="2:66" s="199" customFormat="1" ht="65.5" customHeight="1" x14ac:dyDescent="0.35"/>
    <row r="2" spans="2:66" ht="15" thickBot="1" x14ac:dyDescent="0.4"/>
    <row r="3" spans="2:66" ht="72.5" x14ac:dyDescent="0.35">
      <c r="B3" s="182" t="s">
        <v>158</v>
      </c>
      <c r="C3" s="183" t="s">
        <v>159</v>
      </c>
      <c r="D3" s="184" t="s">
        <v>160</v>
      </c>
      <c r="E3" s="184" t="s">
        <v>161</v>
      </c>
      <c r="F3" s="184" t="s">
        <v>162</v>
      </c>
      <c r="G3" s="184" t="s">
        <v>163</v>
      </c>
      <c r="H3" s="184" t="s">
        <v>164</v>
      </c>
      <c r="I3" s="184" t="s">
        <v>165</v>
      </c>
      <c r="J3" s="184" t="s">
        <v>166</v>
      </c>
      <c r="K3" s="184" t="s">
        <v>167</v>
      </c>
      <c r="L3" s="184" t="s">
        <v>168</v>
      </c>
      <c r="M3" s="184" t="s">
        <v>169</v>
      </c>
      <c r="N3" s="184" t="s">
        <v>170</v>
      </c>
      <c r="O3" s="184" t="s">
        <v>171</v>
      </c>
      <c r="P3" s="184" t="s">
        <v>172</v>
      </c>
      <c r="Q3" s="184" t="s">
        <v>173</v>
      </c>
      <c r="R3" s="184" t="s">
        <v>174</v>
      </c>
      <c r="S3" s="184" t="s">
        <v>175</v>
      </c>
      <c r="T3" s="184" t="s">
        <v>176</v>
      </c>
      <c r="U3" s="184" t="s">
        <v>177</v>
      </c>
      <c r="V3" s="184" t="s">
        <v>178</v>
      </c>
      <c r="W3" s="184" t="s">
        <v>179</v>
      </c>
      <c r="X3" s="184" t="s">
        <v>180</v>
      </c>
      <c r="Y3" s="184" t="s">
        <v>181</v>
      </c>
      <c r="Z3" s="184" t="s">
        <v>182</v>
      </c>
      <c r="AA3" s="184" t="s">
        <v>183</v>
      </c>
      <c r="AB3" s="184" t="s">
        <v>184</v>
      </c>
      <c r="AC3" s="184" t="s">
        <v>185</v>
      </c>
      <c r="AD3" s="184" t="s">
        <v>186</v>
      </c>
      <c r="AE3" s="184" t="s">
        <v>187</v>
      </c>
      <c r="AF3" s="184" t="s">
        <v>188</v>
      </c>
      <c r="AG3" s="184" t="s">
        <v>189</v>
      </c>
      <c r="AH3" s="184" t="s">
        <v>190</v>
      </c>
      <c r="AI3" s="184" t="s">
        <v>191</v>
      </c>
      <c r="AJ3" s="184" t="s">
        <v>192</v>
      </c>
      <c r="AK3" s="184" t="s">
        <v>193</v>
      </c>
      <c r="AL3" s="184" t="s">
        <v>194</v>
      </c>
      <c r="AM3" s="184" t="s">
        <v>195</v>
      </c>
      <c r="AN3" s="184" t="s">
        <v>196</v>
      </c>
      <c r="AO3" s="184" t="s">
        <v>197</v>
      </c>
      <c r="AP3" s="184" t="s">
        <v>198</v>
      </c>
      <c r="AQ3" s="184" t="s">
        <v>199</v>
      </c>
      <c r="AR3" s="184" t="s">
        <v>200</v>
      </c>
      <c r="AS3" s="184" t="s">
        <v>201</v>
      </c>
      <c r="AT3" s="184" t="s">
        <v>202</v>
      </c>
      <c r="AU3" s="184" t="s">
        <v>203</v>
      </c>
      <c r="AV3" s="184" t="s">
        <v>204</v>
      </c>
      <c r="AW3" s="184" t="s">
        <v>205</v>
      </c>
      <c r="AX3" s="184" t="s">
        <v>206</v>
      </c>
      <c r="AY3" s="184" t="s">
        <v>207</v>
      </c>
      <c r="AZ3" s="184" t="s">
        <v>208</v>
      </c>
      <c r="BA3" s="184" t="s">
        <v>209</v>
      </c>
      <c r="BB3" s="184" t="s">
        <v>210</v>
      </c>
      <c r="BC3" s="184" t="s">
        <v>211</v>
      </c>
      <c r="BD3" s="184" t="s">
        <v>212</v>
      </c>
      <c r="BE3" s="184" t="s">
        <v>213</v>
      </c>
      <c r="BF3" s="184" t="s">
        <v>214</v>
      </c>
      <c r="BG3" s="184" t="s">
        <v>215</v>
      </c>
      <c r="BH3" s="184" t="s">
        <v>216</v>
      </c>
      <c r="BI3" s="184" t="s">
        <v>217</v>
      </c>
      <c r="BJ3" s="184" t="s">
        <v>218</v>
      </c>
      <c r="BK3" s="184" t="s">
        <v>219</v>
      </c>
      <c r="BL3" s="184" t="s">
        <v>220</v>
      </c>
      <c r="BM3" s="184" t="s">
        <v>221</v>
      </c>
      <c r="BN3" s="185" t="s">
        <v>222</v>
      </c>
    </row>
    <row r="4" spans="2:66" x14ac:dyDescent="0.35">
      <c r="B4" s="200" t="s">
        <v>223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1"/>
      <c r="BF4" s="201"/>
      <c r="BG4" s="201"/>
      <c r="BH4" s="201"/>
      <c r="BI4" s="201"/>
      <c r="BJ4" s="201"/>
      <c r="BK4" s="201"/>
      <c r="BL4" s="201"/>
      <c r="BM4" s="201"/>
      <c r="BN4" s="202"/>
    </row>
    <row r="5" spans="2:66" ht="36.5" customHeight="1" outlineLevel="1" x14ac:dyDescent="0.35">
      <c r="B5" s="180" t="s">
        <v>224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89"/>
      <c r="BG5" s="189"/>
      <c r="BH5" s="189"/>
      <c r="BI5" s="189"/>
      <c r="BJ5" s="189"/>
      <c r="BK5" s="189"/>
      <c r="BL5" s="189"/>
      <c r="BM5" s="189"/>
      <c r="BN5" s="190"/>
    </row>
    <row r="6" spans="2:66" outlineLevel="1" x14ac:dyDescent="0.35">
      <c r="B6" s="180" t="s">
        <v>225</v>
      </c>
      <c r="C6" s="187" t="s">
        <v>226</v>
      </c>
      <c r="D6" s="187" t="s">
        <v>226</v>
      </c>
      <c r="E6" s="187" t="s">
        <v>226</v>
      </c>
      <c r="F6" s="187" t="s">
        <v>226</v>
      </c>
      <c r="G6" s="187" t="s">
        <v>226</v>
      </c>
      <c r="H6" s="187" t="s">
        <v>226</v>
      </c>
      <c r="I6" s="187" t="s">
        <v>226</v>
      </c>
      <c r="J6" s="187" t="s">
        <v>226</v>
      </c>
      <c r="K6" s="187" t="s">
        <v>226</v>
      </c>
      <c r="L6" s="187" t="s">
        <v>226</v>
      </c>
      <c r="M6" s="187" t="s">
        <v>226</v>
      </c>
      <c r="N6" s="187" t="s">
        <v>226</v>
      </c>
      <c r="O6" s="187" t="s">
        <v>226</v>
      </c>
      <c r="P6" s="187" t="s">
        <v>226</v>
      </c>
      <c r="Q6" s="187" t="s">
        <v>226</v>
      </c>
      <c r="R6" s="187" t="s">
        <v>226</v>
      </c>
      <c r="S6" s="187" t="s">
        <v>226</v>
      </c>
      <c r="T6" s="187" t="s">
        <v>226</v>
      </c>
      <c r="U6" s="187" t="s">
        <v>226</v>
      </c>
      <c r="V6" s="187" t="s">
        <v>226</v>
      </c>
      <c r="W6" s="187" t="s">
        <v>226</v>
      </c>
      <c r="X6" s="187" t="s">
        <v>226</v>
      </c>
      <c r="Y6" s="187" t="s">
        <v>226</v>
      </c>
      <c r="Z6" s="187" t="s">
        <v>226</v>
      </c>
      <c r="AA6" s="187" t="s">
        <v>226</v>
      </c>
      <c r="AB6" s="187" t="s">
        <v>226</v>
      </c>
      <c r="AC6" s="187" t="s">
        <v>226</v>
      </c>
      <c r="AD6" s="187" t="s">
        <v>226</v>
      </c>
      <c r="AE6" s="187" t="s">
        <v>226</v>
      </c>
      <c r="AF6" s="187" t="s">
        <v>226</v>
      </c>
      <c r="AG6" s="187" t="s">
        <v>226</v>
      </c>
      <c r="AH6" s="187" t="s">
        <v>226</v>
      </c>
      <c r="AI6" s="187" t="s">
        <v>226</v>
      </c>
      <c r="AJ6" s="187" t="s">
        <v>226</v>
      </c>
      <c r="AK6" s="187" t="s">
        <v>226</v>
      </c>
      <c r="AL6" s="187" t="s">
        <v>226</v>
      </c>
      <c r="AM6" s="187" t="s">
        <v>226</v>
      </c>
      <c r="AN6" s="187" t="s">
        <v>226</v>
      </c>
      <c r="AO6" s="187" t="s">
        <v>226</v>
      </c>
      <c r="AP6" s="187" t="s">
        <v>226</v>
      </c>
      <c r="AQ6" s="187" t="s">
        <v>226</v>
      </c>
      <c r="AR6" s="187" t="s">
        <v>226</v>
      </c>
      <c r="AS6" s="187" t="s">
        <v>226</v>
      </c>
      <c r="AT6" s="187" t="s">
        <v>226</v>
      </c>
      <c r="AU6" s="187" t="s">
        <v>226</v>
      </c>
      <c r="AV6" s="187" t="s">
        <v>226</v>
      </c>
      <c r="AW6" s="187" t="s">
        <v>226</v>
      </c>
      <c r="AX6" s="187" t="s">
        <v>226</v>
      </c>
      <c r="AY6" s="187" t="s">
        <v>226</v>
      </c>
      <c r="AZ6" s="187" t="s">
        <v>226</v>
      </c>
      <c r="BA6" s="187" t="s">
        <v>226</v>
      </c>
      <c r="BB6" s="187" t="s">
        <v>226</v>
      </c>
      <c r="BC6" s="187" t="s">
        <v>226</v>
      </c>
      <c r="BD6" s="187" t="s">
        <v>226</v>
      </c>
      <c r="BE6" s="187" t="s">
        <v>226</v>
      </c>
      <c r="BF6" s="187" t="s">
        <v>226</v>
      </c>
      <c r="BG6" s="187" t="s">
        <v>226</v>
      </c>
      <c r="BH6" s="187" t="s">
        <v>226</v>
      </c>
      <c r="BI6" s="187" t="s">
        <v>226</v>
      </c>
      <c r="BJ6" s="187" t="s">
        <v>226</v>
      </c>
      <c r="BK6" s="187" t="s">
        <v>226</v>
      </c>
      <c r="BL6" s="187" t="s">
        <v>226</v>
      </c>
      <c r="BM6" s="187" t="s">
        <v>226</v>
      </c>
      <c r="BN6" s="188" t="s">
        <v>226</v>
      </c>
    </row>
    <row r="7" spans="2:66" x14ac:dyDescent="0.35">
      <c r="B7" s="200" t="s">
        <v>227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  <c r="BE7" s="201"/>
      <c r="BF7" s="201"/>
      <c r="BG7" s="201"/>
      <c r="BH7" s="201"/>
      <c r="BI7" s="201"/>
      <c r="BJ7" s="201"/>
      <c r="BK7" s="201"/>
      <c r="BL7" s="201"/>
      <c r="BM7" s="201"/>
      <c r="BN7" s="202"/>
    </row>
    <row r="8" spans="2:66" outlineLevel="1" x14ac:dyDescent="0.35">
      <c r="B8" s="180" t="s">
        <v>228</v>
      </c>
      <c r="C8" s="191">
        <v>0</v>
      </c>
      <c r="D8" s="191">
        <v>0</v>
      </c>
      <c r="E8" s="191">
        <v>0</v>
      </c>
      <c r="F8" s="191">
        <v>0</v>
      </c>
      <c r="G8" s="191">
        <v>0</v>
      </c>
      <c r="H8" s="191">
        <v>0</v>
      </c>
      <c r="I8" s="191">
        <v>0</v>
      </c>
      <c r="J8" s="192">
        <v>0</v>
      </c>
      <c r="K8" s="192">
        <v>0</v>
      </c>
      <c r="L8" s="192">
        <v>0</v>
      </c>
      <c r="M8" s="191">
        <v>0</v>
      </c>
      <c r="N8" s="191">
        <v>0</v>
      </c>
      <c r="O8" s="191">
        <v>0</v>
      </c>
      <c r="P8" s="191">
        <v>0</v>
      </c>
      <c r="Q8" s="191">
        <v>0</v>
      </c>
      <c r="R8" s="191">
        <v>0</v>
      </c>
      <c r="S8" s="191">
        <v>0</v>
      </c>
      <c r="T8" s="191">
        <v>0</v>
      </c>
      <c r="U8" s="191">
        <v>0</v>
      </c>
      <c r="V8" s="191">
        <v>0</v>
      </c>
      <c r="W8" s="191">
        <v>0</v>
      </c>
      <c r="X8" s="191">
        <v>0</v>
      </c>
      <c r="Y8" s="191">
        <v>0</v>
      </c>
      <c r="Z8" s="191">
        <v>0</v>
      </c>
      <c r="AA8" s="191">
        <v>0</v>
      </c>
      <c r="AB8" s="191">
        <v>0</v>
      </c>
      <c r="AC8" s="191">
        <v>0</v>
      </c>
      <c r="AD8" s="191">
        <v>0</v>
      </c>
      <c r="AE8" s="191">
        <v>0</v>
      </c>
      <c r="AF8" s="191">
        <v>0</v>
      </c>
      <c r="AG8" s="191">
        <v>0</v>
      </c>
      <c r="AH8" s="191">
        <v>0</v>
      </c>
      <c r="AI8" s="191">
        <v>0</v>
      </c>
      <c r="AJ8" s="191">
        <v>0</v>
      </c>
      <c r="AK8" s="191">
        <v>0</v>
      </c>
      <c r="AL8" s="191">
        <v>0</v>
      </c>
      <c r="AM8" s="191">
        <v>0</v>
      </c>
      <c r="AN8" s="191">
        <v>0</v>
      </c>
      <c r="AO8" s="191">
        <v>0</v>
      </c>
      <c r="AP8" s="192">
        <v>0</v>
      </c>
      <c r="AQ8" s="191">
        <v>0</v>
      </c>
      <c r="AR8" s="191">
        <v>0</v>
      </c>
      <c r="AS8" s="191">
        <v>0</v>
      </c>
      <c r="AT8" s="191">
        <v>0</v>
      </c>
      <c r="AU8" s="192">
        <v>0</v>
      </c>
      <c r="AV8" s="192">
        <v>0</v>
      </c>
      <c r="AW8" s="192">
        <v>0</v>
      </c>
      <c r="AX8" s="192">
        <v>0</v>
      </c>
      <c r="AY8" s="191">
        <v>0</v>
      </c>
      <c r="AZ8" s="191">
        <v>0</v>
      </c>
      <c r="BA8" s="191">
        <v>0</v>
      </c>
      <c r="BB8" s="191">
        <v>0</v>
      </c>
      <c r="BC8" s="191">
        <v>0</v>
      </c>
      <c r="BD8" s="191">
        <v>0</v>
      </c>
      <c r="BE8" s="191">
        <v>0</v>
      </c>
      <c r="BF8" s="191">
        <v>0</v>
      </c>
      <c r="BG8" s="191">
        <v>0</v>
      </c>
      <c r="BH8" s="191">
        <v>0</v>
      </c>
      <c r="BI8" s="191">
        <v>0</v>
      </c>
      <c r="BJ8" s="191">
        <v>0</v>
      </c>
      <c r="BK8" s="191">
        <v>0</v>
      </c>
      <c r="BL8" s="191">
        <v>0</v>
      </c>
      <c r="BM8" s="191">
        <v>0</v>
      </c>
      <c r="BN8" s="193">
        <v>0</v>
      </c>
    </row>
    <row r="9" spans="2:66" outlineLevel="1" x14ac:dyDescent="0.35">
      <c r="B9" s="180" t="s">
        <v>229</v>
      </c>
      <c r="C9" s="191">
        <v>44</v>
      </c>
      <c r="D9" s="191">
        <v>32</v>
      </c>
      <c r="E9" s="191">
        <v>43</v>
      </c>
      <c r="F9" s="191">
        <v>28</v>
      </c>
      <c r="G9" s="191">
        <v>41</v>
      </c>
      <c r="H9" s="191">
        <v>26</v>
      </c>
      <c r="I9" s="191">
        <v>35</v>
      </c>
      <c r="J9" s="192">
        <v>25</v>
      </c>
      <c r="K9" s="192">
        <v>31</v>
      </c>
      <c r="L9" s="192">
        <v>24</v>
      </c>
      <c r="M9" s="191">
        <v>43</v>
      </c>
      <c r="N9" s="191">
        <v>28</v>
      </c>
      <c r="O9" s="191">
        <v>47</v>
      </c>
      <c r="P9" s="191">
        <v>33</v>
      </c>
      <c r="Q9" s="191">
        <v>42</v>
      </c>
      <c r="R9" s="191">
        <v>30</v>
      </c>
      <c r="S9" s="191">
        <v>43</v>
      </c>
      <c r="T9" s="191">
        <v>30</v>
      </c>
      <c r="U9" s="191">
        <v>44</v>
      </c>
      <c r="V9" s="191">
        <v>27</v>
      </c>
      <c r="W9" s="191">
        <v>42</v>
      </c>
      <c r="X9" s="191">
        <v>31</v>
      </c>
      <c r="Y9" s="191">
        <v>41</v>
      </c>
      <c r="Z9" s="191">
        <v>26</v>
      </c>
      <c r="AA9" s="191">
        <v>42</v>
      </c>
      <c r="AB9" s="191">
        <v>25</v>
      </c>
      <c r="AC9" s="191">
        <v>46</v>
      </c>
      <c r="AD9" s="191">
        <v>33</v>
      </c>
      <c r="AE9" s="191">
        <v>48</v>
      </c>
      <c r="AF9" s="191">
        <v>30</v>
      </c>
      <c r="AG9" s="191">
        <v>45</v>
      </c>
      <c r="AH9" s="191">
        <v>29</v>
      </c>
      <c r="AI9" s="191">
        <v>44</v>
      </c>
      <c r="AJ9" s="191">
        <v>30</v>
      </c>
      <c r="AK9" s="191">
        <v>41</v>
      </c>
      <c r="AL9" s="191">
        <v>29</v>
      </c>
      <c r="AM9" s="191">
        <v>43</v>
      </c>
      <c r="AN9" s="191">
        <v>33</v>
      </c>
      <c r="AO9" s="191">
        <v>42</v>
      </c>
      <c r="AP9" s="192">
        <v>29</v>
      </c>
      <c r="AQ9" s="191">
        <v>44</v>
      </c>
      <c r="AR9" s="191">
        <v>26</v>
      </c>
      <c r="AS9" s="191">
        <v>44</v>
      </c>
      <c r="AT9" s="191">
        <v>29</v>
      </c>
      <c r="AU9" s="192">
        <v>38</v>
      </c>
      <c r="AV9" s="192">
        <v>27</v>
      </c>
      <c r="AW9" s="192">
        <v>38</v>
      </c>
      <c r="AX9" s="192">
        <v>25</v>
      </c>
      <c r="AY9" s="191">
        <v>46</v>
      </c>
      <c r="AZ9" s="191">
        <v>31</v>
      </c>
      <c r="BA9" s="191">
        <v>42</v>
      </c>
      <c r="BB9" s="191">
        <v>28</v>
      </c>
      <c r="BC9" s="191">
        <v>44</v>
      </c>
      <c r="BD9" s="191">
        <v>28</v>
      </c>
      <c r="BE9" s="191">
        <v>44</v>
      </c>
      <c r="BF9" s="191">
        <v>33</v>
      </c>
      <c r="BG9" s="191">
        <v>44</v>
      </c>
      <c r="BH9" s="191">
        <v>26</v>
      </c>
      <c r="BI9" s="191">
        <v>39</v>
      </c>
      <c r="BJ9" s="191">
        <v>25</v>
      </c>
      <c r="BK9" s="191">
        <v>48</v>
      </c>
      <c r="BL9" s="191">
        <v>31</v>
      </c>
      <c r="BM9" s="191">
        <v>40</v>
      </c>
      <c r="BN9" s="193">
        <v>26</v>
      </c>
    </row>
    <row r="10" spans="2:66" outlineLevel="1" x14ac:dyDescent="0.35">
      <c r="B10" s="180" t="s">
        <v>230</v>
      </c>
      <c r="C10" s="191">
        <v>3.8818000000000001</v>
      </c>
      <c r="D10" s="191">
        <v>2.3283</v>
      </c>
      <c r="E10" s="191">
        <v>2.0278</v>
      </c>
      <c r="F10" s="191">
        <v>1.2150000000000001</v>
      </c>
      <c r="G10" s="191">
        <v>1.0978000000000001</v>
      </c>
      <c r="H10" s="191">
        <v>0.65700000000000003</v>
      </c>
      <c r="I10" s="191">
        <v>0.64049999999999996</v>
      </c>
      <c r="J10" s="192">
        <v>0.38779999999999998</v>
      </c>
      <c r="K10" s="192">
        <v>0.2087</v>
      </c>
      <c r="L10" s="192">
        <v>0.1241</v>
      </c>
      <c r="M10" s="191">
        <v>1.9754</v>
      </c>
      <c r="N10" s="191">
        <v>1.1901999999999999</v>
      </c>
      <c r="O10" s="191">
        <v>2.6707000000000001</v>
      </c>
      <c r="P10" s="191">
        <v>1.6191</v>
      </c>
      <c r="Q10" s="191">
        <v>2.0947</v>
      </c>
      <c r="R10" s="191">
        <v>1.2461</v>
      </c>
      <c r="S10" s="191">
        <v>1.3129</v>
      </c>
      <c r="T10" s="191">
        <v>0.78290000000000004</v>
      </c>
      <c r="U10" s="191">
        <v>1.5868</v>
      </c>
      <c r="V10" s="191">
        <v>0.94159999999999999</v>
      </c>
      <c r="W10" s="191">
        <v>1.4103000000000001</v>
      </c>
      <c r="X10" s="191">
        <v>0.85309999999999997</v>
      </c>
      <c r="Y10" s="191">
        <v>1.512</v>
      </c>
      <c r="Z10" s="191">
        <v>0.91110000000000002</v>
      </c>
      <c r="AA10" s="191">
        <v>0.82920000000000005</v>
      </c>
      <c r="AB10" s="191">
        <v>0.4929</v>
      </c>
      <c r="AC10" s="191">
        <v>2.8504999999999998</v>
      </c>
      <c r="AD10" s="191">
        <v>1.7143999999999999</v>
      </c>
      <c r="AE10" s="191">
        <v>3.9192999999999998</v>
      </c>
      <c r="AF10" s="191">
        <v>2.3565</v>
      </c>
      <c r="AG10" s="191">
        <v>1.6900999999999999</v>
      </c>
      <c r="AH10" s="191">
        <v>1.0158</v>
      </c>
      <c r="AI10" s="191">
        <v>1.1865000000000001</v>
      </c>
      <c r="AJ10" s="191">
        <v>0.71260000000000001</v>
      </c>
      <c r="AK10" s="191">
        <v>1.5165</v>
      </c>
      <c r="AL10" s="191">
        <v>0.9123</v>
      </c>
      <c r="AM10" s="191">
        <v>1.0306</v>
      </c>
      <c r="AN10" s="191">
        <v>0.62350000000000005</v>
      </c>
      <c r="AO10" s="191">
        <v>0.88</v>
      </c>
      <c r="AP10" s="192">
        <v>0.52869999999999995</v>
      </c>
      <c r="AQ10" s="191">
        <v>1.3929</v>
      </c>
      <c r="AR10" s="191">
        <v>0.82969999999999999</v>
      </c>
      <c r="AS10" s="191">
        <v>2.7292000000000001</v>
      </c>
      <c r="AT10" s="191">
        <v>1.6438999999999999</v>
      </c>
      <c r="AU10" s="192">
        <v>0.33929999999999999</v>
      </c>
      <c r="AV10" s="192">
        <v>0.20519999999999999</v>
      </c>
      <c r="AW10" s="192">
        <v>0.31130000000000002</v>
      </c>
      <c r="AX10" s="192">
        <v>0.1865</v>
      </c>
      <c r="AY10" s="191">
        <v>3.5634999999999999</v>
      </c>
      <c r="AZ10" s="191">
        <v>2.1412</v>
      </c>
      <c r="BA10" s="191">
        <v>1.7969999999999999</v>
      </c>
      <c r="BB10" s="191">
        <v>1.0698000000000001</v>
      </c>
      <c r="BC10" s="191">
        <v>1.1856</v>
      </c>
      <c r="BD10" s="191">
        <v>0.71630000000000005</v>
      </c>
      <c r="BE10" s="191">
        <v>1.1651</v>
      </c>
      <c r="BF10" s="191">
        <v>0.70269999999999999</v>
      </c>
      <c r="BG10" s="191">
        <v>1.097</v>
      </c>
      <c r="BH10" s="191">
        <v>0.66190000000000004</v>
      </c>
      <c r="BI10" s="191">
        <v>1.0146999999999999</v>
      </c>
      <c r="BJ10" s="191">
        <v>0.60360000000000003</v>
      </c>
      <c r="BK10" s="191">
        <v>0.98570000000000002</v>
      </c>
      <c r="BL10" s="191">
        <v>0.6008</v>
      </c>
      <c r="BM10" s="191">
        <v>1.0795999999999999</v>
      </c>
      <c r="BN10" s="193">
        <v>0.65749999999999997</v>
      </c>
    </row>
    <row r="11" spans="2:66" outlineLevel="1" x14ac:dyDescent="0.35">
      <c r="B11" s="180" t="s">
        <v>231</v>
      </c>
      <c r="C11" s="191">
        <v>0</v>
      </c>
      <c r="D11" s="191">
        <v>0</v>
      </c>
      <c r="E11" s="191">
        <v>0</v>
      </c>
      <c r="F11" s="191">
        <v>0</v>
      </c>
      <c r="G11" s="191">
        <v>0</v>
      </c>
      <c r="H11" s="191">
        <v>0</v>
      </c>
      <c r="I11" s="191">
        <v>0</v>
      </c>
      <c r="J11" s="192">
        <v>0</v>
      </c>
      <c r="K11" s="192">
        <v>0</v>
      </c>
      <c r="L11" s="192">
        <v>0</v>
      </c>
      <c r="M11" s="191">
        <v>0</v>
      </c>
      <c r="N11" s="191">
        <v>0</v>
      </c>
      <c r="O11" s="191">
        <v>0</v>
      </c>
      <c r="P11" s="191">
        <v>0</v>
      </c>
      <c r="Q11" s="191">
        <v>0</v>
      </c>
      <c r="R11" s="191">
        <v>0</v>
      </c>
      <c r="S11" s="191">
        <v>0</v>
      </c>
      <c r="T11" s="191">
        <v>0</v>
      </c>
      <c r="U11" s="191">
        <v>0</v>
      </c>
      <c r="V11" s="191">
        <v>0</v>
      </c>
      <c r="W11" s="191">
        <v>0</v>
      </c>
      <c r="X11" s="191">
        <v>0</v>
      </c>
      <c r="Y11" s="191">
        <v>0</v>
      </c>
      <c r="Z11" s="191">
        <v>0</v>
      </c>
      <c r="AA11" s="191">
        <v>0</v>
      </c>
      <c r="AB11" s="191">
        <v>0</v>
      </c>
      <c r="AC11" s="191">
        <v>0</v>
      </c>
      <c r="AD11" s="191">
        <v>0</v>
      </c>
      <c r="AE11" s="191">
        <v>0</v>
      </c>
      <c r="AF11" s="191">
        <v>0</v>
      </c>
      <c r="AG11" s="191">
        <v>0</v>
      </c>
      <c r="AH11" s="191">
        <v>0</v>
      </c>
      <c r="AI11" s="191">
        <v>0</v>
      </c>
      <c r="AJ11" s="191">
        <v>0</v>
      </c>
      <c r="AK11" s="191">
        <v>0</v>
      </c>
      <c r="AL11" s="191">
        <v>0</v>
      </c>
      <c r="AM11" s="191">
        <v>0</v>
      </c>
      <c r="AN11" s="191">
        <v>0</v>
      </c>
      <c r="AO11" s="191">
        <v>0</v>
      </c>
      <c r="AP11" s="192">
        <v>0</v>
      </c>
      <c r="AQ11" s="191">
        <v>0</v>
      </c>
      <c r="AR11" s="191">
        <v>0</v>
      </c>
      <c r="AS11" s="191">
        <v>0</v>
      </c>
      <c r="AT11" s="191">
        <v>0</v>
      </c>
      <c r="AU11" s="192">
        <v>0</v>
      </c>
      <c r="AV11" s="192">
        <v>0</v>
      </c>
      <c r="AW11" s="192">
        <v>0</v>
      </c>
      <c r="AX11" s="192">
        <v>0</v>
      </c>
      <c r="AY11" s="191">
        <v>0</v>
      </c>
      <c r="AZ11" s="191">
        <v>0</v>
      </c>
      <c r="BA11" s="191">
        <v>0</v>
      </c>
      <c r="BB11" s="191">
        <v>0</v>
      </c>
      <c r="BC11" s="191">
        <v>0</v>
      </c>
      <c r="BD11" s="191">
        <v>0</v>
      </c>
      <c r="BE11" s="191">
        <v>0</v>
      </c>
      <c r="BF11" s="191">
        <v>0</v>
      </c>
      <c r="BG11" s="191">
        <v>0</v>
      </c>
      <c r="BH11" s="191">
        <v>0</v>
      </c>
      <c r="BI11" s="191">
        <v>0</v>
      </c>
      <c r="BJ11" s="191">
        <v>0</v>
      </c>
      <c r="BK11" s="191">
        <v>0</v>
      </c>
      <c r="BL11" s="191">
        <v>0</v>
      </c>
      <c r="BM11" s="191">
        <v>0</v>
      </c>
      <c r="BN11" s="193">
        <v>0</v>
      </c>
    </row>
    <row r="12" spans="2:66" outlineLevel="1" x14ac:dyDescent="0.35">
      <c r="B12" s="180" t="s">
        <v>8</v>
      </c>
      <c r="C12" s="191">
        <v>1</v>
      </c>
      <c r="D12" s="191">
        <v>1</v>
      </c>
      <c r="E12" s="191">
        <v>0</v>
      </c>
      <c r="F12" s="191">
        <v>0</v>
      </c>
      <c r="G12" s="191">
        <v>0</v>
      </c>
      <c r="H12" s="191">
        <v>0</v>
      </c>
      <c r="I12" s="191">
        <v>0</v>
      </c>
      <c r="J12" s="192">
        <v>0</v>
      </c>
      <c r="K12" s="192">
        <v>0</v>
      </c>
      <c r="L12" s="192">
        <v>0</v>
      </c>
      <c r="M12" s="191">
        <v>0</v>
      </c>
      <c r="N12" s="191">
        <v>0</v>
      </c>
      <c r="O12" s="191">
        <v>1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0</v>
      </c>
      <c r="V12" s="191">
        <v>0</v>
      </c>
      <c r="W12" s="191">
        <v>0</v>
      </c>
      <c r="X12" s="191">
        <v>0</v>
      </c>
      <c r="Y12" s="191">
        <v>0</v>
      </c>
      <c r="Z12" s="191">
        <v>0</v>
      </c>
      <c r="AA12" s="191">
        <v>0</v>
      </c>
      <c r="AB12" s="191">
        <v>0</v>
      </c>
      <c r="AC12" s="191">
        <v>0</v>
      </c>
      <c r="AD12" s="191">
        <v>0</v>
      </c>
      <c r="AE12" s="191">
        <v>2</v>
      </c>
      <c r="AF12" s="191">
        <v>1</v>
      </c>
      <c r="AG12" s="191">
        <v>0</v>
      </c>
      <c r="AH12" s="191">
        <v>0</v>
      </c>
      <c r="AI12" s="191">
        <v>0</v>
      </c>
      <c r="AJ12" s="191">
        <v>0</v>
      </c>
      <c r="AK12" s="191">
        <v>0</v>
      </c>
      <c r="AL12" s="191">
        <v>0</v>
      </c>
      <c r="AM12" s="191">
        <v>0</v>
      </c>
      <c r="AN12" s="191">
        <v>0</v>
      </c>
      <c r="AO12" s="191">
        <v>0</v>
      </c>
      <c r="AP12" s="192">
        <v>0</v>
      </c>
      <c r="AQ12" s="191">
        <v>0</v>
      </c>
      <c r="AR12" s="191">
        <v>0</v>
      </c>
      <c r="AS12" s="191">
        <v>0</v>
      </c>
      <c r="AT12" s="191">
        <v>0</v>
      </c>
      <c r="AU12" s="192">
        <v>0</v>
      </c>
      <c r="AV12" s="192">
        <v>0</v>
      </c>
      <c r="AW12" s="192">
        <v>0</v>
      </c>
      <c r="AX12" s="192">
        <v>0</v>
      </c>
      <c r="AY12" s="191">
        <v>1</v>
      </c>
      <c r="AZ12" s="191">
        <v>1</v>
      </c>
      <c r="BA12" s="191">
        <v>0</v>
      </c>
      <c r="BB12" s="191">
        <v>0</v>
      </c>
      <c r="BC12" s="191">
        <v>0</v>
      </c>
      <c r="BD12" s="191">
        <v>0</v>
      </c>
      <c r="BE12" s="191">
        <v>0</v>
      </c>
      <c r="BF12" s="191">
        <v>0</v>
      </c>
      <c r="BG12" s="191">
        <v>0</v>
      </c>
      <c r="BH12" s="191">
        <v>0</v>
      </c>
      <c r="BI12" s="191">
        <v>0</v>
      </c>
      <c r="BJ12" s="191">
        <v>0</v>
      </c>
      <c r="BK12" s="191">
        <v>0</v>
      </c>
      <c r="BL12" s="191">
        <v>0</v>
      </c>
      <c r="BM12" s="191">
        <v>0</v>
      </c>
      <c r="BN12" s="193">
        <v>0</v>
      </c>
    </row>
    <row r="13" spans="2:66" outlineLevel="1" x14ac:dyDescent="0.35">
      <c r="B13" s="180" t="s">
        <v>232</v>
      </c>
      <c r="C13" s="191">
        <v>6.4187186225033823</v>
      </c>
      <c r="D13" s="191">
        <v>3.97692100752203</v>
      </c>
      <c r="E13" s="191">
        <v>4.7483767613982613</v>
      </c>
      <c r="F13" s="191">
        <v>2.9284864014129428</v>
      </c>
      <c r="G13" s="191">
        <v>3.3388545872789752</v>
      </c>
      <c r="H13" s="191">
        <v>2.0749895320591367</v>
      </c>
      <c r="I13" s="191">
        <v>2.4229417687350545</v>
      </c>
      <c r="J13" s="192">
        <v>1.5375459553316058</v>
      </c>
      <c r="K13" s="192">
        <v>1.3240542367902259</v>
      </c>
      <c r="L13" s="192">
        <v>0.82871458704827949</v>
      </c>
      <c r="M13" s="191">
        <v>4.5310316556815673</v>
      </c>
      <c r="N13" s="191">
        <v>2.8209962357253273</v>
      </c>
      <c r="O13" s="191">
        <v>5.2399243497134353</v>
      </c>
      <c r="P13" s="191">
        <v>3.25666635957371</v>
      </c>
      <c r="Q13" s="191">
        <v>4.6068920386119778</v>
      </c>
      <c r="R13" s="191">
        <v>2.8171844886062809</v>
      </c>
      <c r="S13" s="191">
        <v>3.7921012108276244</v>
      </c>
      <c r="T13" s="191">
        <v>2.3247597813114522</v>
      </c>
      <c r="U13" s="191">
        <v>3.9434275474617566</v>
      </c>
      <c r="V13" s="191">
        <v>2.4249489639471316</v>
      </c>
      <c r="W13" s="191">
        <v>3.8399516185549545</v>
      </c>
      <c r="X13" s="191">
        <v>2.413939332359198</v>
      </c>
      <c r="Y13" s="191">
        <v>3.8338134817151226</v>
      </c>
      <c r="Z13" s="191">
        <v>2.388674813936809</v>
      </c>
      <c r="AA13" s="191">
        <v>2.950135198557954</v>
      </c>
      <c r="AB13" s="191">
        <v>1.8131956203994828</v>
      </c>
      <c r="AC13" s="191">
        <v>5.6959805274782997</v>
      </c>
      <c r="AD13" s="191">
        <v>3.5240423560810603</v>
      </c>
      <c r="AE13" s="191">
        <v>6.0903938131847299</v>
      </c>
      <c r="AF13" s="191">
        <v>3.7865342378160647</v>
      </c>
      <c r="AG13" s="191">
        <v>4.1203349021614573</v>
      </c>
      <c r="AH13" s="191">
        <v>2.5756579278653717</v>
      </c>
      <c r="AI13" s="191">
        <v>3.5182034514153959</v>
      </c>
      <c r="AJ13" s="191">
        <v>2.1899956274123857</v>
      </c>
      <c r="AK13" s="191">
        <v>3.9556405877236216</v>
      </c>
      <c r="AL13" s="191">
        <v>2.4691331215298571</v>
      </c>
      <c r="AM13" s="191">
        <v>3.243133582130282</v>
      </c>
      <c r="AN13" s="191">
        <v>2.0282897095619985</v>
      </c>
      <c r="AO13" s="191">
        <v>2.8652785173692648</v>
      </c>
      <c r="AP13" s="192">
        <v>1.7958560131261703</v>
      </c>
      <c r="AQ13" s="191">
        <v>3.9856389853840253</v>
      </c>
      <c r="AR13" s="191">
        <v>2.4313553954341889</v>
      </c>
      <c r="AS13" s="191">
        <v>5.5549215183752096</v>
      </c>
      <c r="AT13" s="191">
        <v>3.4605043417154051</v>
      </c>
      <c r="AU13" s="192">
        <v>1.8103323563156948</v>
      </c>
      <c r="AV13" s="192">
        <v>1.1449995905703698</v>
      </c>
      <c r="AW13" s="192">
        <v>1.7007885165880874</v>
      </c>
      <c r="AX13" s="192">
        <v>1.0618052990305591</v>
      </c>
      <c r="AY13" s="191">
        <v>6.1095253809145875</v>
      </c>
      <c r="AZ13" s="191">
        <v>3.7705814257789845</v>
      </c>
      <c r="BA13" s="191">
        <v>4.3347745070538517</v>
      </c>
      <c r="BB13" s="191">
        <v>2.6710749566688352</v>
      </c>
      <c r="BC13" s="191">
        <v>3.4481504628080084</v>
      </c>
      <c r="BD13" s="191">
        <v>2.1782765662053731</v>
      </c>
      <c r="BE13" s="191">
        <v>3.4256700821226835</v>
      </c>
      <c r="BF13" s="191">
        <v>2.1391517727899361</v>
      </c>
      <c r="BG13" s="191">
        <v>3.2822352607377052</v>
      </c>
      <c r="BH13" s="191">
        <v>2.0264251848767736</v>
      </c>
      <c r="BI13" s="191">
        <v>3.1037150666134261</v>
      </c>
      <c r="BJ13" s="191">
        <v>1.9013228402496678</v>
      </c>
      <c r="BK13" s="191">
        <v>3.132966175640119</v>
      </c>
      <c r="BL13" s="191">
        <v>1.976165449295108</v>
      </c>
      <c r="BM13" s="191">
        <v>3.2964147911097008</v>
      </c>
      <c r="BN13" s="193">
        <v>2.0473428905024136</v>
      </c>
    </row>
    <row r="14" spans="2:66" outlineLevel="1" x14ac:dyDescent="0.35">
      <c r="B14" s="180" t="s">
        <v>233</v>
      </c>
      <c r="C14" s="192">
        <v>41.199948754871713</v>
      </c>
      <c r="D14" s="192">
        <v>15.815900700070038</v>
      </c>
      <c r="E14" s="192">
        <v>22.547081868187039</v>
      </c>
      <c r="F14" s="192">
        <v>8.5760326032605274</v>
      </c>
      <c r="G14" s="192">
        <v>11.147949954993855</v>
      </c>
      <c r="H14" s="192">
        <v>4.3055815581549943</v>
      </c>
      <c r="I14" s="192">
        <v>5.8706468146809536</v>
      </c>
      <c r="J14" s="192">
        <v>2.36404756475658</v>
      </c>
      <c r="K14" s="192">
        <v>1.7531196219621479</v>
      </c>
      <c r="L14" s="192">
        <v>0.6867678667866004</v>
      </c>
      <c r="M14" s="192">
        <v>20.530247864788446</v>
      </c>
      <c r="N14" s="192">
        <v>7.958019761976467</v>
      </c>
      <c r="O14" s="192">
        <v>27.456807190719765</v>
      </c>
      <c r="P14" s="192">
        <v>10.605875777579081</v>
      </c>
      <c r="Q14" s="192">
        <v>21.223454255426425</v>
      </c>
      <c r="R14" s="192">
        <v>7.9365284428438327</v>
      </c>
      <c r="S14" s="192">
        <v>14.380031593160336</v>
      </c>
      <c r="T14" s="192">
        <v>5.4045080408032709</v>
      </c>
      <c r="U14" s="192">
        <v>15.550620822080244</v>
      </c>
      <c r="V14" s="192">
        <v>5.8803774777482669</v>
      </c>
      <c r="W14" s="192">
        <v>14.745228432842815</v>
      </c>
      <c r="X14" s="192">
        <v>5.8271031003107705</v>
      </c>
      <c r="Y14" s="192">
        <v>14.69812581258063</v>
      </c>
      <c r="Z14" s="192">
        <v>5.7057673667360493</v>
      </c>
      <c r="AA14" s="192">
        <v>8.7032976897705776</v>
      </c>
      <c r="AB14" s="192">
        <v>3.287678357835865</v>
      </c>
      <c r="AC14" s="192">
        <v>32.444194169411972</v>
      </c>
      <c r="AD14" s="192">
        <v>12.418874527453351</v>
      </c>
      <c r="AE14" s="192">
        <v>37.09289679967884</v>
      </c>
      <c r="AF14" s="192">
        <v>14.337841534153286</v>
      </c>
      <c r="AG14" s="192">
        <v>16.977159705969864</v>
      </c>
      <c r="AH14" s="192">
        <v>6.6340137613757397</v>
      </c>
      <c r="AI14" s="192">
        <v>12.377755525551203</v>
      </c>
      <c r="AJ14" s="192">
        <v>4.7960808480853698</v>
      </c>
      <c r="AK14" s="192">
        <v>15.647092459246478</v>
      </c>
      <c r="AL14" s="192">
        <v>6.0966183718357758</v>
      </c>
      <c r="AM14" s="192">
        <v>10.517915431541196</v>
      </c>
      <c r="AN14" s="192">
        <v>4.1139591459150955</v>
      </c>
      <c r="AO14" s="192">
        <v>8.2098209820978116</v>
      </c>
      <c r="AP14" s="192">
        <v>3.2250988198814232</v>
      </c>
      <c r="AQ14" s="192">
        <v>15.885318121813002</v>
      </c>
      <c r="AR14" s="192">
        <v>5.9114890589069402</v>
      </c>
      <c r="AS14" s="192">
        <v>30.857153075307941</v>
      </c>
      <c r="AT14" s="192">
        <v>11.975090299031169</v>
      </c>
      <c r="AU14" s="192">
        <v>3.2773032403235356</v>
      </c>
      <c r="AV14" s="192">
        <v>1.3110240624063145</v>
      </c>
      <c r="AW14" s="192">
        <v>2.8926815781579069</v>
      </c>
      <c r="AX14" s="192">
        <v>1.1274304930493748</v>
      </c>
      <c r="AY14" s="192">
        <v>37.326300380039534</v>
      </c>
      <c r="AZ14" s="192">
        <v>14.217284288429481</v>
      </c>
      <c r="BA14" s="192">
        <v>18.790270027003967</v>
      </c>
      <c r="BB14" s="192">
        <v>7.1346414241434211</v>
      </c>
      <c r="BC14" s="192">
        <v>11.889741614163082</v>
      </c>
      <c r="BD14" s="192">
        <v>4.7448887988794715</v>
      </c>
      <c r="BE14" s="192">
        <v>11.735215511550434</v>
      </c>
      <c r="BF14" s="192">
        <v>4.5759703070303264</v>
      </c>
      <c r="BG14" s="192">
        <v>10.773068306829913</v>
      </c>
      <c r="BH14" s="192">
        <v>4.1063990299028656</v>
      </c>
      <c r="BI14" s="192">
        <v>9.6330472147231827</v>
      </c>
      <c r="BJ14" s="192">
        <v>3.6150285428550637</v>
      </c>
      <c r="BK14" s="192">
        <v>9.8154770577050723</v>
      </c>
      <c r="BL14" s="192">
        <v>3.9052298829877361</v>
      </c>
      <c r="BM14" s="192">
        <v>10.866350475046811</v>
      </c>
      <c r="BN14" s="194">
        <v>4.1916129112907781</v>
      </c>
    </row>
    <row r="15" spans="2:66" outlineLevel="1" x14ac:dyDescent="0.35">
      <c r="B15" s="180" t="s">
        <v>234</v>
      </c>
      <c r="C15" s="192">
        <v>2.5749294753592089</v>
      </c>
      <c r="D15" s="192">
        <v>2.674114868359458</v>
      </c>
      <c r="E15" s="192">
        <v>4.2346619222153379</v>
      </c>
      <c r="F15" s="192">
        <v>4.2509883530379406</v>
      </c>
      <c r="G15" s="192">
        <v>6.0361587256694111</v>
      </c>
      <c r="H15" s="192">
        <v>6.0812434475923745</v>
      </c>
      <c r="I15" s="192">
        <v>7.7394139203976478</v>
      </c>
      <c r="J15" s="192">
        <v>7.7179463971274114</v>
      </c>
      <c r="K15" s="192">
        <v>13.15264305224226</v>
      </c>
      <c r="L15" s="192">
        <v>13.910077180466407</v>
      </c>
      <c r="M15" s="192">
        <v>4.347742358051959</v>
      </c>
      <c r="N15" s="192">
        <v>4.3275922229183097</v>
      </c>
      <c r="O15" s="192">
        <v>3.6191152320537148</v>
      </c>
      <c r="P15" s="192">
        <v>3.6607050062660691</v>
      </c>
      <c r="Q15" s="192">
        <v>4.369011240205789</v>
      </c>
      <c r="R15" s="192">
        <v>4.3968069086407553</v>
      </c>
      <c r="S15" s="192">
        <v>5.6008050614526601</v>
      </c>
      <c r="T15" s="192">
        <v>5.5731870734490112</v>
      </c>
      <c r="U15" s="192">
        <v>5.0609518669577271</v>
      </c>
      <c r="V15" s="192">
        <v>5.0166007938603174</v>
      </c>
      <c r="W15" s="192">
        <v>5.3926340214885533</v>
      </c>
      <c r="X15" s="192">
        <v>5.4272454682541005</v>
      </c>
      <c r="Y15" s="192">
        <v>5.2285459751867629</v>
      </c>
      <c r="Z15" s="192">
        <v>5.1735107325497713</v>
      </c>
      <c r="AA15" s="192">
        <v>7.1185625776894375</v>
      </c>
      <c r="AB15" s="192">
        <v>6.9652374648134865</v>
      </c>
      <c r="AC15" s="192">
        <v>3.2246035590710989</v>
      </c>
      <c r="AD15" s="192">
        <v>3.3151797244266263</v>
      </c>
      <c r="AE15" s="192">
        <v>2.7576461277251045</v>
      </c>
      <c r="AF15" s="192">
        <v>2.8092892097278259</v>
      </c>
      <c r="AG15" s="192">
        <v>4.709788720177662</v>
      </c>
      <c r="AH15" s="192">
        <v>4.7912783410746442</v>
      </c>
      <c r="AI15" s="192">
        <v>5.6962254681225639</v>
      </c>
      <c r="AJ15" s="192">
        <v>5.803912638564575</v>
      </c>
      <c r="AK15" s="192">
        <v>4.959008663063674</v>
      </c>
      <c r="AL15" s="192">
        <v>5.0901066528147032</v>
      </c>
      <c r="AM15" s="192">
        <v>6.2745184315561531</v>
      </c>
      <c r="AN15" s="192">
        <v>6.355479080452235</v>
      </c>
      <c r="AO15" s="192">
        <v>6.6361597055089696</v>
      </c>
      <c r="AP15" s="192">
        <v>6.610293238241673</v>
      </c>
      <c r="AQ15" s="192">
        <v>5.2199246385108395</v>
      </c>
      <c r="AR15" s="192">
        <v>5.173588055025939</v>
      </c>
      <c r="AS15" s="192">
        <v>3.3534255508278288</v>
      </c>
      <c r="AT15" s="192">
        <v>3.4509501870373049</v>
      </c>
      <c r="AU15" s="192">
        <v>10.674754290478983</v>
      </c>
      <c r="AV15" s="192">
        <v>10.868582276303357</v>
      </c>
      <c r="AW15" s="192">
        <v>10.830497720762185</v>
      </c>
      <c r="AX15" s="192">
        <v>10.931481779877501</v>
      </c>
      <c r="AY15" s="192">
        <v>2.8725578963410241</v>
      </c>
      <c r="AZ15" s="192">
        <v>2.8995678299259136</v>
      </c>
      <c r="BA15" s="192">
        <v>4.7055471940714337</v>
      </c>
      <c r="BB15" s="192">
        <v>4.7690878120363003</v>
      </c>
      <c r="BC15" s="192">
        <v>5.6860276514847703</v>
      </c>
      <c r="BD15" s="192">
        <v>5.7598496420071763</v>
      </c>
      <c r="BE15" s="192">
        <v>5.9295483762736279</v>
      </c>
      <c r="BF15" s="192">
        <v>6.0142376122845613</v>
      </c>
      <c r="BG15" s="192">
        <v>6.0236332008493427</v>
      </c>
      <c r="BH15" s="192">
        <v>5.7636403102082117</v>
      </c>
      <c r="BI15" s="192">
        <v>6.0391422302743649</v>
      </c>
      <c r="BJ15" s="192">
        <v>5.9810228378006149</v>
      </c>
      <c r="BK15" s="192">
        <v>6.2926306291021978</v>
      </c>
      <c r="BL15" s="192">
        <v>6.3489614719681002</v>
      </c>
      <c r="BM15" s="192">
        <v>5.9395952704294626</v>
      </c>
      <c r="BN15" s="194">
        <v>5.8479281922781743</v>
      </c>
    </row>
    <row r="16" spans="2:66" outlineLevel="1" x14ac:dyDescent="0.35">
      <c r="B16" s="180" t="s">
        <v>235</v>
      </c>
      <c r="C16" s="192">
        <v>10.44231207776861</v>
      </c>
      <c r="D16" s="192">
        <v>11.392815892836763</v>
      </c>
      <c r="E16" s="192">
        <v>24.828601924920925</v>
      </c>
      <c r="F16" s="192">
        <v>25.278732630970641</v>
      </c>
      <c r="G16" s="192">
        <v>48.489046647799569</v>
      </c>
      <c r="H16" s="192">
        <v>50.246088682696566</v>
      </c>
      <c r="I16" s="192">
        <v>78.858725153472065</v>
      </c>
      <c r="J16" s="192">
        <v>79.570511794105187</v>
      </c>
      <c r="K16" s="192">
        <v>218.19191293936603</v>
      </c>
      <c r="L16" s="192">
        <v>258.11954081427945</v>
      </c>
      <c r="M16" s="192">
        <v>26.41231639406103</v>
      </c>
      <c r="N16" s="192">
        <v>26.634449085258318</v>
      </c>
      <c r="O16" s="192">
        <v>19.359978034699473</v>
      </c>
      <c r="P16" s="192">
        <v>20.592330586367982</v>
      </c>
      <c r="Q16" s="192">
        <v>26.370928680287506</v>
      </c>
      <c r="R16" s="192">
        <v>27.713200584785731</v>
      </c>
      <c r="S16" s="192">
        <v>40.16915686652348</v>
      </c>
      <c r="T16" s="192">
        <v>40.944142048876628</v>
      </c>
      <c r="U16" s="192">
        <v>35.166828794232508</v>
      </c>
      <c r="V16" s="192">
        <v>35.01024647662674</v>
      </c>
      <c r="W16" s="192">
        <v>38.53790443688353</v>
      </c>
      <c r="X16" s="192">
        <v>39.984113339505029</v>
      </c>
      <c r="Y16" s="192">
        <v>37.111776014773014</v>
      </c>
      <c r="Z16" s="192">
        <v>36.973394676731779</v>
      </c>
      <c r="AA16" s="192">
        <v>64.387195959969148</v>
      </c>
      <c r="AB16" s="192">
        <v>62.885240335718841</v>
      </c>
      <c r="AC16" s="192">
        <v>15.454142673762606</v>
      </c>
      <c r="AD16" s="192">
        <v>16.425910596922549</v>
      </c>
      <c r="AE16" s="192">
        <v>12.341996424230594</v>
      </c>
      <c r="AF16" s="192">
        <v>12.938033976775143</v>
      </c>
      <c r="AG16" s="192">
        <v>30.667815215105627</v>
      </c>
      <c r="AH16" s="192">
        <v>32.329388347322848</v>
      </c>
      <c r="AI16" s="192">
        <v>43.703323732134329</v>
      </c>
      <c r="AJ16" s="192">
        <v>46.33893246636115</v>
      </c>
      <c r="AK16" s="192">
        <v>33.442983295176262</v>
      </c>
      <c r="AL16" s="192">
        <v>36.393688135123</v>
      </c>
      <c r="AM16" s="192">
        <v>51.626482682873551</v>
      </c>
      <c r="AN16" s="192">
        <v>55.37892988437261</v>
      </c>
      <c r="AO16" s="192">
        <v>59.065602528521012</v>
      </c>
      <c r="AP16" s="192">
        <v>59.650349131255609</v>
      </c>
      <c r="AQ16" s="192">
        <v>35.488830402148544</v>
      </c>
      <c r="AR16" s="192">
        <v>35.453534129260454</v>
      </c>
      <c r="AS16" s="192">
        <v>16.313302781932755</v>
      </c>
      <c r="AT16" s="192">
        <v>17.355836850532135</v>
      </c>
      <c r="AU16" s="192">
        <v>145.91761244436248</v>
      </c>
      <c r="AV16" s="192">
        <v>157.46859284888794</v>
      </c>
      <c r="AW16" s="192">
        <v>151.08779311331736</v>
      </c>
      <c r="AX16" s="192">
        <v>158.45183597344456</v>
      </c>
      <c r="AY16" s="192">
        <v>12.752849146046598</v>
      </c>
      <c r="AZ16" s="192">
        <v>13.154121724923977</v>
      </c>
      <c r="BA16" s="192">
        <v>30.230917928884026</v>
      </c>
      <c r="BB16" s="192">
        <v>31.955864814233884</v>
      </c>
      <c r="BC16" s="192">
        <v>44.019757936577165</v>
      </c>
      <c r="BD16" s="192">
        <v>45.243201477389249</v>
      </c>
      <c r="BE16" s="192">
        <v>48.216520451898106</v>
      </c>
      <c r="BF16" s="192">
        <v>51.004722053254959</v>
      </c>
      <c r="BG16" s="192">
        <v>48.892681220324334</v>
      </c>
      <c r="BH16" s="192">
        <v>45.325000530785125</v>
      </c>
      <c r="BI16" s="192">
        <v>49.317775579672265</v>
      </c>
      <c r="BJ16" s="192">
        <v>49.003479967019373</v>
      </c>
      <c r="BK16" s="192">
        <v>53.670688253147091</v>
      </c>
      <c r="BL16" s="192">
        <v>55.804296546559229</v>
      </c>
      <c r="BM16" s="192">
        <v>46.233614769290512</v>
      </c>
      <c r="BN16" s="194">
        <v>45.675562576907332</v>
      </c>
    </row>
    <row r="17" spans="2:66" outlineLevel="1" x14ac:dyDescent="0.35">
      <c r="B17" s="180" t="s">
        <v>236</v>
      </c>
      <c r="C17" s="195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0</v>
      </c>
      <c r="K17" s="195">
        <v>0</v>
      </c>
      <c r="L17" s="195">
        <v>0</v>
      </c>
      <c r="M17" s="195">
        <v>0</v>
      </c>
      <c r="N17" s="195">
        <v>0</v>
      </c>
      <c r="O17" s="195">
        <v>0</v>
      </c>
      <c r="P17" s="195">
        <v>0</v>
      </c>
      <c r="Q17" s="195">
        <v>0</v>
      </c>
      <c r="R17" s="195">
        <v>0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0</v>
      </c>
      <c r="Y17" s="195">
        <v>0</v>
      </c>
      <c r="Z17" s="195">
        <v>0</v>
      </c>
      <c r="AA17" s="195">
        <v>0</v>
      </c>
      <c r="AB17" s="195">
        <v>0</v>
      </c>
      <c r="AC17" s="195">
        <v>0</v>
      </c>
      <c r="AD17" s="195">
        <v>0</v>
      </c>
      <c r="AE17" s="195">
        <v>0</v>
      </c>
      <c r="AF17" s="195">
        <v>0</v>
      </c>
      <c r="AG17" s="195">
        <v>0</v>
      </c>
      <c r="AH17" s="195">
        <v>0</v>
      </c>
      <c r="AI17" s="195">
        <v>0</v>
      </c>
      <c r="AJ17" s="195">
        <v>0</v>
      </c>
      <c r="AK17" s="195">
        <v>0</v>
      </c>
      <c r="AL17" s="195">
        <v>0</v>
      </c>
      <c r="AM17" s="195">
        <v>0</v>
      </c>
      <c r="AN17" s="195">
        <v>0</v>
      </c>
      <c r="AO17" s="195">
        <v>0</v>
      </c>
      <c r="AP17" s="195">
        <v>0</v>
      </c>
      <c r="AQ17" s="195">
        <v>0</v>
      </c>
      <c r="AR17" s="195">
        <v>0</v>
      </c>
      <c r="AS17" s="195">
        <v>0</v>
      </c>
      <c r="AT17" s="195">
        <v>0</v>
      </c>
      <c r="AU17" s="195">
        <v>0</v>
      </c>
      <c r="AV17" s="195">
        <v>0</v>
      </c>
      <c r="AW17" s="195">
        <v>0</v>
      </c>
      <c r="AX17" s="195">
        <v>0</v>
      </c>
      <c r="AY17" s="195">
        <v>0</v>
      </c>
      <c r="AZ17" s="195">
        <v>0</v>
      </c>
      <c r="BA17" s="195">
        <v>0</v>
      </c>
      <c r="BB17" s="195">
        <v>0</v>
      </c>
      <c r="BC17" s="195">
        <v>0</v>
      </c>
      <c r="BD17" s="195">
        <v>0</v>
      </c>
      <c r="BE17" s="195">
        <v>0</v>
      </c>
      <c r="BF17" s="195">
        <v>0</v>
      </c>
      <c r="BG17" s="195">
        <v>0</v>
      </c>
      <c r="BH17" s="195">
        <v>0</v>
      </c>
      <c r="BI17" s="195">
        <v>0</v>
      </c>
      <c r="BJ17" s="195">
        <v>0</v>
      </c>
      <c r="BK17" s="195">
        <v>0</v>
      </c>
      <c r="BL17" s="195">
        <v>0</v>
      </c>
      <c r="BM17" s="195">
        <v>0</v>
      </c>
      <c r="BN17" s="196">
        <v>0</v>
      </c>
    </row>
    <row r="18" spans="2:66" x14ac:dyDescent="0.35">
      <c r="B18" s="200" t="s">
        <v>237</v>
      </c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1"/>
      <c r="BL18" s="201"/>
      <c r="BM18" s="201"/>
      <c r="BN18" s="202"/>
    </row>
    <row r="19" spans="2:66" outlineLevel="1" x14ac:dyDescent="0.35">
      <c r="B19" s="181">
        <v>0.01</v>
      </c>
      <c r="C19" s="191">
        <v>0</v>
      </c>
      <c r="D19" s="191">
        <v>0</v>
      </c>
      <c r="E19" s="191">
        <v>0</v>
      </c>
      <c r="F19" s="191">
        <v>0</v>
      </c>
      <c r="G19" s="191">
        <v>0</v>
      </c>
      <c r="H19" s="191">
        <v>0</v>
      </c>
      <c r="I19" s="191">
        <v>0</v>
      </c>
      <c r="J19" s="192">
        <v>0</v>
      </c>
      <c r="K19" s="192">
        <v>0</v>
      </c>
      <c r="L19" s="192">
        <v>0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0</v>
      </c>
      <c r="U19" s="191">
        <v>0</v>
      </c>
      <c r="V19" s="191">
        <v>0</v>
      </c>
      <c r="W19" s="191">
        <v>0</v>
      </c>
      <c r="X19" s="191">
        <v>0</v>
      </c>
      <c r="Y19" s="191">
        <v>0</v>
      </c>
      <c r="Z19" s="191">
        <v>0</v>
      </c>
      <c r="AA19" s="191">
        <v>0</v>
      </c>
      <c r="AB19" s="191">
        <v>0</v>
      </c>
      <c r="AC19" s="191">
        <v>0</v>
      </c>
      <c r="AD19" s="191">
        <v>0</v>
      </c>
      <c r="AE19" s="191">
        <v>0</v>
      </c>
      <c r="AF19" s="191">
        <v>0</v>
      </c>
      <c r="AG19" s="191">
        <v>0</v>
      </c>
      <c r="AH19" s="191">
        <v>0</v>
      </c>
      <c r="AI19" s="191">
        <v>0</v>
      </c>
      <c r="AJ19" s="191">
        <v>0</v>
      </c>
      <c r="AK19" s="191">
        <v>0</v>
      </c>
      <c r="AL19" s="191">
        <v>0</v>
      </c>
      <c r="AM19" s="191">
        <v>0</v>
      </c>
      <c r="AN19" s="191">
        <v>0</v>
      </c>
      <c r="AO19" s="191">
        <v>0</v>
      </c>
      <c r="AP19" s="192">
        <v>0</v>
      </c>
      <c r="AQ19" s="191">
        <v>0</v>
      </c>
      <c r="AR19" s="191">
        <v>0</v>
      </c>
      <c r="AS19" s="191">
        <v>0</v>
      </c>
      <c r="AT19" s="191">
        <v>0</v>
      </c>
      <c r="AU19" s="192">
        <v>0</v>
      </c>
      <c r="AV19" s="192">
        <v>0</v>
      </c>
      <c r="AW19" s="192">
        <v>0</v>
      </c>
      <c r="AX19" s="192">
        <v>0</v>
      </c>
      <c r="AY19" s="191">
        <v>0</v>
      </c>
      <c r="AZ19" s="191">
        <v>0</v>
      </c>
      <c r="BA19" s="191">
        <v>0</v>
      </c>
      <c r="BB19" s="191">
        <v>0</v>
      </c>
      <c r="BC19" s="191">
        <v>0</v>
      </c>
      <c r="BD19" s="191">
        <v>0</v>
      </c>
      <c r="BE19" s="191">
        <v>0</v>
      </c>
      <c r="BF19" s="191">
        <v>0</v>
      </c>
      <c r="BG19" s="191">
        <v>0</v>
      </c>
      <c r="BH19" s="191">
        <v>0</v>
      </c>
      <c r="BI19" s="191">
        <v>0</v>
      </c>
      <c r="BJ19" s="191">
        <v>0</v>
      </c>
      <c r="BK19" s="191">
        <v>0</v>
      </c>
      <c r="BL19" s="191">
        <v>0</v>
      </c>
      <c r="BM19" s="191">
        <v>0</v>
      </c>
      <c r="BN19" s="193">
        <v>0</v>
      </c>
    </row>
    <row r="20" spans="2:66" outlineLevel="1" x14ac:dyDescent="0.35">
      <c r="B20" s="181">
        <v>2.5000000000000001E-2</v>
      </c>
      <c r="C20" s="191">
        <v>0</v>
      </c>
      <c r="D20" s="191">
        <v>0</v>
      </c>
      <c r="E20" s="191">
        <v>0</v>
      </c>
      <c r="F20" s="191">
        <v>0</v>
      </c>
      <c r="G20" s="191">
        <v>0</v>
      </c>
      <c r="H20" s="191">
        <v>0</v>
      </c>
      <c r="I20" s="191">
        <v>0</v>
      </c>
      <c r="J20" s="192">
        <v>0</v>
      </c>
      <c r="K20" s="192">
        <v>0</v>
      </c>
      <c r="L20" s="192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0</v>
      </c>
      <c r="V20" s="191">
        <v>0</v>
      </c>
      <c r="W20" s="191">
        <v>0</v>
      </c>
      <c r="X20" s="191">
        <v>0</v>
      </c>
      <c r="Y20" s="191">
        <v>0</v>
      </c>
      <c r="Z20" s="191">
        <v>0</v>
      </c>
      <c r="AA20" s="191">
        <v>0</v>
      </c>
      <c r="AB20" s="191">
        <v>0</v>
      </c>
      <c r="AC20" s="191">
        <v>0</v>
      </c>
      <c r="AD20" s="191">
        <v>0</v>
      </c>
      <c r="AE20" s="191">
        <v>0</v>
      </c>
      <c r="AF20" s="191">
        <v>0</v>
      </c>
      <c r="AG20" s="191">
        <v>0</v>
      </c>
      <c r="AH20" s="191">
        <v>0</v>
      </c>
      <c r="AI20" s="191">
        <v>0</v>
      </c>
      <c r="AJ20" s="191">
        <v>0</v>
      </c>
      <c r="AK20" s="191">
        <v>0</v>
      </c>
      <c r="AL20" s="191">
        <v>0</v>
      </c>
      <c r="AM20" s="191">
        <v>0</v>
      </c>
      <c r="AN20" s="191">
        <v>0</v>
      </c>
      <c r="AO20" s="191">
        <v>0</v>
      </c>
      <c r="AP20" s="192">
        <v>0</v>
      </c>
      <c r="AQ20" s="191">
        <v>0</v>
      </c>
      <c r="AR20" s="191">
        <v>0</v>
      </c>
      <c r="AS20" s="191">
        <v>0</v>
      </c>
      <c r="AT20" s="191">
        <v>0</v>
      </c>
      <c r="AU20" s="192">
        <v>0</v>
      </c>
      <c r="AV20" s="192">
        <v>0</v>
      </c>
      <c r="AW20" s="192">
        <v>0</v>
      </c>
      <c r="AX20" s="192">
        <v>0</v>
      </c>
      <c r="AY20" s="191">
        <v>0</v>
      </c>
      <c r="AZ20" s="191">
        <v>0</v>
      </c>
      <c r="BA20" s="191">
        <v>0</v>
      </c>
      <c r="BB20" s="191">
        <v>0</v>
      </c>
      <c r="BC20" s="191">
        <v>0</v>
      </c>
      <c r="BD20" s="191">
        <v>0</v>
      </c>
      <c r="BE20" s="191">
        <v>0</v>
      </c>
      <c r="BF20" s="191">
        <v>0</v>
      </c>
      <c r="BG20" s="191">
        <v>0</v>
      </c>
      <c r="BH20" s="191">
        <v>0</v>
      </c>
      <c r="BI20" s="191">
        <v>0</v>
      </c>
      <c r="BJ20" s="191">
        <v>0</v>
      </c>
      <c r="BK20" s="191">
        <v>0</v>
      </c>
      <c r="BL20" s="191">
        <v>0</v>
      </c>
      <c r="BM20" s="191">
        <v>0</v>
      </c>
      <c r="BN20" s="193">
        <v>0</v>
      </c>
    </row>
    <row r="21" spans="2:66" outlineLevel="1" x14ac:dyDescent="0.35">
      <c r="B21" s="181">
        <v>0.05</v>
      </c>
      <c r="C21" s="191">
        <v>0</v>
      </c>
      <c r="D21" s="191">
        <v>0</v>
      </c>
      <c r="E21" s="191">
        <v>0</v>
      </c>
      <c r="F21" s="191">
        <v>0</v>
      </c>
      <c r="G21" s="191">
        <v>0</v>
      </c>
      <c r="H21" s="191">
        <v>0</v>
      </c>
      <c r="I21" s="191">
        <v>0</v>
      </c>
      <c r="J21" s="192">
        <v>0</v>
      </c>
      <c r="K21" s="192">
        <v>0</v>
      </c>
      <c r="L21" s="192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0</v>
      </c>
      <c r="V21" s="191">
        <v>0</v>
      </c>
      <c r="W21" s="191">
        <v>0</v>
      </c>
      <c r="X21" s="191">
        <v>0</v>
      </c>
      <c r="Y21" s="191">
        <v>0</v>
      </c>
      <c r="Z21" s="191">
        <v>0</v>
      </c>
      <c r="AA21" s="191">
        <v>0</v>
      </c>
      <c r="AB21" s="191">
        <v>0</v>
      </c>
      <c r="AC21" s="191">
        <v>0</v>
      </c>
      <c r="AD21" s="191">
        <v>0</v>
      </c>
      <c r="AE21" s="191">
        <v>0</v>
      </c>
      <c r="AF21" s="191">
        <v>0</v>
      </c>
      <c r="AG21" s="191">
        <v>0</v>
      </c>
      <c r="AH21" s="191">
        <v>0</v>
      </c>
      <c r="AI21" s="191">
        <v>0</v>
      </c>
      <c r="AJ21" s="191">
        <v>0</v>
      </c>
      <c r="AK21" s="191">
        <v>0</v>
      </c>
      <c r="AL21" s="191">
        <v>0</v>
      </c>
      <c r="AM21" s="191">
        <v>0</v>
      </c>
      <c r="AN21" s="191">
        <v>0</v>
      </c>
      <c r="AO21" s="191">
        <v>0</v>
      </c>
      <c r="AP21" s="192">
        <v>0</v>
      </c>
      <c r="AQ21" s="191">
        <v>0</v>
      </c>
      <c r="AR21" s="191">
        <v>0</v>
      </c>
      <c r="AS21" s="191">
        <v>0</v>
      </c>
      <c r="AT21" s="191">
        <v>0</v>
      </c>
      <c r="AU21" s="192">
        <v>0</v>
      </c>
      <c r="AV21" s="192">
        <v>0</v>
      </c>
      <c r="AW21" s="192">
        <v>0</v>
      </c>
      <c r="AX21" s="192">
        <v>0</v>
      </c>
      <c r="AY21" s="191">
        <v>0</v>
      </c>
      <c r="AZ21" s="191">
        <v>0</v>
      </c>
      <c r="BA21" s="191">
        <v>0</v>
      </c>
      <c r="BB21" s="191">
        <v>0</v>
      </c>
      <c r="BC21" s="191">
        <v>0</v>
      </c>
      <c r="BD21" s="191">
        <v>0</v>
      </c>
      <c r="BE21" s="191">
        <v>0</v>
      </c>
      <c r="BF21" s="191">
        <v>0</v>
      </c>
      <c r="BG21" s="191">
        <v>0</v>
      </c>
      <c r="BH21" s="191">
        <v>0</v>
      </c>
      <c r="BI21" s="191">
        <v>0</v>
      </c>
      <c r="BJ21" s="191">
        <v>0</v>
      </c>
      <c r="BK21" s="191">
        <v>0</v>
      </c>
      <c r="BL21" s="191">
        <v>0</v>
      </c>
      <c r="BM21" s="191">
        <v>0</v>
      </c>
      <c r="BN21" s="193">
        <v>0</v>
      </c>
    </row>
    <row r="22" spans="2:66" outlineLevel="1" x14ac:dyDescent="0.35">
      <c r="B22" s="181">
        <v>0.1</v>
      </c>
      <c r="C22" s="191">
        <v>0</v>
      </c>
      <c r="D22" s="191">
        <v>0</v>
      </c>
      <c r="E22" s="191">
        <v>0</v>
      </c>
      <c r="F22" s="191">
        <v>0</v>
      </c>
      <c r="G22" s="191">
        <v>0</v>
      </c>
      <c r="H22" s="191">
        <v>0</v>
      </c>
      <c r="I22" s="191">
        <v>0</v>
      </c>
      <c r="J22" s="192">
        <v>0</v>
      </c>
      <c r="K22" s="192">
        <v>0</v>
      </c>
      <c r="L22" s="192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0</v>
      </c>
      <c r="V22" s="191">
        <v>0</v>
      </c>
      <c r="W22" s="191">
        <v>0</v>
      </c>
      <c r="X22" s="191">
        <v>0</v>
      </c>
      <c r="Y22" s="191">
        <v>0</v>
      </c>
      <c r="Z22" s="191">
        <v>0</v>
      </c>
      <c r="AA22" s="191">
        <v>0</v>
      </c>
      <c r="AB22" s="191">
        <v>0</v>
      </c>
      <c r="AC22" s="191">
        <v>0</v>
      </c>
      <c r="AD22" s="191">
        <v>0</v>
      </c>
      <c r="AE22" s="191">
        <v>0</v>
      </c>
      <c r="AF22" s="191">
        <v>0</v>
      </c>
      <c r="AG22" s="191">
        <v>0</v>
      </c>
      <c r="AH22" s="191">
        <v>0</v>
      </c>
      <c r="AI22" s="191">
        <v>0</v>
      </c>
      <c r="AJ22" s="191">
        <v>0</v>
      </c>
      <c r="AK22" s="191">
        <v>0</v>
      </c>
      <c r="AL22" s="191">
        <v>0</v>
      </c>
      <c r="AM22" s="191">
        <v>0</v>
      </c>
      <c r="AN22" s="191">
        <v>0</v>
      </c>
      <c r="AO22" s="191">
        <v>0</v>
      </c>
      <c r="AP22" s="192">
        <v>0</v>
      </c>
      <c r="AQ22" s="191">
        <v>0</v>
      </c>
      <c r="AR22" s="191">
        <v>0</v>
      </c>
      <c r="AS22" s="191">
        <v>0</v>
      </c>
      <c r="AT22" s="191">
        <v>0</v>
      </c>
      <c r="AU22" s="192">
        <v>0</v>
      </c>
      <c r="AV22" s="192">
        <v>0</v>
      </c>
      <c r="AW22" s="192">
        <v>0</v>
      </c>
      <c r="AX22" s="192">
        <v>0</v>
      </c>
      <c r="AY22" s="191">
        <v>0</v>
      </c>
      <c r="AZ22" s="191">
        <v>0</v>
      </c>
      <c r="BA22" s="191">
        <v>0</v>
      </c>
      <c r="BB22" s="191">
        <v>0</v>
      </c>
      <c r="BC22" s="191">
        <v>0</v>
      </c>
      <c r="BD22" s="191">
        <v>0</v>
      </c>
      <c r="BE22" s="191">
        <v>0</v>
      </c>
      <c r="BF22" s="191">
        <v>0</v>
      </c>
      <c r="BG22" s="191">
        <v>0</v>
      </c>
      <c r="BH22" s="191">
        <v>0</v>
      </c>
      <c r="BI22" s="191">
        <v>0</v>
      </c>
      <c r="BJ22" s="191">
        <v>0</v>
      </c>
      <c r="BK22" s="191">
        <v>0</v>
      </c>
      <c r="BL22" s="191">
        <v>0</v>
      </c>
      <c r="BM22" s="191">
        <v>0</v>
      </c>
      <c r="BN22" s="193">
        <v>0</v>
      </c>
    </row>
    <row r="23" spans="2:66" outlineLevel="1" x14ac:dyDescent="0.35">
      <c r="B23" s="181">
        <v>0.2</v>
      </c>
      <c r="C23" s="191">
        <v>0</v>
      </c>
      <c r="D23" s="191">
        <v>0</v>
      </c>
      <c r="E23" s="191">
        <v>0</v>
      </c>
      <c r="F23" s="191">
        <v>0</v>
      </c>
      <c r="G23" s="191">
        <v>0</v>
      </c>
      <c r="H23" s="191">
        <v>0</v>
      </c>
      <c r="I23" s="191">
        <v>0</v>
      </c>
      <c r="J23" s="192">
        <v>0</v>
      </c>
      <c r="K23" s="192">
        <v>0</v>
      </c>
      <c r="L23" s="192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0</v>
      </c>
      <c r="V23" s="191">
        <v>0</v>
      </c>
      <c r="W23" s="191">
        <v>0</v>
      </c>
      <c r="X23" s="191">
        <v>0</v>
      </c>
      <c r="Y23" s="191">
        <v>0</v>
      </c>
      <c r="Z23" s="191">
        <v>0</v>
      </c>
      <c r="AA23" s="191">
        <v>0</v>
      </c>
      <c r="AB23" s="191">
        <v>0</v>
      </c>
      <c r="AC23" s="191">
        <v>0</v>
      </c>
      <c r="AD23" s="191">
        <v>0</v>
      </c>
      <c r="AE23" s="191">
        <v>0</v>
      </c>
      <c r="AF23" s="191">
        <v>0</v>
      </c>
      <c r="AG23" s="191">
        <v>0</v>
      </c>
      <c r="AH23" s="191">
        <v>0</v>
      </c>
      <c r="AI23" s="191">
        <v>0</v>
      </c>
      <c r="AJ23" s="191">
        <v>0</v>
      </c>
      <c r="AK23" s="191">
        <v>0</v>
      </c>
      <c r="AL23" s="191">
        <v>0</v>
      </c>
      <c r="AM23" s="191">
        <v>0</v>
      </c>
      <c r="AN23" s="191">
        <v>0</v>
      </c>
      <c r="AO23" s="191">
        <v>0</v>
      </c>
      <c r="AP23" s="192">
        <v>0</v>
      </c>
      <c r="AQ23" s="191">
        <v>0</v>
      </c>
      <c r="AR23" s="191">
        <v>0</v>
      </c>
      <c r="AS23" s="191">
        <v>0</v>
      </c>
      <c r="AT23" s="191">
        <v>0</v>
      </c>
      <c r="AU23" s="192">
        <v>0</v>
      </c>
      <c r="AV23" s="192">
        <v>0</v>
      </c>
      <c r="AW23" s="192">
        <v>0</v>
      </c>
      <c r="AX23" s="192">
        <v>0</v>
      </c>
      <c r="AY23" s="191">
        <v>0</v>
      </c>
      <c r="AZ23" s="191">
        <v>0</v>
      </c>
      <c r="BA23" s="191">
        <v>0</v>
      </c>
      <c r="BB23" s="191">
        <v>0</v>
      </c>
      <c r="BC23" s="191">
        <v>0</v>
      </c>
      <c r="BD23" s="191">
        <v>0</v>
      </c>
      <c r="BE23" s="191">
        <v>0</v>
      </c>
      <c r="BF23" s="191">
        <v>0</v>
      </c>
      <c r="BG23" s="191">
        <v>0</v>
      </c>
      <c r="BH23" s="191">
        <v>0</v>
      </c>
      <c r="BI23" s="191">
        <v>0</v>
      </c>
      <c r="BJ23" s="191">
        <v>0</v>
      </c>
      <c r="BK23" s="191">
        <v>0</v>
      </c>
      <c r="BL23" s="191">
        <v>0</v>
      </c>
      <c r="BM23" s="191">
        <v>0</v>
      </c>
      <c r="BN23" s="193">
        <v>0</v>
      </c>
    </row>
    <row r="24" spans="2:66" outlineLevel="1" x14ac:dyDescent="0.35">
      <c r="B24" s="181">
        <v>0.25</v>
      </c>
      <c r="C24" s="191">
        <v>0</v>
      </c>
      <c r="D24" s="191">
        <v>0</v>
      </c>
      <c r="E24" s="191">
        <v>0</v>
      </c>
      <c r="F24" s="191">
        <v>0</v>
      </c>
      <c r="G24" s="191">
        <v>0</v>
      </c>
      <c r="H24" s="191">
        <v>0</v>
      </c>
      <c r="I24" s="191">
        <v>0</v>
      </c>
      <c r="J24" s="192">
        <v>0</v>
      </c>
      <c r="K24" s="192">
        <v>0</v>
      </c>
      <c r="L24" s="192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0</v>
      </c>
      <c r="V24" s="191">
        <v>0</v>
      </c>
      <c r="W24" s="191">
        <v>0</v>
      </c>
      <c r="X24" s="191">
        <v>0</v>
      </c>
      <c r="Y24" s="191">
        <v>0</v>
      </c>
      <c r="Z24" s="191">
        <v>0</v>
      </c>
      <c r="AA24" s="191">
        <v>0</v>
      </c>
      <c r="AB24" s="191">
        <v>0</v>
      </c>
      <c r="AC24" s="191">
        <v>0</v>
      </c>
      <c r="AD24" s="191">
        <v>0</v>
      </c>
      <c r="AE24" s="191">
        <v>0</v>
      </c>
      <c r="AF24" s="191">
        <v>0</v>
      </c>
      <c r="AG24" s="191">
        <v>0</v>
      </c>
      <c r="AH24" s="191">
        <v>0</v>
      </c>
      <c r="AI24" s="191">
        <v>0</v>
      </c>
      <c r="AJ24" s="191">
        <v>0</v>
      </c>
      <c r="AK24" s="191">
        <v>0</v>
      </c>
      <c r="AL24" s="191">
        <v>0</v>
      </c>
      <c r="AM24" s="191">
        <v>0</v>
      </c>
      <c r="AN24" s="191">
        <v>0</v>
      </c>
      <c r="AO24" s="191">
        <v>0</v>
      </c>
      <c r="AP24" s="192">
        <v>0</v>
      </c>
      <c r="AQ24" s="191">
        <v>0</v>
      </c>
      <c r="AR24" s="191">
        <v>0</v>
      </c>
      <c r="AS24" s="191">
        <v>0</v>
      </c>
      <c r="AT24" s="191">
        <v>0</v>
      </c>
      <c r="AU24" s="192">
        <v>0</v>
      </c>
      <c r="AV24" s="192">
        <v>0</v>
      </c>
      <c r="AW24" s="192">
        <v>0</v>
      </c>
      <c r="AX24" s="192">
        <v>0</v>
      </c>
      <c r="AY24" s="191">
        <v>0</v>
      </c>
      <c r="AZ24" s="191">
        <v>0</v>
      </c>
      <c r="BA24" s="191">
        <v>0</v>
      </c>
      <c r="BB24" s="191">
        <v>0</v>
      </c>
      <c r="BC24" s="191">
        <v>0</v>
      </c>
      <c r="BD24" s="191">
        <v>0</v>
      </c>
      <c r="BE24" s="191">
        <v>0</v>
      </c>
      <c r="BF24" s="191">
        <v>0</v>
      </c>
      <c r="BG24" s="191">
        <v>0</v>
      </c>
      <c r="BH24" s="191">
        <v>0</v>
      </c>
      <c r="BI24" s="191">
        <v>0</v>
      </c>
      <c r="BJ24" s="191">
        <v>0</v>
      </c>
      <c r="BK24" s="191">
        <v>0</v>
      </c>
      <c r="BL24" s="191">
        <v>0</v>
      </c>
      <c r="BM24" s="191">
        <v>0</v>
      </c>
      <c r="BN24" s="193">
        <v>0</v>
      </c>
    </row>
    <row r="25" spans="2:66" outlineLevel="1" x14ac:dyDescent="0.35">
      <c r="B25" s="181">
        <v>0.3</v>
      </c>
      <c r="C25" s="191">
        <v>0</v>
      </c>
      <c r="D25" s="191">
        <v>0</v>
      </c>
      <c r="E25" s="191">
        <v>0</v>
      </c>
      <c r="F25" s="191">
        <v>0</v>
      </c>
      <c r="G25" s="191">
        <v>0</v>
      </c>
      <c r="H25" s="191">
        <v>0</v>
      </c>
      <c r="I25" s="191">
        <v>0</v>
      </c>
      <c r="J25" s="192">
        <v>0</v>
      </c>
      <c r="K25" s="192">
        <v>0</v>
      </c>
      <c r="L25" s="192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0</v>
      </c>
      <c r="V25" s="191">
        <v>0</v>
      </c>
      <c r="W25" s="191">
        <v>0</v>
      </c>
      <c r="X25" s="191">
        <v>0</v>
      </c>
      <c r="Y25" s="191">
        <v>0</v>
      </c>
      <c r="Z25" s="191">
        <v>0</v>
      </c>
      <c r="AA25" s="191">
        <v>0</v>
      </c>
      <c r="AB25" s="191">
        <v>0</v>
      </c>
      <c r="AC25" s="191">
        <v>0</v>
      </c>
      <c r="AD25" s="191">
        <v>0</v>
      </c>
      <c r="AE25" s="191">
        <v>0</v>
      </c>
      <c r="AF25" s="191">
        <v>0</v>
      </c>
      <c r="AG25" s="191">
        <v>0</v>
      </c>
      <c r="AH25" s="191">
        <v>0</v>
      </c>
      <c r="AI25" s="191">
        <v>0</v>
      </c>
      <c r="AJ25" s="191">
        <v>0</v>
      </c>
      <c r="AK25" s="191">
        <v>0</v>
      </c>
      <c r="AL25" s="191">
        <v>0</v>
      </c>
      <c r="AM25" s="191">
        <v>0</v>
      </c>
      <c r="AN25" s="191">
        <v>0</v>
      </c>
      <c r="AO25" s="191">
        <v>0</v>
      </c>
      <c r="AP25" s="192">
        <v>0</v>
      </c>
      <c r="AQ25" s="191">
        <v>0</v>
      </c>
      <c r="AR25" s="191">
        <v>0</v>
      </c>
      <c r="AS25" s="191">
        <v>0</v>
      </c>
      <c r="AT25" s="191">
        <v>0</v>
      </c>
      <c r="AU25" s="192">
        <v>0</v>
      </c>
      <c r="AV25" s="192">
        <v>0</v>
      </c>
      <c r="AW25" s="192">
        <v>0</v>
      </c>
      <c r="AX25" s="192">
        <v>0</v>
      </c>
      <c r="AY25" s="191">
        <v>0</v>
      </c>
      <c r="AZ25" s="191">
        <v>0</v>
      </c>
      <c r="BA25" s="191">
        <v>0</v>
      </c>
      <c r="BB25" s="191">
        <v>0</v>
      </c>
      <c r="BC25" s="191">
        <v>0</v>
      </c>
      <c r="BD25" s="191">
        <v>0</v>
      </c>
      <c r="BE25" s="191">
        <v>0</v>
      </c>
      <c r="BF25" s="191">
        <v>0</v>
      </c>
      <c r="BG25" s="191">
        <v>0</v>
      </c>
      <c r="BH25" s="191">
        <v>0</v>
      </c>
      <c r="BI25" s="191">
        <v>0</v>
      </c>
      <c r="BJ25" s="191">
        <v>0</v>
      </c>
      <c r="BK25" s="191">
        <v>0</v>
      </c>
      <c r="BL25" s="191">
        <v>0</v>
      </c>
      <c r="BM25" s="191">
        <v>0</v>
      </c>
      <c r="BN25" s="193">
        <v>0</v>
      </c>
    </row>
    <row r="26" spans="2:66" outlineLevel="1" x14ac:dyDescent="0.35">
      <c r="B26" s="181">
        <v>0.35</v>
      </c>
      <c r="C26" s="191">
        <v>0</v>
      </c>
      <c r="D26" s="191">
        <v>0</v>
      </c>
      <c r="E26" s="191">
        <v>0</v>
      </c>
      <c r="F26" s="191">
        <v>0</v>
      </c>
      <c r="G26" s="191">
        <v>0</v>
      </c>
      <c r="H26" s="191">
        <v>0</v>
      </c>
      <c r="I26" s="191">
        <v>0</v>
      </c>
      <c r="J26" s="192">
        <v>0</v>
      </c>
      <c r="K26" s="192">
        <v>0</v>
      </c>
      <c r="L26" s="192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0</v>
      </c>
      <c r="V26" s="191">
        <v>0</v>
      </c>
      <c r="W26" s="191">
        <v>0</v>
      </c>
      <c r="X26" s="191">
        <v>0</v>
      </c>
      <c r="Y26" s="191">
        <v>0</v>
      </c>
      <c r="Z26" s="191">
        <v>0</v>
      </c>
      <c r="AA26" s="191">
        <v>0</v>
      </c>
      <c r="AB26" s="191">
        <v>0</v>
      </c>
      <c r="AC26" s="191">
        <v>0</v>
      </c>
      <c r="AD26" s="191">
        <v>0</v>
      </c>
      <c r="AE26" s="191">
        <v>0</v>
      </c>
      <c r="AF26" s="191">
        <v>0</v>
      </c>
      <c r="AG26" s="191">
        <v>0</v>
      </c>
      <c r="AH26" s="191">
        <v>0</v>
      </c>
      <c r="AI26" s="191">
        <v>0</v>
      </c>
      <c r="AJ26" s="191">
        <v>0</v>
      </c>
      <c r="AK26" s="191">
        <v>0</v>
      </c>
      <c r="AL26" s="191">
        <v>0</v>
      </c>
      <c r="AM26" s="191">
        <v>0</v>
      </c>
      <c r="AN26" s="191">
        <v>0</v>
      </c>
      <c r="AO26" s="191">
        <v>0</v>
      </c>
      <c r="AP26" s="192">
        <v>0</v>
      </c>
      <c r="AQ26" s="191">
        <v>0</v>
      </c>
      <c r="AR26" s="191">
        <v>0</v>
      </c>
      <c r="AS26" s="191">
        <v>0</v>
      </c>
      <c r="AT26" s="191">
        <v>0</v>
      </c>
      <c r="AU26" s="192">
        <v>0</v>
      </c>
      <c r="AV26" s="192">
        <v>0</v>
      </c>
      <c r="AW26" s="192">
        <v>0</v>
      </c>
      <c r="AX26" s="192">
        <v>0</v>
      </c>
      <c r="AY26" s="191">
        <v>0</v>
      </c>
      <c r="AZ26" s="191">
        <v>0</v>
      </c>
      <c r="BA26" s="191">
        <v>0</v>
      </c>
      <c r="BB26" s="191">
        <v>0</v>
      </c>
      <c r="BC26" s="191">
        <v>0</v>
      </c>
      <c r="BD26" s="191">
        <v>0</v>
      </c>
      <c r="BE26" s="191">
        <v>0</v>
      </c>
      <c r="BF26" s="191">
        <v>0</v>
      </c>
      <c r="BG26" s="191">
        <v>0</v>
      </c>
      <c r="BH26" s="191">
        <v>0</v>
      </c>
      <c r="BI26" s="191">
        <v>0</v>
      </c>
      <c r="BJ26" s="191">
        <v>0</v>
      </c>
      <c r="BK26" s="191">
        <v>0</v>
      </c>
      <c r="BL26" s="191">
        <v>0</v>
      </c>
      <c r="BM26" s="191">
        <v>0</v>
      </c>
      <c r="BN26" s="193">
        <v>0</v>
      </c>
    </row>
    <row r="27" spans="2:66" outlineLevel="1" x14ac:dyDescent="0.35">
      <c r="B27" s="181">
        <v>0.4</v>
      </c>
      <c r="C27" s="191">
        <v>1</v>
      </c>
      <c r="D27" s="191">
        <v>0</v>
      </c>
      <c r="E27" s="191">
        <v>0</v>
      </c>
      <c r="F27" s="191">
        <v>0</v>
      </c>
      <c r="G27" s="191">
        <v>0</v>
      </c>
      <c r="H27" s="191">
        <v>0</v>
      </c>
      <c r="I27" s="191">
        <v>0</v>
      </c>
      <c r="J27" s="192">
        <v>0</v>
      </c>
      <c r="K27" s="192">
        <v>0</v>
      </c>
      <c r="L27" s="192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0</v>
      </c>
      <c r="V27" s="191">
        <v>0</v>
      </c>
      <c r="W27" s="191">
        <v>0</v>
      </c>
      <c r="X27" s="191">
        <v>0</v>
      </c>
      <c r="Y27" s="191">
        <v>0</v>
      </c>
      <c r="Z27" s="191">
        <v>0</v>
      </c>
      <c r="AA27" s="191">
        <v>0</v>
      </c>
      <c r="AB27" s="191">
        <v>0</v>
      </c>
      <c r="AC27" s="191">
        <v>0</v>
      </c>
      <c r="AD27" s="191">
        <v>0</v>
      </c>
      <c r="AE27" s="191">
        <v>1</v>
      </c>
      <c r="AF27" s="191">
        <v>0</v>
      </c>
      <c r="AG27" s="191">
        <v>0</v>
      </c>
      <c r="AH27" s="191">
        <v>0</v>
      </c>
      <c r="AI27" s="191">
        <v>0</v>
      </c>
      <c r="AJ27" s="191">
        <v>0</v>
      </c>
      <c r="AK27" s="191">
        <v>0</v>
      </c>
      <c r="AL27" s="191">
        <v>0</v>
      </c>
      <c r="AM27" s="191">
        <v>0</v>
      </c>
      <c r="AN27" s="191">
        <v>0</v>
      </c>
      <c r="AO27" s="191">
        <v>0</v>
      </c>
      <c r="AP27" s="192">
        <v>0</v>
      </c>
      <c r="AQ27" s="191">
        <v>0</v>
      </c>
      <c r="AR27" s="191">
        <v>0</v>
      </c>
      <c r="AS27" s="191">
        <v>0</v>
      </c>
      <c r="AT27" s="191">
        <v>0</v>
      </c>
      <c r="AU27" s="192">
        <v>0</v>
      </c>
      <c r="AV27" s="192">
        <v>0</v>
      </c>
      <c r="AW27" s="192">
        <v>0</v>
      </c>
      <c r="AX27" s="192">
        <v>0</v>
      </c>
      <c r="AY27" s="191">
        <v>0</v>
      </c>
      <c r="AZ27" s="191">
        <v>0</v>
      </c>
      <c r="BA27" s="191">
        <v>0</v>
      </c>
      <c r="BB27" s="191">
        <v>0</v>
      </c>
      <c r="BC27" s="191">
        <v>0</v>
      </c>
      <c r="BD27" s="191">
        <v>0</v>
      </c>
      <c r="BE27" s="191">
        <v>0</v>
      </c>
      <c r="BF27" s="191">
        <v>0</v>
      </c>
      <c r="BG27" s="191">
        <v>0</v>
      </c>
      <c r="BH27" s="191">
        <v>0</v>
      </c>
      <c r="BI27" s="191">
        <v>0</v>
      </c>
      <c r="BJ27" s="191">
        <v>0</v>
      </c>
      <c r="BK27" s="191">
        <v>0</v>
      </c>
      <c r="BL27" s="191">
        <v>0</v>
      </c>
      <c r="BM27" s="191">
        <v>0</v>
      </c>
      <c r="BN27" s="193">
        <v>0</v>
      </c>
    </row>
    <row r="28" spans="2:66" outlineLevel="1" x14ac:dyDescent="0.35">
      <c r="B28" s="181">
        <v>0.45</v>
      </c>
      <c r="C28" s="191">
        <v>1</v>
      </c>
      <c r="D28" s="191">
        <v>0</v>
      </c>
      <c r="E28" s="191">
        <v>0</v>
      </c>
      <c r="F28" s="191">
        <v>0</v>
      </c>
      <c r="G28" s="191">
        <v>0</v>
      </c>
      <c r="H28" s="191">
        <v>0</v>
      </c>
      <c r="I28" s="191">
        <v>0</v>
      </c>
      <c r="J28" s="192">
        <v>0</v>
      </c>
      <c r="K28" s="192">
        <v>0</v>
      </c>
      <c r="L28" s="192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0</v>
      </c>
      <c r="V28" s="191">
        <v>0</v>
      </c>
      <c r="W28" s="191">
        <v>0</v>
      </c>
      <c r="X28" s="191">
        <v>0</v>
      </c>
      <c r="Y28" s="191">
        <v>0</v>
      </c>
      <c r="Z28" s="191">
        <v>0</v>
      </c>
      <c r="AA28" s="191">
        <v>0</v>
      </c>
      <c r="AB28" s="191">
        <v>0</v>
      </c>
      <c r="AC28" s="191">
        <v>0</v>
      </c>
      <c r="AD28" s="191">
        <v>0</v>
      </c>
      <c r="AE28" s="191">
        <v>1</v>
      </c>
      <c r="AF28" s="191">
        <v>1</v>
      </c>
      <c r="AG28" s="191">
        <v>0</v>
      </c>
      <c r="AH28" s="191">
        <v>0</v>
      </c>
      <c r="AI28" s="191">
        <v>0</v>
      </c>
      <c r="AJ28" s="191">
        <v>0</v>
      </c>
      <c r="AK28" s="191">
        <v>0</v>
      </c>
      <c r="AL28" s="191">
        <v>0</v>
      </c>
      <c r="AM28" s="191">
        <v>0</v>
      </c>
      <c r="AN28" s="191">
        <v>0</v>
      </c>
      <c r="AO28" s="191">
        <v>0</v>
      </c>
      <c r="AP28" s="192">
        <v>0</v>
      </c>
      <c r="AQ28" s="191">
        <v>0</v>
      </c>
      <c r="AR28" s="191">
        <v>0</v>
      </c>
      <c r="AS28" s="191">
        <v>0</v>
      </c>
      <c r="AT28" s="191">
        <v>0</v>
      </c>
      <c r="AU28" s="192">
        <v>0</v>
      </c>
      <c r="AV28" s="192">
        <v>0</v>
      </c>
      <c r="AW28" s="192">
        <v>0</v>
      </c>
      <c r="AX28" s="192">
        <v>0</v>
      </c>
      <c r="AY28" s="191">
        <v>1</v>
      </c>
      <c r="AZ28" s="191">
        <v>0</v>
      </c>
      <c r="BA28" s="191">
        <v>0</v>
      </c>
      <c r="BB28" s="191">
        <v>0</v>
      </c>
      <c r="BC28" s="191">
        <v>0</v>
      </c>
      <c r="BD28" s="191">
        <v>0</v>
      </c>
      <c r="BE28" s="191">
        <v>0</v>
      </c>
      <c r="BF28" s="191">
        <v>0</v>
      </c>
      <c r="BG28" s="191">
        <v>0</v>
      </c>
      <c r="BH28" s="191">
        <v>0</v>
      </c>
      <c r="BI28" s="191">
        <v>0</v>
      </c>
      <c r="BJ28" s="191">
        <v>0</v>
      </c>
      <c r="BK28" s="191">
        <v>0</v>
      </c>
      <c r="BL28" s="191">
        <v>0</v>
      </c>
      <c r="BM28" s="191">
        <v>0</v>
      </c>
      <c r="BN28" s="193">
        <v>0</v>
      </c>
    </row>
    <row r="29" spans="2:66" outlineLevel="1" x14ac:dyDescent="0.35">
      <c r="B29" s="181">
        <v>0.5</v>
      </c>
      <c r="C29" s="191">
        <v>1</v>
      </c>
      <c r="D29" s="191">
        <v>1</v>
      </c>
      <c r="E29" s="191">
        <v>0</v>
      </c>
      <c r="F29" s="191">
        <v>0</v>
      </c>
      <c r="G29" s="191">
        <v>0</v>
      </c>
      <c r="H29" s="191">
        <v>0</v>
      </c>
      <c r="I29" s="191">
        <v>0</v>
      </c>
      <c r="J29" s="192">
        <v>0</v>
      </c>
      <c r="K29" s="192">
        <v>0</v>
      </c>
      <c r="L29" s="192">
        <v>0</v>
      </c>
      <c r="M29" s="191">
        <v>0</v>
      </c>
      <c r="N29" s="191">
        <v>0</v>
      </c>
      <c r="O29" s="191">
        <v>1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0</v>
      </c>
      <c r="V29" s="191">
        <v>0</v>
      </c>
      <c r="W29" s="191">
        <v>0</v>
      </c>
      <c r="X29" s="191">
        <v>0</v>
      </c>
      <c r="Y29" s="191">
        <v>0</v>
      </c>
      <c r="Z29" s="191">
        <v>0</v>
      </c>
      <c r="AA29" s="191">
        <v>0</v>
      </c>
      <c r="AB29" s="191">
        <v>0</v>
      </c>
      <c r="AC29" s="191">
        <v>0</v>
      </c>
      <c r="AD29" s="191">
        <v>0</v>
      </c>
      <c r="AE29" s="191">
        <v>2</v>
      </c>
      <c r="AF29" s="191">
        <v>1</v>
      </c>
      <c r="AG29" s="191">
        <v>0</v>
      </c>
      <c r="AH29" s="191">
        <v>0</v>
      </c>
      <c r="AI29" s="191">
        <v>0</v>
      </c>
      <c r="AJ29" s="191">
        <v>0</v>
      </c>
      <c r="AK29" s="191">
        <v>0</v>
      </c>
      <c r="AL29" s="191">
        <v>0</v>
      </c>
      <c r="AM29" s="191">
        <v>0</v>
      </c>
      <c r="AN29" s="191">
        <v>0</v>
      </c>
      <c r="AO29" s="191">
        <v>0</v>
      </c>
      <c r="AP29" s="192">
        <v>0</v>
      </c>
      <c r="AQ29" s="191">
        <v>0</v>
      </c>
      <c r="AR29" s="191">
        <v>0</v>
      </c>
      <c r="AS29" s="191">
        <v>0</v>
      </c>
      <c r="AT29" s="191">
        <v>0</v>
      </c>
      <c r="AU29" s="192">
        <v>0</v>
      </c>
      <c r="AV29" s="192">
        <v>0</v>
      </c>
      <c r="AW29" s="192">
        <v>0</v>
      </c>
      <c r="AX29" s="192">
        <v>0</v>
      </c>
      <c r="AY29" s="191">
        <v>1</v>
      </c>
      <c r="AZ29" s="191">
        <v>1</v>
      </c>
      <c r="BA29" s="191">
        <v>0</v>
      </c>
      <c r="BB29" s="191">
        <v>0</v>
      </c>
      <c r="BC29" s="191">
        <v>0</v>
      </c>
      <c r="BD29" s="191">
        <v>0</v>
      </c>
      <c r="BE29" s="191">
        <v>0</v>
      </c>
      <c r="BF29" s="191">
        <v>0</v>
      </c>
      <c r="BG29" s="191">
        <v>0</v>
      </c>
      <c r="BH29" s="191">
        <v>0</v>
      </c>
      <c r="BI29" s="191">
        <v>0</v>
      </c>
      <c r="BJ29" s="191">
        <v>0</v>
      </c>
      <c r="BK29" s="191">
        <v>0</v>
      </c>
      <c r="BL29" s="191">
        <v>0</v>
      </c>
      <c r="BM29" s="191">
        <v>0</v>
      </c>
      <c r="BN29" s="193">
        <v>0</v>
      </c>
    </row>
    <row r="30" spans="2:66" outlineLevel="1" x14ac:dyDescent="0.35">
      <c r="B30" s="181">
        <v>0.55000000000000004</v>
      </c>
      <c r="C30" s="191">
        <v>2</v>
      </c>
      <c r="D30" s="191">
        <v>1</v>
      </c>
      <c r="E30" s="191">
        <v>0</v>
      </c>
      <c r="F30" s="191">
        <v>0</v>
      </c>
      <c r="G30" s="191">
        <v>0</v>
      </c>
      <c r="H30" s="191">
        <v>0</v>
      </c>
      <c r="I30" s="191">
        <v>0</v>
      </c>
      <c r="J30" s="192">
        <v>0</v>
      </c>
      <c r="K30" s="192">
        <v>0</v>
      </c>
      <c r="L30" s="192">
        <v>0</v>
      </c>
      <c r="M30" s="191">
        <v>0</v>
      </c>
      <c r="N30" s="191">
        <v>0</v>
      </c>
      <c r="O30" s="191">
        <v>1</v>
      </c>
      <c r="P30" s="191">
        <v>0</v>
      </c>
      <c r="Q30" s="191">
        <v>1</v>
      </c>
      <c r="R30" s="191">
        <v>0</v>
      </c>
      <c r="S30" s="191">
        <v>0</v>
      </c>
      <c r="T30" s="191">
        <v>0</v>
      </c>
      <c r="U30" s="191">
        <v>0</v>
      </c>
      <c r="V30" s="191">
        <v>0</v>
      </c>
      <c r="W30" s="191">
        <v>0</v>
      </c>
      <c r="X30" s="191">
        <v>0</v>
      </c>
      <c r="Y30" s="191">
        <v>0</v>
      </c>
      <c r="Z30" s="191">
        <v>0</v>
      </c>
      <c r="AA30" s="191">
        <v>0</v>
      </c>
      <c r="AB30" s="191">
        <v>0</v>
      </c>
      <c r="AC30" s="191">
        <v>1</v>
      </c>
      <c r="AD30" s="191">
        <v>0</v>
      </c>
      <c r="AE30" s="191">
        <v>2</v>
      </c>
      <c r="AF30" s="191">
        <v>1</v>
      </c>
      <c r="AG30" s="191">
        <v>0</v>
      </c>
      <c r="AH30" s="191">
        <v>0</v>
      </c>
      <c r="AI30" s="191">
        <v>0</v>
      </c>
      <c r="AJ30" s="191">
        <v>0</v>
      </c>
      <c r="AK30" s="191">
        <v>0</v>
      </c>
      <c r="AL30" s="191">
        <v>0</v>
      </c>
      <c r="AM30" s="191">
        <v>0</v>
      </c>
      <c r="AN30" s="191">
        <v>0</v>
      </c>
      <c r="AO30" s="191">
        <v>0</v>
      </c>
      <c r="AP30" s="192">
        <v>0</v>
      </c>
      <c r="AQ30" s="191">
        <v>0</v>
      </c>
      <c r="AR30" s="191">
        <v>0</v>
      </c>
      <c r="AS30" s="191">
        <v>1</v>
      </c>
      <c r="AT30" s="191">
        <v>0</v>
      </c>
      <c r="AU30" s="192">
        <v>0</v>
      </c>
      <c r="AV30" s="192">
        <v>0</v>
      </c>
      <c r="AW30" s="192">
        <v>0</v>
      </c>
      <c r="AX30" s="192">
        <v>0</v>
      </c>
      <c r="AY30" s="191">
        <v>1</v>
      </c>
      <c r="AZ30" s="191">
        <v>1</v>
      </c>
      <c r="BA30" s="191">
        <v>0</v>
      </c>
      <c r="BB30" s="191">
        <v>0</v>
      </c>
      <c r="BC30" s="191">
        <v>0</v>
      </c>
      <c r="BD30" s="191">
        <v>0</v>
      </c>
      <c r="BE30" s="191">
        <v>0</v>
      </c>
      <c r="BF30" s="191">
        <v>0</v>
      </c>
      <c r="BG30" s="191">
        <v>0</v>
      </c>
      <c r="BH30" s="191">
        <v>0</v>
      </c>
      <c r="BI30" s="191">
        <v>0</v>
      </c>
      <c r="BJ30" s="191">
        <v>0</v>
      </c>
      <c r="BK30" s="191">
        <v>0</v>
      </c>
      <c r="BL30" s="191">
        <v>0</v>
      </c>
      <c r="BM30" s="191">
        <v>0</v>
      </c>
      <c r="BN30" s="193">
        <v>0</v>
      </c>
    </row>
    <row r="31" spans="2:66" outlineLevel="1" x14ac:dyDescent="0.35">
      <c r="B31" s="181">
        <v>0.6</v>
      </c>
      <c r="C31" s="191">
        <v>2</v>
      </c>
      <c r="D31" s="191">
        <v>1</v>
      </c>
      <c r="E31" s="191">
        <v>1</v>
      </c>
      <c r="F31" s="191">
        <v>0</v>
      </c>
      <c r="G31" s="191">
        <v>0</v>
      </c>
      <c r="H31" s="191">
        <v>0</v>
      </c>
      <c r="I31" s="191">
        <v>0</v>
      </c>
      <c r="J31" s="192">
        <v>0</v>
      </c>
      <c r="K31" s="192">
        <v>0</v>
      </c>
      <c r="L31" s="192">
        <v>0</v>
      </c>
      <c r="M31" s="191">
        <v>1</v>
      </c>
      <c r="N31" s="191">
        <v>0</v>
      </c>
      <c r="O31" s="191">
        <v>1</v>
      </c>
      <c r="P31" s="191">
        <v>1</v>
      </c>
      <c r="Q31" s="191">
        <v>1</v>
      </c>
      <c r="R31" s="191">
        <v>0</v>
      </c>
      <c r="S31" s="191">
        <v>0</v>
      </c>
      <c r="T31" s="191">
        <v>0</v>
      </c>
      <c r="U31" s="191">
        <v>1</v>
      </c>
      <c r="V31" s="191">
        <v>0</v>
      </c>
      <c r="W31" s="191">
        <v>0</v>
      </c>
      <c r="X31" s="191">
        <v>0</v>
      </c>
      <c r="Y31" s="191">
        <v>0</v>
      </c>
      <c r="Z31" s="191">
        <v>0</v>
      </c>
      <c r="AA31" s="191">
        <v>0</v>
      </c>
      <c r="AB31" s="191">
        <v>0</v>
      </c>
      <c r="AC31" s="191">
        <v>1</v>
      </c>
      <c r="AD31" s="191">
        <v>1</v>
      </c>
      <c r="AE31" s="191">
        <v>3</v>
      </c>
      <c r="AF31" s="191">
        <v>2</v>
      </c>
      <c r="AG31" s="191">
        <v>0</v>
      </c>
      <c r="AH31" s="191">
        <v>0</v>
      </c>
      <c r="AI31" s="191">
        <v>0</v>
      </c>
      <c r="AJ31" s="191">
        <v>0</v>
      </c>
      <c r="AK31" s="191">
        <v>0</v>
      </c>
      <c r="AL31" s="191">
        <v>0</v>
      </c>
      <c r="AM31" s="191">
        <v>0</v>
      </c>
      <c r="AN31" s="191">
        <v>0</v>
      </c>
      <c r="AO31" s="191">
        <v>0</v>
      </c>
      <c r="AP31" s="192">
        <v>0</v>
      </c>
      <c r="AQ31" s="191">
        <v>0</v>
      </c>
      <c r="AR31" s="191">
        <v>0</v>
      </c>
      <c r="AS31" s="191">
        <v>1</v>
      </c>
      <c r="AT31" s="191">
        <v>0</v>
      </c>
      <c r="AU31" s="192">
        <v>0</v>
      </c>
      <c r="AV31" s="192">
        <v>0</v>
      </c>
      <c r="AW31" s="192">
        <v>0</v>
      </c>
      <c r="AX31" s="192">
        <v>0</v>
      </c>
      <c r="AY31" s="191">
        <v>2</v>
      </c>
      <c r="AZ31" s="191">
        <v>1</v>
      </c>
      <c r="BA31" s="191">
        <v>1</v>
      </c>
      <c r="BB31" s="191">
        <v>0</v>
      </c>
      <c r="BC31" s="191">
        <v>0</v>
      </c>
      <c r="BD31" s="191">
        <v>0</v>
      </c>
      <c r="BE31" s="191">
        <v>0</v>
      </c>
      <c r="BF31" s="191">
        <v>0</v>
      </c>
      <c r="BG31" s="191">
        <v>0</v>
      </c>
      <c r="BH31" s="191">
        <v>0</v>
      </c>
      <c r="BI31" s="191">
        <v>0</v>
      </c>
      <c r="BJ31" s="191">
        <v>0</v>
      </c>
      <c r="BK31" s="191">
        <v>0</v>
      </c>
      <c r="BL31" s="191">
        <v>0</v>
      </c>
      <c r="BM31" s="191">
        <v>0</v>
      </c>
      <c r="BN31" s="193">
        <v>0</v>
      </c>
    </row>
    <row r="32" spans="2:66" outlineLevel="1" x14ac:dyDescent="0.35">
      <c r="B32" s="181">
        <v>0.65</v>
      </c>
      <c r="C32" s="191">
        <v>3</v>
      </c>
      <c r="D32" s="191">
        <v>2</v>
      </c>
      <c r="E32" s="191">
        <v>1</v>
      </c>
      <c r="F32" s="191">
        <v>0</v>
      </c>
      <c r="G32" s="191">
        <v>0</v>
      </c>
      <c r="H32" s="191">
        <v>0</v>
      </c>
      <c r="I32" s="191">
        <v>0</v>
      </c>
      <c r="J32" s="192">
        <v>0</v>
      </c>
      <c r="K32" s="192">
        <v>0</v>
      </c>
      <c r="L32" s="192">
        <v>0</v>
      </c>
      <c r="M32" s="191">
        <v>1</v>
      </c>
      <c r="N32" s="191">
        <v>1</v>
      </c>
      <c r="O32" s="191">
        <v>2</v>
      </c>
      <c r="P32" s="191">
        <v>1</v>
      </c>
      <c r="Q32" s="191">
        <v>1</v>
      </c>
      <c r="R32" s="191">
        <v>1</v>
      </c>
      <c r="S32" s="191">
        <v>0</v>
      </c>
      <c r="T32" s="191">
        <v>0</v>
      </c>
      <c r="U32" s="191">
        <v>1</v>
      </c>
      <c r="V32" s="191">
        <v>0</v>
      </c>
      <c r="W32" s="191">
        <v>1</v>
      </c>
      <c r="X32" s="191">
        <v>0</v>
      </c>
      <c r="Y32" s="191">
        <v>1</v>
      </c>
      <c r="Z32" s="191">
        <v>0</v>
      </c>
      <c r="AA32" s="191">
        <v>0</v>
      </c>
      <c r="AB32" s="191">
        <v>0</v>
      </c>
      <c r="AC32" s="191">
        <v>1</v>
      </c>
      <c r="AD32" s="191">
        <v>1</v>
      </c>
      <c r="AE32" s="191">
        <v>3</v>
      </c>
      <c r="AF32" s="191">
        <v>2</v>
      </c>
      <c r="AG32" s="191">
        <v>1</v>
      </c>
      <c r="AH32" s="191">
        <v>0</v>
      </c>
      <c r="AI32" s="191">
        <v>0</v>
      </c>
      <c r="AJ32" s="191">
        <v>0</v>
      </c>
      <c r="AK32" s="191">
        <v>1</v>
      </c>
      <c r="AL32" s="191">
        <v>0</v>
      </c>
      <c r="AM32" s="191">
        <v>0</v>
      </c>
      <c r="AN32" s="191">
        <v>0</v>
      </c>
      <c r="AO32" s="191">
        <v>0</v>
      </c>
      <c r="AP32" s="192">
        <v>0</v>
      </c>
      <c r="AQ32" s="191">
        <v>0</v>
      </c>
      <c r="AR32" s="191">
        <v>0</v>
      </c>
      <c r="AS32" s="191">
        <v>1</v>
      </c>
      <c r="AT32" s="191">
        <v>1</v>
      </c>
      <c r="AU32" s="192">
        <v>0</v>
      </c>
      <c r="AV32" s="192">
        <v>0</v>
      </c>
      <c r="AW32" s="192">
        <v>0</v>
      </c>
      <c r="AX32" s="192">
        <v>0</v>
      </c>
      <c r="AY32" s="191">
        <v>3</v>
      </c>
      <c r="AZ32" s="191">
        <v>2</v>
      </c>
      <c r="BA32" s="191">
        <v>1</v>
      </c>
      <c r="BB32" s="191">
        <v>0</v>
      </c>
      <c r="BC32" s="191">
        <v>0</v>
      </c>
      <c r="BD32" s="191">
        <v>0</v>
      </c>
      <c r="BE32" s="191">
        <v>0</v>
      </c>
      <c r="BF32" s="191">
        <v>0</v>
      </c>
      <c r="BG32" s="191">
        <v>0</v>
      </c>
      <c r="BH32" s="191">
        <v>0</v>
      </c>
      <c r="BI32" s="191">
        <v>0</v>
      </c>
      <c r="BJ32" s="191">
        <v>0</v>
      </c>
      <c r="BK32" s="191">
        <v>0</v>
      </c>
      <c r="BL32" s="191">
        <v>0</v>
      </c>
      <c r="BM32" s="191">
        <v>0</v>
      </c>
      <c r="BN32" s="193">
        <v>0</v>
      </c>
    </row>
    <row r="33" spans="2:66" outlineLevel="1" x14ac:dyDescent="0.35">
      <c r="B33" s="181">
        <v>0.7</v>
      </c>
      <c r="C33" s="191">
        <v>4</v>
      </c>
      <c r="D33" s="191">
        <v>2</v>
      </c>
      <c r="E33" s="191">
        <v>1</v>
      </c>
      <c r="F33" s="191">
        <v>1</v>
      </c>
      <c r="G33" s="191">
        <v>0</v>
      </c>
      <c r="H33" s="191">
        <v>0</v>
      </c>
      <c r="I33" s="191">
        <v>0</v>
      </c>
      <c r="J33" s="192">
        <v>0</v>
      </c>
      <c r="K33" s="192">
        <v>0</v>
      </c>
      <c r="L33" s="192">
        <v>0</v>
      </c>
      <c r="M33" s="191">
        <v>1</v>
      </c>
      <c r="N33" s="191">
        <v>1</v>
      </c>
      <c r="O33" s="191">
        <v>2</v>
      </c>
      <c r="P33" s="191">
        <v>1</v>
      </c>
      <c r="Q33" s="191">
        <v>2</v>
      </c>
      <c r="R33" s="191">
        <v>1</v>
      </c>
      <c r="S33" s="191">
        <v>1</v>
      </c>
      <c r="T33" s="191">
        <v>0</v>
      </c>
      <c r="U33" s="191">
        <v>1</v>
      </c>
      <c r="V33" s="191">
        <v>1</v>
      </c>
      <c r="W33" s="191">
        <v>1</v>
      </c>
      <c r="X33" s="191">
        <v>0</v>
      </c>
      <c r="Y33" s="191">
        <v>1</v>
      </c>
      <c r="Z33" s="191">
        <v>1</v>
      </c>
      <c r="AA33" s="191">
        <v>0</v>
      </c>
      <c r="AB33" s="191">
        <v>0</v>
      </c>
      <c r="AC33" s="191">
        <v>2</v>
      </c>
      <c r="AD33" s="191">
        <v>1</v>
      </c>
      <c r="AE33" s="191">
        <v>4</v>
      </c>
      <c r="AF33" s="191">
        <v>3</v>
      </c>
      <c r="AG33" s="191">
        <v>1</v>
      </c>
      <c r="AH33" s="191">
        <v>1</v>
      </c>
      <c r="AI33" s="191">
        <v>1</v>
      </c>
      <c r="AJ33" s="191">
        <v>0</v>
      </c>
      <c r="AK33" s="191">
        <v>1</v>
      </c>
      <c r="AL33" s="191">
        <v>0</v>
      </c>
      <c r="AM33" s="191">
        <v>0</v>
      </c>
      <c r="AN33" s="191">
        <v>0</v>
      </c>
      <c r="AO33" s="191">
        <v>0</v>
      </c>
      <c r="AP33" s="192">
        <v>0</v>
      </c>
      <c r="AQ33" s="191">
        <v>1</v>
      </c>
      <c r="AR33" s="191">
        <v>0</v>
      </c>
      <c r="AS33" s="191">
        <v>2</v>
      </c>
      <c r="AT33" s="191">
        <v>1</v>
      </c>
      <c r="AU33" s="192">
        <v>0</v>
      </c>
      <c r="AV33" s="192">
        <v>0</v>
      </c>
      <c r="AW33" s="192">
        <v>0</v>
      </c>
      <c r="AX33" s="192">
        <v>0</v>
      </c>
      <c r="AY33" s="191">
        <v>3</v>
      </c>
      <c r="AZ33" s="191">
        <v>2</v>
      </c>
      <c r="BA33" s="191">
        <v>1</v>
      </c>
      <c r="BB33" s="191">
        <v>1</v>
      </c>
      <c r="BC33" s="191">
        <v>1</v>
      </c>
      <c r="BD33" s="191">
        <v>0</v>
      </c>
      <c r="BE33" s="191">
        <v>1</v>
      </c>
      <c r="BF33" s="191">
        <v>0</v>
      </c>
      <c r="BG33" s="191">
        <v>0</v>
      </c>
      <c r="BH33" s="191">
        <v>0</v>
      </c>
      <c r="BI33" s="191">
        <v>0</v>
      </c>
      <c r="BJ33" s="191">
        <v>0</v>
      </c>
      <c r="BK33" s="191">
        <v>0</v>
      </c>
      <c r="BL33" s="191">
        <v>0</v>
      </c>
      <c r="BM33" s="191">
        <v>0</v>
      </c>
      <c r="BN33" s="193">
        <v>0</v>
      </c>
    </row>
    <row r="34" spans="2:66" outlineLevel="1" x14ac:dyDescent="0.35">
      <c r="B34" s="181">
        <v>0.75</v>
      </c>
      <c r="C34" s="191">
        <v>5</v>
      </c>
      <c r="D34" s="191">
        <v>3</v>
      </c>
      <c r="E34" s="191">
        <v>2</v>
      </c>
      <c r="F34" s="191">
        <v>1</v>
      </c>
      <c r="G34" s="191">
        <v>1</v>
      </c>
      <c r="H34" s="191">
        <v>0</v>
      </c>
      <c r="I34" s="191">
        <v>0</v>
      </c>
      <c r="J34" s="192">
        <v>0</v>
      </c>
      <c r="K34" s="192">
        <v>0</v>
      </c>
      <c r="L34" s="192">
        <v>0</v>
      </c>
      <c r="M34" s="191">
        <v>2</v>
      </c>
      <c r="N34" s="191">
        <v>1</v>
      </c>
      <c r="O34" s="191">
        <v>3</v>
      </c>
      <c r="P34" s="191">
        <v>2</v>
      </c>
      <c r="Q34" s="191">
        <v>2</v>
      </c>
      <c r="R34" s="191">
        <v>1</v>
      </c>
      <c r="S34" s="191">
        <v>1</v>
      </c>
      <c r="T34" s="191">
        <v>1</v>
      </c>
      <c r="U34" s="191">
        <v>2</v>
      </c>
      <c r="V34" s="191">
        <v>1</v>
      </c>
      <c r="W34" s="191">
        <v>1</v>
      </c>
      <c r="X34" s="191">
        <v>1</v>
      </c>
      <c r="Y34" s="191">
        <v>1</v>
      </c>
      <c r="Z34" s="191">
        <v>1</v>
      </c>
      <c r="AA34" s="191">
        <v>0</v>
      </c>
      <c r="AB34" s="191">
        <v>0</v>
      </c>
      <c r="AC34" s="191">
        <v>3</v>
      </c>
      <c r="AD34" s="191">
        <v>2</v>
      </c>
      <c r="AE34" s="191">
        <v>5</v>
      </c>
      <c r="AF34" s="191">
        <v>3</v>
      </c>
      <c r="AG34" s="191">
        <v>2</v>
      </c>
      <c r="AH34" s="191">
        <v>1</v>
      </c>
      <c r="AI34" s="191">
        <v>1</v>
      </c>
      <c r="AJ34" s="191">
        <v>0</v>
      </c>
      <c r="AK34" s="191">
        <v>1</v>
      </c>
      <c r="AL34" s="191">
        <v>1</v>
      </c>
      <c r="AM34" s="191">
        <v>1</v>
      </c>
      <c r="AN34" s="191">
        <v>0</v>
      </c>
      <c r="AO34" s="191">
        <v>1</v>
      </c>
      <c r="AP34" s="192">
        <v>0</v>
      </c>
      <c r="AQ34" s="191">
        <v>1</v>
      </c>
      <c r="AR34" s="191">
        <v>1</v>
      </c>
      <c r="AS34" s="191">
        <v>3</v>
      </c>
      <c r="AT34" s="191">
        <v>2</v>
      </c>
      <c r="AU34" s="192">
        <v>0</v>
      </c>
      <c r="AV34" s="192">
        <v>0</v>
      </c>
      <c r="AW34" s="192">
        <v>0</v>
      </c>
      <c r="AX34" s="192">
        <v>0</v>
      </c>
      <c r="AY34" s="191">
        <v>4</v>
      </c>
      <c r="AZ34" s="191">
        <v>3</v>
      </c>
      <c r="BA34" s="191">
        <v>2</v>
      </c>
      <c r="BB34" s="191">
        <v>1</v>
      </c>
      <c r="BC34" s="191">
        <v>1</v>
      </c>
      <c r="BD34" s="191">
        <v>0</v>
      </c>
      <c r="BE34" s="191">
        <v>1</v>
      </c>
      <c r="BF34" s="191">
        <v>0</v>
      </c>
      <c r="BG34" s="191">
        <v>1</v>
      </c>
      <c r="BH34" s="191">
        <v>0</v>
      </c>
      <c r="BI34" s="191">
        <v>1</v>
      </c>
      <c r="BJ34" s="191">
        <v>0</v>
      </c>
      <c r="BK34" s="191">
        <v>1</v>
      </c>
      <c r="BL34" s="191">
        <v>0</v>
      </c>
      <c r="BM34" s="191">
        <v>1</v>
      </c>
      <c r="BN34" s="193">
        <v>0</v>
      </c>
    </row>
    <row r="35" spans="2:66" outlineLevel="1" x14ac:dyDescent="0.35">
      <c r="B35" s="181">
        <v>0.8</v>
      </c>
      <c r="C35" s="191">
        <v>6</v>
      </c>
      <c r="D35" s="191">
        <v>4</v>
      </c>
      <c r="E35" s="191">
        <v>3</v>
      </c>
      <c r="F35" s="191">
        <v>2</v>
      </c>
      <c r="G35" s="191">
        <v>1</v>
      </c>
      <c r="H35" s="191">
        <v>1</v>
      </c>
      <c r="I35" s="191">
        <v>1</v>
      </c>
      <c r="J35" s="192">
        <v>0</v>
      </c>
      <c r="K35" s="192">
        <v>0</v>
      </c>
      <c r="L35" s="192">
        <v>0</v>
      </c>
      <c r="M35" s="191">
        <v>3</v>
      </c>
      <c r="N35" s="191">
        <v>2</v>
      </c>
      <c r="O35" s="191">
        <v>4</v>
      </c>
      <c r="P35" s="191">
        <v>2</v>
      </c>
      <c r="Q35" s="191">
        <v>3</v>
      </c>
      <c r="R35" s="191">
        <v>2</v>
      </c>
      <c r="S35" s="191">
        <v>2</v>
      </c>
      <c r="T35" s="191">
        <v>1</v>
      </c>
      <c r="U35" s="191">
        <v>2</v>
      </c>
      <c r="V35" s="191">
        <v>1</v>
      </c>
      <c r="W35" s="191">
        <v>2</v>
      </c>
      <c r="X35" s="191">
        <v>1</v>
      </c>
      <c r="Y35" s="191">
        <v>2</v>
      </c>
      <c r="Z35" s="191">
        <v>1</v>
      </c>
      <c r="AA35" s="191">
        <v>1</v>
      </c>
      <c r="AB35" s="191">
        <v>0</v>
      </c>
      <c r="AC35" s="191">
        <v>4</v>
      </c>
      <c r="AD35" s="191">
        <v>3</v>
      </c>
      <c r="AE35" s="191">
        <v>7</v>
      </c>
      <c r="AF35" s="191">
        <v>4</v>
      </c>
      <c r="AG35" s="191">
        <v>2</v>
      </c>
      <c r="AH35" s="191">
        <v>1</v>
      </c>
      <c r="AI35" s="191">
        <v>1</v>
      </c>
      <c r="AJ35" s="191">
        <v>1</v>
      </c>
      <c r="AK35" s="191">
        <v>2</v>
      </c>
      <c r="AL35" s="191">
        <v>1</v>
      </c>
      <c r="AM35" s="191">
        <v>1</v>
      </c>
      <c r="AN35" s="191">
        <v>1</v>
      </c>
      <c r="AO35" s="191">
        <v>1</v>
      </c>
      <c r="AP35" s="192">
        <v>1</v>
      </c>
      <c r="AQ35" s="191">
        <v>2</v>
      </c>
      <c r="AR35" s="191">
        <v>1</v>
      </c>
      <c r="AS35" s="191">
        <v>4</v>
      </c>
      <c r="AT35" s="191">
        <v>2</v>
      </c>
      <c r="AU35" s="192">
        <v>0</v>
      </c>
      <c r="AV35" s="192">
        <v>0</v>
      </c>
      <c r="AW35" s="192">
        <v>0</v>
      </c>
      <c r="AX35" s="192">
        <v>0</v>
      </c>
      <c r="AY35" s="191">
        <v>6</v>
      </c>
      <c r="AZ35" s="191">
        <v>3</v>
      </c>
      <c r="BA35" s="191">
        <v>2</v>
      </c>
      <c r="BB35" s="191">
        <v>1</v>
      </c>
      <c r="BC35" s="191">
        <v>1</v>
      </c>
      <c r="BD35" s="191">
        <v>1</v>
      </c>
      <c r="BE35" s="191">
        <v>1</v>
      </c>
      <c r="BF35" s="191">
        <v>1</v>
      </c>
      <c r="BG35" s="191">
        <v>1</v>
      </c>
      <c r="BH35" s="191">
        <v>1</v>
      </c>
      <c r="BI35" s="191">
        <v>1</v>
      </c>
      <c r="BJ35" s="191">
        <v>1</v>
      </c>
      <c r="BK35" s="191">
        <v>1</v>
      </c>
      <c r="BL35" s="191">
        <v>1</v>
      </c>
      <c r="BM35" s="191">
        <v>1</v>
      </c>
      <c r="BN35" s="193">
        <v>1</v>
      </c>
    </row>
    <row r="36" spans="2:66" outlineLevel="1" x14ac:dyDescent="0.35">
      <c r="B36" s="181">
        <v>0.9</v>
      </c>
      <c r="C36" s="191">
        <v>12</v>
      </c>
      <c r="D36" s="191">
        <v>7</v>
      </c>
      <c r="E36" s="191">
        <v>6</v>
      </c>
      <c r="F36" s="191">
        <v>4</v>
      </c>
      <c r="G36" s="191">
        <v>3</v>
      </c>
      <c r="H36" s="191">
        <v>2</v>
      </c>
      <c r="I36" s="191">
        <v>2</v>
      </c>
      <c r="J36" s="192">
        <v>1</v>
      </c>
      <c r="K36" s="192">
        <v>0</v>
      </c>
      <c r="L36" s="192">
        <v>0</v>
      </c>
      <c r="M36" s="191">
        <v>6</v>
      </c>
      <c r="N36" s="191">
        <v>3</v>
      </c>
      <c r="O36" s="191">
        <v>8</v>
      </c>
      <c r="P36" s="191">
        <v>5</v>
      </c>
      <c r="Q36" s="191">
        <v>6</v>
      </c>
      <c r="R36" s="191">
        <v>4</v>
      </c>
      <c r="S36" s="191">
        <v>3</v>
      </c>
      <c r="T36" s="191">
        <v>2</v>
      </c>
      <c r="U36" s="191">
        <v>4</v>
      </c>
      <c r="V36" s="191">
        <v>3</v>
      </c>
      <c r="W36" s="191">
        <v>4</v>
      </c>
      <c r="X36" s="191">
        <v>2</v>
      </c>
      <c r="Y36" s="191">
        <v>4</v>
      </c>
      <c r="Z36" s="191">
        <v>3</v>
      </c>
      <c r="AA36" s="191">
        <v>2</v>
      </c>
      <c r="AB36" s="191">
        <v>1</v>
      </c>
      <c r="AC36" s="191">
        <v>9</v>
      </c>
      <c r="AD36" s="191">
        <v>5</v>
      </c>
      <c r="AE36" s="191">
        <v>11</v>
      </c>
      <c r="AF36" s="191">
        <v>7</v>
      </c>
      <c r="AG36" s="191">
        <v>5</v>
      </c>
      <c r="AH36" s="191">
        <v>3</v>
      </c>
      <c r="AI36" s="191">
        <v>3</v>
      </c>
      <c r="AJ36" s="191">
        <v>2</v>
      </c>
      <c r="AK36" s="191">
        <v>4</v>
      </c>
      <c r="AL36" s="191">
        <v>3</v>
      </c>
      <c r="AM36" s="191">
        <v>3</v>
      </c>
      <c r="AN36" s="191">
        <v>2</v>
      </c>
      <c r="AO36" s="191">
        <v>2</v>
      </c>
      <c r="AP36" s="192">
        <v>1</v>
      </c>
      <c r="AQ36" s="191">
        <v>3</v>
      </c>
      <c r="AR36" s="191">
        <v>2</v>
      </c>
      <c r="AS36" s="191">
        <v>8</v>
      </c>
      <c r="AT36" s="191">
        <v>5</v>
      </c>
      <c r="AU36" s="192">
        <v>1</v>
      </c>
      <c r="AV36" s="192">
        <v>0</v>
      </c>
      <c r="AW36" s="192">
        <v>1</v>
      </c>
      <c r="AX36" s="192">
        <v>0</v>
      </c>
      <c r="AY36" s="191">
        <v>10</v>
      </c>
      <c r="AZ36" s="191">
        <v>6</v>
      </c>
      <c r="BA36" s="191">
        <v>5</v>
      </c>
      <c r="BB36" s="191">
        <v>3</v>
      </c>
      <c r="BC36" s="191">
        <v>3</v>
      </c>
      <c r="BD36" s="191">
        <v>2</v>
      </c>
      <c r="BE36" s="191">
        <v>3</v>
      </c>
      <c r="BF36" s="191">
        <v>2</v>
      </c>
      <c r="BG36" s="191">
        <v>3</v>
      </c>
      <c r="BH36" s="191">
        <v>2</v>
      </c>
      <c r="BI36" s="191">
        <v>3</v>
      </c>
      <c r="BJ36" s="191">
        <v>2</v>
      </c>
      <c r="BK36" s="191">
        <v>3</v>
      </c>
      <c r="BL36" s="191">
        <v>2</v>
      </c>
      <c r="BM36" s="191">
        <v>3</v>
      </c>
      <c r="BN36" s="193">
        <v>2</v>
      </c>
    </row>
    <row r="37" spans="2:66" outlineLevel="1" x14ac:dyDescent="0.35">
      <c r="B37" s="181">
        <v>0.95</v>
      </c>
      <c r="C37" s="191">
        <v>18</v>
      </c>
      <c r="D37" s="191">
        <v>11</v>
      </c>
      <c r="E37" s="191">
        <v>10</v>
      </c>
      <c r="F37" s="191">
        <v>6</v>
      </c>
      <c r="G37" s="191">
        <v>5</v>
      </c>
      <c r="H37" s="191">
        <v>3</v>
      </c>
      <c r="I37" s="191">
        <v>3</v>
      </c>
      <c r="J37" s="192">
        <v>2</v>
      </c>
      <c r="K37" s="192">
        <v>1</v>
      </c>
      <c r="L37" s="192">
        <v>1</v>
      </c>
      <c r="M37" s="191">
        <v>9</v>
      </c>
      <c r="N37" s="191">
        <v>6</v>
      </c>
      <c r="O37" s="191">
        <v>12</v>
      </c>
      <c r="P37" s="191">
        <v>8</v>
      </c>
      <c r="Q37" s="191">
        <v>9</v>
      </c>
      <c r="R37" s="191">
        <v>6</v>
      </c>
      <c r="S37" s="191">
        <v>6</v>
      </c>
      <c r="T37" s="191">
        <v>4</v>
      </c>
      <c r="U37" s="191">
        <v>7</v>
      </c>
      <c r="V37" s="191">
        <v>4</v>
      </c>
      <c r="W37" s="191">
        <v>7</v>
      </c>
      <c r="X37" s="191">
        <v>4</v>
      </c>
      <c r="Y37" s="191">
        <v>7</v>
      </c>
      <c r="Z37" s="191">
        <v>4</v>
      </c>
      <c r="AA37" s="191">
        <v>4</v>
      </c>
      <c r="AB37" s="191">
        <v>2</v>
      </c>
      <c r="AC37" s="191">
        <v>15</v>
      </c>
      <c r="AD37" s="191">
        <v>9</v>
      </c>
      <c r="AE37" s="191">
        <v>16</v>
      </c>
      <c r="AF37" s="191">
        <v>10</v>
      </c>
      <c r="AG37" s="191">
        <v>8</v>
      </c>
      <c r="AH37" s="191">
        <v>5</v>
      </c>
      <c r="AI37" s="191">
        <v>6</v>
      </c>
      <c r="AJ37" s="191">
        <v>4</v>
      </c>
      <c r="AK37" s="191">
        <v>7</v>
      </c>
      <c r="AL37" s="191">
        <v>5</v>
      </c>
      <c r="AM37" s="191">
        <v>5</v>
      </c>
      <c r="AN37" s="191">
        <v>3</v>
      </c>
      <c r="AO37" s="191">
        <v>4</v>
      </c>
      <c r="AP37" s="192">
        <v>3</v>
      </c>
      <c r="AQ37" s="191">
        <v>7</v>
      </c>
      <c r="AR37" s="191">
        <v>4</v>
      </c>
      <c r="AS37" s="191">
        <v>14</v>
      </c>
      <c r="AT37" s="191">
        <v>8</v>
      </c>
      <c r="AU37" s="192">
        <v>2</v>
      </c>
      <c r="AV37" s="192">
        <v>1</v>
      </c>
      <c r="AW37" s="192">
        <v>1</v>
      </c>
      <c r="AX37" s="192">
        <v>1</v>
      </c>
      <c r="AY37" s="191">
        <v>16</v>
      </c>
      <c r="AZ37" s="191">
        <v>10</v>
      </c>
      <c r="BA37" s="191">
        <v>8</v>
      </c>
      <c r="BB37" s="191">
        <v>5</v>
      </c>
      <c r="BC37" s="191">
        <v>6</v>
      </c>
      <c r="BD37" s="191">
        <v>4</v>
      </c>
      <c r="BE37" s="191">
        <v>6</v>
      </c>
      <c r="BF37" s="191">
        <v>4</v>
      </c>
      <c r="BG37" s="191">
        <v>5</v>
      </c>
      <c r="BH37" s="191">
        <v>3</v>
      </c>
      <c r="BI37" s="191">
        <v>5</v>
      </c>
      <c r="BJ37" s="191">
        <v>3</v>
      </c>
      <c r="BK37" s="191">
        <v>5</v>
      </c>
      <c r="BL37" s="191">
        <v>3</v>
      </c>
      <c r="BM37" s="191">
        <v>5</v>
      </c>
      <c r="BN37" s="193">
        <v>3</v>
      </c>
    </row>
    <row r="38" spans="2:66" outlineLevel="1" x14ac:dyDescent="0.35">
      <c r="B38" s="181">
        <v>0.97499999999999998</v>
      </c>
      <c r="C38" s="191">
        <v>24</v>
      </c>
      <c r="D38" s="191">
        <v>15</v>
      </c>
      <c r="E38" s="191">
        <v>16</v>
      </c>
      <c r="F38" s="191">
        <v>10</v>
      </c>
      <c r="G38" s="191">
        <v>9</v>
      </c>
      <c r="H38" s="191">
        <v>6</v>
      </c>
      <c r="I38" s="191">
        <v>6</v>
      </c>
      <c r="J38" s="192">
        <v>4</v>
      </c>
      <c r="K38" s="192">
        <v>2</v>
      </c>
      <c r="L38" s="192">
        <v>1</v>
      </c>
      <c r="M38" s="191">
        <v>15</v>
      </c>
      <c r="N38" s="191">
        <v>9</v>
      </c>
      <c r="O38" s="191">
        <v>18</v>
      </c>
      <c r="P38" s="191">
        <v>11</v>
      </c>
      <c r="Q38" s="191">
        <v>15</v>
      </c>
      <c r="R38" s="191">
        <v>9</v>
      </c>
      <c r="S38" s="191">
        <v>11</v>
      </c>
      <c r="T38" s="191">
        <v>7</v>
      </c>
      <c r="U38" s="191">
        <v>12</v>
      </c>
      <c r="V38" s="191">
        <v>7</v>
      </c>
      <c r="W38" s="191">
        <v>11</v>
      </c>
      <c r="X38" s="191">
        <v>7</v>
      </c>
      <c r="Y38" s="191">
        <v>11</v>
      </c>
      <c r="Z38" s="191">
        <v>7</v>
      </c>
      <c r="AA38" s="191">
        <v>6</v>
      </c>
      <c r="AB38" s="191">
        <v>4</v>
      </c>
      <c r="AC38" s="191">
        <v>20</v>
      </c>
      <c r="AD38" s="191">
        <v>12</v>
      </c>
      <c r="AE38" s="191">
        <v>23</v>
      </c>
      <c r="AF38" s="191">
        <v>14</v>
      </c>
      <c r="AG38" s="191">
        <v>13</v>
      </c>
      <c r="AH38" s="191">
        <v>8</v>
      </c>
      <c r="AI38" s="191">
        <v>10</v>
      </c>
      <c r="AJ38" s="191">
        <v>6</v>
      </c>
      <c r="AK38" s="191">
        <v>13</v>
      </c>
      <c r="AL38" s="191">
        <v>8</v>
      </c>
      <c r="AM38" s="191">
        <v>9</v>
      </c>
      <c r="AN38" s="191">
        <v>5</v>
      </c>
      <c r="AO38" s="191">
        <v>7</v>
      </c>
      <c r="AP38" s="192">
        <v>5</v>
      </c>
      <c r="AQ38" s="191">
        <v>13</v>
      </c>
      <c r="AR38" s="191">
        <v>8</v>
      </c>
      <c r="AS38" s="191">
        <v>20</v>
      </c>
      <c r="AT38" s="191">
        <v>13</v>
      </c>
      <c r="AU38" s="192">
        <v>3</v>
      </c>
      <c r="AV38" s="192">
        <v>2</v>
      </c>
      <c r="AW38" s="192">
        <v>3</v>
      </c>
      <c r="AX38" s="192">
        <v>2</v>
      </c>
      <c r="AY38" s="191">
        <v>23</v>
      </c>
      <c r="AZ38" s="191">
        <v>14</v>
      </c>
      <c r="BA38" s="191">
        <v>13</v>
      </c>
      <c r="BB38" s="191">
        <v>8</v>
      </c>
      <c r="BC38" s="191">
        <v>10</v>
      </c>
      <c r="BD38" s="191">
        <v>6</v>
      </c>
      <c r="BE38" s="191">
        <v>10</v>
      </c>
      <c r="BF38" s="191">
        <v>6</v>
      </c>
      <c r="BG38" s="191">
        <v>9</v>
      </c>
      <c r="BH38" s="191">
        <v>6</v>
      </c>
      <c r="BI38" s="191">
        <v>9</v>
      </c>
      <c r="BJ38" s="191">
        <v>5</v>
      </c>
      <c r="BK38" s="191">
        <v>9</v>
      </c>
      <c r="BL38" s="191">
        <v>5</v>
      </c>
      <c r="BM38" s="191">
        <v>9</v>
      </c>
      <c r="BN38" s="193">
        <v>6</v>
      </c>
    </row>
    <row r="39" spans="2:66" outlineLevel="1" x14ac:dyDescent="0.35">
      <c r="B39" s="181">
        <v>0.99</v>
      </c>
      <c r="C39" s="191">
        <v>31</v>
      </c>
      <c r="D39" s="191">
        <v>19</v>
      </c>
      <c r="E39" s="191">
        <v>27</v>
      </c>
      <c r="F39" s="191">
        <v>16</v>
      </c>
      <c r="G39" s="191">
        <v>19</v>
      </c>
      <c r="H39" s="191">
        <v>11</v>
      </c>
      <c r="I39" s="191">
        <v>11</v>
      </c>
      <c r="J39" s="192">
        <v>7</v>
      </c>
      <c r="K39" s="192">
        <v>4</v>
      </c>
      <c r="L39" s="192">
        <v>3</v>
      </c>
      <c r="M39" s="191">
        <v>25</v>
      </c>
      <c r="N39" s="191">
        <v>15</v>
      </c>
      <c r="O39" s="191">
        <v>28</v>
      </c>
      <c r="P39" s="191">
        <v>17</v>
      </c>
      <c r="Q39" s="191">
        <v>28</v>
      </c>
      <c r="R39" s="191">
        <v>16</v>
      </c>
      <c r="S39" s="191">
        <v>23</v>
      </c>
      <c r="T39" s="191">
        <v>14</v>
      </c>
      <c r="U39" s="191">
        <v>22</v>
      </c>
      <c r="V39" s="191">
        <v>14</v>
      </c>
      <c r="W39" s="191">
        <v>22</v>
      </c>
      <c r="X39" s="191">
        <v>14</v>
      </c>
      <c r="Y39" s="191">
        <v>22</v>
      </c>
      <c r="Z39" s="191">
        <v>13</v>
      </c>
      <c r="AA39" s="191">
        <v>16</v>
      </c>
      <c r="AB39" s="191">
        <v>10</v>
      </c>
      <c r="AC39" s="191">
        <v>29</v>
      </c>
      <c r="AD39" s="191">
        <v>18</v>
      </c>
      <c r="AE39" s="191">
        <v>31</v>
      </c>
      <c r="AF39" s="191">
        <v>19</v>
      </c>
      <c r="AG39" s="191">
        <v>23</v>
      </c>
      <c r="AH39" s="191">
        <v>14</v>
      </c>
      <c r="AI39" s="191">
        <v>19</v>
      </c>
      <c r="AJ39" s="191">
        <v>12</v>
      </c>
      <c r="AK39" s="191">
        <v>22</v>
      </c>
      <c r="AL39" s="191">
        <v>13</v>
      </c>
      <c r="AM39" s="191">
        <v>18</v>
      </c>
      <c r="AN39" s="191">
        <v>11</v>
      </c>
      <c r="AO39" s="191">
        <v>15</v>
      </c>
      <c r="AP39" s="192">
        <v>9</v>
      </c>
      <c r="AQ39" s="191">
        <v>24</v>
      </c>
      <c r="AR39" s="191">
        <v>14</v>
      </c>
      <c r="AS39" s="191">
        <v>29</v>
      </c>
      <c r="AT39" s="191">
        <v>18</v>
      </c>
      <c r="AU39" s="192">
        <v>7</v>
      </c>
      <c r="AV39" s="192">
        <v>5</v>
      </c>
      <c r="AW39" s="192">
        <v>6</v>
      </c>
      <c r="AX39" s="192">
        <v>4</v>
      </c>
      <c r="AY39" s="191">
        <v>31</v>
      </c>
      <c r="AZ39" s="191">
        <v>19</v>
      </c>
      <c r="BA39" s="191">
        <v>25</v>
      </c>
      <c r="BB39" s="191">
        <v>15</v>
      </c>
      <c r="BC39" s="191">
        <v>19</v>
      </c>
      <c r="BD39" s="191">
        <v>11</v>
      </c>
      <c r="BE39" s="191">
        <v>18</v>
      </c>
      <c r="BF39" s="191">
        <v>11</v>
      </c>
      <c r="BG39" s="191">
        <v>18</v>
      </c>
      <c r="BH39" s="191">
        <v>11</v>
      </c>
      <c r="BI39" s="191">
        <v>16</v>
      </c>
      <c r="BJ39" s="191">
        <v>10</v>
      </c>
      <c r="BK39" s="191">
        <v>17</v>
      </c>
      <c r="BL39" s="191">
        <v>10</v>
      </c>
      <c r="BM39" s="191">
        <v>19</v>
      </c>
      <c r="BN39" s="193">
        <v>12</v>
      </c>
    </row>
    <row r="40" spans="2:66" outlineLevel="1" x14ac:dyDescent="0.35">
      <c r="B40" s="181">
        <v>0.995</v>
      </c>
      <c r="C40" s="191">
        <v>35</v>
      </c>
      <c r="D40" s="191">
        <v>21</v>
      </c>
      <c r="E40" s="191">
        <v>32</v>
      </c>
      <c r="F40" s="191">
        <v>19</v>
      </c>
      <c r="G40" s="191">
        <v>26</v>
      </c>
      <c r="H40" s="191">
        <v>15</v>
      </c>
      <c r="I40" s="191">
        <v>19</v>
      </c>
      <c r="J40" s="192">
        <v>12</v>
      </c>
      <c r="K40" s="192">
        <v>8</v>
      </c>
      <c r="L40" s="192">
        <v>4</v>
      </c>
      <c r="M40" s="191">
        <v>32</v>
      </c>
      <c r="N40" s="191">
        <v>19</v>
      </c>
      <c r="O40" s="191">
        <v>33</v>
      </c>
      <c r="P40" s="191">
        <v>20</v>
      </c>
      <c r="Q40" s="191">
        <v>32</v>
      </c>
      <c r="R40" s="191">
        <v>19</v>
      </c>
      <c r="S40" s="191">
        <v>29</v>
      </c>
      <c r="T40" s="191">
        <v>17</v>
      </c>
      <c r="U40" s="191">
        <v>29</v>
      </c>
      <c r="V40" s="191">
        <v>18</v>
      </c>
      <c r="W40" s="191">
        <v>29</v>
      </c>
      <c r="X40" s="191">
        <v>17</v>
      </c>
      <c r="Y40" s="191">
        <v>29</v>
      </c>
      <c r="Z40" s="191">
        <v>17</v>
      </c>
      <c r="AA40" s="191">
        <v>24</v>
      </c>
      <c r="AB40" s="191">
        <v>14</v>
      </c>
      <c r="AC40" s="191">
        <v>34</v>
      </c>
      <c r="AD40" s="191">
        <v>21</v>
      </c>
      <c r="AE40" s="191">
        <v>35</v>
      </c>
      <c r="AF40" s="191">
        <v>22</v>
      </c>
      <c r="AG40" s="191">
        <v>29</v>
      </c>
      <c r="AH40" s="191">
        <v>18</v>
      </c>
      <c r="AI40" s="191">
        <v>27</v>
      </c>
      <c r="AJ40" s="191">
        <v>16</v>
      </c>
      <c r="AK40" s="191">
        <v>28</v>
      </c>
      <c r="AL40" s="191">
        <v>17</v>
      </c>
      <c r="AM40" s="191">
        <v>26</v>
      </c>
      <c r="AN40" s="191">
        <v>15</v>
      </c>
      <c r="AO40" s="191">
        <v>22</v>
      </c>
      <c r="AP40" s="192">
        <v>14</v>
      </c>
      <c r="AQ40" s="191">
        <v>29</v>
      </c>
      <c r="AR40" s="191">
        <v>17</v>
      </c>
      <c r="AS40" s="191">
        <v>33</v>
      </c>
      <c r="AT40" s="191">
        <v>21</v>
      </c>
      <c r="AU40" s="192">
        <v>13</v>
      </c>
      <c r="AV40" s="192">
        <v>8</v>
      </c>
      <c r="AW40" s="192">
        <v>12</v>
      </c>
      <c r="AX40" s="192">
        <v>7</v>
      </c>
      <c r="AY40" s="191">
        <v>35</v>
      </c>
      <c r="AZ40" s="191">
        <v>21</v>
      </c>
      <c r="BA40" s="191">
        <v>31</v>
      </c>
      <c r="BB40" s="191">
        <v>19</v>
      </c>
      <c r="BC40" s="191">
        <v>25</v>
      </c>
      <c r="BD40" s="191">
        <v>16</v>
      </c>
      <c r="BE40" s="191">
        <v>25</v>
      </c>
      <c r="BF40" s="191">
        <v>16</v>
      </c>
      <c r="BG40" s="191">
        <v>25</v>
      </c>
      <c r="BH40" s="191">
        <v>15</v>
      </c>
      <c r="BI40" s="191">
        <v>24</v>
      </c>
      <c r="BJ40" s="191">
        <v>14</v>
      </c>
      <c r="BK40" s="191">
        <v>24</v>
      </c>
      <c r="BL40" s="191">
        <v>15</v>
      </c>
      <c r="BM40" s="191">
        <v>26</v>
      </c>
      <c r="BN40" s="193">
        <v>16</v>
      </c>
    </row>
    <row r="41" spans="2:66" outlineLevel="1" x14ac:dyDescent="0.35">
      <c r="B41" s="181">
        <v>0.999</v>
      </c>
      <c r="C41" s="191">
        <v>40</v>
      </c>
      <c r="D41" s="191">
        <v>27</v>
      </c>
      <c r="E41" s="191">
        <v>38</v>
      </c>
      <c r="F41" s="191">
        <v>24</v>
      </c>
      <c r="G41" s="191">
        <v>35</v>
      </c>
      <c r="H41" s="191">
        <v>23</v>
      </c>
      <c r="I41" s="191">
        <v>31</v>
      </c>
      <c r="J41" s="192">
        <v>19</v>
      </c>
      <c r="K41" s="192">
        <v>22</v>
      </c>
      <c r="L41" s="192">
        <v>13</v>
      </c>
      <c r="M41" s="191">
        <v>38</v>
      </c>
      <c r="N41" s="191">
        <v>24</v>
      </c>
      <c r="O41" s="191">
        <v>39</v>
      </c>
      <c r="P41" s="191">
        <v>26</v>
      </c>
      <c r="Q41" s="191">
        <v>38</v>
      </c>
      <c r="R41" s="191">
        <v>24</v>
      </c>
      <c r="S41" s="191">
        <v>35</v>
      </c>
      <c r="T41" s="191">
        <v>22</v>
      </c>
      <c r="U41" s="191">
        <v>37</v>
      </c>
      <c r="V41" s="191">
        <v>22</v>
      </c>
      <c r="W41" s="191">
        <v>35</v>
      </c>
      <c r="X41" s="191">
        <v>23</v>
      </c>
      <c r="Y41" s="191">
        <v>35</v>
      </c>
      <c r="Z41" s="191">
        <v>23</v>
      </c>
      <c r="AA41" s="191">
        <v>33</v>
      </c>
      <c r="AB41" s="191">
        <v>20</v>
      </c>
      <c r="AC41" s="191">
        <v>40</v>
      </c>
      <c r="AD41" s="191">
        <v>25</v>
      </c>
      <c r="AE41" s="191">
        <v>39</v>
      </c>
      <c r="AF41" s="191">
        <v>26</v>
      </c>
      <c r="AG41" s="191">
        <v>37</v>
      </c>
      <c r="AH41" s="191">
        <v>23</v>
      </c>
      <c r="AI41" s="191">
        <v>35</v>
      </c>
      <c r="AJ41" s="191">
        <v>23</v>
      </c>
      <c r="AK41" s="191">
        <v>36</v>
      </c>
      <c r="AL41" s="191">
        <v>23</v>
      </c>
      <c r="AM41" s="191">
        <v>35</v>
      </c>
      <c r="AN41" s="191">
        <v>21</v>
      </c>
      <c r="AO41" s="191">
        <v>32</v>
      </c>
      <c r="AP41" s="192">
        <v>19</v>
      </c>
      <c r="AQ41" s="191">
        <v>36</v>
      </c>
      <c r="AR41" s="191">
        <v>22</v>
      </c>
      <c r="AS41" s="191">
        <v>39</v>
      </c>
      <c r="AT41" s="191">
        <v>26</v>
      </c>
      <c r="AU41" s="192">
        <v>26</v>
      </c>
      <c r="AV41" s="192">
        <v>16</v>
      </c>
      <c r="AW41" s="192">
        <v>24</v>
      </c>
      <c r="AX41" s="192">
        <v>15</v>
      </c>
      <c r="AY41" s="191">
        <v>40</v>
      </c>
      <c r="AZ41" s="191">
        <v>25</v>
      </c>
      <c r="BA41" s="191">
        <v>38</v>
      </c>
      <c r="BB41" s="191">
        <v>25</v>
      </c>
      <c r="BC41" s="191">
        <v>35</v>
      </c>
      <c r="BD41" s="191">
        <v>22</v>
      </c>
      <c r="BE41" s="191">
        <v>36</v>
      </c>
      <c r="BF41" s="191">
        <v>23</v>
      </c>
      <c r="BG41" s="191">
        <v>33</v>
      </c>
      <c r="BH41" s="191">
        <v>21</v>
      </c>
      <c r="BI41" s="191">
        <v>33</v>
      </c>
      <c r="BJ41" s="191">
        <v>21</v>
      </c>
      <c r="BK41" s="191">
        <v>33</v>
      </c>
      <c r="BL41" s="191">
        <v>21</v>
      </c>
      <c r="BM41" s="191">
        <v>33</v>
      </c>
      <c r="BN41" s="193">
        <v>21</v>
      </c>
    </row>
    <row r="42" spans="2:66" x14ac:dyDescent="0.35">
      <c r="B42" s="200" t="s">
        <v>238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  <c r="AU42" s="201"/>
      <c r="AV42" s="201"/>
      <c r="AW42" s="201"/>
      <c r="AX42" s="201"/>
      <c r="AY42" s="201"/>
      <c r="AZ42" s="201"/>
      <c r="BA42" s="201"/>
      <c r="BB42" s="201"/>
      <c r="BC42" s="201"/>
      <c r="BD42" s="201"/>
      <c r="BE42" s="201"/>
      <c r="BF42" s="201"/>
      <c r="BG42" s="201"/>
      <c r="BH42" s="201"/>
      <c r="BI42" s="201"/>
      <c r="BJ42" s="201"/>
      <c r="BK42" s="201"/>
      <c r="BL42" s="201"/>
      <c r="BM42" s="201"/>
      <c r="BN42" s="202"/>
    </row>
    <row r="43" spans="2:66" outlineLevel="1" x14ac:dyDescent="0.35">
      <c r="B43" s="180" t="s">
        <v>228</v>
      </c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8"/>
    </row>
    <row r="44" spans="2:66" outlineLevel="1" x14ac:dyDescent="0.35">
      <c r="B44" s="180" t="s">
        <v>229</v>
      </c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8"/>
    </row>
    <row r="45" spans="2:66" outlineLevel="1" x14ac:dyDescent="0.35">
      <c r="B45" s="180" t="s">
        <v>239</v>
      </c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8"/>
    </row>
    <row r="46" spans="2:66" ht="15" outlineLevel="1" thickBot="1" x14ac:dyDescent="0.4">
      <c r="B46" s="186" t="s">
        <v>240</v>
      </c>
      <c r="C46" s="197">
        <v>0</v>
      </c>
      <c r="D46" s="197">
        <v>0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>
        <v>0</v>
      </c>
      <c r="L46" s="197">
        <v>0</v>
      </c>
      <c r="M46" s="197">
        <v>0</v>
      </c>
      <c r="N46" s="197">
        <v>0</v>
      </c>
      <c r="O46" s="197">
        <v>0</v>
      </c>
      <c r="P46" s="197">
        <v>0</v>
      </c>
      <c r="Q46" s="197">
        <v>0</v>
      </c>
      <c r="R46" s="197">
        <v>0</v>
      </c>
      <c r="S46" s="197">
        <v>0</v>
      </c>
      <c r="T46" s="197">
        <v>0</v>
      </c>
      <c r="U46" s="197">
        <v>0</v>
      </c>
      <c r="V46" s="197">
        <v>0</v>
      </c>
      <c r="W46" s="197">
        <v>0</v>
      </c>
      <c r="X46" s="197">
        <v>0</v>
      </c>
      <c r="Y46" s="197">
        <v>0</v>
      </c>
      <c r="Z46" s="197">
        <v>0</v>
      </c>
      <c r="AA46" s="197">
        <v>0</v>
      </c>
      <c r="AB46" s="197">
        <v>0</v>
      </c>
      <c r="AC46" s="197">
        <v>0</v>
      </c>
      <c r="AD46" s="197">
        <v>0</v>
      </c>
      <c r="AE46" s="197">
        <v>0</v>
      </c>
      <c r="AF46" s="197">
        <v>0</v>
      </c>
      <c r="AG46" s="197">
        <v>0</v>
      </c>
      <c r="AH46" s="197">
        <v>0</v>
      </c>
      <c r="AI46" s="197">
        <v>0</v>
      </c>
      <c r="AJ46" s="197">
        <v>0</v>
      </c>
      <c r="AK46" s="197">
        <v>0</v>
      </c>
      <c r="AL46" s="197">
        <v>0</v>
      </c>
      <c r="AM46" s="197">
        <v>0</v>
      </c>
      <c r="AN46" s="197">
        <v>0</v>
      </c>
      <c r="AO46" s="197">
        <v>0</v>
      </c>
      <c r="AP46" s="197">
        <v>0</v>
      </c>
      <c r="AQ46" s="197">
        <v>0</v>
      </c>
      <c r="AR46" s="197">
        <v>0</v>
      </c>
      <c r="AS46" s="197">
        <v>0</v>
      </c>
      <c r="AT46" s="197">
        <v>0</v>
      </c>
      <c r="AU46" s="197">
        <v>0</v>
      </c>
      <c r="AV46" s="197">
        <v>0</v>
      </c>
      <c r="AW46" s="197">
        <v>0</v>
      </c>
      <c r="AX46" s="197">
        <v>0</v>
      </c>
      <c r="AY46" s="197">
        <v>0</v>
      </c>
      <c r="AZ46" s="197">
        <v>0</v>
      </c>
      <c r="BA46" s="197">
        <v>0</v>
      </c>
      <c r="BB46" s="197">
        <v>0</v>
      </c>
      <c r="BC46" s="197">
        <v>0</v>
      </c>
      <c r="BD46" s="197">
        <v>0</v>
      </c>
      <c r="BE46" s="197">
        <v>0</v>
      </c>
      <c r="BF46" s="197">
        <v>0</v>
      </c>
      <c r="BG46" s="197">
        <v>0</v>
      </c>
      <c r="BH46" s="197">
        <v>0</v>
      </c>
      <c r="BI46" s="197">
        <v>0</v>
      </c>
      <c r="BJ46" s="197">
        <v>0</v>
      </c>
      <c r="BK46" s="197">
        <v>0</v>
      </c>
      <c r="BL46" s="197">
        <v>0</v>
      </c>
      <c r="BM46" s="197">
        <v>0</v>
      </c>
      <c r="BN46" s="198">
        <v>0</v>
      </c>
    </row>
  </sheetData>
  <mergeCells count="4">
    <mergeCell ref="B4:BN4"/>
    <mergeCell ref="B7:BN7"/>
    <mergeCell ref="B18:BN18"/>
    <mergeCell ref="B42:BN42"/>
  </mergeCells>
  <pageMargins left="0.7" right="0.7" top="0.75" bottom="0.75" header="0.3" footer="0.3"/>
  <pageSetup fitToWidth="0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57D5-7138-4C61-89F5-5D65EDC8FEF7}">
  <sheetPr>
    <outlinePr summaryBelow="0" summaryRight="0"/>
  </sheetPr>
  <dimension ref="B1:BN46"/>
  <sheetViews>
    <sheetView showGridLines="0" workbookViewId="0">
      <selection activeCell="J14" sqref="J14"/>
    </sheetView>
  </sheetViews>
  <sheetFormatPr defaultRowHeight="14.5" outlineLevelRow="1" x14ac:dyDescent="0.35"/>
  <cols>
    <col min="1" max="1" width="0.26953125" customWidth="1"/>
    <col min="2" max="66" width="13.6328125" customWidth="1"/>
  </cols>
  <sheetData>
    <row r="1" spans="2:66" s="199" customFormat="1" ht="65.5" customHeight="1" x14ac:dyDescent="0.35"/>
    <row r="2" spans="2:66" ht="15" thickBot="1" x14ac:dyDescent="0.4"/>
    <row r="3" spans="2:66" ht="72.5" x14ac:dyDescent="0.35">
      <c r="B3" s="182" t="s">
        <v>158</v>
      </c>
      <c r="C3" s="183" t="s">
        <v>159</v>
      </c>
      <c r="D3" s="184" t="s">
        <v>160</v>
      </c>
      <c r="E3" s="184" t="s">
        <v>161</v>
      </c>
      <c r="F3" s="184" t="s">
        <v>162</v>
      </c>
      <c r="G3" s="184" t="s">
        <v>163</v>
      </c>
      <c r="H3" s="184" t="s">
        <v>164</v>
      </c>
      <c r="I3" s="184" t="s">
        <v>165</v>
      </c>
      <c r="J3" s="184" t="s">
        <v>166</v>
      </c>
      <c r="K3" s="184" t="s">
        <v>167</v>
      </c>
      <c r="L3" s="184" t="s">
        <v>168</v>
      </c>
      <c r="M3" s="184" t="s">
        <v>169</v>
      </c>
      <c r="N3" s="184" t="s">
        <v>170</v>
      </c>
      <c r="O3" s="184" t="s">
        <v>171</v>
      </c>
      <c r="P3" s="184" t="s">
        <v>172</v>
      </c>
      <c r="Q3" s="184" t="s">
        <v>173</v>
      </c>
      <c r="R3" s="184" t="s">
        <v>174</v>
      </c>
      <c r="S3" s="184" t="s">
        <v>175</v>
      </c>
      <c r="T3" s="184" t="s">
        <v>176</v>
      </c>
      <c r="U3" s="184" t="s">
        <v>177</v>
      </c>
      <c r="V3" s="184" t="s">
        <v>178</v>
      </c>
      <c r="W3" s="184" t="s">
        <v>179</v>
      </c>
      <c r="X3" s="184" t="s">
        <v>180</v>
      </c>
      <c r="Y3" s="184" t="s">
        <v>181</v>
      </c>
      <c r="Z3" s="184" t="s">
        <v>182</v>
      </c>
      <c r="AA3" s="184" t="s">
        <v>183</v>
      </c>
      <c r="AB3" s="184" t="s">
        <v>184</v>
      </c>
      <c r="AC3" s="184" t="s">
        <v>185</v>
      </c>
      <c r="AD3" s="184" t="s">
        <v>186</v>
      </c>
      <c r="AE3" s="184" t="s">
        <v>187</v>
      </c>
      <c r="AF3" s="184" t="s">
        <v>188</v>
      </c>
      <c r="AG3" s="184" t="s">
        <v>189</v>
      </c>
      <c r="AH3" s="184" t="s">
        <v>190</v>
      </c>
      <c r="AI3" s="184" t="s">
        <v>191</v>
      </c>
      <c r="AJ3" s="184" t="s">
        <v>192</v>
      </c>
      <c r="AK3" s="184" t="s">
        <v>193</v>
      </c>
      <c r="AL3" s="184" t="s">
        <v>194</v>
      </c>
      <c r="AM3" s="184" t="s">
        <v>195</v>
      </c>
      <c r="AN3" s="184" t="s">
        <v>196</v>
      </c>
      <c r="AO3" s="184" t="s">
        <v>197</v>
      </c>
      <c r="AP3" s="184" t="s">
        <v>198</v>
      </c>
      <c r="AQ3" s="184" t="s">
        <v>199</v>
      </c>
      <c r="AR3" s="184" t="s">
        <v>200</v>
      </c>
      <c r="AS3" s="184" t="s">
        <v>201</v>
      </c>
      <c r="AT3" s="184" t="s">
        <v>202</v>
      </c>
      <c r="AU3" s="184" t="s">
        <v>203</v>
      </c>
      <c r="AV3" s="184" t="s">
        <v>204</v>
      </c>
      <c r="AW3" s="184" t="s">
        <v>205</v>
      </c>
      <c r="AX3" s="184" t="s">
        <v>206</v>
      </c>
      <c r="AY3" s="184" t="s">
        <v>207</v>
      </c>
      <c r="AZ3" s="184" t="s">
        <v>208</v>
      </c>
      <c r="BA3" s="184" t="s">
        <v>209</v>
      </c>
      <c r="BB3" s="184" t="s">
        <v>210</v>
      </c>
      <c r="BC3" s="184" t="s">
        <v>211</v>
      </c>
      <c r="BD3" s="184" t="s">
        <v>212</v>
      </c>
      <c r="BE3" s="184" t="s">
        <v>213</v>
      </c>
      <c r="BF3" s="184" t="s">
        <v>214</v>
      </c>
      <c r="BG3" s="184" t="s">
        <v>215</v>
      </c>
      <c r="BH3" s="184" t="s">
        <v>216</v>
      </c>
      <c r="BI3" s="184" t="s">
        <v>217</v>
      </c>
      <c r="BJ3" s="184" t="s">
        <v>218</v>
      </c>
      <c r="BK3" s="184" t="s">
        <v>219</v>
      </c>
      <c r="BL3" s="184" t="s">
        <v>220</v>
      </c>
      <c r="BM3" s="184" t="s">
        <v>221</v>
      </c>
      <c r="BN3" s="185" t="s">
        <v>222</v>
      </c>
    </row>
    <row r="4" spans="2:66" x14ac:dyDescent="0.35">
      <c r="B4" s="200" t="s">
        <v>223</v>
      </c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  <c r="AZ4" s="201"/>
      <c r="BA4" s="201"/>
      <c r="BB4" s="201"/>
      <c r="BC4" s="201"/>
      <c r="BD4" s="201"/>
      <c r="BE4" s="201"/>
      <c r="BF4" s="201"/>
      <c r="BG4" s="201"/>
      <c r="BH4" s="201"/>
      <c r="BI4" s="201"/>
      <c r="BJ4" s="201"/>
      <c r="BK4" s="201"/>
      <c r="BL4" s="201"/>
      <c r="BM4" s="201"/>
      <c r="BN4" s="202"/>
    </row>
    <row r="5" spans="2:66" ht="36.5" customHeight="1" outlineLevel="1" x14ac:dyDescent="0.35">
      <c r="B5" s="180" t="s">
        <v>224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89"/>
      <c r="BG5" s="189"/>
      <c r="BH5" s="189"/>
      <c r="BI5" s="189"/>
      <c r="BJ5" s="189"/>
      <c r="BK5" s="189"/>
      <c r="BL5" s="189"/>
      <c r="BM5" s="189"/>
      <c r="BN5" s="190"/>
    </row>
    <row r="6" spans="2:66" outlineLevel="1" x14ac:dyDescent="0.35">
      <c r="B6" s="180" t="s">
        <v>225</v>
      </c>
      <c r="C6" s="187" t="s">
        <v>226</v>
      </c>
      <c r="D6" s="187" t="s">
        <v>226</v>
      </c>
      <c r="E6" s="187" t="s">
        <v>226</v>
      </c>
      <c r="F6" s="187" t="s">
        <v>226</v>
      </c>
      <c r="G6" s="187" t="s">
        <v>226</v>
      </c>
      <c r="H6" s="187" t="s">
        <v>226</v>
      </c>
      <c r="I6" s="187" t="s">
        <v>226</v>
      </c>
      <c r="J6" s="187" t="s">
        <v>226</v>
      </c>
      <c r="K6" s="187" t="s">
        <v>226</v>
      </c>
      <c r="L6" s="187" t="s">
        <v>226</v>
      </c>
      <c r="M6" s="187" t="s">
        <v>226</v>
      </c>
      <c r="N6" s="187" t="s">
        <v>226</v>
      </c>
      <c r="O6" s="187" t="s">
        <v>226</v>
      </c>
      <c r="P6" s="187" t="s">
        <v>226</v>
      </c>
      <c r="Q6" s="187" t="s">
        <v>226</v>
      </c>
      <c r="R6" s="187" t="s">
        <v>226</v>
      </c>
      <c r="S6" s="187" t="s">
        <v>226</v>
      </c>
      <c r="T6" s="187" t="s">
        <v>226</v>
      </c>
      <c r="U6" s="187" t="s">
        <v>226</v>
      </c>
      <c r="V6" s="187" t="s">
        <v>226</v>
      </c>
      <c r="W6" s="187" t="s">
        <v>226</v>
      </c>
      <c r="X6" s="187" t="s">
        <v>226</v>
      </c>
      <c r="Y6" s="187" t="s">
        <v>226</v>
      </c>
      <c r="Z6" s="187" t="s">
        <v>226</v>
      </c>
      <c r="AA6" s="187" t="s">
        <v>226</v>
      </c>
      <c r="AB6" s="187" t="s">
        <v>226</v>
      </c>
      <c r="AC6" s="187" t="s">
        <v>226</v>
      </c>
      <c r="AD6" s="187" t="s">
        <v>226</v>
      </c>
      <c r="AE6" s="187" t="s">
        <v>226</v>
      </c>
      <c r="AF6" s="187" t="s">
        <v>226</v>
      </c>
      <c r="AG6" s="187" t="s">
        <v>226</v>
      </c>
      <c r="AH6" s="187" t="s">
        <v>226</v>
      </c>
      <c r="AI6" s="187" t="s">
        <v>226</v>
      </c>
      <c r="AJ6" s="187" t="s">
        <v>226</v>
      </c>
      <c r="AK6" s="187" t="s">
        <v>226</v>
      </c>
      <c r="AL6" s="187" t="s">
        <v>226</v>
      </c>
      <c r="AM6" s="187" t="s">
        <v>226</v>
      </c>
      <c r="AN6" s="187" t="s">
        <v>226</v>
      </c>
      <c r="AO6" s="187" t="s">
        <v>226</v>
      </c>
      <c r="AP6" s="187" t="s">
        <v>226</v>
      </c>
      <c r="AQ6" s="187" t="s">
        <v>226</v>
      </c>
      <c r="AR6" s="187" t="s">
        <v>226</v>
      </c>
      <c r="AS6" s="187" t="s">
        <v>226</v>
      </c>
      <c r="AT6" s="187" t="s">
        <v>226</v>
      </c>
      <c r="AU6" s="187" t="s">
        <v>226</v>
      </c>
      <c r="AV6" s="187" t="s">
        <v>226</v>
      </c>
      <c r="AW6" s="187" t="s">
        <v>226</v>
      </c>
      <c r="AX6" s="187" t="s">
        <v>226</v>
      </c>
      <c r="AY6" s="187" t="s">
        <v>226</v>
      </c>
      <c r="AZ6" s="187" t="s">
        <v>226</v>
      </c>
      <c r="BA6" s="187" t="s">
        <v>226</v>
      </c>
      <c r="BB6" s="187" t="s">
        <v>226</v>
      </c>
      <c r="BC6" s="187" t="s">
        <v>226</v>
      </c>
      <c r="BD6" s="187" t="s">
        <v>226</v>
      </c>
      <c r="BE6" s="187" t="s">
        <v>226</v>
      </c>
      <c r="BF6" s="187" t="s">
        <v>226</v>
      </c>
      <c r="BG6" s="187" t="s">
        <v>226</v>
      </c>
      <c r="BH6" s="187" t="s">
        <v>226</v>
      </c>
      <c r="BI6" s="187" t="s">
        <v>226</v>
      </c>
      <c r="BJ6" s="187" t="s">
        <v>226</v>
      </c>
      <c r="BK6" s="187" t="s">
        <v>226</v>
      </c>
      <c r="BL6" s="187" t="s">
        <v>226</v>
      </c>
      <c r="BM6" s="187" t="s">
        <v>226</v>
      </c>
      <c r="BN6" s="188" t="s">
        <v>226</v>
      </c>
    </row>
    <row r="7" spans="2:66" x14ac:dyDescent="0.35">
      <c r="B7" s="200" t="s">
        <v>227</v>
      </c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  <c r="BE7" s="201"/>
      <c r="BF7" s="201"/>
      <c r="BG7" s="201"/>
      <c r="BH7" s="201"/>
      <c r="BI7" s="201"/>
      <c r="BJ7" s="201"/>
      <c r="BK7" s="201"/>
      <c r="BL7" s="201"/>
      <c r="BM7" s="201"/>
      <c r="BN7" s="202"/>
    </row>
    <row r="8" spans="2:66" outlineLevel="1" x14ac:dyDescent="0.35">
      <c r="B8" s="180" t="s">
        <v>228</v>
      </c>
      <c r="C8" s="191">
        <v>0</v>
      </c>
      <c r="D8" s="192">
        <v>0</v>
      </c>
      <c r="E8" s="192">
        <v>0</v>
      </c>
      <c r="F8" s="192">
        <v>0</v>
      </c>
      <c r="G8" s="192">
        <v>0</v>
      </c>
      <c r="H8" s="192">
        <v>0</v>
      </c>
      <c r="I8" s="192">
        <v>0</v>
      </c>
      <c r="J8" s="192">
        <v>0</v>
      </c>
      <c r="K8" s="192">
        <v>0</v>
      </c>
      <c r="L8" s="192">
        <v>0</v>
      </c>
      <c r="M8" s="192">
        <v>0</v>
      </c>
      <c r="N8" s="192">
        <v>0</v>
      </c>
      <c r="O8" s="191">
        <v>0</v>
      </c>
      <c r="P8" s="192">
        <v>0</v>
      </c>
      <c r="Q8" s="192">
        <v>0</v>
      </c>
      <c r="R8" s="192">
        <v>0</v>
      </c>
      <c r="S8" s="192">
        <v>0</v>
      </c>
      <c r="T8" s="192">
        <v>0</v>
      </c>
      <c r="U8" s="192">
        <v>0</v>
      </c>
      <c r="V8" s="192">
        <v>0</v>
      </c>
      <c r="W8" s="192">
        <v>0</v>
      </c>
      <c r="X8" s="192">
        <v>0</v>
      </c>
      <c r="Y8" s="192">
        <v>0</v>
      </c>
      <c r="Z8" s="192">
        <v>0</v>
      </c>
      <c r="AA8" s="192">
        <v>0</v>
      </c>
      <c r="AB8" s="192">
        <v>0</v>
      </c>
      <c r="AC8" s="192">
        <v>0</v>
      </c>
      <c r="AD8" s="192">
        <v>0</v>
      </c>
      <c r="AE8" s="191">
        <v>0</v>
      </c>
      <c r="AF8" s="192">
        <v>0</v>
      </c>
      <c r="AG8" s="192">
        <v>0</v>
      </c>
      <c r="AH8" s="192">
        <v>0</v>
      </c>
      <c r="AI8" s="192">
        <v>0</v>
      </c>
      <c r="AJ8" s="192">
        <v>0</v>
      </c>
      <c r="AK8" s="192">
        <v>0</v>
      </c>
      <c r="AL8" s="192">
        <v>0</v>
      </c>
      <c r="AM8" s="192">
        <v>0</v>
      </c>
      <c r="AN8" s="192">
        <v>0</v>
      </c>
      <c r="AO8" s="192">
        <v>0</v>
      </c>
      <c r="AP8" s="192">
        <v>0</v>
      </c>
      <c r="AQ8" s="192">
        <v>0</v>
      </c>
      <c r="AR8" s="192">
        <v>0</v>
      </c>
      <c r="AS8" s="191">
        <v>0</v>
      </c>
      <c r="AT8" s="192">
        <v>0</v>
      </c>
      <c r="AU8" s="192">
        <v>0</v>
      </c>
      <c r="AV8" s="192">
        <v>0</v>
      </c>
      <c r="AW8" s="192">
        <v>0</v>
      </c>
      <c r="AX8" s="192">
        <v>0</v>
      </c>
      <c r="AY8" s="191">
        <v>0</v>
      </c>
      <c r="AZ8" s="192">
        <v>0</v>
      </c>
      <c r="BA8" s="192">
        <v>0</v>
      </c>
      <c r="BB8" s="192">
        <v>0</v>
      </c>
      <c r="BC8" s="192">
        <v>0</v>
      </c>
      <c r="BD8" s="192">
        <v>0</v>
      </c>
      <c r="BE8" s="192">
        <v>0</v>
      </c>
      <c r="BF8" s="192">
        <v>0</v>
      </c>
      <c r="BG8" s="192">
        <v>0</v>
      </c>
      <c r="BH8" s="192">
        <v>0</v>
      </c>
      <c r="BI8" s="192">
        <v>0</v>
      </c>
      <c r="BJ8" s="192">
        <v>0</v>
      </c>
      <c r="BK8" s="192">
        <v>0</v>
      </c>
      <c r="BL8" s="192">
        <v>0</v>
      </c>
      <c r="BM8" s="192">
        <v>0</v>
      </c>
      <c r="BN8" s="194">
        <v>0</v>
      </c>
    </row>
    <row r="9" spans="2:66" outlineLevel="1" x14ac:dyDescent="0.35">
      <c r="B9" s="180" t="s">
        <v>229</v>
      </c>
      <c r="C9" s="191">
        <v>38</v>
      </c>
      <c r="D9" s="192">
        <v>30</v>
      </c>
      <c r="E9" s="192">
        <v>35</v>
      </c>
      <c r="F9" s="192">
        <v>23</v>
      </c>
      <c r="G9" s="192">
        <v>25</v>
      </c>
      <c r="H9" s="192">
        <v>17</v>
      </c>
      <c r="I9" s="192">
        <v>17</v>
      </c>
      <c r="J9" s="192">
        <v>13</v>
      </c>
      <c r="K9" s="192">
        <v>12</v>
      </c>
      <c r="L9" s="192">
        <v>8</v>
      </c>
      <c r="M9" s="192">
        <v>33</v>
      </c>
      <c r="N9" s="192">
        <v>22</v>
      </c>
      <c r="O9" s="191">
        <v>38</v>
      </c>
      <c r="P9" s="192">
        <v>25</v>
      </c>
      <c r="Q9" s="192">
        <v>31</v>
      </c>
      <c r="R9" s="192">
        <v>21</v>
      </c>
      <c r="S9" s="192">
        <v>25</v>
      </c>
      <c r="T9" s="192">
        <v>19</v>
      </c>
      <c r="U9" s="192">
        <v>27</v>
      </c>
      <c r="V9" s="192">
        <v>17</v>
      </c>
      <c r="W9" s="192">
        <v>30</v>
      </c>
      <c r="X9" s="192">
        <v>21</v>
      </c>
      <c r="Y9" s="192">
        <v>26</v>
      </c>
      <c r="Z9" s="192">
        <v>18</v>
      </c>
      <c r="AA9" s="192">
        <v>19</v>
      </c>
      <c r="AB9" s="192">
        <v>13</v>
      </c>
      <c r="AC9" s="192">
        <v>38</v>
      </c>
      <c r="AD9" s="192">
        <v>24</v>
      </c>
      <c r="AE9" s="191">
        <v>40</v>
      </c>
      <c r="AF9" s="192">
        <v>25</v>
      </c>
      <c r="AG9" s="192">
        <v>37</v>
      </c>
      <c r="AH9" s="192">
        <v>20</v>
      </c>
      <c r="AI9" s="192">
        <v>33</v>
      </c>
      <c r="AJ9" s="192">
        <v>23</v>
      </c>
      <c r="AK9" s="192">
        <v>28</v>
      </c>
      <c r="AL9" s="192">
        <v>19</v>
      </c>
      <c r="AM9" s="192">
        <v>29</v>
      </c>
      <c r="AN9" s="192">
        <v>19</v>
      </c>
      <c r="AO9" s="192">
        <v>24</v>
      </c>
      <c r="AP9" s="192">
        <v>17</v>
      </c>
      <c r="AQ9" s="192">
        <v>32</v>
      </c>
      <c r="AR9" s="192">
        <v>20</v>
      </c>
      <c r="AS9" s="191">
        <v>39</v>
      </c>
      <c r="AT9" s="192">
        <v>27</v>
      </c>
      <c r="AU9" s="192">
        <v>21</v>
      </c>
      <c r="AV9" s="192">
        <v>15</v>
      </c>
      <c r="AW9" s="192">
        <v>14</v>
      </c>
      <c r="AX9" s="192">
        <v>11</v>
      </c>
      <c r="AY9" s="191">
        <v>37</v>
      </c>
      <c r="AZ9" s="192">
        <v>24</v>
      </c>
      <c r="BA9" s="192">
        <v>32</v>
      </c>
      <c r="BB9" s="192">
        <v>22</v>
      </c>
      <c r="BC9" s="192">
        <v>30</v>
      </c>
      <c r="BD9" s="192">
        <v>22</v>
      </c>
      <c r="BE9" s="192">
        <v>36</v>
      </c>
      <c r="BF9" s="192">
        <v>27</v>
      </c>
      <c r="BG9" s="192">
        <v>24</v>
      </c>
      <c r="BH9" s="192">
        <v>16</v>
      </c>
      <c r="BI9" s="192">
        <v>26</v>
      </c>
      <c r="BJ9" s="192">
        <v>18</v>
      </c>
      <c r="BK9" s="192">
        <v>31</v>
      </c>
      <c r="BL9" s="192">
        <v>17</v>
      </c>
      <c r="BM9" s="192">
        <v>24</v>
      </c>
      <c r="BN9" s="194">
        <v>17</v>
      </c>
    </row>
    <row r="10" spans="2:66" outlineLevel="1" x14ac:dyDescent="0.35">
      <c r="B10" s="180" t="s">
        <v>230</v>
      </c>
      <c r="C10" s="191">
        <v>0.69099999999999995</v>
      </c>
      <c r="D10" s="192">
        <v>0.41439999999999999</v>
      </c>
      <c r="E10" s="192">
        <v>0.35970000000000002</v>
      </c>
      <c r="F10" s="192">
        <v>0.2167</v>
      </c>
      <c r="G10" s="192">
        <v>0.1623</v>
      </c>
      <c r="H10" s="192">
        <v>9.7100000000000006E-2</v>
      </c>
      <c r="I10" s="192">
        <v>8.9599999999999999E-2</v>
      </c>
      <c r="J10" s="192">
        <v>5.6399999999999999E-2</v>
      </c>
      <c r="K10" s="192">
        <v>2.7699999999999999E-2</v>
      </c>
      <c r="L10" s="192">
        <v>1.6299999999999999E-2</v>
      </c>
      <c r="M10" s="192">
        <v>0.34489999999999998</v>
      </c>
      <c r="N10" s="192">
        <v>0.20960000000000001</v>
      </c>
      <c r="O10" s="191">
        <v>0.46810000000000002</v>
      </c>
      <c r="P10" s="192">
        <v>0.28249999999999997</v>
      </c>
      <c r="Q10" s="192">
        <v>0.3634</v>
      </c>
      <c r="R10" s="192">
        <v>0.2157</v>
      </c>
      <c r="S10" s="192">
        <v>0.21659999999999999</v>
      </c>
      <c r="T10" s="192">
        <v>0.12609999999999999</v>
      </c>
      <c r="U10" s="192">
        <v>0.24229999999999999</v>
      </c>
      <c r="V10" s="192">
        <v>0.14099999999999999</v>
      </c>
      <c r="W10" s="192">
        <v>0.22869999999999999</v>
      </c>
      <c r="X10" s="192">
        <v>0.13500000000000001</v>
      </c>
      <c r="Y10" s="192">
        <v>0.23499999999999999</v>
      </c>
      <c r="Z10" s="192">
        <v>0.1409</v>
      </c>
      <c r="AA10" s="192">
        <v>0.12089999999999999</v>
      </c>
      <c r="AB10" s="192">
        <v>7.4499999999999997E-2</v>
      </c>
      <c r="AC10" s="192">
        <v>0.51900000000000002</v>
      </c>
      <c r="AD10" s="192">
        <v>0.312</v>
      </c>
      <c r="AE10" s="191">
        <v>0.70750000000000002</v>
      </c>
      <c r="AF10" s="192">
        <v>0.42909999999999998</v>
      </c>
      <c r="AG10" s="192">
        <v>0.26669999999999999</v>
      </c>
      <c r="AH10" s="192">
        <v>0.16259999999999999</v>
      </c>
      <c r="AI10" s="192">
        <v>0.19409999999999999</v>
      </c>
      <c r="AJ10" s="192">
        <v>0.1166</v>
      </c>
      <c r="AK10" s="192">
        <v>0.251</v>
      </c>
      <c r="AL10" s="192">
        <v>0.1484</v>
      </c>
      <c r="AM10" s="192">
        <v>0.16170000000000001</v>
      </c>
      <c r="AN10" s="192">
        <v>9.5100000000000004E-2</v>
      </c>
      <c r="AO10" s="192">
        <v>0.1295</v>
      </c>
      <c r="AP10" s="192">
        <v>7.6600000000000001E-2</v>
      </c>
      <c r="AQ10" s="192">
        <v>0.24340000000000001</v>
      </c>
      <c r="AR10" s="192">
        <v>0.1467</v>
      </c>
      <c r="AS10" s="191">
        <v>0.50870000000000004</v>
      </c>
      <c r="AT10" s="192">
        <v>0.30790000000000001</v>
      </c>
      <c r="AU10" s="192">
        <v>4.48E-2</v>
      </c>
      <c r="AV10" s="192">
        <v>2.8199999999999999E-2</v>
      </c>
      <c r="AW10" s="192">
        <v>4.2200000000000001E-2</v>
      </c>
      <c r="AX10" s="192">
        <v>2.41E-2</v>
      </c>
      <c r="AY10" s="191">
        <v>0.6391</v>
      </c>
      <c r="AZ10" s="192">
        <v>0.38300000000000001</v>
      </c>
      <c r="BA10" s="192">
        <v>0.3115</v>
      </c>
      <c r="BB10" s="192">
        <v>0.18509999999999999</v>
      </c>
      <c r="BC10" s="192">
        <v>0.18010000000000001</v>
      </c>
      <c r="BD10" s="192">
        <v>0.10979999999999999</v>
      </c>
      <c r="BE10" s="192">
        <v>0.18049999999999999</v>
      </c>
      <c r="BF10" s="192">
        <v>0.10979999999999999</v>
      </c>
      <c r="BG10" s="192">
        <v>0.1663</v>
      </c>
      <c r="BH10" s="192">
        <v>9.9699999999999997E-2</v>
      </c>
      <c r="BI10" s="192">
        <v>0.151</v>
      </c>
      <c r="BJ10" s="192">
        <v>8.7499999999999994E-2</v>
      </c>
      <c r="BK10" s="192">
        <v>0.1469</v>
      </c>
      <c r="BL10" s="192">
        <v>8.9399999999999993E-2</v>
      </c>
      <c r="BM10" s="192">
        <v>0.1658</v>
      </c>
      <c r="BN10" s="194">
        <v>0.10249999999999999</v>
      </c>
    </row>
    <row r="11" spans="2:66" outlineLevel="1" x14ac:dyDescent="0.35">
      <c r="B11" s="180" t="s">
        <v>231</v>
      </c>
      <c r="C11" s="191">
        <v>0</v>
      </c>
      <c r="D11" s="192">
        <v>0</v>
      </c>
      <c r="E11" s="192">
        <v>0</v>
      </c>
      <c r="F11" s="192">
        <v>0</v>
      </c>
      <c r="G11" s="192">
        <v>0</v>
      </c>
      <c r="H11" s="192">
        <v>0</v>
      </c>
      <c r="I11" s="192">
        <v>0</v>
      </c>
      <c r="J11" s="192">
        <v>0</v>
      </c>
      <c r="K11" s="192">
        <v>0</v>
      </c>
      <c r="L11" s="192">
        <v>0</v>
      </c>
      <c r="M11" s="192">
        <v>0</v>
      </c>
      <c r="N11" s="192">
        <v>0</v>
      </c>
      <c r="O11" s="191">
        <v>0</v>
      </c>
      <c r="P11" s="192">
        <v>0</v>
      </c>
      <c r="Q11" s="192">
        <v>0</v>
      </c>
      <c r="R11" s="192">
        <v>0</v>
      </c>
      <c r="S11" s="192">
        <v>0</v>
      </c>
      <c r="T11" s="192">
        <v>0</v>
      </c>
      <c r="U11" s="192">
        <v>0</v>
      </c>
      <c r="V11" s="192">
        <v>0</v>
      </c>
      <c r="W11" s="192">
        <v>0</v>
      </c>
      <c r="X11" s="192">
        <v>0</v>
      </c>
      <c r="Y11" s="192">
        <v>0</v>
      </c>
      <c r="Z11" s="192">
        <v>0</v>
      </c>
      <c r="AA11" s="192">
        <v>0</v>
      </c>
      <c r="AB11" s="192">
        <v>0</v>
      </c>
      <c r="AC11" s="192">
        <v>0</v>
      </c>
      <c r="AD11" s="192">
        <v>0</v>
      </c>
      <c r="AE11" s="191">
        <v>0</v>
      </c>
      <c r="AF11" s="192">
        <v>0</v>
      </c>
      <c r="AG11" s="192">
        <v>0</v>
      </c>
      <c r="AH11" s="192">
        <v>0</v>
      </c>
      <c r="AI11" s="192">
        <v>0</v>
      </c>
      <c r="AJ11" s="192">
        <v>0</v>
      </c>
      <c r="AK11" s="192">
        <v>0</v>
      </c>
      <c r="AL11" s="192">
        <v>0</v>
      </c>
      <c r="AM11" s="192">
        <v>0</v>
      </c>
      <c r="AN11" s="192">
        <v>0</v>
      </c>
      <c r="AO11" s="192">
        <v>0</v>
      </c>
      <c r="AP11" s="192">
        <v>0</v>
      </c>
      <c r="AQ11" s="192">
        <v>0</v>
      </c>
      <c r="AR11" s="192">
        <v>0</v>
      </c>
      <c r="AS11" s="191">
        <v>0</v>
      </c>
      <c r="AT11" s="192">
        <v>0</v>
      </c>
      <c r="AU11" s="192">
        <v>0</v>
      </c>
      <c r="AV11" s="192">
        <v>0</v>
      </c>
      <c r="AW11" s="192">
        <v>0</v>
      </c>
      <c r="AX11" s="192">
        <v>0</v>
      </c>
      <c r="AY11" s="191">
        <v>0</v>
      </c>
      <c r="AZ11" s="192">
        <v>0</v>
      </c>
      <c r="BA11" s="192">
        <v>0</v>
      </c>
      <c r="BB11" s="192">
        <v>0</v>
      </c>
      <c r="BC11" s="192">
        <v>0</v>
      </c>
      <c r="BD11" s="192">
        <v>0</v>
      </c>
      <c r="BE11" s="192">
        <v>0</v>
      </c>
      <c r="BF11" s="192">
        <v>0</v>
      </c>
      <c r="BG11" s="192">
        <v>0</v>
      </c>
      <c r="BH11" s="192">
        <v>0</v>
      </c>
      <c r="BI11" s="192">
        <v>0</v>
      </c>
      <c r="BJ11" s="192">
        <v>0</v>
      </c>
      <c r="BK11" s="192">
        <v>0</v>
      </c>
      <c r="BL11" s="192">
        <v>0</v>
      </c>
      <c r="BM11" s="192">
        <v>0</v>
      </c>
      <c r="BN11" s="194">
        <v>0</v>
      </c>
    </row>
    <row r="12" spans="2:66" outlineLevel="1" x14ac:dyDescent="0.35">
      <c r="B12" s="180" t="s">
        <v>8</v>
      </c>
      <c r="C12" s="191">
        <v>0</v>
      </c>
      <c r="D12" s="192">
        <v>0</v>
      </c>
      <c r="E12" s="192">
        <v>0</v>
      </c>
      <c r="F12" s="192">
        <v>0</v>
      </c>
      <c r="G12" s="192">
        <v>0</v>
      </c>
      <c r="H12" s="192">
        <v>0</v>
      </c>
      <c r="I12" s="192">
        <v>0</v>
      </c>
      <c r="J12" s="192">
        <v>0</v>
      </c>
      <c r="K12" s="192">
        <v>0</v>
      </c>
      <c r="L12" s="192">
        <v>0</v>
      </c>
      <c r="M12" s="192">
        <v>0</v>
      </c>
      <c r="N12" s="192">
        <v>0</v>
      </c>
      <c r="O12" s="191">
        <v>0</v>
      </c>
      <c r="P12" s="192">
        <v>0</v>
      </c>
      <c r="Q12" s="192">
        <v>0</v>
      </c>
      <c r="R12" s="192">
        <v>0</v>
      </c>
      <c r="S12" s="192">
        <v>0</v>
      </c>
      <c r="T12" s="192">
        <v>0</v>
      </c>
      <c r="U12" s="192">
        <v>0</v>
      </c>
      <c r="V12" s="192">
        <v>0</v>
      </c>
      <c r="W12" s="192">
        <v>0</v>
      </c>
      <c r="X12" s="192">
        <v>0</v>
      </c>
      <c r="Y12" s="192">
        <v>0</v>
      </c>
      <c r="Z12" s="192">
        <v>0</v>
      </c>
      <c r="AA12" s="192">
        <v>0</v>
      </c>
      <c r="AB12" s="192">
        <v>0</v>
      </c>
      <c r="AC12" s="192">
        <v>0</v>
      </c>
      <c r="AD12" s="192">
        <v>0</v>
      </c>
      <c r="AE12" s="191">
        <v>0</v>
      </c>
      <c r="AF12" s="192">
        <v>0</v>
      </c>
      <c r="AG12" s="192">
        <v>0</v>
      </c>
      <c r="AH12" s="192">
        <v>0</v>
      </c>
      <c r="AI12" s="192">
        <v>0</v>
      </c>
      <c r="AJ12" s="192">
        <v>0</v>
      </c>
      <c r="AK12" s="192">
        <v>0</v>
      </c>
      <c r="AL12" s="192">
        <v>0</v>
      </c>
      <c r="AM12" s="192">
        <v>0</v>
      </c>
      <c r="AN12" s="192">
        <v>0</v>
      </c>
      <c r="AO12" s="192">
        <v>0</v>
      </c>
      <c r="AP12" s="192">
        <v>0</v>
      </c>
      <c r="AQ12" s="192">
        <v>0</v>
      </c>
      <c r="AR12" s="192">
        <v>0</v>
      </c>
      <c r="AS12" s="191">
        <v>0</v>
      </c>
      <c r="AT12" s="192">
        <v>0</v>
      </c>
      <c r="AU12" s="192">
        <v>0</v>
      </c>
      <c r="AV12" s="192">
        <v>0</v>
      </c>
      <c r="AW12" s="192">
        <v>0</v>
      </c>
      <c r="AX12" s="192">
        <v>0</v>
      </c>
      <c r="AY12" s="191">
        <v>0</v>
      </c>
      <c r="AZ12" s="192">
        <v>0</v>
      </c>
      <c r="BA12" s="192">
        <v>0</v>
      </c>
      <c r="BB12" s="192">
        <v>0</v>
      </c>
      <c r="BC12" s="192">
        <v>0</v>
      </c>
      <c r="BD12" s="192">
        <v>0</v>
      </c>
      <c r="BE12" s="192">
        <v>0</v>
      </c>
      <c r="BF12" s="192">
        <v>0</v>
      </c>
      <c r="BG12" s="192">
        <v>0</v>
      </c>
      <c r="BH12" s="192">
        <v>0</v>
      </c>
      <c r="BI12" s="192">
        <v>0</v>
      </c>
      <c r="BJ12" s="192">
        <v>0</v>
      </c>
      <c r="BK12" s="192">
        <v>0</v>
      </c>
      <c r="BL12" s="192">
        <v>0</v>
      </c>
      <c r="BM12" s="192">
        <v>0</v>
      </c>
      <c r="BN12" s="194">
        <v>0</v>
      </c>
    </row>
    <row r="13" spans="2:66" outlineLevel="1" x14ac:dyDescent="0.35">
      <c r="B13" s="180" t="s">
        <v>232</v>
      </c>
      <c r="C13" s="191">
        <v>2.5306045514738904</v>
      </c>
      <c r="D13" s="192">
        <v>1.5862926187900002</v>
      </c>
      <c r="E13" s="192">
        <v>1.8243488522959292</v>
      </c>
      <c r="F13" s="192">
        <v>1.1325499445664351</v>
      </c>
      <c r="G13" s="192">
        <v>0.97254989349119447</v>
      </c>
      <c r="H13" s="192">
        <v>0.61262477987112196</v>
      </c>
      <c r="I13" s="192">
        <v>0.61547519931516814</v>
      </c>
      <c r="J13" s="192">
        <v>0.4142899994211392</v>
      </c>
      <c r="K13" s="192">
        <v>0.33218028896135593</v>
      </c>
      <c r="L13" s="192">
        <v>0.22414132580447096</v>
      </c>
      <c r="M13" s="192">
        <v>1.7272644077363652</v>
      </c>
      <c r="N13" s="192">
        <v>1.0844286230748486</v>
      </c>
      <c r="O13" s="191">
        <v>2.0872992291013923</v>
      </c>
      <c r="P13" s="192">
        <v>1.2930819603163002</v>
      </c>
      <c r="Q13" s="192">
        <v>1.7518125826505127</v>
      </c>
      <c r="R13" s="192">
        <v>1.0883436769678314</v>
      </c>
      <c r="S13" s="192">
        <v>1.2349238614969618</v>
      </c>
      <c r="T13" s="192">
        <v>0.76554385618304177</v>
      </c>
      <c r="U13" s="192">
        <v>1.2548897102210161</v>
      </c>
      <c r="V13" s="192">
        <v>0.7616935195351654</v>
      </c>
      <c r="W13" s="192">
        <v>1.3187760336852894</v>
      </c>
      <c r="X13" s="192">
        <v>0.8354907566695946</v>
      </c>
      <c r="Y13" s="192">
        <v>1.2814597980121982</v>
      </c>
      <c r="Z13" s="192">
        <v>0.79919400717604028</v>
      </c>
      <c r="AA13" s="192">
        <v>0.78265218612386134</v>
      </c>
      <c r="AB13" s="192">
        <v>0.50987816934512742</v>
      </c>
      <c r="AC13" s="192">
        <v>2.21118247387964</v>
      </c>
      <c r="AD13" s="192">
        <v>1.3869565115159845</v>
      </c>
      <c r="AE13" s="191">
        <v>2.5832171900762573</v>
      </c>
      <c r="AF13" s="192">
        <v>1.635065911225976</v>
      </c>
      <c r="AG13" s="192">
        <v>1.3596161096414086</v>
      </c>
      <c r="AH13" s="192">
        <v>0.87409246865785395</v>
      </c>
      <c r="AI13" s="192">
        <v>1.2244080641317701</v>
      </c>
      <c r="AJ13" s="192">
        <v>0.7765724347893217</v>
      </c>
      <c r="AK13" s="192">
        <v>1.3665964139335296</v>
      </c>
      <c r="AL13" s="192">
        <v>0.86397458597368371</v>
      </c>
      <c r="AM13" s="192">
        <v>1.0389711526821999</v>
      </c>
      <c r="AN13" s="192">
        <v>0.66475572958639328</v>
      </c>
      <c r="AO13" s="192">
        <v>0.83330618017571667</v>
      </c>
      <c r="AP13" s="192">
        <v>0.52759859365581219</v>
      </c>
      <c r="AQ13" s="192">
        <v>1.4282718354863655</v>
      </c>
      <c r="AR13" s="192">
        <v>0.89042596314321731</v>
      </c>
      <c r="AS13" s="191">
        <v>2.2344627077576771</v>
      </c>
      <c r="AT13" s="192">
        <v>1.3905002477863122</v>
      </c>
      <c r="AU13" s="192">
        <v>0.4823030392006698</v>
      </c>
      <c r="AV13" s="192">
        <v>0.32529270132318611</v>
      </c>
      <c r="AW13" s="192">
        <v>0.41040955593209028</v>
      </c>
      <c r="AX13" s="192">
        <v>0.26631988778206367</v>
      </c>
      <c r="AY13" s="191">
        <v>2.4530089513270994</v>
      </c>
      <c r="AZ13" s="192">
        <v>1.5268084733887242</v>
      </c>
      <c r="BA13" s="192">
        <v>1.5893773504225039</v>
      </c>
      <c r="BB13" s="192">
        <v>0.96536582864649234</v>
      </c>
      <c r="BC13" s="192">
        <v>1.0811941953640529</v>
      </c>
      <c r="BD13" s="192">
        <v>0.69310316634678815</v>
      </c>
      <c r="BE13" s="192">
        <v>1.157174859459575</v>
      </c>
      <c r="BF13" s="192">
        <v>0.75046670814104277</v>
      </c>
      <c r="BG13" s="192">
        <v>1.0214443914695417</v>
      </c>
      <c r="BH13" s="192">
        <v>0.63450781714410498</v>
      </c>
      <c r="BI13" s="192">
        <v>0.94778100259651576</v>
      </c>
      <c r="BJ13" s="192">
        <v>0.58230375043076688</v>
      </c>
      <c r="BK13" s="192">
        <v>0.97407149200005971</v>
      </c>
      <c r="BL13" s="192">
        <v>0.63831683734528455</v>
      </c>
      <c r="BM13" s="192">
        <v>0.99840374648943331</v>
      </c>
      <c r="BN13" s="194">
        <v>0.63971452497767312</v>
      </c>
    </row>
    <row r="14" spans="2:66" outlineLevel="1" x14ac:dyDescent="0.35">
      <c r="B14" s="180" t="s">
        <v>233</v>
      </c>
      <c r="C14" s="192">
        <v>6.4039593959403707</v>
      </c>
      <c r="D14" s="192">
        <v>2.5163242724276365</v>
      </c>
      <c r="E14" s="192">
        <v>3.3282487348734739</v>
      </c>
      <c r="F14" s="192">
        <v>1.2826693769374351</v>
      </c>
      <c r="G14" s="192">
        <v>0.94585329532973372</v>
      </c>
      <c r="H14" s="192">
        <v>0.37530912091214058</v>
      </c>
      <c r="I14" s="192">
        <v>0.37880972097204596</v>
      </c>
      <c r="J14" s="192">
        <v>0.17163620362036752</v>
      </c>
      <c r="K14" s="192">
        <v>0.11034374437444992</v>
      </c>
      <c r="L14" s="192">
        <v>5.0239333933386005E-2</v>
      </c>
      <c r="M14" s="192">
        <v>2.9834423342328567</v>
      </c>
      <c r="N14" s="192">
        <v>1.1759854385440118</v>
      </c>
      <c r="O14" s="192">
        <v>4.3568180718072673</v>
      </c>
      <c r="P14" s="192">
        <v>1.6720609560954458</v>
      </c>
      <c r="Q14" s="192">
        <v>3.0688473247326593</v>
      </c>
      <c r="R14" s="192">
        <v>1.1844919591958596</v>
      </c>
      <c r="S14" s="192">
        <v>1.5250369436945674</v>
      </c>
      <c r="T14" s="192">
        <v>0.58605739573960181</v>
      </c>
      <c r="U14" s="192">
        <v>1.574748184818586</v>
      </c>
      <c r="V14" s="192">
        <v>0.58017701770186747</v>
      </c>
      <c r="W14" s="192">
        <v>1.7391702270227034</v>
      </c>
      <c r="X14" s="192">
        <v>0.69804480448033179</v>
      </c>
      <c r="Y14" s="192">
        <v>1.6421392139214641</v>
      </c>
      <c r="Z14" s="192">
        <v>0.63871106110609666</v>
      </c>
      <c r="AA14" s="192">
        <v>0.61254444444445921</v>
      </c>
      <c r="AB14" s="192">
        <v>0.25997574757473846</v>
      </c>
      <c r="AC14" s="192">
        <v>4.8893279327924839</v>
      </c>
      <c r="AD14" s="192">
        <v>1.9236483648365896</v>
      </c>
      <c r="AE14" s="192">
        <v>6.6730110511054743</v>
      </c>
      <c r="AF14" s="192">
        <v>2.6734405340532312</v>
      </c>
      <c r="AG14" s="192">
        <v>1.8485559655964385</v>
      </c>
      <c r="AH14" s="192">
        <v>0.76403764376438144</v>
      </c>
      <c r="AI14" s="192">
        <v>1.499175107510909</v>
      </c>
      <c r="AJ14" s="192">
        <v>0.60306474647461528</v>
      </c>
      <c r="AK14" s="192">
        <v>1.8675857585759832</v>
      </c>
      <c r="AL14" s="192">
        <v>0.74645208520839812</v>
      </c>
      <c r="AM14" s="192">
        <v>1.0794610561057791</v>
      </c>
      <c r="AN14" s="192">
        <v>0.44190018001793796</v>
      </c>
      <c r="AO14" s="192">
        <v>0.69439918991904392</v>
      </c>
      <c r="AP14" s="192">
        <v>0.27836027602759078</v>
      </c>
      <c r="AQ14" s="192">
        <v>2.0399604360435917</v>
      </c>
      <c r="AR14" s="192">
        <v>0.79285839583952611</v>
      </c>
      <c r="AS14" s="192">
        <v>4.9928235923597697</v>
      </c>
      <c r="AT14" s="192">
        <v>1.9334909390937955</v>
      </c>
      <c r="AU14" s="192">
        <v>0.23261622162220283</v>
      </c>
      <c r="AV14" s="192">
        <v>0.10581534153413558</v>
      </c>
      <c r="AW14" s="192">
        <v>0.16843600360037553</v>
      </c>
      <c r="AX14" s="192">
        <v>7.0926282628251E-2</v>
      </c>
      <c r="AY14" s="192">
        <v>6.0172529152908751</v>
      </c>
      <c r="AZ14" s="192">
        <v>2.3311441144116065</v>
      </c>
      <c r="BA14" s="192">
        <v>2.5261203620360591</v>
      </c>
      <c r="BB14" s="192">
        <v>0.93193118311832879</v>
      </c>
      <c r="BC14" s="192">
        <v>1.1689808880889219</v>
      </c>
      <c r="BD14" s="192">
        <v>0.48039199919994341</v>
      </c>
      <c r="BE14" s="192">
        <v>1.3390536553652872</v>
      </c>
      <c r="BF14" s="192">
        <v>0.563200280028053</v>
      </c>
      <c r="BG14" s="192">
        <v>1.0433486448645823</v>
      </c>
      <c r="BH14" s="192">
        <v>0.40260017001697701</v>
      </c>
      <c r="BI14" s="192">
        <v>0.89828882888285666</v>
      </c>
      <c r="BJ14" s="192">
        <v>0.33907765776573678</v>
      </c>
      <c r="BK14" s="192">
        <v>0.94881527152722245</v>
      </c>
      <c r="BL14" s="192">
        <v>0.4074483848384865</v>
      </c>
      <c r="BM14" s="192">
        <v>0.99681004100413662</v>
      </c>
      <c r="BN14" s="194">
        <v>0.40923467346740999</v>
      </c>
    </row>
    <row r="15" spans="2:66" outlineLevel="1" x14ac:dyDescent="0.35">
      <c r="B15" s="180" t="s">
        <v>234</v>
      </c>
      <c r="C15" s="192">
        <v>7.8581794582267559</v>
      </c>
      <c r="D15" s="192">
        <v>8.0499247003149641</v>
      </c>
      <c r="E15" s="192">
        <v>10.163581985118759</v>
      </c>
      <c r="F15" s="192">
        <v>10.019576835796967</v>
      </c>
      <c r="G15" s="192">
        <v>12.267908197366337</v>
      </c>
      <c r="H15" s="192">
        <v>12.201046779741956</v>
      </c>
      <c r="I15" s="192">
        <v>13.536524879669509</v>
      </c>
      <c r="J15" s="192">
        <v>13.473608252444857</v>
      </c>
      <c r="K15" s="192">
        <v>22.119084793514588</v>
      </c>
      <c r="L15" s="192">
        <v>24.467537139815786</v>
      </c>
      <c r="M15" s="192">
        <v>9.9413263417852118</v>
      </c>
      <c r="N15" s="192">
        <v>9.9277655043038102</v>
      </c>
      <c r="O15" s="192">
        <v>9.5499095950788266</v>
      </c>
      <c r="P15" s="192">
        <v>9.7352682728043192</v>
      </c>
      <c r="Q15" s="192">
        <v>9.4486413841196093</v>
      </c>
      <c r="R15" s="192">
        <v>9.4959291879879064</v>
      </c>
      <c r="S15" s="192">
        <v>10.713095232750401</v>
      </c>
      <c r="T15" s="192">
        <v>11.347172079361467</v>
      </c>
      <c r="U15" s="192">
        <v>11.041374628728732</v>
      </c>
      <c r="V15" s="192">
        <v>10.489291396867719</v>
      </c>
      <c r="W15" s="192">
        <v>11.992654213437802</v>
      </c>
      <c r="X15" s="192">
        <v>12.320116928775642</v>
      </c>
      <c r="Y15" s="192">
        <v>11.715539954228063</v>
      </c>
      <c r="Z15" s="192">
        <v>11.422959024573668</v>
      </c>
      <c r="AA15" s="192">
        <v>12.281680965126325</v>
      </c>
      <c r="AB15" s="192">
        <v>12.404429121101499</v>
      </c>
      <c r="AC15" s="192">
        <v>9.0295987124233132</v>
      </c>
      <c r="AD15" s="192">
        <v>8.9069919409679876</v>
      </c>
      <c r="AE15" s="192">
        <v>7.539594162100534</v>
      </c>
      <c r="AF15" s="192">
        <v>7.5295115884507737</v>
      </c>
      <c r="AG15" s="192">
        <v>11.151697292918191</v>
      </c>
      <c r="AH15" s="192">
        <v>11.010498838563302</v>
      </c>
      <c r="AI15" s="192">
        <v>13.797490522106948</v>
      </c>
      <c r="AJ15" s="192">
        <v>13.667912340316771</v>
      </c>
      <c r="AK15" s="192">
        <v>11.115565172668123</v>
      </c>
      <c r="AL15" s="192">
        <v>11.670212336457899</v>
      </c>
      <c r="AM15" s="192">
        <v>13.849966341610809</v>
      </c>
      <c r="AN15" s="192">
        <v>14.320200915767073</v>
      </c>
      <c r="AO15" s="192">
        <v>13.742687269188673</v>
      </c>
      <c r="AP15" s="192">
        <v>14.120772771773419</v>
      </c>
      <c r="AQ15" s="192">
        <v>11.650302895890889</v>
      </c>
      <c r="AR15" s="192">
        <v>11.565016535345055</v>
      </c>
      <c r="AS15" s="192">
        <v>8.9452602668570265</v>
      </c>
      <c r="AT15" s="192">
        <v>8.8036640181112809</v>
      </c>
      <c r="AU15" s="192">
        <v>23.524429744862562</v>
      </c>
      <c r="AV15" s="192">
        <v>24.446702247950785</v>
      </c>
      <c r="AW15" s="192">
        <v>18.394704249208306</v>
      </c>
      <c r="AX15" s="192">
        <v>19.27398079804016</v>
      </c>
      <c r="AY15" s="192">
        <v>7.7692019070036542</v>
      </c>
      <c r="AZ15" s="192">
        <v>7.6948009636409234</v>
      </c>
      <c r="BA15" s="192">
        <v>10.525570374578413</v>
      </c>
      <c r="BB15" s="192">
        <v>10.516866800346403</v>
      </c>
      <c r="BC15" s="192">
        <v>13.331780758016624</v>
      </c>
      <c r="BD15" s="192">
        <v>13.63285693617812</v>
      </c>
      <c r="BE15" s="192">
        <v>14.625176630545552</v>
      </c>
      <c r="BF15" s="192">
        <v>15.485952557033201</v>
      </c>
      <c r="BG15" s="192">
        <v>13.000176677057803</v>
      </c>
      <c r="BH15" s="192">
        <v>13.135529745677738</v>
      </c>
      <c r="BI15" s="192">
        <v>14.323704538026695</v>
      </c>
      <c r="BJ15" s="192">
        <v>13.740680071783641</v>
      </c>
      <c r="BK15" s="192">
        <v>15.523606192251977</v>
      </c>
      <c r="BL15" s="192">
        <v>14.943737508727239</v>
      </c>
      <c r="BM15" s="192">
        <v>12.417354501602915</v>
      </c>
      <c r="BN15" s="194">
        <v>12.217863264396357</v>
      </c>
    </row>
    <row r="16" spans="2:66" outlineLevel="1" x14ac:dyDescent="0.35">
      <c r="B16" s="180" t="s">
        <v>235</v>
      </c>
      <c r="C16" s="192">
        <v>79.780162626819958</v>
      </c>
      <c r="D16" s="192">
        <v>88.014704703734679</v>
      </c>
      <c r="E16" s="192">
        <v>129.43941153326119</v>
      </c>
      <c r="F16" s="192">
        <v>129.60177322881634</v>
      </c>
      <c r="G16" s="192">
        <v>194.82663742546291</v>
      </c>
      <c r="H16" s="192">
        <v>203.50620320736982</v>
      </c>
      <c r="I16" s="192">
        <v>247.10794495993204</v>
      </c>
      <c r="J16" s="192">
        <v>257.45352163796139</v>
      </c>
      <c r="K16" s="192">
        <v>604.31021496287997</v>
      </c>
      <c r="L16" s="192">
        <v>754.11965353441667</v>
      </c>
      <c r="M16" s="192">
        <v>122.36232186777842</v>
      </c>
      <c r="N16" s="192">
        <v>126.09934516466278</v>
      </c>
      <c r="O16" s="192">
        <v>116.61309704206826</v>
      </c>
      <c r="P16" s="192">
        <v>126.40416448439959</v>
      </c>
      <c r="Q16" s="192">
        <v>111.51494236116741</v>
      </c>
      <c r="R16" s="192">
        <v>114.8025007680473</v>
      </c>
      <c r="S16" s="192">
        <v>146.11829444382786</v>
      </c>
      <c r="T16" s="192">
        <v>173.9054385373305</v>
      </c>
      <c r="U16" s="192">
        <v>159.46921540072387</v>
      </c>
      <c r="V16" s="192">
        <v>148.43580164998542</v>
      </c>
      <c r="W16" s="192">
        <v>184.90008209505478</v>
      </c>
      <c r="X16" s="192">
        <v>197.36293074921028</v>
      </c>
      <c r="Y16" s="192">
        <v>173.78085530518871</v>
      </c>
      <c r="Z16" s="192">
        <v>170.82195320662015</v>
      </c>
      <c r="AA16" s="192">
        <v>201.03014529444135</v>
      </c>
      <c r="AB16" s="192">
        <v>213.61095103679716</v>
      </c>
      <c r="AC16" s="192">
        <v>104.53071117589246</v>
      </c>
      <c r="AD16" s="192">
        <v>103.81798024286898</v>
      </c>
      <c r="AE16" s="192">
        <v>71.579496799510494</v>
      </c>
      <c r="AF16" s="192">
        <v>72.780509311248309</v>
      </c>
      <c r="AG16" s="192">
        <v>170.48508834786966</v>
      </c>
      <c r="AH16" s="192">
        <v>162.14773415190825</v>
      </c>
      <c r="AI16" s="192">
        <v>250.71006278352056</v>
      </c>
      <c r="AJ16" s="192">
        <v>255.08876496491547</v>
      </c>
      <c r="AK16" s="192">
        <v>158.15977573917371</v>
      </c>
      <c r="AL16" s="192">
        <v>176.66663034924176</v>
      </c>
      <c r="AM16" s="192">
        <v>254.27701009964358</v>
      </c>
      <c r="AN16" s="192">
        <v>276.19957549927307</v>
      </c>
      <c r="AO16" s="192">
        <v>251.9801414263269</v>
      </c>
      <c r="AP16" s="192">
        <v>282.34289225936607</v>
      </c>
      <c r="AQ16" s="192">
        <v>173.48535336618605</v>
      </c>
      <c r="AR16" s="192">
        <v>174.87553170317238</v>
      </c>
      <c r="AS16" s="192">
        <v>101.66302455585125</v>
      </c>
      <c r="AT16" s="192">
        <v>102.16961417566142</v>
      </c>
      <c r="AU16" s="192">
        <v>765.9084162593208</v>
      </c>
      <c r="AV16" s="192">
        <v>842.89492994785132</v>
      </c>
      <c r="AW16" s="192">
        <v>452.45205688773376</v>
      </c>
      <c r="AX16" s="192">
        <v>518.27203679834793</v>
      </c>
      <c r="AY16" s="192">
        <v>75.837978575276807</v>
      </c>
      <c r="AZ16" s="192">
        <v>76.006347675869122</v>
      </c>
      <c r="BA16" s="192">
        <v>141.45803238967059</v>
      </c>
      <c r="BB16" s="192">
        <v>148.61015034479641</v>
      </c>
      <c r="BC16" s="192">
        <v>238.9209242798789</v>
      </c>
      <c r="BD16" s="192">
        <v>267.13736917239675</v>
      </c>
      <c r="BE16" s="192">
        <v>284.74206433051069</v>
      </c>
      <c r="BF16" s="192">
        <v>342.70025442227762</v>
      </c>
      <c r="BG16" s="192">
        <v>216.08640403349349</v>
      </c>
      <c r="BH16" s="192">
        <v>235.42912109075135</v>
      </c>
      <c r="BI16" s="192">
        <v>277.52153904743119</v>
      </c>
      <c r="BJ16" s="192">
        <v>267.97132474391037</v>
      </c>
      <c r="BK16" s="192">
        <v>328.16234270311929</v>
      </c>
      <c r="BL16" s="192">
        <v>299.83617795847306</v>
      </c>
      <c r="BM16" s="192">
        <v>204.47664651167094</v>
      </c>
      <c r="BN16" s="194">
        <v>207.7790342067579</v>
      </c>
    </row>
    <row r="17" spans="2:66" outlineLevel="1" x14ac:dyDescent="0.35">
      <c r="B17" s="180" t="s">
        <v>236</v>
      </c>
      <c r="C17" s="195">
        <v>0</v>
      </c>
      <c r="D17" s="195">
        <v>0</v>
      </c>
      <c r="E17" s="195">
        <v>0</v>
      </c>
      <c r="F17" s="195">
        <v>0</v>
      </c>
      <c r="G17" s="195">
        <v>0</v>
      </c>
      <c r="H17" s="195">
        <v>0</v>
      </c>
      <c r="I17" s="195">
        <v>0</v>
      </c>
      <c r="J17" s="195">
        <v>0</v>
      </c>
      <c r="K17" s="195">
        <v>0</v>
      </c>
      <c r="L17" s="195">
        <v>0</v>
      </c>
      <c r="M17" s="195">
        <v>0</v>
      </c>
      <c r="N17" s="195">
        <v>0</v>
      </c>
      <c r="O17" s="195">
        <v>0</v>
      </c>
      <c r="P17" s="195">
        <v>0</v>
      </c>
      <c r="Q17" s="195">
        <v>0</v>
      </c>
      <c r="R17" s="195">
        <v>0</v>
      </c>
      <c r="S17" s="195">
        <v>0</v>
      </c>
      <c r="T17" s="195">
        <v>0</v>
      </c>
      <c r="U17" s="195">
        <v>0</v>
      </c>
      <c r="V17" s="195">
        <v>0</v>
      </c>
      <c r="W17" s="195">
        <v>0</v>
      </c>
      <c r="X17" s="195">
        <v>0</v>
      </c>
      <c r="Y17" s="195">
        <v>0</v>
      </c>
      <c r="Z17" s="195">
        <v>0</v>
      </c>
      <c r="AA17" s="195">
        <v>0</v>
      </c>
      <c r="AB17" s="195">
        <v>0</v>
      </c>
      <c r="AC17" s="195">
        <v>0</v>
      </c>
      <c r="AD17" s="195">
        <v>0</v>
      </c>
      <c r="AE17" s="195">
        <v>0</v>
      </c>
      <c r="AF17" s="195">
        <v>0</v>
      </c>
      <c r="AG17" s="195">
        <v>0</v>
      </c>
      <c r="AH17" s="195">
        <v>0</v>
      </c>
      <c r="AI17" s="195">
        <v>0</v>
      </c>
      <c r="AJ17" s="195">
        <v>0</v>
      </c>
      <c r="AK17" s="195">
        <v>0</v>
      </c>
      <c r="AL17" s="195">
        <v>0</v>
      </c>
      <c r="AM17" s="195">
        <v>0</v>
      </c>
      <c r="AN17" s="195">
        <v>0</v>
      </c>
      <c r="AO17" s="195">
        <v>0</v>
      </c>
      <c r="AP17" s="195">
        <v>0</v>
      </c>
      <c r="AQ17" s="195">
        <v>0</v>
      </c>
      <c r="AR17" s="195">
        <v>0</v>
      </c>
      <c r="AS17" s="195">
        <v>0</v>
      </c>
      <c r="AT17" s="195">
        <v>0</v>
      </c>
      <c r="AU17" s="195">
        <v>0</v>
      </c>
      <c r="AV17" s="195">
        <v>0</v>
      </c>
      <c r="AW17" s="195">
        <v>0</v>
      </c>
      <c r="AX17" s="195">
        <v>0</v>
      </c>
      <c r="AY17" s="195">
        <v>0</v>
      </c>
      <c r="AZ17" s="195">
        <v>0</v>
      </c>
      <c r="BA17" s="195">
        <v>0</v>
      </c>
      <c r="BB17" s="195">
        <v>0</v>
      </c>
      <c r="BC17" s="195">
        <v>0</v>
      </c>
      <c r="BD17" s="195">
        <v>0</v>
      </c>
      <c r="BE17" s="195">
        <v>0</v>
      </c>
      <c r="BF17" s="195">
        <v>0</v>
      </c>
      <c r="BG17" s="195">
        <v>0</v>
      </c>
      <c r="BH17" s="195">
        <v>0</v>
      </c>
      <c r="BI17" s="195">
        <v>0</v>
      </c>
      <c r="BJ17" s="195">
        <v>0</v>
      </c>
      <c r="BK17" s="195">
        <v>0</v>
      </c>
      <c r="BL17" s="195">
        <v>0</v>
      </c>
      <c r="BM17" s="195">
        <v>0</v>
      </c>
      <c r="BN17" s="196">
        <v>0</v>
      </c>
    </row>
    <row r="18" spans="2:66" x14ac:dyDescent="0.35">
      <c r="B18" s="200" t="s">
        <v>237</v>
      </c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1"/>
      <c r="BL18" s="201"/>
      <c r="BM18" s="201"/>
      <c r="BN18" s="202"/>
    </row>
    <row r="19" spans="2:66" outlineLevel="1" x14ac:dyDescent="0.35">
      <c r="B19" s="181">
        <v>0.01</v>
      </c>
      <c r="C19" s="191">
        <v>0</v>
      </c>
      <c r="D19" s="192">
        <v>0</v>
      </c>
      <c r="E19" s="192">
        <v>0</v>
      </c>
      <c r="F19" s="192">
        <v>0</v>
      </c>
      <c r="G19" s="192">
        <v>0</v>
      </c>
      <c r="H19" s="192">
        <v>0</v>
      </c>
      <c r="I19" s="192">
        <v>0</v>
      </c>
      <c r="J19" s="192">
        <v>0</v>
      </c>
      <c r="K19" s="192">
        <v>0</v>
      </c>
      <c r="L19" s="192">
        <v>0</v>
      </c>
      <c r="M19" s="192">
        <v>0</v>
      </c>
      <c r="N19" s="192">
        <v>0</v>
      </c>
      <c r="O19" s="191">
        <v>0</v>
      </c>
      <c r="P19" s="192">
        <v>0</v>
      </c>
      <c r="Q19" s="192">
        <v>0</v>
      </c>
      <c r="R19" s="192">
        <v>0</v>
      </c>
      <c r="S19" s="192">
        <v>0</v>
      </c>
      <c r="T19" s="192">
        <v>0</v>
      </c>
      <c r="U19" s="192">
        <v>0</v>
      </c>
      <c r="V19" s="192">
        <v>0</v>
      </c>
      <c r="W19" s="192">
        <v>0</v>
      </c>
      <c r="X19" s="192">
        <v>0</v>
      </c>
      <c r="Y19" s="192">
        <v>0</v>
      </c>
      <c r="Z19" s="192">
        <v>0</v>
      </c>
      <c r="AA19" s="192">
        <v>0</v>
      </c>
      <c r="AB19" s="192">
        <v>0</v>
      </c>
      <c r="AC19" s="192">
        <v>0</v>
      </c>
      <c r="AD19" s="192">
        <v>0</v>
      </c>
      <c r="AE19" s="191">
        <v>0</v>
      </c>
      <c r="AF19" s="192">
        <v>0</v>
      </c>
      <c r="AG19" s="192">
        <v>0</v>
      </c>
      <c r="AH19" s="192">
        <v>0</v>
      </c>
      <c r="AI19" s="192">
        <v>0</v>
      </c>
      <c r="AJ19" s="192">
        <v>0</v>
      </c>
      <c r="AK19" s="192">
        <v>0</v>
      </c>
      <c r="AL19" s="192">
        <v>0</v>
      </c>
      <c r="AM19" s="192">
        <v>0</v>
      </c>
      <c r="AN19" s="192">
        <v>0</v>
      </c>
      <c r="AO19" s="192">
        <v>0</v>
      </c>
      <c r="AP19" s="192">
        <v>0</v>
      </c>
      <c r="AQ19" s="192">
        <v>0</v>
      </c>
      <c r="AR19" s="192">
        <v>0</v>
      </c>
      <c r="AS19" s="191">
        <v>0</v>
      </c>
      <c r="AT19" s="192">
        <v>0</v>
      </c>
      <c r="AU19" s="192">
        <v>0</v>
      </c>
      <c r="AV19" s="192">
        <v>0</v>
      </c>
      <c r="AW19" s="192">
        <v>0</v>
      </c>
      <c r="AX19" s="192">
        <v>0</v>
      </c>
      <c r="AY19" s="191">
        <v>0</v>
      </c>
      <c r="AZ19" s="192">
        <v>0</v>
      </c>
      <c r="BA19" s="192">
        <v>0</v>
      </c>
      <c r="BB19" s="192">
        <v>0</v>
      </c>
      <c r="BC19" s="192">
        <v>0</v>
      </c>
      <c r="BD19" s="192">
        <v>0</v>
      </c>
      <c r="BE19" s="192">
        <v>0</v>
      </c>
      <c r="BF19" s="192">
        <v>0</v>
      </c>
      <c r="BG19" s="192">
        <v>0</v>
      </c>
      <c r="BH19" s="192">
        <v>0</v>
      </c>
      <c r="BI19" s="192">
        <v>0</v>
      </c>
      <c r="BJ19" s="192">
        <v>0</v>
      </c>
      <c r="BK19" s="192">
        <v>0</v>
      </c>
      <c r="BL19" s="192">
        <v>0</v>
      </c>
      <c r="BM19" s="192">
        <v>0</v>
      </c>
      <c r="BN19" s="194">
        <v>0</v>
      </c>
    </row>
    <row r="20" spans="2:66" outlineLevel="1" x14ac:dyDescent="0.35">
      <c r="B20" s="181">
        <v>2.5000000000000001E-2</v>
      </c>
      <c r="C20" s="191">
        <v>0</v>
      </c>
      <c r="D20" s="192">
        <v>0</v>
      </c>
      <c r="E20" s="192">
        <v>0</v>
      </c>
      <c r="F20" s="192">
        <v>0</v>
      </c>
      <c r="G20" s="192">
        <v>0</v>
      </c>
      <c r="H20" s="192">
        <v>0</v>
      </c>
      <c r="I20" s="192">
        <v>0</v>
      </c>
      <c r="J20" s="192">
        <v>0</v>
      </c>
      <c r="K20" s="192">
        <v>0</v>
      </c>
      <c r="L20" s="192">
        <v>0</v>
      </c>
      <c r="M20" s="192">
        <v>0</v>
      </c>
      <c r="N20" s="192">
        <v>0</v>
      </c>
      <c r="O20" s="191">
        <v>0</v>
      </c>
      <c r="P20" s="192">
        <v>0</v>
      </c>
      <c r="Q20" s="192">
        <v>0</v>
      </c>
      <c r="R20" s="192">
        <v>0</v>
      </c>
      <c r="S20" s="192">
        <v>0</v>
      </c>
      <c r="T20" s="192">
        <v>0</v>
      </c>
      <c r="U20" s="192">
        <v>0</v>
      </c>
      <c r="V20" s="192">
        <v>0</v>
      </c>
      <c r="W20" s="192">
        <v>0</v>
      </c>
      <c r="X20" s="192">
        <v>0</v>
      </c>
      <c r="Y20" s="192">
        <v>0</v>
      </c>
      <c r="Z20" s="192">
        <v>0</v>
      </c>
      <c r="AA20" s="192">
        <v>0</v>
      </c>
      <c r="AB20" s="192">
        <v>0</v>
      </c>
      <c r="AC20" s="192">
        <v>0</v>
      </c>
      <c r="AD20" s="192">
        <v>0</v>
      </c>
      <c r="AE20" s="191">
        <v>0</v>
      </c>
      <c r="AF20" s="192">
        <v>0</v>
      </c>
      <c r="AG20" s="192">
        <v>0</v>
      </c>
      <c r="AH20" s="192">
        <v>0</v>
      </c>
      <c r="AI20" s="192">
        <v>0</v>
      </c>
      <c r="AJ20" s="192">
        <v>0</v>
      </c>
      <c r="AK20" s="192">
        <v>0</v>
      </c>
      <c r="AL20" s="192">
        <v>0</v>
      </c>
      <c r="AM20" s="192">
        <v>0</v>
      </c>
      <c r="AN20" s="192">
        <v>0</v>
      </c>
      <c r="AO20" s="192">
        <v>0</v>
      </c>
      <c r="AP20" s="192">
        <v>0</v>
      </c>
      <c r="AQ20" s="192">
        <v>0</v>
      </c>
      <c r="AR20" s="192">
        <v>0</v>
      </c>
      <c r="AS20" s="191">
        <v>0</v>
      </c>
      <c r="AT20" s="192">
        <v>0</v>
      </c>
      <c r="AU20" s="192">
        <v>0</v>
      </c>
      <c r="AV20" s="192">
        <v>0</v>
      </c>
      <c r="AW20" s="192">
        <v>0</v>
      </c>
      <c r="AX20" s="192">
        <v>0</v>
      </c>
      <c r="AY20" s="191">
        <v>0</v>
      </c>
      <c r="AZ20" s="192">
        <v>0</v>
      </c>
      <c r="BA20" s="192">
        <v>0</v>
      </c>
      <c r="BB20" s="192">
        <v>0</v>
      </c>
      <c r="BC20" s="192">
        <v>0</v>
      </c>
      <c r="BD20" s="192">
        <v>0</v>
      </c>
      <c r="BE20" s="192">
        <v>0</v>
      </c>
      <c r="BF20" s="192">
        <v>0</v>
      </c>
      <c r="BG20" s="192">
        <v>0</v>
      </c>
      <c r="BH20" s="192">
        <v>0</v>
      </c>
      <c r="BI20" s="192">
        <v>0</v>
      </c>
      <c r="BJ20" s="192">
        <v>0</v>
      </c>
      <c r="BK20" s="192">
        <v>0</v>
      </c>
      <c r="BL20" s="192">
        <v>0</v>
      </c>
      <c r="BM20" s="192">
        <v>0</v>
      </c>
      <c r="BN20" s="194">
        <v>0</v>
      </c>
    </row>
    <row r="21" spans="2:66" outlineLevel="1" x14ac:dyDescent="0.35">
      <c r="B21" s="181">
        <v>0.05</v>
      </c>
      <c r="C21" s="191">
        <v>0</v>
      </c>
      <c r="D21" s="192">
        <v>0</v>
      </c>
      <c r="E21" s="192">
        <v>0</v>
      </c>
      <c r="F21" s="192">
        <v>0</v>
      </c>
      <c r="G21" s="192">
        <v>0</v>
      </c>
      <c r="H21" s="192">
        <v>0</v>
      </c>
      <c r="I21" s="192">
        <v>0</v>
      </c>
      <c r="J21" s="192">
        <v>0</v>
      </c>
      <c r="K21" s="192">
        <v>0</v>
      </c>
      <c r="L21" s="192">
        <v>0</v>
      </c>
      <c r="M21" s="192">
        <v>0</v>
      </c>
      <c r="N21" s="192">
        <v>0</v>
      </c>
      <c r="O21" s="191">
        <v>0</v>
      </c>
      <c r="P21" s="192">
        <v>0</v>
      </c>
      <c r="Q21" s="192">
        <v>0</v>
      </c>
      <c r="R21" s="192">
        <v>0</v>
      </c>
      <c r="S21" s="192">
        <v>0</v>
      </c>
      <c r="T21" s="192">
        <v>0</v>
      </c>
      <c r="U21" s="192">
        <v>0</v>
      </c>
      <c r="V21" s="192">
        <v>0</v>
      </c>
      <c r="W21" s="192">
        <v>0</v>
      </c>
      <c r="X21" s="192">
        <v>0</v>
      </c>
      <c r="Y21" s="192">
        <v>0</v>
      </c>
      <c r="Z21" s="192">
        <v>0</v>
      </c>
      <c r="AA21" s="192">
        <v>0</v>
      </c>
      <c r="AB21" s="192">
        <v>0</v>
      </c>
      <c r="AC21" s="192">
        <v>0</v>
      </c>
      <c r="AD21" s="192">
        <v>0</v>
      </c>
      <c r="AE21" s="191">
        <v>0</v>
      </c>
      <c r="AF21" s="192">
        <v>0</v>
      </c>
      <c r="AG21" s="192">
        <v>0</v>
      </c>
      <c r="AH21" s="192">
        <v>0</v>
      </c>
      <c r="AI21" s="192">
        <v>0</v>
      </c>
      <c r="AJ21" s="192">
        <v>0</v>
      </c>
      <c r="AK21" s="192">
        <v>0</v>
      </c>
      <c r="AL21" s="192">
        <v>0</v>
      </c>
      <c r="AM21" s="192">
        <v>0</v>
      </c>
      <c r="AN21" s="192">
        <v>0</v>
      </c>
      <c r="AO21" s="192">
        <v>0</v>
      </c>
      <c r="AP21" s="192">
        <v>0</v>
      </c>
      <c r="AQ21" s="192">
        <v>0</v>
      </c>
      <c r="AR21" s="192">
        <v>0</v>
      </c>
      <c r="AS21" s="191">
        <v>0</v>
      </c>
      <c r="AT21" s="192">
        <v>0</v>
      </c>
      <c r="AU21" s="192">
        <v>0</v>
      </c>
      <c r="AV21" s="192">
        <v>0</v>
      </c>
      <c r="AW21" s="192">
        <v>0</v>
      </c>
      <c r="AX21" s="192">
        <v>0</v>
      </c>
      <c r="AY21" s="191">
        <v>0</v>
      </c>
      <c r="AZ21" s="192">
        <v>0</v>
      </c>
      <c r="BA21" s="192">
        <v>0</v>
      </c>
      <c r="BB21" s="192">
        <v>0</v>
      </c>
      <c r="BC21" s="192">
        <v>0</v>
      </c>
      <c r="BD21" s="192">
        <v>0</v>
      </c>
      <c r="BE21" s="192">
        <v>0</v>
      </c>
      <c r="BF21" s="192">
        <v>0</v>
      </c>
      <c r="BG21" s="192">
        <v>0</v>
      </c>
      <c r="BH21" s="192">
        <v>0</v>
      </c>
      <c r="BI21" s="192">
        <v>0</v>
      </c>
      <c r="BJ21" s="192">
        <v>0</v>
      </c>
      <c r="BK21" s="192">
        <v>0</v>
      </c>
      <c r="BL21" s="192">
        <v>0</v>
      </c>
      <c r="BM21" s="192">
        <v>0</v>
      </c>
      <c r="BN21" s="194">
        <v>0</v>
      </c>
    </row>
    <row r="22" spans="2:66" outlineLevel="1" x14ac:dyDescent="0.35">
      <c r="B22" s="181">
        <v>0.1</v>
      </c>
      <c r="C22" s="191">
        <v>0</v>
      </c>
      <c r="D22" s="192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v>0</v>
      </c>
      <c r="J22" s="192">
        <v>0</v>
      </c>
      <c r="K22" s="192">
        <v>0</v>
      </c>
      <c r="L22" s="192">
        <v>0</v>
      </c>
      <c r="M22" s="192">
        <v>0</v>
      </c>
      <c r="N22" s="192">
        <v>0</v>
      </c>
      <c r="O22" s="191">
        <v>0</v>
      </c>
      <c r="P22" s="192">
        <v>0</v>
      </c>
      <c r="Q22" s="192">
        <v>0</v>
      </c>
      <c r="R22" s="192">
        <v>0</v>
      </c>
      <c r="S22" s="192">
        <v>0</v>
      </c>
      <c r="T22" s="192">
        <v>0</v>
      </c>
      <c r="U22" s="192">
        <v>0</v>
      </c>
      <c r="V22" s="192">
        <v>0</v>
      </c>
      <c r="W22" s="192">
        <v>0</v>
      </c>
      <c r="X22" s="192">
        <v>0</v>
      </c>
      <c r="Y22" s="192">
        <v>0</v>
      </c>
      <c r="Z22" s="192">
        <v>0</v>
      </c>
      <c r="AA22" s="192">
        <v>0</v>
      </c>
      <c r="AB22" s="192">
        <v>0</v>
      </c>
      <c r="AC22" s="192">
        <v>0</v>
      </c>
      <c r="AD22" s="192">
        <v>0</v>
      </c>
      <c r="AE22" s="191">
        <v>0</v>
      </c>
      <c r="AF22" s="192">
        <v>0</v>
      </c>
      <c r="AG22" s="192">
        <v>0</v>
      </c>
      <c r="AH22" s="192">
        <v>0</v>
      </c>
      <c r="AI22" s="192">
        <v>0</v>
      </c>
      <c r="AJ22" s="192">
        <v>0</v>
      </c>
      <c r="AK22" s="192">
        <v>0</v>
      </c>
      <c r="AL22" s="192">
        <v>0</v>
      </c>
      <c r="AM22" s="192">
        <v>0</v>
      </c>
      <c r="AN22" s="192">
        <v>0</v>
      </c>
      <c r="AO22" s="192">
        <v>0</v>
      </c>
      <c r="AP22" s="192">
        <v>0</v>
      </c>
      <c r="AQ22" s="192">
        <v>0</v>
      </c>
      <c r="AR22" s="192">
        <v>0</v>
      </c>
      <c r="AS22" s="191">
        <v>0</v>
      </c>
      <c r="AT22" s="192">
        <v>0</v>
      </c>
      <c r="AU22" s="192">
        <v>0</v>
      </c>
      <c r="AV22" s="192">
        <v>0</v>
      </c>
      <c r="AW22" s="192">
        <v>0</v>
      </c>
      <c r="AX22" s="192">
        <v>0</v>
      </c>
      <c r="AY22" s="191">
        <v>0</v>
      </c>
      <c r="AZ22" s="192">
        <v>0</v>
      </c>
      <c r="BA22" s="192">
        <v>0</v>
      </c>
      <c r="BB22" s="192">
        <v>0</v>
      </c>
      <c r="BC22" s="192">
        <v>0</v>
      </c>
      <c r="BD22" s="192">
        <v>0</v>
      </c>
      <c r="BE22" s="192">
        <v>0</v>
      </c>
      <c r="BF22" s="192">
        <v>0</v>
      </c>
      <c r="BG22" s="192">
        <v>0</v>
      </c>
      <c r="BH22" s="192">
        <v>0</v>
      </c>
      <c r="BI22" s="192">
        <v>0</v>
      </c>
      <c r="BJ22" s="192">
        <v>0</v>
      </c>
      <c r="BK22" s="192">
        <v>0</v>
      </c>
      <c r="BL22" s="192">
        <v>0</v>
      </c>
      <c r="BM22" s="192">
        <v>0</v>
      </c>
      <c r="BN22" s="194">
        <v>0</v>
      </c>
    </row>
    <row r="23" spans="2:66" outlineLevel="1" x14ac:dyDescent="0.35">
      <c r="B23" s="181">
        <v>0.2</v>
      </c>
      <c r="C23" s="191">
        <v>0</v>
      </c>
      <c r="D23" s="192">
        <v>0</v>
      </c>
      <c r="E23" s="192">
        <v>0</v>
      </c>
      <c r="F23" s="192">
        <v>0</v>
      </c>
      <c r="G23" s="192">
        <v>0</v>
      </c>
      <c r="H23" s="192">
        <v>0</v>
      </c>
      <c r="I23" s="192">
        <v>0</v>
      </c>
      <c r="J23" s="192">
        <v>0</v>
      </c>
      <c r="K23" s="192">
        <v>0</v>
      </c>
      <c r="L23" s="192">
        <v>0</v>
      </c>
      <c r="M23" s="192">
        <v>0</v>
      </c>
      <c r="N23" s="192">
        <v>0</v>
      </c>
      <c r="O23" s="191">
        <v>0</v>
      </c>
      <c r="P23" s="192">
        <v>0</v>
      </c>
      <c r="Q23" s="192">
        <v>0</v>
      </c>
      <c r="R23" s="192">
        <v>0</v>
      </c>
      <c r="S23" s="192">
        <v>0</v>
      </c>
      <c r="T23" s="192">
        <v>0</v>
      </c>
      <c r="U23" s="192">
        <v>0</v>
      </c>
      <c r="V23" s="192">
        <v>0</v>
      </c>
      <c r="W23" s="192">
        <v>0</v>
      </c>
      <c r="X23" s="192">
        <v>0</v>
      </c>
      <c r="Y23" s="192">
        <v>0</v>
      </c>
      <c r="Z23" s="192">
        <v>0</v>
      </c>
      <c r="AA23" s="192">
        <v>0</v>
      </c>
      <c r="AB23" s="192">
        <v>0</v>
      </c>
      <c r="AC23" s="192">
        <v>0</v>
      </c>
      <c r="AD23" s="192">
        <v>0</v>
      </c>
      <c r="AE23" s="191">
        <v>0</v>
      </c>
      <c r="AF23" s="192">
        <v>0</v>
      </c>
      <c r="AG23" s="192">
        <v>0</v>
      </c>
      <c r="AH23" s="192">
        <v>0</v>
      </c>
      <c r="AI23" s="192">
        <v>0</v>
      </c>
      <c r="AJ23" s="192">
        <v>0</v>
      </c>
      <c r="AK23" s="192">
        <v>0</v>
      </c>
      <c r="AL23" s="192">
        <v>0</v>
      </c>
      <c r="AM23" s="192">
        <v>0</v>
      </c>
      <c r="AN23" s="192">
        <v>0</v>
      </c>
      <c r="AO23" s="192">
        <v>0</v>
      </c>
      <c r="AP23" s="192">
        <v>0</v>
      </c>
      <c r="AQ23" s="192">
        <v>0</v>
      </c>
      <c r="AR23" s="192">
        <v>0</v>
      </c>
      <c r="AS23" s="191">
        <v>0</v>
      </c>
      <c r="AT23" s="192">
        <v>0</v>
      </c>
      <c r="AU23" s="192">
        <v>0</v>
      </c>
      <c r="AV23" s="192">
        <v>0</v>
      </c>
      <c r="AW23" s="192">
        <v>0</v>
      </c>
      <c r="AX23" s="192">
        <v>0</v>
      </c>
      <c r="AY23" s="191">
        <v>0</v>
      </c>
      <c r="AZ23" s="192">
        <v>0</v>
      </c>
      <c r="BA23" s="192">
        <v>0</v>
      </c>
      <c r="BB23" s="192">
        <v>0</v>
      </c>
      <c r="BC23" s="192">
        <v>0</v>
      </c>
      <c r="BD23" s="192">
        <v>0</v>
      </c>
      <c r="BE23" s="192">
        <v>0</v>
      </c>
      <c r="BF23" s="192">
        <v>0</v>
      </c>
      <c r="BG23" s="192">
        <v>0</v>
      </c>
      <c r="BH23" s="192">
        <v>0</v>
      </c>
      <c r="BI23" s="192">
        <v>0</v>
      </c>
      <c r="BJ23" s="192">
        <v>0</v>
      </c>
      <c r="BK23" s="192">
        <v>0</v>
      </c>
      <c r="BL23" s="192">
        <v>0</v>
      </c>
      <c r="BM23" s="192">
        <v>0</v>
      </c>
      <c r="BN23" s="194">
        <v>0</v>
      </c>
    </row>
    <row r="24" spans="2:66" outlineLevel="1" x14ac:dyDescent="0.35">
      <c r="B24" s="181">
        <v>0.25</v>
      </c>
      <c r="C24" s="191">
        <v>0</v>
      </c>
      <c r="D24" s="192">
        <v>0</v>
      </c>
      <c r="E24" s="192">
        <v>0</v>
      </c>
      <c r="F24" s="192">
        <v>0</v>
      </c>
      <c r="G24" s="192">
        <v>0</v>
      </c>
      <c r="H24" s="192">
        <v>0</v>
      </c>
      <c r="I24" s="192">
        <v>0</v>
      </c>
      <c r="J24" s="192">
        <v>0</v>
      </c>
      <c r="K24" s="192">
        <v>0</v>
      </c>
      <c r="L24" s="192">
        <v>0</v>
      </c>
      <c r="M24" s="192">
        <v>0</v>
      </c>
      <c r="N24" s="192">
        <v>0</v>
      </c>
      <c r="O24" s="191">
        <v>0</v>
      </c>
      <c r="P24" s="192">
        <v>0</v>
      </c>
      <c r="Q24" s="192">
        <v>0</v>
      </c>
      <c r="R24" s="192">
        <v>0</v>
      </c>
      <c r="S24" s="192">
        <v>0</v>
      </c>
      <c r="T24" s="192">
        <v>0</v>
      </c>
      <c r="U24" s="192">
        <v>0</v>
      </c>
      <c r="V24" s="192">
        <v>0</v>
      </c>
      <c r="W24" s="192">
        <v>0</v>
      </c>
      <c r="X24" s="192">
        <v>0</v>
      </c>
      <c r="Y24" s="192">
        <v>0</v>
      </c>
      <c r="Z24" s="192">
        <v>0</v>
      </c>
      <c r="AA24" s="192">
        <v>0</v>
      </c>
      <c r="AB24" s="192">
        <v>0</v>
      </c>
      <c r="AC24" s="192">
        <v>0</v>
      </c>
      <c r="AD24" s="192">
        <v>0</v>
      </c>
      <c r="AE24" s="191">
        <v>0</v>
      </c>
      <c r="AF24" s="192">
        <v>0</v>
      </c>
      <c r="AG24" s="192">
        <v>0</v>
      </c>
      <c r="AH24" s="192">
        <v>0</v>
      </c>
      <c r="AI24" s="192">
        <v>0</v>
      </c>
      <c r="AJ24" s="192">
        <v>0</v>
      </c>
      <c r="AK24" s="192">
        <v>0</v>
      </c>
      <c r="AL24" s="192">
        <v>0</v>
      </c>
      <c r="AM24" s="192">
        <v>0</v>
      </c>
      <c r="AN24" s="192">
        <v>0</v>
      </c>
      <c r="AO24" s="192">
        <v>0</v>
      </c>
      <c r="AP24" s="192">
        <v>0</v>
      </c>
      <c r="AQ24" s="192">
        <v>0</v>
      </c>
      <c r="AR24" s="192">
        <v>0</v>
      </c>
      <c r="AS24" s="191">
        <v>0</v>
      </c>
      <c r="AT24" s="192">
        <v>0</v>
      </c>
      <c r="AU24" s="192">
        <v>0</v>
      </c>
      <c r="AV24" s="192">
        <v>0</v>
      </c>
      <c r="AW24" s="192">
        <v>0</v>
      </c>
      <c r="AX24" s="192">
        <v>0</v>
      </c>
      <c r="AY24" s="191">
        <v>0</v>
      </c>
      <c r="AZ24" s="192">
        <v>0</v>
      </c>
      <c r="BA24" s="192">
        <v>0</v>
      </c>
      <c r="BB24" s="192">
        <v>0</v>
      </c>
      <c r="BC24" s="192">
        <v>0</v>
      </c>
      <c r="BD24" s="192">
        <v>0</v>
      </c>
      <c r="BE24" s="192">
        <v>0</v>
      </c>
      <c r="BF24" s="192">
        <v>0</v>
      </c>
      <c r="BG24" s="192">
        <v>0</v>
      </c>
      <c r="BH24" s="192">
        <v>0</v>
      </c>
      <c r="BI24" s="192">
        <v>0</v>
      </c>
      <c r="BJ24" s="192">
        <v>0</v>
      </c>
      <c r="BK24" s="192">
        <v>0</v>
      </c>
      <c r="BL24" s="192">
        <v>0</v>
      </c>
      <c r="BM24" s="192">
        <v>0</v>
      </c>
      <c r="BN24" s="194">
        <v>0</v>
      </c>
    </row>
    <row r="25" spans="2:66" outlineLevel="1" x14ac:dyDescent="0.35">
      <c r="B25" s="181">
        <v>0.3</v>
      </c>
      <c r="C25" s="191">
        <v>0</v>
      </c>
      <c r="D25" s="192">
        <v>0</v>
      </c>
      <c r="E25" s="192">
        <v>0</v>
      </c>
      <c r="F25" s="192">
        <v>0</v>
      </c>
      <c r="G25" s="192">
        <v>0</v>
      </c>
      <c r="H25" s="192">
        <v>0</v>
      </c>
      <c r="I25" s="192">
        <v>0</v>
      </c>
      <c r="J25" s="192">
        <v>0</v>
      </c>
      <c r="K25" s="192">
        <v>0</v>
      </c>
      <c r="L25" s="192">
        <v>0</v>
      </c>
      <c r="M25" s="192">
        <v>0</v>
      </c>
      <c r="N25" s="192">
        <v>0</v>
      </c>
      <c r="O25" s="191">
        <v>0</v>
      </c>
      <c r="P25" s="192">
        <v>0</v>
      </c>
      <c r="Q25" s="192">
        <v>0</v>
      </c>
      <c r="R25" s="192">
        <v>0</v>
      </c>
      <c r="S25" s="192">
        <v>0</v>
      </c>
      <c r="T25" s="192">
        <v>0</v>
      </c>
      <c r="U25" s="192">
        <v>0</v>
      </c>
      <c r="V25" s="192">
        <v>0</v>
      </c>
      <c r="W25" s="192">
        <v>0</v>
      </c>
      <c r="X25" s="192">
        <v>0</v>
      </c>
      <c r="Y25" s="192">
        <v>0</v>
      </c>
      <c r="Z25" s="192">
        <v>0</v>
      </c>
      <c r="AA25" s="192">
        <v>0</v>
      </c>
      <c r="AB25" s="192">
        <v>0</v>
      </c>
      <c r="AC25" s="192">
        <v>0</v>
      </c>
      <c r="AD25" s="192">
        <v>0</v>
      </c>
      <c r="AE25" s="191">
        <v>0</v>
      </c>
      <c r="AF25" s="192">
        <v>0</v>
      </c>
      <c r="AG25" s="192">
        <v>0</v>
      </c>
      <c r="AH25" s="192">
        <v>0</v>
      </c>
      <c r="AI25" s="192">
        <v>0</v>
      </c>
      <c r="AJ25" s="192">
        <v>0</v>
      </c>
      <c r="AK25" s="192">
        <v>0</v>
      </c>
      <c r="AL25" s="192">
        <v>0</v>
      </c>
      <c r="AM25" s="192">
        <v>0</v>
      </c>
      <c r="AN25" s="192">
        <v>0</v>
      </c>
      <c r="AO25" s="192">
        <v>0</v>
      </c>
      <c r="AP25" s="192">
        <v>0</v>
      </c>
      <c r="AQ25" s="192">
        <v>0</v>
      </c>
      <c r="AR25" s="192">
        <v>0</v>
      </c>
      <c r="AS25" s="191">
        <v>0</v>
      </c>
      <c r="AT25" s="192">
        <v>0</v>
      </c>
      <c r="AU25" s="192">
        <v>0</v>
      </c>
      <c r="AV25" s="192">
        <v>0</v>
      </c>
      <c r="AW25" s="192">
        <v>0</v>
      </c>
      <c r="AX25" s="192">
        <v>0</v>
      </c>
      <c r="AY25" s="191">
        <v>0</v>
      </c>
      <c r="AZ25" s="192">
        <v>0</v>
      </c>
      <c r="BA25" s="192">
        <v>0</v>
      </c>
      <c r="BB25" s="192">
        <v>0</v>
      </c>
      <c r="BC25" s="192">
        <v>0</v>
      </c>
      <c r="BD25" s="192">
        <v>0</v>
      </c>
      <c r="BE25" s="192">
        <v>0</v>
      </c>
      <c r="BF25" s="192">
        <v>0</v>
      </c>
      <c r="BG25" s="192">
        <v>0</v>
      </c>
      <c r="BH25" s="192">
        <v>0</v>
      </c>
      <c r="BI25" s="192">
        <v>0</v>
      </c>
      <c r="BJ25" s="192">
        <v>0</v>
      </c>
      <c r="BK25" s="192">
        <v>0</v>
      </c>
      <c r="BL25" s="192">
        <v>0</v>
      </c>
      <c r="BM25" s="192">
        <v>0</v>
      </c>
      <c r="BN25" s="194">
        <v>0</v>
      </c>
    </row>
    <row r="26" spans="2:66" outlineLevel="1" x14ac:dyDescent="0.35">
      <c r="B26" s="181">
        <v>0.35</v>
      </c>
      <c r="C26" s="191">
        <v>0</v>
      </c>
      <c r="D26" s="192">
        <v>0</v>
      </c>
      <c r="E26" s="192">
        <v>0</v>
      </c>
      <c r="F26" s="192">
        <v>0</v>
      </c>
      <c r="G26" s="192">
        <v>0</v>
      </c>
      <c r="H26" s="192">
        <v>0</v>
      </c>
      <c r="I26" s="192">
        <v>0</v>
      </c>
      <c r="J26" s="192">
        <v>0</v>
      </c>
      <c r="K26" s="192">
        <v>0</v>
      </c>
      <c r="L26" s="192">
        <v>0</v>
      </c>
      <c r="M26" s="192">
        <v>0</v>
      </c>
      <c r="N26" s="192">
        <v>0</v>
      </c>
      <c r="O26" s="191">
        <v>0</v>
      </c>
      <c r="P26" s="192">
        <v>0</v>
      </c>
      <c r="Q26" s="192">
        <v>0</v>
      </c>
      <c r="R26" s="192">
        <v>0</v>
      </c>
      <c r="S26" s="192">
        <v>0</v>
      </c>
      <c r="T26" s="192">
        <v>0</v>
      </c>
      <c r="U26" s="192">
        <v>0</v>
      </c>
      <c r="V26" s="192">
        <v>0</v>
      </c>
      <c r="W26" s="192">
        <v>0</v>
      </c>
      <c r="X26" s="192">
        <v>0</v>
      </c>
      <c r="Y26" s="192">
        <v>0</v>
      </c>
      <c r="Z26" s="192">
        <v>0</v>
      </c>
      <c r="AA26" s="192">
        <v>0</v>
      </c>
      <c r="AB26" s="192">
        <v>0</v>
      </c>
      <c r="AC26" s="192">
        <v>0</v>
      </c>
      <c r="AD26" s="192">
        <v>0</v>
      </c>
      <c r="AE26" s="191">
        <v>0</v>
      </c>
      <c r="AF26" s="192">
        <v>0</v>
      </c>
      <c r="AG26" s="192">
        <v>0</v>
      </c>
      <c r="AH26" s="192">
        <v>0</v>
      </c>
      <c r="AI26" s="192">
        <v>0</v>
      </c>
      <c r="AJ26" s="192">
        <v>0</v>
      </c>
      <c r="AK26" s="192">
        <v>0</v>
      </c>
      <c r="AL26" s="192">
        <v>0</v>
      </c>
      <c r="AM26" s="192">
        <v>0</v>
      </c>
      <c r="AN26" s="192">
        <v>0</v>
      </c>
      <c r="AO26" s="192">
        <v>0</v>
      </c>
      <c r="AP26" s="192">
        <v>0</v>
      </c>
      <c r="AQ26" s="192">
        <v>0</v>
      </c>
      <c r="AR26" s="192">
        <v>0</v>
      </c>
      <c r="AS26" s="191">
        <v>0</v>
      </c>
      <c r="AT26" s="192">
        <v>0</v>
      </c>
      <c r="AU26" s="192">
        <v>0</v>
      </c>
      <c r="AV26" s="192">
        <v>0</v>
      </c>
      <c r="AW26" s="192">
        <v>0</v>
      </c>
      <c r="AX26" s="192">
        <v>0</v>
      </c>
      <c r="AY26" s="191">
        <v>0</v>
      </c>
      <c r="AZ26" s="192">
        <v>0</v>
      </c>
      <c r="BA26" s="192">
        <v>0</v>
      </c>
      <c r="BB26" s="192">
        <v>0</v>
      </c>
      <c r="BC26" s="192">
        <v>0</v>
      </c>
      <c r="BD26" s="192">
        <v>0</v>
      </c>
      <c r="BE26" s="192">
        <v>0</v>
      </c>
      <c r="BF26" s="192">
        <v>0</v>
      </c>
      <c r="BG26" s="192">
        <v>0</v>
      </c>
      <c r="BH26" s="192">
        <v>0</v>
      </c>
      <c r="BI26" s="192">
        <v>0</v>
      </c>
      <c r="BJ26" s="192">
        <v>0</v>
      </c>
      <c r="BK26" s="192">
        <v>0</v>
      </c>
      <c r="BL26" s="192">
        <v>0</v>
      </c>
      <c r="BM26" s="192">
        <v>0</v>
      </c>
      <c r="BN26" s="194">
        <v>0</v>
      </c>
    </row>
    <row r="27" spans="2:66" outlineLevel="1" x14ac:dyDescent="0.35">
      <c r="B27" s="181">
        <v>0.4</v>
      </c>
      <c r="C27" s="191">
        <v>0</v>
      </c>
      <c r="D27" s="192">
        <v>0</v>
      </c>
      <c r="E27" s="192">
        <v>0</v>
      </c>
      <c r="F27" s="192">
        <v>0</v>
      </c>
      <c r="G27" s="192">
        <v>0</v>
      </c>
      <c r="H27" s="192">
        <v>0</v>
      </c>
      <c r="I27" s="192">
        <v>0</v>
      </c>
      <c r="J27" s="192">
        <v>0</v>
      </c>
      <c r="K27" s="192">
        <v>0</v>
      </c>
      <c r="L27" s="192">
        <v>0</v>
      </c>
      <c r="M27" s="192">
        <v>0</v>
      </c>
      <c r="N27" s="192">
        <v>0</v>
      </c>
      <c r="O27" s="191">
        <v>0</v>
      </c>
      <c r="P27" s="192">
        <v>0</v>
      </c>
      <c r="Q27" s="192">
        <v>0</v>
      </c>
      <c r="R27" s="192">
        <v>0</v>
      </c>
      <c r="S27" s="192">
        <v>0</v>
      </c>
      <c r="T27" s="192">
        <v>0</v>
      </c>
      <c r="U27" s="192">
        <v>0</v>
      </c>
      <c r="V27" s="192">
        <v>0</v>
      </c>
      <c r="W27" s="192">
        <v>0</v>
      </c>
      <c r="X27" s="192">
        <v>0</v>
      </c>
      <c r="Y27" s="192">
        <v>0</v>
      </c>
      <c r="Z27" s="192">
        <v>0</v>
      </c>
      <c r="AA27" s="192">
        <v>0</v>
      </c>
      <c r="AB27" s="192">
        <v>0</v>
      </c>
      <c r="AC27" s="192">
        <v>0</v>
      </c>
      <c r="AD27" s="192">
        <v>0</v>
      </c>
      <c r="AE27" s="191">
        <v>0</v>
      </c>
      <c r="AF27" s="192">
        <v>0</v>
      </c>
      <c r="AG27" s="192">
        <v>0</v>
      </c>
      <c r="AH27" s="192">
        <v>0</v>
      </c>
      <c r="AI27" s="192">
        <v>0</v>
      </c>
      <c r="AJ27" s="192">
        <v>0</v>
      </c>
      <c r="AK27" s="192">
        <v>0</v>
      </c>
      <c r="AL27" s="192">
        <v>0</v>
      </c>
      <c r="AM27" s="192">
        <v>0</v>
      </c>
      <c r="AN27" s="192">
        <v>0</v>
      </c>
      <c r="AO27" s="192">
        <v>0</v>
      </c>
      <c r="AP27" s="192">
        <v>0</v>
      </c>
      <c r="AQ27" s="192">
        <v>0</v>
      </c>
      <c r="AR27" s="192">
        <v>0</v>
      </c>
      <c r="AS27" s="191">
        <v>0</v>
      </c>
      <c r="AT27" s="192">
        <v>0</v>
      </c>
      <c r="AU27" s="192">
        <v>0</v>
      </c>
      <c r="AV27" s="192">
        <v>0</v>
      </c>
      <c r="AW27" s="192">
        <v>0</v>
      </c>
      <c r="AX27" s="192">
        <v>0</v>
      </c>
      <c r="AY27" s="191">
        <v>0</v>
      </c>
      <c r="AZ27" s="192">
        <v>0</v>
      </c>
      <c r="BA27" s="192">
        <v>0</v>
      </c>
      <c r="BB27" s="192">
        <v>0</v>
      </c>
      <c r="BC27" s="192">
        <v>0</v>
      </c>
      <c r="BD27" s="192">
        <v>0</v>
      </c>
      <c r="BE27" s="192">
        <v>0</v>
      </c>
      <c r="BF27" s="192">
        <v>0</v>
      </c>
      <c r="BG27" s="192">
        <v>0</v>
      </c>
      <c r="BH27" s="192">
        <v>0</v>
      </c>
      <c r="BI27" s="192">
        <v>0</v>
      </c>
      <c r="BJ27" s="192">
        <v>0</v>
      </c>
      <c r="BK27" s="192">
        <v>0</v>
      </c>
      <c r="BL27" s="192">
        <v>0</v>
      </c>
      <c r="BM27" s="192">
        <v>0</v>
      </c>
      <c r="BN27" s="194">
        <v>0</v>
      </c>
    </row>
    <row r="28" spans="2:66" outlineLevel="1" x14ac:dyDescent="0.35">
      <c r="B28" s="181">
        <v>0.45</v>
      </c>
      <c r="C28" s="191">
        <v>0</v>
      </c>
      <c r="D28" s="192">
        <v>0</v>
      </c>
      <c r="E28" s="192">
        <v>0</v>
      </c>
      <c r="F28" s="192">
        <v>0</v>
      </c>
      <c r="G28" s="192">
        <v>0</v>
      </c>
      <c r="H28" s="192">
        <v>0</v>
      </c>
      <c r="I28" s="192">
        <v>0</v>
      </c>
      <c r="J28" s="192">
        <v>0</v>
      </c>
      <c r="K28" s="192">
        <v>0</v>
      </c>
      <c r="L28" s="192">
        <v>0</v>
      </c>
      <c r="M28" s="192">
        <v>0</v>
      </c>
      <c r="N28" s="192">
        <v>0</v>
      </c>
      <c r="O28" s="191">
        <v>0</v>
      </c>
      <c r="P28" s="192">
        <v>0</v>
      </c>
      <c r="Q28" s="192">
        <v>0</v>
      </c>
      <c r="R28" s="192">
        <v>0</v>
      </c>
      <c r="S28" s="192">
        <v>0</v>
      </c>
      <c r="T28" s="192">
        <v>0</v>
      </c>
      <c r="U28" s="192">
        <v>0</v>
      </c>
      <c r="V28" s="192">
        <v>0</v>
      </c>
      <c r="W28" s="192">
        <v>0</v>
      </c>
      <c r="X28" s="192">
        <v>0</v>
      </c>
      <c r="Y28" s="192">
        <v>0</v>
      </c>
      <c r="Z28" s="192">
        <v>0</v>
      </c>
      <c r="AA28" s="192">
        <v>0</v>
      </c>
      <c r="AB28" s="192">
        <v>0</v>
      </c>
      <c r="AC28" s="192">
        <v>0</v>
      </c>
      <c r="AD28" s="192">
        <v>0</v>
      </c>
      <c r="AE28" s="191">
        <v>0</v>
      </c>
      <c r="AF28" s="192">
        <v>0</v>
      </c>
      <c r="AG28" s="192">
        <v>0</v>
      </c>
      <c r="AH28" s="192">
        <v>0</v>
      </c>
      <c r="AI28" s="192">
        <v>0</v>
      </c>
      <c r="AJ28" s="192">
        <v>0</v>
      </c>
      <c r="AK28" s="192">
        <v>0</v>
      </c>
      <c r="AL28" s="192">
        <v>0</v>
      </c>
      <c r="AM28" s="192">
        <v>0</v>
      </c>
      <c r="AN28" s="192">
        <v>0</v>
      </c>
      <c r="AO28" s="192">
        <v>0</v>
      </c>
      <c r="AP28" s="192">
        <v>0</v>
      </c>
      <c r="AQ28" s="192">
        <v>0</v>
      </c>
      <c r="AR28" s="192">
        <v>0</v>
      </c>
      <c r="AS28" s="191">
        <v>0</v>
      </c>
      <c r="AT28" s="192">
        <v>0</v>
      </c>
      <c r="AU28" s="192">
        <v>0</v>
      </c>
      <c r="AV28" s="192">
        <v>0</v>
      </c>
      <c r="AW28" s="192">
        <v>0</v>
      </c>
      <c r="AX28" s="192">
        <v>0</v>
      </c>
      <c r="AY28" s="191">
        <v>0</v>
      </c>
      <c r="AZ28" s="192">
        <v>0</v>
      </c>
      <c r="BA28" s="192">
        <v>0</v>
      </c>
      <c r="BB28" s="192">
        <v>0</v>
      </c>
      <c r="BC28" s="192">
        <v>0</v>
      </c>
      <c r="BD28" s="192">
        <v>0</v>
      </c>
      <c r="BE28" s="192">
        <v>0</v>
      </c>
      <c r="BF28" s="192">
        <v>0</v>
      </c>
      <c r="BG28" s="192">
        <v>0</v>
      </c>
      <c r="BH28" s="192">
        <v>0</v>
      </c>
      <c r="BI28" s="192">
        <v>0</v>
      </c>
      <c r="BJ28" s="192">
        <v>0</v>
      </c>
      <c r="BK28" s="192">
        <v>0</v>
      </c>
      <c r="BL28" s="192">
        <v>0</v>
      </c>
      <c r="BM28" s="192">
        <v>0</v>
      </c>
      <c r="BN28" s="194">
        <v>0</v>
      </c>
    </row>
    <row r="29" spans="2:66" outlineLevel="1" x14ac:dyDescent="0.35">
      <c r="B29" s="181">
        <v>0.5</v>
      </c>
      <c r="C29" s="191">
        <v>0</v>
      </c>
      <c r="D29" s="192">
        <v>0</v>
      </c>
      <c r="E29" s="192">
        <v>0</v>
      </c>
      <c r="F29" s="192">
        <v>0</v>
      </c>
      <c r="G29" s="192">
        <v>0</v>
      </c>
      <c r="H29" s="192">
        <v>0</v>
      </c>
      <c r="I29" s="192">
        <v>0</v>
      </c>
      <c r="J29" s="192">
        <v>0</v>
      </c>
      <c r="K29" s="192">
        <v>0</v>
      </c>
      <c r="L29" s="192">
        <v>0</v>
      </c>
      <c r="M29" s="192">
        <v>0</v>
      </c>
      <c r="N29" s="192">
        <v>0</v>
      </c>
      <c r="O29" s="191">
        <v>0</v>
      </c>
      <c r="P29" s="192">
        <v>0</v>
      </c>
      <c r="Q29" s="192">
        <v>0</v>
      </c>
      <c r="R29" s="192">
        <v>0</v>
      </c>
      <c r="S29" s="192">
        <v>0</v>
      </c>
      <c r="T29" s="192">
        <v>0</v>
      </c>
      <c r="U29" s="192">
        <v>0</v>
      </c>
      <c r="V29" s="192">
        <v>0</v>
      </c>
      <c r="W29" s="192">
        <v>0</v>
      </c>
      <c r="X29" s="192">
        <v>0</v>
      </c>
      <c r="Y29" s="192">
        <v>0</v>
      </c>
      <c r="Z29" s="192">
        <v>0</v>
      </c>
      <c r="AA29" s="192">
        <v>0</v>
      </c>
      <c r="AB29" s="192">
        <v>0</v>
      </c>
      <c r="AC29" s="192">
        <v>0</v>
      </c>
      <c r="AD29" s="192">
        <v>0</v>
      </c>
      <c r="AE29" s="191">
        <v>0</v>
      </c>
      <c r="AF29" s="192">
        <v>0</v>
      </c>
      <c r="AG29" s="192">
        <v>0</v>
      </c>
      <c r="AH29" s="192">
        <v>0</v>
      </c>
      <c r="AI29" s="192">
        <v>0</v>
      </c>
      <c r="AJ29" s="192">
        <v>0</v>
      </c>
      <c r="AK29" s="192">
        <v>0</v>
      </c>
      <c r="AL29" s="192">
        <v>0</v>
      </c>
      <c r="AM29" s="192">
        <v>0</v>
      </c>
      <c r="AN29" s="192">
        <v>0</v>
      </c>
      <c r="AO29" s="192">
        <v>0</v>
      </c>
      <c r="AP29" s="192">
        <v>0</v>
      </c>
      <c r="AQ29" s="192">
        <v>0</v>
      </c>
      <c r="AR29" s="192">
        <v>0</v>
      </c>
      <c r="AS29" s="191">
        <v>0</v>
      </c>
      <c r="AT29" s="192">
        <v>0</v>
      </c>
      <c r="AU29" s="192">
        <v>0</v>
      </c>
      <c r="AV29" s="192">
        <v>0</v>
      </c>
      <c r="AW29" s="192">
        <v>0</v>
      </c>
      <c r="AX29" s="192">
        <v>0</v>
      </c>
      <c r="AY29" s="191">
        <v>0</v>
      </c>
      <c r="AZ29" s="192">
        <v>0</v>
      </c>
      <c r="BA29" s="192">
        <v>0</v>
      </c>
      <c r="BB29" s="192">
        <v>0</v>
      </c>
      <c r="BC29" s="192">
        <v>0</v>
      </c>
      <c r="BD29" s="192">
        <v>0</v>
      </c>
      <c r="BE29" s="192">
        <v>0</v>
      </c>
      <c r="BF29" s="192">
        <v>0</v>
      </c>
      <c r="BG29" s="192">
        <v>0</v>
      </c>
      <c r="BH29" s="192">
        <v>0</v>
      </c>
      <c r="BI29" s="192">
        <v>0</v>
      </c>
      <c r="BJ29" s="192">
        <v>0</v>
      </c>
      <c r="BK29" s="192">
        <v>0</v>
      </c>
      <c r="BL29" s="192">
        <v>0</v>
      </c>
      <c r="BM29" s="192">
        <v>0</v>
      </c>
      <c r="BN29" s="194">
        <v>0</v>
      </c>
    </row>
    <row r="30" spans="2:66" outlineLevel="1" x14ac:dyDescent="0.35">
      <c r="B30" s="181">
        <v>0.55000000000000004</v>
      </c>
      <c r="C30" s="191">
        <v>0</v>
      </c>
      <c r="D30" s="192">
        <v>0</v>
      </c>
      <c r="E30" s="192">
        <v>0</v>
      </c>
      <c r="F30" s="192">
        <v>0</v>
      </c>
      <c r="G30" s="192">
        <v>0</v>
      </c>
      <c r="H30" s="192">
        <v>0</v>
      </c>
      <c r="I30" s="192">
        <v>0</v>
      </c>
      <c r="J30" s="192">
        <v>0</v>
      </c>
      <c r="K30" s="192">
        <v>0</v>
      </c>
      <c r="L30" s="192">
        <v>0</v>
      </c>
      <c r="M30" s="192">
        <v>0</v>
      </c>
      <c r="N30" s="192">
        <v>0</v>
      </c>
      <c r="O30" s="191">
        <v>0</v>
      </c>
      <c r="P30" s="192">
        <v>0</v>
      </c>
      <c r="Q30" s="192">
        <v>0</v>
      </c>
      <c r="R30" s="192">
        <v>0</v>
      </c>
      <c r="S30" s="192">
        <v>0</v>
      </c>
      <c r="T30" s="192">
        <v>0</v>
      </c>
      <c r="U30" s="192">
        <v>0</v>
      </c>
      <c r="V30" s="192">
        <v>0</v>
      </c>
      <c r="W30" s="192">
        <v>0</v>
      </c>
      <c r="X30" s="192">
        <v>0</v>
      </c>
      <c r="Y30" s="192">
        <v>0</v>
      </c>
      <c r="Z30" s="192">
        <v>0</v>
      </c>
      <c r="AA30" s="192">
        <v>0</v>
      </c>
      <c r="AB30" s="192">
        <v>0</v>
      </c>
      <c r="AC30" s="192">
        <v>0</v>
      </c>
      <c r="AD30" s="192">
        <v>0</v>
      </c>
      <c r="AE30" s="191">
        <v>0</v>
      </c>
      <c r="AF30" s="192">
        <v>0</v>
      </c>
      <c r="AG30" s="192">
        <v>0</v>
      </c>
      <c r="AH30" s="192">
        <v>0</v>
      </c>
      <c r="AI30" s="192">
        <v>0</v>
      </c>
      <c r="AJ30" s="192">
        <v>0</v>
      </c>
      <c r="AK30" s="192">
        <v>0</v>
      </c>
      <c r="AL30" s="192">
        <v>0</v>
      </c>
      <c r="AM30" s="192">
        <v>0</v>
      </c>
      <c r="AN30" s="192">
        <v>0</v>
      </c>
      <c r="AO30" s="192">
        <v>0</v>
      </c>
      <c r="AP30" s="192">
        <v>0</v>
      </c>
      <c r="AQ30" s="192">
        <v>0</v>
      </c>
      <c r="AR30" s="192">
        <v>0</v>
      </c>
      <c r="AS30" s="191">
        <v>0</v>
      </c>
      <c r="AT30" s="192">
        <v>0</v>
      </c>
      <c r="AU30" s="192">
        <v>0</v>
      </c>
      <c r="AV30" s="192">
        <v>0</v>
      </c>
      <c r="AW30" s="192">
        <v>0</v>
      </c>
      <c r="AX30" s="192">
        <v>0</v>
      </c>
      <c r="AY30" s="191">
        <v>0</v>
      </c>
      <c r="AZ30" s="192">
        <v>0</v>
      </c>
      <c r="BA30" s="192">
        <v>0</v>
      </c>
      <c r="BB30" s="192">
        <v>0</v>
      </c>
      <c r="BC30" s="192">
        <v>0</v>
      </c>
      <c r="BD30" s="192">
        <v>0</v>
      </c>
      <c r="BE30" s="192">
        <v>0</v>
      </c>
      <c r="BF30" s="192">
        <v>0</v>
      </c>
      <c r="BG30" s="192">
        <v>0</v>
      </c>
      <c r="BH30" s="192">
        <v>0</v>
      </c>
      <c r="BI30" s="192">
        <v>0</v>
      </c>
      <c r="BJ30" s="192">
        <v>0</v>
      </c>
      <c r="BK30" s="192">
        <v>0</v>
      </c>
      <c r="BL30" s="192">
        <v>0</v>
      </c>
      <c r="BM30" s="192">
        <v>0</v>
      </c>
      <c r="BN30" s="194">
        <v>0</v>
      </c>
    </row>
    <row r="31" spans="2:66" outlineLevel="1" x14ac:dyDescent="0.35">
      <c r="B31" s="181">
        <v>0.6</v>
      </c>
      <c r="C31" s="191">
        <v>0</v>
      </c>
      <c r="D31" s="192">
        <v>0</v>
      </c>
      <c r="E31" s="192">
        <v>0</v>
      </c>
      <c r="F31" s="192">
        <v>0</v>
      </c>
      <c r="G31" s="192">
        <v>0</v>
      </c>
      <c r="H31" s="192">
        <v>0</v>
      </c>
      <c r="I31" s="192">
        <v>0</v>
      </c>
      <c r="J31" s="192">
        <v>0</v>
      </c>
      <c r="K31" s="192">
        <v>0</v>
      </c>
      <c r="L31" s="192">
        <v>0</v>
      </c>
      <c r="M31" s="192">
        <v>0</v>
      </c>
      <c r="N31" s="192">
        <v>0</v>
      </c>
      <c r="O31" s="191">
        <v>0</v>
      </c>
      <c r="P31" s="192">
        <v>0</v>
      </c>
      <c r="Q31" s="192">
        <v>0</v>
      </c>
      <c r="R31" s="192">
        <v>0</v>
      </c>
      <c r="S31" s="192">
        <v>0</v>
      </c>
      <c r="T31" s="192">
        <v>0</v>
      </c>
      <c r="U31" s="192">
        <v>0</v>
      </c>
      <c r="V31" s="192">
        <v>0</v>
      </c>
      <c r="W31" s="192">
        <v>0</v>
      </c>
      <c r="X31" s="192">
        <v>0</v>
      </c>
      <c r="Y31" s="192">
        <v>0</v>
      </c>
      <c r="Z31" s="192">
        <v>0</v>
      </c>
      <c r="AA31" s="192">
        <v>0</v>
      </c>
      <c r="AB31" s="192">
        <v>0</v>
      </c>
      <c r="AC31" s="192">
        <v>0</v>
      </c>
      <c r="AD31" s="192">
        <v>0</v>
      </c>
      <c r="AE31" s="191">
        <v>0</v>
      </c>
      <c r="AF31" s="192">
        <v>0</v>
      </c>
      <c r="AG31" s="192">
        <v>0</v>
      </c>
      <c r="AH31" s="192">
        <v>0</v>
      </c>
      <c r="AI31" s="192">
        <v>0</v>
      </c>
      <c r="AJ31" s="192">
        <v>0</v>
      </c>
      <c r="AK31" s="192">
        <v>0</v>
      </c>
      <c r="AL31" s="192">
        <v>0</v>
      </c>
      <c r="AM31" s="192">
        <v>0</v>
      </c>
      <c r="AN31" s="192">
        <v>0</v>
      </c>
      <c r="AO31" s="192">
        <v>0</v>
      </c>
      <c r="AP31" s="192">
        <v>0</v>
      </c>
      <c r="AQ31" s="192">
        <v>0</v>
      </c>
      <c r="AR31" s="192">
        <v>0</v>
      </c>
      <c r="AS31" s="191">
        <v>0</v>
      </c>
      <c r="AT31" s="192">
        <v>0</v>
      </c>
      <c r="AU31" s="192">
        <v>0</v>
      </c>
      <c r="AV31" s="192">
        <v>0</v>
      </c>
      <c r="AW31" s="192">
        <v>0</v>
      </c>
      <c r="AX31" s="192">
        <v>0</v>
      </c>
      <c r="AY31" s="191">
        <v>0</v>
      </c>
      <c r="AZ31" s="192">
        <v>0</v>
      </c>
      <c r="BA31" s="192">
        <v>0</v>
      </c>
      <c r="BB31" s="192">
        <v>0</v>
      </c>
      <c r="BC31" s="192">
        <v>0</v>
      </c>
      <c r="BD31" s="192">
        <v>0</v>
      </c>
      <c r="BE31" s="192">
        <v>0</v>
      </c>
      <c r="BF31" s="192">
        <v>0</v>
      </c>
      <c r="BG31" s="192">
        <v>0</v>
      </c>
      <c r="BH31" s="192">
        <v>0</v>
      </c>
      <c r="BI31" s="192">
        <v>0</v>
      </c>
      <c r="BJ31" s="192">
        <v>0</v>
      </c>
      <c r="BK31" s="192">
        <v>0</v>
      </c>
      <c r="BL31" s="192">
        <v>0</v>
      </c>
      <c r="BM31" s="192">
        <v>0</v>
      </c>
      <c r="BN31" s="194">
        <v>0</v>
      </c>
    </row>
    <row r="32" spans="2:66" outlineLevel="1" x14ac:dyDescent="0.35">
      <c r="B32" s="181">
        <v>0.65</v>
      </c>
      <c r="C32" s="191">
        <v>0</v>
      </c>
      <c r="D32" s="192">
        <v>0</v>
      </c>
      <c r="E32" s="192">
        <v>0</v>
      </c>
      <c r="F32" s="192">
        <v>0</v>
      </c>
      <c r="G32" s="192">
        <v>0</v>
      </c>
      <c r="H32" s="192">
        <v>0</v>
      </c>
      <c r="I32" s="192">
        <v>0</v>
      </c>
      <c r="J32" s="192">
        <v>0</v>
      </c>
      <c r="K32" s="192">
        <v>0</v>
      </c>
      <c r="L32" s="192">
        <v>0</v>
      </c>
      <c r="M32" s="192">
        <v>0</v>
      </c>
      <c r="N32" s="192">
        <v>0</v>
      </c>
      <c r="O32" s="191">
        <v>0</v>
      </c>
      <c r="P32" s="192">
        <v>0</v>
      </c>
      <c r="Q32" s="192">
        <v>0</v>
      </c>
      <c r="R32" s="192">
        <v>0</v>
      </c>
      <c r="S32" s="192">
        <v>0</v>
      </c>
      <c r="T32" s="192">
        <v>0</v>
      </c>
      <c r="U32" s="192">
        <v>0</v>
      </c>
      <c r="V32" s="192">
        <v>0</v>
      </c>
      <c r="W32" s="192">
        <v>0</v>
      </c>
      <c r="X32" s="192">
        <v>0</v>
      </c>
      <c r="Y32" s="192">
        <v>0</v>
      </c>
      <c r="Z32" s="192">
        <v>0</v>
      </c>
      <c r="AA32" s="192">
        <v>0</v>
      </c>
      <c r="AB32" s="192">
        <v>0</v>
      </c>
      <c r="AC32" s="192">
        <v>0</v>
      </c>
      <c r="AD32" s="192">
        <v>0</v>
      </c>
      <c r="AE32" s="191">
        <v>0</v>
      </c>
      <c r="AF32" s="192">
        <v>0</v>
      </c>
      <c r="AG32" s="192">
        <v>0</v>
      </c>
      <c r="AH32" s="192">
        <v>0</v>
      </c>
      <c r="AI32" s="192">
        <v>0</v>
      </c>
      <c r="AJ32" s="192">
        <v>0</v>
      </c>
      <c r="AK32" s="192">
        <v>0</v>
      </c>
      <c r="AL32" s="192">
        <v>0</v>
      </c>
      <c r="AM32" s="192">
        <v>0</v>
      </c>
      <c r="AN32" s="192">
        <v>0</v>
      </c>
      <c r="AO32" s="192">
        <v>0</v>
      </c>
      <c r="AP32" s="192">
        <v>0</v>
      </c>
      <c r="AQ32" s="192">
        <v>0</v>
      </c>
      <c r="AR32" s="192">
        <v>0</v>
      </c>
      <c r="AS32" s="191">
        <v>0</v>
      </c>
      <c r="AT32" s="192">
        <v>0</v>
      </c>
      <c r="AU32" s="192">
        <v>0</v>
      </c>
      <c r="AV32" s="192">
        <v>0</v>
      </c>
      <c r="AW32" s="192">
        <v>0</v>
      </c>
      <c r="AX32" s="192">
        <v>0</v>
      </c>
      <c r="AY32" s="191">
        <v>0</v>
      </c>
      <c r="AZ32" s="192">
        <v>0</v>
      </c>
      <c r="BA32" s="192">
        <v>0</v>
      </c>
      <c r="BB32" s="192">
        <v>0</v>
      </c>
      <c r="BC32" s="192">
        <v>0</v>
      </c>
      <c r="BD32" s="192">
        <v>0</v>
      </c>
      <c r="BE32" s="192">
        <v>0</v>
      </c>
      <c r="BF32" s="192">
        <v>0</v>
      </c>
      <c r="BG32" s="192">
        <v>0</v>
      </c>
      <c r="BH32" s="192">
        <v>0</v>
      </c>
      <c r="BI32" s="192">
        <v>0</v>
      </c>
      <c r="BJ32" s="192">
        <v>0</v>
      </c>
      <c r="BK32" s="192">
        <v>0</v>
      </c>
      <c r="BL32" s="192">
        <v>0</v>
      </c>
      <c r="BM32" s="192">
        <v>0</v>
      </c>
      <c r="BN32" s="194">
        <v>0</v>
      </c>
    </row>
    <row r="33" spans="2:66" outlineLevel="1" x14ac:dyDescent="0.35">
      <c r="B33" s="181">
        <v>0.7</v>
      </c>
      <c r="C33" s="191">
        <v>0</v>
      </c>
      <c r="D33" s="192">
        <v>0</v>
      </c>
      <c r="E33" s="192">
        <v>0</v>
      </c>
      <c r="F33" s="192">
        <v>0</v>
      </c>
      <c r="G33" s="192">
        <v>0</v>
      </c>
      <c r="H33" s="192">
        <v>0</v>
      </c>
      <c r="I33" s="192">
        <v>0</v>
      </c>
      <c r="J33" s="192">
        <v>0</v>
      </c>
      <c r="K33" s="192">
        <v>0</v>
      </c>
      <c r="L33" s="192">
        <v>0</v>
      </c>
      <c r="M33" s="192">
        <v>0</v>
      </c>
      <c r="N33" s="192">
        <v>0</v>
      </c>
      <c r="O33" s="191">
        <v>0</v>
      </c>
      <c r="P33" s="192">
        <v>0</v>
      </c>
      <c r="Q33" s="192">
        <v>0</v>
      </c>
      <c r="R33" s="192">
        <v>0</v>
      </c>
      <c r="S33" s="192">
        <v>0</v>
      </c>
      <c r="T33" s="192">
        <v>0</v>
      </c>
      <c r="U33" s="192">
        <v>0</v>
      </c>
      <c r="V33" s="192">
        <v>0</v>
      </c>
      <c r="W33" s="192">
        <v>0</v>
      </c>
      <c r="X33" s="192">
        <v>0</v>
      </c>
      <c r="Y33" s="192">
        <v>0</v>
      </c>
      <c r="Z33" s="192">
        <v>0</v>
      </c>
      <c r="AA33" s="192">
        <v>0</v>
      </c>
      <c r="AB33" s="192">
        <v>0</v>
      </c>
      <c r="AC33" s="192">
        <v>0</v>
      </c>
      <c r="AD33" s="192">
        <v>0</v>
      </c>
      <c r="AE33" s="191">
        <v>0</v>
      </c>
      <c r="AF33" s="192">
        <v>0</v>
      </c>
      <c r="AG33" s="192">
        <v>0</v>
      </c>
      <c r="AH33" s="192">
        <v>0</v>
      </c>
      <c r="AI33" s="192">
        <v>0</v>
      </c>
      <c r="AJ33" s="192">
        <v>0</v>
      </c>
      <c r="AK33" s="192">
        <v>0</v>
      </c>
      <c r="AL33" s="192">
        <v>0</v>
      </c>
      <c r="AM33" s="192">
        <v>0</v>
      </c>
      <c r="AN33" s="192">
        <v>0</v>
      </c>
      <c r="AO33" s="192">
        <v>0</v>
      </c>
      <c r="AP33" s="192">
        <v>0</v>
      </c>
      <c r="AQ33" s="192">
        <v>0</v>
      </c>
      <c r="AR33" s="192">
        <v>0</v>
      </c>
      <c r="AS33" s="191">
        <v>0</v>
      </c>
      <c r="AT33" s="192">
        <v>0</v>
      </c>
      <c r="AU33" s="192">
        <v>0</v>
      </c>
      <c r="AV33" s="192">
        <v>0</v>
      </c>
      <c r="AW33" s="192">
        <v>0</v>
      </c>
      <c r="AX33" s="192">
        <v>0</v>
      </c>
      <c r="AY33" s="191">
        <v>0</v>
      </c>
      <c r="AZ33" s="192">
        <v>0</v>
      </c>
      <c r="BA33" s="192">
        <v>0</v>
      </c>
      <c r="BB33" s="192">
        <v>0</v>
      </c>
      <c r="BC33" s="192">
        <v>0</v>
      </c>
      <c r="BD33" s="192">
        <v>0</v>
      </c>
      <c r="BE33" s="192">
        <v>0</v>
      </c>
      <c r="BF33" s="192">
        <v>0</v>
      </c>
      <c r="BG33" s="192">
        <v>0</v>
      </c>
      <c r="BH33" s="192">
        <v>0</v>
      </c>
      <c r="BI33" s="192">
        <v>0</v>
      </c>
      <c r="BJ33" s="192">
        <v>0</v>
      </c>
      <c r="BK33" s="192">
        <v>0</v>
      </c>
      <c r="BL33" s="192">
        <v>0</v>
      </c>
      <c r="BM33" s="192">
        <v>0</v>
      </c>
      <c r="BN33" s="194">
        <v>0</v>
      </c>
    </row>
    <row r="34" spans="2:66" outlineLevel="1" x14ac:dyDescent="0.35">
      <c r="B34" s="181">
        <v>0.75</v>
      </c>
      <c r="C34" s="191">
        <v>0</v>
      </c>
      <c r="D34" s="192">
        <v>0</v>
      </c>
      <c r="E34" s="192">
        <v>0</v>
      </c>
      <c r="F34" s="192">
        <v>0</v>
      </c>
      <c r="G34" s="192">
        <v>0</v>
      </c>
      <c r="H34" s="192">
        <v>0</v>
      </c>
      <c r="I34" s="192">
        <v>0</v>
      </c>
      <c r="J34" s="192">
        <v>0</v>
      </c>
      <c r="K34" s="192">
        <v>0</v>
      </c>
      <c r="L34" s="192">
        <v>0</v>
      </c>
      <c r="M34" s="192">
        <v>0</v>
      </c>
      <c r="N34" s="192">
        <v>0</v>
      </c>
      <c r="O34" s="191">
        <v>0</v>
      </c>
      <c r="P34" s="192">
        <v>0</v>
      </c>
      <c r="Q34" s="192">
        <v>0</v>
      </c>
      <c r="R34" s="192">
        <v>0</v>
      </c>
      <c r="S34" s="192">
        <v>0</v>
      </c>
      <c r="T34" s="192">
        <v>0</v>
      </c>
      <c r="U34" s="192">
        <v>0</v>
      </c>
      <c r="V34" s="192">
        <v>0</v>
      </c>
      <c r="W34" s="192">
        <v>0</v>
      </c>
      <c r="X34" s="192">
        <v>0</v>
      </c>
      <c r="Y34" s="192">
        <v>0</v>
      </c>
      <c r="Z34" s="192">
        <v>0</v>
      </c>
      <c r="AA34" s="192">
        <v>0</v>
      </c>
      <c r="AB34" s="192">
        <v>0</v>
      </c>
      <c r="AC34" s="192">
        <v>0</v>
      </c>
      <c r="AD34" s="192">
        <v>0</v>
      </c>
      <c r="AE34" s="191">
        <v>1</v>
      </c>
      <c r="AF34" s="192">
        <v>0</v>
      </c>
      <c r="AG34" s="192">
        <v>0</v>
      </c>
      <c r="AH34" s="192">
        <v>0</v>
      </c>
      <c r="AI34" s="192">
        <v>0</v>
      </c>
      <c r="AJ34" s="192">
        <v>0</v>
      </c>
      <c r="AK34" s="192">
        <v>0</v>
      </c>
      <c r="AL34" s="192">
        <v>0</v>
      </c>
      <c r="AM34" s="192">
        <v>0</v>
      </c>
      <c r="AN34" s="192">
        <v>0</v>
      </c>
      <c r="AO34" s="192">
        <v>0</v>
      </c>
      <c r="AP34" s="192">
        <v>0</v>
      </c>
      <c r="AQ34" s="192">
        <v>0</v>
      </c>
      <c r="AR34" s="192">
        <v>0</v>
      </c>
      <c r="AS34" s="191">
        <v>0</v>
      </c>
      <c r="AT34" s="192">
        <v>0</v>
      </c>
      <c r="AU34" s="192">
        <v>0</v>
      </c>
      <c r="AV34" s="192">
        <v>0</v>
      </c>
      <c r="AW34" s="192">
        <v>0</v>
      </c>
      <c r="AX34" s="192">
        <v>0</v>
      </c>
      <c r="AY34" s="191">
        <v>0</v>
      </c>
      <c r="AZ34" s="192">
        <v>0</v>
      </c>
      <c r="BA34" s="192">
        <v>0</v>
      </c>
      <c r="BB34" s="192">
        <v>0</v>
      </c>
      <c r="BC34" s="192">
        <v>0</v>
      </c>
      <c r="BD34" s="192">
        <v>0</v>
      </c>
      <c r="BE34" s="192">
        <v>0</v>
      </c>
      <c r="BF34" s="192">
        <v>0</v>
      </c>
      <c r="BG34" s="192">
        <v>0</v>
      </c>
      <c r="BH34" s="192">
        <v>0</v>
      </c>
      <c r="BI34" s="192">
        <v>0</v>
      </c>
      <c r="BJ34" s="192">
        <v>0</v>
      </c>
      <c r="BK34" s="192">
        <v>0</v>
      </c>
      <c r="BL34" s="192">
        <v>0</v>
      </c>
      <c r="BM34" s="192">
        <v>0</v>
      </c>
      <c r="BN34" s="194">
        <v>0</v>
      </c>
    </row>
    <row r="35" spans="2:66" outlineLevel="1" x14ac:dyDescent="0.35">
      <c r="B35" s="181">
        <v>0.8</v>
      </c>
      <c r="C35" s="191">
        <v>1</v>
      </c>
      <c r="D35" s="192">
        <v>0</v>
      </c>
      <c r="E35" s="192">
        <v>0</v>
      </c>
      <c r="F35" s="192">
        <v>0</v>
      </c>
      <c r="G35" s="192">
        <v>0</v>
      </c>
      <c r="H35" s="192">
        <v>0</v>
      </c>
      <c r="I35" s="192">
        <v>0</v>
      </c>
      <c r="J35" s="192">
        <v>0</v>
      </c>
      <c r="K35" s="192">
        <v>0</v>
      </c>
      <c r="L35" s="192">
        <v>0</v>
      </c>
      <c r="M35" s="192">
        <v>0</v>
      </c>
      <c r="N35" s="192">
        <v>0</v>
      </c>
      <c r="O35" s="191">
        <v>0</v>
      </c>
      <c r="P35" s="192">
        <v>0</v>
      </c>
      <c r="Q35" s="192">
        <v>0</v>
      </c>
      <c r="R35" s="192">
        <v>0</v>
      </c>
      <c r="S35" s="192">
        <v>0</v>
      </c>
      <c r="T35" s="192">
        <v>0</v>
      </c>
      <c r="U35" s="192">
        <v>0</v>
      </c>
      <c r="V35" s="192">
        <v>0</v>
      </c>
      <c r="W35" s="192">
        <v>0</v>
      </c>
      <c r="X35" s="192">
        <v>0</v>
      </c>
      <c r="Y35" s="192">
        <v>0</v>
      </c>
      <c r="Z35" s="192">
        <v>0</v>
      </c>
      <c r="AA35" s="192">
        <v>0</v>
      </c>
      <c r="AB35" s="192">
        <v>0</v>
      </c>
      <c r="AC35" s="192">
        <v>0</v>
      </c>
      <c r="AD35" s="192">
        <v>0</v>
      </c>
      <c r="AE35" s="191">
        <v>1</v>
      </c>
      <c r="AF35" s="192">
        <v>0</v>
      </c>
      <c r="AG35" s="192">
        <v>0</v>
      </c>
      <c r="AH35" s="192">
        <v>0</v>
      </c>
      <c r="AI35" s="192">
        <v>0</v>
      </c>
      <c r="AJ35" s="192">
        <v>0</v>
      </c>
      <c r="AK35" s="192">
        <v>0</v>
      </c>
      <c r="AL35" s="192">
        <v>0</v>
      </c>
      <c r="AM35" s="192">
        <v>0</v>
      </c>
      <c r="AN35" s="192">
        <v>0</v>
      </c>
      <c r="AO35" s="192">
        <v>0</v>
      </c>
      <c r="AP35" s="192">
        <v>0</v>
      </c>
      <c r="AQ35" s="192">
        <v>0</v>
      </c>
      <c r="AR35" s="192">
        <v>0</v>
      </c>
      <c r="AS35" s="191">
        <v>0</v>
      </c>
      <c r="AT35" s="192">
        <v>0</v>
      </c>
      <c r="AU35" s="192">
        <v>0</v>
      </c>
      <c r="AV35" s="192">
        <v>0</v>
      </c>
      <c r="AW35" s="192">
        <v>0</v>
      </c>
      <c r="AX35" s="192">
        <v>0</v>
      </c>
      <c r="AY35" s="191">
        <v>1</v>
      </c>
      <c r="AZ35" s="192">
        <v>0</v>
      </c>
      <c r="BA35" s="192">
        <v>0</v>
      </c>
      <c r="BB35" s="192">
        <v>0</v>
      </c>
      <c r="BC35" s="192">
        <v>0</v>
      </c>
      <c r="BD35" s="192">
        <v>0</v>
      </c>
      <c r="BE35" s="192">
        <v>0</v>
      </c>
      <c r="BF35" s="192">
        <v>0</v>
      </c>
      <c r="BG35" s="192">
        <v>0</v>
      </c>
      <c r="BH35" s="192">
        <v>0</v>
      </c>
      <c r="BI35" s="192">
        <v>0</v>
      </c>
      <c r="BJ35" s="192">
        <v>0</v>
      </c>
      <c r="BK35" s="192">
        <v>0</v>
      </c>
      <c r="BL35" s="192">
        <v>0</v>
      </c>
      <c r="BM35" s="192">
        <v>0</v>
      </c>
      <c r="BN35" s="194">
        <v>0</v>
      </c>
    </row>
    <row r="36" spans="2:66" outlineLevel="1" x14ac:dyDescent="0.35">
      <c r="B36" s="181">
        <v>0.9</v>
      </c>
      <c r="C36" s="191">
        <v>2</v>
      </c>
      <c r="D36" s="192">
        <v>1</v>
      </c>
      <c r="E36" s="192">
        <v>1</v>
      </c>
      <c r="F36" s="192">
        <v>0</v>
      </c>
      <c r="G36" s="192">
        <v>0</v>
      </c>
      <c r="H36" s="192">
        <v>0</v>
      </c>
      <c r="I36" s="192">
        <v>0</v>
      </c>
      <c r="J36" s="192">
        <v>0</v>
      </c>
      <c r="K36" s="192">
        <v>0</v>
      </c>
      <c r="L36" s="192">
        <v>0</v>
      </c>
      <c r="M36" s="192">
        <v>1</v>
      </c>
      <c r="N36" s="192">
        <v>0</v>
      </c>
      <c r="O36" s="191">
        <v>1</v>
      </c>
      <c r="P36" s="192">
        <v>1</v>
      </c>
      <c r="Q36" s="192">
        <v>1</v>
      </c>
      <c r="R36" s="192">
        <v>1</v>
      </c>
      <c r="S36" s="192">
        <v>0</v>
      </c>
      <c r="T36" s="192">
        <v>0</v>
      </c>
      <c r="U36" s="192">
        <v>1</v>
      </c>
      <c r="V36" s="192">
        <v>0</v>
      </c>
      <c r="W36" s="192">
        <v>0</v>
      </c>
      <c r="X36" s="192">
        <v>0</v>
      </c>
      <c r="Y36" s="192">
        <v>1</v>
      </c>
      <c r="Z36" s="192">
        <v>0</v>
      </c>
      <c r="AA36" s="192">
        <v>0</v>
      </c>
      <c r="AB36" s="192">
        <v>0</v>
      </c>
      <c r="AC36" s="192">
        <v>1</v>
      </c>
      <c r="AD36" s="192">
        <v>1</v>
      </c>
      <c r="AE36" s="191">
        <v>2</v>
      </c>
      <c r="AF36" s="192">
        <v>1</v>
      </c>
      <c r="AG36" s="192">
        <v>1</v>
      </c>
      <c r="AH36" s="192">
        <v>0</v>
      </c>
      <c r="AI36" s="192">
        <v>0</v>
      </c>
      <c r="AJ36" s="192">
        <v>0</v>
      </c>
      <c r="AK36" s="192">
        <v>1</v>
      </c>
      <c r="AL36" s="192">
        <v>0</v>
      </c>
      <c r="AM36" s="192">
        <v>0</v>
      </c>
      <c r="AN36" s="192">
        <v>0</v>
      </c>
      <c r="AO36" s="192">
        <v>0</v>
      </c>
      <c r="AP36" s="192">
        <v>0</v>
      </c>
      <c r="AQ36" s="192">
        <v>0</v>
      </c>
      <c r="AR36" s="192">
        <v>0</v>
      </c>
      <c r="AS36" s="191">
        <v>1</v>
      </c>
      <c r="AT36" s="192">
        <v>1</v>
      </c>
      <c r="AU36" s="192">
        <v>0</v>
      </c>
      <c r="AV36" s="192">
        <v>0</v>
      </c>
      <c r="AW36" s="192">
        <v>0</v>
      </c>
      <c r="AX36" s="192">
        <v>0</v>
      </c>
      <c r="AY36" s="191">
        <v>1</v>
      </c>
      <c r="AZ36" s="192">
        <v>1</v>
      </c>
      <c r="BA36" s="192">
        <v>1</v>
      </c>
      <c r="BB36" s="192">
        <v>0</v>
      </c>
      <c r="BC36" s="192">
        <v>0</v>
      </c>
      <c r="BD36" s="192">
        <v>0</v>
      </c>
      <c r="BE36" s="192">
        <v>0</v>
      </c>
      <c r="BF36" s="192">
        <v>0</v>
      </c>
      <c r="BG36" s="192">
        <v>0</v>
      </c>
      <c r="BH36" s="192">
        <v>0</v>
      </c>
      <c r="BI36" s="192">
        <v>0</v>
      </c>
      <c r="BJ36" s="192">
        <v>0</v>
      </c>
      <c r="BK36" s="192">
        <v>0</v>
      </c>
      <c r="BL36" s="192">
        <v>0</v>
      </c>
      <c r="BM36" s="192">
        <v>0</v>
      </c>
      <c r="BN36" s="194">
        <v>0</v>
      </c>
    </row>
    <row r="37" spans="2:66" outlineLevel="1" x14ac:dyDescent="0.35">
      <c r="B37" s="181">
        <v>0.95</v>
      </c>
      <c r="C37" s="191">
        <v>3</v>
      </c>
      <c r="D37" s="192">
        <v>2</v>
      </c>
      <c r="E37" s="192">
        <v>1</v>
      </c>
      <c r="F37" s="192">
        <v>1</v>
      </c>
      <c r="G37" s="192">
        <v>1</v>
      </c>
      <c r="H37" s="192">
        <v>1</v>
      </c>
      <c r="I37" s="192">
        <v>0</v>
      </c>
      <c r="J37" s="192">
        <v>0</v>
      </c>
      <c r="K37" s="192">
        <v>0</v>
      </c>
      <c r="L37" s="192">
        <v>0</v>
      </c>
      <c r="M37" s="192">
        <v>1</v>
      </c>
      <c r="N37" s="192">
        <v>1</v>
      </c>
      <c r="O37" s="191">
        <v>2</v>
      </c>
      <c r="P37" s="192">
        <v>1</v>
      </c>
      <c r="Q37" s="192">
        <v>1</v>
      </c>
      <c r="R37" s="192">
        <v>1</v>
      </c>
      <c r="S37" s="192">
        <v>1</v>
      </c>
      <c r="T37" s="192">
        <v>1</v>
      </c>
      <c r="U37" s="192">
        <v>1</v>
      </c>
      <c r="V37" s="192">
        <v>1</v>
      </c>
      <c r="W37" s="192">
        <v>1</v>
      </c>
      <c r="X37" s="192">
        <v>1</v>
      </c>
      <c r="Y37" s="192">
        <v>1</v>
      </c>
      <c r="Z37" s="192">
        <v>1</v>
      </c>
      <c r="AA37" s="192">
        <v>1</v>
      </c>
      <c r="AB37" s="192">
        <v>0</v>
      </c>
      <c r="AC37" s="192">
        <v>2</v>
      </c>
      <c r="AD37" s="192">
        <v>1</v>
      </c>
      <c r="AE37" s="191">
        <v>3</v>
      </c>
      <c r="AF37" s="192">
        <v>2</v>
      </c>
      <c r="AG37" s="192">
        <v>1</v>
      </c>
      <c r="AH37" s="192">
        <v>1</v>
      </c>
      <c r="AI37" s="192">
        <v>1</v>
      </c>
      <c r="AJ37" s="192">
        <v>1</v>
      </c>
      <c r="AK37" s="192">
        <v>1</v>
      </c>
      <c r="AL37" s="192">
        <v>1</v>
      </c>
      <c r="AM37" s="192">
        <v>1</v>
      </c>
      <c r="AN37" s="192">
        <v>0</v>
      </c>
      <c r="AO37" s="192">
        <v>1</v>
      </c>
      <c r="AP37" s="192">
        <v>0</v>
      </c>
      <c r="AQ37" s="192">
        <v>1</v>
      </c>
      <c r="AR37" s="192">
        <v>1</v>
      </c>
      <c r="AS37" s="191">
        <v>2</v>
      </c>
      <c r="AT37" s="192">
        <v>1</v>
      </c>
      <c r="AU37" s="192">
        <v>0</v>
      </c>
      <c r="AV37" s="192">
        <v>0</v>
      </c>
      <c r="AW37" s="192">
        <v>0</v>
      </c>
      <c r="AX37" s="192">
        <v>0</v>
      </c>
      <c r="AY37" s="191">
        <v>3</v>
      </c>
      <c r="AZ37" s="192">
        <v>2</v>
      </c>
      <c r="BA37" s="192">
        <v>1</v>
      </c>
      <c r="BB37" s="192">
        <v>1</v>
      </c>
      <c r="BC37" s="192">
        <v>1</v>
      </c>
      <c r="BD37" s="192">
        <v>1</v>
      </c>
      <c r="BE37" s="192">
        <v>1</v>
      </c>
      <c r="BF37" s="192">
        <v>1</v>
      </c>
      <c r="BG37" s="192">
        <v>1</v>
      </c>
      <c r="BH37" s="192">
        <v>1</v>
      </c>
      <c r="BI37" s="192">
        <v>1</v>
      </c>
      <c r="BJ37" s="192">
        <v>0</v>
      </c>
      <c r="BK37" s="192">
        <v>1</v>
      </c>
      <c r="BL37" s="192">
        <v>0</v>
      </c>
      <c r="BM37" s="192">
        <v>1</v>
      </c>
      <c r="BN37" s="194">
        <v>1</v>
      </c>
    </row>
    <row r="38" spans="2:66" outlineLevel="1" x14ac:dyDescent="0.35">
      <c r="B38" s="181">
        <v>0.97499999999999998</v>
      </c>
      <c r="C38" s="191">
        <v>5</v>
      </c>
      <c r="D38" s="192">
        <v>4</v>
      </c>
      <c r="E38" s="192">
        <v>3</v>
      </c>
      <c r="F38" s="192">
        <v>2</v>
      </c>
      <c r="G38" s="192">
        <v>1</v>
      </c>
      <c r="H38" s="192">
        <v>1</v>
      </c>
      <c r="I38" s="192">
        <v>1</v>
      </c>
      <c r="J38" s="192">
        <v>1</v>
      </c>
      <c r="K38" s="192">
        <v>0</v>
      </c>
      <c r="L38" s="192">
        <v>0</v>
      </c>
      <c r="M38" s="192">
        <v>3</v>
      </c>
      <c r="N38" s="192">
        <v>2</v>
      </c>
      <c r="O38" s="191">
        <v>3</v>
      </c>
      <c r="P38" s="192">
        <v>2</v>
      </c>
      <c r="Q38" s="192">
        <v>3</v>
      </c>
      <c r="R38" s="192">
        <v>2</v>
      </c>
      <c r="S38" s="192">
        <v>2</v>
      </c>
      <c r="T38" s="192">
        <v>1</v>
      </c>
      <c r="U38" s="192">
        <v>2</v>
      </c>
      <c r="V38" s="192">
        <v>1</v>
      </c>
      <c r="W38" s="192">
        <v>2</v>
      </c>
      <c r="X38" s="192">
        <v>1</v>
      </c>
      <c r="Y38" s="192">
        <v>2</v>
      </c>
      <c r="Z38" s="192">
        <v>1</v>
      </c>
      <c r="AA38" s="192">
        <v>1</v>
      </c>
      <c r="AB38" s="192">
        <v>1</v>
      </c>
      <c r="AC38" s="192">
        <v>4</v>
      </c>
      <c r="AD38" s="192">
        <v>3</v>
      </c>
      <c r="AE38" s="191">
        <v>5</v>
      </c>
      <c r="AF38" s="192">
        <v>3</v>
      </c>
      <c r="AG38" s="192">
        <v>2</v>
      </c>
      <c r="AH38" s="192">
        <v>1</v>
      </c>
      <c r="AI38" s="192">
        <v>2</v>
      </c>
      <c r="AJ38" s="192">
        <v>1</v>
      </c>
      <c r="AK38" s="192">
        <v>2</v>
      </c>
      <c r="AL38" s="192">
        <v>1</v>
      </c>
      <c r="AM38" s="192">
        <v>1</v>
      </c>
      <c r="AN38" s="192">
        <v>1</v>
      </c>
      <c r="AO38" s="192">
        <v>1</v>
      </c>
      <c r="AP38" s="192">
        <v>1</v>
      </c>
      <c r="AQ38" s="192">
        <v>2</v>
      </c>
      <c r="AR38" s="192">
        <v>1</v>
      </c>
      <c r="AS38" s="191">
        <v>4</v>
      </c>
      <c r="AT38" s="192">
        <v>3</v>
      </c>
      <c r="AU38" s="192">
        <v>0</v>
      </c>
      <c r="AV38" s="192">
        <v>0</v>
      </c>
      <c r="AW38" s="192">
        <v>0</v>
      </c>
      <c r="AX38" s="192">
        <v>0</v>
      </c>
      <c r="AY38" s="191">
        <v>5</v>
      </c>
      <c r="AZ38" s="192">
        <v>3</v>
      </c>
      <c r="BA38" s="192">
        <v>2</v>
      </c>
      <c r="BB38" s="192">
        <v>2</v>
      </c>
      <c r="BC38" s="192">
        <v>2</v>
      </c>
      <c r="BD38" s="192">
        <v>1</v>
      </c>
      <c r="BE38" s="192">
        <v>1</v>
      </c>
      <c r="BF38" s="192">
        <v>1</v>
      </c>
      <c r="BG38" s="192">
        <v>1</v>
      </c>
      <c r="BH38" s="192">
        <v>1</v>
      </c>
      <c r="BI38" s="192">
        <v>1</v>
      </c>
      <c r="BJ38" s="192">
        <v>1</v>
      </c>
      <c r="BK38" s="192">
        <v>1</v>
      </c>
      <c r="BL38" s="192">
        <v>1</v>
      </c>
      <c r="BM38" s="192">
        <v>1</v>
      </c>
      <c r="BN38" s="194">
        <v>1</v>
      </c>
    </row>
    <row r="39" spans="2:66" outlineLevel="1" x14ac:dyDescent="0.35">
      <c r="B39" s="181">
        <v>0.99</v>
      </c>
      <c r="C39" s="191">
        <v>12</v>
      </c>
      <c r="D39" s="192">
        <v>7</v>
      </c>
      <c r="E39" s="192">
        <v>7</v>
      </c>
      <c r="F39" s="192">
        <v>5</v>
      </c>
      <c r="G39" s="192">
        <v>3</v>
      </c>
      <c r="H39" s="192">
        <v>2</v>
      </c>
      <c r="I39" s="192">
        <v>2</v>
      </c>
      <c r="J39" s="192">
        <v>1</v>
      </c>
      <c r="K39" s="192">
        <v>1</v>
      </c>
      <c r="L39" s="192">
        <v>1</v>
      </c>
      <c r="M39" s="192">
        <v>8</v>
      </c>
      <c r="N39" s="192">
        <v>4</v>
      </c>
      <c r="O39" s="191">
        <v>10</v>
      </c>
      <c r="P39" s="192">
        <v>6</v>
      </c>
      <c r="Q39" s="192">
        <v>9</v>
      </c>
      <c r="R39" s="192">
        <v>5</v>
      </c>
      <c r="S39" s="192">
        <v>5</v>
      </c>
      <c r="T39" s="192">
        <v>3</v>
      </c>
      <c r="U39" s="192">
        <v>5</v>
      </c>
      <c r="V39" s="192">
        <v>3</v>
      </c>
      <c r="W39" s="192">
        <v>5</v>
      </c>
      <c r="X39" s="192">
        <v>3</v>
      </c>
      <c r="Y39" s="192">
        <v>4</v>
      </c>
      <c r="Z39" s="192">
        <v>3</v>
      </c>
      <c r="AA39" s="192">
        <v>3</v>
      </c>
      <c r="AB39" s="192">
        <v>2</v>
      </c>
      <c r="AC39" s="192">
        <v>9</v>
      </c>
      <c r="AD39" s="192">
        <v>6</v>
      </c>
      <c r="AE39" s="191">
        <v>15</v>
      </c>
      <c r="AF39" s="192">
        <v>9</v>
      </c>
      <c r="AG39" s="192">
        <v>5</v>
      </c>
      <c r="AH39" s="192">
        <v>3</v>
      </c>
      <c r="AI39" s="192">
        <v>4</v>
      </c>
      <c r="AJ39" s="192">
        <v>2</v>
      </c>
      <c r="AK39" s="192">
        <v>5</v>
      </c>
      <c r="AL39" s="192">
        <v>3</v>
      </c>
      <c r="AM39" s="192">
        <v>3</v>
      </c>
      <c r="AN39" s="192">
        <v>2</v>
      </c>
      <c r="AO39" s="192">
        <v>2</v>
      </c>
      <c r="AP39" s="192">
        <v>2</v>
      </c>
      <c r="AQ39" s="192">
        <v>5</v>
      </c>
      <c r="AR39" s="192">
        <v>3</v>
      </c>
      <c r="AS39" s="191">
        <v>11</v>
      </c>
      <c r="AT39" s="192">
        <v>7</v>
      </c>
      <c r="AU39" s="192">
        <v>1</v>
      </c>
      <c r="AV39" s="192">
        <v>1</v>
      </c>
      <c r="AW39" s="192">
        <v>1</v>
      </c>
      <c r="AX39" s="192">
        <v>1</v>
      </c>
      <c r="AY39" s="191">
        <v>13</v>
      </c>
      <c r="AZ39" s="192">
        <v>8</v>
      </c>
      <c r="BA39" s="192">
        <v>7</v>
      </c>
      <c r="BB39" s="192">
        <v>4</v>
      </c>
      <c r="BC39" s="192">
        <v>3</v>
      </c>
      <c r="BD39" s="192">
        <v>2</v>
      </c>
      <c r="BE39" s="192">
        <v>3</v>
      </c>
      <c r="BF39" s="192">
        <v>2</v>
      </c>
      <c r="BG39" s="192">
        <v>3</v>
      </c>
      <c r="BH39" s="192">
        <v>2</v>
      </c>
      <c r="BI39" s="192">
        <v>3</v>
      </c>
      <c r="BJ39" s="192">
        <v>2</v>
      </c>
      <c r="BK39" s="192">
        <v>3</v>
      </c>
      <c r="BL39" s="192">
        <v>2</v>
      </c>
      <c r="BM39" s="192">
        <v>3</v>
      </c>
      <c r="BN39" s="194">
        <v>2</v>
      </c>
    </row>
    <row r="40" spans="2:66" outlineLevel="1" x14ac:dyDescent="0.35">
      <c r="B40" s="181">
        <v>0.995</v>
      </c>
      <c r="C40" s="191">
        <v>20</v>
      </c>
      <c r="D40" s="192">
        <v>13</v>
      </c>
      <c r="E40" s="192">
        <v>13</v>
      </c>
      <c r="F40" s="192">
        <v>8</v>
      </c>
      <c r="G40" s="192">
        <v>6</v>
      </c>
      <c r="H40" s="192">
        <v>4</v>
      </c>
      <c r="I40" s="192">
        <v>3</v>
      </c>
      <c r="J40" s="192">
        <v>2</v>
      </c>
      <c r="K40" s="192">
        <v>1</v>
      </c>
      <c r="L40" s="192">
        <v>1</v>
      </c>
      <c r="M40" s="192">
        <v>14</v>
      </c>
      <c r="N40" s="192">
        <v>9</v>
      </c>
      <c r="O40" s="191">
        <v>16</v>
      </c>
      <c r="P40" s="192">
        <v>10</v>
      </c>
      <c r="Q40" s="192">
        <v>14</v>
      </c>
      <c r="R40" s="192">
        <v>9</v>
      </c>
      <c r="S40" s="192">
        <v>10</v>
      </c>
      <c r="T40" s="192">
        <v>5</v>
      </c>
      <c r="U40" s="192">
        <v>9</v>
      </c>
      <c r="V40" s="192">
        <v>5</v>
      </c>
      <c r="W40" s="192">
        <v>9</v>
      </c>
      <c r="X40" s="192">
        <v>5</v>
      </c>
      <c r="Y40" s="192">
        <v>8</v>
      </c>
      <c r="Z40" s="192">
        <v>6</v>
      </c>
      <c r="AA40" s="192">
        <v>6</v>
      </c>
      <c r="AB40" s="192">
        <v>3</v>
      </c>
      <c r="AC40" s="192">
        <v>17</v>
      </c>
      <c r="AD40" s="192">
        <v>11</v>
      </c>
      <c r="AE40" s="191">
        <v>20</v>
      </c>
      <c r="AF40" s="192">
        <v>13</v>
      </c>
      <c r="AG40" s="192">
        <v>9</v>
      </c>
      <c r="AH40" s="192">
        <v>6</v>
      </c>
      <c r="AI40" s="192">
        <v>7</v>
      </c>
      <c r="AJ40" s="192">
        <v>5</v>
      </c>
      <c r="AK40" s="192">
        <v>10</v>
      </c>
      <c r="AL40" s="192">
        <v>5</v>
      </c>
      <c r="AM40" s="192">
        <v>6</v>
      </c>
      <c r="AN40" s="192">
        <v>4</v>
      </c>
      <c r="AO40" s="192">
        <v>5</v>
      </c>
      <c r="AP40" s="192">
        <v>3</v>
      </c>
      <c r="AQ40" s="192">
        <v>10</v>
      </c>
      <c r="AR40" s="192">
        <v>6</v>
      </c>
      <c r="AS40" s="191">
        <v>18</v>
      </c>
      <c r="AT40" s="192">
        <v>11</v>
      </c>
      <c r="AU40" s="192">
        <v>2</v>
      </c>
      <c r="AV40" s="192">
        <v>1</v>
      </c>
      <c r="AW40" s="192">
        <v>2</v>
      </c>
      <c r="AX40" s="192">
        <v>1</v>
      </c>
      <c r="AY40" s="191">
        <v>20</v>
      </c>
      <c r="AZ40" s="192">
        <v>13</v>
      </c>
      <c r="BA40" s="192">
        <v>12</v>
      </c>
      <c r="BB40" s="192">
        <v>7</v>
      </c>
      <c r="BC40" s="192">
        <v>7</v>
      </c>
      <c r="BD40" s="192">
        <v>4</v>
      </c>
      <c r="BE40" s="192">
        <v>7</v>
      </c>
      <c r="BF40" s="192">
        <v>4</v>
      </c>
      <c r="BG40" s="192">
        <v>7</v>
      </c>
      <c r="BH40" s="192">
        <v>4</v>
      </c>
      <c r="BI40" s="192">
        <v>5</v>
      </c>
      <c r="BJ40" s="192">
        <v>3</v>
      </c>
      <c r="BK40" s="192">
        <v>5</v>
      </c>
      <c r="BL40" s="192">
        <v>4</v>
      </c>
      <c r="BM40" s="192">
        <v>7</v>
      </c>
      <c r="BN40" s="194">
        <v>4</v>
      </c>
    </row>
    <row r="41" spans="2:66" outlineLevel="1" x14ac:dyDescent="0.35">
      <c r="B41" s="181">
        <v>0.999</v>
      </c>
      <c r="C41" s="191">
        <v>31</v>
      </c>
      <c r="D41" s="192">
        <v>20</v>
      </c>
      <c r="E41" s="192">
        <v>26</v>
      </c>
      <c r="F41" s="192">
        <v>16</v>
      </c>
      <c r="G41" s="192">
        <v>14</v>
      </c>
      <c r="H41" s="192">
        <v>9</v>
      </c>
      <c r="I41" s="192">
        <v>9</v>
      </c>
      <c r="J41" s="192">
        <v>6</v>
      </c>
      <c r="K41" s="192">
        <v>5</v>
      </c>
      <c r="L41" s="192">
        <v>2</v>
      </c>
      <c r="M41" s="192">
        <v>24</v>
      </c>
      <c r="N41" s="192">
        <v>14</v>
      </c>
      <c r="O41" s="191">
        <v>29</v>
      </c>
      <c r="P41" s="192">
        <v>18</v>
      </c>
      <c r="Q41" s="192">
        <v>24</v>
      </c>
      <c r="R41" s="192">
        <v>14</v>
      </c>
      <c r="S41" s="192">
        <v>17</v>
      </c>
      <c r="T41" s="192">
        <v>10</v>
      </c>
      <c r="U41" s="192">
        <v>18</v>
      </c>
      <c r="V41" s="192">
        <v>11</v>
      </c>
      <c r="W41" s="192">
        <v>20</v>
      </c>
      <c r="X41" s="192">
        <v>13</v>
      </c>
      <c r="Y41" s="192">
        <v>20</v>
      </c>
      <c r="Z41" s="192">
        <v>12</v>
      </c>
      <c r="AA41" s="192">
        <v>12</v>
      </c>
      <c r="AB41" s="192">
        <v>7</v>
      </c>
      <c r="AC41" s="192">
        <v>29</v>
      </c>
      <c r="AD41" s="192">
        <v>18</v>
      </c>
      <c r="AE41" s="191">
        <v>30</v>
      </c>
      <c r="AF41" s="192">
        <v>19</v>
      </c>
      <c r="AG41" s="192">
        <v>19</v>
      </c>
      <c r="AH41" s="192">
        <v>13</v>
      </c>
      <c r="AI41" s="192">
        <v>20</v>
      </c>
      <c r="AJ41" s="192">
        <v>12</v>
      </c>
      <c r="AK41" s="192">
        <v>20</v>
      </c>
      <c r="AL41" s="192">
        <v>14</v>
      </c>
      <c r="AM41" s="192">
        <v>16</v>
      </c>
      <c r="AN41" s="192">
        <v>10</v>
      </c>
      <c r="AO41" s="192">
        <v>13</v>
      </c>
      <c r="AP41" s="192">
        <v>8</v>
      </c>
      <c r="AQ41" s="192">
        <v>20</v>
      </c>
      <c r="AR41" s="192">
        <v>13</v>
      </c>
      <c r="AS41" s="191">
        <v>30</v>
      </c>
      <c r="AT41" s="192">
        <v>18</v>
      </c>
      <c r="AU41" s="192">
        <v>7</v>
      </c>
      <c r="AV41" s="192">
        <v>5</v>
      </c>
      <c r="AW41" s="192">
        <v>7</v>
      </c>
      <c r="AX41" s="192">
        <v>4</v>
      </c>
      <c r="AY41" s="191">
        <v>29</v>
      </c>
      <c r="AZ41" s="192">
        <v>18</v>
      </c>
      <c r="BA41" s="192">
        <v>22</v>
      </c>
      <c r="BB41" s="192">
        <v>14</v>
      </c>
      <c r="BC41" s="192">
        <v>17</v>
      </c>
      <c r="BD41" s="192">
        <v>10</v>
      </c>
      <c r="BE41" s="192">
        <v>21</v>
      </c>
      <c r="BF41" s="192">
        <v>12</v>
      </c>
      <c r="BG41" s="192">
        <v>17</v>
      </c>
      <c r="BH41" s="192">
        <v>11</v>
      </c>
      <c r="BI41" s="192">
        <v>14</v>
      </c>
      <c r="BJ41" s="192">
        <v>9</v>
      </c>
      <c r="BK41" s="192">
        <v>14</v>
      </c>
      <c r="BL41" s="192">
        <v>10</v>
      </c>
      <c r="BM41" s="192">
        <v>14</v>
      </c>
      <c r="BN41" s="194">
        <v>10</v>
      </c>
    </row>
    <row r="42" spans="2:66" x14ac:dyDescent="0.35">
      <c r="B42" s="200" t="s">
        <v>238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  <c r="AP42" s="201"/>
      <c r="AQ42" s="201"/>
      <c r="AR42" s="201"/>
      <c r="AS42" s="201"/>
      <c r="AT42" s="201"/>
      <c r="AU42" s="201"/>
      <c r="AV42" s="201"/>
      <c r="AW42" s="201"/>
      <c r="AX42" s="201"/>
      <c r="AY42" s="201"/>
      <c r="AZ42" s="201"/>
      <c r="BA42" s="201"/>
      <c r="BB42" s="201"/>
      <c r="BC42" s="201"/>
      <c r="BD42" s="201"/>
      <c r="BE42" s="201"/>
      <c r="BF42" s="201"/>
      <c r="BG42" s="201"/>
      <c r="BH42" s="201"/>
      <c r="BI42" s="201"/>
      <c r="BJ42" s="201"/>
      <c r="BK42" s="201"/>
      <c r="BL42" s="201"/>
      <c r="BM42" s="201"/>
      <c r="BN42" s="202"/>
    </row>
    <row r="43" spans="2:66" outlineLevel="1" x14ac:dyDescent="0.35">
      <c r="B43" s="180" t="s">
        <v>228</v>
      </c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8"/>
    </row>
    <row r="44" spans="2:66" outlineLevel="1" x14ac:dyDescent="0.35">
      <c r="B44" s="180" t="s">
        <v>229</v>
      </c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7"/>
      <c r="BN44" s="188"/>
    </row>
    <row r="45" spans="2:66" outlineLevel="1" x14ac:dyDescent="0.35">
      <c r="B45" s="180" t="s">
        <v>239</v>
      </c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  <c r="AE45" s="187"/>
      <c r="AF45" s="187"/>
      <c r="AG45" s="187"/>
      <c r="AH45" s="187"/>
      <c r="AI45" s="187"/>
      <c r="AJ45" s="187"/>
      <c r="AK45" s="187"/>
      <c r="AL45" s="187"/>
      <c r="AM45" s="187"/>
      <c r="AN45" s="187"/>
      <c r="AO45" s="187"/>
      <c r="AP45" s="187"/>
      <c r="AQ45" s="187"/>
      <c r="AR45" s="187"/>
      <c r="AS45" s="187"/>
      <c r="AT45" s="187"/>
      <c r="AU45" s="187"/>
      <c r="AV45" s="187"/>
      <c r="AW45" s="187"/>
      <c r="AX45" s="187"/>
      <c r="AY45" s="187"/>
      <c r="AZ45" s="187"/>
      <c r="BA45" s="187"/>
      <c r="BB45" s="187"/>
      <c r="BC45" s="187"/>
      <c r="BD45" s="187"/>
      <c r="BE45" s="187"/>
      <c r="BF45" s="187"/>
      <c r="BG45" s="187"/>
      <c r="BH45" s="187"/>
      <c r="BI45" s="187"/>
      <c r="BJ45" s="187"/>
      <c r="BK45" s="187"/>
      <c r="BL45" s="187"/>
      <c r="BM45" s="187"/>
      <c r="BN45" s="188"/>
    </row>
    <row r="46" spans="2:66" ht="15" outlineLevel="1" thickBot="1" x14ac:dyDescent="0.4">
      <c r="B46" s="186" t="s">
        <v>240</v>
      </c>
      <c r="C46" s="197">
        <v>0</v>
      </c>
      <c r="D46" s="197">
        <v>0</v>
      </c>
      <c r="E46" s="197">
        <v>0</v>
      </c>
      <c r="F46" s="197">
        <v>0</v>
      </c>
      <c r="G46" s="197">
        <v>0</v>
      </c>
      <c r="H46" s="197">
        <v>0</v>
      </c>
      <c r="I46" s="197">
        <v>0</v>
      </c>
      <c r="J46" s="197">
        <v>0</v>
      </c>
      <c r="K46" s="197">
        <v>0</v>
      </c>
      <c r="L46" s="197">
        <v>0</v>
      </c>
      <c r="M46" s="197">
        <v>0</v>
      </c>
      <c r="N46" s="197">
        <v>0</v>
      </c>
      <c r="O46" s="197">
        <v>0</v>
      </c>
      <c r="P46" s="197">
        <v>0</v>
      </c>
      <c r="Q46" s="197">
        <v>0</v>
      </c>
      <c r="R46" s="197">
        <v>0</v>
      </c>
      <c r="S46" s="197">
        <v>0</v>
      </c>
      <c r="T46" s="197">
        <v>0</v>
      </c>
      <c r="U46" s="197">
        <v>0</v>
      </c>
      <c r="V46" s="197">
        <v>0</v>
      </c>
      <c r="W46" s="197">
        <v>0</v>
      </c>
      <c r="X46" s="197">
        <v>0</v>
      </c>
      <c r="Y46" s="197">
        <v>0</v>
      </c>
      <c r="Z46" s="197">
        <v>0</v>
      </c>
      <c r="AA46" s="197">
        <v>0</v>
      </c>
      <c r="AB46" s="197">
        <v>0</v>
      </c>
      <c r="AC46" s="197">
        <v>0</v>
      </c>
      <c r="AD46" s="197">
        <v>0</v>
      </c>
      <c r="AE46" s="197">
        <v>0</v>
      </c>
      <c r="AF46" s="197">
        <v>0</v>
      </c>
      <c r="AG46" s="197">
        <v>0</v>
      </c>
      <c r="AH46" s="197">
        <v>0</v>
      </c>
      <c r="AI46" s="197">
        <v>0</v>
      </c>
      <c r="AJ46" s="197">
        <v>0</v>
      </c>
      <c r="AK46" s="197">
        <v>0</v>
      </c>
      <c r="AL46" s="197">
        <v>0</v>
      </c>
      <c r="AM46" s="197">
        <v>0</v>
      </c>
      <c r="AN46" s="197">
        <v>0</v>
      </c>
      <c r="AO46" s="197">
        <v>0</v>
      </c>
      <c r="AP46" s="197">
        <v>0</v>
      </c>
      <c r="AQ46" s="197">
        <v>0</v>
      </c>
      <c r="AR46" s="197">
        <v>0</v>
      </c>
      <c r="AS46" s="197">
        <v>0</v>
      </c>
      <c r="AT46" s="197">
        <v>0</v>
      </c>
      <c r="AU46" s="197">
        <v>0</v>
      </c>
      <c r="AV46" s="197">
        <v>0</v>
      </c>
      <c r="AW46" s="197">
        <v>0</v>
      </c>
      <c r="AX46" s="197">
        <v>0</v>
      </c>
      <c r="AY46" s="197">
        <v>0</v>
      </c>
      <c r="AZ46" s="197">
        <v>0</v>
      </c>
      <c r="BA46" s="197">
        <v>0</v>
      </c>
      <c r="BB46" s="197">
        <v>0</v>
      </c>
      <c r="BC46" s="197">
        <v>0</v>
      </c>
      <c r="BD46" s="197">
        <v>0</v>
      </c>
      <c r="BE46" s="197">
        <v>0</v>
      </c>
      <c r="BF46" s="197">
        <v>0</v>
      </c>
      <c r="BG46" s="197">
        <v>0</v>
      </c>
      <c r="BH46" s="197">
        <v>0</v>
      </c>
      <c r="BI46" s="197">
        <v>0</v>
      </c>
      <c r="BJ46" s="197">
        <v>0</v>
      </c>
      <c r="BK46" s="197">
        <v>0</v>
      </c>
      <c r="BL46" s="197">
        <v>0</v>
      </c>
      <c r="BM46" s="197">
        <v>0</v>
      </c>
      <c r="BN46" s="198">
        <v>0</v>
      </c>
    </row>
  </sheetData>
  <mergeCells count="4">
    <mergeCell ref="B4:BN4"/>
    <mergeCell ref="B7:BN7"/>
    <mergeCell ref="B18:BN18"/>
    <mergeCell ref="B42:BN42"/>
  </mergeCells>
  <pageMargins left="0.7" right="0.7" top="0.75" bottom="0.75" header="0.3" footer="0.3"/>
  <pageSetup fitToWidth="0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645E44DF4C347A076E5154A1E1A44" ma:contentTypeVersion="12" ma:contentTypeDescription="Create a new document." ma:contentTypeScope="" ma:versionID="aefa3bcdc55a7770504f101ed5ebdc0f">
  <xsd:schema xmlns:xsd="http://www.w3.org/2001/XMLSchema" xmlns:xs="http://www.w3.org/2001/XMLSchema" xmlns:p="http://schemas.microsoft.com/office/2006/metadata/properties" xmlns:ns1="http://schemas.microsoft.com/sharepoint/v3" xmlns:ns3="0e9b77c3-686e-41f8-8658-848585ae3dd1" xmlns:ns4="7cc5065d-f71a-4a84-87cf-13f6ecd6fd27" targetNamespace="http://schemas.microsoft.com/office/2006/metadata/properties" ma:root="true" ma:fieldsID="b15814657b566062dff4d29e964a81e5" ns1:_="" ns3:_="" ns4:_="">
    <xsd:import namespace="http://schemas.microsoft.com/sharepoint/v3"/>
    <xsd:import namespace="0e9b77c3-686e-41f8-8658-848585ae3dd1"/>
    <xsd:import namespace="7cc5065d-f71a-4a84-87cf-13f6ecd6fd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b77c3-686e-41f8-8658-848585ae3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5065d-f71a-4a84-87cf-13f6ecd6fd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462D7A-F795-48AC-90EF-D5022965F804}">
  <ds:schemaRefs>
    <ds:schemaRef ds:uri="http://purl.org/dc/terms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7cc5065d-f71a-4a84-87cf-13f6ecd6fd27"/>
    <ds:schemaRef ds:uri="http://purl.org/dc/elements/1.1/"/>
    <ds:schemaRef ds:uri="http://schemas.microsoft.com/office/2006/metadata/properties"/>
    <ds:schemaRef ds:uri="http://schemas.microsoft.com/office/infopath/2007/PartnerControls"/>
    <ds:schemaRef ds:uri="0e9b77c3-686e-41f8-8658-848585ae3dd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496298-5B09-48C2-9DB1-9D4BCF5D7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e9b77c3-686e-41f8-8658-848585ae3dd1"/>
    <ds:schemaRef ds:uri="7cc5065d-f71a-4a84-87cf-13f6ecd6f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2777E4-5474-4358-9475-59E336F440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97</vt:i4>
      </vt:variant>
    </vt:vector>
  </HeadingPairs>
  <TitlesOfParts>
    <vt:vector size="106" baseType="lpstr">
      <vt:lpstr>README</vt:lpstr>
      <vt:lpstr>README_NEW</vt:lpstr>
      <vt:lpstr>Global data</vt:lpstr>
      <vt:lpstr>Concentrations</vt:lpstr>
      <vt:lpstr>Noro Dis Risk Model Conc</vt:lpstr>
      <vt:lpstr>Hockey-Stick for virus concs</vt:lpstr>
      <vt:lpstr>Settings</vt:lpstr>
      <vt:lpstr>Log1</vt:lpstr>
      <vt:lpstr>Log2</vt:lpstr>
      <vt:lpstr>alpha_nov</vt:lpstr>
      <vt:lpstr>beta_nov</vt:lpstr>
      <vt:lpstr>Dur_Swim_hours_max</vt:lpstr>
      <vt:lpstr>Dur_Swim_hours_min</vt:lpstr>
      <vt:lpstr>Dur_Swim_hours_mode</vt:lpstr>
      <vt:lpstr>Ing_Rate_per_hour_max</vt:lpstr>
      <vt:lpstr>Log10_Pathogen_Reduction</vt:lpstr>
      <vt:lpstr>Nor_Conc_in_Effluent_max</vt:lpstr>
      <vt:lpstr>Nor_Conc_in_Effluent_median</vt:lpstr>
      <vt:lpstr>Nor_Conc_in_Effluent_min</vt:lpstr>
      <vt:lpstr>Nor_Conc_in_Influent_max</vt:lpstr>
      <vt:lpstr>Nor_Conc_in_Influent_median</vt:lpstr>
      <vt:lpstr>Nor_Conc_in_Influent_min</vt:lpstr>
      <vt:lpstr>Nor_xp</vt:lpstr>
      <vt:lpstr>Norovirus_method_harmonisation_factor</vt:lpstr>
      <vt:lpstr>Pathogen</vt:lpstr>
      <vt:lpstr>Pathogen_Conc_Site_1</vt:lpstr>
      <vt:lpstr>Pathogen_Conc_Site_10</vt:lpstr>
      <vt:lpstr>Pathogen_Conc_Site_11</vt:lpstr>
      <vt:lpstr>Pathogen_Conc_Site_12</vt:lpstr>
      <vt:lpstr>Pathogen_Conc_Site_13</vt:lpstr>
      <vt:lpstr>Pathogen_Conc_Site_14</vt:lpstr>
      <vt:lpstr>Pathogen_Conc_Site_15</vt:lpstr>
      <vt:lpstr>Pathogen_Conc_Site_16</vt:lpstr>
      <vt:lpstr>Pathogen_Conc_Site_17</vt:lpstr>
      <vt:lpstr>Pathogen_Conc_Site_18</vt:lpstr>
      <vt:lpstr>Pathogen_Conc_Site_19</vt:lpstr>
      <vt:lpstr>Pathogen_Conc_Site_2</vt:lpstr>
      <vt:lpstr>Pathogen_Conc_Site_20</vt:lpstr>
      <vt:lpstr>Pathogen_Conc_Site_21</vt:lpstr>
      <vt:lpstr>Pathogen_Conc_Site_22</vt:lpstr>
      <vt:lpstr>Pathogen_Conc_Site_23</vt:lpstr>
      <vt:lpstr>Pathogen_Conc_Site_24</vt:lpstr>
      <vt:lpstr>Pathogen_Conc_Site_25</vt:lpstr>
      <vt:lpstr>Pathogen_Conc_Site_26</vt:lpstr>
      <vt:lpstr>Pathogen_Conc_Site_27</vt:lpstr>
      <vt:lpstr>Pathogen_Conc_Site_28</vt:lpstr>
      <vt:lpstr>Pathogen_Conc_Site_29</vt:lpstr>
      <vt:lpstr>Pathogen_Conc_site_3</vt:lpstr>
      <vt:lpstr>Pathogen_Conc_Site_30</vt:lpstr>
      <vt:lpstr>Pathogen_Conc_Site_31</vt:lpstr>
      <vt:lpstr>Pathogen_Conc_Site_32</vt:lpstr>
      <vt:lpstr>Pathogen_Conc_Site_4</vt:lpstr>
      <vt:lpstr>Pathogen_Conc_Site_5</vt:lpstr>
      <vt:lpstr>Pathogen_Conc_Site_6</vt:lpstr>
      <vt:lpstr>Pathogen_Conc_Site_7</vt:lpstr>
      <vt:lpstr>Pathogen_Conc_Site_8</vt:lpstr>
      <vt:lpstr>Pathogen_Conc_Site_9</vt:lpstr>
      <vt:lpstr>Primary_Ing_Rate_mL_per_hour_max</vt:lpstr>
      <vt:lpstr>Primary_Ing_Rate_mL_per_hour_mean</vt:lpstr>
      <vt:lpstr>Primary_Ing_Rate_mL_per_hour_min</vt:lpstr>
      <vt:lpstr>Primary_Ing_Rate_mL_per_hour_sd</vt:lpstr>
      <vt:lpstr>Prob__susceptible_to_Nov_infection</vt:lpstr>
      <vt:lpstr>Prob_illness_Noro_infection</vt:lpstr>
      <vt:lpstr>Random_effluent_nor_conc</vt:lpstr>
      <vt:lpstr>Secondary_Primary_Exposure_Ratio</vt:lpstr>
      <vt:lpstr>Site_name_1</vt:lpstr>
      <vt:lpstr>Site_name_10</vt:lpstr>
      <vt:lpstr>Site_name_11</vt:lpstr>
      <vt:lpstr>Site_name_12</vt:lpstr>
      <vt:lpstr>Site_name_13</vt:lpstr>
      <vt:lpstr>Site_name_14</vt:lpstr>
      <vt:lpstr>Site_name_15</vt:lpstr>
      <vt:lpstr>Site_name_16</vt:lpstr>
      <vt:lpstr>Site_name_17</vt:lpstr>
      <vt:lpstr>Site_name_18</vt:lpstr>
      <vt:lpstr>Site_name_19</vt:lpstr>
      <vt:lpstr>Site_name_2</vt:lpstr>
      <vt:lpstr>Site_name_20</vt:lpstr>
      <vt:lpstr>Site_name_21</vt:lpstr>
      <vt:lpstr>Site_name_22</vt:lpstr>
      <vt:lpstr>Site_name_23</vt:lpstr>
      <vt:lpstr>Site_name_24</vt:lpstr>
      <vt:lpstr>Site_name_25</vt:lpstr>
      <vt:lpstr>Site_name_26</vt:lpstr>
      <vt:lpstr>Site_name_27</vt:lpstr>
      <vt:lpstr>Site_name_28</vt:lpstr>
      <vt:lpstr>Site_name_29</vt:lpstr>
      <vt:lpstr>Site_name_3</vt:lpstr>
      <vt:lpstr>Site_name_30</vt:lpstr>
      <vt:lpstr>Site_name_31</vt:lpstr>
      <vt:lpstr>Site_name_32</vt:lpstr>
      <vt:lpstr>Site_name_4</vt:lpstr>
      <vt:lpstr>Site_name_5</vt:lpstr>
      <vt:lpstr>Site_name_6</vt:lpstr>
      <vt:lpstr>Site_name_7</vt:lpstr>
      <vt:lpstr>Site_name_8</vt:lpstr>
      <vt:lpstr>Site_name_9</vt:lpstr>
      <vt:lpstr>Site_number_1</vt:lpstr>
      <vt:lpstr>Site_number_2</vt:lpstr>
      <vt:lpstr>Site_number_3</vt:lpstr>
      <vt:lpstr>Site_number_4</vt:lpstr>
      <vt:lpstr>Site_number_5</vt:lpstr>
      <vt:lpstr>Site_number_6</vt:lpstr>
      <vt:lpstr>Site_number_7</vt:lpstr>
      <vt:lpstr>Site_number_8</vt:lpstr>
      <vt:lpstr>V</vt:lpstr>
    </vt:vector>
  </TitlesOfParts>
  <Company>NIWA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McBride</dc:creator>
  <cp:lastModifiedBy>David Wood</cp:lastModifiedBy>
  <dcterms:created xsi:type="dcterms:W3CDTF">2012-10-05T04:05:27Z</dcterms:created>
  <dcterms:modified xsi:type="dcterms:W3CDTF">2023-10-20T05:48:04Z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0x0101005FE645E44DF4C347A076E5154A1E1A44</vt:lpwstr>
  </property>
</Properties>
</file>